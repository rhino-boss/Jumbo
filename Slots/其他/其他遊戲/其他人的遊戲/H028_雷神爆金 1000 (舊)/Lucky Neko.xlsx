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ADA7CBBE-5AEE-4B1F-898A-79AB9A24B33D}" xr6:coauthVersionLast="47" xr6:coauthVersionMax="47" xr10:uidLastSave="{00000000-0000-0000-0000-000000000000}"/>
  <bookViews>
    <workbookView xWindow="-28920" yWindow="-120" windowWidth="29040" windowHeight="15720" tabRatio="767" activeTab="5" xr2:uid="{375CA122-12A3-4970-A7ED-2DEBCD77EA1F}"/>
  </bookViews>
  <sheets>
    <sheet name="Overview" sheetId="4" r:id="rId1"/>
    <sheet name="Description" sheetId="48" r:id="rId2"/>
    <sheet name="Multiplier_Weight" sheetId="42" r:id="rId3"/>
    <sheet name="OP Jackpot" sheetId="58" r:id="rId4"/>
    <sheet name="Base Game Symbol" sheetId="59" r:id="rId5"/>
    <sheet name="Free Game Symbol" sheetId="36" r:id="rId6"/>
    <sheet name="Base Game Symbol_FB" sheetId="37" r:id="rId7"/>
    <sheet name="Performance Wheel" sheetId="60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1" i="60" l="1"/>
  <c r="T5" i="60"/>
  <c r="U5" i="60"/>
  <c r="V5" i="60"/>
  <c r="W5" i="60"/>
  <c r="X5" i="60"/>
  <c r="Y5" i="60"/>
  <c r="Z5" i="60"/>
  <c r="T6" i="60"/>
  <c r="U6" i="60"/>
  <c r="V6" i="60"/>
  <c r="W6" i="60"/>
  <c r="X6" i="60"/>
  <c r="Y6" i="60"/>
  <c r="Z6" i="60"/>
  <c r="T7" i="60"/>
  <c r="U7" i="60"/>
  <c r="V7" i="60"/>
  <c r="W7" i="60"/>
  <c r="X7" i="60"/>
  <c r="Y7" i="60"/>
  <c r="Z7" i="60"/>
  <c r="T8" i="60"/>
  <c r="U8" i="60"/>
  <c r="V8" i="60"/>
  <c r="W8" i="60"/>
  <c r="X8" i="60"/>
  <c r="Y8" i="60"/>
  <c r="Z8" i="60"/>
  <c r="T9" i="60"/>
  <c r="U9" i="60"/>
  <c r="V9" i="60"/>
  <c r="W9" i="60"/>
  <c r="X9" i="60"/>
  <c r="Y9" i="60"/>
  <c r="Z9" i="60"/>
  <c r="T10" i="60"/>
  <c r="U10" i="60"/>
  <c r="V10" i="60"/>
  <c r="W10" i="60"/>
  <c r="X10" i="60"/>
  <c r="Y10" i="60"/>
  <c r="Z10" i="60"/>
  <c r="T11" i="60"/>
  <c r="U11" i="60"/>
  <c r="V11" i="60"/>
  <c r="W11" i="60"/>
  <c r="X11" i="60"/>
  <c r="Y11" i="60"/>
  <c r="Z11" i="60"/>
  <c r="T12" i="60"/>
  <c r="U12" i="60"/>
  <c r="V12" i="60"/>
  <c r="W12" i="60"/>
  <c r="X12" i="60"/>
  <c r="Y12" i="60"/>
  <c r="Z12" i="60"/>
  <c r="T13" i="60"/>
  <c r="U13" i="60"/>
  <c r="V13" i="60"/>
  <c r="W13" i="60"/>
  <c r="X13" i="60"/>
  <c r="Y13" i="60"/>
  <c r="Z13" i="60"/>
  <c r="T14" i="60"/>
  <c r="U14" i="60"/>
  <c r="V14" i="60"/>
  <c r="W14" i="60"/>
  <c r="X14" i="60"/>
  <c r="Y14" i="60"/>
  <c r="Z14" i="60"/>
  <c r="T15" i="60"/>
  <c r="U15" i="60"/>
  <c r="V15" i="60"/>
  <c r="W15" i="60"/>
  <c r="X15" i="60"/>
  <c r="Y15" i="60"/>
  <c r="Z15" i="60"/>
  <c r="T16" i="60"/>
  <c r="U16" i="60"/>
  <c r="V16" i="60"/>
  <c r="W16" i="60"/>
  <c r="X16" i="60"/>
  <c r="Y16" i="60"/>
  <c r="Z16" i="60"/>
  <c r="T17" i="60"/>
  <c r="U17" i="60"/>
  <c r="V17" i="60"/>
  <c r="W17" i="60"/>
  <c r="X17" i="60"/>
  <c r="Y17" i="60"/>
  <c r="Z17" i="60"/>
  <c r="T18" i="60"/>
  <c r="U18" i="60"/>
  <c r="V18" i="60"/>
  <c r="W18" i="60"/>
  <c r="X18" i="60"/>
  <c r="Y18" i="60"/>
  <c r="Z18" i="60"/>
  <c r="T19" i="60"/>
  <c r="U19" i="60"/>
  <c r="V19" i="60"/>
  <c r="W19" i="60"/>
  <c r="X19" i="60"/>
  <c r="Y19" i="60"/>
  <c r="Z19" i="60"/>
  <c r="T20" i="60"/>
  <c r="U20" i="60"/>
  <c r="V20" i="60"/>
  <c r="W20" i="60"/>
  <c r="X20" i="60"/>
  <c r="Y20" i="60"/>
  <c r="Z20" i="60"/>
  <c r="T21" i="60"/>
  <c r="U21" i="60"/>
  <c r="W21" i="60"/>
  <c r="X21" i="60"/>
  <c r="Y21" i="60"/>
  <c r="Z21" i="60"/>
  <c r="T22" i="60"/>
  <c r="U22" i="60"/>
  <c r="V22" i="60"/>
  <c r="W22" i="60"/>
  <c r="X22" i="60"/>
  <c r="Y22" i="60"/>
  <c r="Z22" i="60"/>
  <c r="T23" i="60"/>
  <c r="U23" i="60"/>
  <c r="V23" i="60"/>
  <c r="W23" i="60"/>
  <c r="X23" i="60"/>
  <c r="Y23" i="60"/>
  <c r="Z23" i="60"/>
  <c r="T24" i="60"/>
  <c r="U24" i="60"/>
  <c r="V24" i="60"/>
  <c r="W24" i="60"/>
  <c r="X24" i="60"/>
  <c r="Y24" i="60"/>
  <c r="Z24" i="60"/>
  <c r="T25" i="60"/>
  <c r="U25" i="60"/>
  <c r="V25" i="60"/>
  <c r="W25" i="60"/>
  <c r="X25" i="60"/>
  <c r="Y25" i="60"/>
  <c r="Z25" i="60"/>
  <c r="T26" i="60"/>
  <c r="U26" i="60"/>
  <c r="V26" i="60"/>
  <c r="W26" i="60"/>
  <c r="X26" i="60"/>
  <c r="Y26" i="60"/>
  <c r="Z26" i="60"/>
  <c r="T27" i="60"/>
  <c r="U27" i="60"/>
  <c r="V27" i="60"/>
  <c r="W27" i="60"/>
  <c r="X27" i="60"/>
  <c r="Y27" i="60"/>
  <c r="Z27" i="60"/>
  <c r="T28" i="60"/>
  <c r="U28" i="60"/>
  <c r="V28" i="60"/>
  <c r="W28" i="60"/>
  <c r="X28" i="60"/>
  <c r="Y28" i="60"/>
  <c r="Z28" i="60"/>
  <c r="T29" i="60"/>
  <c r="U29" i="60"/>
  <c r="V29" i="60"/>
  <c r="W29" i="60"/>
  <c r="X29" i="60"/>
  <c r="Y29" i="60"/>
  <c r="Z29" i="60"/>
  <c r="T30" i="60"/>
  <c r="U30" i="60"/>
  <c r="V30" i="60"/>
  <c r="W30" i="60"/>
  <c r="X30" i="60"/>
  <c r="Y30" i="60"/>
  <c r="Z30" i="60"/>
  <c r="T31" i="60"/>
  <c r="U31" i="60"/>
  <c r="V31" i="60"/>
  <c r="W31" i="60"/>
  <c r="X31" i="60"/>
  <c r="Y31" i="60"/>
  <c r="Z31" i="60"/>
  <c r="T32" i="60"/>
  <c r="U32" i="60"/>
  <c r="V32" i="60"/>
  <c r="W32" i="60"/>
  <c r="X32" i="60"/>
  <c r="Y32" i="60"/>
  <c r="Z32" i="60"/>
  <c r="T33" i="60"/>
  <c r="U33" i="60"/>
  <c r="V33" i="60"/>
  <c r="W33" i="60"/>
  <c r="X33" i="60"/>
  <c r="Y33" i="60"/>
  <c r="Z33" i="60"/>
  <c r="T34" i="60"/>
  <c r="U34" i="60"/>
  <c r="V34" i="60"/>
  <c r="W34" i="60"/>
  <c r="X34" i="60"/>
  <c r="Y34" i="60"/>
  <c r="Z34" i="60"/>
  <c r="T35" i="60"/>
  <c r="U35" i="60"/>
  <c r="V35" i="60"/>
  <c r="W35" i="60"/>
  <c r="X35" i="60"/>
  <c r="Y35" i="60"/>
  <c r="Z35" i="60"/>
  <c r="T36" i="60"/>
  <c r="U36" i="60"/>
  <c r="V36" i="60"/>
  <c r="W36" i="60"/>
  <c r="X36" i="60"/>
  <c r="Y36" i="60"/>
  <c r="Z36" i="60"/>
  <c r="T37" i="60"/>
  <c r="U37" i="60"/>
  <c r="V37" i="60"/>
  <c r="W37" i="60"/>
  <c r="X37" i="60"/>
  <c r="Y37" i="60"/>
  <c r="Z37" i="60"/>
  <c r="T38" i="60"/>
  <c r="U38" i="60"/>
  <c r="V38" i="60"/>
  <c r="W38" i="60"/>
  <c r="X38" i="60"/>
  <c r="Y38" i="60"/>
  <c r="Z38" i="60"/>
  <c r="T39" i="60"/>
  <c r="U39" i="60"/>
  <c r="V39" i="60"/>
  <c r="W39" i="60"/>
  <c r="X39" i="60"/>
  <c r="Y39" i="60"/>
  <c r="Z39" i="60"/>
  <c r="T40" i="60"/>
  <c r="U40" i="60"/>
  <c r="V40" i="60"/>
  <c r="W40" i="60"/>
  <c r="X40" i="60"/>
  <c r="Y40" i="60"/>
  <c r="Z40" i="60"/>
  <c r="T41" i="60"/>
  <c r="U41" i="60"/>
  <c r="V41" i="60"/>
  <c r="W41" i="60"/>
  <c r="X41" i="60"/>
  <c r="Y41" i="60"/>
  <c r="Z41" i="60"/>
  <c r="T42" i="60"/>
  <c r="U42" i="60"/>
  <c r="V42" i="60"/>
  <c r="W42" i="60"/>
  <c r="X42" i="60"/>
  <c r="Y42" i="60"/>
  <c r="Z42" i="60"/>
  <c r="T43" i="60"/>
  <c r="U43" i="60"/>
  <c r="V43" i="60"/>
  <c r="W43" i="60"/>
  <c r="X43" i="60"/>
  <c r="Y43" i="60"/>
  <c r="Z43" i="60"/>
  <c r="T44" i="60"/>
  <c r="U44" i="60"/>
  <c r="V44" i="60"/>
  <c r="W44" i="60"/>
  <c r="X44" i="60"/>
  <c r="Y44" i="60"/>
  <c r="Z44" i="60"/>
  <c r="T45" i="60"/>
  <c r="U45" i="60"/>
  <c r="V45" i="60"/>
  <c r="W45" i="60"/>
  <c r="X45" i="60"/>
  <c r="Y45" i="60"/>
  <c r="Z45" i="60"/>
  <c r="T46" i="60"/>
  <c r="U46" i="60"/>
  <c r="V46" i="60"/>
  <c r="W46" i="60"/>
  <c r="X46" i="60"/>
  <c r="Y46" i="60"/>
  <c r="Z46" i="60"/>
  <c r="T47" i="60"/>
  <c r="U47" i="60"/>
  <c r="V47" i="60"/>
  <c r="W47" i="60"/>
  <c r="X47" i="60"/>
  <c r="Y47" i="60"/>
  <c r="Z47" i="60"/>
  <c r="T48" i="60"/>
  <c r="U48" i="60"/>
  <c r="V48" i="60"/>
  <c r="W48" i="60"/>
  <c r="X48" i="60"/>
  <c r="Y48" i="60"/>
  <c r="Z48" i="60"/>
  <c r="T49" i="60"/>
  <c r="U49" i="60"/>
  <c r="V49" i="60"/>
  <c r="W49" i="60"/>
  <c r="X49" i="60"/>
  <c r="Y49" i="60"/>
  <c r="Z49" i="60"/>
  <c r="T50" i="60"/>
  <c r="U50" i="60"/>
  <c r="V50" i="60"/>
  <c r="W50" i="60"/>
  <c r="X50" i="60"/>
  <c r="Y50" i="60"/>
  <c r="Z50" i="60"/>
  <c r="T51" i="60"/>
  <c r="U51" i="60"/>
  <c r="V51" i="60"/>
  <c r="W51" i="60"/>
  <c r="X51" i="60"/>
  <c r="Y51" i="60"/>
  <c r="Z51" i="60"/>
  <c r="T52" i="60"/>
  <c r="U52" i="60"/>
  <c r="V52" i="60"/>
  <c r="W52" i="60"/>
  <c r="X52" i="60"/>
  <c r="Y52" i="60"/>
  <c r="Z52" i="60"/>
  <c r="T53" i="60"/>
  <c r="U53" i="60"/>
  <c r="V53" i="60"/>
  <c r="W53" i="60"/>
  <c r="X53" i="60"/>
  <c r="Y53" i="60"/>
  <c r="Z53" i="60"/>
  <c r="T54" i="60"/>
  <c r="U54" i="60"/>
  <c r="V54" i="60"/>
  <c r="W54" i="60"/>
  <c r="X54" i="60"/>
  <c r="Y54" i="60"/>
  <c r="Z54" i="60"/>
  <c r="T55" i="60"/>
  <c r="U55" i="60"/>
  <c r="V55" i="60"/>
  <c r="W55" i="60"/>
  <c r="X55" i="60"/>
  <c r="Y55" i="60"/>
  <c r="Z55" i="60"/>
  <c r="T56" i="60"/>
  <c r="U56" i="60"/>
  <c r="V56" i="60"/>
  <c r="W56" i="60"/>
  <c r="X56" i="60"/>
  <c r="Y56" i="60"/>
  <c r="Z56" i="60"/>
  <c r="T57" i="60"/>
  <c r="U57" i="60"/>
  <c r="V57" i="60"/>
  <c r="W57" i="60"/>
  <c r="X57" i="60"/>
  <c r="Y57" i="60"/>
  <c r="Z57" i="60"/>
  <c r="T58" i="60"/>
  <c r="U58" i="60"/>
  <c r="V58" i="60"/>
  <c r="W58" i="60"/>
  <c r="X58" i="60"/>
  <c r="Y58" i="60"/>
  <c r="Z58" i="60"/>
  <c r="T59" i="60"/>
  <c r="U59" i="60"/>
  <c r="V59" i="60"/>
  <c r="W59" i="60"/>
  <c r="X59" i="60"/>
  <c r="Y59" i="60"/>
  <c r="Z59" i="60"/>
  <c r="T60" i="60"/>
  <c r="U60" i="60"/>
  <c r="V60" i="60"/>
  <c r="W60" i="60"/>
  <c r="X60" i="60"/>
  <c r="Y60" i="60"/>
  <c r="Z60" i="60"/>
  <c r="T61" i="60"/>
  <c r="U61" i="60"/>
  <c r="V61" i="60"/>
  <c r="W61" i="60"/>
  <c r="X61" i="60"/>
  <c r="Y61" i="60"/>
  <c r="Z61" i="60"/>
  <c r="T62" i="60"/>
  <c r="U62" i="60"/>
  <c r="V62" i="60"/>
  <c r="W62" i="60"/>
  <c r="X62" i="60"/>
  <c r="Y62" i="60"/>
  <c r="Z62" i="60"/>
  <c r="T63" i="60"/>
  <c r="U63" i="60"/>
  <c r="V63" i="60"/>
  <c r="W63" i="60"/>
  <c r="X63" i="60"/>
  <c r="Y63" i="60"/>
  <c r="Z63" i="60"/>
  <c r="U4" i="60"/>
  <c r="V4" i="60"/>
  <c r="W4" i="60"/>
  <c r="X4" i="60"/>
  <c r="Y4" i="60"/>
  <c r="Z4" i="60"/>
  <c r="T4" i="60"/>
  <c r="T4" i="59" l="1"/>
  <c r="DL124" i="36"/>
  <c r="DK124" i="36"/>
  <c r="DJ124" i="36"/>
  <c r="DI124" i="36"/>
  <c r="DH124" i="36"/>
  <c r="DG124" i="36"/>
  <c r="DF124" i="36"/>
  <c r="DL123" i="36"/>
  <c r="DK123" i="36"/>
  <c r="DJ123" i="36"/>
  <c r="DI123" i="36"/>
  <c r="DH123" i="36"/>
  <c r="DG123" i="36"/>
  <c r="DF123" i="36"/>
  <c r="DL122" i="36"/>
  <c r="DK122" i="36"/>
  <c r="DJ122" i="36"/>
  <c r="DI122" i="36"/>
  <c r="DH122" i="36"/>
  <c r="DG122" i="36"/>
  <c r="DF122" i="36"/>
  <c r="DL121" i="36"/>
  <c r="DK121" i="36"/>
  <c r="DJ121" i="36"/>
  <c r="DI121" i="36"/>
  <c r="DH121" i="36"/>
  <c r="DG121" i="36"/>
  <c r="DF121" i="36"/>
  <c r="DL120" i="36"/>
  <c r="DK120" i="36"/>
  <c r="DJ120" i="36"/>
  <c r="DI120" i="36"/>
  <c r="DH120" i="36"/>
  <c r="DG120" i="36"/>
  <c r="DF120" i="36"/>
  <c r="DL119" i="36"/>
  <c r="DK119" i="36"/>
  <c r="DJ119" i="36"/>
  <c r="DI119" i="36"/>
  <c r="DH119" i="36"/>
  <c r="DG119" i="36"/>
  <c r="DF119" i="36"/>
  <c r="DL118" i="36"/>
  <c r="DK118" i="36"/>
  <c r="DJ118" i="36"/>
  <c r="DI118" i="36"/>
  <c r="DH118" i="36"/>
  <c r="DG118" i="36"/>
  <c r="DF118" i="36"/>
  <c r="DL117" i="36"/>
  <c r="DK117" i="36"/>
  <c r="DJ117" i="36"/>
  <c r="DI117" i="36"/>
  <c r="DH117" i="36"/>
  <c r="DG117" i="36"/>
  <c r="DF117" i="36"/>
  <c r="DL116" i="36"/>
  <c r="DK116" i="36"/>
  <c r="DJ116" i="36"/>
  <c r="DI116" i="36"/>
  <c r="DH116" i="36"/>
  <c r="DG116" i="36"/>
  <c r="DF116" i="36"/>
  <c r="DL115" i="36"/>
  <c r="DK115" i="36"/>
  <c r="DJ115" i="36"/>
  <c r="DI115" i="36"/>
  <c r="DH115" i="36"/>
  <c r="DG115" i="36"/>
  <c r="DF115" i="36"/>
  <c r="DL114" i="36"/>
  <c r="DK114" i="36"/>
  <c r="DJ114" i="36"/>
  <c r="DI114" i="36"/>
  <c r="DH114" i="36"/>
  <c r="DG114" i="36"/>
  <c r="DF114" i="36"/>
  <c r="DL113" i="36"/>
  <c r="DK113" i="36"/>
  <c r="DJ113" i="36"/>
  <c r="DI113" i="36"/>
  <c r="DH113" i="36"/>
  <c r="DG113" i="36"/>
  <c r="DF113" i="36"/>
  <c r="DL112" i="36"/>
  <c r="DK112" i="36"/>
  <c r="DJ112" i="36"/>
  <c r="DI112" i="36"/>
  <c r="DH112" i="36"/>
  <c r="DG112" i="36"/>
  <c r="DF112" i="36"/>
  <c r="DL111" i="36"/>
  <c r="DK111" i="36"/>
  <c r="DJ111" i="36"/>
  <c r="DI111" i="36"/>
  <c r="DH111" i="36"/>
  <c r="DG111" i="36"/>
  <c r="DF111" i="36"/>
  <c r="DL110" i="36"/>
  <c r="DK110" i="36"/>
  <c r="DJ110" i="36"/>
  <c r="DI110" i="36"/>
  <c r="DH110" i="36"/>
  <c r="DG110" i="36"/>
  <c r="DF110" i="36"/>
  <c r="DL109" i="36"/>
  <c r="DK109" i="36"/>
  <c r="DJ109" i="36"/>
  <c r="DI109" i="36"/>
  <c r="DH109" i="36"/>
  <c r="DG109" i="36"/>
  <c r="DF109" i="36"/>
  <c r="DL108" i="36"/>
  <c r="DK108" i="36"/>
  <c r="DJ108" i="36"/>
  <c r="DI108" i="36"/>
  <c r="DH108" i="36"/>
  <c r="DG108" i="36"/>
  <c r="DF108" i="36"/>
  <c r="DL107" i="36"/>
  <c r="DK107" i="36"/>
  <c r="DJ107" i="36"/>
  <c r="DI107" i="36"/>
  <c r="DH107" i="36"/>
  <c r="DG107" i="36"/>
  <c r="DF107" i="36"/>
  <c r="DL106" i="36"/>
  <c r="DK106" i="36"/>
  <c r="DJ106" i="36"/>
  <c r="DI106" i="36"/>
  <c r="DH106" i="36"/>
  <c r="DG106" i="36"/>
  <c r="DF106" i="36"/>
  <c r="DL105" i="36"/>
  <c r="DK105" i="36"/>
  <c r="DJ105" i="36"/>
  <c r="DI105" i="36"/>
  <c r="DH105" i="36"/>
  <c r="DG105" i="36"/>
  <c r="DF105" i="36"/>
  <c r="DL104" i="36"/>
  <c r="DK104" i="36"/>
  <c r="DJ104" i="36"/>
  <c r="DI104" i="36"/>
  <c r="DH104" i="36"/>
  <c r="DG104" i="36"/>
  <c r="DF104" i="36"/>
  <c r="DL103" i="36"/>
  <c r="DK103" i="36"/>
  <c r="DJ103" i="36"/>
  <c r="DI103" i="36"/>
  <c r="DH103" i="36"/>
  <c r="DG103" i="36"/>
  <c r="DF103" i="36"/>
  <c r="DL102" i="36"/>
  <c r="DK102" i="36"/>
  <c r="DJ102" i="36"/>
  <c r="DI102" i="36"/>
  <c r="DH102" i="36"/>
  <c r="DG102" i="36"/>
  <c r="DF102" i="36"/>
  <c r="DL101" i="36"/>
  <c r="DK101" i="36"/>
  <c r="DJ101" i="36"/>
  <c r="DI101" i="36"/>
  <c r="DH101" i="36"/>
  <c r="DG101" i="36"/>
  <c r="DF101" i="36"/>
  <c r="DL100" i="36"/>
  <c r="DK100" i="36"/>
  <c r="DJ100" i="36"/>
  <c r="DI100" i="36"/>
  <c r="DH100" i="36"/>
  <c r="DG100" i="36"/>
  <c r="DF100" i="36"/>
  <c r="DL99" i="36"/>
  <c r="DK99" i="36"/>
  <c r="DJ99" i="36"/>
  <c r="DI99" i="36"/>
  <c r="DH99" i="36"/>
  <c r="DG99" i="36"/>
  <c r="DF99" i="36"/>
  <c r="DL98" i="36"/>
  <c r="DK98" i="36"/>
  <c r="DJ98" i="36"/>
  <c r="DI98" i="36"/>
  <c r="DH98" i="36"/>
  <c r="DG98" i="36"/>
  <c r="DF98" i="36"/>
  <c r="DL97" i="36"/>
  <c r="DK97" i="36"/>
  <c r="DJ97" i="36"/>
  <c r="DI97" i="36"/>
  <c r="DH97" i="36"/>
  <c r="DG97" i="36"/>
  <c r="DF97" i="36"/>
  <c r="DL96" i="36"/>
  <c r="DK96" i="36"/>
  <c r="DJ96" i="36"/>
  <c r="DI96" i="36"/>
  <c r="DH96" i="36"/>
  <c r="DG96" i="36"/>
  <c r="DF96" i="36"/>
  <c r="DL95" i="36"/>
  <c r="DK95" i="36"/>
  <c r="DJ95" i="36"/>
  <c r="DI95" i="36"/>
  <c r="DH95" i="36"/>
  <c r="DG95" i="36"/>
  <c r="DF95" i="36"/>
  <c r="DL94" i="36"/>
  <c r="DK94" i="36"/>
  <c r="DJ94" i="36"/>
  <c r="DI94" i="36"/>
  <c r="DH94" i="36"/>
  <c r="DG94" i="36"/>
  <c r="DF94" i="36"/>
  <c r="DL93" i="36"/>
  <c r="DK93" i="36"/>
  <c r="DJ93" i="36"/>
  <c r="DI93" i="36"/>
  <c r="DH93" i="36"/>
  <c r="DG93" i="36"/>
  <c r="DF93" i="36"/>
  <c r="DL92" i="36"/>
  <c r="DK92" i="36"/>
  <c r="DJ92" i="36"/>
  <c r="DI92" i="36"/>
  <c r="DH92" i="36"/>
  <c r="DG92" i="36"/>
  <c r="DF92" i="36"/>
  <c r="DL91" i="36"/>
  <c r="DK91" i="36"/>
  <c r="DJ91" i="36"/>
  <c r="DI91" i="36"/>
  <c r="DH91" i="36"/>
  <c r="DG91" i="36"/>
  <c r="DF91" i="36"/>
  <c r="DL90" i="36"/>
  <c r="DK90" i="36"/>
  <c r="DJ90" i="36"/>
  <c r="DI90" i="36"/>
  <c r="DH90" i="36"/>
  <c r="DG90" i="36"/>
  <c r="DF90" i="36"/>
  <c r="DL89" i="36"/>
  <c r="DK89" i="36"/>
  <c r="DJ89" i="36"/>
  <c r="DI89" i="36"/>
  <c r="DH89" i="36"/>
  <c r="DG89" i="36"/>
  <c r="DF89" i="36"/>
  <c r="DL88" i="36"/>
  <c r="DK88" i="36"/>
  <c r="DJ88" i="36"/>
  <c r="DI88" i="36"/>
  <c r="DH88" i="36"/>
  <c r="DG88" i="36"/>
  <c r="DF88" i="36"/>
  <c r="DL87" i="36"/>
  <c r="DK87" i="36"/>
  <c r="DJ87" i="36"/>
  <c r="DI87" i="36"/>
  <c r="DH87" i="36"/>
  <c r="DG87" i="36"/>
  <c r="DF87" i="36"/>
  <c r="DL86" i="36"/>
  <c r="DK86" i="36"/>
  <c r="DJ86" i="36"/>
  <c r="DI86" i="36"/>
  <c r="DH86" i="36"/>
  <c r="DG86" i="36"/>
  <c r="DF86" i="36"/>
  <c r="DL85" i="36"/>
  <c r="DK85" i="36"/>
  <c r="DJ85" i="36"/>
  <c r="DI85" i="36"/>
  <c r="DH85" i="36"/>
  <c r="DG85" i="36"/>
  <c r="DF85" i="36"/>
  <c r="DL84" i="36"/>
  <c r="DK84" i="36"/>
  <c r="DJ84" i="36"/>
  <c r="DI84" i="36"/>
  <c r="DH84" i="36"/>
  <c r="DG84" i="36"/>
  <c r="DF84" i="36"/>
  <c r="DL83" i="36"/>
  <c r="DK83" i="36"/>
  <c r="DJ83" i="36"/>
  <c r="DI83" i="36"/>
  <c r="DH83" i="36"/>
  <c r="DG83" i="36"/>
  <c r="DF83" i="36"/>
  <c r="DL82" i="36"/>
  <c r="DK82" i="36"/>
  <c r="DJ82" i="36"/>
  <c r="DI82" i="36"/>
  <c r="DH82" i="36"/>
  <c r="DG82" i="36"/>
  <c r="DF82" i="36"/>
  <c r="DL81" i="36"/>
  <c r="DK81" i="36"/>
  <c r="DJ81" i="36"/>
  <c r="DI81" i="36"/>
  <c r="DH81" i="36"/>
  <c r="DG81" i="36"/>
  <c r="DF81" i="36"/>
  <c r="DL80" i="36"/>
  <c r="DK80" i="36"/>
  <c r="DJ80" i="36"/>
  <c r="DI80" i="36"/>
  <c r="DH80" i="36"/>
  <c r="DG80" i="36"/>
  <c r="DF80" i="36"/>
  <c r="DL79" i="36"/>
  <c r="DK79" i="36"/>
  <c r="DJ79" i="36"/>
  <c r="DI79" i="36"/>
  <c r="DH79" i="36"/>
  <c r="DG79" i="36"/>
  <c r="DF79" i="36"/>
  <c r="DL78" i="36"/>
  <c r="DK78" i="36"/>
  <c r="DJ78" i="36"/>
  <c r="DI78" i="36"/>
  <c r="DH78" i="36"/>
  <c r="DG78" i="36"/>
  <c r="DF78" i="36"/>
  <c r="DL77" i="36"/>
  <c r="DK77" i="36"/>
  <c r="DJ77" i="36"/>
  <c r="DI77" i="36"/>
  <c r="DH77" i="36"/>
  <c r="DG77" i="36"/>
  <c r="DF77" i="36"/>
  <c r="DL76" i="36"/>
  <c r="DK76" i="36"/>
  <c r="DJ76" i="36"/>
  <c r="DI76" i="36"/>
  <c r="DH76" i="36"/>
  <c r="DG76" i="36"/>
  <c r="DF76" i="36"/>
  <c r="DL75" i="36"/>
  <c r="DK75" i="36"/>
  <c r="DJ75" i="36"/>
  <c r="DI75" i="36"/>
  <c r="DH75" i="36"/>
  <c r="DG75" i="36"/>
  <c r="DF75" i="36"/>
  <c r="DL74" i="36"/>
  <c r="DK74" i="36"/>
  <c r="DJ74" i="36"/>
  <c r="DI74" i="36"/>
  <c r="DH74" i="36"/>
  <c r="DG74" i="36"/>
  <c r="DF74" i="36"/>
  <c r="DL73" i="36"/>
  <c r="DK73" i="36"/>
  <c r="DJ73" i="36"/>
  <c r="DI73" i="36"/>
  <c r="DH73" i="36"/>
  <c r="DG73" i="36"/>
  <c r="DF73" i="36"/>
  <c r="DL72" i="36"/>
  <c r="DK72" i="36"/>
  <c r="DJ72" i="36"/>
  <c r="DI72" i="36"/>
  <c r="DH72" i="36"/>
  <c r="DG72" i="36"/>
  <c r="DF72" i="36"/>
  <c r="DL71" i="36"/>
  <c r="DK71" i="36"/>
  <c r="DJ71" i="36"/>
  <c r="DI71" i="36"/>
  <c r="DH71" i="36"/>
  <c r="DG71" i="36"/>
  <c r="DF71" i="36"/>
  <c r="DL70" i="36"/>
  <c r="DK70" i="36"/>
  <c r="DJ70" i="36"/>
  <c r="DI70" i="36"/>
  <c r="DH70" i="36"/>
  <c r="DG70" i="36"/>
  <c r="DF70" i="36"/>
  <c r="DL69" i="36"/>
  <c r="DK69" i="36"/>
  <c r="DJ69" i="36"/>
  <c r="DI69" i="36"/>
  <c r="DH69" i="36"/>
  <c r="DG69" i="36"/>
  <c r="DF69" i="36"/>
  <c r="DL68" i="36"/>
  <c r="DK68" i="36"/>
  <c r="DJ68" i="36"/>
  <c r="DI68" i="36"/>
  <c r="DH68" i="36"/>
  <c r="DG68" i="36"/>
  <c r="DF68" i="36"/>
  <c r="DL67" i="36"/>
  <c r="DK67" i="36"/>
  <c r="DJ67" i="36"/>
  <c r="DI67" i="36"/>
  <c r="DH67" i="36"/>
  <c r="DG67" i="36"/>
  <c r="DF67" i="36"/>
  <c r="DL66" i="36"/>
  <c r="DK66" i="36"/>
  <c r="DJ66" i="36"/>
  <c r="DI66" i="36"/>
  <c r="DH66" i="36"/>
  <c r="DG66" i="36"/>
  <c r="DF66" i="36"/>
  <c r="DL65" i="36"/>
  <c r="DK65" i="36"/>
  <c r="DJ65" i="36"/>
  <c r="DI65" i="36"/>
  <c r="DH65" i="36"/>
  <c r="DG65" i="36"/>
  <c r="DF65" i="36"/>
  <c r="DL64" i="36"/>
  <c r="DK64" i="36"/>
  <c r="DJ64" i="36"/>
  <c r="DI64" i="36"/>
  <c r="DH64" i="36"/>
  <c r="DG64" i="36"/>
  <c r="DF64" i="36"/>
  <c r="DL63" i="36"/>
  <c r="DK63" i="36"/>
  <c r="DJ63" i="36"/>
  <c r="DI63" i="36"/>
  <c r="DH63" i="36"/>
  <c r="DG63" i="36"/>
  <c r="DF63" i="36"/>
  <c r="DL62" i="36"/>
  <c r="DK62" i="36"/>
  <c r="DJ62" i="36"/>
  <c r="DI62" i="36"/>
  <c r="DH62" i="36"/>
  <c r="DG62" i="36"/>
  <c r="DF62" i="36"/>
  <c r="DL61" i="36"/>
  <c r="DK61" i="36"/>
  <c r="DJ61" i="36"/>
  <c r="DI61" i="36"/>
  <c r="DH61" i="36"/>
  <c r="DG61" i="36"/>
  <c r="DF61" i="36"/>
  <c r="DL60" i="36"/>
  <c r="DK60" i="36"/>
  <c r="DJ60" i="36"/>
  <c r="DI60" i="36"/>
  <c r="DH60" i="36"/>
  <c r="DG60" i="36"/>
  <c r="DF60" i="36"/>
  <c r="DL59" i="36"/>
  <c r="DK59" i="36"/>
  <c r="DJ59" i="36"/>
  <c r="DI59" i="36"/>
  <c r="DH59" i="36"/>
  <c r="DG59" i="36"/>
  <c r="DF59" i="36"/>
  <c r="DL58" i="36"/>
  <c r="DK58" i="36"/>
  <c r="DJ58" i="36"/>
  <c r="DI58" i="36"/>
  <c r="DH58" i="36"/>
  <c r="DG58" i="36"/>
  <c r="DF58" i="36"/>
  <c r="DL57" i="36"/>
  <c r="DK57" i="36"/>
  <c r="DJ57" i="36"/>
  <c r="DI57" i="36"/>
  <c r="DH57" i="36"/>
  <c r="DG57" i="36"/>
  <c r="DF57" i="36"/>
  <c r="DL56" i="36"/>
  <c r="DK56" i="36"/>
  <c r="DJ56" i="36"/>
  <c r="DI56" i="36"/>
  <c r="DH56" i="36"/>
  <c r="DG56" i="36"/>
  <c r="DF56" i="36"/>
  <c r="DL55" i="36"/>
  <c r="DK55" i="36"/>
  <c r="DJ55" i="36"/>
  <c r="DI55" i="36"/>
  <c r="DH55" i="36"/>
  <c r="DG55" i="36"/>
  <c r="DF55" i="36"/>
  <c r="DL54" i="36"/>
  <c r="DK54" i="36"/>
  <c r="DJ54" i="36"/>
  <c r="DI54" i="36"/>
  <c r="DH54" i="36"/>
  <c r="DG54" i="36"/>
  <c r="DF54" i="36"/>
  <c r="DL53" i="36"/>
  <c r="DK53" i="36"/>
  <c r="DJ53" i="36"/>
  <c r="DI53" i="36"/>
  <c r="DH53" i="36"/>
  <c r="DG53" i="36"/>
  <c r="DF53" i="36"/>
  <c r="DL52" i="36"/>
  <c r="DK52" i="36"/>
  <c r="DJ52" i="36"/>
  <c r="DI52" i="36"/>
  <c r="DH52" i="36"/>
  <c r="DG52" i="36"/>
  <c r="DF52" i="36"/>
  <c r="DL51" i="36"/>
  <c r="DK51" i="36"/>
  <c r="DJ51" i="36"/>
  <c r="DI51" i="36"/>
  <c r="DH51" i="36"/>
  <c r="DG51" i="36"/>
  <c r="DF51" i="36"/>
  <c r="DL50" i="36"/>
  <c r="DK50" i="36"/>
  <c r="DJ50" i="36"/>
  <c r="DI50" i="36"/>
  <c r="DH50" i="36"/>
  <c r="DG50" i="36"/>
  <c r="DF50" i="36"/>
  <c r="DL49" i="36"/>
  <c r="DK49" i="36"/>
  <c r="DJ49" i="36"/>
  <c r="DI49" i="36"/>
  <c r="DH49" i="36"/>
  <c r="DG49" i="36"/>
  <c r="DF49" i="36"/>
  <c r="DL48" i="36"/>
  <c r="DK48" i="36"/>
  <c r="DJ48" i="36"/>
  <c r="DI48" i="36"/>
  <c r="DH48" i="36"/>
  <c r="DG48" i="36"/>
  <c r="DF48" i="36"/>
  <c r="DL47" i="36"/>
  <c r="DK47" i="36"/>
  <c r="DJ47" i="36"/>
  <c r="DI47" i="36"/>
  <c r="DH47" i="36"/>
  <c r="DG47" i="36"/>
  <c r="DF47" i="36"/>
  <c r="DL46" i="36"/>
  <c r="DK46" i="36"/>
  <c r="DJ46" i="36"/>
  <c r="DI46" i="36"/>
  <c r="DH46" i="36"/>
  <c r="DG46" i="36"/>
  <c r="DF46" i="36"/>
  <c r="DL45" i="36"/>
  <c r="DK45" i="36"/>
  <c r="DJ45" i="36"/>
  <c r="DI45" i="36"/>
  <c r="DH45" i="36"/>
  <c r="DG45" i="36"/>
  <c r="DF45" i="36"/>
  <c r="DL44" i="36"/>
  <c r="DK44" i="36"/>
  <c r="DJ44" i="36"/>
  <c r="DI44" i="36"/>
  <c r="DH44" i="36"/>
  <c r="DG44" i="36"/>
  <c r="DF44" i="36"/>
  <c r="DL43" i="36"/>
  <c r="DK43" i="36"/>
  <c r="DJ43" i="36"/>
  <c r="DI43" i="36"/>
  <c r="DH43" i="36"/>
  <c r="DG43" i="36"/>
  <c r="DF43" i="36"/>
  <c r="DL42" i="36"/>
  <c r="DK42" i="36"/>
  <c r="DJ42" i="36"/>
  <c r="DI42" i="36"/>
  <c r="DH42" i="36"/>
  <c r="DG42" i="36"/>
  <c r="DF42" i="36"/>
  <c r="DL41" i="36"/>
  <c r="DK41" i="36"/>
  <c r="DJ41" i="36"/>
  <c r="DI41" i="36"/>
  <c r="DH41" i="36"/>
  <c r="DG41" i="36"/>
  <c r="DF41" i="36"/>
  <c r="DL40" i="36"/>
  <c r="DK40" i="36"/>
  <c r="DJ40" i="36"/>
  <c r="DI40" i="36"/>
  <c r="DH40" i="36"/>
  <c r="DG40" i="36"/>
  <c r="DF40" i="36"/>
  <c r="DL39" i="36"/>
  <c r="DK39" i="36"/>
  <c r="DJ39" i="36"/>
  <c r="DI39" i="36"/>
  <c r="DH39" i="36"/>
  <c r="DG39" i="36"/>
  <c r="DF39" i="36"/>
  <c r="DL38" i="36"/>
  <c r="DK38" i="36"/>
  <c r="DJ38" i="36"/>
  <c r="DI38" i="36"/>
  <c r="DH38" i="36"/>
  <c r="DG38" i="36"/>
  <c r="DF38" i="36"/>
  <c r="DL37" i="36"/>
  <c r="DK37" i="36"/>
  <c r="DJ37" i="36"/>
  <c r="DI37" i="36"/>
  <c r="DH37" i="36"/>
  <c r="DG37" i="36"/>
  <c r="DF37" i="36"/>
  <c r="DL36" i="36"/>
  <c r="DK36" i="36"/>
  <c r="DJ36" i="36"/>
  <c r="DI36" i="36"/>
  <c r="DH36" i="36"/>
  <c r="DG36" i="36"/>
  <c r="DF36" i="36"/>
  <c r="DL35" i="36"/>
  <c r="DK35" i="36"/>
  <c r="DJ35" i="36"/>
  <c r="DI35" i="36"/>
  <c r="DH35" i="36"/>
  <c r="DG35" i="36"/>
  <c r="DF35" i="36"/>
  <c r="DL34" i="36"/>
  <c r="DK34" i="36"/>
  <c r="DJ34" i="36"/>
  <c r="DI34" i="36"/>
  <c r="DH34" i="36"/>
  <c r="DG34" i="36"/>
  <c r="DF34" i="36"/>
  <c r="DL33" i="36"/>
  <c r="DK33" i="36"/>
  <c r="DJ33" i="36"/>
  <c r="DI33" i="36"/>
  <c r="DH33" i="36"/>
  <c r="DG33" i="36"/>
  <c r="DF33" i="36"/>
  <c r="DL32" i="36"/>
  <c r="DK32" i="36"/>
  <c r="DJ32" i="36"/>
  <c r="DI32" i="36"/>
  <c r="DH32" i="36"/>
  <c r="DG32" i="36"/>
  <c r="DF32" i="36"/>
  <c r="DL31" i="36"/>
  <c r="DK31" i="36"/>
  <c r="DJ31" i="36"/>
  <c r="DI31" i="36"/>
  <c r="DH31" i="36"/>
  <c r="DG31" i="36"/>
  <c r="DF31" i="36"/>
  <c r="DL30" i="36"/>
  <c r="DK30" i="36"/>
  <c r="DJ30" i="36"/>
  <c r="DI30" i="36"/>
  <c r="DH30" i="36"/>
  <c r="DG30" i="36"/>
  <c r="DF30" i="36"/>
  <c r="DL29" i="36"/>
  <c r="DK29" i="36"/>
  <c r="DJ29" i="36"/>
  <c r="DI29" i="36"/>
  <c r="DH29" i="36"/>
  <c r="DG29" i="36"/>
  <c r="DF29" i="36"/>
  <c r="CT29" i="36"/>
  <c r="CS29" i="36" s="1"/>
  <c r="DL28" i="36"/>
  <c r="DK28" i="36"/>
  <c r="DJ28" i="36"/>
  <c r="DI28" i="36"/>
  <c r="DH28" i="36"/>
  <c r="DG28" i="36"/>
  <c r="DF28" i="36"/>
  <c r="CT28" i="36"/>
  <c r="CS28" i="36"/>
  <c r="DL27" i="36"/>
  <c r="DK27" i="36"/>
  <c r="DJ27" i="36"/>
  <c r="DI27" i="36"/>
  <c r="DH27" i="36"/>
  <c r="DG27" i="36"/>
  <c r="DF27" i="36"/>
  <c r="CT27" i="36"/>
  <c r="CS27" i="36"/>
  <c r="DL26" i="36"/>
  <c r="DK26" i="36"/>
  <c r="DJ26" i="36"/>
  <c r="DI26" i="36"/>
  <c r="DH26" i="36"/>
  <c r="DG26" i="36"/>
  <c r="DF26" i="36"/>
  <c r="CT26" i="36"/>
  <c r="CS26" i="36"/>
  <c r="DL25" i="36"/>
  <c r="DK25" i="36"/>
  <c r="DJ25" i="36"/>
  <c r="DI25" i="36"/>
  <c r="DH25" i="36"/>
  <c r="DG25" i="36"/>
  <c r="DF25" i="36"/>
  <c r="CT25" i="36"/>
  <c r="CS25" i="36"/>
  <c r="DL24" i="36"/>
  <c r="DK24" i="36"/>
  <c r="DJ24" i="36"/>
  <c r="DI24" i="36"/>
  <c r="DH24" i="36"/>
  <c r="DG24" i="36"/>
  <c r="DF24" i="36"/>
  <c r="CT24" i="36"/>
  <c r="CS24" i="36"/>
  <c r="DL23" i="36"/>
  <c r="DK23" i="36"/>
  <c r="DJ23" i="36"/>
  <c r="DI23" i="36"/>
  <c r="DH23" i="36"/>
  <c r="DG23" i="36"/>
  <c r="DF23" i="36"/>
  <c r="CT23" i="36"/>
  <c r="CS23" i="36"/>
  <c r="DL22" i="36"/>
  <c r="DK22" i="36"/>
  <c r="DJ22" i="36"/>
  <c r="DI22" i="36"/>
  <c r="DH22" i="36"/>
  <c r="DG22" i="36"/>
  <c r="DF22" i="36"/>
  <c r="CT22" i="36"/>
  <c r="CS22" i="36"/>
  <c r="DL21" i="36"/>
  <c r="DK21" i="36"/>
  <c r="DJ21" i="36"/>
  <c r="DI21" i="36"/>
  <c r="DH21" i="36"/>
  <c r="DG21" i="36"/>
  <c r="DF21" i="36"/>
  <c r="CT21" i="36"/>
  <c r="CS21" i="36"/>
  <c r="DL20" i="36"/>
  <c r="DK20" i="36"/>
  <c r="DJ20" i="36"/>
  <c r="DI20" i="36"/>
  <c r="DH20" i="36"/>
  <c r="DG20" i="36"/>
  <c r="DF20" i="36"/>
  <c r="CT20" i="36"/>
  <c r="CS20" i="36"/>
  <c r="DL19" i="36"/>
  <c r="DK19" i="36"/>
  <c r="DJ19" i="36"/>
  <c r="DI19" i="36"/>
  <c r="DH19" i="36"/>
  <c r="DG19" i="36"/>
  <c r="DF19" i="36"/>
  <c r="CT19" i="36"/>
  <c r="CS19" i="36"/>
  <c r="DL18" i="36"/>
  <c r="DK18" i="36"/>
  <c r="DJ18" i="36"/>
  <c r="DI18" i="36"/>
  <c r="DH18" i="36"/>
  <c r="DG18" i="36"/>
  <c r="DF18" i="36"/>
  <c r="CT18" i="36"/>
  <c r="CS18" i="36"/>
  <c r="DL17" i="36"/>
  <c r="DK17" i="36"/>
  <c r="DJ17" i="36"/>
  <c r="DI17" i="36"/>
  <c r="DH17" i="36"/>
  <c r="DG17" i="36"/>
  <c r="DF17" i="36"/>
  <c r="CT17" i="36"/>
  <c r="CS17" i="36"/>
  <c r="DL16" i="36"/>
  <c r="DK16" i="36"/>
  <c r="DJ16" i="36"/>
  <c r="DI16" i="36"/>
  <c r="DH16" i="36"/>
  <c r="DG16" i="36"/>
  <c r="DF16" i="36"/>
  <c r="CT16" i="36"/>
  <c r="CS16" i="36"/>
  <c r="DL15" i="36"/>
  <c r="DK15" i="36"/>
  <c r="DJ15" i="36"/>
  <c r="DI15" i="36"/>
  <c r="DH15" i="36"/>
  <c r="DG15" i="36"/>
  <c r="DF15" i="36"/>
  <c r="CT15" i="36"/>
  <c r="CS15" i="36"/>
  <c r="DL14" i="36"/>
  <c r="DK14" i="36"/>
  <c r="DJ14" i="36"/>
  <c r="DI14" i="36"/>
  <c r="DH14" i="36"/>
  <c r="DG14" i="36"/>
  <c r="DF14" i="36"/>
  <c r="CT14" i="36"/>
  <c r="CS14" i="36"/>
  <c r="DL13" i="36"/>
  <c r="DK13" i="36"/>
  <c r="DJ13" i="36"/>
  <c r="DI13" i="36"/>
  <c r="DH13" i="36"/>
  <c r="DG13" i="36"/>
  <c r="DF13" i="36"/>
  <c r="CT13" i="36"/>
  <c r="CS13" i="36"/>
  <c r="DL12" i="36"/>
  <c r="DK12" i="36"/>
  <c r="DJ12" i="36"/>
  <c r="DI12" i="36"/>
  <c r="DH12" i="36"/>
  <c r="DG12" i="36"/>
  <c r="DF12" i="36"/>
  <c r="CT12" i="36"/>
  <c r="CS12" i="36"/>
  <c r="DL11" i="36"/>
  <c r="DK11" i="36"/>
  <c r="DJ11" i="36"/>
  <c r="DI11" i="36"/>
  <c r="DH11" i="36"/>
  <c r="DG11" i="36"/>
  <c r="DF11" i="36"/>
  <c r="CT11" i="36"/>
  <c r="CS11" i="36"/>
  <c r="DL10" i="36"/>
  <c r="DK10" i="36"/>
  <c r="DJ10" i="36"/>
  <c r="DI10" i="36"/>
  <c r="DH10" i="36"/>
  <c r="DG10" i="36"/>
  <c r="DF10" i="36"/>
  <c r="CT10" i="36"/>
  <c r="CS10" i="36"/>
  <c r="DL9" i="36"/>
  <c r="DK9" i="36"/>
  <c r="DJ9" i="36"/>
  <c r="DI9" i="36"/>
  <c r="DH9" i="36"/>
  <c r="DG9" i="36"/>
  <c r="DF9" i="36"/>
  <c r="CT9" i="36"/>
  <c r="CS9" i="36"/>
  <c r="DL8" i="36"/>
  <c r="DK8" i="36"/>
  <c r="DJ8" i="36"/>
  <c r="DI8" i="36"/>
  <c r="DH8" i="36"/>
  <c r="DG8" i="36"/>
  <c r="DF8" i="36"/>
  <c r="CT8" i="36"/>
  <c r="CS8" i="36"/>
  <c r="DL7" i="36"/>
  <c r="DK7" i="36"/>
  <c r="DJ7" i="36"/>
  <c r="DI7" i="36"/>
  <c r="DH7" i="36"/>
  <c r="DG7" i="36"/>
  <c r="DF7" i="36"/>
  <c r="CT7" i="36"/>
  <c r="CS7" i="36"/>
  <c r="DL6" i="36"/>
  <c r="DK6" i="36"/>
  <c r="DJ6" i="36"/>
  <c r="DI6" i="36"/>
  <c r="DH6" i="36"/>
  <c r="DG6" i="36"/>
  <c r="DF6" i="36"/>
  <c r="CT6" i="36"/>
  <c r="CS6" i="36"/>
  <c r="DL5" i="36"/>
  <c r="DK5" i="36"/>
  <c r="DJ5" i="36"/>
  <c r="DI5" i="36"/>
  <c r="DH5" i="36"/>
  <c r="DG5" i="36"/>
  <c r="DF5" i="36"/>
  <c r="CT5" i="36"/>
  <c r="CS5" i="36"/>
  <c r="DL4" i="36"/>
  <c r="DK4" i="36"/>
  <c r="DJ4" i="36"/>
  <c r="DI4" i="36"/>
  <c r="DH4" i="36"/>
  <c r="DG4" i="36"/>
  <c r="DF4" i="36"/>
  <c r="CT4" i="36"/>
  <c r="CS4" i="36"/>
  <c r="AW9" i="59"/>
  <c r="CR28" i="36" l="1"/>
  <c r="CR20" i="36"/>
  <c r="CR12" i="36"/>
  <c r="CR4" i="36"/>
  <c r="CR8" i="36"/>
  <c r="CR29" i="36"/>
  <c r="CR21" i="36"/>
  <c r="CR13" i="36"/>
  <c r="CR5" i="36"/>
  <c r="CR9" i="36"/>
  <c r="CR17" i="36"/>
  <c r="CR22" i="36"/>
  <c r="CR14" i="36"/>
  <c r="CR6" i="36"/>
  <c r="CR16" i="36"/>
  <c r="CR19" i="36"/>
  <c r="CR23" i="36"/>
  <c r="CR15" i="36"/>
  <c r="CR7" i="36"/>
  <c r="CR24" i="36"/>
  <c r="CR25" i="36"/>
  <c r="CR11" i="36"/>
  <c r="CR26" i="36"/>
  <c r="CR18" i="36"/>
  <c r="CR10" i="36"/>
  <c r="CR27" i="36"/>
  <c r="T5" i="59"/>
  <c r="U5" i="59"/>
  <c r="V5" i="59"/>
  <c r="W5" i="59"/>
  <c r="X5" i="59"/>
  <c r="Y5" i="59"/>
  <c r="Z5" i="59"/>
  <c r="T6" i="59"/>
  <c r="U6" i="59"/>
  <c r="V6" i="59"/>
  <c r="W6" i="59"/>
  <c r="X6" i="59"/>
  <c r="Y6" i="59"/>
  <c r="Z6" i="59"/>
  <c r="T7" i="59"/>
  <c r="U7" i="59"/>
  <c r="V7" i="59"/>
  <c r="W7" i="59"/>
  <c r="X7" i="59"/>
  <c r="Y7" i="59"/>
  <c r="Z7" i="59"/>
  <c r="T8" i="59"/>
  <c r="U8" i="59"/>
  <c r="V8" i="59"/>
  <c r="W8" i="59"/>
  <c r="X8" i="59"/>
  <c r="Y8" i="59"/>
  <c r="Z8" i="59"/>
  <c r="T9" i="59"/>
  <c r="U9" i="59"/>
  <c r="V9" i="59"/>
  <c r="W9" i="59"/>
  <c r="X9" i="59"/>
  <c r="Y9" i="59"/>
  <c r="Z9" i="59"/>
  <c r="T10" i="59"/>
  <c r="U10" i="59"/>
  <c r="V10" i="59"/>
  <c r="W10" i="59"/>
  <c r="X10" i="59"/>
  <c r="Y10" i="59"/>
  <c r="Z10" i="59"/>
  <c r="T11" i="59"/>
  <c r="U11" i="59"/>
  <c r="V11" i="59"/>
  <c r="W11" i="59"/>
  <c r="X11" i="59"/>
  <c r="Y11" i="59"/>
  <c r="Z11" i="59"/>
  <c r="T12" i="59"/>
  <c r="U12" i="59"/>
  <c r="V12" i="59"/>
  <c r="W12" i="59"/>
  <c r="X12" i="59"/>
  <c r="Y12" i="59"/>
  <c r="Z12" i="59"/>
  <c r="T13" i="59"/>
  <c r="U13" i="59"/>
  <c r="V13" i="59"/>
  <c r="W13" i="59"/>
  <c r="X13" i="59"/>
  <c r="Y13" i="59"/>
  <c r="Z13" i="59"/>
  <c r="T14" i="59"/>
  <c r="U14" i="59"/>
  <c r="V14" i="59"/>
  <c r="W14" i="59"/>
  <c r="X14" i="59"/>
  <c r="Y14" i="59"/>
  <c r="Z14" i="59"/>
  <c r="T15" i="59"/>
  <c r="U15" i="59"/>
  <c r="V15" i="59"/>
  <c r="W15" i="59"/>
  <c r="X15" i="59"/>
  <c r="Y15" i="59"/>
  <c r="Z15" i="59"/>
  <c r="T16" i="59"/>
  <c r="U16" i="59"/>
  <c r="V16" i="59"/>
  <c r="W16" i="59"/>
  <c r="X16" i="59"/>
  <c r="Y16" i="59"/>
  <c r="Z16" i="59"/>
  <c r="T17" i="59"/>
  <c r="U17" i="59"/>
  <c r="V17" i="59"/>
  <c r="W17" i="59"/>
  <c r="X17" i="59"/>
  <c r="Y17" i="59"/>
  <c r="Z17" i="59"/>
  <c r="T18" i="59"/>
  <c r="U18" i="59"/>
  <c r="V18" i="59"/>
  <c r="W18" i="59"/>
  <c r="X18" i="59"/>
  <c r="Y18" i="59"/>
  <c r="Z18" i="59"/>
  <c r="T19" i="59"/>
  <c r="U19" i="59"/>
  <c r="V19" i="59"/>
  <c r="W19" i="59"/>
  <c r="X19" i="59"/>
  <c r="Y19" i="59"/>
  <c r="Z19" i="59"/>
  <c r="T20" i="59"/>
  <c r="U20" i="59"/>
  <c r="V20" i="59"/>
  <c r="W20" i="59"/>
  <c r="X20" i="59"/>
  <c r="Y20" i="59"/>
  <c r="Z20" i="59"/>
  <c r="T21" i="59"/>
  <c r="U21" i="59"/>
  <c r="V21" i="59"/>
  <c r="W21" i="59"/>
  <c r="X21" i="59"/>
  <c r="Y21" i="59"/>
  <c r="Z21" i="59"/>
  <c r="T22" i="59"/>
  <c r="U22" i="59"/>
  <c r="V22" i="59"/>
  <c r="W22" i="59"/>
  <c r="X22" i="59"/>
  <c r="Y22" i="59"/>
  <c r="Z22" i="59"/>
  <c r="T23" i="59"/>
  <c r="U23" i="59"/>
  <c r="V23" i="59"/>
  <c r="W23" i="59"/>
  <c r="X23" i="59"/>
  <c r="Y23" i="59"/>
  <c r="Z23" i="59"/>
  <c r="T24" i="59"/>
  <c r="U24" i="59"/>
  <c r="V24" i="59"/>
  <c r="W24" i="59"/>
  <c r="X24" i="59"/>
  <c r="Y24" i="59"/>
  <c r="Z24" i="59"/>
  <c r="T25" i="59"/>
  <c r="U25" i="59"/>
  <c r="V25" i="59"/>
  <c r="W25" i="59"/>
  <c r="X25" i="59"/>
  <c r="Y25" i="59"/>
  <c r="Z25" i="59"/>
  <c r="T26" i="59"/>
  <c r="U26" i="59"/>
  <c r="V26" i="59"/>
  <c r="W26" i="59"/>
  <c r="X26" i="59"/>
  <c r="Y26" i="59"/>
  <c r="Z26" i="59"/>
  <c r="T27" i="59"/>
  <c r="U27" i="59"/>
  <c r="V27" i="59"/>
  <c r="W27" i="59"/>
  <c r="X27" i="59"/>
  <c r="Y27" i="59"/>
  <c r="Z27" i="59"/>
  <c r="T28" i="59"/>
  <c r="U28" i="59"/>
  <c r="V28" i="59"/>
  <c r="W28" i="59"/>
  <c r="X28" i="59"/>
  <c r="Y28" i="59"/>
  <c r="Z28" i="59"/>
  <c r="T29" i="59"/>
  <c r="U29" i="59"/>
  <c r="V29" i="59"/>
  <c r="W29" i="59"/>
  <c r="X29" i="59"/>
  <c r="Y29" i="59"/>
  <c r="Z29" i="59"/>
  <c r="T30" i="59"/>
  <c r="U30" i="59"/>
  <c r="V30" i="59"/>
  <c r="W30" i="59"/>
  <c r="X30" i="59"/>
  <c r="Y30" i="59"/>
  <c r="Z30" i="59"/>
  <c r="T31" i="59"/>
  <c r="U31" i="59"/>
  <c r="V31" i="59"/>
  <c r="W31" i="59"/>
  <c r="X31" i="59"/>
  <c r="Y31" i="59"/>
  <c r="Z31" i="59"/>
  <c r="T32" i="59"/>
  <c r="U32" i="59"/>
  <c r="V32" i="59"/>
  <c r="W32" i="59"/>
  <c r="X32" i="59"/>
  <c r="Y32" i="59"/>
  <c r="Z32" i="59"/>
  <c r="T33" i="59"/>
  <c r="U33" i="59"/>
  <c r="V33" i="59"/>
  <c r="W33" i="59"/>
  <c r="X33" i="59"/>
  <c r="Y33" i="59"/>
  <c r="Z33" i="59"/>
  <c r="T34" i="59"/>
  <c r="U34" i="59"/>
  <c r="V34" i="59"/>
  <c r="W34" i="59"/>
  <c r="X34" i="59"/>
  <c r="Y34" i="59"/>
  <c r="Z34" i="59"/>
  <c r="T35" i="59"/>
  <c r="U35" i="59"/>
  <c r="V35" i="59"/>
  <c r="W35" i="59"/>
  <c r="X35" i="59"/>
  <c r="Y35" i="59"/>
  <c r="Z35" i="59"/>
  <c r="T36" i="59"/>
  <c r="U36" i="59"/>
  <c r="V36" i="59"/>
  <c r="W36" i="59"/>
  <c r="X36" i="59"/>
  <c r="Y36" i="59"/>
  <c r="Z36" i="59"/>
  <c r="T37" i="59"/>
  <c r="U37" i="59"/>
  <c r="V37" i="59"/>
  <c r="W37" i="59"/>
  <c r="X37" i="59"/>
  <c r="Y37" i="59"/>
  <c r="Z37" i="59"/>
  <c r="T38" i="59"/>
  <c r="U38" i="59"/>
  <c r="V38" i="59"/>
  <c r="W38" i="59"/>
  <c r="X38" i="59"/>
  <c r="Y38" i="59"/>
  <c r="Z38" i="59"/>
  <c r="T39" i="59"/>
  <c r="U39" i="59"/>
  <c r="V39" i="59"/>
  <c r="W39" i="59"/>
  <c r="X39" i="59"/>
  <c r="Y39" i="59"/>
  <c r="Z39" i="59"/>
  <c r="T40" i="59"/>
  <c r="U40" i="59"/>
  <c r="V40" i="59"/>
  <c r="W40" i="59"/>
  <c r="X40" i="59"/>
  <c r="Y40" i="59"/>
  <c r="Z40" i="59"/>
  <c r="T41" i="59"/>
  <c r="U41" i="59"/>
  <c r="V41" i="59"/>
  <c r="W41" i="59"/>
  <c r="X41" i="59"/>
  <c r="Y41" i="59"/>
  <c r="Z41" i="59"/>
  <c r="T42" i="59"/>
  <c r="U42" i="59"/>
  <c r="V42" i="59"/>
  <c r="W42" i="59"/>
  <c r="X42" i="59"/>
  <c r="Y42" i="59"/>
  <c r="Z42" i="59"/>
  <c r="T43" i="59"/>
  <c r="U43" i="59"/>
  <c r="V43" i="59"/>
  <c r="W43" i="59"/>
  <c r="X43" i="59"/>
  <c r="Y43" i="59"/>
  <c r="Z43" i="59"/>
  <c r="T44" i="59"/>
  <c r="U44" i="59"/>
  <c r="V44" i="59"/>
  <c r="W44" i="59"/>
  <c r="X44" i="59"/>
  <c r="Y44" i="59"/>
  <c r="Z44" i="59"/>
  <c r="T45" i="59"/>
  <c r="U45" i="59"/>
  <c r="V45" i="59"/>
  <c r="W45" i="59"/>
  <c r="X45" i="59"/>
  <c r="Y45" i="59"/>
  <c r="Z45" i="59"/>
  <c r="T46" i="59"/>
  <c r="U46" i="59"/>
  <c r="V46" i="59"/>
  <c r="W46" i="59"/>
  <c r="X46" i="59"/>
  <c r="Y46" i="59"/>
  <c r="Z46" i="59"/>
  <c r="T47" i="59"/>
  <c r="U47" i="59"/>
  <c r="V47" i="59"/>
  <c r="W47" i="59"/>
  <c r="X47" i="59"/>
  <c r="Y47" i="59"/>
  <c r="Z47" i="59"/>
  <c r="T48" i="59"/>
  <c r="U48" i="59"/>
  <c r="V48" i="59"/>
  <c r="W48" i="59"/>
  <c r="X48" i="59"/>
  <c r="Y48" i="59"/>
  <c r="Z48" i="59"/>
  <c r="T49" i="59"/>
  <c r="U49" i="59"/>
  <c r="V49" i="59"/>
  <c r="W49" i="59"/>
  <c r="X49" i="59"/>
  <c r="Y49" i="59"/>
  <c r="Z49" i="59"/>
  <c r="T50" i="59"/>
  <c r="U50" i="59"/>
  <c r="V50" i="59"/>
  <c r="W50" i="59"/>
  <c r="X50" i="59"/>
  <c r="Y50" i="59"/>
  <c r="Z50" i="59"/>
  <c r="T51" i="59"/>
  <c r="U51" i="59"/>
  <c r="V51" i="59"/>
  <c r="W51" i="59"/>
  <c r="X51" i="59"/>
  <c r="Y51" i="59"/>
  <c r="Z51" i="59"/>
  <c r="T52" i="59"/>
  <c r="U52" i="59"/>
  <c r="V52" i="59"/>
  <c r="W52" i="59"/>
  <c r="X52" i="59"/>
  <c r="Y52" i="59"/>
  <c r="Z52" i="59"/>
  <c r="T53" i="59"/>
  <c r="U53" i="59"/>
  <c r="V53" i="59"/>
  <c r="W53" i="59"/>
  <c r="X53" i="59"/>
  <c r="Y53" i="59"/>
  <c r="Z53" i="59"/>
  <c r="T54" i="59"/>
  <c r="U54" i="59"/>
  <c r="V54" i="59"/>
  <c r="W54" i="59"/>
  <c r="X54" i="59"/>
  <c r="Y54" i="59"/>
  <c r="Z54" i="59"/>
  <c r="T55" i="59"/>
  <c r="U55" i="59"/>
  <c r="V55" i="59"/>
  <c r="W55" i="59"/>
  <c r="X55" i="59"/>
  <c r="Y55" i="59"/>
  <c r="Z55" i="59"/>
  <c r="T56" i="59"/>
  <c r="U56" i="59"/>
  <c r="V56" i="59"/>
  <c r="W56" i="59"/>
  <c r="X56" i="59"/>
  <c r="Y56" i="59"/>
  <c r="Z56" i="59"/>
  <c r="T57" i="59"/>
  <c r="U57" i="59"/>
  <c r="V57" i="59"/>
  <c r="W57" i="59"/>
  <c r="X57" i="59"/>
  <c r="Y57" i="59"/>
  <c r="Z57" i="59"/>
  <c r="T58" i="59"/>
  <c r="U58" i="59"/>
  <c r="V58" i="59"/>
  <c r="W58" i="59"/>
  <c r="X58" i="59"/>
  <c r="Y58" i="59"/>
  <c r="Z58" i="59"/>
  <c r="T59" i="59"/>
  <c r="U59" i="59"/>
  <c r="V59" i="59"/>
  <c r="W59" i="59"/>
  <c r="X59" i="59"/>
  <c r="Y59" i="59"/>
  <c r="Z59" i="59"/>
  <c r="T60" i="59"/>
  <c r="U60" i="59"/>
  <c r="V60" i="59"/>
  <c r="W60" i="59"/>
  <c r="X60" i="59"/>
  <c r="Y60" i="59"/>
  <c r="Z60" i="59"/>
  <c r="T61" i="59"/>
  <c r="U61" i="59"/>
  <c r="V61" i="59"/>
  <c r="W61" i="59"/>
  <c r="X61" i="59"/>
  <c r="Y61" i="59"/>
  <c r="Z61" i="59"/>
  <c r="T62" i="59"/>
  <c r="U62" i="59"/>
  <c r="V62" i="59"/>
  <c r="W62" i="59"/>
  <c r="X62" i="59"/>
  <c r="Y62" i="59"/>
  <c r="Z62" i="59"/>
  <c r="T63" i="59"/>
  <c r="U63" i="59"/>
  <c r="V63" i="59"/>
  <c r="W63" i="59"/>
  <c r="X63" i="59"/>
  <c r="Y63" i="59"/>
  <c r="Z63" i="59"/>
  <c r="T64" i="59"/>
  <c r="U64" i="59"/>
  <c r="V64" i="59"/>
  <c r="W64" i="59"/>
  <c r="X64" i="59"/>
  <c r="Y64" i="59"/>
  <c r="Z64" i="59"/>
  <c r="T65" i="59"/>
  <c r="U65" i="59"/>
  <c r="V65" i="59"/>
  <c r="W65" i="59"/>
  <c r="X65" i="59"/>
  <c r="Y65" i="59"/>
  <c r="Z65" i="59"/>
  <c r="T66" i="59"/>
  <c r="U66" i="59"/>
  <c r="V66" i="59"/>
  <c r="W66" i="59"/>
  <c r="X66" i="59"/>
  <c r="Y66" i="59"/>
  <c r="Z66" i="59"/>
  <c r="T67" i="59"/>
  <c r="U67" i="59"/>
  <c r="V67" i="59"/>
  <c r="W67" i="59"/>
  <c r="X67" i="59"/>
  <c r="Y67" i="59"/>
  <c r="Z67" i="59"/>
  <c r="T68" i="59"/>
  <c r="U68" i="59"/>
  <c r="V68" i="59"/>
  <c r="W68" i="59"/>
  <c r="X68" i="59"/>
  <c r="Y68" i="59"/>
  <c r="Z68" i="59"/>
  <c r="T69" i="59"/>
  <c r="U69" i="59"/>
  <c r="V69" i="59"/>
  <c r="W69" i="59"/>
  <c r="X69" i="59"/>
  <c r="Y69" i="59"/>
  <c r="Z69" i="59"/>
  <c r="T70" i="59"/>
  <c r="U70" i="59"/>
  <c r="V70" i="59"/>
  <c r="W70" i="59"/>
  <c r="X70" i="59"/>
  <c r="Y70" i="59"/>
  <c r="Z70" i="59"/>
  <c r="T71" i="59"/>
  <c r="U71" i="59"/>
  <c r="V71" i="59"/>
  <c r="W71" i="59"/>
  <c r="X71" i="59"/>
  <c r="Y71" i="59"/>
  <c r="Z71" i="59"/>
  <c r="T72" i="59"/>
  <c r="U72" i="59"/>
  <c r="V72" i="59"/>
  <c r="W72" i="59"/>
  <c r="X72" i="59"/>
  <c r="Y72" i="59"/>
  <c r="Z72" i="59"/>
  <c r="T73" i="59"/>
  <c r="U73" i="59"/>
  <c r="V73" i="59"/>
  <c r="W73" i="59"/>
  <c r="X73" i="59"/>
  <c r="Y73" i="59"/>
  <c r="Z73" i="59"/>
  <c r="T74" i="59"/>
  <c r="U74" i="59"/>
  <c r="V74" i="59"/>
  <c r="W74" i="59"/>
  <c r="X74" i="59"/>
  <c r="Y74" i="59"/>
  <c r="Z74" i="59"/>
  <c r="T75" i="59"/>
  <c r="U75" i="59"/>
  <c r="V75" i="59"/>
  <c r="W75" i="59"/>
  <c r="X75" i="59"/>
  <c r="Y75" i="59"/>
  <c r="Z75" i="59"/>
  <c r="T76" i="59"/>
  <c r="U76" i="59"/>
  <c r="V76" i="59"/>
  <c r="W76" i="59"/>
  <c r="X76" i="59"/>
  <c r="Y76" i="59"/>
  <c r="Z76" i="59"/>
  <c r="T77" i="59"/>
  <c r="U77" i="59"/>
  <c r="V77" i="59"/>
  <c r="W77" i="59"/>
  <c r="X77" i="59"/>
  <c r="Y77" i="59"/>
  <c r="Z77" i="59"/>
  <c r="T78" i="59"/>
  <c r="U78" i="59"/>
  <c r="V78" i="59"/>
  <c r="W78" i="59"/>
  <c r="X78" i="59"/>
  <c r="Y78" i="59"/>
  <c r="Z78" i="59"/>
  <c r="T79" i="59"/>
  <c r="U79" i="59"/>
  <c r="V79" i="59"/>
  <c r="W79" i="59"/>
  <c r="X79" i="59"/>
  <c r="Y79" i="59"/>
  <c r="Z79" i="59"/>
  <c r="T80" i="59"/>
  <c r="U80" i="59"/>
  <c r="V80" i="59"/>
  <c r="W80" i="59"/>
  <c r="X80" i="59"/>
  <c r="Y80" i="59"/>
  <c r="Z80" i="59"/>
  <c r="T81" i="59"/>
  <c r="U81" i="59"/>
  <c r="V81" i="59"/>
  <c r="W81" i="59"/>
  <c r="X81" i="59"/>
  <c r="Y81" i="59"/>
  <c r="Z81" i="59"/>
  <c r="T82" i="59"/>
  <c r="U82" i="59"/>
  <c r="V82" i="59"/>
  <c r="W82" i="59"/>
  <c r="X82" i="59"/>
  <c r="Y82" i="59"/>
  <c r="Z82" i="59"/>
  <c r="T83" i="59"/>
  <c r="U83" i="59"/>
  <c r="V83" i="59"/>
  <c r="W83" i="59"/>
  <c r="X83" i="59"/>
  <c r="Y83" i="59"/>
  <c r="Z83" i="59"/>
  <c r="T84" i="59"/>
  <c r="U84" i="59"/>
  <c r="V84" i="59"/>
  <c r="W84" i="59"/>
  <c r="X84" i="59"/>
  <c r="Y84" i="59"/>
  <c r="Z84" i="59"/>
  <c r="T85" i="59"/>
  <c r="U85" i="59"/>
  <c r="V85" i="59"/>
  <c r="W85" i="59"/>
  <c r="X85" i="59"/>
  <c r="Y85" i="59"/>
  <c r="Z85" i="59"/>
  <c r="T86" i="59"/>
  <c r="U86" i="59"/>
  <c r="V86" i="59"/>
  <c r="W86" i="59"/>
  <c r="X86" i="59"/>
  <c r="Y86" i="59"/>
  <c r="Z86" i="59"/>
  <c r="T87" i="59"/>
  <c r="U87" i="59"/>
  <c r="V87" i="59"/>
  <c r="W87" i="59"/>
  <c r="X87" i="59"/>
  <c r="Y87" i="59"/>
  <c r="Z87" i="59"/>
  <c r="T88" i="59"/>
  <c r="U88" i="59"/>
  <c r="V88" i="59"/>
  <c r="W88" i="59"/>
  <c r="X88" i="59"/>
  <c r="Y88" i="59"/>
  <c r="Z88" i="59"/>
  <c r="T89" i="59"/>
  <c r="U89" i="59"/>
  <c r="V89" i="59"/>
  <c r="W89" i="59"/>
  <c r="X89" i="59"/>
  <c r="Y89" i="59"/>
  <c r="Z89" i="59"/>
  <c r="T90" i="59"/>
  <c r="U90" i="59"/>
  <c r="V90" i="59"/>
  <c r="W90" i="59"/>
  <c r="X90" i="59"/>
  <c r="Y90" i="59"/>
  <c r="Z90" i="59"/>
  <c r="T91" i="59"/>
  <c r="U91" i="59"/>
  <c r="V91" i="59"/>
  <c r="W91" i="59"/>
  <c r="X91" i="59"/>
  <c r="Y91" i="59"/>
  <c r="Z91" i="59"/>
  <c r="T92" i="59"/>
  <c r="U92" i="59"/>
  <c r="V92" i="59"/>
  <c r="W92" i="59"/>
  <c r="X92" i="59"/>
  <c r="Y92" i="59"/>
  <c r="Z92" i="59"/>
  <c r="T93" i="59"/>
  <c r="U93" i="59"/>
  <c r="V93" i="59"/>
  <c r="W93" i="59"/>
  <c r="X93" i="59"/>
  <c r="Y93" i="59"/>
  <c r="Z93" i="59"/>
  <c r="T94" i="59"/>
  <c r="U94" i="59"/>
  <c r="V94" i="59"/>
  <c r="W94" i="59"/>
  <c r="X94" i="59"/>
  <c r="Y94" i="59"/>
  <c r="Z94" i="59"/>
  <c r="T95" i="59"/>
  <c r="U95" i="59"/>
  <c r="V95" i="59"/>
  <c r="W95" i="59"/>
  <c r="X95" i="59"/>
  <c r="Y95" i="59"/>
  <c r="Z95" i="59"/>
  <c r="T96" i="59"/>
  <c r="U96" i="59"/>
  <c r="V96" i="59"/>
  <c r="W96" i="59"/>
  <c r="X96" i="59"/>
  <c r="Y96" i="59"/>
  <c r="Z96" i="59"/>
  <c r="T97" i="59"/>
  <c r="U97" i="59"/>
  <c r="V97" i="59"/>
  <c r="W97" i="59"/>
  <c r="X97" i="59"/>
  <c r="Y97" i="59"/>
  <c r="Z97" i="59"/>
  <c r="T98" i="59"/>
  <c r="U98" i="59"/>
  <c r="V98" i="59"/>
  <c r="W98" i="59"/>
  <c r="X98" i="59"/>
  <c r="Y98" i="59"/>
  <c r="Z98" i="59"/>
  <c r="T99" i="59"/>
  <c r="U99" i="59"/>
  <c r="V99" i="59"/>
  <c r="W99" i="59"/>
  <c r="X99" i="59"/>
  <c r="Y99" i="59"/>
  <c r="Z99" i="59"/>
  <c r="T100" i="59"/>
  <c r="U100" i="59"/>
  <c r="V100" i="59"/>
  <c r="W100" i="59"/>
  <c r="X100" i="59"/>
  <c r="Y100" i="59"/>
  <c r="Z100" i="59"/>
  <c r="T101" i="59"/>
  <c r="U101" i="59"/>
  <c r="V101" i="59"/>
  <c r="W101" i="59"/>
  <c r="X101" i="59"/>
  <c r="Y101" i="59"/>
  <c r="Z101" i="59"/>
  <c r="T102" i="59"/>
  <c r="U102" i="59"/>
  <c r="V102" i="59"/>
  <c r="W102" i="59"/>
  <c r="X102" i="59"/>
  <c r="Y102" i="59"/>
  <c r="Z102" i="59"/>
  <c r="T103" i="59"/>
  <c r="U103" i="59"/>
  <c r="V103" i="59"/>
  <c r="W103" i="59"/>
  <c r="X103" i="59"/>
  <c r="Y103" i="59"/>
  <c r="Z103" i="59"/>
  <c r="T104" i="59"/>
  <c r="U104" i="59"/>
  <c r="V104" i="59"/>
  <c r="W104" i="59"/>
  <c r="X104" i="59"/>
  <c r="Y104" i="59"/>
  <c r="Z104" i="59"/>
  <c r="T105" i="59"/>
  <c r="U105" i="59"/>
  <c r="V105" i="59"/>
  <c r="W105" i="59"/>
  <c r="X105" i="59"/>
  <c r="Y105" i="59"/>
  <c r="Z105" i="59"/>
  <c r="T106" i="59"/>
  <c r="U106" i="59"/>
  <c r="V106" i="59"/>
  <c r="W106" i="59"/>
  <c r="X106" i="59"/>
  <c r="Y106" i="59"/>
  <c r="Z106" i="59"/>
  <c r="T107" i="59"/>
  <c r="U107" i="59"/>
  <c r="V107" i="59"/>
  <c r="W107" i="59"/>
  <c r="X107" i="59"/>
  <c r="Y107" i="59"/>
  <c r="Z107" i="59"/>
  <c r="T108" i="59"/>
  <c r="U108" i="59"/>
  <c r="V108" i="59"/>
  <c r="W108" i="59"/>
  <c r="X108" i="59"/>
  <c r="Y108" i="59"/>
  <c r="Z108" i="59"/>
  <c r="T109" i="59"/>
  <c r="U109" i="59"/>
  <c r="V109" i="59"/>
  <c r="W109" i="59"/>
  <c r="X109" i="59"/>
  <c r="Y109" i="59"/>
  <c r="Z109" i="59"/>
  <c r="T110" i="59"/>
  <c r="U110" i="59"/>
  <c r="V110" i="59"/>
  <c r="W110" i="59"/>
  <c r="X110" i="59"/>
  <c r="Y110" i="59"/>
  <c r="Z110" i="59"/>
  <c r="T111" i="59"/>
  <c r="U111" i="59"/>
  <c r="V111" i="59"/>
  <c r="W111" i="59"/>
  <c r="X111" i="59"/>
  <c r="Y111" i="59"/>
  <c r="Z111" i="59"/>
  <c r="T112" i="59"/>
  <c r="U112" i="59"/>
  <c r="V112" i="59"/>
  <c r="W112" i="59"/>
  <c r="X112" i="59"/>
  <c r="Y112" i="59"/>
  <c r="Z112" i="59"/>
  <c r="T113" i="59"/>
  <c r="U113" i="59"/>
  <c r="V113" i="59"/>
  <c r="W113" i="59"/>
  <c r="X113" i="59"/>
  <c r="Y113" i="59"/>
  <c r="Z113" i="59"/>
  <c r="T114" i="59"/>
  <c r="U114" i="59"/>
  <c r="V114" i="59"/>
  <c r="W114" i="59"/>
  <c r="X114" i="59"/>
  <c r="Y114" i="59"/>
  <c r="Z114" i="59"/>
  <c r="T115" i="59"/>
  <c r="U115" i="59"/>
  <c r="V115" i="59"/>
  <c r="W115" i="59"/>
  <c r="X115" i="59"/>
  <c r="Y115" i="59"/>
  <c r="Z115" i="59"/>
  <c r="T116" i="59"/>
  <c r="U116" i="59"/>
  <c r="V116" i="59"/>
  <c r="W116" i="59"/>
  <c r="X116" i="59"/>
  <c r="Y116" i="59"/>
  <c r="Z116" i="59"/>
  <c r="T117" i="59"/>
  <c r="U117" i="59"/>
  <c r="V117" i="59"/>
  <c r="W117" i="59"/>
  <c r="X117" i="59"/>
  <c r="Y117" i="59"/>
  <c r="Z117" i="59"/>
  <c r="T118" i="59"/>
  <c r="U118" i="59"/>
  <c r="V118" i="59"/>
  <c r="W118" i="59"/>
  <c r="X118" i="59"/>
  <c r="Y118" i="59"/>
  <c r="Z118" i="59"/>
  <c r="T119" i="59"/>
  <c r="U119" i="59"/>
  <c r="V119" i="59"/>
  <c r="W119" i="59"/>
  <c r="X119" i="59"/>
  <c r="Y119" i="59"/>
  <c r="Z119" i="59"/>
  <c r="T120" i="59"/>
  <c r="U120" i="59"/>
  <c r="V120" i="59"/>
  <c r="W120" i="59"/>
  <c r="X120" i="59"/>
  <c r="Y120" i="59"/>
  <c r="Z120" i="59"/>
  <c r="T121" i="59"/>
  <c r="U121" i="59"/>
  <c r="V121" i="59"/>
  <c r="W121" i="59"/>
  <c r="X121" i="59"/>
  <c r="Y121" i="59"/>
  <c r="Z121" i="59"/>
  <c r="T122" i="59"/>
  <c r="U122" i="59"/>
  <c r="V122" i="59"/>
  <c r="W122" i="59"/>
  <c r="X122" i="59"/>
  <c r="Y122" i="59"/>
  <c r="Z122" i="59"/>
  <c r="T123" i="59"/>
  <c r="U123" i="59"/>
  <c r="V123" i="59"/>
  <c r="W123" i="59"/>
  <c r="X123" i="59"/>
  <c r="Y123" i="59"/>
  <c r="Z123" i="59"/>
  <c r="T124" i="59"/>
  <c r="U124" i="59"/>
  <c r="V124" i="59"/>
  <c r="W124" i="59"/>
  <c r="X124" i="59"/>
  <c r="Y124" i="59"/>
  <c r="Z124" i="59"/>
  <c r="U4" i="59"/>
  <c r="V4" i="59"/>
  <c r="W4" i="59"/>
  <c r="X4" i="59"/>
  <c r="Y4" i="59"/>
  <c r="Z4" i="59"/>
  <c r="BM5" i="59"/>
  <c r="BN5" i="59"/>
  <c r="BO5" i="59"/>
  <c r="BP5" i="59"/>
  <c r="BQ5" i="59"/>
  <c r="BR5" i="59"/>
  <c r="BS5" i="59"/>
  <c r="BM6" i="59"/>
  <c r="BN6" i="59"/>
  <c r="BO6" i="59"/>
  <c r="BP6" i="59"/>
  <c r="BQ6" i="59"/>
  <c r="BR6" i="59"/>
  <c r="BS6" i="59"/>
  <c r="BM7" i="59"/>
  <c r="BN7" i="59"/>
  <c r="BO7" i="59"/>
  <c r="BP7" i="59"/>
  <c r="BQ7" i="59"/>
  <c r="BR7" i="59"/>
  <c r="BS7" i="59"/>
  <c r="BM8" i="59"/>
  <c r="BN8" i="59"/>
  <c r="BO8" i="59"/>
  <c r="BP8" i="59"/>
  <c r="BQ8" i="59"/>
  <c r="BR8" i="59"/>
  <c r="BS8" i="59"/>
  <c r="BM9" i="59"/>
  <c r="BN9" i="59"/>
  <c r="BO9" i="59"/>
  <c r="BP9" i="59"/>
  <c r="BQ9" i="59"/>
  <c r="BR9" i="59"/>
  <c r="BS9" i="59"/>
  <c r="BM10" i="59"/>
  <c r="BN10" i="59"/>
  <c r="BO10" i="59"/>
  <c r="BP10" i="59"/>
  <c r="BQ10" i="59"/>
  <c r="BR10" i="59"/>
  <c r="BS10" i="59"/>
  <c r="BM11" i="59"/>
  <c r="BN11" i="59"/>
  <c r="BO11" i="59"/>
  <c r="BP11" i="59"/>
  <c r="BQ11" i="59"/>
  <c r="BR11" i="59"/>
  <c r="BS11" i="59"/>
  <c r="BM12" i="59"/>
  <c r="BN12" i="59"/>
  <c r="BO12" i="59"/>
  <c r="BP12" i="59"/>
  <c r="BQ12" i="59"/>
  <c r="BR12" i="59"/>
  <c r="BS12" i="59"/>
  <c r="BM13" i="59"/>
  <c r="BN13" i="59"/>
  <c r="BO13" i="59"/>
  <c r="BP13" i="59"/>
  <c r="BQ13" i="59"/>
  <c r="BR13" i="59"/>
  <c r="BS13" i="59"/>
  <c r="BM14" i="59"/>
  <c r="BN14" i="59"/>
  <c r="BO14" i="59"/>
  <c r="BP14" i="59"/>
  <c r="BQ14" i="59"/>
  <c r="BR14" i="59"/>
  <c r="BS14" i="59"/>
  <c r="BM15" i="59"/>
  <c r="BN15" i="59"/>
  <c r="BO15" i="59"/>
  <c r="BP15" i="59"/>
  <c r="BQ15" i="59"/>
  <c r="BR15" i="59"/>
  <c r="BS15" i="59"/>
  <c r="BM16" i="59"/>
  <c r="BN16" i="59"/>
  <c r="BO16" i="59"/>
  <c r="BP16" i="59"/>
  <c r="BQ16" i="59"/>
  <c r="BR16" i="59"/>
  <c r="BS16" i="59"/>
  <c r="BM17" i="59"/>
  <c r="BN17" i="59"/>
  <c r="BO17" i="59"/>
  <c r="BP17" i="59"/>
  <c r="BQ17" i="59"/>
  <c r="BR17" i="59"/>
  <c r="BS17" i="59"/>
  <c r="BM18" i="59"/>
  <c r="BN18" i="59"/>
  <c r="BO18" i="59"/>
  <c r="BP18" i="59"/>
  <c r="BQ18" i="59"/>
  <c r="BR18" i="59"/>
  <c r="BS18" i="59"/>
  <c r="BM19" i="59"/>
  <c r="BN19" i="59"/>
  <c r="BO19" i="59"/>
  <c r="BP19" i="59"/>
  <c r="BQ19" i="59"/>
  <c r="BR19" i="59"/>
  <c r="BS19" i="59"/>
  <c r="BM20" i="59"/>
  <c r="BN20" i="59"/>
  <c r="BO20" i="59"/>
  <c r="BP20" i="59"/>
  <c r="BQ20" i="59"/>
  <c r="BR20" i="59"/>
  <c r="BS20" i="59"/>
  <c r="BM21" i="59"/>
  <c r="BN21" i="59"/>
  <c r="BO21" i="59"/>
  <c r="BP21" i="59"/>
  <c r="BQ21" i="59"/>
  <c r="BR21" i="59"/>
  <c r="BS21" i="59"/>
  <c r="BM22" i="59"/>
  <c r="BN22" i="59"/>
  <c r="BO22" i="59"/>
  <c r="BP22" i="59"/>
  <c r="BQ22" i="59"/>
  <c r="BR22" i="59"/>
  <c r="BS22" i="59"/>
  <c r="BM23" i="59"/>
  <c r="BN23" i="59"/>
  <c r="BO23" i="59"/>
  <c r="BP23" i="59"/>
  <c r="BQ23" i="59"/>
  <c r="BR23" i="59"/>
  <c r="BS23" i="59"/>
  <c r="BM24" i="59"/>
  <c r="BN24" i="59"/>
  <c r="BO24" i="59"/>
  <c r="BP24" i="59"/>
  <c r="BQ24" i="59"/>
  <c r="BR24" i="59"/>
  <c r="BS24" i="59"/>
  <c r="BM25" i="59"/>
  <c r="BN25" i="59"/>
  <c r="BO25" i="59"/>
  <c r="BP25" i="59"/>
  <c r="BQ25" i="59"/>
  <c r="BR25" i="59"/>
  <c r="BS25" i="59"/>
  <c r="BM26" i="59"/>
  <c r="BN26" i="59"/>
  <c r="BO26" i="59"/>
  <c r="BP26" i="59"/>
  <c r="BQ26" i="59"/>
  <c r="BR26" i="59"/>
  <c r="BS26" i="59"/>
  <c r="BM27" i="59"/>
  <c r="BN27" i="59"/>
  <c r="BO27" i="59"/>
  <c r="BP27" i="59"/>
  <c r="BQ27" i="59"/>
  <c r="BR27" i="59"/>
  <c r="BS27" i="59"/>
  <c r="BM28" i="59"/>
  <c r="BN28" i="59"/>
  <c r="BO28" i="59"/>
  <c r="BP28" i="59"/>
  <c r="BQ28" i="59"/>
  <c r="BR28" i="59"/>
  <c r="BS28" i="59"/>
  <c r="BM29" i="59"/>
  <c r="BN29" i="59"/>
  <c r="BO29" i="59"/>
  <c r="BP29" i="59"/>
  <c r="BQ29" i="59"/>
  <c r="BR29" i="59"/>
  <c r="BS29" i="59"/>
  <c r="BM30" i="59"/>
  <c r="BN30" i="59"/>
  <c r="BO30" i="59"/>
  <c r="BP30" i="59"/>
  <c r="BQ30" i="59"/>
  <c r="BR30" i="59"/>
  <c r="BS30" i="59"/>
  <c r="BM31" i="59"/>
  <c r="BN31" i="59"/>
  <c r="BO31" i="59"/>
  <c r="BP31" i="59"/>
  <c r="BQ31" i="59"/>
  <c r="BR31" i="59"/>
  <c r="BS31" i="59"/>
  <c r="BM32" i="59"/>
  <c r="BN32" i="59"/>
  <c r="BO32" i="59"/>
  <c r="BP32" i="59"/>
  <c r="BQ32" i="59"/>
  <c r="BR32" i="59"/>
  <c r="BS32" i="59"/>
  <c r="BM33" i="59"/>
  <c r="BN33" i="59"/>
  <c r="BO33" i="59"/>
  <c r="BP33" i="59"/>
  <c r="BQ33" i="59"/>
  <c r="BR33" i="59"/>
  <c r="BS33" i="59"/>
  <c r="BM34" i="59"/>
  <c r="BN34" i="59"/>
  <c r="BO34" i="59"/>
  <c r="BP34" i="59"/>
  <c r="BQ34" i="59"/>
  <c r="BR34" i="59"/>
  <c r="BS34" i="59"/>
  <c r="BM35" i="59"/>
  <c r="BN35" i="59"/>
  <c r="BO35" i="59"/>
  <c r="BP35" i="59"/>
  <c r="BQ35" i="59"/>
  <c r="BR35" i="59"/>
  <c r="BS35" i="59"/>
  <c r="BM36" i="59"/>
  <c r="BN36" i="59"/>
  <c r="BO36" i="59"/>
  <c r="BP36" i="59"/>
  <c r="BQ36" i="59"/>
  <c r="BR36" i="59"/>
  <c r="BS36" i="59"/>
  <c r="BM37" i="59"/>
  <c r="BN37" i="59"/>
  <c r="BO37" i="59"/>
  <c r="BP37" i="59"/>
  <c r="BQ37" i="59"/>
  <c r="BR37" i="59"/>
  <c r="BS37" i="59"/>
  <c r="BM38" i="59"/>
  <c r="BN38" i="59"/>
  <c r="BO38" i="59"/>
  <c r="BP38" i="59"/>
  <c r="BQ38" i="59"/>
  <c r="BR38" i="59"/>
  <c r="BS38" i="59"/>
  <c r="BM39" i="59"/>
  <c r="BN39" i="59"/>
  <c r="BO39" i="59"/>
  <c r="BP39" i="59"/>
  <c r="BQ39" i="59"/>
  <c r="BR39" i="59"/>
  <c r="BS39" i="59"/>
  <c r="BM40" i="59"/>
  <c r="BN40" i="59"/>
  <c r="BO40" i="59"/>
  <c r="BP40" i="59"/>
  <c r="BQ40" i="59"/>
  <c r="BR40" i="59"/>
  <c r="BS40" i="59"/>
  <c r="BM41" i="59"/>
  <c r="BN41" i="59"/>
  <c r="BO41" i="59"/>
  <c r="BP41" i="59"/>
  <c r="BQ41" i="59"/>
  <c r="BR41" i="59"/>
  <c r="BS41" i="59"/>
  <c r="BM42" i="59"/>
  <c r="BN42" i="59"/>
  <c r="BO42" i="59"/>
  <c r="BP42" i="59"/>
  <c r="BQ42" i="59"/>
  <c r="BR42" i="59"/>
  <c r="BS42" i="59"/>
  <c r="BM43" i="59"/>
  <c r="BN43" i="59"/>
  <c r="BO43" i="59"/>
  <c r="BP43" i="59"/>
  <c r="BQ43" i="59"/>
  <c r="BR43" i="59"/>
  <c r="BS43" i="59"/>
  <c r="BM44" i="59"/>
  <c r="BN44" i="59"/>
  <c r="BO44" i="59"/>
  <c r="BP44" i="59"/>
  <c r="BQ44" i="59"/>
  <c r="BR44" i="59"/>
  <c r="BS44" i="59"/>
  <c r="BM45" i="59"/>
  <c r="BN45" i="59"/>
  <c r="BO45" i="59"/>
  <c r="BP45" i="59"/>
  <c r="BQ45" i="59"/>
  <c r="BR45" i="59"/>
  <c r="BS45" i="59"/>
  <c r="BM46" i="59"/>
  <c r="BN46" i="59"/>
  <c r="BO46" i="59"/>
  <c r="BP46" i="59"/>
  <c r="BQ46" i="59"/>
  <c r="BR46" i="59"/>
  <c r="BS46" i="59"/>
  <c r="BM47" i="59"/>
  <c r="BN47" i="59"/>
  <c r="BO47" i="59"/>
  <c r="BP47" i="59"/>
  <c r="BQ47" i="59"/>
  <c r="BR47" i="59"/>
  <c r="BS47" i="59"/>
  <c r="BM48" i="59"/>
  <c r="BN48" i="59"/>
  <c r="BO48" i="59"/>
  <c r="BP48" i="59"/>
  <c r="BQ48" i="59"/>
  <c r="BR48" i="59"/>
  <c r="BS48" i="59"/>
  <c r="BM49" i="59"/>
  <c r="BN49" i="59"/>
  <c r="BO49" i="59"/>
  <c r="BP49" i="59"/>
  <c r="BQ49" i="59"/>
  <c r="BR49" i="59"/>
  <c r="BS49" i="59"/>
  <c r="BM50" i="59"/>
  <c r="BN50" i="59"/>
  <c r="BO50" i="59"/>
  <c r="BP50" i="59"/>
  <c r="BQ50" i="59"/>
  <c r="BR50" i="59"/>
  <c r="BS50" i="59"/>
  <c r="BM51" i="59"/>
  <c r="BN51" i="59"/>
  <c r="BO51" i="59"/>
  <c r="BP51" i="59"/>
  <c r="BQ51" i="59"/>
  <c r="BR51" i="59"/>
  <c r="BS51" i="59"/>
  <c r="BM52" i="59"/>
  <c r="BN52" i="59"/>
  <c r="BO52" i="59"/>
  <c r="BP52" i="59"/>
  <c r="BQ52" i="59"/>
  <c r="BR52" i="59"/>
  <c r="BS52" i="59"/>
  <c r="BM53" i="59"/>
  <c r="BN53" i="59"/>
  <c r="BO53" i="59"/>
  <c r="BP53" i="59"/>
  <c r="BQ53" i="59"/>
  <c r="BR53" i="59"/>
  <c r="BS53" i="59"/>
  <c r="BM54" i="59"/>
  <c r="BN54" i="59"/>
  <c r="BO54" i="59"/>
  <c r="BP54" i="59"/>
  <c r="BQ54" i="59"/>
  <c r="BR54" i="59"/>
  <c r="BS54" i="59"/>
  <c r="BM55" i="59"/>
  <c r="BN55" i="59"/>
  <c r="BO55" i="59"/>
  <c r="BP55" i="59"/>
  <c r="BQ55" i="59"/>
  <c r="BR55" i="59"/>
  <c r="BS55" i="59"/>
  <c r="BM56" i="59"/>
  <c r="BN56" i="59"/>
  <c r="BO56" i="59"/>
  <c r="BP56" i="59"/>
  <c r="BQ56" i="59"/>
  <c r="BR56" i="59"/>
  <c r="BS56" i="59"/>
  <c r="BM57" i="59"/>
  <c r="BN57" i="59"/>
  <c r="BO57" i="59"/>
  <c r="BP57" i="59"/>
  <c r="BQ57" i="59"/>
  <c r="BR57" i="59"/>
  <c r="BS57" i="59"/>
  <c r="BM58" i="59"/>
  <c r="BN58" i="59"/>
  <c r="BO58" i="59"/>
  <c r="BP58" i="59"/>
  <c r="BQ58" i="59"/>
  <c r="BR58" i="59"/>
  <c r="BS58" i="59"/>
  <c r="BM59" i="59"/>
  <c r="BN59" i="59"/>
  <c r="BO59" i="59"/>
  <c r="BP59" i="59"/>
  <c r="BQ59" i="59"/>
  <c r="BR59" i="59"/>
  <c r="BS59" i="59"/>
  <c r="BM60" i="59"/>
  <c r="BN60" i="59"/>
  <c r="BO60" i="59"/>
  <c r="BP60" i="59"/>
  <c r="BQ60" i="59"/>
  <c r="BR60" i="59"/>
  <c r="BS60" i="59"/>
  <c r="BM61" i="59"/>
  <c r="BN61" i="59"/>
  <c r="BO61" i="59"/>
  <c r="BP61" i="59"/>
  <c r="BQ61" i="59"/>
  <c r="BR61" i="59"/>
  <c r="BS61" i="59"/>
  <c r="BM62" i="59"/>
  <c r="BN62" i="59"/>
  <c r="BO62" i="59"/>
  <c r="BP62" i="59"/>
  <c r="BQ62" i="59"/>
  <c r="BR62" i="59"/>
  <c r="BS62" i="59"/>
  <c r="BM63" i="59"/>
  <c r="BN63" i="59"/>
  <c r="BO63" i="59"/>
  <c r="BP63" i="59"/>
  <c r="BQ63" i="59"/>
  <c r="BR63" i="59"/>
  <c r="BS63" i="59"/>
  <c r="BM64" i="59"/>
  <c r="BN64" i="59"/>
  <c r="BO64" i="59"/>
  <c r="BP64" i="59"/>
  <c r="BQ64" i="59"/>
  <c r="BR64" i="59"/>
  <c r="BS64" i="59"/>
  <c r="BM65" i="59"/>
  <c r="BN65" i="59"/>
  <c r="BO65" i="59"/>
  <c r="BP65" i="59"/>
  <c r="BQ65" i="59"/>
  <c r="BR65" i="59"/>
  <c r="BS65" i="59"/>
  <c r="BM66" i="59"/>
  <c r="BN66" i="59"/>
  <c r="BO66" i="59"/>
  <c r="BP66" i="59"/>
  <c r="BQ66" i="59"/>
  <c r="BR66" i="59"/>
  <c r="BS66" i="59"/>
  <c r="BM67" i="59"/>
  <c r="BN67" i="59"/>
  <c r="BO67" i="59"/>
  <c r="BP67" i="59"/>
  <c r="BQ67" i="59"/>
  <c r="BR67" i="59"/>
  <c r="BS67" i="59"/>
  <c r="BM68" i="59"/>
  <c r="BN68" i="59"/>
  <c r="BO68" i="59"/>
  <c r="BP68" i="59"/>
  <c r="BQ68" i="59"/>
  <c r="BR68" i="59"/>
  <c r="BS68" i="59"/>
  <c r="BM69" i="59"/>
  <c r="BN69" i="59"/>
  <c r="BO69" i="59"/>
  <c r="BP69" i="59"/>
  <c r="BQ69" i="59"/>
  <c r="BR69" i="59"/>
  <c r="BS69" i="59"/>
  <c r="BM70" i="59"/>
  <c r="BN70" i="59"/>
  <c r="BO70" i="59"/>
  <c r="BP70" i="59"/>
  <c r="BQ70" i="59"/>
  <c r="BR70" i="59"/>
  <c r="BS70" i="59"/>
  <c r="BM71" i="59"/>
  <c r="BN71" i="59"/>
  <c r="BO71" i="59"/>
  <c r="BP71" i="59"/>
  <c r="BQ71" i="59"/>
  <c r="BR71" i="59"/>
  <c r="BS71" i="59"/>
  <c r="BM72" i="59"/>
  <c r="BN72" i="59"/>
  <c r="BO72" i="59"/>
  <c r="BP72" i="59"/>
  <c r="BQ72" i="59"/>
  <c r="BR72" i="59"/>
  <c r="BS72" i="59"/>
  <c r="BM73" i="59"/>
  <c r="BN73" i="59"/>
  <c r="BO73" i="59"/>
  <c r="BP73" i="59"/>
  <c r="BQ73" i="59"/>
  <c r="BR73" i="59"/>
  <c r="BS73" i="59"/>
  <c r="BM74" i="59"/>
  <c r="BN74" i="59"/>
  <c r="BO74" i="59"/>
  <c r="BP74" i="59"/>
  <c r="BQ74" i="59"/>
  <c r="BR74" i="59"/>
  <c r="BS74" i="59"/>
  <c r="BM75" i="59"/>
  <c r="BN75" i="59"/>
  <c r="BO75" i="59"/>
  <c r="BP75" i="59"/>
  <c r="BQ75" i="59"/>
  <c r="BR75" i="59"/>
  <c r="BS75" i="59"/>
  <c r="BM76" i="59"/>
  <c r="BN76" i="59"/>
  <c r="BO76" i="59"/>
  <c r="BP76" i="59"/>
  <c r="BQ76" i="59"/>
  <c r="BR76" i="59"/>
  <c r="BS76" i="59"/>
  <c r="BM77" i="59"/>
  <c r="BN77" i="59"/>
  <c r="BO77" i="59"/>
  <c r="BP77" i="59"/>
  <c r="BQ77" i="59"/>
  <c r="BR77" i="59"/>
  <c r="BS77" i="59"/>
  <c r="BM78" i="59"/>
  <c r="BN78" i="59"/>
  <c r="BO78" i="59"/>
  <c r="BP78" i="59"/>
  <c r="BQ78" i="59"/>
  <c r="BR78" i="59"/>
  <c r="BS78" i="59"/>
  <c r="BM79" i="59"/>
  <c r="BN79" i="59"/>
  <c r="BO79" i="59"/>
  <c r="BP79" i="59"/>
  <c r="BQ79" i="59"/>
  <c r="BR79" i="59"/>
  <c r="BS79" i="59"/>
  <c r="BM80" i="59"/>
  <c r="BN80" i="59"/>
  <c r="BO80" i="59"/>
  <c r="BP80" i="59"/>
  <c r="BQ80" i="59"/>
  <c r="BR80" i="59"/>
  <c r="BS80" i="59"/>
  <c r="BM81" i="59"/>
  <c r="BN81" i="59"/>
  <c r="BO81" i="59"/>
  <c r="BP81" i="59"/>
  <c r="BQ81" i="59"/>
  <c r="BR81" i="59"/>
  <c r="BS81" i="59"/>
  <c r="BM82" i="59"/>
  <c r="BN82" i="59"/>
  <c r="BO82" i="59"/>
  <c r="BP82" i="59"/>
  <c r="BQ82" i="59"/>
  <c r="BR82" i="59"/>
  <c r="BS82" i="59"/>
  <c r="BM83" i="59"/>
  <c r="BN83" i="59"/>
  <c r="BO83" i="59"/>
  <c r="BP83" i="59"/>
  <c r="BQ83" i="59"/>
  <c r="BR83" i="59"/>
  <c r="BS83" i="59"/>
  <c r="BM84" i="59"/>
  <c r="BN84" i="59"/>
  <c r="BO84" i="59"/>
  <c r="BP84" i="59"/>
  <c r="BQ84" i="59"/>
  <c r="BR84" i="59"/>
  <c r="BS84" i="59"/>
  <c r="BM85" i="59"/>
  <c r="BN85" i="59"/>
  <c r="BO85" i="59"/>
  <c r="BP85" i="59"/>
  <c r="BQ85" i="59"/>
  <c r="BR85" i="59"/>
  <c r="BS85" i="59"/>
  <c r="BM86" i="59"/>
  <c r="BN86" i="59"/>
  <c r="BO86" i="59"/>
  <c r="BP86" i="59"/>
  <c r="BQ86" i="59"/>
  <c r="BR86" i="59"/>
  <c r="BS86" i="59"/>
  <c r="BM87" i="59"/>
  <c r="BN87" i="59"/>
  <c r="BO87" i="59"/>
  <c r="BP87" i="59"/>
  <c r="BQ87" i="59"/>
  <c r="BR87" i="59"/>
  <c r="BS87" i="59"/>
  <c r="BM88" i="59"/>
  <c r="BN88" i="59"/>
  <c r="BO88" i="59"/>
  <c r="BP88" i="59"/>
  <c r="BQ88" i="59"/>
  <c r="BR88" i="59"/>
  <c r="BS88" i="59"/>
  <c r="BM89" i="59"/>
  <c r="BN89" i="59"/>
  <c r="BO89" i="59"/>
  <c r="BP89" i="59"/>
  <c r="BQ89" i="59"/>
  <c r="BR89" i="59"/>
  <c r="BS89" i="59"/>
  <c r="BM90" i="59"/>
  <c r="BN90" i="59"/>
  <c r="BO90" i="59"/>
  <c r="BP90" i="59"/>
  <c r="BQ90" i="59"/>
  <c r="BR90" i="59"/>
  <c r="BS90" i="59"/>
  <c r="BM91" i="59"/>
  <c r="BN91" i="59"/>
  <c r="BO91" i="59"/>
  <c r="BP91" i="59"/>
  <c r="BQ91" i="59"/>
  <c r="BR91" i="59"/>
  <c r="BS91" i="59"/>
  <c r="BM92" i="59"/>
  <c r="BN92" i="59"/>
  <c r="BO92" i="59"/>
  <c r="BP92" i="59"/>
  <c r="BQ92" i="59"/>
  <c r="BR92" i="59"/>
  <c r="BS92" i="59"/>
  <c r="BM93" i="59"/>
  <c r="BN93" i="59"/>
  <c r="BO93" i="59"/>
  <c r="BP93" i="59"/>
  <c r="BQ93" i="59"/>
  <c r="BR93" i="59"/>
  <c r="BS93" i="59"/>
  <c r="BM94" i="59"/>
  <c r="BN94" i="59"/>
  <c r="BO94" i="59"/>
  <c r="BP94" i="59"/>
  <c r="BQ94" i="59"/>
  <c r="BR94" i="59"/>
  <c r="BS94" i="59"/>
  <c r="BM95" i="59"/>
  <c r="BN95" i="59"/>
  <c r="BO95" i="59"/>
  <c r="BP95" i="59"/>
  <c r="BQ95" i="59"/>
  <c r="BR95" i="59"/>
  <c r="BS95" i="59"/>
  <c r="BM96" i="59"/>
  <c r="BN96" i="59"/>
  <c r="BO96" i="59"/>
  <c r="BP96" i="59"/>
  <c r="BQ96" i="59"/>
  <c r="BR96" i="59"/>
  <c r="BS96" i="59"/>
  <c r="BM97" i="59"/>
  <c r="BN97" i="59"/>
  <c r="BO97" i="59"/>
  <c r="BP97" i="59"/>
  <c r="BQ97" i="59"/>
  <c r="BR97" i="59"/>
  <c r="BS97" i="59"/>
  <c r="BM98" i="59"/>
  <c r="BN98" i="59"/>
  <c r="BO98" i="59"/>
  <c r="BP98" i="59"/>
  <c r="BQ98" i="59"/>
  <c r="BR98" i="59"/>
  <c r="BS98" i="59"/>
  <c r="BM99" i="59"/>
  <c r="BN99" i="59"/>
  <c r="BO99" i="59"/>
  <c r="BP99" i="59"/>
  <c r="BQ99" i="59"/>
  <c r="BR99" i="59"/>
  <c r="BS99" i="59"/>
  <c r="BM100" i="59"/>
  <c r="BN100" i="59"/>
  <c r="BO100" i="59"/>
  <c r="BP100" i="59"/>
  <c r="BQ100" i="59"/>
  <c r="BR100" i="59"/>
  <c r="BS100" i="59"/>
  <c r="BM101" i="59"/>
  <c r="BN101" i="59"/>
  <c r="BO101" i="59"/>
  <c r="BP101" i="59"/>
  <c r="BQ101" i="59"/>
  <c r="BR101" i="59"/>
  <c r="BS101" i="59"/>
  <c r="BM102" i="59"/>
  <c r="BN102" i="59"/>
  <c r="BO102" i="59"/>
  <c r="BP102" i="59"/>
  <c r="BQ102" i="59"/>
  <c r="BR102" i="59"/>
  <c r="BS102" i="59"/>
  <c r="BM103" i="59"/>
  <c r="BN103" i="59"/>
  <c r="BO103" i="59"/>
  <c r="BP103" i="59"/>
  <c r="BQ103" i="59"/>
  <c r="BR103" i="59"/>
  <c r="BS103" i="59"/>
  <c r="BM104" i="59"/>
  <c r="BN104" i="59"/>
  <c r="BO104" i="59"/>
  <c r="BP104" i="59"/>
  <c r="BQ104" i="59"/>
  <c r="BR104" i="59"/>
  <c r="BS104" i="59"/>
  <c r="BM105" i="59"/>
  <c r="BN105" i="59"/>
  <c r="BO105" i="59"/>
  <c r="BP105" i="59"/>
  <c r="BQ105" i="59"/>
  <c r="BR105" i="59"/>
  <c r="BS105" i="59"/>
  <c r="BM106" i="59"/>
  <c r="BN106" i="59"/>
  <c r="BO106" i="59"/>
  <c r="BP106" i="59"/>
  <c r="BQ106" i="59"/>
  <c r="BR106" i="59"/>
  <c r="BS106" i="59"/>
  <c r="BM107" i="59"/>
  <c r="BN107" i="59"/>
  <c r="BO107" i="59"/>
  <c r="BP107" i="59"/>
  <c r="BQ107" i="59"/>
  <c r="BR107" i="59"/>
  <c r="BS107" i="59"/>
  <c r="BM108" i="59"/>
  <c r="BN108" i="59"/>
  <c r="BO108" i="59"/>
  <c r="BP108" i="59"/>
  <c r="BQ108" i="59"/>
  <c r="BR108" i="59"/>
  <c r="BS108" i="59"/>
  <c r="BM109" i="59"/>
  <c r="BN109" i="59"/>
  <c r="BO109" i="59"/>
  <c r="BP109" i="59"/>
  <c r="BQ109" i="59"/>
  <c r="BR109" i="59"/>
  <c r="BS109" i="59"/>
  <c r="BM110" i="59"/>
  <c r="BN110" i="59"/>
  <c r="BO110" i="59"/>
  <c r="BP110" i="59"/>
  <c r="BQ110" i="59"/>
  <c r="BR110" i="59"/>
  <c r="BS110" i="59"/>
  <c r="BM111" i="59"/>
  <c r="BN111" i="59"/>
  <c r="BO111" i="59"/>
  <c r="BP111" i="59"/>
  <c r="BQ111" i="59"/>
  <c r="BR111" i="59"/>
  <c r="BS111" i="59"/>
  <c r="BM112" i="59"/>
  <c r="BN112" i="59"/>
  <c r="BO112" i="59"/>
  <c r="BP112" i="59"/>
  <c r="BQ112" i="59"/>
  <c r="BR112" i="59"/>
  <c r="BS112" i="59"/>
  <c r="BM113" i="59"/>
  <c r="BN113" i="59"/>
  <c r="BO113" i="59"/>
  <c r="BP113" i="59"/>
  <c r="BQ113" i="59"/>
  <c r="BR113" i="59"/>
  <c r="BS113" i="59"/>
  <c r="BM114" i="59"/>
  <c r="BN114" i="59"/>
  <c r="BO114" i="59"/>
  <c r="BP114" i="59"/>
  <c r="BQ114" i="59"/>
  <c r="BR114" i="59"/>
  <c r="BS114" i="59"/>
  <c r="BM115" i="59"/>
  <c r="BN115" i="59"/>
  <c r="BO115" i="59"/>
  <c r="BP115" i="59"/>
  <c r="BQ115" i="59"/>
  <c r="BR115" i="59"/>
  <c r="BS115" i="59"/>
  <c r="BM116" i="59"/>
  <c r="BN116" i="59"/>
  <c r="BO116" i="59"/>
  <c r="BP116" i="59"/>
  <c r="BQ116" i="59"/>
  <c r="BR116" i="59"/>
  <c r="BS116" i="59"/>
  <c r="BM117" i="59"/>
  <c r="BN117" i="59"/>
  <c r="BO117" i="59"/>
  <c r="BP117" i="59"/>
  <c r="BQ117" i="59"/>
  <c r="BR117" i="59"/>
  <c r="BS117" i="59"/>
  <c r="BM118" i="59"/>
  <c r="BN118" i="59"/>
  <c r="BO118" i="59"/>
  <c r="BP118" i="59"/>
  <c r="BQ118" i="59"/>
  <c r="BR118" i="59"/>
  <c r="BS118" i="59"/>
  <c r="BM119" i="59"/>
  <c r="BN119" i="59"/>
  <c r="BO119" i="59"/>
  <c r="BP119" i="59"/>
  <c r="BQ119" i="59"/>
  <c r="BR119" i="59"/>
  <c r="BS119" i="59"/>
  <c r="BM120" i="59"/>
  <c r="BN120" i="59"/>
  <c r="BO120" i="59"/>
  <c r="BP120" i="59"/>
  <c r="BQ120" i="59"/>
  <c r="BR120" i="59"/>
  <c r="BS120" i="59"/>
  <c r="BM121" i="59"/>
  <c r="BN121" i="59"/>
  <c r="BO121" i="59"/>
  <c r="BP121" i="59"/>
  <c r="BQ121" i="59"/>
  <c r="BR121" i="59"/>
  <c r="BS121" i="59"/>
  <c r="BM122" i="59"/>
  <c r="BN122" i="59"/>
  <c r="BO122" i="59"/>
  <c r="BP122" i="59"/>
  <c r="BQ122" i="59"/>
  <c r="BR122" i="59"/>
  <c r="BS122" i="59"/>
  <c r="BM123" i="59"/>
  <c r="BN123" i="59"/>
  <c r="BO123" i="59"/>
  <c r="BP123" i="59"/>
  <c r="BQ123" i="59"/>
  <c r="BR123" i="59"/>
  <c r="BS123" i="59"/>
  <c r="BM124" i="59"/>
  <c r="BN124" i="59"/>
  <c r="BO124" i="59"/>
  <c r="BP124" i="59"/>
  <c r="BQ124" i="59"/>
  <c r="BR124" i="59"/>
  <c r="BS124" i="59"/>
  <c r="BN4" i="59"/>
  <c r="BO4" i="59"/>
  <c r="BP4" i="59"/>
  <c r="BQ4" i="59"/>
  <c r="BR4" i="59"/>
  <c r="BS4" i="59"/>
  <c r="BM4" i="59"/>
  <c r="AU5" i="59"/>
  <c r="AV5" i="59"/>
  <c r="AW5" i="59"/>
  <c r="AX5" i="59"/>
  <c r="AY5" i="59"/>
  <c r="AZ5" i="59"/>
  <c r="BA5" i="59"/>
  <c r="AU6" i="59"/>
  <c r="AV6" i="59"/>
  <c r="AW6" i="59"/>
  <c r="AX6" i="59"/>
  <c r="AY6" i="59"/>
  <c r="AZ6" i="59"/>
  <c r="BA6" i="59"/>
  <c r="AU7" i="59"/>
  <c r="AV7" i="59"/>
  <c r="AW7" i="59"/>
  <c r="AX7" i="59"/>
  <c r="AY7" i="59"/>
  <c r="AZ7" i="59"/>
  <c r="BA7" i="59"/>
  <c r="AU8" i="59"/>
  <c r="AV8" i="59"/>
  <c r="AW8" i="59"/>
  <c r="AX8" i="59"/>
  <c r="AY8" i="59"/>
  <c r="AZ8" i="59"/>
  <c r="BA8" i="59"/>
  <c r="AU9" i="59"/>
  <c r="AV9" i="59"/>
  <c r="AX9" i="59"/>
  <c r="AY9" i="59"/>
  <c r="AZ9" i="59"/>
  <c r="BA9" i="59"/>
  <c r="AU10" i="59"/>
  <c r="AV10" i="59"/>
  <c r="AW10" i="59"/>
  <c r="AX10" i="59"/>
  <c r="AY10" i="59"/>
  <c r="AZ10" i="59"/>
  <c r="BA10" i="59"/>
  <c r="AU11" i="59"/>
  <c r="AV11" i="59"/>
  <c r="AW11" i="59"/>
  <c r="AX11" i="59"/>
  <c r="AY11" i="59"/>
  <c r="AZ11" i="59"/>
  <c r="BA11" i="59"/>
  <c r="AU12" i="59"/>
  <c r="AV12" i="59"/>
  <c r="AW12" i="59"/>
  <c r="AX12" i="59"/>
  <c r="AY12" i="59"/>
  <c r="AZ12" i="59"/>
  <c r="BA12" i="59"/>
  <c r="AU13" i="59"/>
  <c r="AV13" i="59"/>
  <c r="AW13" i="59"/>
  <c r="AX13" i="59"/>
  <c r="AY13" i="59"/>
  <c r="AZ13" i="59"/>
  <c r="BA13" i="59"/>
  <c r="AU14" i="59"/>
  <c r="AV14" i="59"/>
  <c r="AW14" i="59"/>
  <c r="AX14" i="59"/>
  <c r="AY14" i="59"/>
  <c r="AZ14" i="59"/>
  <c r="BA14" i="59"/>
  <c r="AU15" i="59"/>
  <c r="AV15" i="59"/>
  <c r="AW15" i="59"/>
  <c r="AX15" i="59"/>
  <c r="AY15" i="59"/>
  <c r="AZ15" i="59"/>
  <c r="BA15" i="59"/>
  <c r="AU16" i="59"/>
  <c r="AV16" i="59"/>
  <c r="AW16" i="59"/>
  <c r="AX16" i="59"/>
  <c r="AY16" i="59"/>
  <c r="AZ16" i="59"/>
  <c r="BA16" i="59"/>
  <c r="AU17" i="59"/>
  <c r="AV17" i="59"/>
  <c r="AW17" i="59"/>
  <c r="AX17" i="59"/>
  <c r="AY17" i="59"/>
  <c r="AZ17" i="59"/>
  <c r="BA17" i="59"/>
  <c r="AU18" i="59"/>
  <c r="AV18" i="59"/>
  <c r="AW18" i="59"/>
  <c r="AX18" i="59"/>
  <c r="AY18" i="59"/>
  <c r="AZ18" i="59"/>
  <c r="BA18" i="59"/>
  <c r="AU19" i="59"/>
  <c r="AV19" i="59"/>
  <c r="AW19" i="59"/>
  <c r="AX19" i="59"/>
  <c r="AY19" i="59"/>
  <c r="AZ19" i="59"/>
  <c r="BA19" i="59"/>
  <c r="AU20" i="59"/>
  <c r="AV20" i="59"/>
  <c r="AW20" i="59"/>
  <c r="AX20" i="59"/>
  <c r="AY20" i="59"/>
  <c r="AZ20" i="59"/>
  <c r="BA20" i="59"/>
  <c r="AU21" i="59"/>
  <c r="AV21" i="59"/>
  <c r="AW21" i="59"/>
  <c r="AX21" i="59"/>
  <c r="AY21" i="59"/>
  <c r="AZ21" i="59"/>
  <c r="BA21" i="59"/>
  <c r="AU22" i="59"/>
  <c r="AV22" i="59"/>
  <c r="AW22" i="59"/>
  <c r="AX22" i="59"/>
  <c r="AY22" i="59"/>
  <c r="AZ22" i="59"/>
  <c r="BA22" i="59"/>
  <c r="AU23" i="59"/>
  <c r="AV23" i="59"/>
  <c r="AW23" i="59"/>
  <c r="AX23" i="59"/>
  <c r="AY23" i="59"/>
  <c r="AZ23" i="59"/>
  <c r="BA23" i="59"/>
  <c r="AU24" i="59"/>
  <c r="AV24" i="59"/>
  <c r="AW24" i="59"/>
  <c r="AX24" i="59"/>
  <c r="AY24" i="59"/>
  <c r="AZ24" i="59"/>
  <c r="BA24" i="59"/>
  <c r="AU25" i="59"/>
  <c r="AV25" i="59"/>
  <c r="AW25" i="59"/>
  <c r="AX25" i="59"/>
  <c r="AY25" i="59"/>
  <c r="AZ25" i="59"/>
  <c r="BA25" i="59"/>
  <c r="AU26" i="59"/>
  <c r="AV26" i="59"/>
  <c r="AW26" i="59"/>
  <c r="AX26" i="59"/>
  <c r="AY26" i="59"/>
  <c r="AZ26" i="59"/>
  <c r="BA26" i="59"/>
  <c r="AU27" i="59"/>
  <c r="AV27" i="59"/>
  <c r="AW27" i="59"/>
  <c r="AX27" i="59"/>
  <c r="AY27" i="59"/>
  <c r="AZ27" i="59"/>
  <c r="BA27" i="59"/>
  <c r="AU28" i="59"/>
  <c r="AV28" i="59"/>
  <c r="AW28" i="59"/>
  <c r="AX28" i="59"/>
  <c r="AY28" i="59"/>
  <c r="AZ28" i="59"/>
  <c r="BA28" i="59"/>
  <c r="AU29" i="59"/>
  <c r="AV29" i="59"/>
  <c r="AW29" i="59"/>
  <c r="AX29" i="59"/>
  <c r="AY29" i="59"/>
  <c r="AZ29" i="59"/>
  <c r="BA29" i="59"/>
  <c r="AV4" i="59"/>
  <c r="AW4" i="59"/>
  <c r="AX4" i="59"/>
  <c r="AY4" i="59"/>
  <c r="AZ4" i="59"/>
  <c r="BA4" i="59"/>
  <c r="AU4" i="59"/>
  <c r="B5" i="59"/>
  <c r="C5" i="59"/>
  <c r="D5" i="59"/>
  <c r="E5" i="59"/>
  <c r="F5" i="59"/>
  <c r="G5" i="59"/>
  <c r="H5" i="59"/>
  <c r="B6" i="59"/>
  <c r="C6" i="59"/>
  <c r="D6" i="59"/>
  <c r="E6" i="59"/>
  <c r="F6" i="59"/>
  <c r="G6" i="59"/>
  <c r="H6" i="59"/>
  <c r="B7" i="59"/>
  <c r="C7" i="59"/>
  <c r="D7" i="59"/>
  <c r="E7" i="59"/>
  <c r="F7" i="59"/>
  <c r="G7" i="59"/>
  <c r="H7" i="59"/>
  <c r="B8" i="59"/>
  <c r="C8" i="59"/>
  <c r="D8" i="59"/>
  <c r="E8" i="59"/>
  <c r="F8" i="59"/>
  <c r="G8" i="59"/>
  <c r="H8" i="59"/>
  <c r="B9" i="59"/>
  <c r="C9" i="59"/>
  <c r="D9" i="59"/>
  <c r="E9" i="59"/>
  <c r="F9" i="59"/>
  <c r="G9" i="59"/>
  <c r="H9" i="59"/>
  <c r="B10" i="59"/>
  <c r="C10" i="59"/>
  <c r="D10" i="59"/>
  <c r="E10" i="59"/>
  <c r="F10" i="59"/>
  <c r="G10" i="59"/>
  <c r="H10" i="59"/>
  <c r="B11" i="59"/>
  <c r="C11" i="59"/>
  <c r="D11" i="59"/>
  <c r="E11" i="59"/>
  <c r="F11" i="59"/>
  <c r="G11" i="59"/>
  <c r="H11" i="59"/>
  <c r="B12" i="59"/>
  <c r="C12" i="59"/>
  <c r="D12" i="59"/>
  <c r="E12" i="59"/>
  <c r="F12" i="59"/>
  <c r="G12" i="59"/>
  <c r="H12" i="59"/>
  <c r="B13" i="59"/>
  <c r="C13" i="59"/>
  <c r="D13" i="59"/>
  <c r="E13" i="59"/>
  <c r="F13" i="59"/>
  <c r="G13" i="59"/>
  <c r="H13" i="59"/>
  <c r="B14" i="59"/>
  <c r="C14" i="59"/>
  <c r="D14" i="59"/>
  <c r="E14" i="59"/>
  <c r="F14" i="59"/>
  <c r="G14" i="59"/>
  <c r="H14" i="59"/>
  <c r="B15" i="59"/>
  <c r="C15" i="59"/>
  <c r="D15" i="59"/>
  <c r="E15" i="59"/>
  <c r="F15" i="59"/>
  <c r="G15" i="59"/>
  <c r="H15" i="59"/>
  <c r="B16" i="59"/>
  <c r="C16" i="59"/>
  <c r="D16" i="59"/>
  <c r="E16" i="59"/>
  <c r="F16" i="59"/>
  <c r="G16" i="59"/>
  <c r="H16" i="59"/>
  <c r="B17" i="59"/>
  <c r="C17" i="59"/>
  <c r="D17" i="59"/>
  <c r="E17" i="59"/>
  <c r="F17" i="59"/>
  <c r="G17" i="59"/>
  <c r="H17" i="59"/>
  <c r="B18" i="59"/>
  <c r="C18" i="59"/>
  <c r="D18" i="59"/>
  <c r="E18" i="59"/>
  <c r="F18" i="59"/>
  <c r="G18" i="59"/>
  <c r="H18" i="59"/>
  <c r="B19" i="59"/>
  <c r="C19" i="59"/>
  <c r="D19" i="59"/>
  <c r="E19" i="59"/>
  <c r="F19" i="59"/>
  <c r="G19" i="59"/>
  <c r="H19" i="59"/>
  <c r="B20" i="59"/>
  <c r="C20" i="59"/>
  <c r="D20" i="59"/>
  <c r="E20" i="59"/>
  <c r="F20" i="59"/>
  <c r="G20" i="59"/>
  <c r="H20" i="59"/>
  <c r="B21" i="59"/>
  <c r="C21" i="59"/>
  <c r="D21" i="59"/>
  <c r="E21" i="59"/>
  <c r="F21" i="59"/>
  <c r="G21" i="59"/>
  <c r="H21" i="59"/>
  <c r="B22" i="59"/>
  <c r="C22" i="59"/>
  <c r="D22" i="59"/>
  <c r="E22" i="59"/>
  <c r="F22" i="59"/>
  <c r="G22" i="59"/>
  <c r="H22" i="59"/>
  <c r="B23" i="59"/>
  <c r="C23" i="59"/>
  <c r="D23" i="59"/>
  <c r="E23" i="59"/>
  <c r="F23" i="59"/>
  <c r="G23" i="59"/>
  <c r="H23" i="59"/>
  <c r="B24" i="59"/>
  <c r="C24" i="59"/>
  <c r="D24" i="59"/>
  <c r="E24" i="59"/>
  <c r="F24" i="59"/>
  <c r="G24" i="59"/>
  <c r="H24" i="59"/>
  <c r="B25" i="59"/>
  <c r="C25" i="59"/>
  <c r="D25" i="59"/>
  <c r="E25" i="59"/>
  <c r="F25" i="59"/>
  <c r="G25" i="59"/>
  <c r="H25" i="59"/>
  <c r="B26" i="59"/>
  <c r="C26" i="59"/>
  <c r="D26" i="59"/>
  <c r="E26" i="59"/>
  <c r="F26" i="59"/>
  <c r="G26" i="59"/>
  <c r="H26" i="59"/>
  <c r="B27" i="59"/>
  <c r="C27" i="59"/>
  <c r="D27" i="59"/>
  <c r="E27" i="59"/>
  <c r="F27" i="59"/>
  <c r="G27" i="59"/>
  <c r="H27" i="59"/>
  <c r="B28" i="59"/>
  <c r="C28" i="59"/>
  <c r="D28" i="59"/>
  <c r="E28" i="59"/>
  <c r="F28" i="59"/>
  <c r="G28" i="59"/>
  <c r="H28" i="59"/>
  <c r="B29" i="59"/>
  <c r="C29" i="59"/>
  <c r="D29" i="59"/>
  <c r="E29" i="59"/>
  <c r="F29" i="59"/>
  <c r="G29" i="59"/>
  <c r="H29" i="59"/>
  <c r="C4" i="59"/>
  <c r="D4" i="59"/>
  <c r="E4" i="59"/>
  <c r="F4" i="59"/>
  <c r="G4" i="59"/>
  <c r="H4" i="59"/>
  <c r="B4" i="59"/>
  <c r="AU5" i="36"/>
  <c r="AV5" i="36"/>
  <c r="AW5" i="36"/>
  <c r="AX5" i="36"/>
  <c r="AY5" i="36"/>
  <c r="AZ5" i="36"/>
  <c r="BA5" i="36"/>
  <c r="AU6" i="36"/>
  <c r="AV6" i="36"/>
  <c r="AW6" i="36"/>
  <c r="AX6" i="36"/>
  <c r="AY6" i="36"/>
  <c r="AZ6" i="36"/>
  <c r="BA6" i="36"/>
  <c r="AU7" i="36"/>
  <c r="AV7" i="36"/>
  <c r="AW7" i="36"/>
  <c r="AX7" i="36"/>
  <c r="AY7" i="36"/>
  <c r="AZ7" i="36"/>
  <c r="BA7" i="36"/>
  <c r="AU8" i="36"/>
  <c r="AV8" i="36"/>
  <c r="AW8" i="36"/>
  <c r="AX8" i="36"/>
  <c r="AY8" i="36"/>
  <c r="AZ8" i="36"/>
  <c r="BA8" i="36"/>
  <c r="AU9" i="36"/>
  <c r="AV9" i="36"/>
  <c r="AW9" i="36"/>
  <c r="AX9" i="36"/>
  <c r="AY9" i="36"/>
  <c r="AZ9" i="36"/>
  <c r="BA9" i="36"/>
  <c r="AU10" i="36"/>
  <c r="AV10" i="36"/>
  <c r="AW10" i="36"/>
  <c r="AX10" i="36"/>
  <c r="AY10" i="36"/>
  <c r="AZ10" i="36"/>
  <c r="BA10" i="36"/>
  <c r="AU11" i="36"/>
  <c r="AV11" i="36"/>
  <c r="AW11" i="36"/>
  <c r="AX11" i="36"/>
  <c r="AY11" i="36"/>
  <c r="AZ11" i="36"/>
  <c r="BA11" i="36"/>
  <c r="AU12" i="36"/>
  <c r="AV12" i="36"/>
  <c r="AW12" i="36"/>
  <c r="AX12" i="36"/>
  <c r="AY12" i="36"/>
  <c r="AZ12" i="36"/>
  <c r="BA12" i="36"/>
  <c r="AU13" i="36"/>
  <c r="AV13" i="36"/>
  <c r="AW13" i="36"/>
  <c r="AX13" i="36"/>
  <c r="AY13" i="36"/>
  <c r="AZ13" i="36"/>
  <c r="BA13" i="36"/>
  <c r="AU14" i="36"/>
  <c r="AV14" i="36"/>
  <c r="AW14" i="36"/>
  <c r="AX14" i="36"/>
  <c r="AY14" i="36"/>
  <c r="AZ14" i="36"/>
  <c r="BA14" i="36"/>
  <c r="AU15" i="36"/>
  <c r="AV15" i="36"/>
  <c r="AW15" i="36"/>
  <c r="AX15" i="36"/>
  <c r="AY15" i="36"/>
  <c r="AZ15" i="36"/>
  <c r="BA15" i="36"/>
  <c r="AU16" i="36"/>
  <c r="AV16" i="36"/>
  <c r="AW16" i="36"/>
  <c r="AX16" i="36"/>
  <c r="AY16" i="36"/>
  <c r="AZ16" i="36"/>
  <c r="BA16" i="36"/>
  <c r="AU17" i="36"/>
  <c r="AV17" i="36"/>
  <c r="AW17" i="36"/>
  <c r="AX17" i="36"/>
  <c r="AY17" i="36"/>
  <c r="AZ17" i="36"/>
  <c r="BA17" i="36"/>
  <c r="AU18" i="36"/>
  <c r="AV18" i="36"/>
  <c r="AW18" i="36"/>
  <c r="AX18" i="36"/>
  <c r="AY18" i="36"/>
  <c r="AZ18" i="36"/>
  <c r="BA18" i="36"/>
  <c r="AU19" i="36"/>
  <c r="AV19" i="36"/>
  <c r="AW19" i="36"/>
  <c r="AX19" i="36"/>
  <c r="AY19" i="36"/>
  <c r="AZ19" i="36"/>
  <c r="BA19" i="36"/>
  <c r="AU20" i="36"/>
  <c r="AV20" i="36"/>
  <c r="AW20" i="36"/>
  <c r="AX20" i="36"/>
  <c r="AY20" i="36"/>
  <c r="AZ20" i="36"/>
  <c r="BA20" i="36"/>
  <c r="AU21" i="36"/>
  <c r="AV21" i="36"/>
  <c r="AW21" i="36"/>
  <c r="AX21" i="36"/>
  <c r="AY21" i="36"/>
  <c r="AZ21" i="36"/>
  <c r="BA21" i="36"/>
  <c r="AU22" i="36"/>
  <c r="AV22" i="36"/>
  <c r="AW22" i="36"/>
  <c r="AX22" i="36"/>
  <c r="AY22" i="36"/>
  <c r="AZ22" i="36"/>
  <c r="BA22" i="36"/>
  <c r="AU23" i="36"/>
  <c r="AV23" i="36"/>
  <c r="AW23" i="36"/>
  <c r="AX23" i="36"/>
  <c r="AY23" i="36"/>
  <c r="AZ23" i="36"/>
  <c r="BA23" i="36"/>
  <c r="AU24" i="36"/>
  <c r="AV24" i="36"/>
  <c r="AW24" i="36"/>
  <c r="AX24" i="36"/>
  <c r="AY24" i="36"/>
  <c r="AZ24" i="36"/>
  <c r="BA24" i="36"/>
  <c r="AU25" i="36"/>
  <c r="AV25" i="36"/>
  <c r="AW25" i="36"/>
  <c r="AX25" i="36"/>
  <c r="AY25" i="36"/>
  <c r="AZ25" i="36"/>
  <c r="BA25" i="36"/>
  <c r="AU26" i="36"/>
  <c r="AV26" i="36"/>
  <c r="AW26" i="36"/>
  <c r="AX26" i="36"/>
  <c r="AY26" i="36"/>
  <c r="AZ26" i="36"/>
  <c r="BA26" i="36"/>
  <c r="AU27" i="36"/>
  <c r="AV27" i="36"/>
  <c r="AW27" i="36"/>
  <c r="AX27" i="36"/>
  <c r="AY27" i="36"/>
  <c r="AZ27" i="36"/>
  <c r="BA27" i="36"/>
  <c r="AU28" i="36"/>
  <c r="AV28" i="36"/>
  <c r="AW28" i="36"/>
  <c r="AX28" i="36"/>
  <c r="AY28" i="36"/>
  <c r="AZ28" i="36"/>
  <c r="BA28" i="36"/>
  <c r="AU29" i="36"/>
  <c r="AV29" i="36"/>
  <c r="AW29" i="36"/>
  <c r="AX29" i="36"/>
  <c r="AY29" i="36"/>
  <c r="AZ29" i="36"/>
  <c r="BA29" i="36"/>
  <c r="AV4" i="36"/>
  <c r="AW4" i="36"/>
  <c r="AX4" i="36"/>
  <c r="AY4" i="36"/>
  <c r="AZ4" i="36"/>
  <c r="BA4" i="36"/>
  <c r="AU4" i="36"/>
  <c r="B4" i="37"/>
  <c r="B5" i="36"/>
  <c r="C5" i="36"/>
  <c r="D5" i="36"/>
  <c r="E5" i="36"/>
  <c r="F5" i="36"/>
  <c r="G5" i="36"/>
  <c r="H5" i="36"/>
  <c r="B6" i="36"/>
  <c r="C6" i="36"/>
  <c r="D6" i="36"/>
  <c r="E6" i="36"/>
  <c r="F6" i="36"/>
  <c r="G6" i="36"/>
  <c r="H6" i="36"/>
  <c r="B7" i="36"/>
  <c r="C7" i="36"/>
  <c r="D7" i="36"/>
  <c r="E7" i="36"/>
  <c r="F7" i="36"/>
  <c r="G7" i="36"/>
  <c r="H7" i="36"/>
  <c r="B8" i="36"/>
  <c r="C8" i="36"/>
  <c r="D8" i="36"/>
  <c r="E8" i="36"/>
  <c r="F8" i="36"/>
  <c r="G8" i="36"/>
  <c r="H8" i="36"/>
  <c r="B9" i="36"/>
  <c r="C9" i="36"/>
  <c r="D9" i="36"/>
  <c r="E9" i="36"/>
  <c r="F9" i="36"/>
  <c r="G9" i="36"/>
  <c r="H9" i="36"/>
  <c r="B10" i="36"/>
  <c r="C10" i="36"/>
  <c r="D10" i="36"/>
  <c r="E10" i="36"/>
  <c r="F10" i="36"/>
  <c r="G10" i="36"/>
  <c r="H10" i="36"/>
  <c r="B11" i="36"/>
  <c r="C11" i="36"/>
  <c r="D11" i="36"/>
  <c r="E11" i="36"/>
  <c r="F11" i="36"/>
  <c r="G11" i="36"/>
  <c r="H11" i="36"/>
  <c r="B12" i="36"/>
  <c r="C12" i="36"/>
  <c r="D12" i="36"/>
  <c r="E12" i="36"/>
  <c r="F12" i="36"/>
  <c r="G12" i="36"/>
  <c r="H12" i="36"/>
  <c r="B13" i="36"/>
  <c r="C13" i="36"/>
  <c r="D13" i="36"/>
  <c r="E13" i="36"/>
  <c r="F13" i="36"/>
  <c r="G13" i="36"/>
  <c r="H13" i="36"/>
  <c r="B14" i="36"/>
  <c r="C14" i="36"/>
  <c r="D14" i="36"/>
  <c r="E14" i="36"/>
  <c r="F14" i="36"/>
  <c r="G14" i="36"/>
  <c r="H14" i="36"/>
  <c r="B15" i="36"/>
  <c r="C15" i="36"/>
  <c r="D15" i="36"/>
  <c r="E15" i="36"/>
  <c r="F15" i="36"/>
  <c r="G15" i="36"/>
  <c r="H15" i="36"/>
  <c r="B16" i="36"/>
  <c r="C16" i="36"/>
  <c r="D16" i="36"/>
  <c r="E16" i="36"/>
  <c r="F16" i="36"/>
  <c r="G16" i="36"/>
  <c r="H16" i="36"/>
  <c r="B17" i="36"/>
  <c r="C17" i="36"/>
  <c r="D17" i="36"/>
  <c r="E17" i="36"/>
  <c r="F17" i="36"/>
  <c r="G17" i="36"/>
  <c r="H17" i="36"/>
  <c r="B18" i="36"/>
  <c r="C18" i="36"/>
  <c r="D18" i="36"/>
  <c r="E18" i="36"/>
  <c r="F18" i="36"/>
  <c r="G18" i="36"/>
  <c r="H18" i="36"/>
  <c r="B19" i="36"/>
  <c r="C19" i="36"/>
  <c r="D19" i="36"/>
  <c r="E19" i="36"/>
  <c r="F19" i="36"/>
  <c r="G19" i="36"/>
  <c r="H19" i="36"/>
  <c r="B20" i="36"/>
  <c r="C20" i="36"/>
  <c r="D20" i="36"/>
  <c r="E20" i="36"/>
  <c r="F20" i="36"/>
  <c r="G20" i="36"/>
  <c r="H20" i="36"/>
  <c r="B21" i="36"/>
  <c r="C21" i="36"/>
  <c r="D21" i="36"/>
  <c r="E21" i="36"/>
  <c r="F21" i="36"/>
  <c r="G21" i="36"/>
  <c r="H21" i="36"/>
  <c r="B22" i="36"/>
  <c r="C22" i="36"/>
  <c r="D22" i="36"/>
  <c r="E22" i="36"/>
  <c r="F22" i="36"/>
  <c r="G22" i="36"/>
  <c r="H22" i="36"/>
  <c r="B23" i="36"/>
  <c r="C23" i="36"/>
  <c r="D23" i="36"/>
  <c r="E23" i="36"/>
  <c r="F23" i="36"/>
  <c r="G23" i="36"/>
  <c r="H23" i="36"/>
  <c r="B24" i="36"/>
  <c r="C24" i="36"/>
  <c r="D24" i="36"/>
  <c r="E24" i="36"/>
  <c r="F24" i="36"/>
  <c r="G24" i="36"/>
  <c r="H24" i="36"/>
  <c r="B25" i="36"/>
  <c r="C25" i="36"/>
  <c r="D25" i="36"/>
  <c r="E25" i="36"/>
  <c r="F25" i="36"/>
  <c r="G25" i="36"/>
  <c r="H25" i="36"/>
  <c r="B26" i="36"/>
  <c r="C26" i="36"/>
  <c r="D26" i="36"/>
  <c r="E26" i="36"/>
  <c r="F26" i="36"/>
  <c r="G26" i="36"/>
  <c r="H26" i="36"/>
  <c r="B27" i="36"/>
  <c r="C27" i="36"/>
  <c r="D27" i="36"/>
  <c r="E27" i="36"/>
  <c r="F27" i="36"/>
  <c r="G27" i="36"/>
  <c r="H27" i="36"/>
  <c r="B28" i="36"/>
  <c r="C28" i="36"/>
  <c r="D28" i="36"/>
  <c r="E28" i="36"/>
  <c r="F28" i="36"/>
  <c r="G28" i="36"/>
  <c r="H28" i="36"/>
  <c r="B29" i="36"/>
  <c r="C29" i="36"/>
  <c r="D29" i="36"/>
  <c r="E29" i="36"/>
  <c r="F29" i="36"/>
  <c r="G29" i="36"/>
  <c r="H29" i="36"/>
  <c r="C4" i="36"/>
  <c r="D4" i="36"/>
  <c r="E4" i="36"/>
  <c r="F4" i="36"/>
  <c r="G4" i="36"/>
  <c r="H4" i="36"/>
  <c r="B4" i="36"/>
  <c r="BM5" i="36"/>
  <c r="BN5" i="36"/>
  <c r="BO5" i="36"/>
  <c r="BP5" i="36"/>
  <c r="BQ5" i="36"/>
  <c r="BR5" i="36"/>
  <c r="BS5" i="36"/>
  <c r="BM6" i="36"/>
  <c r="BN6" i="36"/>
  <c r="BO6" i="36"/>
  <c r="BP6" i="36"/>
  <c r="BQ6" i="36"/>
  <c r="BR6" i="36"/>
  <c r="BS6" i="36"/>
  <c r="BM7" i="36"/>
  <c r="BN7" i="36"/>
  <c r="BO7" i="36"/>
  <c r="BP7" i="36"/>
  <c r="BQ7" i="36"/>
  <c r="BR7" i="36"/>
  <c r="BS7" i="36"/>
  <c r="BM8" i="36"/>
  <c r="BN8" i="36"/>
  <c r="BO8" i="36"/>
  <c r="BP8" i="36"/>
  <c r="BQ8" i="36"/>
  <c r="BR8" i="36"/>
  <c r="BS8" i="36"/>
  <c r="BM9" i="36"/>
  <c r="BN9" i="36"/>
  <c r="BO9" i="36"/>
  <c r="BP9" i="36"/>
  <c r="BQ9" i="36"/>
  <c r="BR9" i="36"/>
  <c r="BS9" i="36"/>
  <c r="BM10" i="36"/>
  <c r="BN10" i="36"/>
  <c r="BO10" i="36"/>
  <c r="BP10" i="36"/>
  <c r="BQ10" i="36"/>
  <c r="BR10" i="36"/>
  <c r="BS10" i="36"/>
  <c r="BM11" i="36"/>
  <c r="BN11" i="36"/>
  <c r="BO11" i="36"/>
  <c r="BP11" i="36"/>
  <c r="BQ11" i="36"/>
  <c r="BR11" i="36"/>
  <c r="BS11" i="36"/>
  <c r="BM12" i="36"/>
  <c r="BN12" i="36"/>
  <c r="BO12" i="36"/>
  <c r="BP12" i="36"/>
  <c r="BQ12" i="36"/>
  <c r="BR12" i="36"/>
  <c r="BS12" i="36"/>
  <c r="BM13" i="36"/>
  <c r="BN13" i="36"/>
  <c r="BO13" i="36"/>
  <c r="BP13" i="36"/>
  <c r="BQ13" i="36"/>
  <c r="BR13" i="36"/>
  <c r="BS13" i="36"/>
  <c r="BM14" i="36"/>
  <c r="BN14" i="36"/>
  <c r="BO14" i="36"/>
  <c r="BP14" i="36"/>
  <c r="BQ14" i="36"/>
  <c r="BR14" i="36"/>
  <c r="BS14" i="36"/>
  <c r="BM15" i="36"/>
  <c r="BN15" i="36"/>
  <c r="BO15" i="36"/>
  <c r="BP15" i="36"/>
  <c r="BQ15" i="36"/>
  <c r="BR15" i="36"/>
  <c r="BS15" i="36"/>
  <c r="BM16" i="36"/>
  <c r="BN16" i="36"/>
  <c r="BO16" i="36"/>
  <c r="BP16" i="36"/>
  <c r="BQ16" i="36"/>
  <c r="BR16" i="36"/>
  <c r="BS16" i="36"/>
  <c r="BM17" i="36"/>
  <c r="BN17" i="36"/>
  <c r="BO17" i="36"/>
  <c r="BP17" i="36"/>
  <c r="BQ17" i="36"/>
  <c r="BR17" i="36"/>
  <c r="BS17" i="36"/>
  <c r="BM18" i="36"/>
  <c r="BN18" i="36"/>
  <c r="BO18" i="36"/>
  <c r="BP18" i="36"/>
  <c r="BQ18" i="36"/>
  <c r="BR18" i="36"/>
  <c r="BS18" i="36"/>
  <c r="BM19" i="36"/>
  <c r="BN19" i="36"/>
  <c r="BO19" i="36"/>
  <c r="BP19" i="36"/>
  <c r="BQ19" i="36"/>
  <c r="BR19" i="36"/>
  <c r="BS19" i="36"/>
  <c r="BM20" i="36"/>
  <c r="BN20" i="36"/>
  <c r="BO20" i="36"/>
  <c r="BP20" i="36"/>
  <c r="BQ20" i="36"/>
  <c r="BR20" i="36"/>
  <c r="BS20" i="36"/>
  <c r="BM21" i="36"/>
  <c r="BN21" i="36"/>
  <c r="BO21" i="36"/>
  <c r="BP21" i="36"/>
  <c r="BQ21" i="36"/>
  <c r="BR21" i="36"/>
  <c r="BS21" i="36"/>
  <c r="BM22" i="36"/>
  <c r="BN22" i="36"/>
  <c r="BO22" i="36"/>
  <c r="BP22" i="36"/>
  <c r="BQ22" i="36"/>
  <c r="BR22" i="36"/>
  <c r="BS22" i="36"/>
  <c r="BM23" i="36"/>
  <c r="BN23" i="36"/>
  <c r="BO23" i="36"/>
  <c r="BP23" i="36"/>
  <c r="BQ23" i="36"/>
  <c r="BR23" i="36"/>
  <c r="BS23" i="36"/>
  <c r="BM24" i="36"/>
  <c r="BN24" i="36"/>
  <c r="BO24" i="36"/>
  <c r="BP24" i="36"/>
  <c r="BQ24" i="36"/>
  <c r="BR24" i="36"/>
  <c r="BS24" i="36"/>
  <c r="BM25" i="36"/>
  <c r="BN25" i="36"/>
  <c r="BO25" i="36"/>
  <c r="BP25" i="36"/>
  <c r="BQ25" i="36"/>
  <c r="BR25" i="36"/>
  <c r="BS25" i="36"/>
  <c r="BM26" i="36"/>
  <c r="BN26" i="36"/>
  <c r="BO26" i="36"/>
  <c r="BP26" i="36"/>
  <c r="BQ26" i="36"/>
  <c r="BR26" i="36"/>
  <c r="BS26" i="36"/>
  <c r="BM27" i="36"/>
  <c r="BN27" i="36"/>
  <c r="BO27" i="36"/>
  <c r="BP27" i="36"/>
  <c r="BQ27" i="36"/>
  <c r="BR27" i="36"/>
  <c r="BS27" i="36"/>
  <c r="BM28" i="36"/>
  <c r="BN28" i="36"/>
  <c r="BO28" i="36"/>
  <c r="BP28" i="36"/>
  <c r="BQ28" i="36"/>
  <c r="BR28" i="36"/>
  <c r="BS28" i="36"/>
  <c r="BM29" i="36"/>
  <c r="BN29" i="36"/>
  <c r="BO29" i="36"/>
  <c r="BP29" i="36"/>
  <c r="BQ29" i="36"/>
  <c r="BR29" i="36"/>
  <c r="BS29" i="36"/>
  <c r="BM30" i="36"/>
  <c r="BN30" i="36"/>
  <c r="BO30" i="36"/>
  <c r="BP30" i="36"/>
  <c r="BQ30" i="36"/>
  <c r="BR30" i="36"/>
  <c r="BS30" i="36"/>
  <c r="BM31" i="36"/>
  <c r="BN31" i="36"/>
  <c r="BO31" i="36"/>
  <c r="BP31" i="36"/>
  <c r="BQ31" i="36"/>
  <c r="BR31" i="36"/>
  <c r="BS31" i="36"/>
  <c r="BM32" i="36"/>
  <c r="BN32" i="36"/>
  <c r="BO32" i="36"/>
  <c r="BP32" i="36"/>
  <c r="BQ32" i="36"/>
  <c r="BR32" i="36"/>
  <c r="BS32" i="36"/>
  <c r="BM33" i="36"/>
  <c r="BN33" i="36"/>
  <c r="BO33" i="36"/>
  <c r="BP33" i="36"/>
  <c r="BQ33" i="36"/>
  <c r="BR33" i="36"/>
  <c r="BS33" i="36"/>
  <c r="BM34" i="36"/>
  <c r="BN34" i="36"/>
  <c r="BO34" i="36"/>
  <c r="BP34" i="36"/>
  <c r="BQ34" i="36"/>
  <c r="BR34" i="36"/>
  <c r="BS34" i="36"/>
  <c r="BM35" i="36"/>
  <c r="BN35" i="36"/>
  <c r="BO35" i="36"/>
  <c r="BP35" i="36"/>
  <c r="BQ35" i="36"/>
  <c r="BR35" i="36"/>
  <c r="BS35" i="36"/>
  <c r="BM36" i="36"/>
  <c r="BN36" i="36"/>
  <c r="BO36" i="36"/>
  <c r="BP36" i="36"/>
  <c r="BQ36" i="36"/>
  <c r="BR36" i="36"/>
  <c r="BS36" i="36"/>
  <c r="BM37" i="36"/>
  <c r="BN37" i="36"/>
  <c r="BO37" i="36"/>
  <c r="BP37" i="36"/>
  <c r="BQ37" i="36"/>
  <c r="BR37" i="36"/>
  <c r="BS37" i="36"/>
  <c r="BM38" i="36"/>
  <c r="BN38" i="36"/>
  <c r="BO38" i="36"/>
  <c r="BP38" i="36"/>
  <c r="BQ38" i="36"/>
  <c r="BR38" i="36"/>
  <c r="BS38" i="36"/>
  <c r="BM39" i="36"/>
  <c r="BN39" i="36"/>
  <c r="BO39" i="36"/>
  <c r="BP39" i="36"/>
  <c r="BQ39" i="36"/>
  <c r="BR39" i="36"/>
  <c r="BS39" i="36"/>
  <c r="BM40" i="36"/>
  <c r="BN40" i="36"/>
  <c r="BO40" i="36"/>
  <c r="BP40" i="36"/>
  <c r="BQ40" i="36"/>
  <c r="BR40" i="36"/>
  <c r="BS40" i="36"/>
  <c r="BM41" i="36"/>
  <c r="BN41" i="36"/>
  <c r="BO41" i="36"/>
  <c r="BP41" i="36"/>
  <c r="BQ41" i="36"/>
  <c r="BR41" i="36"/>
  <c r="BS41" i="36"/>
  <c r="BM42" i="36"/>
  <c r="BN42" i="36"/>
  <c r="BO42" i="36"/>
  <c r="BP42" i="36"/>
  <c r="BQ42" i="36"/>
  <c r="BR42" i="36"/>
  <c r="BS42" i="36"/>
  <c r="BM43" i="36"/>
  <c r="BN43" i="36"/>
  <c r="BO43" i="36"/>
  <c r="BP43" i="36"/>
  <c r="BQ43" i="36"/>
  <c r="BR43" i="36"/>
  <c r="BS43" i="36"/>
  <c r="BM44" i="36"/>
  <c r="BN44" i="36"/>
  <c r="BO44" i="36"/>
  <c r="BP44" i="36"/>
  <c r="BQ44" i="36"/>
  <c r="BR44" i="36"/>
  <c r="BS44" i="36"/>
  <c r="BM45" i="36"/>
  <c r="BN45" i="36"/>
  <c r="BO45" i="36"/>
  <c r="BP45" i="36"/>
  <c r="BQ45" i="36"/>
  <c r="BR45" i="36"/>
  <c r="BS45" i="36"/>
  <c r="BM46" i="36"/>
  <c r="BN46" i="36"/>
  <c r="BO46" i="36"/>
  <c r="BP46" i="36"/>
  <c r="BQ46" i="36"/>
  <c r="BR46" i="36"/>
  <c r="BS46" i="36"/>
  <c r="BM47" i="36"/>
  <c r="BN47" i="36"/>
  <c r="BO47" i="36"/>
  <c r="BP47" i="36"/>
  <c r="BQ47" i="36"/>
  <c r="BR47" i="36"/>
  <c r="BS47" i="36"/>
  <c r="BM48" i="36"/>
  <c r="BN48" i="36"/>
  <c r="BO48" i="36"/>
  <c r="BP48" i="36"/>
  <c r="BQ48" i="36"/>
  <c r="BR48" i="36"/>
  <c r="BS48" i="36"/>
  <c r="BM49" i="36"/>
  <c r="BN49" i="36"/>
  <c r="BO49" i="36"/>
  <c r="BP49" i="36"/>
  <c r="BQ49" i="36"/>
  <c r="BR49" i="36"/>
  <c r="BS49" i="36"/>
  <c r="BM50" i="36"/>
  <c r="BN50" i="36"/>
  <c r="BO50" i="36"/>
  <c r="BP50" i="36"/>
  <c r="BQ50" i="36"/>
  <c r="BR50" i="36"/>
  <c r="BS50" i="36"/>
  <c r="BM51" i="36"/>
  <c r="BN51" i="36"/>
  <c r="BO51" i="36"/>
  <c r="BP51" i="36"/>
  <c r="BQ51" i="36"/>
  <c r="BR51" i="36"/>
  <c r="BS51" i="36"/>
  <c r="BM52" i="36"/>
  <c r="BN52" i="36"/>
  <c r="BO52" i="36"/>
  <c r="BP52" i="36"/>
  <c r="BQ52" i="36"/>
  <c r="BR52" i="36"/>
  <c r="BS52" i="36"/>
  <c r="BM53" i="36"/>
  <c r="BN53" i="36"/>
  <c r="BO53" i="36"/>
  <c r="BP53" i="36"/>
  <c r="BQ53" i="36"/>
  <c r="BR53" i="36"/>
  <c r="BS53" i="36"/>
  <c r="BM54" i="36"/>
  <c r="BN54" i="36"/>
  <c r="BO54" i="36"/>
  <c r="BP54" i="36"/>
  <c r="BQ54" i="36"/>
  <c r="BR54" i="36"/>
  <c r="BS54" i="36"/>
  <c r="BM55" i="36"/>
  <c r="BN55" i="36"/>
  <c r="BO55" i="36"/>
  <c r="BP55" i="36"/>
  <c r="BQ55" i="36"/>
  <c r="BR55" i="36"/>
  <c r="BS55" i="36"/>
  <c r="BM56" i="36"/>
  <c r="BN56" i="36"/>
  <c r="BO56" i="36"/>
  <c r="BP56" i="36"/>
  <c r="BQ56" i="36"/>
  <c r="BR56" i="36"/>
  <c r="BS56" i="36"/>
  <c r="BM57" i="36"/>
  <c r="BN57" i="36"/>
  <c r="BO57" i="36"/>
  <c r="BP57" i="36"/>
  <c r="BQ57" i="36"/>
  <c r="BR57" i="36"/>
  <c r="BS57" i="36"/>
  <c r="BM58" i="36"/>
  <c r="BN58" i="36"/>
  <c r="BO58" i="36"/>
  <c r="BP58" i="36"/>
  <c r="BQ58" i="36"/>
  <c r="BR58" i="36"/>
  <c r="BS58" i="36"/>
  <c r="BM59" i="36"/>
  <c r="BN59" i="36"/>
  <c r="BO59" i="36"/>
  <c r="BP59" i="36"/>
  <c r="BQ59" i="36"/>
  <c r="BR59" i="36"/>
  <c r="BS59" i="36"/>
  <c r="BM60" i="36"/>
  <c r="BN60" i="36"/>
  <c r="BO60" i="36"/>
  <c r="BP60" i="36"/>
  <c r="BQ60" i="36"/>
  <c r="BR60" i="36"/>
  <c r="BS60" i="36"/>
  <c r="BM61" i="36"/>
  <c r="BN61" i="36"/>
  <c r="BO61" i="36"/>
  <c r="BP61" i="36"/>
  <c r="BQ61" i="36"/>
  <c r="BR61" i="36"/>
  <c r="BS61" i="36"/>
  <c r="BM62" i="36"/>
  <c r="BN62" i="36"/>
  <c r="BO62" i="36"/>
  <c r="BP62" i="36"/>
  <c r="BQ62" i="36"/>
  <c r="BR62" i="36"/>
  <c r="BS62" i="36"/>
  <c r="BM63" i="36"/>
  <c r="BN63" i="36"/>
  <c r="BO63" i="36"/>
  <c r="BP63" i="36"/>
  <c r="BQ63" i="36"/>
  <c r="BR63" i="36"/>
  <c r="BS63" i="36"/>
  <c r="BM64" i="36"/>
  <c r="BN64" i="36"/>
  <c r="BO64" i="36"/>
  <c r="BP64" i="36"/>
  <c r="BQ64" i="36"/>
  <c r="BR64" i="36"/>
  <c r="BS64" i="36"/>
  <c r="BM65" i="36"/>
  <c r="BN65" i="36"/>
  <c r="BO65" i="36"/>
  <c r="BP65" i="36"/>
  <c r="BQ65" i="36"/>
  <c r="BR65" i="36"/>
  <c r="BS65" i="36"/>
  <c r="BM66" i="36"/>
  <c r="BN66" i="36"/>
  <c r="BO66" i="36"/>
  <c r="BP66" i="36"/>
  <c r="BQ66" i="36"/>
  <c r="BR66" i="36"/>
  <c r="BS66" i="36"/>
  <c r="BM67" i="36"/>
  <c r="BN67" i="36"/>
  <c r="BO67" i="36"/>
  <c r="BP67" i="36"/>
  <c r="BQ67" i="36"/>
  <c r="BR67" i="36"/>
  <c r="BS67" i="36"/>
  <c r="BM68" i="36"/>
  <c r="BN68" i="36"/>
  <c r="BO68" i="36"/>
  <c r="BP68" i="36"/>
  <c r="BQ68" i="36"/>
  <c r="BR68" i="36"/>
  <c r="BS68" i="36"/>
  <c r="BM69" i="36"/>
  <c r="BN69" i="36"/>
  <c r="BO69" i="36"/>
  <c r="BP69" i="36"/>
  <c r="BQ69" i="36"/>
  <c r="BR69" i="36"/>
  <c r="BS69" i="36"/>
  <c r="BM70" i="36"/>
  <c r="BN70" i="36"/>
  <c r="BO70" i="36"/>
  <c r="BP70" i="36"/>
  <c r="BQ70" i="36"/>
  <c r="BR70" i="36"/>
  <c r="BS70" i="36"/>
  <c r="BM71" i="36"/>
  <c r="BN71" i="36"/>
  <c r="BO71" i="36"/>
  <c r="BP71" i="36"/>
  <c r="BQ71" i="36"/>
  <c r="BR71" i="36"/>
  <c r="BS71" i="36"/>
  <c r="BM72" i="36"/>
  <c r="BN72" i="36"/>
  <c r="BO72" i="36"/>
  <c r="BP72" i="36"/>
  <c r="BQ72" i="36"/>
  <c r="BR72" i="36"/>
  <c r="BS72" i="36"/>
  <c r="BM73" i="36"/>
  <c r="BN73" i="36"/>
  <c r="BO73" i="36"/>
  <c r="BP73" i="36"/>
  <c r="BQ73" i="36"/>
  <c r="BR73" i="36"/>
  <c r="BS73" i="36"/>
  <c r="BM74" i="36"/>
  <c r="BN74" i="36"/>
  <c r="BO74" i="36"/>
  <c r="BP74" i="36"/>
  <c r="BQ74" i="36"/>
  <c r="BR74" i="36"/>
  <c r="BS74" i="36"/>
  <c r="BM75" i="36"/>
  <c r="BN75" i="36"/>
  <c r="BO75" i="36"/>
  <c r="BP75" i="36"/>
  <c r="BQ75" i="36"/>
  <c r="BR75" i="36"/>
  <c r="BS75" i="36"/>
  <c r="BM76" i="36"/>
  <c r="BN76" i="36"/>
  <c r="BO76" i="36"/>
  <c r="BP76" i="36"/>
  <c r="BQ76" i="36"/>
  <c r="BR76" i="36"/>
  <c r="BS76" i="36"/>
  <c r="BM77" i="36"/>
  <c r="BN77" i="36"/>
  <c r="BO77" i="36"/>
  <c r="BP77" i="36"/>
  <c r="BQ77" i="36"/>
  <c r="BR77" i="36"/>
  <c r="BS77" i="36"/>
  <c r="BM78" i="36"/>
  <c r="BN78" i="36"/>
  <c r="BO78" i="36"/>
  <c r="BP78" i="36"/>
  <c r="BQ78" i="36"/>
  <c r="BR78" i="36"/>
  <c r="BS78" i="36"/>
  <c r="BM79" i="36"/>
  <c r="BN79" i="36"/>
  <c r="BO79" i="36"/>
  <c r="BP79" i="36"/>
  <c r="BQ79" i="36"/>
  <c r="BR79" i="36"/>
  <c r="BS79" i="36"/>
  <c r="BM80" i="36"/>
  <c r="BN80" i="36"/>
  <c r="BO80" i="36"/>
  <c r="BP80" i="36"/>
  <c r="BQ80" i="36"/>
  <c r="BR80" i="36"/>
  <c r="BS80" i="36"/>
  <c r="BM81" i="36"/>
  <c r="BN81" i="36"/>
  <c r="BO81" i="36"/>
  <c r="BP81" i="36"/>
  <c r="BQ81" i="36"/>
  <c r="BR81" i="36"/>
  <c r="BS81" i="36"/>
  <c r="BM82" i="36"/>
  <c r="BN82" i="36"/>
  <c r="BO82" i="36"/>
  <c r="BP82" i="36"/>
  <c r="BQ82" i="36"/>
  <c r="BR82" i="36"/>
  <c r="BS82" i="36"/>
  <c r="BM83" i="36"/>
  <c r="BN83" i="36"/>
  <c r="BO83" i="36"/>
  <c r="BP83" i="36"/>
  <c r="BQ83" i="36"/>
  <c r="BR83" i="36"/>
  <c r="BS83" i="36"/>
  <c r="BM84" i="36"/>
  <c r="BN84" i="36"/>
  <c r="BO84" i="36"/>
  <c r="BP84" i="36"/>
  <c r="BQ84" i="36"/>
  <c r="BR84" i="36"/>
  <c r="BS84" i="36"/>
  <c r="BM85" i="36"/>
  <c r="BN85" i="36"/>
  <c r="BO85" i="36"/>
  <c r="BP85" i="36"/>
  <c r="BQ85" i="36"/>
  <c r="BR85" i="36"/>
  <c r="BS85" i="36"/>
  <c r="BM86" i="36"/>
  <c r="BN86" i="36"/>
  <c r="BO86" i="36"/>
  <c r="BP86" i="36"/>
  <c r="BQ86" i="36"/>
  <c r="BR86" i="36"/>
  <c r="BS86" i="36"/>
  <c r="BM87" i="36"/>
  <c r="BN87" i="36"/>
  <c r="BO87" i="36"/>
  <c r="BP87" i="36"/>
  <c r="BQ87" i="36"/>
  <c r="BR87" i="36"/>
  <c r="BS87" i="36"/>
  <c r="BM88" i="36"/>
  <c r="BN88" i="36"/>
  <c r="BO88" i="36"/>
  <c r="BP88" i="36"/>
  <c r="BQ88" i="36"/>
  <c r="BR88" i="36"/>
  <c r="BS88" i="36"/>
  <c r="BM89" i="36"/>
  <c r="BN89" i="36"/>
  <c r="BO89" i="36"/>
  <c r="BP89" i="36"/>
  <c r="BQ89" i="36"/>
  <c r="BR89" i="36"/>
  <c r="BS89" i="36"/>
  <c r="BM90" i="36"/>
  <c r="BN90" i="36"/>
  <c r="BO90" i="36"/>
  <c r="BP90" i="36"/>
  <c r="BQ90" i="36"/>
  <c r="BR90" i="36"/>
  <c r="BS90" i="36"/>
  <c r="BM91" i="36"/>
  <c r="BN91" i="36"/>
  <c r="BO91" i="36"/>
  <c r="BP91" i="36"/>
  <c r="BQ91" i="36"/>
  <c r="BR91" i="36"/>
  <c r="BS91" i="36"/>
  <c r="BM92" i="36"/>
  <c r="BN92" i="36"/>
  <c r="BO92" i="36"/>
  <c r="BP92" i="36"/>
  <c r="BQ92" i="36"/>
  <c r="BR92" i="36"/>
  <c r="BS92" i="36"/>
  <c r="BM93" i="36"/>
  <c r="BN93" i="36"/>
  <c r="BO93" i="36"/>
  <c r="BP93" i="36"/>
  <c r="BQ93" i="36"/>
  <c r="BR93" i="36"/>
  <c r="BS93" i="36"/>
  <c r="BM94" i="36"/>
  <c r="BN94" i="36"/>
  <c r="BO94" i="36"/>
  <c r="BP94" i="36"/>
  <c r="BQ94" i="36"/>
  <c r="BR94" i="36"/>
  <c r="BS94" i="36"/>
  <c r="BM95" i="36"/>
  <c r="BN95" i="36"/>
  <c r="BO95" i="36"/>
  <c r="BP95" i="36"/>
  <c r="BQ95" i="36"/>
  <c r="BR95" i="36"/>
  <c r="BS95" i="36"/>
  <c r="BM96" i="36"/>
  <c r="BN96" i="36"/>
  <c r="BO96" i="36"/>
  <c r="BP96" i="36"/>
  <c r="BQ96" i="36"/>
  <c r="BR96" i="36"/>
  <c r="BS96" i="36"/>
  <c r="BM97" i="36"/>
  <c r="BN97" i="36"/>
  <c r="BO97" i="36"/>
  <c r="BP97" i="36"/>
  <c r="BQ97" i="36"/>
  <c r="BR97" i="36"/>
  <c r="BS97" i="36"/>
  <c r="BM98" i="36"/>
  <c r="BN98" i="36"/>
  <c r="BO98" i="36"/>
  <c r="BP98" i="36"/>
  <c r="BQ98" i="36"/>
  <c r="BR98" i="36"/>
  <c r="BS98" i="36"/>
  <c r="BM99" i="36"/>
  <c r="BN99" i="36"/>
  <c r="BO99" i="36"/>
  <c r="BP99" i="36"/>
  <c r="BQ99" i="36"/>
  <c r="BR99" i="36"/>
  <c r="BS99" i="36"/>
  <c r="BM100" i="36"/>
  <c r="BN100" i="36"/>
  <c r="BO100" i="36"/>
  <c r="BP100" i="36"/>
  <c r="BQ100" i="36"/>
  <c r="BR100" i="36"/>
  <c r="BS100" i="36"/>
  <c r="BM101" i="36"/>
  <c r="BN101" i="36"/>
  <c r="BO101" i="36"/>
  <c r="BP101" i="36"/>
  <c r="BQ101" i="36"/>
  <c r="BR101" i="36"/>
  <c r="BS101" i="36"/>
  <c r="BM102" i="36"/>
  <c r="BN102" i="36"/>
  <c r="BO102" i="36"/>
  <c r="BP102" i="36"/>
  <c r="BQ102" i="36"/>
  <c r="BR102" i="36"/>
  <c r="BS102" i="36"/>
  <c r="BM103" i="36"/>
  <c r="BN103" i="36"/>
  <c r="BO103" i="36"/>
  <c r="BP103" i="36"/>
  <c r="BQ103" i="36"/>
  <c r="BR103" i="36"/>
  <c r="BS103" i="36"/>
  <c r="BM104" i="36"/>
  <c r="BN104" i="36"/>
  <c r="BO104" i="36"/>
  <c r="BP104" i="36"/>
  <c r="BQ104" i="36"/>
  <c r="BR104" i="36"/>
  <c r="BS104" i="36"/>
  <c r="BM105" i="36"/>
  <c r="BN105" i="36"/>
  <c r="BO105" i="36"/>
  <c r="BP105" i="36"/>
  <c r="BQ105" i="36"/>
  <c r="BR105" i="36"/>
  <c r="BS105" i="36"/>
  <c r="BM106" i="36"/>
  <c r="BN106" i="36"/>
  <c r="BO106" i="36"/>
  <c r="BP106" i="36"/>
  <c r="BQ106" i="36"/>
  <c r="BR106" i="36"/>
  <c r="BS106" i="36"/>
  <c r="BM107" i="36"/>
  <c r="BN107" i="36"/>
  <c r="BO107" i="36"/>
  <c r="BP107" i="36"/>
  <c r="BQ107" i="36"/>
  <c r="BR107" i="36"/>
  <c r="BS107" i="36"/>
  <c r="BM108" i="36"/>
  <c r="BN108" i="36"/>
  <c r="BO108" i="36"/>
  <c r="BP108" i="36"/>
  <c r="BQ108" i="36"/>
  <c r="BR108" i="36"/>
  <c r="BS108" i="36"/>
  <c r="BM109" i="36"/>
  <c r="BN109" i="36"/>
  <c r="BO109" i="36"/>
  <c r="BP109" i="36"/>
  <c r="BQ109" i="36"/>
  <c r="BR109" i="36"/>
  <c r="BS109" i="36"/>
  <c r="BM110" i="36"/>
  <c r="BN110" i="36"/>
  <c r="BO110" i="36"/>
  <c r="BP110" i="36"/>
  <c r="BQ110" i="36"/>
  <c r="BR110" i="36"/>
  <c r="BS110" i="36"/>
  <c r="BM111" i="36"/>
  <c r="BN111" i="36"/>
  <c r="BO111" i="36"/>
  <c r="BP111" i="36"/>
  <c r="BQ111" i="36"/>
  <c r="BR111" i="36"/>
  <c r="BS111" i="36"/>
  <c r="BM112" i="36"/>
  <c r="BN112" i="36"/>
  <c r="BO112" i="36"/>
  <c r="BP112" i="36"/>
  <c r="BQ112" i="36"/>
  <c r="BR112" i="36"/>
  <c r="BS112" i="36"/>
  <c r="BM113" i="36"/>
  <c r="BN113" i="36"/>
  <c r="BO113" i="36"/>
  <c r="BP113" i="36"/>
  <c r="BQ113" i="36"/>
  <c r="BR113" i="36"/>
  <c r="BS113" i="36"/>
  <c r="BM114" i="36"/>
  <c r="BN114" i="36"/>
  <c r="BO114" i="36"/>
  <c r="BP114" i="36"/>
  <c r="BQ114" i="36"/>
  <c r="BR114" i="36"/>
  <c r="BS114" i="36"/>
  <c r="BM115" i="36"/>
  <c r="BN115" i="36"/>
  <c r="BO115" i="36"/>
  <c r="BP115" i="36"/>
  <c r="BQ115" i="36"/>
  <c r="BR115" i="36"/>
  <c r="BS115" i="36"/>
  <c r="BM116" i="36"/>
  <c r="BN116" i="36"/>
  <c r="BO116" i="36"/>
  <c r="BP116" i="36"/>
  <c r="BQ116" i="36"/>
  <c r="BR116" i="36"/>
  <c r="BS116" i="36"/>
  <c r="BM117" i="36"/>
  <c r="BN117" i="36"/>
  <c r="BO117" i="36"/>
  <c r="BP117" i="36"/>
  <c r="BQ117" i="36"/>
  <c r="BR117" i="36"/>
  <c r="BS117" i="36"/>
  <c r="BM118" i="36"/>
  <c r="BN118" i="36"/>
  <c r="BO118" i="36"/>
  <c r="BP118" i="36"/>
  <c r="BQ118" i="36"/>
  <c r="BR118" i="36"/>
  <c r="BS118" i="36"/>
  <c r="BM119" i="36"/>
  <c r="BN119" i="36"/>
  <c r="BO119" i="36"/>
  <c r="BP119" i="36"/>
  <c r="BQ119" i="36"/>
  <c r="BR119" i="36"/>
  <c r="BS119" i="36"/>
  <c r="BM120" i="36"/>
  <c r="BN120" i="36"/>
  <c r="BO120" i="36"/>
  <c r="BP120" i="36"/>
  <c r="BQ120" i="36"/>
  <c r="BR120" i="36"/>
  <c r="BS120" i="36"/>
  <c r="BM121" i="36"/>
  <c r="BN121" i="36"/>
  <c r="BO121" i="36"/>
  <c r="BP121" i="36"/>
  <c r="BQ121" i="36"/>
  <c r="BR121" i="36"/>
  <c r="BS121" i="36"/>
  <c r="BM122" i="36"/>
  <c r="BN122" i="36"/>
  <c r="BO122" i="36"/>
  <c r="BP122" i="36"/>
  <c r="BQ122" i="36"/>
  <c r="BR122" i="36"/>
  <c r="BS122" i="36"/>
  <c r="BM123" i="36"/>
  <c r="BN123" i="36"/>
  <c r="BO123" i="36"/>
  <c r="BP123" i="36"/>
  <c r="BQ123" i="36"/>
  <c r="BR123" i="36"/>
  <c r="BS123" i="36"/>
  <c r="BM124" i="36"/>
  <c r="BN124" i="36"/>
  <c r="BO124" i="36"/>
  <c r="BP124" i="36"/>
  <c r="BQ124" i="36"/>
  <c r="BR124" i="36"/>
  <c r="BS124" i="36"/>
  <c r="BN4" i="36"/>
  <c r="BO4" i="36"/>
  <c r="BP4" i="36"/>
  <c r="BQ4" i="36"/>
  <c r="BR4" i="36"/>
  <c r="BS4" i="36"/>
  <c r="BM4" i="36"/>
  <c r="T5" i="36"/>
  <c r="U5" i="36"/>
  <c r="V5" i="36"/>
  <c r="W5" i="36"/>
  <c r="X5" i="36"/>
  <c r="Y5" i="36"/>
  <c r="Z5" i="36"/>
  <c r="T6" i="36"/>
  <c r="U6" i="36"/>
  <c r="V6" i="36"/>
  <c r="W6" i="36"/>
  <c r="X6" i="36"/>
  <c r="Y6" i="36"/>
  <c r="Z6" i="36"/>
  <c r="T7" i="36"/>
  <c r="U7" i="36"/>
  <c r="V7" i="36"/>
  <c r="W7" i="36"/>
  <c r="X7" i="36"/>
  <c r="Y7" i="36"/>
  <c r="Z7" i="36"/>
  <c r="T8" i="36"/>
  <c r="U8" i="36"/>
  <c r="V8" i="36"/>
  <c r="W8" i="36"/>
  <c r="X8" i="36"/>
  <c r="Y8" i="36"/>
  <c r="Z8" i="36"/>
  <c r="T9" i="36"/>
  <c r="U9" i="36"/>
  <c r="V9" i="36"/>
  <c r="W9" i="36"/>
  <c r="X9" i="36"/>
  <c r="Y9" i="36"/>
  <c r="Z9" i="36"/>
  <c r="T10" i="36"/>
  <c r="U10" i="36"/>
  <c r="V10" i="36"/>
  <c r="W10" i="36"/>
  <c r="X10" i="36"/>
  <c r="Y10" i="36"/>
  <c r="Z10" i="36"/>
  <c r="T11" i="36"/>
  <c r="U11" i="36"/>
  <c r="V11" i="36"/>
  <c r="W11" i="36"/>
  <c r="X11" i="36"/>
  <c r="Y11" i="36"/>
  <c r="Z11" i="36"/>
  <c r="T12" i="36"/>
  <c r="U12" i="36"/>
  <c r="V12" i="36"/>
  <c r="W12" i="36"/>
  <c r="X12" i="36"/>
  <c r="Y12" i="36"/>
  <c r="Z12" i="36"/>
  <c r="T13" i="36"/>
  <c r="U13" i="36"/>
  <c r="V13" i="36"/>
  <c r="W13" i="36"/>
  <c r="X13" i="36"/>
  <c r="Y13" i="36"/>
  <c r="Z13" i="36"/>
  <c r="T14" i="36"/>
  <c r="U14" i="36"/>
  <c r="V14" i="36"/>
  <c r="W14" i="36"/>
  <c r="X14" i="36"/>
  <c r="Y14" i="36"/>
  <c r="Z14" i="36"/>
  <c r="T15" i="36"/>
  <c r="U15" i="36"/>
  <c r="V15" i="36"/>
  <c r="W15" i="36"/>
  <c r="X15" i="36"/>
  <c r="Y15" i="36"/>
  <c r="Z15" i="36"/>
  <c r="T16" i="36"/>
  <c r="U16" i="36"/>
  <c r="V16" i="36"/>
  <c r="W16" i="36"/>
  <c r="X16" i="36"/>
  <c r="Y16" i="36"/>
  <c r="Z16" i="36"/>
  <c r="T17" i="36"/>
  <c r="U17" i="36"/>
  <c r="V17" i="36"/>
  <c r="W17" i="36"/>
  <c r="X17" i="36"/>
  <c r="Y17" i="36"/>
  <c r="Z17" i="36"/>
  <c r="T18" i="36"/>
  <c r="U18" i="36"/>
  <c r="V18" i="36"/>
  <c r="W18" i="36"/>
  <c r="X18" i="36"/>
  <c r="Y18" i="36"/>
  <c r="Z18" i="36"/>
  <c r="T19" i="36"/>
  <c r="U19" i="36"/>
  <c r="V19" i="36"/>
  <c r="W19" i="36"/>
  <c r="X19" i="36"/>
  <c r="Y19" i="36"/>
  <c r="Z19" i="36"/>
  <c r="T20" i="36"/>
  <c r="U20" i="36"/>
  <c r="V20" i="36"/>
  <c r="W20" i="36"/>
  <c r="X20" i="36"/>
  <c r="Y20" i="36"/>
  <c r="Z20" i="36"/>
  <c r="T21" i="36"/>
  <c r="U21" i="36"/>
  <c r="V21" i="36"/>
  <c r="W21" i="36"/>
  <c r="X21" i="36"/>
  <c r="Y21" i="36"/>
  <c r="Z21" i="36"/>
  <c r="T22" i="36"/>
  <c r="U22" i="36"/>
  <c r="V22" i="36"/>
  <c r="W22" i="36"/>
  <c r="X22" i="36"/>
  <c r="Y22" i="36"/>
  <c r="Z22" i="36"/>
  <c r="T23" i="36"/>
  <c r="U23" i="36"/>
  <c r="V23" i="36"/>
  <c r="W23" i="36"/>
  <c r="X23" i="36"/>
  <c r="Y23" i="36"/>
  <c r="Z23" i="36"/>
  <c r="T24" i="36"/>
  <c r="U24" i="36"/>
  <c r="V24" i="36"/>
  <c r="W24" i="36"/>
  <c r="X24" i="36"/>
  <c r="Y24" i="36"/>
  <c r="Z24" i="36"/>
  <c r="T25" i="36"/>
  <c r="U25" i="36"/>
  <c r="V25" i="36"/>
  <c r="W25" i="36"/>
  <c r="X25" i="36"/>
  <c r="Y25" i="36"/>
  <c r="Z25" i="36"/>
  <c r="T26" i="36"/>
  <c r="U26" i="36"/>
  <c r="V26" i="36"/>
  <c r="W26" i="36"/>
  <c r="X26" i="36"/>
  <c r="Y26" i="36"/>
  <c r="Z26" i="36"/>
  <c r="T27" i="36"/>
  <c r="U27" i="36"/>
  <c r="V27" i="36"/>
  <c r="W27" i="36"/>
  <c r="X27" i="36"/>
  <c r="Y27" i="36"/>
  <c r="Z27" i="36"/>
  <c r="T28" i="36"/>
  <c r="U28" i="36"/>
  <c r="V28" i="36"/>
  <c r="W28" i="36"/>
  <c r="X28" i="36"/>
  <c r="Y28" i="36"/>
  <c r="Z28" i="36"/>
  <c r="T29" i="36"/>
  <c r="U29" i="36"/>
  <c r="V29" i="36"/>
  <c r="W29" i="36"/>
  <c r="X29" i="36"/>
  <c r="Y29" i="36"/>
  <c r="Z29" i="36"/>
  <c r="T30" i="36"/>
  <c r="U30" i="36"/>
  <c r="V30" i="36"/>
  <c r="W30" i="36"/>
  <c r="X30" i="36"/>
  <c r="Y30" i="36"/>
  <c r="Z30" i="36"/>
  <c r="T31" i="36"/>
  <c r="U31" i="36"/>
  <c r="V31" i="36"/>
  <c r="W31" i="36"/>
  <c r="X31" i="36"/>
  <c r="Y31" i="36"/>
  <c r="Z31" i="36"/>
  <c r="T32" i="36"/>
  <c r="U32" i="36"/>
  <c r="V32" i="36"/>
  <c r="W32" i="36"/>
  <c r="X32" i="36"/>
  <c r="Y32" i="36"/>
  <c r="Z32" i="36"/>
  <c r="T33" i="36"/>
  <c r="U33" i="36"/>
  <c r="V33" i="36"/>
  <c r="W33" i="36"/>
  <c r="X33" i="36"/>
  <c r="Y33" i="36"/>
  <c r="Z33" i="36"/>
  <c r="T34" i="36"/>
  <c r="U34" i="36"/>
  <c r="V34" i="36"/>
  <c r="W34" i="36"/>
  <c r="X34" i="36"/>
  <c r="Y34" i="36"/>
  <c r="Z34" i="36"/>
  <c r="T35" i="36"/>
  <c r="U35" i="36"/>
  <c r="V35" i="36"/>
  <c r="W35" i="36"/>
  <c r="X35" i="36"/>
  <c r="Y35" i="36"/>
  <c r="Z35" i="36"/>
  <c r="T36" i="36"/>
  <c r="U36" i="36"/>
  <c r="V36" i="36"/>
  <c r="W36" i="36"/>
  <c r="X36" i="36"/>
  <c r="Y36" i="36"/>
  <c r="Z36" i="36"/>
  <c r="T37" i="36"/>
  <c r="U37" i="36"/>
  <c r="V37" i="36"/>
  <c r="W37" i="36"/>
  <c r="X37" i="36"/>
  <c r="Y37" i="36"/>
  <c r="Z37" i="36"/>
  <c r="T38" i="36"/>
  <c r="U38" i="36"/>
  <c r="V38" i="36"/>
  <c r="W38" i="36"/>
  <c r="X38" i="36"/>
  <c r="Y38" i="36"/>
  <c r="Z38" i="36"/>
  <c r="T39" i="36"/>
  <c r="U39" i="36"/>
  <c r="V39" i="36"/>
  <c r="W39" i="36"/>
  <c r="X39" i="36"/>
  <c r="Y39" i="36"/>
  <c r="Z39" i="36"/>
  <c r="T40" i="36"/>
  <c r="U40" i="36"/>
  <c r="V40" i="36"/>
  <c r="W40" i="36"/>
  <c r="X40" i="36"/>
  <c r="Y40" i="36"/>
  <c r="Z40" i="36"/>
  <c r="T41" i="36"/>
  <c r="U41" i="36"/>
  <c r="V41" i="36"/>
  <c r="W41" i="36"/>
  <c r="X41" i="36"/>
  <c r="Y41" i="36"/>
  <c r="Z41" i="36"/>
  <c r="T42" i="36"/>
  <c r="U42" i="36"/>
  <c r="V42" i="36"/>
  <c r="W42" i="36"/>
  <c r="X42" i="36"/>
  <c r="Y42" i="36"/>
  <c r="Z42" i="36"/>
  <c r="T43" i="36"/>
  <c r="U43" i="36"/>
  <c r="V43" i="36"/>
  <c r="W43" i="36"/>
  <c r="X43" i="36"/>
  <c r="Y43" i="36"/>
  <c r="Z43" i="36"/>
  <c r="T44" i="36"/>
  <c r="U44" i="36"/>
  <c r="V44" i="36"/>
  <c r="W44" i="36"/>
  <c r="X44" i="36"/>
  <c r="Y44" i="36"/>
  <c r="Z44" i="36"/>
  <c r="T45" i="36"/>
  <c r="U45" i="36"/>
  <c r="V45" i="36"/>
  <c r="W45" i="36"/>
  <c r="X45" i="36"/>
  <c r="Y45" i="36"/>
  <c r="Z45" i="36"/>
  <c r="T46" i="36"/>
  <c r="U46" i="36"/>
  <c r="V46" i="36"/>
  <c r="W46" i="36"/>
  <c r="X46" i="36"/>
  <c r="Y46" i="36"/>
  <c r="Z46" i="36"/>
  <c r="T47" i="36"/>
  <c r="U47" i="36"/>
  <c r="V47" i="36"/>
  <c r="W47" i="36"/>
  <c r="X47" i="36"/>
  <c r="Y47" i="36"/>
  <c r="Z47" i="36"/>
  <c r="T48" i="36"/>
  <c r="U48" i="36"/>
  <c r="V48" i="36"/>
  <c r="W48" i="36"/>
  <c r="X48" i="36"/>
  <c r="Y48" i="36"/>
  <c r="Z48" i="36"/>
  <c r="T49" i="36"/>
  <c r="U49" i="36"/>
  <c r="V49" i="36"/>
  <c r="W49" i="36"/>
  <c r="X49" i="36"/>
  <c r="Y49" i="36"/>
  <c r="Z49" i="36"/>
  <c r="T50" i="36"/>
  <c r="U50" i="36"/>
  <c r="V50" i="36"/>
  <c r="W50" i="36"/>
  <c r="X50" i="36"/>
  <c r="Y50" i="36"/>
  <c r="Z50" i="36"/>
  <c r="T51" i="36"/>
  <c r="U51" i="36"/>
  <c r="V51" i="36"/>
  <c r="W51" i="36"/>
  <c r="X51" i="36"/>
  <c r="Y51" i="36"/>
  <c r="Z51" i="36"/>
  <c r="T52" i="36"/>
  <c r="U52" i="36"/>
  <c r="V52" i="36"/>
  <c r="W52" i="36"/>
  <c r="X52" i="36"/>
  <c r="Y52" i="36"/>
  <c r="Z52" i="36"/>
  <c r="T53" i="36"/>
  <c r="U53" i="36"/>
  <c r="V53" i="36"/>
  <c r="W53" i="36"/>
  <c r="X53" i="36"/>
  <c r="Y53" i="36"/>
  <c r="Z53" i="36"/>
  <c r="T54" i="36"/>
  <c r="U54" i="36"/>
  <c r="V54" i="36"/>
  <c r="W54" i="36"/>
  <c r="X54" i="36"/>
  <c r="Y54" i="36"/>
  <c r="Z54" i="36"/>
  <c r="T55" i="36"/>
  <c r="U55" i="36"/>
  <c r="V55" i="36"/>
  <c r="W55" i="36"/>
  <c r="X55" i="36"/>
  <c r="Y55" i="36"/>
  <c r="Z55" i="36"/>
  <c r="T56" i="36"/>
  <c r="U56" i="36"/>
  <c r="V56" i="36"/>
  <c r="W56" i="36"/>
  <c r="X56" i="36"/>
  <c r="Y56" i="36"/>
  <c r="Z56" i="36"/>
  <c r="T57" i="36"/>
  <c r="U57" i="36"/>
  <c r="V57" i="36"/>
  <c r="W57" i="36"/>
  <c r="X57" i="36"/>
  <c r="Y57" i="36"/>
  <c r="Z57" i="36"/>
  <c r="T58" i="36"/>
  <c r="U58" i="36"/>
  <c r="V58" i="36"/>
  <c r="W58" i="36"/>
  <c r="X58" i="36"/>
  <c r="Y58" i="36"/>
  <c r="Z58" i="36"/>
  <c r="T59" i="36"/>
  <c r="U59" i="36"/>
  <c r="V59" i="36"/>
  <c r="W59" i="36"/>
  <c r="X59" i="36"/>
  <c r="Y59" i="36"/>
  <c r="Z59" i="36"/>
  <c r="T60" i="36"/>
  <c r="U60" i="36"/>
  <c r="V60" i="36"/>
  <c r="W60" i="36"/>
  <c r="X60" i="36"/>
  <c r="Y60" i="36"/>
  <c r="Z60" i="36"/>
  <c r="T61" i="36"/>
  <c r="U61" i="36"/>
  <c r="V61" i="36"/>
  <c r="W61" i="36"/>
  <c r="X61" i="36"/>
  <c r="Y61" i="36"/>
  <c r="Z61" i="36"/>
  <c r="T62" i="36"/>
  <c r="U62" i="36"/>
  <c r="V62" i="36"/>
  <c r="W62" i="36"/>
  <c r="X62" i="36"/>
  <c r="Y62" i="36"/>
  <c r="Z62" i="36"/>
  <c r="T63" i="36"/>
  <c r="U63" i="36"/>
  <c r="V63" i="36"/>
  <c r="W63" i="36"/>
  <c r="X63" i="36"/>
  <c r="Y63" i="36"/>
  <c r="Z63" i="36"/>
  <c r="T64" i="36"/>
  <c r="U64" i="36"/>
  <c r="V64" i="36"/>
  <c r="W64" i="36"/>
  <c r="X64" i="36"/>
  <c r="Y64" i="36"/>
  <c r="Z64" i="36"/>
  <c r="T65" i="36"/>
  <c r="U65" i="36"/>
  <c r="V65" i="36"/>
  <c r="W65" i="36"/>
  <c r="X65" i="36"/>
  <c r="Y65" i="36"/>
  <c r="Z65" i="36"/>
  <c r="T66" i="36"/>
  <c r="U66" i="36"/>
  <c r="V66" i="36"/>
  <c r="W66" i="36"/>
  <c r="X66" i="36"/>
  <c r="Y66" i="36"/>
  <c r="Z66" i="36"/>
  <c r="T67" i="36"/>
  <c r="U67" i="36"/>
  <c r="V67" i="36"/>
  <c r="W67" i="36"/>
  <c r="X67" i="36"/>
  <c r="Y67" i="36"/>
  <c r="Z67" i="36"/>
  <c r="T68" i="36"/>
  <c r="U68" i="36"/>
  <c r="V68" i="36"/>
  <c r="W68" i="36"/>
  <c r="X68" i="36"/>
  <c r="Y68" i="36"/>
  <c r="Z68" i="36"/>
  <c r="T69" i="36"/>
  <c r="U69" i="36"/>
  <c r="V69" i="36"/>
  <c r="W69" i="36"/>
  <c r="X69" i="36"/>
  <c r="Y69" i="36"/>
  <c r="Z69" i="36"/>
  <c r="T70" i="36"/>
  <c r="U70" i="36"/>
  <c r="V70" i="36"/>
  <c r="W70" i="36"/>
  <c r="X70" i="36"/>
  <c r="Y70" i="36"/>
  <c r="Z70" i="36"/>
  <c r="T71" i="36"/>
  <c r="U71" i="36"/>
  <c r="V71" i="36"/>
  <c r="W71" i="36"/>
  <c r="X71" i="36"/>
  <c r="Y71" i="36"/>
  <c r="Z71" i="36"/>
  <c r="T72" i="36"/>
  <c r="U72" i="36"/>
  <c r="V72" i="36"/>
  <c r="W72" i="36"/>
  <c r="X72" i="36"/>
  <c r="Y72" i="36"/>
  <c r="Z72" i="36"/>
  <c r="T73" i="36"/>
  <c r="U73" i="36"/>
  <c r="V73" i="36"/>
  <c r="W73" i="36"/>
  <c r="X73" i="36"/>
  <c r="Y73" i="36"/>
  <c r="Z73" i="36"/>
  <c r="T74" i="36"/>
  <c r="U74" i="36"/>
  <c r="V74" i="36"/>
  <c r="W74" i="36"/>
  <c r="X74" i="36"/>
  <c r="Y74" i="36"/>
  <c r="Z74" i="36"/>
  <c r="T75" i="36"/>
  <c r="U75" i="36"/>
  <c r="V75" i="36"/>
  <c r="W75" i="36"/>
  <c r="X75" i="36"/>
  <c r="Y75" i="36"/>
  <c r="Z75" i="36"/>
  <c r="T76" i="36"/>
  <c r="U76" i="36"/>
  <c r="V76" i="36"/>
  <c r="W76" i="36"/>
  <c r="X76" i="36"/>
  <c r="Y76" i="36"/>
  <c r="Z76" i="36"/>
  <c r="T77" i="36"/>
  <c r="U77" i="36"/>
  <c r="V77" i="36"/>
  <c r="W77" i="36"/>
  <c r="X77" i="36"/>
  <c r="Y77" i="36"/>
  <c r="Z77" i="36"/>
  <c r="T78" i="36"/>
  <c r="U78" i="36"/>
  <c r="V78" i="36"/>
  <c r="W78" i="36"/>
  <c r="X78" i="36"/>
  <c r="Y78" i="36"/>
  <c r="Z78" i="36"/>
  <c r="T79" i="36"/>
  <c r="U79" i="36"/>
  <c r="V79" i="36"/>
  <c r="W79" i="36"/>
  <c r="X79" i="36"/>
  <c r="Y79" i="36"/>
  <c r="Z79" i="36"/>
  <c r="T80" i="36"/>
  <c r="U80" i="36"/>
  <c r="V80" i="36"/>
  <c r="W80" i="36"/>
  <c r="X80" i="36"/>
  <c r="Y80" i="36"/>
  <c r="Z80" i="36"/>
  <c r="T81" i="36"/>
  <c r="U81" i="36"/>
  <c r="V81" i="36"/>
  <c r="W81" i="36"/>
  <c r="X81" i="36"/>
  <c r="Y81" i="36"/>
  <c r="Z81" i="36"/>
  <c r="T82" i="36"/>
  <c r="U82" i="36"/>
  <c r="V82" i="36"/>
  <c r="W82" i="36"/>
  <c r="X82" i="36"/>
  <c r="Y82" i="36"/>
  <c r="Z82" i="36"/>
  <c r="T83" i="36"/>
  <c r="U83" i="36"/>
  <c r="V83" i="36"/>
  <c r="W83" i="36"/>
  <c r="X83" i="36"/>
  <c r="Y83" i="36"/>
  <c r="Z83" i="36"/>
  <c r="T84" i="36"/>
  <c r="U84" i="36"/>
  <c r="V84" i="36"/>
  <c r="W84" i="36"/>
  <c r="X84" i="36"/>
  <c r="Y84" i="36"/>
  <c r="Z84" i="36"/>
  <c r="T85" i="36"/>
  <c r="U85" i="36"/>
  <c r="V85" i="36"/>
  <c r="W85" i="36"/>
  <c r="X85" i="36"/>
  <c r="Y85" i="36"/>
  <c r="Z85" i="36"/>
  <c r="T86" i="36"/>
  <c r="U86" i="36"/>
  <c r="V86" i="36"/>
  <c r="W86" i="36"/>
  <c r="X86" i="36"/>
  <c r="Y86" i="36"/>
  <c r="Z86" i="36"/>
  <c r="T87" i="36"/>
  <c r="U87" i="36"/>
  <c r="V87" i="36"/>
  <c r="W87" i="36"/>
  <c r="X87" i="36"/>
  <c r="Y87" i="36"/>
  <c r="Z87" i="36"/>
  <c r="T88" i="36"/>
  <c r="U88" i="36"/>
  <c r="V88" i="36"/>
  <c r="W88" i="36"/>
  <c r="X88" i="36"/>
  <c r="Y88" i="36"/>
  <c r="Z88" i="36"/>
  <c r="T89" i="36"/>
  <c r="U89" i="36"/>
  <c r="V89" i="36"/>
  <c r="W89" i="36"/>
  <c r="X89" i="36"/>
  <c r="Y89" i="36"/>
  <c r="Z89" i="36"/>
  <c r="T90" i="36"/>
  <c r="U90" i="36"/>
  <c r="V90" i="36"/>
  <c r="W90" i="36"/>
  <c r="X90" i="36"/>
  <c r="Y90" i="36"/>
  <c r="Z90" i="36"/>
  <c r="T91" i="36"/>
  <c r="U91" i="36"/>
  <c r="V91" i="36"/>
  <c r="W91" i="36"/>
  <c r="X91" i="36"/>
  <c r="Y91" i="36"/>
  <c r="Z91" i="36"/>
  <c r="T92" i="36"/>
  <c r="U92" i="36"/>
  <c r="V92" i="36"/>
  <c r="W92" i="36"/>
  <c r="X92" i="36"/>
  <c r="Y92" i="36"/>
  <c r="Z92" i="36"/>
  <c r="T93" i="36"/>
  <c r="U93" i="36"/>
  <c r="V93" i="36"/>
  <c r="W93" i="36"/>
  <c r="X93" i="36"/>
  <c r="Y93" i="36"/>
  <c r="Z93" i="36"/>
  <c r="T94" i="36"/>
  <c r="U94" i="36"/>
  <c r="V94" i="36"/>
  <c r="W94" i="36"/>
  <c r="X94" i="36"/>
  <c r="Y94" i="36"/>
  <c r="Z94" i="36"/>
  <c r="T95" i="36"/>
  <c r="U95" i="36"/>
  <c r="V95" i="36"/>
  <c r="W95" i="36"/>
  <c r="X95" i="36"/>
  <c r="Y95" i="36"/>
  <c r="Z95" i="36"/>
  <c r="T96" i="36"/>
  <c r="U96" i="36"/>
  <c r="V96" i="36"/>
  <c r="W96" i="36"/>
  <c r="X96" i="36"/>
  <c r="Y96" i="36"/>
  <c r="Z96" i="36"/>
  <c r="T97" i="36"/>
  <c r="U97" i="36"/>
  <c r="V97" i="36"/>
  <c r="W97" i="36"/>
  <c r="X97" i="36"/>
  <c r="Y97" i="36"/>
  <c r="Z97" i="36"/>
  <c r="T98" i="36"/>
  <c r="U98" i="36"/>
  <c r="V98" i="36"/>
  <c r="W98" i="36"/>
  <c r="X98" i="36"/>
  <c r="Y98" i="36"/>
  <c r="Z98" i="36"/>
  <c r="T99" i="36"/>
  <c r="U99" i="36"/>
  <c r="V99" i="36"/>
  <c r="W99" i="36"/>
  <c r="X99" i="36"/>
  <c r="Y99" i="36"/>
  <c r="Z99" i="36"/>
  <c r="T100" i="36"/>
  <c r="U100" i="36"/>
  <c r="V100" i="36"/>
  <c r="W100" i="36"/>
  <c r="X100" i="36"/>
  <c r="Y100" i="36"/>
  <c r="Z100" i="36"/>
  <c r="T101" i="36"/>
  <c r="U101" i="36"/>
  <c r="V101" i="36"/>
  <c r="W101" i="36"/>
  <c r="X101" i="36"/>
  <c r="Y101" i="36"/>
  <c r="Z101" i="36"/>
  <c r="T102" i="36"/>
  <c r="U102" i="36"/>
  <c r="V102" i="36"/>
  <c r="W102" i="36"/>
  <c r="X102" i="36"/>
  <c r="Y102" i="36"/>
  <c r="Z102" i="36"/>
  <c r="T103" i="36"/>
  <c r="U103" i="36"/>
  <c r="V103" i="36"/>
  <c r="W103" i="36"/>
  <c r="X103" i="36"/>
  <c r="Y103" i="36"/>
  <c r="Z103" i="36"/>
  <c r="T104" i="36"/>
  <c r="U104" i="36"/>
  <c r="V104" i="36"/>
  <c r="W104" i="36"/>
  <c r="X104" i="36"/>
  <c r="Y104" i="36"/>
  <c r="Z104" i="36"/>
  <c r="T105" i="36"/>
  <c r="U105" i="36"/>
  <c r="V105" i="36"/>
  <c r="W105" i="36"/>
  <c r="X105" i="36"/>
  <c r="Y105" i="36"/>
  <c r="Z105" i="36"/>
  <c r="T106" i="36"/>
  <c r="U106" i="36"/>
  <c r="V106" i="36"/>
  <c r="W106" i="36"/>
  <c r="X106" i="36"/>
  <c r="Y106" i="36"/>
  <c r="Z106" i="36"/>
  <c r="T107" i="36"/>
  <c r="U107" i="36"/>
  <c r="V107" i="36"/>
  <c r="W107" i="36"/>
  <c r="X107" i="36"/>
  <c r="Y107" i="36"/>
  <c r="Z107" i="36"/>
  <c r="T108" i="36"/>
  <c r="U108" i="36"/>
  <c r="V108" i="36"/>
  <c r="W108" i="36"/>
  <c r="X108" i="36"/>
  <c r="Y108" i="36"/>
  <c r="Z108" i="36"/>
  <c r="T109" i="36"/>
  <c r="U109" i="36"/>
  <c r="V109" i="36"/>
  <c r="W109" i="36"/>
  <c r="X109" i="36"/>
  <c r="Y109" i="36"/>
  <c r="Z109" i="36"/>
  <c r="T110" i="36"/>
  <c r="U110" i="36"/>
  <c r="V110" i="36"/>
  <c r="W110" i="36"/>
  <c r="X110" i="36"/>
  <c r="Y110" i="36"/>
  <c r="Z110" i="36"/>
  <c r="T111" i="36"/>
  <c r="U111" i="36"/>
  <c r="V111" i="36"/>
  <c r="W111" i="36"/>
  <c r="X111" i="36"/>
  <c r="Y111" i="36"/>
  <c r="Z111" i="36"/>
  <c r="T112" i="36"/>
  <c r="U112" i="36"/>
  <c r="V112" i="36"/>
  <c r="W112" i="36"/>
  <c r="X112" i="36"/>
  <c r="Y112" i="36"/>
  <c r="Z112" i="36"/>
  <c r="T113" i="36"/>
  <c r="U113" i="36"/>
  <c r="V113" i="36"/>
  <c r="W113" i="36"/>
  <c r="X113" i="36"/>
  <c r="Y113" i="36"/>
  <c r="Z113" i="36"/>
  <c r="T114" i="36"/>
  <c r="U114" i="36"/>
  <c r="V114" i="36"/>
  <c r="W114" i="36"/>
  <c r="X114" i="36"/>
  <c r="Y114" i="36"/>
  <c r="Z114" i="36"/>
  <c r="T115" i="36"/>
  <c r="U115" i="36"/>
  <c r="V115" i="36"/>
  <c r="W115" i="36"/>
  <c r="X115" i="36"/>
  <c r="Y115" i="36"/>
  <c r="Z115" i="36"/>
  <c r="T116" i="36"/>
  <c r="U116" i="36"/>
  <c r="V116" i="36"/>
  <c r="W116" i="36"/>
  <c r="X116" i="36"/>
  <c r="Y116" i="36"/>
  <c r="Z116" i="36"/>
  <c r="T117" i="36"/>
  <c r="U117" i="36"/>
  <c r="V117" i="36"/>
  <c r="W117" i="36"/>
  <c r="X117" i="36"/>
  <c r="Y117" i="36"/>
  <c r="Z117" i="36"/>
  <c r="T118" i="36"/>
  <c r="U118" i="36"/>
  <c r="V118" i="36"/>
  <c r="W118" i="36"/>
  <c r="X118" i="36"/>
  <c r="Y118" i="36"/>
  <c r="Z118" i="36"/>
  <c r="T119" i="36"/>
  <c r="U119" i="36"/>
  <c r="V119" i="36"/>
  <c r="W119" i="36"/>
  <c r="X119" i="36"/>
  <c r="Y119" i="36"/>
  <c r="Z119" i="36"/>
  <c r="T120" i="36"/>
  <c r="U120" i="36"/>
  <c r="V120" i="36"/>
  <c r="W120" i="36"/>
  <c r="X120" i="36"/>
  <c r="Y120" i="36"/>
  <c r="Z120" i="36"/>
  <c r="T121" i="36"/>
  <c r="U121" i="36"/>
  <c r="V121" i="36"/>
  <c r="W121" i="36"/>
  <c r="X121" i="36"/>
  <c r="Y121" i="36"/>
  <c r="Z121" i="36"/>
  <c r="T122" i="36"/>
  <c r="U122" i="36"/>
  <c r="V122" i="36"/>
  <c r="W122" i="36"/>
  <c r="X122" i="36"/>
  <c r="Y122" i="36"/>
  <c r="Z122" i="36"/>
  <c r="T123" i="36"/>
  <c r="U123" i="36"/>
  <c r="V123" i="36"/>
  <c r="W123" i="36"/>
  <c r="X123" i="36"/>
  <c r="Y123" i="36"/>
  <c r="Z123" i="36"/>
  <c r="T124" i="36"/>
  <c r="U124" i="36"/>
  <c r="V124" i="36"/>
  <c r="W124" i="36"/>
  <c r="X124" i="36"/>
  <c r="Y124" i="36"/>
  <c r="Z124" i="36"/>
  <c r="U4" i="36"/>
  <c r="V4" i="36"/>
  <c r="W4" i="36"/>
  <c r="X4" i="36"/>
  <c r="Y4" i="36"/>
  <c r="Z4" i="36"/>
  <c r="T4" i="36"/>
  <c r="T5" i="37"/>
  <c r="U5" i="37"/>
  <c r="V5" i="37"/>
  <c r="W5" i="37"/>
  <c r="X5" i="37"/>
  <c r="Y5" i="37"/>
  <c r="Z5" i="37"/>
  <c r="T6" i="37"/>
  <c r="U6" i="37"/>
  <c r="V6" i="37"/>
  <c r="W6" i="37"/>
  <c r="X6" i="37"/>
  <c r="Y6" i="37"/>
  <c r="Z6" i="37"/>
  <c r="T7" i="37"/>
  <c r="U7" i="37"/>
  <c r="V7" i="37"/>
  <c r="W7" i="37"/>
  <c r="X7" i="37"/>
  <c r="Y7" i="37"/>
  <c r="Z7" i="37"/>
  <c r="T8" i="37"/>
  <c r="U8" i="37"/>
  <c r="V8" i="37"/>
  <c r="W8" i="37"/>
  <c r="X8" i="37"/>
  <c r="Y8" i="37"/>
  <c r="Z8" i="37"/>
  <c r="T9" i="37"/>
  <c r="U9" i="37"/>
  <c r="V9" i="37"/>
  <c r="W9" i="37"/>
  <c r="X9" i="37"/>
  <c r="Y9" i="37"/>
  <c r="Z9" i="37"/>
  <c r="T10" i="37"/>
  <c r="U10" i="37"/>
  <c r="V10" i="37"/>
  <c r="W10" i="37"/>
  <c r="X10" i="37"/>
  <c r="Y10" i="37"/>
  <c r="Z10" i="37"/>
  <c r="T11" i="37"/>
  <c r="U11" i="37"/>
  <c r="V11" i="37"/>
  <c r="W11" i="37"/>
  <c r="X11" i="37"/>
  <c r="Y11" i="37"/>
  <c r="Z11" i="37"/>
  <c r="T12" i="37"/>
  <c r="U12" i="37"/>
  <c r="V12" i="37"/>
  <c r="W12" i="37"/>
  <c r="X12" i="37"/>
  <c r="Y12" i="37"/>
  <c r="Z12" i="37"/>
  <c r="T13" i="37"/>
  <c r="U13" i="37"/>
  <c r="V13" i="37"/>
  <c r="W13" i="37"/>
  <c r="X13" i="37"/>
  <c r="Y13" i="37"/>
  <c r="Z13" i="37"/>
  <c r="T14" i="37"/>
  <c r="U14" i="37"/>
  <c r="V14" i="37"/>
  <c r="W14" i="37"/>
  <c r="X14" i="37"/>
  <c r="Y14" i="37"/>
  <c r="Z14" i="37"/>
  <c r="T15" i="37"/>
  <c r="U15" i="37"/>
  <c r="V15" i="37"/>
  <c r="W15" i="37"/>
  <c r="X15" i="37"/>
  <c r="Y15" i="37"/>
  <c r="Z15" i="37"/>
  <c r="T16" i="37"/>
  <c r="U16" i="37"/>
  <c r="V16" i="37"/>
  <c r="W16" i="37"/>
  <c r="X16" i="37"/>
  <c r="Y16" i="37"/>
  <c r="Z16" i="37"/>
  <c r="T17" i="37"/>
  <c r="U17" i="37"/>
  <c r="V17" i="37"/>
  <c r="W17" i="37"/>
  <c r="X17" i="37"/>
  <c r="Y17" i="37"/>
  <c r="Z17" i="37"/>
  <c r="T18" i="37"/>
  <c r="U18" i="37"/>
  <c r="V18" i="37"/>
  <c r="W18" i="37"/>
  <c r="X18" i="37"/>
  <c r="Y18" i="37"/>
  <c r="Z18" i="37"/>
  <c r="T19" i="37"/>
  <c r="U19" i="37"/>
  <c r="V19" i="37"/>
  <c r="W19" i="37"/>
  <c r="X19" i="37"/>
  <c r="Y19" i="37"/>
  <c r="Z19" i="37"/>
  <c r="T20" i="37"/>
  <c r="U20" i="37"/>
  <c r="V20" i="37"/>
  <c r="W20" i="37"/>
  <c r="X20" i="37"/>
  <c r="Y20" i="37"/>
  <c r="Z20" i="37"/>
  <c r="T21" i="37"/>
  <c r="U21" i="37"/>
  <c r="V21" i="37"/>
  <c r="W21" i="37"/>
  <c r="X21" i="37"/>
  <c r="Y21" i="37"/>
  <c r="Z21" i="37"/>
  <c r="T22" i="37"/>
  <c r="U22" i="37"/>
  <c r="V22" i="37"/>
  <c r="W22" i="37"/>
  <c r="X22" i="37"/>
  <c r="Y22" i="37"/>
  <c r="Z22" i="37"/>
  <c r="T23" i="37"/>
  <c r="U23" i="37"/>
  <c r="V23" i="37"/>
  <c r="W23" i="37"/>
  <c r="X23" i="37"/>
  <c r="Y23" i="37"/>
  <c r="Z23" i="37"/>
  <c r="T24" i="37"/>
  <c r="U24" i="37"/>
  <c r="V24" i="37"/>
  <c r="W24" i="37"/>
  <c r="X24" i="37"/>
  <c r="Y24" i="37"/>
  <c r="Z24" i="37"/>
  <c r="T25" i="37"/>
  <c r="U25" i="37"/>
  <c r="V25" i="37"/>
  <c r="W25" i="37"/>
  <c r="X25" i="37"/>
  <c r="Y25" i="37"/>
  <c r="Z25" i="37"/>
  <c r="T26" i="37"/>
  <c r="U26" i="37"/>
  <c r="V26" i="37"/>
  <c r="W26" i="37"/>
  <c r="X26" i="37"/>
  <c r="Y26" i="37"/>
  <c r="Z26" i="37"/>
  <c r="T27" i="37"/>
  <c r="U27" i="37"/>
  <c r="V27" i="37"/>
  <c r="W27" i="37"/>
  <c r="X27" i="37"/>
  <c r="Y27" i="37"/>
  <c r="Z27" i="37"/>
  <c r="T28" i="37"/>
  <c r="U28" i="37"/>
  <c r="V28" i="37"/>
  <c r="W28" i="37"/>
  <c r="X28" i="37"/>
  <c r="Y28" i="37"/>
  <c r="Z28" i="37"/>
  <c r="T29" i="37"/>
  <c r="U29" i="37"/>
  <c r="V29" i="37"/>
  <c r="W29" i="37"/>
  <c r="X29" i="37"/>
  <c r="Y29" i="37"/>
  <c r="Z29" i="37"/>
  <c r="T30" i="37"/>
  <c r="U30" i="37"/>
  <c r="V30" i="37"/>
  <c r="W30" i="37"/>
  <c r="X30" i="37"/>
  <c r="Y30" i="37"/>
  <c r="Z30" i="37"/>
  <c r="T31" i="37"/>
  <c r="U31" i="37"/>
  <c r="V31" i="37"/>
  <c r="W31" i="37"/>
  <c r="X31" i="37"/>
  <c r="Y31" i="37"/>
  <c r="Z31" i="37"/>
  <c r="T32" i="37"/>
  <c r="U32" i="37"/>
  <c r="V32" i="37"/>
  <c r="W32" i="37"/>
  <c r="X32" i="37"/>
  <c r="Y32" i="37"/>
  <c r="Z32" i="37"/>
  <c r="T33" i="37"/>
  <c r="U33" i="37"/>
  <c r="V33" i="37"/>
  <c r="W33" i="37"/>
  <c r="X33" i="37"/>
  <c r="Y33" i="37"/>
  <c r="Z33" i="37"/>
  <c r="T34" i="37"/>
  <c r="U34" i="37"/>
  <c r="V34" i="37"/>
  <c r="W34" i="37"/>
  <c r="X34" i="37"/>
  <c r="Y34" i="37"/>
  <c r="Z34" i="37"/>
  <c r="T35" i="37"/>
  <c r="U35" i="37"/>
  <c r="V35" i="37"/>
  <c r="W35" i="37"/>
  <c r="X35" i="37"/>
  <c r="Y35" i="37"/>
  <c r="Z35" i="37"/>
  <c r="T36" i="37"/>
  <c r="U36" i="37"/>
  <c r="V36" i="37"/>
  <c r="W36" i="37"/>
  <c r="X36" i="37"/>
  <c r="Y36" i="37"/>
  <c r="Z36" i="37"/>
  <c r="T37" i="37"/>
  <c r="U37" i="37"/>
  <c r="V37" i="37"/>
  <c r="W37" i="37"/>
  <c r="X37" i="37"/>
  <c r="Y37" i="37"/>
  <c r="Z37" i="37"/>
  <c r="T38" i="37"/>
  <c r="U38" i="37"/>
  <c r="V38" i="37"/>
  <c r="W38" i="37"/>
  <c r="X38" i="37"/>
  <c r="Y38" i="37"/>
  <c r="Z38" i="37"/>
  <c r="T39" i="37"/>
  <c r="U39" i="37"/>
  <c r="V39" i="37"/>
  <c r="W39" i="37"/>
  <c r="X39" i="37"/>
  <c r="Y39" i="37"/>
  <c r="Z39" i="37"/>
  <c r="T40" i="37"/>
  <c r="U40" i="37"/>
  <c r="V40" i="37"/>
  <c r="W40" i="37"/>
  <c r="X40" i="37"/>
  <c r="Y40" i="37"/>
  <c r="Z40" i="37"/>
  <c r="T41" i="37"/>
  <c r="U41" i="37"/>
  <c r="V41" i="37"/>
  <c r="W41" i="37"/>
  <c r="X41" i="37"/>
  <c r="Y41" i="37"/>
  <c r="Z41" i="37"/>
  <c r="T42" i="37"/>
  <c r="U42" i="37"/>
  <c r="V42" i="37"/>
  <c r="W42" i="37"/>
  <c r="X42" i="37"/>
  <c r="Y42" i="37"/>
  <c r="Z42" i="37"/>
  <c r="T43" i="37"/>
  <c r="U43" i="37"/>
  <c r="V43" i="37"/>
  <c r="W43" i="37"/>
  <c r="X43" i="37"/>
  <c r="Y43" i="37"/>
  <c r="Z43" i="37"/>
  <c r="T44" i="37"/>
  <c r="U44" i="37"/>
  <c r="V44" i="37"/>
  <c r="W44" i="37"/>
  <c r="X44" i="37"/>
  <c r="Y44" i="37"/>
  <c r="Z44" i="37"/>
  <c r="T45" i="37"/>
  <c r="U45" i="37"/>
  <c r="V45" i="37"/>
  <c r="W45" i="37"/>
  <c r="X45" i="37"/>
  <c r="Y45" i="37"/>
  <c r="Z45" i="37"/>
  <c r="T46" i="37"/>
  <c r="U46" i="37"/>
  <c r="V46" i="37"/>
  <c r="W46" i="37"/>
  <c r="X46" i="37"/>
  <c r="Y46" i="37"/>
  <c r="Z46" i="37"/>
  <c r="T47" i="37"/>
  <c r="U47" i="37"/>
  <c r="V47" i="37"/>
  <c r="W47" i="37"/>
  <c r="X47" i="37"/>
  <c r="Y47" i="37"/>
  <c r="Z47" i="37"/>
  <c r="T48" i="37"/>
  <c r="U48" i="37"/>
  <c r="V48" i="37"/>
  <c r="W48" i="37"/>
  <c r="X48" i="37"/>
  <c r="Y48" i="37"/>
  <c r="Z48" i="37"/>
  <c r="T49" i="37"/>
  <c r="U49" i="37"/>
  <c r="V49" i="37"/>
  <c r="W49" i="37"/>
  <c r="X49" i="37"/>
  <c r="Y49" i="37"/>
  <c r="Z49" i="37"/>
  <c r="T50" i="37"/>
  <c r="U50" i="37"/>
  <c r="V50" i="37"/>
  <c r="W50" i="37"/>
  <c r="X50" i="37"/>
  <c r="Y50" i="37"/>
  <c r="Z50" i="37"/>
  <c r="T51" i="37"/>
  <c r="U51" i="37"/>
  <c r="V51" i="37"/>
  <c r="W51" i="37"/>
  <c r="X51" i="37"/>
  <c r="Y51" i="37"/>
  <c r="Z51" i="37"/>
  <c r="T52" i="37"/>
  <c r="U52" i="37"/>
  <c r="V52" i="37"/>
  <c r="W52" i="37"/>
  <c r="X52" i="37"/>
  <c r="Y52" i="37"/>
  <c r="Z52" i="37"/>
  <c r="T53" i="37"/>
  <c r="U53" i="37"/>
  <c r="V53" i="37"/>
  <c r="W53" i="37"/>
  <c r="X53" i="37"/>
  <c r="Y53" i="37"/>
  <c r="Z53" i="37"/>
  <c r="T54" i="37"/>
  <c r="U54" i="37"/>
  <c r="V54" i="37"/>
  <c r="W54" i="37"/>
  <c r="X54" i="37"/>
  <c r="Y54" i="37"/>
  <c r="Z54" i="37"/>
  <c r="T55" i="37"/>
  <c r="U55" i="37"/>
  <c r="V55" i="37"/>
  <c r="W55" i="37"/>
  <c r="X55" i="37"/>
  <c r="Y55" i="37"/>
  <c r="Z55" i="37"/>
  <c r="T56" i="37"/>
  <c r="U56" i="37"/>
  <c r="V56" i="37"/>
  <c r="W56" i="37"/>
  <c r="X56" i="37"/>
  <c r="Y56" i="37"/>
  <c r="Z56" i="37"/>
  <c r="T57" i="37"/>
  <c r="U57" i="37"/>
  <c r="V57" i="37"/>
  <c r="W57" i="37"/>
  <c r="X57" i="37"/>
  <c r="Y57" i="37"/>
  <c r="Z57" i="37"/>
  <c r="T58" i="37"/>
  <c r="U58" i="37"/>
  <c r="V58" i="37"/>
  <c r="W58" i="37"/>
  <c r="X58" i="37"/>
  <c r="Y58" i="37"/>
  <c r="Z58" i="37"/>
  <c r="T59" i="37"/>
  <c r="U59" i="37"/>
  <c r="V59" i="37"/>
  <c r="W59" i="37"/>
  <c r="X59" i="37"/>
  <c r="Y59" i="37"/>
  <c r="Z59" i="37"/>
  <c r="T60" i="37"/>
  <c r="U60" i="37"/>
  <c r="V60" i="37"/>
  <c r="W60" i="37"/>
  <c r="X60" i="37"/>
  <c r="Y60" i="37"/>
  <c r="Z60" i="37"/>
  <c r="T61" i="37"/>
  <c r="U61" i="37"/>
  <c r="V61" i="37"/>
  <c r="W61" i="37"/>
  <c r="X61" i="37"/>
  <c r="Y61" i="37"/>
  <c r="Z61" i="37"/>
  <c r="T62" i="37"/>
  <c r="U62" i="37"/>
  <c r="V62" i="37"/>
  <c r="W62" i="37"/>
  <c r="X62" i="37"/>
  <c r="Y62" i="37"/>
  <c r="Z62" i="37"/>
  <c r="T63" i="37"/>
  <c r="U63" i="37"/>
  <c r="V63" i="37"/>
  <c r="W63" i="37"/>
  <c r="X63" i="37"/>
  <c r="Y63" i="37"/>
  <c r="Z63" i="37"/>
  <c r="U4" i="37"/>
  <c r="V4" i="37"/>
  <c r="W4" i="37"/>
  <c r="X4" i="37"/>
  <c r="Y4" i="37"/>
  <c r="Z4" i="37"/>
  <c r="T4" i="37"/>
  <c r="AB16" i="58"/>
  <c r="W16" i="58"/>
  <c r="R16" i="58"/>
  <c r="M16" i="58"/>
  <c r="H16" i="58"/>
  <c r="C16" i="58"/>
  <c r="C5" i="4"/>
  <c r="CQ4" i="36" l="1"/>
  <c r="CQ29" i="36"/>
  <c r="CQ28" i="36"/>
  <c r="CQ20" i="36"/>
  <c r="CQ12" i="36"/>
  <c r="CQ13" i="36"/>
  <c r="CQ5" i="36"/>
  <c r="CQ21" i="36"/>
  <c r="CQ11" i="36"/>
  <c r="CQ22" i="36"/>
  <c r="CQ6" i="36"/>
  <c r="CQ15" i="36"/>
  <c r="CQ14" i="36"/>
  <c r="CQ7" i="36"/>
  <c r="CQ9" i="36"/>
  <c r="CQ23" i="36"/>
  <c r="CQ24" i="36"/>
  <c r="CQ16" i="36"/>
  <c r="CQ8" i="36"/>
  <c r="CQ25" i="36"/>
  <c r="CQ17" i="36"/>
  <c r="CQ27" i="36"/>
  <c r="CQ19" i="36"/>
  <c r="CQ26" i="36"/>
  <c r="CQ18" i="36"/>
  <c r="CQ10" i="36"/>
  <c r="M192" i="42" a="1"/>
  <c r="M192" i="42" s="1"/>
  <c r="L192" i="42" a="1"/>
  <c r="L192" i="42" s="1"/>
  <c r="M129" i="42" a="1"/>
  <c r="M129" i="42" s="1"/>
  <c r="L129" i="42" a="1"/>
  <c r="L129" i="42" s="1"/>
  <c r="M64" i="42" a="1"/>
  <c r="M64" i="42" s="1"/>
  <c r="L64" i="42" a="1"/>
  <c r="L64" i="42" s="1"/>
  <c r="M5" i="42" a="1"/>
  <c r="M5" i="42" s="1"/>
  <c r="L5" i="42" a="1"/>
  <c r="L5" i="42" s="1"/>
  <c r="P250" i="42"/>
  <c r="P249" i="42"/>
  <c r="P248" i="42"/>
  <c r="P247" i="42"/>
  <c r="P246" i="42"/>
  <c r="P245" i="42"/>
  <c r="P244" i="42"/>
  <c r="R243" i="42"/>
  <c r="P243" i="42"/>
  <c r="P242" i="42"/>
  <c r="P241" i="42"/>
  <c r="P240" i="42"/>
  <c r="P239" i="42"/>
  <c r="P238" i="42"/>
  <c r="P237" i="42"/>
  <c r="R236" i="42"/>
  <c r="P236" i="42"/>
  <c r="P235" i="42"/>
  <c r="P234" i="42"/>
  <c r="P233" i="42"/>
  <c r="P232" i="42"/>
  <c r="P231" i="42"/>
  <c r="P230" i="42"/>
  <c r="P229" i="42"/>
  <c r="P228" i="42"/>
  <c r="P227" i="42"/>
  <c r="P226" i="42"/>
  <c r="P225" i="42"/>
  <c r="P224" i="42"/>
  <c r="P223" i="42"/>
  <c r="P222" i="42"/>
  <c r="P221" i="42"/>
  <c r="P220" i="42"/>
  <c r="P219" i="42"/>
  <c r="P218" i="42"/>
  <c r="P217" i="42"/>
  <c r="P216" i="42"/>
  <c r="P215" i="42"/>
  <c r="P214" i="42"/>
  <c r="P213" i="42"/>
  <c r="P212" i="42"/>
  <c r="P211" i="42"/>
  <c r="P210" i="42"/>
  <c r="P209" i="42"/>
  <c r="P208" i="42"/>
  <c r="P207" i="42"/>
  <c r="P206" i="42"/>
  <c r="P205" i="42"/>
  <c r="P204" i="42"/>
  <c r="P203" i="42"/>
  <c r="P202" i="42"/>
  <c r="P201" i="42"/>
  <c r="P200" i="42"/>
  <c r="P199" i="42"/>
  <c r="P198" i="42"/>
  <c r="P197" i="42"/>
  <c r="P196" i="42"/>
  <c r="P195" i="42"/>
  <c r="P194" i="42"/>
  <c r="R193" i="42"/>
  <c r="P193" i="42"/>
  <c r="P192" i="42"/>
  <c r="J192" i="42" a="1"/>
  <c r="J192" i="42" s="1"/>
  <c r="I192" i="42" a="1"/>
  <c r="AB190" i="42"/>
  <c r="P187" i="42"/>
  <c r="P186" i="42"/>
  <c r="P185" i="42"/>
  <c r="P184" i="42"/>
  <c r="P183" i="42"/>
  <c r="P182" i="42"/>
  <c r="R181" i="42"/>
  <c r="P181" i="42"/>
  <c r="P180" i="42"/>
  <c r="P179" i="42"/>
  <c r="P178" i="42"/>
  <c r="P177" i="42"/>
  <c r="P176" i="42"/>
  <c r="P175" i="42"/>
  <c r="P174" i="42"/>
  <c r="P173" i="42"/>
  <c r="P172" i="42"/>
  <c r="R171" i="42"/>
  <c r="P171" i="42"/>
  <c r="P170" i="42"/>
  <c r="P169" i="42"/>
  <c r="P168" i="42"/>
  <c r="P167" i="42"/>
  <c r="P166" i="42"/>
  <c r="P165" i="42"/>
  <c r="P164" i="42"/>
  <c r="P163" i="42"/>
  <c r="R162" i="42"/>
  <c r="P162" i="42"/>
  <c r="P161" i="42"/>
  <c r="P160" i="42"/>
  <c r="P159" i="42"/>
  <c r="P158" i="42"/>
  <c r="P157" i="42"/>
  <c r="P156" i="42"/>
  <c r="P155" i="42"/>
  <c r="P154" i="42"/>
  <c r="P153" i="42"/>
  <c r="P152" i="42"/>
  <c r="P151" i="42"/>
  <c r="P150" i="42"/>
  <c r="P149" i="42"/>
  <c r="R148" i="42"/>
  <c r="P148" i="42"/>
  <c r="R147" i="42"/>
  <c r="P147" i="42"/>
  <c r="P146" i="42"/>
  <c r="P145" i="42"/>
  <c r="P144" i="42"/>
  <c r="P143" i="42"/>
  <c r="P142" i="42"/>
  <c r="P141" i="42"/>
  <c r="P140" i="42"/>
  <c r="P139" i="42"/>
  <c r="R138" i="42"/>
  <c r="P138" i="42"/>
  <c r="P137" i="42"/>
  <c r="P136" i="42"/>
  <c r="P135" i="42"/>
  <c r="P134" i="42"/>
  <c r="P133" i="42"/>
  <c r="P132" i="42"/>
  <c r="P131" i="42"/>
  <c r="P130" i="42"/>
  <c r="P129" i="42"/>
  <c r="J129" i="42" a="1"/>
  <c r="J129" i="42" s="1"/>
  <c r="I129" i="42" a="1"/>
  <c r="R131" i="42" s="1"/>
  <c r="AB127" i="42"/>
  <c r="AE125" i="42"/>
  <c r="P122" i="42"/>
  <c r="P121" i="42"/>
  <c r="P120" i="42"/>
  <c r="R119" i="42"/>
  <c r="P119" i="42"/>
  <c r="P118" i="42"/>
  <c r="P117" i="42"/>
  <c r="P116" i="42"/>
  <c r="P115" i="42"/>
  <c r="P114" i="42"/>
  <c r="P113" i="42"/>
  <c r="P112" i="42"/>
  <c r="P111" i="42"/>
  <c r="P110" i="42"/>
  <c r="P109" i="42"/>
  <c r="P108" i="42"/>
  <c r="P107" i="42"/>
  <c r="R106" i="42"/>
  <c r="P106" i="42"/>
  <c r="P105" i="42"/>
  <c r="P104" i="42"/>
  <c r="P103" i="42"/>
  <c r="P102" i="42"/>
  <c r="P101" i="42"/>
  <c r="P100" i="42"/>
  <c r="P99" i="42"/>
  <c r="R98" i="42"/>
  <c r="P98" i="42"/>
  <c r="P97" i="42"/>
  <c r="P96" i="42"/>
  <c r="P95" i="42"/>
  <c r="P94" i="42"/>
  <c r="P93" i="42"/>
  <c r="P92" i="42"/>
  <c r="P91" i="42"/>
  <c r="P90" i="42"/>
  <c r="P89" i="42"/>
  <c r="P88" i="42"/>
  <c r="P87" i="42"/>
  <c r="P86" i="42"/>
  <c r="P85" i="42"/>
  <c r="P84" i="42"/>
  <c r="P83" i="42"/>
  <c r="P82" i="42"/>
  <c r="P81" i="42"/>
  <c r="P80" i="42"/>
  <c r="P79" i="42"/>
  <c r="R78" i="42"/>
  <c r="P78" i="42"/>
  <c r="P77" i="42"/>
  <c r="R76" i="42"/>
  <c r="P76" i="42"/>
  <c r="P75" i="42"/>
  <c r="P74" i="42"/>
  <c r="P73" i="42"/>
  <c r="P72" i="42"/>
  <c r="P71" i="42"/>
  <c r="P70" i="42"/>
  <c r="P69" i="42"/>
  <c r="P68" i="42"/>
  <c r="R67" i="42"/>
  <c r="P67" i="42"/>
  <c r="P66" i="42"/>
  <c r="P65" i="42"/>
  <c r="P64" i="42"/>
  <c r="J64" i="42" a="1"/>
  <c r="J64" i="42" s="1"/>
  <c r="I64" i="42" a="1"/>
  <c r="R117" i="42" s="1"/>
  <c r="AB62" i="42"/>
  <c r="R57" i="42"/>
  <c r="G57" i="42"/>
  <c r="B57" i="42"/>
  <c r="P56" i="42"/>
  <c r="R55" i="42"/>
  <c r="P55" i="42"/>
  <c r="P54" i="42"/>
  <c r="P53" i="42"/>
  <c r="P52" i="42"/>
  <c r="R51" i="42"/>
  <c r="P51" i="42"/>
  <c r="P50" i="42"/>
  <c r="P49" i="42"/>
  <c r="P48" i="42"/>
  <c r="P47" i="42"/>
  <c r="P46" i="42"/>
  <c r="R45" i="42"/>
  <c r="P45" i="42"/>
  <c r="R44" i="42"/>
  <c r="P44" i="42"/>
  <c r="P43" i="42"/>
  <c r="P42" i="42"/>
  <c r="R41" i="42"/>
  <c r="P41" i="42"/>
  <c r="P40" i="42"/>
  <c r="R39" i="42"/>
  <c r="P39" i="42"/>
  <c r="P38" i="42"/>
  <c r="P37" i="42"/>
  <c r="P36" i="42"/>
  <c r="R35" i="42"/>
  <c r="P35" i="42"/>
  <c r="R34" i="42"/>
  <c r="P34" i="42"/>
  <c r="P33" i="42"/>
  <c r="P32" i="42"/>
  <c r="P31" i="42"/>
  <c r="P30" i="42"/>
  <c r="P29" i="42"/>
  <c r="P28" i="42"/>
  <c r="P27" i="42"/>
  <c r="P26" i="42"/>
  <c r="R25" i="42"/>
  <c r="T25" i="42" s="1"/>
  <c r="P25" i="42"/>
  <c r="P24" i="42"/>
  <c r="P23" i="42"/>
  <c r="P22" i="42"/>
  <c r="R21" i="42"/>
  <c r="P21" i="42"/>
  <c r="R20" i="42"/>
  <c r="P20" i="42"/>
  <c r="R19" i="42"/>
  <c r="P19" i="42"/>
  <c r="P18" i="42"/>
  <c r="P17" i="42"/>
  <c r="R16" i="42"/>
  <c r="P16" i="42"/>
  <c r="R15" i="42"/>
  <c r="P15" i="42"/>
  <c r="P14" i="42"/>
  <c r="R13" i="42"/>
  <c r="P13" i="42"/>
  <c r="P12" i="42"/>
  <c r="P11" i="42"/>
  <c r="P10" i="42"/>
  <c r="P9" i="42"/>
  <c r="P8" i="42"/>
  <c r="P7" i="42"/>
  <c r="P6" i="42"/>
  <c r="P5" i="42"/>
  <c r="J5" i="42" a="1"/>
  <c r="J5" i="42" s="1"/>
  <c r="I5" i="42" a="1"/>
  <c r="R7" i="42" s="1"/>
  <c r="T7" i="42" s="1"/>
  <c r="AB3" i="42"/>
  <c r="R69" i="42" l="1"/>
  <c r="R108" i="42"/>
  <c r="R121" i="42"/>
  <c r="R71" i="42"/>
  <c r="R100" i="42"/>
  <c r="R111" i="42"/>
  <c r="R112" i="42"/>
  <c r="R93" i="42"/>
  <c r="R88" i="42"/>
  <c r="R79" i="42"/>
  <c r="R70" i="42"/>
  <c r="R91" i="42"/>
  <c r="R101" i="42"/>
  <c r="R122" i="42"/>
  <c r="R81" i="42"/>
  <c r="R103" i="42"/>
  <c r="R83" i="42"/>
  <c r="R94" i="42"/>
  <c r="R84" i="42"/>
  <c r="I64" i="42"/>
  <c r="R64" i="42" s="1"/>
  <c r="R74" i="42"/>
  <c r="R114" i="42"/>
  <c r="R75" i="42"/>
  <c r="R105" i="42"/>
  <c r="R104" i="42"/>
  <c r="R66" i="42"/>
  <c r="R85" i="42"/>
  <c r="R96" i="42"/>
  <c r="CP27" i="36"/>
  <c r="CP19" i="36"/>
  <c r="CP11" i="36"/>
  <c r="CP28" i="36"/>
  <c r="CP20" i="36"/>
  <c r="CP12" i="36"/>
  <c r="CP4" i="36"/>
  <c r="CP29" i="36"/>
  <c r="CP21" i="36"/>
  <c r="CP13" i="36"/>
  <c r="CP5" i="36"/>
  <c r="CP23" i="36"/>
  <c r="CP15" i="36"/>
  <c r="CP7" i="36"/>
  <c r="CP8" i="36"/>
  <c r="CP22" i="36"/>
  <c r="CP14" i="36"/>
  <c r="CP6" i="36"/>
  <c r="CP16" i="36"/>
  <c r="CP26" i="36"/>
  <c r="CP24" i="36"/>
  <c r="CP18" i="36"/>
  <c r="CP25" i="36"/>
  <c r="CP17" i="36"/>
  <c r="CP9" i="36"/>
  <c r="CP10" i="36"/>
  <c r="R153" i="42"/>
  <c r="R165" i="42"/>
  <c r="R177" i="42"/>
  <c r="R174" i="42"/>
  <c r="R163" i="42"/>
  <c r="R142" i="42"/>
  <c r="R156" i="42"/>
  <c r="R180" i="42"/>
  <c r="R132" i="42"/>
  <c r="R145" i="42"/>
  <c r="R169" i="42"/>
  <c r="I192" i="42"/>
  <c r="R192" i="42" s="1"/>
  <c r="R250" i="42"/>
  <c r="R245" i="42"/>
  <c r="R242" i="42"/>
  <c r="R237" i="42"/>
  <c r="R234" i="42"/>
  <c r="R229" i="42"/>
  <c r="R226" i="42"/>
  <c r="R221" i="42"/>
  <c r="R218" i="42"/>
  <c r="R213" i="42"/>
  <c r="R210" i="42"/>
  <c r="R205" i="42"/>
  <c r="R202" i="42"/>
  <c r="R197" i="42"/>
  <c r="R194" i="42"/>
  <c r="R249" i="42"/>
  <c r="R246" i="42"/>
  <c r="R241" i="42"/>
  <c r="R238" i="42"/>
  <c r="R233" i="42"/>
  <c r="R230" i="42"/>
  <c r="R225" i="42"/>
  <c r="R222" i="42"/>
  <c r="R217" i="42"/>
  <c r="R214" i="42"/>
  <c r="R235" i="42"/>
  <c r="R231" i="42"/>
  <c r="R216" i="42"/>
  <c r="R212" i="42"/>
  <c r="R209" i="42"/>
  <c r="R198" i="42"/>
  <c r="R195" i="42"/>
  <c r="R227" i="42"/>
  <c r="R223" i="42"/>
  <c r="R219" i="42"/>
  <c r="R215" i="42"/>
  <c r="R208" i="42"/>
  <c r="R204" i="42"/>
  <c r="R201" i="42"/>
  <c r="R211" i="42"/>
  <c r="R248" i="42"/>
  <c r="R244" i="42"/>
  <c r="R207" i="42"/>
  <c r="R200" i="42"/>
  <c r="R203" i="42"/>
  <c r="R240" i="42"/>
  <c r="R36" i="42"/>
  <c r="R52" i="42"/>
  <c r="R206" i="42"/>
  <c r="O64" i="42"/>
  <c r="R232" i="42"/>
  <c r="R199" i="42"/>
  <c r="R220" i="42"/>
  <c r="R239" i="42"/>
  <c r="R196" i="42"/>
  <c r="R48" i="42"/>
  <c r="R32" i="42"/>
  <c r="R29" i="42"/>
  <c r="R54" i="42"/>
  <c r="R38" i="42"/>
  <c r="R30" i="42"/>
  <c r="T30" i="42" s="1"/>
  <c r="R27" i="42"/>
  <c r="T27" i="42" s="1"/>
  <c r="R24" i="42"/>
  <c r="R11" i="42"/>
  <c r="R8" i="42"/>
  <c r="T8" i="42" s="1"/>
  <c r="R17" i="42"/>
  <c r="R6" i="42"/>
  <c r="T6" i="42" s="1"/>
  <c r="R47" i="42"/>
  <c r="R40" i="42"/>
  <c r="R33" i="42"/>
  <c r="R14" i="42"/>
  <c r="R50" i="42"/>
  <c r="R43" i="42"/>
  <c r="R23" i="42"/>
  <c r="R10" i="42"/>
  <c r="I5" i="42"/>
  <c r="R5" i="42" s="1"/>
  <c r="R26" i="42"/>
  <c r="T26" i="42" s="1"/>
  <c r="R53" i="42"/>
  <c r="R46" i="42"/>
  <c r="R56" i="42"/>
  <c r="R49" i="42"/>
  <c r="R42" i="42"/>
  <c r="R22" i="42"/>
  <c r="R31" i="42"/>
  <c r="R28" i="42"/>
  <c r="T28" i="42" s="1"/>
  <c r="R9" i="42"/>
  <c r="R12" i="42"/>
  <c r="R37" i="42"/>
  <c r="R224" i="42"/>
  <c r="R247" i="42"/>
  <c r="R18" i="42"/>
  <c r="R228" i="42"/>
  <c r="R86" i="42"/>
  <c r="R130" i="42"/>
  <c r="R186" i="42"/>
  <c r="R118" i="42"/>
  <c r="R109" i="42"/>
  <c r="R65" i="42"/>
  <c r="R72" i="42"/>
  <c r="R89" i="42"/>
  <c r="R99" i="42"/>
  <c r="R133" i="42"/>
  <c r="R139" i="42"/>
  <c r="R187" i="42"/>
  <c r="R107" i="42"/>
  <c r="R115" i="42"/>
  <c r="R120" i="42"/>
  <c r="R154" i="42"/>
  <c r="R172" i="42"/>
  <c r="R178" i="42"/>
  <c r="R68" i="42"/>
  <c r="R77" i="42"/>
  <c r="R82" i="42"/>
  <c r="R87" i="42"/>
  <c r="R97" i="42"/>
  <c r="R92" i="42"/>
  <c r="R102" i="42"/>
  <c r="R182" i="42"/>
  <c r="R173" i="42"/>
  <c r="R166" i="42"/>
  <c r="R157" i="42"/>
  <c r="R150" i="42"/>
  <c r="R141" i="42"/>
  <c r="R134" i="42"/>
  <c r="R184" i="42"/>
  <c r="R175" i="42"/>
  <c r="R168" i="42"/>
  <c r="R159" i="42"/>
  <c r="R152" i="42"/>
  <c r="R143" i="42"/>
  <c r="R136" i="42"/>
  <c r="R183" i="42"/>
  <c r="R176" i="42"/>
  <c r="R167" i="42"/>
  <c r="R160" i="42"/>
  <c r="R151" i="42"/>
  <c r="R144" i="42"/>
  <c r="R135" i="42"/>
  <c r="R137" i="42"/>
  <c r="R149" i="42"/>
  <c r="R155" i="42"/>
  <c r="R140" i="42"/>
  <c r="R73" i="42"/>
  <c r="R80" i="42"/>
  <c r="R90" i="42"/>
  <c r="R95" i="42"/>
  <c r="R113" i="42"/>
  <c r="R158" i="42"/>
  <c r="R161" i="42"/>
  <c r="R179" i="42"/>
  <c r="R185" i="42"/>
  <c r="R110" i="42"/>
  <c r="I129" i="42"/>
  <c r="R129" i="42" s="1"/>
  <c r="R146" i="42"/>
  <c r="R164" i="42"/>
  <c r="R116" i="42"/>
  <c r="R170" i="42"/>
  <c r="X64" i="42" l="1" a="1"/>
  <c r="X64" i="42" s="1"/>
  <c r="AA64" i="42" s="1" a="1"/>
  <c r="AD100" i="42" s="1"/>
  <c r="AI100" i="42" s="1"/>
  <c r="V64" i="42" a="1"/>
  <c r="V64" i="42" s="1"/>
  <c r="Y64" i="42" s="1" a="1"/>
  <c r="AB116" i="42" s="1"/>
  <c r="AE116" i="42" s="1"/>
  <c r="W64" i="42" a="1"/>
  <c r="W64" i="42" s="1"/>
  <c r="Z64" i="42" s="1" a="1"/>
  <c r="AC118" i="42" s="1"/>
  <c r="AG118" i="42" s="1"/>
  <c r="CO20" i="36"/>
  <c r="CO27" i="36"/>
  <c r="CO19" i="36"/>
  <c r="CO11" i="36"/>
  <c r="CO28" i="36"/>
  <c r="CO12" i="36"/>
  <c r="CO4" i="36"/>
  <c r="CO6" i="36"/>
  <c r="CO21" i="36"/>
  <c r="CO5" i="36"/>
  <c r="CO29" i="36"/>
  <c r="CO13" i="36"/>
  <c r="CO14" i="36"/>
  <c r="CO22" i="36"/>
  <c r="CO8" i="36"/>
  <c r="CO18" i="36"/>
  <c r="CO23" i="36"/>
  <c r="CO15" i="36"/>
  <c r="CO7" i="36"/>
  <c r="CO26" i="36"/>
  <c r="CO10" i="36"/>
  <c r="CO24" i="36"/>
  <c r="CO16" i="36"/>
  <c r="CO25" i="36"/>
  <c r="CO17" i="36"/>
  <c r="CO9" i="36"/>
  <c r="AB122" i="42"/>
  <c r="AE122" i="42" s="1"/>
  <c r="AB120" i="42"/>
  <c r="AE120" i="42" s="1"/>
  <c r="AB118" i="42"/>
  <c r="AE118" i="42" s="1"/>
  <c r="AB114" i="42"/>
  <c r="AE114" i="42" s="1"/>
  <c r="AB112" i="42"/>
  <c r="AE112" i="42" s="1"/>
  <c r="AB104" i="42"/>
  <c r="AE104" i="42" s="1"/>
  <c r="AB102" i="42"/>
  <c r="AE102" i="42" s="1"/>
  <c r="AB100" i="42"/>
  <c r="AE100" i="42" s="1"/>
  <c r="AB98" i="42"/>
  <c r="AE98" i="42" s="1"/>
  <c r="AB96" i="42"/>
  <c r="AE96" i="42" s="1"/>
  <c r="AB94" i="42"/>
  <c r="AE94" i="42" s="1"/>
  <c r="AB92" i="42"/>
  <c r="AE92" i="42" s="1"/>
  <c r="AB90" i="42"/>
  <c r="AE90" i="42" s="1"/>
  <c r="AB88" i="42"/>
  <c r="AE88" i="42" s="1"/>
  <c r="AB86" i="42"/>
  <c r="AE86" i="42" s="1"/>
  <c r="AB82" i="42"/>
  <c r="AE82" i="42" s="1"/>
  <c r="AB80" i="42"/>
  <c r="AE80" i="42" s="1"/>
  <c r="AB95" i="42"/>
  <c r="AE95" i="42" s="1"/>
  <c r="AB79" i="42"/>
  <c r="AE79" i="42" s="1"/>
  <c r="AB77" i="42"/>
  <c r="AE77" i="42" s="1"/>
  <c r="AB75" i="42"/>
  <c r="AE75" i="42" s="1"/>
  <c r="AB73" i="42"/>
  <c r="AE73" i="42" s="1"/>
  <c r="AB71" i="42"/>
  <c r="AE71" i="42" s="1"/>
  <c r="AB69" i="42"/>
  <c r="AE69" i="42" s="1"/>
  <c r="AB67" i="42"/>
  <c r="AE67" i="42" s="1"/>
  <c r="AB65" i="42"/>
  <c r="AE65" i="42" s="1"/>
  <c r="AB113" i="42"/>
  <c r="AE113" i="42" s="1"/>
  <c r="AB121" i="42"/>
  <c r="AE121" i="42" s="1"/>
  <c r="AB105" i="42"/>
  <c r="AE105" i="42" s="1"/>
  <c r="AB68" i="42"/>
  <c r="AE68" i="42" s="1"/>
  <c r="AB115" i="42"/>
  <c r="AE115" i="42" s="1"/>
  <c r="AB107" i="42"/>
  <c r="AE107" i="42" s="1"/>
  <c r="AB70" i="42"/>
  <c r="AE70" i="42" s="1"/>
  <c r="AB117" i="42"/>
  <c r="AE117" i="42" s="1"/>
  <c r="Y64" i="42"/>
  <c r="AB64" i="42" s="1"/>
  <c r="AB81" i="42"/>
  <c r="AE81" i="42" s="1"/>
  <c r="AB74" i="42"/>
  <c r="AE74" i="42" s="1"/>
  <c r="AB119" i="42"/>
  <c r="AE119" i="42" s="1"/>
  <c r="AB72" i="42"/>
  <c r="AE72" i="42" s="1"/>
  <c r="AB89" i="42"/>
  <c r="AE89" i="42" s="1"/>
  <c r="AB91" i="42"/>
  <c r="AE91" i="42" s="1"/>
  <c r="AB83" i="42"/>
  <c r="AE83" i="42" s="1"/>
  <c r="AB101" i="42"/>
  <c r="AE101" i="42" s="1"/>
  <c r="AB76" i="42"/>
  <c r="AE76" i="42" s="1"/>
  <c r="AD122" i="42"/>
  <c r="AI122" i="42" s="1"/>
  <c r="AD120" i="42"/>
  <c r="AI120" i="42" s="1"/>
  <c r="AD118" i="42"/>
  <c r="AI118" i="42" s="1"/>
  <c r="AD116" i="42"/>
  <c r="AI116" i="42" s="1"/>
  <c r="AD114" i="42"/>
  <c r="AI114" i="42" s="1"/>
  <c r="AD112" i="42"/>
  <c r="AI112" i="42" s="1"/>
  <c r="AD110" i="42"/>
  <c r="AI110" i="42" s="1"/>
  <c r="AD108" i="42"/>
  <c r="AI108" i="42" s="1"/>
  <c r="AD106" i="42"/>
  <c r="AI106" i="42" s="1"/>
  <c r="AD104" i="42"/>
  <c r="AI104" i="42" s="1"/>
  <c r="AD102" i="42"/>
  <c r="AI102" i="42" s="1"/>
  <c r="AD94" i="42"/>
  <c r="AI94" i="42" s="1"/>
  <c r="AD92" i="42"/>
  <c r="AI92" i="42" s="1"/>
  <c r="AD90" i="42"/>
  <c r="AI90" i="42" s="1"/>
  <c r="AD88" i="42"/>
  <c r="AI88" i="42" s="1"/>
  <c r="AD86" i="42"/>
  <c r="AI86" i="42" s="1"/>
  <c r="AD84" i="42"/>
  <c r="AI84" i="42" s="1"/>
  <c r="AD82" i="42"/>
  <c r="AI82" i="42" s="1"/>
  <c r="AD80" i="42"/>
  <c r="AI80" i="42" s="1"/>
  <c r="AD111" i="42"/>
  <c r="AI111" i="42" s="1"/>
  <c r="AD95" i="42"/>
  <c r="AI95" i="42" s="1"/>
  <c r="AD79" i="42"/>
  <c r="AI79" i="42" s="1"/>
  <c r="AD77" i="42"/>
  <c r="AI77" i="42" s="1"/>
  <c r="AD75" i="42"/>
  <c r="AI75" i="42" s="1"/>
  <c r="AD69" i="42"/>
  <c r="AI69" i="42" s="1"/>
  <c r="AD67" i="42"/>
  <c r="AI67" i="42" s="1"/>
  <c r="AD65" i="42"/>
  <c r="AI65" i="42" s="1"/>
  <c r="AD113" i="42"/>
  <c r="AI113" i="42" s="1"/>
  <c r="AD97" i="42"/>
  <c r="AI97" i="42" s="1"/>
  <c r="AD81" i="42"/>
  <c r="AI81" i="42" s="1"/>
  <c r="AD121" i="42"/>
  <c r="AI121" i="42" s="1"/>
  <c r="AD105" i="42"/>
  <c r="AI105" i="42" s="1"/>
  <c r="AD66" i="42"/>
  <c r="AI66" i="42" s="1"/>
  <c r="AD87" i="42"/>
  <c r="AI87" i="42" s="1"/>
  <c r="AD68" i="42"/>
  <c r="AI68" i="42" s="1"/>
  <c r="AD70" i="42"/>
  <c r="AI70" i="42" s="1"/>
  <c r="AD99" i="42"/>
  <c r="AI99" i="42" s="1"/>
  <c r="AD89" i="42"/>
  <c r="AI89" i="42" s="1"/>
  <c r="AD101" i="42"/>
  <c r="AI101" i="42" s="1"/>
  <c r="AD91" i="42"/>
  <c r="AI91" i="42" s="1"/>
  <c r="AD76" i="42"/>
  <c r="AI76" i="42" s="1"/>
  <c r="AD83" i="42"/>
  <c r="AI83" i="42" s="1"/>
  <c r="AD117" i="42"/>
  <c r="AI117" i="42" s="1"/>
  <c r="AD74" i="42"/>
  <c r="AI74" i="42" s="1"/>
  <c r="AD103" i="42"/>
  <c r="AI103" i="42" s="1"/>
  <c r="AD78" i="42"/>
  <c r="AI78" i="42" s="1"/>
  <c r="AD109" i="42"/>
  <c r="AI109" i="42" s="1"/>
  <c r="AD107" i="42"/>
  <c r="AI107" i="42" s="1"/>
  <c r="AD85" i="42"/>
  <c r="AI85" i="42" s="1"/>
  <c r="AD93" i="42"/>
  <c r="AI93" i="42" s="1"/>
  <c r="AD115" i="42"/>
  <c r="AI115" i="42" s="1"/>
  <c r="AD119" i="42"/>
  <c r="AI119" i="42" s="1"/>
  <c r="AC86" i="42"/>
  <c r="AG86" i="42" s="1"/>
  <c r="AC111" i="42"/>
  <c r="AG111" i="42" s="1"/>
  <c r="AC120" i="42"/>
  <c r="AG120" i="42" s="1"/>
  <c r="AC104" i="42"/>
  <c r="AG104" i="42" s="1"/>
  <c r="AC88" i="42"/>
  <c r="AG88" i="42" s="1"/>
  <c r="AC95" i="42"/>
  <c r="AG95" i="42" s="1"/>
  <c r="AC90" i="42"/>
  <c r="AG90" i="42" s="1"/>
  <c r="AC85" i="42"/>
  <c r="AG85" i="42" s="1"/>
  <c r="AC80" i="42"/>
  <c r="AG80" i="42" s="1"/>
  <c r="AC73" i="42"/>
  <c r="AG73" i="42" s="1"/>
  <c r="AC75" i="42"/>
  <c r="AG75" i="42" s="1"/>
  <c r="AC121" i="42"/>
  <c r="AG121" i="42" s="1"/>
  <c r="AC110" i="42"/>
  <c r="AG110" i="42" s="1"/>
  <c r="AC105" i="42"/>
  <c r="AG105" i="42" s="1"/>
  <c r="AC115" i="42"/>
  <c r="AG115" i="42" s="1"/>
  <c r="AC107" i="42"/>
  <c r="AG107" i="42" s="1"/>
  <c r="AC82" i="42"/>
  <c r="AG82" i="42" s="1"/>
  <c r="AC77" i="42"/>
  <c r="AG77" i="42" s="1"/>
  <c r="AC70" i="42"/>
  <c r="AG70" i="42" s="1"/>
  <c r="AC112" i="42"/>
  <c r="AG112" i="42" s="1"/>
  <c r="AC94" i="42"/>
  <c r="AG94" i="42" s="1"/>
  <c r="AC79" i="42"/>
  <c r="AG79" i="42" s="1"/>
  <c r="AC81" i="42"/>
  <c r="AG81" i="42" s="1"/>
  <c r="AC74" i="42"/>
  <c r="AG74" i="42" s="1"/>
  <c r="AC122" i="42"/>
  <c r="AG122" i="42" s="1"/>
  <c r="AC106" i="42"/>
  <c r="AG106" i="42" s="1"/>
  <c r="AC101" i="42"/>
  <c r="AG101" i="42" s="1"/>
  <c r="AC96" i="42"/>
  <c r="AG96" i="42" s="1"/>
  <c r="AC103" i="42"/>
  <c r="AG103" i="42" s="1"/>
  <c r="AC78" i="42"/>
  <c r="AG78" i="42" s="1"/>
  <c r="AC93" i="42"/>
  <c r="AG93" i="42" s="1"/>
  <c r="AC84" i="42"/>
  <c r="AG84" i="42" s="1"/>
  <c r="AC87" i="42"/>
  <c r="AG87" i="42" s="1"/>
  <c r="AC83" i="42"/>
  <c r="AG83" i="42" s="1"/>
  <c r="Z64" i="42"/>
  <c r="AC64" i="42" s="1"/>
  <c r="AC98" i="42"/>
  <c r="AG98" i="42" s="1"/>
  <c r="AC65" i="42"/>
  <c r="AC97" i="42"/>
  <c r="AG97" i="42" s="1"/>
  <c r="AC68" i="42"/>
  <c r="AG68" i="42" s="1"/>
  <c r="AC109" i="42"/>
  <c r="AG109" i="42" s="1"/>
  <c r="AC71" i="42"/>
  <c r="AG71" i="42" s="1"/>
  <c r="AC72" i="42"/>
  <c r="AG72" i="42" s="1"/>
  <c r="AC108" i="42"/>
  <c r="AG108" i="42" s="1"/>
  <c r="AC99" i="42"/>
  <c r="AG99" i="42" s="1"/>
  <c r="AC69" i="42"/>
  <c r="AG69" i="42" s="1"/>
  <c r="AC114" i="42"/>
  <c r="AG114" i="42" s="1"/>
  <c r="AC117" i="42"/>
  <c r="AG117" i="42" s="1"/>
  <c r="AC89" i="42"/>
  <c r="AG89" i="42" s="1"/>
  <c r="AC116" i="42"/>
  <c r="AG116" i="42" s="1"/>
  <c r="AC76" i="42"/>
  <c r="AG76" i="42" s="1"/>
  <c r="AC119" i="42"/>
  <c r="AG119" i="42" s="1"/>
  <c r="W129" i="42" a="1"/>
  <c r="W129" i="42" s="1"/>
  <c r="Z129" i="42" s="1" a="1"/>
  <c r="X129" i="42" a="1"/>
  <c r="X129" i="42" s="1"/>
  <c r="AA129" i="42" s="1" a="1"/>
  <c r="V129" i="42" a="1"/>
  <c r="V129" i="42" s="1"/>
  <c r="Y129" i="42" s="1" a="1"/>
  <c r="X192" i="42" a="1"/>
  <c r="X192" i="42" s="1"/>
  <c r="AA192" i="42" s="1" a="1"/>
  <c r="V192" i="42" a="1"/>
  <c r="V192" i="42" s="1"/>
  <c r="Y192" i="42" s="1" a="1"/>
  <c r="W192" i="42" a="1"/>
  <c r="W192" i="42" s="1"/>
  <c r="Z192" i="42" s="1" a="1"/>
  <c r="W5" i="42" a="1"/>
  <c r="X5" i="42" a="1"/>
  <c r="V5" i="42" a="1"/>
  <c r="O5" i="42"/>
  <c r="AD96" i="42" l="1"/>
  <c r="AI96" i="42" s="1"/>
  <c r="AB78" i="42"/>
  <c r="AE78" i="42" s="1"/>
  <c r="AB87" i="42"/>
  <c r="AE87" i="42" s="1"/>
  <c r="AB111" i="42"/>
  <c r="AE111" i="42" s="1"/>
  <c r="AB106" i="42"/>
  <c r="AE106" i="42" s="1"/>
  <c r="AC113" i="42"/>
  <c r="AG113" i="42" s="1"/>
  <c r="AC67" i="42"/>
  <c r="AG67" i="42" s="1"/>
  <c r="AC66" i="42"/>
  <c r="AG66" i="42" s="1"/>
  <c r="AC102" i="42"/>
  <c r="AG102" i="42" s="1"/>
  <c r="AA64" i="42"/>
  <c r="AD64" i="42" s="1"/>
  <c r="AD71" i="42"/>
  <c r="AI71" i="42" s="1"/>
  <c r="AD98" i="42"/>
  <c r="AI98" i="42" s="1"/>
  <c r="AB103" i="42"/>
  <c r="AE103" i="42" s="1"/>
  <c r="AB97" i="42"/>
  <c r="AE97" i="42" s="1"/>
  <c r="AB93" i="42"/>
  <c r="AE93" i="42" s="1"/>
  <c r="AB108" i="42"/>
  <c r="AE108" i="42" s="1"/>
  <c r="AC92" i="42"/>
  <c r="AG92" i="42" s="1"/>
  <c r="AC91" i="42"/>
  <c r="AG91" i="42" s="1"/>
  <c r="AC100" i="42"/>
  <c r="AG100" i="42" s="1"/>
  <c r="AD72" i="42"/>
  <c r="AI72" i="42" s="1"/>
  <c r="AD73" i="42"/>
  <c r="AI73" i="42" s="1"/>
  <c r="AB99" i="42"/>
  <c r="AE99" i="42" s="1"/>
  <c r="AB66" i="42"/>
  <c r="AE66" i="42" s="1"/>
  <c r="AB109" i="42"/>
  <c r="AE109" i="42" s="1"/>
  <c r="AB110" i="42"/>
  <c r="AE110" i="42" s="1"/>
  <c r="AB85" i="42"/>
  <c r="AE85" i="42" s="1"/>
  <c r="AB84" i="42"/>
  <c r="AE84" i="42" s="1"/>
  <c r="CN26" i="36"/>
  <c r="CN18" i="36"/>
  <c r="CN10" i="36"/>
  <c r="CN22" i="36"/>
  <c r="CN7" i="36"/>
  <c r="CN27" i="36"/>
  <c r="CN19" i="36"/>
  <c r="CN11" i="36"/>
  <c r="CN6" i="36"/>
  <c r="CN17" i="36"/>
  <c r="CN14" i="36"/>
  <c r="CN28" i="36"/>
  <c r="CN20" i="36"/>
  <c r="CN12" i="36"/>
  <c r="CN4" i="36"/>
  <c r="CN9" i="36"/>
  <c r="CN29" i="36"/>
  <c r="CN21" i="36"/>
  <c r="CN13" i="36"/>
  <c r="CN5" i="36"/>
  <c r="CN15" i="36"/>
  <c r="CN23" i="36"/>
  <c r="CN24" i="36"/>
  <c r="CN16" i="36"/>
  <c r="CN8" i="36"/>
  <c r="CN25" i="36"/>
  <c r="AE64" i="42"/>
  <c r="AG64" i="42"/>
  <c r="Y57" i="42"/>
  <c r="V5" i="42"/>
  <c r="Y5" i="42" s="1" a="1"/>
  <c r="Z57" i="42"/>
  <c r="W5" i="42"/>
  <c r="Z5" i="42" s="1" a="1"/>
  <c r="AI64" i="42"/>
  <c r="AC250" i="42"/>
  <c r="AG250" i="42" s="1"/>
  <c r="AC247" i="42"/>
  <c r="AG247" i="42" s="1"/>
  <c r="AC244" i="42"/>
  <c r="AG244" i="42" s="1"/>
  <c r="AC239" i="42"/>
  <c r="AG239" i="42" s="1"/>
  <c r="AC236" i="42"/>
  <c r="AG236" i="42" s="1"/>
  <c r="AC231" i="42"/>
  <c r="AG231" i="42" s="1"/>
  <c r="AC228" i="42"/>
  <c r="AG228" i="42" s="1"/>
  <c r="AC223" i="42"/>
  <c r="AG223" i="42" s="1"/>
  <c r="AC220" i="42"/>
  <c r="AG220" i="42" s="1"/>
  <c r="AC215" i="42"/>
  <c r="AG215" i="42" s="1"/>
  <c r="AC212" i="42"/>
  <c r="AG212" i="42" s="1"/>
  <c r="AC207" i="42"/>
  <c r="AG207" i="42" s="1"/>
  <c r="AC204" i="42"/>
  <c r="AG204" i="42" s="1"/>
  <c r="AC199" i="42"/>
  <c r="AG199" i="42" s="1"/>
  <c r="AC196" i="42"/>
  <c r="AG196" i="42" s="1"/>
  <c r="AC198" i="42"/>
  <c r="AG198" i="42" s="1"/>
  <c r="AC195" i="42"/>
  <c r="AG195" i="42" s="1"/>
  <c r="AC242" i="42"/>
  <c r="AG242" i="42" s="1"/>
  <c r="AC238" i="42"/>
  <c r="AG238" i="42" s="1"/>
  <c r="AC227" i="42"/>
  <c r="AG227" i="42" s="1"/>
  <c r="AC234" i="42"/>
  <c r="AG234" i="42" s="1"/>
  <c r="AC230" i="42"/>
  <c r="AG230" i="42" s="1"/>
  <c r="AC219" i="42"/>
  <c r="AG219" i="42" s="1"/>
  <c r="AC208" i="42"/>
  <c r="AG208" i="42" s="1"/>
  <c r="AC205" i="42"/>
  <c r="AG205" i="42" s="1"/>
  <c r="Z192" i="42"/>
  <c r="AC192" i="42" s="1"/>
  <c r="AC249" i="42"/>
  <c r="AG249" i="42" s="1"/>
  <c r="AC201" i="42"/>
  <c r="AG201" i="42" s="1"/>
  <c r="AC194" i="42"/>
  <c r="AG194" i="42" s="1"/>
  <c r="AC226" i="42"/>
  <c r="AG226" i="42" s="1"/>
  <c r="AC222" i="42"/>
  <c r="AG222" i="42" s="1"/>
  <c r="AC245" i="42"/>
  <c r="AG245" i="42" s="1"/>
  <c r="AC241" i="42"/>
  <c r="AG241" i="42" s="1"/>
  <c r="AC211" i="42"/>
  <c r="AG211" i="42" s="1"/>
  <c r="AC237" i="42"/>
  <c r="AG237" i="42" s="1"/>
  <c r="AC233" i="42"/>
  <c r="AG233" i="42" s="1"/>
  <c r="AC200" i="42"/>
  <c r="AG200" i="42" s="1"/>
  <c r="AC197" i="42"/>
  <c r="AG197" i="42" s="1"/>
  <c r="AC240" i="42"/>
  <c r="AG240" i="42" s="1"/>
  <c r="AC193" i="42"/>
  <c r="AG193" i="42" s="1"/>
  <c r="AC229" i="42"/>
  <c r="AG229" i="42" s="1"/>
  <c r="AC225" i="42"/>
  <c r="AG225" i="42" s="1"/>
  <c r="AC210" i="42"/>
  <c r="AG210" i="42" s="1"/>
  <c r="AC246" i="42"/>
  <c r="AG246" i="42" s="1"/>
  <c r="AC224" i="42"/>
  <c r="AG224" i="42" s="1"/>
  <c r="AC235" i="42"/>
  <c r="AG235" i="42" s="1"/>
  <c r="AC206" i="42"/>
  <c r="AG206" i="42" s="1"/>
  <c r="AC202" i="42"/>
  <c r="AG202" i="42" s="1"/>
  <c r="AC248" i="42"/>
  <c r="AG248" i="42" s="1"/>
  <c r="AC243" i="42"/>
  <c r="AG243" i="42" s="1"/>
  <c r="AC213" i="42"/>
  <c r="AG213" i="42" s="1"/>
  <c r="AC232" i="42"/>
  <c r="AG232" i="42" s="1"/>
  <c r="AC214" i="42"/>
  <c r="AG214" i="42" s="1"/>
  <c r="AC218" i="42"/>
  <c r="AG218" i="42" s="1"/>
  <c r="AC217" i="42"/>
  <c r="AG217" i="42" s="1"/>
  <c r="AC203" i="42"/>
  <c r="AG203" i="42" s="1"/>
  <c r="AC209" i="42"/>
  <c r="AG209" i="42" s="1"/>
  <c r="AC216" i="42"/>
  <c r="AG216" i="42" s="1"/>
  <c r="AC221" i="42"/>
  <c r="AG221" i="42" s="1"/>
  <c r="AA57" i="42"/>
  <c r="X5" i="42"/>
  <c r="AA5" i="42" s="1" a="1"/>
  <c r="Y192" i="42"/>
  <c r="AB192" i="42" s="1"/>
  <c r="AB250" i="42"/>
  <c r="AE250" i="42" s="1"/>
  <c r="AB245" i="42"/>
  <c r="AE245" i="42" s="1"/>
  <c r="AB242" i="42"/>
  <c r="AE242" i="42" s="1"/>
  <c r="AB237" i="42"/>
  <c r="AE237" i="42" s="1"/>
  <c r="AB234" i="42"/>
  <c r="AE234" i="42" s="1"/>
  <c r="AB229" i="42"/>
  <c r="AE229" i="42" s="1"/>
  <c r="AB226" i="42"/>
  <c r="AE226" i="42" s="1"/>
  <c r="AB221" i="42"/>
  <c r="AE221" i="42" s="1"/>
  <c r="AB218" i="42"/>
  <c r="AE218" i="42" s="1"/>
  <c r="AB213" i="42"/>
  <c r="AE213" i="42" s="1"/>
  <c r="AB210" i="42"/>
  <c r="AE210" i="42" s="1"/>
  <c r="AB205" i="42"/>
  <c r="AE205" i="42" s="1"/>
  <c r="AB202" i="42"/>
  <c r="AE202" i="42" s="1"/>
  <c r="AB197" i="42"/>
  <c r="AE197" i="42" s="1"/>
  <c r="AB194" i="42"/>
  <c r="AE194" i="42" s="1"/>
  <c r="AB246" i="42"/>
  <c r="AE246" i="42" s="1"/>
  <c r="AB235" i="42"/>
  <c r="AE235" i="42" s="1"/>
  <c r="AB231" i="42"/>
  <c r="AE231" i="42" s="1"/>
  <c r="AB216" i="42"/>
  <c r="AE216" i="42" s="1"/>
  <c r="AB212" i="42"/>
  <c r="AE212" i="42" s="1"/>
  <c r="AB209" i="42"/>
  <c r="AE209" i="42" s="1"/>
  <c r="AB198" i="42"/>
  <c r="AE198" i="42" s="1"/>
  <c r="AB195" i="42"/>
  <c r="AE195" i="42" s="1"/>
  <c r="AB238" i="42"/>
  <c r="AE238" i="42" s="1"/>
  <c r="AB227" i="42"/>
  <c r="AE227" i="42" s="1"/>
  <c r="AB223" i="42"/>
  <c r="AE223" i="42" s="1"/>
  <c r="AB230" i="42"/>
  <c r="AE230" i="42" s="1"/>
  <c r="AB219" i="42"/>
  <c r="AE219" i="42" s="1"/>
  <c r="AB215" i="42"/>
  <c r="AE215" i="42" s="1"/>
  <c r="AB208" i="42"/>
  <c r="AE208" i="42" s="1"/>
  <c r="AB249" i="42"/>
  <c r="AE249" i="42" s="1"/>
  <c r="AB204" i="42"/>
  <c r="AE204" i="42" s="1"/>
  <c r="AB201" i="42"/>
  <c r="AE201" i="42" s="1"/>
  <c r="AB222" i="42"/>
  <c r="AE222" i="42" s="1"/>
  <c r="AB248" i="42"/>
  <c r="AE248" i="42" s="1"/>
  <c r="AB244" i="42"/>
  <c r="AE244" i="42" s="1"/>
  <c r="AB214" i="42"/>
  <c r="AE214" i="42" s="1"/>
  <c r="AB207" i="42"/>
  <c r="AE207" i="42" s="1"/>
  <c r="AB233" i="42"/>
  <c r="AE233" i="42" s="1"/>
  <c r="AB200" i="42"/>
  <c r="AE200" i="42" s="1"/>
  <c r="AB240" i="42"/>
  <c r="AE240" i="42" s="1"/>
  <c r="AB236" i="42"/>
  <c r="AE236" i="42" s="1"/>
  <c r="AB196" i="42"/>
  <c r="AE196" i="42" s="1"/>
  <c r="AB193" i="42"/>
  <c r="AE193" i="42" s="1"/>
  <c r="AB239" i="42"/>
  <c r="AE239" i="42" s="1"/>
  <c r="AB228" i="42"/>
  <c r="AE228" i="42" s="1"/>
  <c r="AB220" i="42"/>
  <c r="AE220" i="42" s="1"/>
  <c r="AB199" i="42"/>
  <c r="AE199" i="42" s="1"/>
  <c r="AB232" i="42"/>
  <c r="AE232" i="42" s="1"/>
  <c r="AB217" i="42"/>
  <c r="AE217" i="42" s="1"/>
  <c r="AB203" i="42"/>
  <c r="AE203" i="42" s="1"/>
  <c r="AB243" i="42"/>
  <c r="AE243" i="42" s="1"/>
  <c r="AB241" i="42"/>
  <c r="AE241" i="42" s="1"/>
  <c r="AB206" i="42"/>
  <c r="AE206" i="42" s="1"/>
  <c r="AB225" i="42"/>
  <c r="AE225" i="42" s="1"/>
  <c r="AB224" i="42"/>
  <c r="AE224" i="42" s="1"/>
  <c r="AB211" i="42"/>
  <c r="AE211" i="42" s="1"/>
  <c r="AB247" i="42"/>
  <c r="AE247" i="42" s="1"/>
  <c r="AD250" i="42"/>
  <c r="AI250" i="42" s="1"/>
  <c r="AD248" i="42"/>
  <c r="AI248" i="42" s="1"/>
  <c r="AD246" i="42"/>
  <c r="AI246" i="42" s="1"/>
  <c r="AD244" i="42"/>
  <c r="AI244" i="42" s="1"/>
  <c r="AD242" i="42"/>
  <c r="AI242" i="42" s="1"/>
  <c r="AD240" i="42"/>
  <c r="AI240" i="42" s="1"/>
  <c r="AD238" i="42"/>
  <c r="AI238" i="42" s="1"/>
  <c r="AD236" i="42"/>
  <c r="AI236" i="42" s="1"/>
  <c r="AD234" i="42"/>
  <c r="AI234" i="42" s="1"/>
  <c r="AD232" i="42"/>
  <c r="AI232" i="42" s="1"/>
  <c r="AD230" i="42"/>
  <c r="AI230" i="42" s="1"/>
  <c r="AD228" i="42"/>
  <c r="AI228" i="42" s="1"/>
  <c r="AD226" i="42"/>
  <c r="AI226" i="42" s="1"/>
  <c r="AD224" i="42"/>
  <c r="AI224" i="42" s="1"/>
  <c r="AD222" i="42"/>
  <c r="AI222" i="42" s="1"/>
  <c r="AD220" i="42"/>
  <c r="AI220" i="42" s="1"/>
  <c r="AD218" i="42"/>
  <c r="AI218" i="42" s="1"/>
  <c r="AD216" i="42"/>
  <c r="AI216" i="42" s="1"/>
  <c r="AD214" i="42"/>
  <c r="AI214" i="42" s="1"/>
  <c r="AD212" i="42"/>
  <c r="AI212" i="42" s="1"/>
  <c r="AD210" i="42"/>
  <c r="AI210" i="42" s="1"/>
  <c r="AD208" i="42"/>
  <c r="AI208" i="42" s="1"/>
  <c r="AD206" i="42"/>
  <c r="AI206" i="42" s="1"/>
  <c r="AD204" i="42"/>
  <c r="AI204" i="42" s="1"/>
  <c r="AD202" i="42"/>
  <c r="AI202" i="42" s="1"/>
  <c r="AD200" i="42"/>
  <c r="AI200" i="42" s="1"/>
  <c r="AD198" i="42"/>
  <c r="AI198" i="42" s="1"/>
  <c r="AD196" i="42"/>
  <c r="AI196" i="42" s="1"/>
  <c r="AD194" i="42"/>
  <c r="AI194" i="42" s="1"/>
  <c r="AD247" i="42"/>
  <c r="AI247" i="42" s="1"/>
  <c r="AD239" i="42"/>
  <c r="AI239" i="42" s="1"/>
  <c r="AD231" i="42"/>
  <c r="AI231" i="42" s="1"/>
  <c r="AD223" i="42"/>
  <c r="AI223" i="42" s="1"/>
  <c r="AD215" i="42"/>
  <c r="AI215" i="42" s="1"/>
  <c r="AD207" i="42"/>
  <c r="AI207" i="42" s="1"/>
  <c r="AD199" i="42"/>
  <c r="AI199" i="42" s="1"/>
  <c r="AA192" i="42"/>
  <c r="AD192" i="42" s="1"/>
  <c r="AD243" i="42"/>
  <c r="AI243" i="42" s="1"/>
  <c r="AD235" i="42"/>
  <c r="AI235" i="42" s="1"/>
  <c r="AD227" i="42"/>
  <c r="AI227" i="42" s="1"/>
  <c r="AD219" i="42"/>
  <c r="AI219" i="42" s="1"/>
  <c r="AD211" i="42"/>
  <c r="AI211" i="42" s="1"/>
  <c r="AD203" i="42"/>
  <c r="AI203" i="42" s="1"/>
  <c r="AD195" i="42"/>
  <c r="AI195" i="42" s="1"/>
  <c r="AD205" i="42"/>
  <c r="AI205" i="42" s="1"/>
  <c r="AD249" i="42"/>
  <c r="AI249" i="42" s="1"/>
  <c r="AD201" i="42"/>
  <c r="AI201" i="42" s="1"/>
  <c r="AD245" i="42"/>
  <c r="AI245" i="42" s="1"/>
  <c r="AD241" i="42"/>
  <c r="AI241" i="42" s="1"/>
  <c r="AD193" i="42"/>
  <c r="AI193" i="42" s="1"/>
  <c r="AD229" i="42"/>
  <c r="AI229" i="42" s="1"/>
  <c r="AD225" i="42"/>
  <c r="AI225" i="42" s="1"/>
  <c r="AD233" i="42"/>
  <c r="AI233" i="42" s="1"/>
  <c r="AD213" i="42"/>
  <c r="AI213" i="42" s="1"/>
  <c r="AD217" i="42"/>
  <c r="AI217" i="42" s="1"/>
  <c r="AD221" i="42"/>
  <c r="AI221" i="42" s="1"/>
  <c r="AD197" i="42"/>
  <c r="AI197" i="42" s="1"/>
  <c r="AD237" i="42"/>
  <c r="AI237" i="42" s="1"/>
  <c r="AD209" i="42"/>
  <c r="AI209" i="42" s="1"/>
  <c r="AB184" i="42"/>
  <c r="AE184" i="42" s="1"/>
  <c r="AB175" i="42"/>
  <c r="AE175" i="42" s="1"/>
  <c r="AB168" i="42"/>
  <c r="AE168" i="42" s="1"/>
  <c r="AB159" i="42"/>
  <c r="AE159" i="42" s="1"/>
  <c r="AB152" i="42"/>
  <c r="AE152" i="42" s="1"/>
  <c r="AB143" i="42"/>
  <c r="AE143" i="42" s="1"/>
  <c r="AB136" i="42"/>
  <c r="AE136" i="42" s="1"/>
  <c r="AB186" i="42"/>
  <c r="AE186" i="42" s="1"/>
  <c r="AB185" i="42"/>
  <c r="AE185" i="42" s="1"/>
  <c r="AB182" i="42"/>
  <c r="AE182" i="42" s="1"/>
  <c r="AB179" i="42"/>
  <c r="AE179" i="42" s="1"/>
  <c r="AB176" i="42"/>
  <c r="AE176" i="42" s="1"/>
  <c r="AB161" i="42"/>
  <c r="AE161" i="42" s="1"/>
  <c r="AB158" i="42"/>
  <c r="AE158" i="42" s="1"/>
  <c r="AB155" i="42"/>
  <c r="AE155" i="42" s="1"/>
  <c r="AB137" i="42"/>
  <c r="AE137" i="42" s="1"/>
  <c r="AB134" i="42"/>
  <c r="AE134" i="42" s="1"/>
  <c r="AB173" i="42"/>
  <c r="AE173" i="42" s="1"/>
  <c r="AB167" i="42"/>
  <c r="AE167" i="42" s="1"/>
  <c r="AB164" i="42"/>
  <c r="AE164" i="42" s="1"/>
  <c r="AB146" i="42"/>
  <c r="AE146" i="42" s="1"/>
  <c r="AB140" i="42"/>
  <c r="AE140" i="42" s="1"/>
  <c r="AB149" i="42"/>
  <c r="AE149" i="42" s="1"/>
  <c r="AB131" i="42"/>
  <c r="AE131" i="42" s="1"/>
  <c r="AB178" i="42"/>
  <c r="AE178" i="42" s="1"/>
  <c r="AB172" i="42"/>
  <c r="AE172" i="42" s="1"/>
  <c r="AB154" i="42"/>
  <c r="AE154" i="42" s="1"/>
  <c r="AB181" i="42"/>
  <c r="AE181" i="42" s="1"/>
  <c r="AB169" i="42"/>
  <c r="AE169" i="42" s="1"/>
  <c r="AB166" i="42"/>
  <c r="AE166" i="42" s="1"/>
  <c r="AB163" i="42"/>
  <c r="AE163" i="42" s="1"/>
  <c r="AB160" i="42"/>
  <c r="AE160" i="42" s="1"/>
  <c r="AB145" i="42"/>
  <c r="AE145" i="42" s="1"/>
  <c r="AB142" i="42"/>
  <c r="AE142" i="42" s="1"/>
  <c r="AB130" i="42"/>
  <c r="AE130" i="42" s="1"/>
  <c r="AB177" i="42"/>
  <c r="AE177" i="42" s="1"/>
  <c r="AB174" i="42"/>
  <c r="AE174" i="42" s="1"/>
  <c r="Y129" i="42"/>
  <c r="AB129" i="42" s="1"/>
  <c r="AB144" i="42"/>
  <c r="AE144" i="42" s="1"/>
  <c r="AB151" i="42"/>
  <c r="AE151" i="42" s="1"/>
  <c r="AB156" i="42"/>
  <c r="AE156" i="42" s="1"/>
  <c r="AB133" i="42"/>
  <c r="AE133" i="42" s="1"/>
  <c r="AB138" i="42"/>
  <c r="AE138" i="42" s="1"/>
  <c r="AB180" i="42"/>
  <c r="AE180" i="42" s="1"/>
  <c r="AB153" i="42"/>
  <c r="AE153" i="42" s="1"/>
  <c r="AB165" i="42"/>
  <c r="AE165" i="42" s="1"/>
  <c r="AB147" i="42"/>
  <c r="AE147" i="42" s="1"/>
  <c r="AB141" i="42"/>
  <c r="AE141" i="42" s="1"/>
  <c r="AB183" i="42"/>
  <c r="AE183" i="42" s="1"/>
  <c r="AB171" i="42"/>
  <c r="AE171" i="42" s="1"/>
  <c r="AB135" i="42"/>
  <c r="AE135" i="42" s="1"/>
  <c r="AB170" i="42"/>
  <c r="AE170" i="42" s="1"/>
  <c r="AB157" i="42"/>
  <c r="AE157" i="42" s="1"/>
  <c r="AB139" i="42"/>
  <c r="AE139" i="42" s="1"/>
  <c r="AB150" i="42"/>
  <c r="AE150" i="42" s="1"/>
  <c r="AB187" i="42"/>
  <c r="AE187" i="42" s="1"/>
  <c r="AB148" i="42"/>
  <c r="AE148" i="42" s="1"/>
  <c r="AB132" i="42"/>
  <c r="AE132" i="42" s="1"/>
  <c r="AB162" i="42"/>
  <c r="AE162" i="42" s="1"/>
  <c r="AA129" i="42"/>
  <c r="AD129" i="42" s="1"/>
  <c r="AD184" i="42"/>
  <c r="AI184" i="42" s="1"/>
  <c r="AD168" i="42"/>
  <c r="AI168" i="42" s="1"/>
  <c r="AD152" i="42"/>
  <c r="AI152" i="42" s="1"/>
  <c r="AD136" i="42"/>
  <c r="AI136" i="42" s="1"/>
  <c r="AD177" i="42"/>
  <c r="AI177" i="42" s="1"/>
  <c r="AD161" i="42"/>
  <c r="AI161" i="42" s="1"/>
  <c r="AD145" i="42"/>
  <c r="AI145" i="42" s="1"/>
  <c r="AD186" i="42"/>
  <c r="AI186" i="42" s="1"/>
  <c r="AD170" i="42"/>
  <c r="AI170" i="42" s="1"/>
  <c r="AD154" i="42"/>
  <c r="AI154" i="42" s="1"/>
  <c r="AD138" i="42"/>
  <c r="AI138" i="42" s="1"/>
  <c r="AD178" i="42"/>
  <c r="AI178" i="42" s="1"/>
  <c r="AD162" i="42"/>
  <c r="AI162" i="42" s="1"/>
  <c r="AD146" i="42"/>
  <c r="AI146" i="42" s="1"/>
  <c r="AD164" i="42"/>
  <c r="AI164" i="42" s="1"/>
  <c r="AD155" i="42"/>
  <c r="AI155" i="42" s="1"/>
  <c r="AD149" i="42"/>
  <c r="AI149" i="42" s="1"/>
  <c r="AD140" i="42"/>
  <c r="AI140" i="42" s="1"/>
  <c r="AD143" i="42"/>
  <c r="AI143" i="42" s="1"/>
  <c r="AD137" i="42"/>
  <c r="AI137" i="42" s="1"/>
  <c r="AD134" i="42"/>
  <c r="AI134" i="42" s="1"/>
  <c r="AD131" i="42"/>
  <c r="AI131" i="42" s="1"/>
  <c r="AD181" i="42"/>
  <c r="AI181" i="42" s="1"/>
  <c r="AD172" i="42"/>
  <c r="AI172" i="42" s="1"/>
  <c r="AD163" i="42"/>
  <c r="AI163" i="42" s="1"/>
  <c r="AD187" i="42"/>
  <c r="AI187" i="42" s="1"/>
  <c r="AD175" i="42"/>
  <c r="AI175" i="42" s="1"/>
  <c r="AD169" i="42"/>
  <c r="AI169" i="42" s="1"/>
  <c r="AD166" i="42"/>
  <c r="AI166" i="42" s="1"/>
  <c r="AD160" i="42"/>
  <c r="AI160" i="42" s="1"/>
  <c r="AD157" i="42"/>
  <c r="AI157" i="42" s="1"/>
  <c r="AD151" i="42"/>
  <c r="AI151" i="42" s="1"/>
  <c r="AD142" i="42"/>
  <c r="AI142" i="42" s="1"/>
  <c r="AD148" i="42"/>
  <c r="AI148" i="42" s="1"/>
  <c r="AD139" i="42"/>
  <c r="AI139" i="42" s="1"/>
  <c r="AD133" i="42"/>
  <c r="AI133" i="42" s="1"/>
  <c r="AD183" i="42"/>
  <c r="AI183" i="42" s="1"/>
  <c r="AD174" i="42"/>
  <c r="AI174" i="42" s="1"/>
  <c r="AD180" i="42"/>
  <c r="AI180" i="42" s="1"/>
  <c r="AD171" i="42"/>
  <c r="AI171" i="42" s="1"/>
  <c r="AD165" i="42"/>
  <c r="AI165" i="42" s="1"/>
  <c r="AD156" i="42"/>
  <c r="AI156" i="42" s="1"/>
  <c r="AD147" i="42"/>
  <c r="AI147" i="42" s="1"/>
  <c r="AD167" i="42"/>
  <c r="AI167" i="42" s="1"/>
  <c r="AD158" i="42"/>
  <c r="AI158" i="42" s="1"/>
  <c r="AD150" i="42"/>
  <c r="AI150" i="42" s="1"/>
  <c r="AD144" i="42"/>
  <c r="AI144" i="42" s="1"/>
  <c r="AD179" i="42"/>
  <c r="AI179" i="42" s="1"/>
  <c r="AD173" i="42"/>
  <c r="AI173" i="42" s="1"/>
  <c r="AD153" i="42"/>
  <c r="AI153" i="42" s="1"/>
  <c r="AD176" i="42"/>
  <c r="AI176" i="42" s="1"/>
  <c r="AD185" i="42"/>
  <c r="AI185" i="42" s="1"/>
  <c r="AD159" i="42"/>
  <c r="AI159" i="42" s="1"/>
  <c r="AD141" i="42"/>
  <c r="AI141" i="42" s="1"/>
  <c r="AD130" i="42"/>
  <c r="AI130" i="42" s="1"/>
  <c r="AD135" i="42"/>
  <c r="AI135" i="42" s="1"/>
  <c r="AD182" i="42"/>
  <c r="AI182" i="42" s="1"/>
  <c r="AD132" i="42"/>
  <c r="AI132" i="42" s="1"/>
  <c r="AC186" i="42"/>
  <c r="AG186" i="42" s="1"/>
  <c r="AC184" i="42"/>
  <c r="AG184" i="42" s="1"/>
  <c r="AC182" i="42"/>
  <c r="AG182" i="42" s="1"/>
  <c r="AC180" i="42"/>
  <c r="AG180" i="42" s="1"/>
  <c r="AC178" i="42"/>
  <c r="AG178" i="42" s="1"/>
  <c r="AC176" i="42"/>
  <c r="AG176" i="42" s="1"/>
  <c r="AC174" i="42"/>
  <c r="AG174" i="42" s="1"/>
  <c r="AC172" i="42"/>
  <c r="AG172" i="42" s="1"/>
  <c r="AC170" i="42"/>
  <c r="AG170" i="42" s="1"/>
  <c r="AC168" i="42"/>
  <c r="AG168" i="42" s="1"/>
  <c r="AC166" i="42"/>
  <c r="AG166" i="42" s="1"/>
  <c r="AC164" i="42"/>
  <c r="AG164" i="42" s="1"/>
  <c r="AC162" i="42"/>
  <c r="AG162" i="42" s="1"/>
  <c r="AC160" i="42"/>
  <c r="AG160" i="42" s="1"/>
  <c r="AC158" i="42"/>
  <c r="AG158" i="42" s="1"/>
  <c r="AC156" i="42"/>
  <c r="AG156" i="42" s="1"/>
  <c r="AC154" i="42"/>
  <c r="AG154" i="42" s="1"/>
  <c r="AC152" i="42"/>
  <c r="AG152" i="42" s="1"/>
  <c r="AC150" i="42"/>
  <c r="AG150" i="42" s="1"/>
  <c r="AC148" i="42"/>
  <c r="AG148" i="42" s="1"/>
  <c r="AC146" i="42"/>
  <c r="AG146" i="42" s="1"/>
  <c r="AC144" i="42"/>
  <c r="AG144" i="42" s="1"/>
  <c r="AC142" i="42"/>
  <c r="AG142" i="42" s="1"/>
  <c r="AC140" i="42"/>
  <c r="AG140" i="42" s="1"/>
  <c r="AC138" i="42"/>
  <c r="AG138" i="42" s="1"/>
  <c r="AC136" i="42"/>
  <c r="AG136" i="42" s="1"/>
  <c r="AC134" i="42"/>
  <c r="AG134" i="42" s="1"/>
  <c r="AC132" i="42"/>
  <c r="AG132" i="42" s="1"/>
  <c r="AC130" i="42"/>
  <c r="AG130" i="42" s="1"/>
  <c r="AC175" i="42"/>
  <c r="AG175" i="42" s="1"/>
  <c r="AC159" i="42"/>
  <c r="AG159" i="42" s="1"/>
  <c r="AC143" i="42"/>
  <c r="AG143" i="42" s="1"/>
  <c r="AC177" i="42"/>
  <c r="AG177" i="42" s="1"/>
  <c r="AC161" i="42"/>
  <c r="AG161" i="42" s="1"/>
  <c r="AC145" i="42"/>
  <c r="AG145" i="42" s="1"/>
  <c r="AC185" i="42"/>
  <c r="AG185" i="42" s="1"/>
  <c r="AC169" i="42"/>
  <c r="AG169" i="42" s="1"/>
  <c r="AC153" i="42"/>
  <c r="AG153" i="42" s="1"/>
  <c r="AC137" i="42"/>
  <c r="AG137" i="42" s="1"/>
  <c r="AC173" i="42"/>
  <c r="AG173" i="42" s="1"/>
  <c r="AC167" i="42"/>
  <c r="AG167" i="42" s="1"/>
  <c r="AC155" i="42"/>
  <c r="AG155" i="42" s="1"/>
  <c r="AC149" i="42"/>
  <c r="AG149" i="42" s="1"/>
  <c r="AC131" i="42"/>
  <c r="AG131" i="42" s="1"/>
  <c r="AC181" i="42"/>
  <c r="AG181" i="42" s="1"/>
  <c r="AC163" i="42"/>
  <c r="AG163" i="42" s="1"/>
  <c r="Z129" i="42"/>
  <c r="AC129" i="42" s="1"/>
  <c r="AC187" i="42"/>
  <c r="AG187" i="42" s="1"/>
  <c r="AC157" i="42"/>
  <c r="AG157" i="42" s="1"/>
  <c r="AC151" i="42"/>
  <c r="AG151" i="42" s="1"/>
  <c r="AC183" i="42"/>
  <c r="AG183" i="42" s="1"/>
  <c r="AC171" i="42"/>
  <c r="AG171" i="42" s="1"/>
  <c r="AC135" i="42"/>
  <c r="AG135" i="42" s="1"/>
  <c r="AC139" i="42"/>
  <c r="AG139" i="42" s="1"/>
  <c r="AC133" i="42"/>
  <c r="AG133" i="42" s="1"/>
  <c r="AC179" i="42"/>
  <c r="AG179" i="42" s="1"/>
  <c r="AC147" i="42"/>
  <c r="AG147" i="42" s="1"/>
  <c r="AC165" i="42"/>
  <c r="AG165" i="42" s="1"/>
  <c r="AC141" i="42"/>
  <c r="AG141" i="42" s="1"/>
  <c r="AG65" i="42"/>
  <c r="AD2" i="42"/>
  <c r="AJ64" i="42" l="1" a="1"/>
  <c r="AJ64" i="42" s="1"/>
  <c r="AH64" i="42" a="1"/>
  <c r="AH64" i="42" s="1"/>
  <c r="AF64" i="42" a="1"/>
  <c r="AF64" i="42" s="1"/>
  <c r="AC6" i="42" a="1"/>
  <c r="Z5" i="42"/>
  <c r="AF192" i="42" a="1"/>
  <c r="AF192" i="42" s="1"/>
  <c r="AE192" i="42"/>
  <c r="AF190" i="42" s="1"/>
  <c r="AJ192" i="42" a="1"/>
  <c r="AJ192" i="42" s="1"/>
  <c r="AI192" i="42"/>
  <c r="AJ190" i="42" s="1"/>
  <c r="AA5" i="42"/>
  <c r="AD6" i="42" a="1"/>
  <c r="AB6" i="42" a="1"/>
  <c r="Y5" i="42"/>
  <c r="AH192" i="42" a="1"/>
  <c r="AH192" i="42" s="1"/>
  <c r="AG192" i="42"/>
  <c r="AH190" i="42" s="1"/>
  <c r="AF129" i="42" a="1"/>
  <c r="AF129" i="42" s="1"/>
  <c r="AE129" i="42"/>
  <c r="AF127" i="42" s="1"/>
  <c r="AI129" i="42"/>
  <c r="AJ127" i="42" s="1"/>
  <c r="AJ129" i="42" a="1"/>
  <c r="AJ129" i="42" s="1"/>
  <c r="AH129" i="42" a="1"/>
  <c r="AH129" i="42" s="1"/>
  <c r="AG129" i="42"/>
  <c r="AH127" i="42" s="1"/>
  <c r="AI41" i="42" l="1"/>
  <c r="AI47" i="42"/>
  <c r="AI54" i="42"/>
  <c r="AI36" i="42"/>
  <c r="AI20" i="42"/>
  <c r="AI29" i="42"/>
  <c r="AI23" i="42"/>
  <c r="AI10" i="42"/>
  <c r="AI50" i="42"/>
  <c r="AI43" i="42"/>
  <c r="AI26" i="42"/>
  <c r="AI7" i="42"/>
  <c r="AI16" i="42"/>
  <c r="AI35" i="42"/>
  <c r="AI19" i="42"/>
  <c r="AI56" i="42"/>
  <c r="AI49" i="42"/>
  <c r="AI34" i="42"/>
  <c r="AI15" i="42"/>
  <c r="AI18" i="42"/>
  <c r="AI53" i="42"/>
  <c r="AI31" i="42"/>
  <c r="AI12" i="42"/>
  <c r="AI51" i="42"/>
  <c r="AI25" i="42"/>
  <c r="AD6" i="42"/>
  <c r="AI44" i="42"/>
  <c r="AI14" i="42"/>
  <c r="AI46" i="42"/>
  <c r="AI55" i="42"/>
  <c r="AI28" i="42"/>
  <c r="AI13" i="42"/>
  <c r="AI48" i="42"/>
  <c r="AI42" i="42"/>
  <c r="AI22" i="42"/>
  <c r="AI57" i="42"/>
  <c r="AI52" i="42"/>
  <c r="AI17" i="42"/>
  <c r="AI11" i="42"/>
  <c r="AI8" i="42"/>
  <c r="AI30" i="42"/>
  <c r="AI21" i="42"/>
  <c r="AI33" i="42"/>
  <c r="AI32" i="42"/>
  <c r="AI45" i="42"/>
  <c r="AI40" i="42"/>
  <c r="AI39" i="42"/>
  <c r="AI24" i="42"/>
  <c r="AI9" i="42"/>
  <c r="AI38" i="42"/>
  <c r="AI27" i="42"/>
  <c r="AI37" i="42"/>
  <c r="AE51" i="42"/>
  <c r="AE35" i="42"/>
  <c r="AE26" i="42"/>
  <c r="AE41" i="42"/>
  <c r="AE57" i="42"/>
  <c r="AE47" i="42"/>
  <c r="AE40" i="42"/>
  <c r="AE33" i="42"/>
  <c r="AE14" i="42"/>
  <c r="AE36" i="42"/>
  <c r="AE54" i="42"/>
  <c r="AE17" i="42"/>
  <c r="AE20" i="42"/>
  <c r="AE29" i="42"/>
  <c r="AE10" i="42"/>
  <c r="AE7" i="42"/>
  <c r="AE46" i="42"/>
  <c r="AE53" i="42"/>
  <c r="AE39" i="42"/>
  <c r="AE32" i="42"/>
  <c r="AE13" i="42"/>
  <c r="AE38" i="42"/>
  <c r="AE31" i="42"/>
  <c r="AE25" i="42"/>
  <c r="AE9" i="42"/>
  <c r="AE52" i="42"/>
  <c r="AE45" i="42"/>
  <c r="AE12" i="42"/>
  <c r="AE48" i="42"/>
  <c r="AE37" i="42"/>
  <c r="AE27" i="42"/>
  <c r="AE56" i="42"/>
  <c r="AE42" i="42"/>
  <c r="AE22" i="42"/>
  <c r="AE11" i="42"/>
  <c r="AE34" i="42"/>
  <c r="AE50" i="42"/>
  <c r="AB6" i="42"/>
  <c r="AE44" i="42"/>
  <c r="AE16" i="42"/>
  <c r="AE30" i="42"/>
  <c r="AE49" i="42"/>
  <c r="AE23" i="42"/>
  <c r="AE21" i="42"/>
  <c r="AE24" i="42"/>
  <c r="AE18" i="42"/>
  <c r="AE15" i="42"/>
  <c r="AE19" i="42"/>
  <c r="AE55" i="42"/>
  <c r="AE28" i="42"/>
  <c r="AE43" i="42"/>
  <c r="AE8" i="42"/>
  <c r="AG54" i="42"/>
  <c r="AG38" i="42"/>
  <c r="AG23" i="42"/>
  <c r="AG44" i="42"/>
  <c r="AG17" i="42"/>
  <c r="AG43" i="42"/>
  <c r="AG36" i="42"/>
  <c r="AG20" i="42"/>
  <c r="AG50" i="42"/>
  <c r="AG53" i="42"/>
  <c r="AG46" i="42"/>
  <c r="AG39" i="42"/>
  <c r="AG32" i="42"/>
  <c r="AG13" i="42"/>
  <c r="AG16" i="42"/>
  <c r="AG52" i="42"/>
  <c r="AG45" i="42"/>
  <c r="AG12" i="42"/>
  <c r="AG34" i="42"/>
  <c r="AG15" i="42"/>
  <c r="AG42" i="42"/>
  <c r="AG22" i="42"/>
  <c r="AG29" i="42"/>
  <c r="AG14" i="42"/>
  <c r="AG31" i="42"/>
  <c r="AG7" i="42"/>
  <c r="AG56" i="42"/>
  <c r="AC6" i="42"/>
  <c r="AG24" i="42"/>
  <c r="AG19" i="42"/>
  <c r="AG9" i="42"/>
  <c r="AG49" i="42"/>
  <c r="AG28" i="42"/>
  <c r="AG47" i="42"/>
  <c r="AG40" i="42"/>
  <c r="AG57" i="42"/>
  <c r="AG41" i="42"/>
  <c r="AG26" i="42"/>
  <c r="AG30" i="42"/>
  <c r="AG21" i="42"/>
  <c r="AG11" i="42"/>
  <c r="AG51" i="42"/>
  <c r="AG55" i="42"/>
  <c r="AG18" i="42"/>
  <c r="AG48" i="42"/>
  <c r="AG37" i="42"/>
  <c r="AG35" i="42"/>
  <c r="AG25" i="42"/>
  <c r="AG10" i="42"/>
  <c r="AG33" i="42"/>
  <c r="AG27" i="42"/>
  <c r="AG8" i="42"/>
  <c r="AE6" i="42" l="1"/>
  <c r="AB5" i="42"/>
  <c r="AD5" i="42"/>
  <c r="AI6" i="42"/>
  <c r="AG6" i="42"/>
  <c r="AC5" i="42"/>
  <c r="AJ5" i="42" l="1" a="1"/>
  <c r="AI5" i="42"/>
  <c r="AG5" i="42"/>
  <c r="AH5" i="42" a="1"/>
  <c r="AF5" i="42" a="1"/>
  <c r="AE5" i="42"/>
  <c r="AF5" i="42" l="1"/>
  <c r="AF62" i="42"/>
  <c r="AF3" i="42"/>
  <c r="AH62" i="42"/>
  <c r="AH3" i="42"/>
  <c r="AH5" i="42"/>
  <c r="AJ5" i="42"/>
  <c r="AJ62" i="42"/>
  <c r="AJ3" i="42"/>
  <c r="A28" i="4" l="1"/>
  <c r="B14" i="37"/>
  <c r="B17" i="37"/>
  <c r="B20" i="37"/>
  <c r="B15" i="37"/>
  <c r="B16" i="37"/>
  <c r="B22" i="37"/>
  <c r="B6" i="37"/>
  <c r="B24" i="37"/>
  <c r="B19" i="37"/>
  <c r="B9" i="37"/>
  <c r="B28" i="37"/>
  <c r="B12" i="37"/>
  <c r="B7" i="37"/>
  <c r="B11" i="37"/>
  <c r="B8" i="37"/>
  <c r="B27" i="37"/>
  <c r="B13" i="37"/>
  <c r="B29" i="37"/>
  <c r="B18" i="37"/>
  <c r="B23" i="37"/>
  <c r="B21" i="37"/>
  <c r="B25" i="37"/>
  <c r="B10" i="37"/>
  <c r="B5" i="37"/>
  <c r="B26" i="37"/>
  <c r="D24" i="37"/>
  <c r="D7" i="37"/>
  <c r="D15" i="37"/>
  <c r="D18" i="37"/>
  <c r="D19" i="37"/>
  <c r="D29" i="37"/>
  <c r="D4" i="37"/>
  <c r="D16" i="37"/>
  <c r="D20" i="37"/>
  <c r="D10" i="37"/>
  <c r="D25" i="37"/>
  <c r="D23" i="37"/>
  <c r="D27" i="37"/>
  <c r="D28" i="37"/>
  <c r="D13" i="37"/>
  <c r="D14" i="37"/>
  <c r="D26" i="37"/>
  <c r="D17" i="37"/>
  <c r="D5" i="37"/>
  <c r="D8" i="37"/>
  <c r="D22" i="37"/>
  <c r="D21" i="37"/>
  <c r="D6" i="37"/>
  <c r="D9" i="37"/>
  <c r="D12" i="37"/>
  <c r="D11" i="37"/>
  <c r="C14" i="37"/>
  <c r="C7" i="37"/>
  <c r="C29" i="37"/>
  <c r="C11" i="37"/>
  <c r="C5" i="37"/>
  <c r="C20" i="37"/>
  <c r="C21" i="37"/>
  <c r="C28" i="37"/>
  <c r="C4" i="37"/>
  <c r="C27" i="37"/>
  <c r="C17" i="37"/>
  <c r="C24" i="37"/>
  <c r="C18" i="37"/>
  <c r="C8" i="37"/>
  <c r="C19" i="37"/>
  <c r="C25" i="37"/>
  <c r="C16" i="37"/>
  <c r="C23" i="37"/>
  <c r="C12" i="37"/>
  <c r="C10" i="37"/>
  <c r="C26" i="37"/>
  <c r="C15" i="37"/>
  <c r="C13" i="37"/>
  <c r="C22" i="37"/>
  <c r="C6" i="37"/>
  <c r="C9" i="37"/>
  <c r="H21" i="37"/>
  <c r="H28" i="37"/>
  <c r="H19" i="37"/>
  <c r="H18" i="37"/>
  <c r="H8" i="37"/>
  <c r="H12" i="37"/>
  <c r="H4" i="37"/>
  <c r="H11" i="37"/>
  <c r="H24" i="37"/>
  <c r="H5" i="37"/>
  <c r="H9" i="37"/>
  <c r="H15" i="37"/>
  <c r="H27" i="37"/>
  <c r="H25" i="37"/>
  <c r="H7" i="37"/>
  <c r="H20" i="37"/>
  <c r="H23" i="37"/>
  <c r="H16" i="37"/>
  <c r="H14" i="37"/>
  <c r="H6" i="37"/>
  <c r="H10" i="37"/>
  <c r="H22" i="37"/>
  <c r="H26" i="37"/>
  <c r="H13" i="37"/>
  <c r="H17" i="37"/>
  <c r="H29" i="37"/>
  <c r="G23" i="37"/>
  <c r="G10" i="37"/>
  <c r="G12" i="37"/>
  <c r="G26" i="37"/>
  <c r="G6" i="37"/>
  <c r="G28" i="37"/>
  <c r="G21" i="37"/>
  <c r="G20" i="37"/>
  <c r="G7" i="37"/>
  <c r="G15" i="37"/>
  <c r="G16" i="37"/>
  <c r="G24" i="37"/>
  <c r="G14" i="37"/>
  <c r="G17" i="37"/>
  <c r="G22" i="37"/>
  <c r="G13" i="37"/>
  <c r="G29" i="37"/>
  <c r="G11" i="37"/>
  <c r="G18" i="37"/>
  <c r="G5" i="37"/>
  <c r="G25" i="37"/>
  <c r="G4" i="37"/>
  <c r="G19" i="37"/>
  <c r="G8" i="37"/>
  <c r="G27" i="37"/>
  <c r="G9" i="37"/>
  <c r="F12" i="37"/>
  <c r="F21" i="37"/>
  <c r="F10" i="37"/>
  <c r="F13" i="37"/>
  <c r="F25" i="37"/>
  <c r="F19" i="37"/>
  <c r="F9" i="37"/>
  <c r="F23" i="37"/>
  <c r="F4" i="37"/>
  <c r="F16" i="37"/>
  <c r="F5" i="37"/>
  <c r="F20" i="37"/>
  <c r="F8" i="37"/>
  <c r="F11" i="37"/>
  <c r="F29" i="37"/>
  <c r="F24" i="37"/>
  <c r="F27" i="37"/>
  <c r="F14" i="37"/>
  <c r="F7" i="37"/>
  <c r="F26" i="37"/>
  <c r="F17" i="37"/>
  <c r="F6" i="37"/>
  <c r="F22" i="37"/>
  <c r="F28" i="37"/>
  <c r="F15" i="37"/>
  <c r="F18" i="37"/>
  <c r="E22" i="37"/>
  <c r="E13" i="37"/>
  <c r="E29" i="37"/>
  <c r="E6" i="37"/>
  <c r="E7" i="37"/>
  <c r="E16" i="37"/>
  <c r="E23" i="37"/>
  <c r="E5" i="37"/>
  <c r="E14" i="37"/>
  <c r="E12" i="37"/>
  <c r="E10" i="37"/>
  <c r="E8" i="37"/>
  <c r="E26" i="37"/>
  <c r="E24" i="37"/>
  <c r="E17" i="37"/>
  <c r="E21" i="37"/>
  <c r="E20" i="37"/>
  <c r="E4" i="37"/>
  <c r="E9" i="37"/>
  <c r="E28" i="37"/>
  <c r="E11" i="37"/>
  <c r="E25" i="37"/>
  <c r="E19" i="37"/>
  <c r="E27" i="37"/>
  <c r="E15" i="37"/>
  <c r="E18" i="37"/>
  <c r="P104" i="60"/>
  <c r="L195" i="60"/>
  <c r="L247" i="60"/>
  <c r="P68" i="60"/>
  <c r="L161" i="60"/>
  <c r="O302" i="60"/>
  <c r="R104" i="60"/>
  <c r="N195" i="60"/>
  <c r="P283" i="60"/>
  <c r="R82" i="60"/>
  <c r="R150" i="60"/>
  <c r="L222" i="60"/>
  <c r="N115" i="60"/>
  <c r="N302" i="60"/>
  <c r="P82" i="60"/>
  <c r="P150" i="60"/>
  <c r="M206" i="60"/>
  <c r="Q82" i="60"/>
  <c r="N206" i="60"/>
  <c r="L90" i="60"/>
  <c r="O206" i="60"/>
  <c r="Q97" i="60"/>
  <c r="L88" i="60"/>
  <c r="O150" i="60"/>
  <c r="Q205" i="60"/>
  <c r="N88" i="60"/>
  <c r="R351" i="60"/>
  <c r="R130" i="60"/>
  <c r="R235" i="60"/>
  <c r="R121" i="60"/>
  <c r="R265" i="60"/>
  <c r="L83" i="60"/>
  <c r="N164" i="60"/>
  <c r="M236" i="60"/>
  <c r="M83" i="60"/>
  <c r="Q352" i="60"/>
  <c r="Q99" i="60"/>
  <c r="R223" i="60"/>
  <c r="Q139" i="60"/>
  <c r="N324" i="60"/>
  <c r="O130" i="60"/>
  <c r="Q232" i="60"/>
  <c r="Q75" i="60"/>
  <c r="M161" i="60"/>
  <c r="M251" i="60"/>
  <c r="N113" i="60"/>
  <c r="R377" i="60"/>
  <c r="M105" i="60"/>
  <c r="P195" i="60"/>
  <c r="O267" i="60"/>
  <c r="R97" i="60"/>
  <c r="N185" i="60"/>
  <c r="R289" i="60"/>
  <c r="N83" i="60"/>
  <c r="N124" i="60"/>
  <c r="R187" i="60"/>
  <c r="P309" i="60"/>
  <c r="L78" i="60"/>
  <c r="R153" i="60"/>
  <c r="R337" i="60"/>
  <c r="M71" i="60"/>
  <c r="P107" i="60"/>
  <c r="M178" i="60"/>
  <c r="R226" i="60"/>
  <c r="O256" i="60"/>
  <c r="O95" i="60"/>
  <c r="Q181" i="60"/>
  <c r="N265" i="60"/>
  <c r="Q104" i="60"/>
  <c r="O377" i="60"/>
  <c r="Q68" i="60"/>
  <c r="Q121" i="60"/>
  <c r="L174" i="60"/>
  <c r="L219" i="60"/>
  <c r="R75" i="60"/>
  <c r="O195" i="60"/>
  <c r="N352" i="60"/>
  <c r="M90" i="60"/>
  <c r="Q142" i="60"/>
  <c r="N209" i="60"/>
  <c r="O251" i="60"/>
  <c r="M107" i="60"/>
  <c r="P198" i="60"/>
  <c r="N384" i="60"/>
  <c r="R115" i="60"/>
  <c r="Q198" i="60"/>
  <c r="L290" i="60"/>
  <c r="N92" i="60"/>
  <c r="L188" i="60"/>
  <c r="N361" i="60"/>
  <c r="M85" i="60"/>
  <c r="P124" i="60"/>
  <c r="L199" i="60"/>
  <c r="M272" i="60"/>
  <c r="P92" i="60"/>
  <c r="M134" i="60"/>
  <c r="N178" i="60"/>
  <c r="O188" i="60"/>
  <c r="M199" i="60"/>
  <c r="M213" i="60"/>
  <c r="L227" i="60"/>
  <c r="M242" i="60"/>
  <c r="P256" i="60"/>
  <c r="N272" i="60"/>
  <c r="R294" i="60"/>
  <c r="O315" i="60"/>
  <c r="M338" i="60"/>
  <c r="Q361" i="60"/>
  <c r="M388" i="60"/>
  <c r="R80" i="60"/>
  <c r="N171" i="60"/>
  <c r="N283" i="60"/>
  <c r="O171" i="60"/>
  <c r="O324" i="60"/>
  <c r="Q150" i="60"/>
  <c r="M352" i="60"/>
  <c r="M140" i="60"/>
  <c r="N307" i="60"/>
  <c r="P70" i="60"/>
  <c r="O174" i="60"/>
  <c r="L289" i="60"/>
  <c r="Q70" i="60"/>
  <c r="R142" i="60"/>
  <c r="Q271" i="60"/>
  <c r="P90" i="60"/>
  <c r="Q153" i="60"/>
  <c r="N237" i="60"/>
  <c r="L116" i="60"/>
  <c r="R386" i="60"/>
  <c r="O92" i="60"/>
  <c r="M144" i="60"/>
  <c r="M188" i="60"/>
  <c r="N210" i="60"/>
  <c r="L242" i="60"/>
  <c r="R65" i="60"/>
  <c r="O167" i="60"/>
  <c r="L66" i="60"/>
  <c r="L73" i="60"/>
  <c r="O78" i="60"/>
  <c r="O85" i="60"/>
  <c r="R92" i="60"/>
  <c r="N100" i="60"/>
  <c r="R109" i="60"/>
  <c r="N118" i="60"/>
  <c r="L127" i="60"/>
  <c r="M136" i="60"/>
  <c r="O146" i="60"/>
  <c r="Q156" i="60"/>
  <c r="P167" i="60"/>
  <c r="O178" i="60"/>
  <c r="N189" i="60"/>
  <c r="Q201" i="60"/>
  <c r="N213" i="60"/>
  <c r="N227" i="60"/>
  <c r="N242" i="60"/>
  <c r="Q256" i="60"/>
  <c r="P276" i="60"/>
  <c r="L295" i="60"/>
  <c r="P315" i="60"/>
  <c r="N338" i="60"/>
  <c r="R361" i="60"/>
  <c r="O393" i="60"/>
  <c r="O68" i="60"/>
  <c r="Q112" i="60"/>
  <c r="R160" i="60"/>
  <c r="R217" i="60"/>
  <c r="R139" i="60"/>
  <c r="O265" i="60"/>
  <c r="L140" i="60"/>
  <c r="Q302" i="60"/>
  <c r="M164" i="60"/>
  <c r="Q283" i="60"/>
  <c r="O153" i="60"/>
  <c r="Q329" i="60"/>
  <c r="O115" i="60"/>
  <c r="P153" i="60"/>
  <c r="R209" i="60"/>
  <c r="P251" i="60"/>
  <c r="P133" i="60"/>
  <c r="L361" i="60"/>
  <c r="O107" i="60"/>
  <c r="L178" i="60"/>
  <c r="N256" i="60"/>
  <c r="L100" i="60"/>
  <c r="L387" i="60"/>
  <c r="R72" i="60"/>
  <c r="M66" i="60"/>
  <c r="L110" i="60"/>
  <c r="N127" i="60"/>
  <c r="O136" i="60"/>
  <c r="R146" i="60"/>
  <c r="N157" i="60"/>
  <c r="Q167" i="60"/>
  <c r="P178" i="60"/>
  <c r="P191" i="60"/>
  <c r="R201" i="60"/>
  <c r="P213" i="60"/>
  <c r="M228" i="60"/>
  <c r="O242" i="60"/>
  <c r="Q260" i="60"/>
  <c r="R276" i="60"/>
  <c r="M295" i="60"/>
  <c r="Q315" i="60"/>
  <c r="O338" i="60"/>
  <c r="M368" i="60"/>
  <c r="Q393" i="60"/>
  <c r="O75" i="60"/>
  <c r="N377" i="60"/>
  <c r="M97" i="60"/>
  <c r="Q184" i="60"/>
  <c r="M218" i="60"/>
  <c r="L113" i="60"/>
  <c r="N329" i="60"/>
  <c r="L105" i="60"/>
  <c r="B13" i="60" s="1"/>
  <c r="M174" i="60"/>
  <c r="N251" i="60"/>
  <c r="N133" i="60"/>
  <c r="L379" i="60"/>
  <c r="Q77" i="60"/>
  <c r="M124" i="60"/>
  <c r="O164" i="60"/>
  <c r="O222" i="60"/>
  <c r="O236" i="60"/>
  <c r="R77" i="60"/>
  <c r="P164" i="60"/>
  <c r="P255" i="60"/>
  <c r="P65" i="60"/>
  <c r="Q143" i="60"/>
  <c r="L272" i="60"/>
  <c r="M78" i="60"/>
  <c r="C12" i="60" s="1"/>
  <c r="N167" i="60"/>
  <c r="N290" i="60"/>
  <c r="N78" i="60"/>
  <c r="O116" i="60"/>
  <c r="M73" i="60"/>
  <c r="Q118" i="60"/>
  <c r="R167" i="60"/>
  <c r="L192" i="60"/>
  <c r="L202" i="60"/>
  <c r="N228" i="60"/>
  <c r="O246" i="60"/>
  <c r="R260" i="60"/>
  <c r="P278" i="60"/>
  <c r="P295" i="60"/>
  <c r="L316" i="60"/>
  <c r="O343" i="60"/>
  <c r="N368" i="60"/>
  <c r="R393" i="60"/>
  <c r="O121" i="60"/>
  <c r="R231" i="60"/>
  <c r="R112" i="60"/>
  <c r="O283" i="60"/>
  <c r="O97" i="60"/>
  <c r="R184" i="60"/>
  <c r="Q265" i="60"/>
  <c r="O70" i="60"/>
  <c r="L131" i="60"/>
  <c r="L236" i="60"/>
  <c r="L76" i="60"/>
  <c r="M185" i="60"/>
  <c r="N308" i="60"/>
  <c r="N90" i="60"/>
  <c r="R174" i="60"/>
  <c r="N309" i="60"/>
  <c r="N107" i="60"/>
  <c r="L210" i="60"/>
  <c r="R271" i="60"/>
  <c r="R99" i="60"/>
  <c r="Q164" i="60"/>
  <c r="O240" i="60"/>
  <c r="Q65" i="60"/>
  <c r="N116" i="60"/>
  <c r="N315" i="60"/>
  <c r="Q107" i="60"/>
  <c r="Q124" i="60"/>
  <c r="L93" i="60"/>
  <c r="N73" i="60"/>
  <c r="Q94" i="60"/>
  <c r="O127" i="60"/>
  <c r="P127" i="60"/>
  <c r="M202" i="60"/>
  <c r="P246" i="60"/>
  <c r="Q278" i="60"/>
  <c r="R322" i="60"/>
  <c r="Q344" i="60"/>
  <c r="P368" i="60"/>
  <c r="L395" i="60"/>
  <c r="L175" i="60"/>
  <c r="Q384" i="60"/>
  <c r="L85" i="60"/>
  <c r="Q133" i="60"/>
  <c r="M210" i="60"/>
  <c r="M290" i="60"/>
  <c r="R133" i="60"/>
  <c r="L338" i="60"/>
  <c r="M100" i="60"/>
  <c r="N144" i="60"/>
  <c r="M80" i="60"/>
  <c r="M102" i="60"/>
  <c r="N66" i="60"/>
  <c r="O87" i="60"/>
  <c r="M110" i="60"/>
  <c r="Q136" i="60"/>
  <c r="O157" i="60"/>
  <c r="M181" i="60"/>
  <c r="O214" i="60"/>
  <c r="L68" i="60"/>
  <c r="B4" i="60" s="1"/>
  <c r="O80" i="60"/>
  <c r="P87" i="60"/>
  <c r="R94" i="60"/>
  <c r="O102" i="60"/>
  <c r="N110" i="60"/>
  <c r="R118" i="60"/>
  <c r="R136" i="60"/>
  <c r="M147" i="60"/>
  <c r="Q157" i="60"/>
  <c r="O170" i="60"/>
  <c r="N181" i="60"/>
  <c r="M192" i="60"/>
  <c r="P214" i="60"/>
  <c r="N231" i="60"/>
  <c r="L261" i="60"/>
  <c r="P80" i="60"/>
  <c r="P102" i="60"/>
  <c r="O110" i="60"/>
  <c r="L119" i="60"/>
  <c r="Q127" i="60"/>
  <c r="L137" i="60"/>
  <c r="N147" i="60"/>
  <c r="M160" i="60"/>
  <c r="L171" i="60"/>
  <c r="O181" i="60"/>
  <c r="N192" i="60"/>
  <c r="O202" i="60"/>
  <c r="P217" i="60"/>
  <c r="O231" i="60"/>
  <c r="Q246" i="60"/>
  <c r="M261" i="60"/>
  <c r="R278" i="60"/>
  <c r="R301" i="60"/>
  <c r="L323" i="60"/>
  <c r="Q345" i="60"/>
  <c r="R369" i="60"/>
  <c r="M395" i="60"/>
  <c r="M130" i="60"/>
  <c r="L347" i="60"/>
  <c r="P75" i="60"/>
  <c r="P121" i="60"/>
  <c r="M195" i="60"/>
  <c r="L251" i="60"/>
  <c r="R89" i="60"/>
  <c r="Q377" i="60"/>
  <c r="P97" i="60"/>
  <c r="L185" i="60"/>
  <c r="O329" i="60"/>
  <c r="L122" i="60"/>
  <c r="M222" i="60"/>
  <c r="P352" i="60"/>
  <c r="O133" i="60"/>
  <c r="L331" i="60"/>
  <c r="R70" i="60"/>
  <c r="L143" i="60"/>
  <c r="Q223" i="60"/>
  <c r="L332" i="60"/>
  <c r="L71" i="60"/>
  <c r="O124" i="60"/>
  <c r="R198" i="60"/>
  <c r="O310" i="60"/>
  <c r="L154" i="60"/>
  <c r="O361" i="60"/>
  <c r="N85" i="60"/>
  <c r="P156" i="60"/>
  <c r="P85" i="60"/>
  <c r="O118" i="60"/>
  <c r="N80" i="60"/>
  <c r="N102" i="60"/>
  <c r="L147" i="60"/>
  <c r="O73" i="60"/>
  <c r="N297" i="60"/>
  <c r="M68" i="60"/>
  <c r="P73" i="60"/>
  <c r="Q87" i="60"/>
  <c r="M95" i="60"/>
  <c r="N68" i="60"/>
  <c r="N75" i="60"/>
  <c r="Q80" i="60"/>
  <c r="R87" i="60"/>
  <c r="N95" i="60"/>
  <c r="Q102" i="60"/>
  <c r="P112" i="60"/>
  <c r="N121" i="60"/>
  <c r="L130" i="60"/>
  <c r="P139" i="60"/>
  <c r="R149" i="60"/>
  <c r="O160" i="60"/>
  <c r="M171" i="60"/>
  <c r="P181" i="60"/>
  <c r="O192" i="60"/>
  <c r="O205" i="60"/>
  <c r="Q217" i="60"/>
  <c r="P231" i="60"/>
  <c r="R246" i="60"/>
  <c r="N261" i="60"/>
  <c r="M283" i="60"/>
  <c r="L302" i="60"/>
  <c r="M324" i="60"/>
  <c r="R345" i="60"/>
  <c r="L371" i="60"/>
  <c r="M93" i="60"/>
  <c r="R102" i="60"/>
  <c r="M119" i="60"/>
  <c r="O147" i="60"/>
  <c r="R164" i="60"/>
  <c r="O189" i="60"/>
  <c r="L224" i="60"/>
  <c r="O272" i="60"/>
  <c r="L363" i="60"/>
  <c r="Q73" i="60"/>
  <c r="M76" i="60"/>
  <c r="P78" i="60"/>
  <c r="L81" i="60"/>
  <c r="B9" i="60" s="1"/>
  <c r="O83" i="60"/>
  <c r="E25" i="60" s="1"/>
  <c r="L86" i="60"/>
  <c r="O88" i="60"/>
  <c r="R90" i="60"/>
  <c r="N93" i="60"/>
  <c r="Q95" i="60"/>
  <c r="M98" i="60"/>
  <c r="P100" i="60"/>
  <c r="L103" i="60"/>
  <c r="O105" i="60"/>
  <c r="L108" i="60"/>
  <c r="R110" i="60"/>
  <c r="R113" i="60"/>
  <c r="P116" i="60"/>
  <c r="N119" i="60"/>
  <c r="M122" i="60"/>
  <c r="M125" i="60"/>
  <c r="O128" i="60"/>
  <c r="N131" i="60"/>
  <c r="N134" i="60"/>
  <c r="N137" i="60"/>
  <c r="P140" i="60"/>
  <c r="O144" i="60"/>
  <c r="P147" i="60"/>
  <c r="M151" i="60"/>
  <c r="N154" i="60"/>
  <c r="N158" i="60"/>
  <c r="R161" i="60"/>
  <c r="L165" i="60"/>
  <c r="M168" i="60"/>
  <c r="M172" i="60"/>
  <c r="Q175" i="60"/>
  <c r="R178" i="60"/>
  <c r="O182" i="60"/>
  <c r="Q185" i="60"/>
  <c r="P189" i="60"/>
  <c r="Q192" i="60"/>
  <c r="N196" i="60"/>
  <c r="O199" i="60"/>
  <c r="O203" i="60"/>
  <c r="R206" i="60"/>
  <c r="P210" i="60"/>
  <c r="R214" i="60"/>
  <c r="Q219" i="60"/>
  <c r="M224" i="60"/>
  <c r="P228" i="60"/>
  <c r="L233" i="60"/>
  <c r="M238" i="60"/>
  <c r="Q242" i="60"/>
  <c r="N247" i="60"/>
  <c r="N253" i="60"/>
  <c r="R257" i="60"/>
  <c r="O262" i="60"/>
  <c r="Q267" i="60"/>
  <c r="P272" i="60"/>
  <c r="M279" i="60"/>
  <c r="Q285" i="60"/>
  <c r="P290" i="60"/>
  <c r="Q297" i="60"/>
  <c r="Q303" i="60"/>
  <c r="Q310" i="60"/>
  <c r="N318" i="60"/>
  <c r="Q324" i="60"/>
  <c r="N333" i="60"/>
  <c r="R338" i="60"/>
  <c r="N347" i="60"/>
  <c r="M356" i="60"/>
  <c r="M363" i="60"/>
  <c r="N372" i="60"/>
  <c r="N379" i="60"/>
  <c r="O388" i="60"/>
  <c r="R397" i="60"/>
  <c r="P324" i="60"/>
  <c r="R73" i="60"/>
  <c r="Q78" i="60"/>
  <c r="M81" i="60"/>
  <c r="Q83" i="60"/>
  <c r="M86" i="60"/>
  <c r="P88" i="60"/>
  <c r="L91" i="60"/>
  <c r="O93" i="60"/>
  <c r="R95" i="60"/>
  <c r="N98" i="60"/>
  <c r="Q100" i="60"/>
  <c r="M103" i="60"/>
  <c r="P105" i="60"/>
  <c r="M108" i="60"/>
  <c r="L111" i="60"/>
  <c r="L114" i="60"/>
  <c r="Q116" i="60"/>
  <c r="O119" i="60"/>
  <c r="N122" i="60"/>
  <c r="N125" i="60"/>
  <c r="P128" i="60"/>
  <c r="O131" i="60"/>
  <c r="O134" i="60"/>
  <c r="O137" i="60"/>
  <c r="O141" i="60"/>
  <c r="P144" i="60"/>
  <c r="M148" i="60"/>
  <c r="N151" i="60"/>
  <c r="L155" i="60"/>
  <c r="O158" i="60"/>
  <c r="L162" i="60"/>
  <c r="M165" i="60"/>
  <c r="Q168" i="60"/>
  <c r="N172" i="60"/>
  <c r="R175" i="60"/>
  <c r="L179" i="60"/>
  <c r="P182" i="60"/>
  <c r="M186" i="60"/>
  <c r="Q189" i="60"/>
  <c r="R192" i="60"/>
  <c r="O196" i="60"/>
  <c r="Q199" i="60"/>
  <c r="P203" i="60"/>
  <c r="L207" i="60"/>
  <c r="Q210" i="60"/>
  <c r="L215" i="60"/>
  <c r="R219" i="60"/>
  <c r="N224" i="60"/>
  <c r="Q228" i="60"/>
  <c r="M233" i="60"/>
  <c r="N238" i="60"/>
  <c r="R242" i="60"/>
  <c r="O247" i="60"/>
  <c r="O253" i="60"/>
  <c r="L258" i="60"/>
  <c r="P262" i="60"/>
  <c r="R267" i="60"/>
  <c r="L273" i="60"/>
  <c r="N279" i="60"/>
  <c r="R285" i="60"/>
  <c r="R290" i="60"/>
  <c r="R297" i="60"/>
  <c r="L304" i="60"/>
  <c r="R310" i="60"/>
  <c r="O318" i="60"/>
  <c r="R324" i="60"/>
  <c r="O333" i="60"/>
  <c r="M340" i="60"/>
  <c r="O347" i="60"/>
  <c r="N356" i="60"/>
  <c r="N363" i="60"/>
  <c r="O372" i="60"/>
  <c r="Q379" i="60"/>
  <c r="Q388" i="60"/>
  <c r="L398" i="60"/>
  <c r="R107" i="60"/>
  <c r="M137" i="60"/>
  <c r="M154" i="60"/>
  <c r="L168" i="60"/>
  <c r="R181" i="60"/>
  <c r="P192" i="60"/>
  <c r="O210" i="60"/>
  <c r="O228" i="60"/>
  <c r="P242" i="60"/>
  <c r="L257" i="60"/>
  <c r="L284" i="60"/>
  <c r="P303" i="60"/>
  <c r="N317" i="60"/>
  <c r="N388" i="60"/>
  <c r="P66" i="60"/>
  <c r="P71" i="60"/>
  <c r="L96" i="60"/>
  <c r="O108" i="60"/>
  <c r="P119" i="60"/>
  <c r="P131" i="60"/>
  <c r="N148" i="60"/>
  <c r="P158" i="60"/>
  <c r="N165" i="60"/>
  <c r="O172" i="60"/>
  <c r="M179" i="60"/>
  <c r="Q182" i="60"/>
  <c r="N186" i="60"/>
  <c r="R189" i="60"/>
  <c r="P196" i="60"/>
  <c r="M200" i="60"/>
  <c r="Q203" i="60"/>
  <c r="P207" i="60"/>
  <c r="R210" i="60"/>
  <c r="N215" i="60"/>
  <c r="L220" i="60"/>
  <c r="O224" i="60"/>
  <c r="R228" i="60"/>
  <c r="N233" i="60"/>
  <c r="O238" i="60"/>
  <c r="L243" i="60"/>
  <c r="P247" i="60"/>
  <c r="P253" i="60"/>
  <c r="M258" i="60"/>
  <c r="Q262" i="60"/>
  <c r="L268" i="60"/>
  <c r="P274" i="60"/>
  <c r="O279" i="60"/>
  <c r="L286" i="60"/>
  <c r="L291" i="60"/>
  <c r="M298" i="60"/>
  <c r="R305" i="60"/>
  <c r="L311" i="60"/>
  <c r="P319" i="60"/>
  <c r="M325" i="60"/>
  <c r="P333" i="60"/>
  <c r="M341" i="60"/>
  <c r="P347" i="60"/>
  <c r="O356" i="60"/>
  <c r="P363" i="60"/>
  <c r="Q372" i="60"/>
  <c r="R381" i="60"/>
  <c r="R388" i="60"/>
  <c r="N398" i="60"/>
  <c r="P95" i="60"/>
  <c r="N105" i="60"/>
  <c r="L128" i="60"/>
  <c r="M158" i="60"/>
  <c r="Q171" i="60"/>
  <c r="O185" i="60"/>
  <c r="M196" i="60"/>
  <c r="Q206" i="60"/>
  <c r="N219" i="60"/>
  <c r="R232" i="60"/>
  <c r="M247" i="60"/>
  <c r="P261" i="60"/>
  <c r="L279" i="60"/>
  <c r="O297" i="60"/>
  <c r="P310" i="60"/>
  <c r="P395" i="60"/>
  <c r="N76" i="60"/>
  <c r="M69" i="60"/>
  <c r="O76" i="60"/>
  <c r="Q88" i="60"/>
  <c r="N103" i="60"/>
  <c r="M114" i="60"/>
  <c r="O122" i="60"/>
  <c r="P125" i="60"/>
  <c r="P137" i="60"/>
  <c r="O155" i="60"/>
  <c r="M162" i="60"/>
  <c r="L169" i="60"/>
  <c r="L176" i="60"/>
  <c r="L193" i="60"/>
  <c r="R66" i="60"/>
  <c r="N69" i="60"/>
  <c r="Q71" i="60"/>
  <c r="M74" i="60"/>
  <c r="P76" i="60"/>
  <c r="M79" i="60"/>
  <c r="P81" i="60"/>
  <c r="L84" i="60"/>
  <c r="O86" i="60"/>
  <c r="R88" i="60"/>
  <c r="N91" i="60"/>
  <c r="Q93" i="60"/>
  <c r="M96" i="60"/>
  <c r="P98" i="60"/>
  <c r="L101" i="60"/>
  <c r="O103" i="60"/>
  <c r="R105" i="60"/>
  <c r="P108" i="60"/>
  <c r="P111" i="60"/>
  <c r="N114" i="60"/>
  <c r="L117" i="60"/>
  <c r="Q119" i="60"/>
  <c r="Q122" i="60"/>
  <c r="L126" i="60"/>
  <c r="R128" i="60"/>
  <c r="R131" i="60"/>
  <c r="Q134" i="60"/>
  <c r="R137" i="60"/>
  <c r="Q141" i="60"/>
  <c r="R144" i="60"/>
  <c r="O148" i="60"/>
  <c r="P151" i="60"/>
  <c r="P155" i="60"/>
  <c r="Q158" i="60"/>
  <c r="N162" i="60"/>
  <c r="O165" i="60"/>
  <c r="O169" i="60"/>
  <c r="P172" i="60"/>
  <c r="M176" i="60"/>
  <c r="N179" i="60"/>
  <c r="L183" i="60"/>
  <c r="O186" i="60"/>
  <c r="L190" i="60"/>
  <c r="M193" i="60"/>
  <c r="Q196" i="60"/>
  <c r="Q200" i="60"/>
  <c r="R203" i="60"/>
  <c r="Q207" i="60"/>
  <c r="L211" i="60"/>
  <c r="R215" i="60"/>
  <c r="M220" i="60"/>
  <c r="P224" i="60"/>
  <c r="L229" i="60"/>
  <c r="M234" i="60"/>
  <c r="Q238" i="60"/>
  <c r="N243" i="60"/>
  <c r="M249" i="60"/>
  <c r="Q253" i="60"/>
  <c r="N258" i="60"/>
  <c r="O263" i="60"/>
  <c r="M268" i="60"/>
  <c r="Q274" i="60"/>
  <c r="P279" i="60"/>
  <c r="M286" i="60"/>
  <c r="M292" i="60"/>
  <c r="L299" i="60"/>
  <c r="L306" i="60"/>
  <c r="M311" i="60"/>
  <c r="Q319" i="60"/>
  <c r="O326" i="60"/>
  <c r="Q333" i="60"/>
  <c r="N341" i="60"/>
  <c r="Q347" i="60"/>
  <c r="Q356" i="60"/>
  <c r="L364" i="60"/>
  <c r="R372" i="60"/>
  <c r="L382" i="60"/>
  <c r="M389" i="60"/>
  <c r="P399" i="60"/>
  <c r="M332" i="60"/>
  <c r="N71" i="60"/>
  <c r="R83" i="60"/>
  <c r="R116" i="60"/>
  <c r="L89" i="60"/>
  <c r="M101" i="60"/>
  <c r="M106" i="60"/>
  <c r="L109" i="60"/>
  <c r="Q111" i="60"/>
  <c r="O114" i="60"/>
  <c r="M117" i="60"/>
  <c r="R119" i="60"/>
  <c r="R122" i="60"/>
  <c r="M126" i="60"/>
  <c r="L129" i="60"/>
  <c r="L132" i="60"/>
  <c r="R134" i="60"/>
  <c r="N138" i="60"/>
  <c r="R141" i="60"/>
  <c r="L145" i="60"/>
  <c r="P148" i="60"/>
  <c r="R151" i="60"/>
  <c r="Q155" i="60"/>
  <c r="R158" i="60"/>
  <c r="O162" i="60"/>
  <c r="P165" i="60"/>
  <c r="P169" i="60"/>
  <c r="Q172" i="60"/>
  <c r="N176" i="60"/>
  <c r="O179" i="60"/>
  <c r="O183" i="60"/>
  <c r="L187" i="60"/>
  <c r="M190" i="60"/>
  <c r="N193" i="60"/>
  <c r="L197" i="60"/>
  <c r="R200" i="60"/>
  <c r="L204" i="60"/>
  <c r="R207" i="60"/>
  <c r="N211" i="60"/>
  <c r="Q216" i="60"/>
  <c r="O220" i="60"/>
  <c r="Q224" i="60"/>
  <c r="M229" i="60"/>
  <c r="L235" i="60"/>
  <c r="P239" i="60"/>
  <c r="M244" i="60"/>
  <c r="N249" i="60"/>
  <c r="R253" i="60"/>
  <c r="O258" i="60"/>
  <c r="P263" i="60"/>
  <c r="O268" i="60"/>
  <c r="R274" i="60"/>
  <c r="R279" i="60"/>
  <c r="N286" i="60"/>
  <c r="M293" i="60"/>
  <c r="M299" i="60"/>
  <c r="M306" i="60"/>
  <c r="O311" i="60"/>
  <c r="R319" i="60"/>
  <c r="O327" i="60"/>
  <c r="R333" i="60"/>
  <c r="O342" i="60"/>
  <c r="L348" i="60"/>
  <c r="R356" i="60"/>
  <c r="L366" i="60"/>
  <c r="M373" i="60"/>
  <c r="N382" i="60"/>
  <c r="N389" i="60"/>
  <c r="Q399" i="60"/>
  <c r="M347" i="60"/>
  <c r="M91" i="60"/>
  <c r="Q128" i="60"/>
  <c r="L67" i="60"/>
  <c r="N79" i="60"/>
  <c r="Q86" i="60"/>
  <c r="M109" i="60"/>
  <c r="L120" i="60"/>
  <c r="M129" i="60"/>
  <c r="L135" i="60"/>
  <c r="O138" i="60"/>
  <c r="L142" i="60"/>
  <c r="M145" i="60"/>
  <c r="Q148" i="60"/>
  <c r="Q152" i="60"/>
  <c r="R155" i="60"/>
  <c r="L159" i="60"/>
  <c r="P162" i="60"/>
  <c r="R165" i="60"/>
  <c r="Q169" i="60"/>
  <c r="N173" i="60"/>
  <c r="O176" i="60"/>
  <c r="P179" i="60"/>
  <c r="P183" i="60"/>
  <c r="M187" i="60"/>
  <c r="N190" i="60"/>
  <c r="R193" i="60"/>
  <c r="O197" i="60"/>
  <c r="L201" i="60"/>
  <c r="M204" i="60"/>
  <c r="L208" i="60"/>
  <c r="M212" i="60"/>
  <c r="R216" i="60"/>
  <c r="N221" i="60"/>
  <c r="L225" i="60"/>
  <c r="N229" i="60"/>
  <c r="M235" i="60"/>
  <c r="Q239" i="60"/>
  <c r="N244" i="60"/>
  <c r="O249" i="60"/>
  <c r="L254" i="60"/>
  <c r="P258" i="60"/>
  <c r="R263" i="60"/>
  <c r="N269" i="60"/>
  <c r="L275" i="60"/>
  <c r="R280" i="60"/>
  <c r="O286" i="60"/>
  <c r="N293" i="60"/>
  <c r="N299" i="60"/>
  <c r="N306" i="60"/>
  <c r="Q312" i="60"/>
  <c r="L320" i="60"/>
  <c r="P327" i="60"/>
  <c r="L334" i="60"/>
  <c r="P342" i="60"/>
  <c r="N349" i="60"/>
  <c r="M357" i="60"/>
  <c r="N366" i="60"/>
  <c r="N373" i="60"/>
  <c r="O382" i="60"/>
  <c r="P390" i="60"/>
  <c r="R399" i="60"/>
  <c r="P338" i="60"/>
  <c r="N86" i="60"/>
  <c r="P134" i="60"/>
  <c r="R76" i="60"/>
  <c r="R93" i="60"/>
  <c r="O79" i="60"/>
  <c r="Q103" i="60"/>
  <c r="O84" i="60"/>
  <c r="O117" i="60"/>
  <c r="L156" i="60"/>
  <c r="O173" i="60"/>
  <c r="P176" i="60"/>
  <c r="N180" i="60"/>
  <c r="N187" i="60"/>
  <c r="L194" i="60"/>
  <c r="M201" i="60"/>
  <c r="O204" i="60"/>
  <c r="M208" i="60"/>
  <c r="P212" i="60"/>
  <c r="L217" i="60"/>
  <c r="O221" i="60"/>
  <c r="R225" i="60"/>
  <c r="O230" i="60"/>
  <c r="N235" i="60"/>
  <c r="R239" i="60"/>
  <c r="O244" i="60"/>
  <c r="P249" i="60"/>
  <c r="M254" i="60"/>
  <c r="Q258" i="60"/>
  <c r="Q264" i="60"/>
  <c r="O269" i="60"/>
  <c r="N275" i="60"/>
  <c r="Q281" i="60"/>
  <c r="Q286" i="60"/>
  <c r="P293" i="60"/>
  <c r="O299" i="60"/>
  <c r="O306" i="60"/>
  <c r="Q313" i="60"/>
  <c r="M320" i="60"/>
  <c r="Q328" i="60"/>
  <c r="N334" i="60"/>
  <c r="Q342" i="60"/>
  <c r="N350" i="60"/>
  <c r="N357" i="60"/>
  <c r="O366" i="60"/>
  <c r="O374" i="60"/>
  <c r="P383" i="60"/>
  <c r="Q392" i="60"/>
  <c r="N400" i="60"/>
  <c r="L98" i="60"/>
  <c r="P110" i="60"/>
  <c r="M131" i="60"/>
  <c r="N161" i="60"/>
  <c r="N199" i="60"/>
  <c r="O252" i="60"/>
  <c r="M379" i="60"/>
  <c r="O66" i="60"/>
  <c r="O71" i="60"/>
  <c r="Q66" i="60"/>
  <c r="G26" i="60" s="1"/>
  <c r="O81" i="60"/>
  <c r="O98" i="60"/>
  <c r="O111" i="60"/>
  <c r="Q144" i="60"/>
  <c r="O69" i="60"/>
  <c r="Q81" i="60"/>
  <c r="O91" i="60"/>
  <c r="N96" i="60"/>
  <c r="P69" i="60"/>
  <c r="L77" i="60"/>
  <c r="M89" i="60"/>
  <c r="O96" i="60"/>
  <c r="N101" i="60"/>
  <c r="P114" i="60"/>
  <c r="M132" i="60"/>
  <c r="Q69" i="60"/>
  <c r="M77" i="60"/>
  <c r="R86" i="60"/>
  <c r="M94" i="60"/>
  <c r="L99" i="60"/>
  <c r="P106" i="60"/>
  <c r="Q114" i="60"/>
  <c r="M120" i="60"/>
  <c r="N129" i="60"/>
  <c r="N135" i="60"/>
  <c r="N145" i="60"/>
  <c r="Q162" i="60"/>
  <c r="P197" i="60"/>
  <c r="L65" i="60"/>
  <c r="B19" i="60" s="1"/>
  <c r="O67" i="60"/>
  <c r="L70" i="60"/>
  <c r="O72" i="60"/>
  <c r="R74" i="60"/>
  <c r="N77" i="60"/>
  <c r="Q79" i="60"/>
  <c r="G5" i="60" s="1"/>
  <c r="M82" i="60"/>
  <c r="P84" i="60"/>
  <c r="L87" i="60"/>
  <c r="O89" i="60"/>
  <c r="R91" i="60"/>
  <c r="N94" i="60"/>
  <c r="Q96" i="60"/>
  <c r="M99" i="60"/>
  <c r="P101" i="60"/>
  <c r="L104" i="60"/>
  <c r="Q106" i="60"/>
  <c r="O109" i="60"/>
  <c r="M112" i="60"/>
  <c r="R114" i="60"/>
  <c r="P117" i="60"/>
  <c r="O120" i="60"/>
  <c r="Q123" i="60"/>
  <c r="P126" i="60"/>
  <c r="P129" i="60"/>
  <c r="O132" i="60"/>
  <c r="Q135" i="60"/>
  <c r="M139" i="60"/>
  <c r="N142" i="60"/>
  <c r="R145" i="60"/>
  <c r="M149" i="60"/>
  <c r="L153" i="60"/>
  <c r="M156" i="60"/>
  <c r="Q159" i="60"/>
  <c r="R162" i="60"/>
  <c r="R166" i="60"/>
  <c r="L170" i="60"/>
  <c r="P173" i="60"/>
  <c r="Q176" i="60"/>
  <c r="Q180" i="60"/>
  <c r="R183" i="60"/>
  <c r="O187" i="60"/>
  <c r="P190" i="60"/>
  <c r="N194" i="60"/>
  <c r="Q197" i="60"/>
  <c r="N201" i="60"/>
  <c r="P204" i="60"/>
  <c r="N208" i="60"/>
  <c r="Q212" i="60"/>
  <c r="M217" i="60"/>
  <c r="P221" i="60"/>
  <c r="L226" i="60"/>
  <c r="R230" i="60"/>
  <c r="O235" i="60"/>
  <c r="L240" i="60"/>
  <c r="M245" i="60"/>
  <c r="Q249" i="60"/>
  <c r="N254" i="60"/>
  <c r="N260" i="60"/>
  <c r="R264" i="60"/>
  <c r="Q269" i="60"/>
  <c r="M276" i="60"/>
  <c r="R281" i="60"/>
  <c r="P287" i="60"/>
  <c r="O294" i="60"/>
  <c r="Q299" i="60"/>
  <c r="P306" i="60"/>
  <c r="R313" i="60"/>
  <c r="N320" i="60"/>
  <c r="R328" i="60"/>
  <c r="P335" i="60"/>
  <c r="R342" i="60"/>
  <c r="O350" i="60"/>
  <c r="O358" i="60"/>
  <c r="P367" i="60"/>
  <c r="Q374" i="60"/>
  <c r="Q383" i="60"/>
  <c r="R392" i="60"/>
  <c r="P400" i="60"/>
  <c r="P113" i="60"/>
  <c r="N140" i="60"/>
  <c r="P175" i="60"/>
  <c r="Q214" i="60"/>
  <c r="P267" i="60"/>
  <c r="M372" i="60"/>
  <c r="R78" i="60"/>
  <c r="H24" i="60" s="1"/>
  <c r="R100" i="60"/>
  <c r="O151" i="60"/>
  <c r="R71" i="60"/>
  <c r="M84" i="60"/>
  <c r="Q98" i="60"/>
  <c r="M67" i="60"/>
  <c r="P74" i="60"/>
  <c r="N84" i="60"/>
  <c r="L94" i="60"/>
  <c r="R111" i="60"/>
  <c r="M123" i="60"/>
  <c r="N72" i="60"/>
  <c r="P79" i="60"/>
  <c r="N89" i="60"/>
  <c r="P96" i="60"/>
  <c r="R103" i="60"/>
  <c r="N109" i="60"/>
  <c r="P123" i="60"/>
  <c r="L139" i="60"/>
  <c r="R148" i="60"/>
  <c r="P159" i="60"/>
  <c r="R169" i="60"/>
  <c r="O190" i="60"/>
  <c r="M65" i="60"/>
  <c r="Q67" i="60"/>
  <c r="M70" i="60"/>
  <c r="P72" i="60"/>
  <c r="L75" i="60"/>
  <c r="O77" i="60"/>
  <c r="R79" i="60"/>
  <c r="N82" i="60"/>
  <c r="Q84" i="60"/>
  <c r="M87" i="60"/>
  <c r="P89" i="60"/>
  <c r="L92" i="60"/>
  <c r="O94" i="60"/>
  <c r="R96" i="60"/>
  <c r="N99" i="60"/>
  <c r="Q101" i="60"/>
  <c r="N104" i="60"/>
  <c r="R106" i="60"/>
  <c r="P109" i="60"/>
  <c r="N112" i="60"/>
  <c r="L115" i="60"/>
  <c r="Q117" i="60"/>
  <c r="Q120" i="60"/>
  <c r="R123" i="60"/>
  <c r="Q126" i="60"/>
  <c r="Q129" i="60"/>
  <c r="P132" i="60"/>
  <c r="R135" i="60"/>
  <c r="N139" i="60"/>
  <c r="O142" i="60"/>
  <c r="L146" i="60"/>
  <c r="P149" i="60"/>
  <c r="M153" i="60"/>
  <c r="N156" i="60"/>
  <c r="R159" i="60"/>
  <c r="M163" i="60"/>
  <c r="L167" i="60"/>
  <c r="M170" i="60"/>
  <c r="Q173" i="60"/>
  <c r="R176" i="60"/>
  <c r="R180" i="60"/>
  <c r="L184" i="60"/>
  <c r="P187" i="60"/>
  <c r="Q190" i="60"/>
  <c r="Q194" i="60"/>
  <c r="R197" i="60"/>
  <c r="O201" i="60"/>
  <c r="Q204" i="60"/>
  <c r="P208" i="60"/>
  <c r="R212" i="60"/>
  <c r="N217" i="60"/>
  <c r="Q221" i="60"/>
  <c r="M226" i="60"/>
  <c r="L231" i="60"/>
  <c r="P235" i="60"/>
  <c r="M240" i="60"/>
  <c r="N245" i="60"/>
  <c r="R249" i="60"/>
  <c r="O254" i="60"/>
  <c r="O260" i="60"/>
  <c r="L265" i="60"/>
  <c r="Q270" i="60"/>
  <c r="N276" i="60"/>
  <c r="M282" i="60"/>
  <c r="Q287" i="60"/>
  <c r="P294" i="60"/>
  <c r="P301" i="60"/>
  <c r="R306" i="60"/>
  <c r="L315" i="60"/>
  <c r="P320" i="60"/>
  <c r="L329" i="60"/>
  <c r="P336" i="60"/>
  <c r="L343" i="60"/>
  <c r="P351" i="60"/>
  <c r="P358" i="60"/>
  <c r="Q367" i="60"/>
  <c r="R376" i="60"/>
  <c r="R383" i="60"/>
  <c r="L393" i="60"/>
  <c r="L402" i="60"/>
  <c r="Q85" i="60"/>
  <c r="Q90" i="60"/>
  <c r="O100" i="60"/>
  <c r="L125" i="60"/>
  <c r="L151" i="60"/>
  <c r="Q178" i="60"/>
  <c r="N203" i="60"/>
  <c r="L238" i="60"/>
  <c r="O290" i="60"/>
  <c r="L354" i="60"/>
  <c r="R68" i="60"/>
  <c r="L69" i="60"/>
  <c r="L74" i="60"/>
  <c r="P93" i="60"/>
  <c r="Q105" i="60"/>
  <c r="P141" i="60"/>
  <c r="N74" i="60"/>
  <c r="P86" i="60"/>
  <c r="P103" i="60"/>
  <c r="L72" i="60"/>
  <c r="R81" i="60"/>
  <c r="P91" i="60"/>
  <c r="R98" i="60"/>
  <c r="N106" i="60"/>
  <c r="N117" i="60"/>
  <c r="N126" i="60"/>
  <c r="N67" i="60"/>
  <c r="Q74" i="60"/>
  <c r="L82" i="60"/>
  <c r="Q91" i="60"/>
  <c r="O101" i="60"/>
  <c r="L112" i="60"/>
  <c r="O126" i="60"/>
  <c r="N132" i="60"/>
  <c r="M142" i="60"/>
  <c r="R152" i="60"/>
  <c r="Q166" i="60"/>
  <c r="Q183" i="60"/>
  <c r="O65" i="60"/>
  <c r="E4" i="60" s="1"/>
  <c r="R67" i="60"/>
  <c r="H7" i="60" s="1"/>
  <c r="N70" i="60"/>
  <c r="D8" i="60" s="1"/>
  <c r="Q72" i="60"/>
  <c r="M75" i="60"/>
  <c r="P77" i="60"/>
  <c r="L80" i="60"/>
  <c r="O82" i="60"/>
  <c r="R84" i="60"/>
  <c r="N87" i="60"/>
  <c r="Q89" i="60"/>
  <c r="M92" i="60"/>
  <c r="P94" i="60"/>
  <c r="L97" i="60"/>
  <c r="O99" i="60"/>
  <c r="L102" i="60"/>
  <c r="O104" i="60"/>
  <c r="L107" i="60"/>
  <c r="Q109" i="60"/>
  <c r="O112" i="60"/>
  <c r="M115" i="60"/>
  <c r="R117" i="60"/>
  <c r="M121" i="60"/>
  <c r="L124" i="60"/>
  <c r="R126" i="60"/>
  <c r="R129" i="60"/>
  <c r="R132" i="60"/>
  <c r="L136" i="60"/>
  <c r="O139" i="60"/>
  <c r="P142" i="60"/>
  <c r="M146" i="60"/>
  <c r="Q149" i="60"/>
  <c r="N153" i="60"/>
  <c r="O156" i="60"/>
  <c r="L160" i="60"/>
  <c r="P163" i="60"/>
  <c r="M167" i="60"/>
  <c r="N170" i="60"/>
  <c r="R173" i="60"/>
  <c r="M177" i="60"/>
  <c r="L181" i="60"/>
  <c r="M184" i="60"/>
  <c r="Q187" i="60"/>
  <c r="R190" i="60"/>
  <c r="R194" i="60"/>
  <c r="O198" i="60"/>
  <c r="P201" i="60"/>
  <c r="N205" i="60"/>
  <c r="M209" i="60"/>
  <c r="L213" i="60"/>
  <c r="O217" i="60"/>
  <c r="R221" i="60"/>
  <c r="O226" i="60"/>
  <c r="M231" i="60"/>
  <c r="Q235" i="60"/>
  <c r="N240" i="60"/>
  <c r="P245" i="60"/>
  <c r="M250" i="60"/>
  <c r="Q254" i="60"/>
  <c r="P260" i="60"/>
  <c r="M265" i="60"/>
  <c r="P271" i="60"/>
  <c r="O276" i="60"/>
  <c r="L283" i="60"/>
  <c r="L288" i="60"/>
  <c r="Q294" i="60"/>
  <c r="Q301" i="60"/>
  <c r="L307" i="60"/>
  <c r="M315" i="60"/>
  <c r="R321" i="60"/>
  <c r="M329" i="60"/>
  <c r="Q336" i="60"/>
  <c r="M343" i="60"/>
  <c r="Q351" i="60"/>
  <c r="L359" i="60"/>
  <c r="R367" i="60"/>
  <c r="L377" i="60"/>
  <c r="M384" i="60"/>
  <c r="N393" i="60"/>
  <c r="M400" i="60"/>
  <c r="P265" i="60"/>
  <c r="P269" i="60"/>
  <c r="Q272" i="60"/>
  <c r="Q276" i="60"/>
  <c r="Q280" i="60"/>
  <c r="R283" i="60"/>
  <c r="R287" i="60"/>
  <c r="N291" i="60"/>
  <c r="O295" i="60"/>
  <c r="P299" i="60"/>
  <c r="R303" i="60"/>
  <c r="M308" i="60"/>
  <c r="P311" i="60"/>
  <c r="M316" i="60"/>
  <c r="Q320" i="60"/>
  <c r="N325" i="60"/>
  <c r="R329" i="60"/>
  <c r="O334" i="60"/>
  <c r="L339" i="60"/>
  <c r="P343" i="60"/>
  <c r="M348" i="60"/>
  <c r="R353" i="60"/>
  <c r="Q358" i="60"/>
  <c r="Q363" i="60"/>
  <c r="Q368" i="60"/>
  <c r="P374" i="60"/>
  <c r="P379" i="60"/>
  <c r="P384" i="60"/>
  <c r="O390" i="60"/>
  <c r="N395" i="60"/>
  <c r="R401" i="60"/>
  <c r="R269" i="60"/>
  <c r="R273" i="60"/>
  <c r="L277" i="60"/>
  <c r="L281" i="60"/>
  <c r="M284" i="60"/>
  <c r="M288" i="60"/>
  <c r="N292" i="60"/>
  <c r="R295" i="60"/>
  <c r="L300" i="60"/>
  <c r="M304" i="60"/>
  <c r="O308" i="60"/>
  <c r="R312" i="60"/>
  <c r="O317" i="60"/>
  <c r="L322" i="60"/>
  <c r="P326" i="60"/>
  <c r="M331" i="60"/>
  <c r="Q335" i="60"/>
  <c r="N340" i="60"/>
  <c r="R344" i="60"/>
  <c r="O349" i="60"/>
  <c r="M354" i="60"/>
  <c r="M359" i="60"/>
  <c r="M364" i="60"/>
  <c r="L370" i="60"/>
  <c r="L375" i="60"/>
  <c r="L380" i="60"/>
  <c r="R385" i="60"/>
  <c r="Q390" i="60"/>
  <c r="Q395" i="60"/>
  <c r="M402" i="60"/>
  <c r="L106" i="60"/>
  <c r="N108" i="60"/>
  <c r="Q110" i="60"/>
  <c r="M113" i="60"/>
  <c r="P115" i="60"/>
  <c r="M118" i="60"/>
  <c r="P120" i="60"/>
  <c r="L123" i="60"/>
  <c r="O125" i="60"/>
  <c r="R127" i="60"/>
  <c r="N130" i="60"/>
  <c r="Q132" i="60"/>
  <c r="M135" i="60"/>
  <c r="Q137" i="60"/>
  <c r="O140" i="60"/>
  <c r="P143" i="60"/>
  <c r="N146" i="60"/>
  <c r="L149" i="60"/>
  <c r="Q151" i="60"/>
  <c r="O154" i="60"/>
  <c r="P157" i="60"/>
  <c r="N160" i="60"/>
  <c r="L163" i="60"/>
  <c r="Q165" i="60"/>
  <c r="R168" i="60"/>
  <c r="P171" i="60"/>
  <c r="N174" i="60"/>
  <c r="L177" i="60"/>
  <c r="M180" i="60"/>
  <c r="R182" i="60"/>
  <c r="P185" i="60"/>
  <c r="N188" i="60"/>
  <c r="L191" i="60"/>
  <c r="M194" i="60"/>
  <c r="R196" i="60"/>
  <c r="P199" i="60"/>
  <c r="N202" i="60"/>
  <c r="P205" i="60"/>
  <c r="O208" i="60"/>
  <c r="P211" i="60"/>
  <c r="M215" i="60"/>
  <c r="M219" i="60"/>
  <c r="N222" i="60"/>
  <c r="N226" i="60"/>
  <c r="P229" i="60"/>
  <c r="O233" i="60"/>
  <c r="O237" i="60"/>
  <c r="P240" i="60"/>
  <c r="P244" i="60"/>
  <c r="R247" i="60"/>
  <c r="Q251" i="60"/>
  <c r="Q255" i="60"/>
  <c r="R258" i="60"/>
  <c r="R262" i="60"/>
  <c r="M266" i="60"/>
  <c r="L270" i="60"/>
  <c r="L274" i="60"/>
  <c r="M277" i="60"/>
  <c r="M281" i="60"/>
  <c r="O284" i="60"/>
  <c r="N288" i="60"/>
  <c r="O292" i="60"/>
  <c r="Q296" i="60"/>
  <c r="M300" i="60"/>
  <c r="N304" i="60"/>
  <c r="P308" i="60"/>
  <c r="L313" i="60"/>
  <c r="P317" i="60"/>
  <c r="M322" i="60"/>
  <c r="Q326" i="60"/>
  <c r="N331" i="60"/>
  <c r="R335" i="60"/>
  <c r="O340" i="60"/>
  <c r="L345" i="60"/>
  <c r="P349" i="60"/>
  <c r="O354" i="60"/>
  <c r="O359" i="60"/>
  <c r="N365" i="60"/>
  <c r="M370" i="60"/>
  <c r="M375" i="60"/>
  <c r="M380" i="60"/>
  <c r="L386" i="60"/>
  <c r="L391" i="60"/>
  <c r="L396" i="60"/>
  <c r="O402" i="60"/>
  <c r="P233" i="60"/>
  <c r="P237" i="60"/>
  <c r="Q240" i="60"/>
  <c r="Q244" i="60"/>
  <c r="Q248" i="60"/>
  <c r="R251" i="60"/>
  <c r="R255" i="60"/>
  <c r="L259" i="60"/>
  <c r="L263" i="60"/>
  <c r="L267" i="60"/>
  <c r="M270" i="60"/>
  <c r="M274" i="60"/>
  <c r="N277" i="60"/>
  <c r="N281" i="60"/>
  <c r="N285" i="60"/>
  <c r="O288" i="60"/>
  <c r="P292" i="60"/>
  <c r="R296" i="60"/>
  <c r="O300" i="60"/>
  <c r="P304" i="60"/>
  <c r="Q308" i="60"/>
  <c r="M313" i="60"/>
  <c r="Q317" i="60"/>
  <c r="N322" i="60"/>
  <c r="R326" i="60"/>
  <c r="O331" i="60"/>
  <c r="L336" i="60"/>
  <c r="P340" i="60"/>
  <c r="M345" i="60"/>
  <c r="Q349" i="60"/>
  <c r="P354" i="60"/>
  <c r="P359" i="60"/>
  <c r="O365" i="60"/>
  <c r="O370" i="60"/>
  <c r="O375" i="60"/>
  <c r="N381" i="60"/>
  <c r="M386" i="60"/>
  <c r="M391" i="60"/>
  <c r="N397" i="60"/>
  <c r="P402" i="60"/>
  <c r="N123" i="60"/>
  <c r="M128" i="60"/>
  <c r="P130" i="60"/>
  <c r="L133" i="60"/>
  <c r="O135" i="60"/>
  <c r="L138" i="60"/>
  <c r="R143" i="60"/>
  <c r="P146" i="60"/>
  <c r="N149" i="60"/>
  <c r="L152" i="60"/>
  <c r="M155" i="60"/>
  <c r="R157" i="60"/>
  <c r="P160" i="60"/>
  <c r="N163" i="60"/>
  <c r="O166" i="60"/>
  <c r="M169" i="60"/>
  <c r="R171" i="60"/>
  <c r="P174" i="60"/>
  <c r="N177" i="60"/>
  <c r="O180" i="60"/>
  <c r="M183" i="60"/>
  <c r="R185" i="60"/>
  <c r="P188" i="60"/>
  <c r="Q191" i="60"/>
  <c r="O194" i="60"/>
  <c r="M197" i="60"/>
  <c r="R199" i="60"/>
  <c r="L203" i="60"/>
  <c r="R205" i="60"/>
  <c r="Q208" i="60"/>
  <c r="N212" i="60"/>
  <c r="O215" i="60"/>
  <c r="O219" i="60"/>
  <c r="Q222" i="60"/>
  <c r="P226" i="60"/>
  <c r="P230" i="60"/>
  <c r="Q233" i="60"/>
  <c r="Q237" i="60"/>
  <c r="L241" i="60"/>
  <c r="R244" i="60"/>
  <c r="R248" i="60"/>
  <c r="L252" i="60"/>
  <c r="L256" i="60"/>
  <c r="N259" i="60"/>
  <c r="M263" i="60"/>
  <c r="M267" i="60"/>
  <c r="N270" i="60"/>
  <c r="N274" i="60"/>
  <c r="P277" i="60"/>
  <c r="O281" i="60"/>
  <c r="O285" i="60"/>
  <c r="P288" i="60"/>
  <c r="Q292" i="60"/>
  <c r="L297" i="60"/>
  <c r="N301" i="60"/>
  <c r="Q304" i="60"/>
  <c r="R308" i="60"/>
  <c r="N313" i="60"/>
  <c r="R317" i="60"/>
  <c r="O322" i="60"/>
  <c r="L327" i="60"/>
  <c r="P331" i="60"/>
  <c r="M336" i="60"/>
  <c r="Q340" i="60"/>
  <c r="N345" i="60"/>
  <c r="R349" i="60"/>
  <c r="R354" i="60"/>
  <c r="Q360" i="60"/>
  <c r="P365" i="60"/>
  <c r="P370" i="60"/>
  <c r="P375" i="60"/>
  <c r="O381" i="60"/>
  <c r="O386" i="60"/>
  <c r="O391" i="60"/>
  <c r="O397" i="60"/>
  <c r="R402" i="60"/>
  <c r="R120" i="60"/>
  <c r="Q125" i="60"/>
  <c r="Q140" i="60"/>
  <c r="N65" i="60"/>
  <c r="P67" i="60"/>
  <c r="R69" i="60"/>
  <c r="M72" i="60"/>
  <c r="O74" i="60"/>
  <c r="Q76" i="60"/>
  <c r="L79" i="60"/>
  <c r="N81" i="60"/>
  <c r="P83" i="60"/>
  <c r="R85" i="60"/>
  <c r="M88" i="60"/>
  <c r="O90" i="60"/>
  <c r="Q92" i="60"/>
  <c r="L95" i="60"/>
  <c r="N97" i="60"/>
  <c r="P99" i="60"/>
  <c r="R101" i="60"/>
  <c r="M104" i="60"/>
  <c r="O106" i="60"/>
  <c r="Q108" i="60"/>
  <c r="N111" i="60"/>
  <c r="Q113" i="60"/>
  <c r="M116" i="60"/>
  <c r="P118" i="60"/>
  <c r="L121" i="60"/>
  <c r="O123" i="60"/>
  <c r="R125" i="60"/>
  <c r="N128" i="60"/>
  <c r="Q130" i="60"/>
  <c r="M133" i="60"/>
  <c r="P135" i="60"/>
  <c r="M138" i="60"/>
  <c r="N141" i="60"/>
  <c r="L144" i="60"/>
  <c r="Q146" i="60"/>
  <c r="O149" i="60"/>
  <c r="M152" i="60"/>
  <c r="N155" i="60"/>
  <c r="L158" i="60"/>
  <c r="Q160" i="60"/>
  <c r="O163" i="60"/>
  <c r="P166" i="60"/>
  <c r="N169" i="60"/>
  <c r="L172" i="60"/>
  <c r="Q174" i="60"/>
  <c r="R177" i="60"/>
  <c r="P180" i="60"/>
  <c r="N183" i="60"/>
  <c r="L186" i="60"/>
  <c r="Q188" i="60"/>
  <c r="R191" i="60"/>
  <c r="P194" i="60"/>
  <c r="N197" i="60"/>
  <c r="L200" i="60"/>
  <c r="M203" i="60"/>
  <c r="L206" i="60"/>
  <c r="L209" i="60"/>
  <c r="O212" i="60"/>
  <c r="P215" i="60"/>
  <c r="P219" i="60"/>
  <c r="P223" i="60"/>
  <c r="Q226" i="60"/>
  <c r="Q230" i="60"/>
  <c r="R233" i="60"/>
  <c r="R237" i="60"/>
  <c r="R241" i="60"/>
  <c r="L245" i="60"/>
  <c r="L249" i="60"/>
  <c r="M252" i="60"/>
  <c r="M256" i="60"/>
  <c r="M260" i="60"/>
  <c r="N263" i="60"/>
  <c r="N267" i="60"/>
  <c r="O270" i="60"/>
  <c r="O274" i="60"/>
  <c r="O278" i="60"/>
  <c r="P281" i="60"/>
  <c r="P285" i="60"/>
  <c r="Q288" i="60"/>
  <c r="R292" i="60"/>
  <c r="M297" i="60"/>
  <c r="O301" i="60"/>
  <c r="L305" i="60"/>
  <c r="M309" i="60"/>
  <c r="O313" i="60"/>
  <c r="L318" i="60"/>
  <c r="P322" i="60"/>
  <c r="M327" i="60"/>
  <c r="Q331" i="60"/>
  <c r="N336" i="60"/>
  <c r="R340" i="60"/>
  <c r="O345" i="60"/>
  <c r="L350" i="60"/>
  <c r="L355" i="60"/>
  <c r="R360" i="60"/>
  <c r="R365" i="60"/>
  <c r="R370" i="60"/>
  <c r="Q376" i="60"/>
  <c r="P381" i="60"/>
  <c r="P386" i="60"/>
  <c r="P391" i="60"/>
  <c r="P397" i="60"/>
  <c r="L352" i="60"/>
  <c r="N354" i="60"/>
  <c r="P356" i="60"/>
  <c r="R358" i="60"/>
  <c r="M361" i="60"/>
  <c r="O363" i="60"/>
  <c r="Q365" i="60"/>
  <c r="L368" i="60"/>
  <c r="N370" i="60"/>
  <c r="P372" i="60"/>
  <c r="R374" i="60"/>
  <c r="M377" i="60"/>
  <c r="O379" i="60"/>
  <c r="Q381" i="60"/>
  <c r="L384" i="60"/>
  <c r="N386" i="60"/>
  <c r="P388" i="60"/>
  <c r="R390" i="60"/>
  <c r="M393" i="60"/>
  <c r="O395" i="60"/>
  <c r="Q397" i="60"/>
  <c r="L400" i="60"/>
  <c r="N402" i="60"/>
  <c r="Q290" i="60"/>
  <c r="L293" i="60"/>
  <c r="N295" i="60"/>
  <c r="P297" i="60"/>
  <c r="R299" i="60"/>
  <c r="M302" i="60"/>
  <c r="O304" i="60"/>
  <c r="Q306" i="60"/>
  <c r="L309" i="60"/>
  <c r="N311" i="60"/>
  <c r="P313" i="60"/>
  <c r="R315" i="60"/>
  <c r="M318" i="60"/>
  <c r="O320" i="60"/>
  <c r="Q322" i="60"/>
  <c r="L325" i="60"/>
  <c r="N327" i="60"/>
  <c r="P329" i="60"/>
  <c r="R331" i="60"/>
  <c r="M334" i="60"/>
  <c r="O336" i="60"/>
  <c r="Q338" i="60"/>
  <c r="L341" i="60"/>
  <c r="N343" i="60"/>
  <c r="P345" i="60"/>
  <c r="R347" i="60"/>
  <c r="M350" i="60"/>
  <c r="O352" i="60"/>
  <c r="Q354" i="60"/>
  <c r="L357" i="60"/>
  <c r="N359" i="60"/>
  <c r="P361" i="60"/>
  <c r="R363" i="60"/>
  <c r="M366" i="60"/>
  <c r="O368" i="60"/>
  <c r="Q370" i="60"/>
  <c r="L373" i="60"/>
  <c r="N375" i="60"/>
  <c r="P377" i="60"/>
  <c r="R379" i="60"/>
  <c r="M382" i="60"/>
  <c r="O384" i="60"/>
  <c r="Q386" i="60"/>
  <c r="L389" i="60"/>
  <c r="N391" i="60"/>
  <c r="P393" i="60"/>
  <c r="R395" i="60"/>
  <c r="M398" i="60"/>
  <c r="O400" i="60"/>
  <c r="Q402" i="60"/>
  <c r="M396" i="60"/>
  <c r="O398" i="60"/>
  <c r="Q400" i="60"/>
  <c r="L403" i="60"/>
  <c r="N204" i="60"/>
  <c r="P206" i="60"/>
  <c r="R208" i="60"/>
  <c r="M211" i="60"/>
  <c r="O213" i="60"/>
  <c r="Q215" i="60"/>
  <c r="L218" i="60"/>
  <c r="N220" i="60"/>
  <c r="P222" i="60"/>
  <c r="R224" i="60"/>
  <c r="M227" i="60"/>
  <c r="O229" i="60"/>
  <c r="Q231" i="60"/>
  <c r="L234" i="60"/>
  <c r="N236" i="60"/>
  <c r="P238" i="60"/>
  <c r="R240" i="60"/>
  <c r="M243" i="60"/>
  <c r="O245" i="60"/>
  <c r="Q247" i="60"/>
  <c r="L250" i="60"/>
  <c r="N252" i="60"/>
  <c r="P254" i="60"/>
  <c r="R256" i="60"/>
  <c r="M259" i="60"/>
  <c r="O261" i="60"/>
  <c r="Q263" i="60"/>
  <c r="L266" i="60"/>
  <c r="N268" i="60"/>
  <c r="P270" i="60"/>
  <c r="R272" i="60"/>
  <c r="M275" i="60"/>
  <c r="O277" i="60"/>
  <c r="Q279" i="60"/>
  <c r="L282" i="60"/>
  <c r="N284" i="60"/>
  <c r="P286" i="60"/>
  <c r="R288" i="60"/>
  <c r="M291" i="60"/>
  <c r="O293" i="60"/>
  <c r="Q295" i="60"/>
  <c r="L298" i="60"/>
  <c r="N300" i="60"/>
  <c r="P302" i="60"/>
  <c r="R304" i="60"/>
  <c r="M307" i="60"/>
  <c r="O309" i="60"/>
  <c r="Q311" i="60"/>
  <c r="L314" i="60"/>
  <c r="N316" i="60"/>
  <c r="P318" i="60"/>
  <c r="R320" i="60"/>
  <c r="M323" i="60"/>
  <c r="O325" i="60"/>
  <c r="Q327" i="60"/>
  <c r="L330" i="60"/>
  <c r="N332" i="60"/>
  <c r="P334" i="60"/>
  <c r="R336" i="60"/>
  <c r="M339" i="60"/>
  <c r="O341" i="60"/>
  <c r="Q343" i="60"/>
  <c r="L346" i="60"/>
  <c r="N348" i="60"/>
  <c r="P350" i="60"/>
  <c r="R352" i="60"/>
  <c r="M355" i="60"/>
  <c r="O357" i="60"/>
  <c r="Q359" i="60"/>
  <c r="L362" i="60"/>
  <c r="N364" i="60"/>
  <c r="P366" i="60"/>
  <c r="R368" i="60"/>
  <c r="M371" i="60"/>
  <c r="O373" i="60"/>
  <c r="Q375" i="60"/>
  <c r="L378" i="60"/>
  <c r="N380" i="60"/>
  <c r="P382" i="60"/>
  <c r="R384" i="60"/>
  <c r="M387" i="60"/>
  <c r="O389" i="60"/>
  <c r="Q391" i="60"/>
  <c r="L394" i="60"/>
  <c r="N396" i="60"/>
  <c r="P398" i="60"/>
  <c r="R400" i="60"/>
  <c r="M403" i="60"/>
  <c r="R311" i="60"/>
  <c r="M314" i="60"/>
  <c r="O316" i="60"/>
  <c r="Q318" i="60"/>
  <c r="L321" i="60"/>
  <c r="N323" i="60"/>
  <c r="P325" i="60"/>
  <c r="R327" i="60"/>
  <c r="M330" i="60"/>
  <c r="O332" i="60"/>
  <c r="Q334" i="60"/>
  <c r="L337" i="60"/>
  <c r="N339" i="60"/>
  <c r="P341" i="60"/>
  <c r="R343" i="60"/>
  <c r="M346" i="60"/>
  <c r="O348" i="60"/>
  <c r="Q350" i="60"/>
  <c r="L353" i="60"/>
  <c r="N355" i="60"/>
  <c r="P357" i="60"/>
  <c r="R359" i="60"/>
  <c r="M362" i="60"/>
  <c r="O364" i="60"/>
  <c r="Q366" i="60"/>
  <c r="L369" i="60"/>
  <c r="N371" i="60"/>
  <c r="P373" i="60"/>
  <c r="R375" i="60"/>
  <c r="M378" i="60"/>
  <c r="O380" i="60"/>
  <c r="Q382" i="60"/>
  <c r="L385" i="60"/>
  <c r="N387" i="60"/>
  <c r="P389" i="60"/>
  <c r="R391" i="60"/>
  <c r="M394" i="60"/>
  <c r="O396" i="60"/>
  <c r="Q398" i="60"/>
  <c r="L401" i="60"/>
  <c r="N403" i="60"/>
  <c r="O211" i="60"/>
  <c r="Q213" i="60"/>
  <c r="L216" i="60"/>
  <c r="N218" i="60"/>
  <c r="P220" i="60"/>
  <c r="R222" i="60"/>
  <c r="M225" i="60"/>
  <c r="O227" i="60"/>
  <c r="Q229" i="60"/>
  <c r="L232" i="60"/>
  <c r="N234" i="60"/>
  <c r="P236" i="60"/>
  <c r="R238" i="60"/>
  <c r="M241" i="60"/>
  <c r="O243" i="60"/>
  <c r="Q245" i="60"/>
  <c r="L248" i="60"/>
  <c r="N250" i="60"/>
  <c r="P252" i="60"/>
  <c r="R254" i="60"/>
  <c r="M257" i="60"/>
  <c r="O259" i="60"/>
  <c r="Q261" i="60"/>
  <c r="L264" i="60"/>
  <c r="N266" i="60"/>
  <c r="P268" i="60"/>
  <c r="R270" i="60"/>
  <c r="M273" i="60"/>
  <c r="O275" i="60"/>
  <c r="Q277" i="60"/>
  <c r="L280" i="60"/>
  <c r="N282" i="60"/>
  <c r="P284" i="60"/>
  <c r="R286" i="60"/>
  <c r="M289" i="60"/>
  <c r="O291" i="60"/>
  <c r="Q293" i="60"/>
  <c r="L296" i="60"/>
  <c r="N298" i="60"/>
  <c r="P300" i="60"/>
  <c r="R302" i="60"/>
  <c r="M305" i="60"/>
  <c r="O307" i="60"/>
  <c r="Q309" i="60"/>
  <c r="L312" i="60"/>
  <c r="N314" i="60"/>
  <c r="P316" i="60"/>
  <c r="R318" i="60"/>
  <c r="M321" i="60"/>
  <c r="O323" i="60"/>
  <c r="Q325" i="60"/>
  <c r="L328" i="60"/>
  <c r="N330" i="60"/>
  <c r="P332" i="60"/>
  <c r="R334" i="60"/>
  <c r="M337" i="60"/>
  <c r="O339" i="60"/>
  <c r="Q341" i="60"/>
  <c r="L344" i="60"/>
  <c r="N346" i="60"/>
  <c r="P348" i="60"/>
  <c r="R350" i="60"/>
  <c r="M353" i="60"/>
  <c r="O355" i="60"/>
  <c r="Q357" i="60"/>
  <c r="L360" i="60"/>
  <c r="N362" i="60"/>
  <c r="P364" i="60"/>
  <c r="R366" i="60"/>
  <c r="M369" i="60"/>
  <c r="O371" i="60"/>
  <c r="Q373" i="60"/>
  <c r="L376" i="60"/>
  <c r="N378" i="60"/>
  <c r="P380" i="60"/>
  <c r="R382" i="60"/>
  <c r="M385" i="60"/>
  <c r="O387" i="60"/>
  <c r="Q389" i="60"/>
  <c r="L392" i="60"/>
  <c r="N394" i="60"/>
  <c r="P396" i="60"/>
  <c r="R398" i="60"/>
  <c r="M401" i="60"/>
  <c r="O403" i="60"/>
  <c r="R213" i="60"/>
  <c r="M216" i="60"/>
  <c r="O218" i="60"/>
  <c r="Q220" i="60"/>
  <c r="L223" i="60"/>
  <c r="N225" i="60"/>
  <c r="P227" i="60"/>
  <c r="R229" i="60"/>
  <c r="M232" i="60"/>
  <c r="O234" i="60"/>
  <c r="Q236" i="60"/>
  <c r="L239" i="60"/>
  <c r="N241" i="60"/>
  <c r="P243" i="60"/>
  <c r="R245" i="60"/>
  <c r="M248" i="60"/>
  <c r="O250" i="60"/>
  <c r="Q252" i="60"/>
  <c r="L255" i="60"/>
  <c r="N257" i="60"/>
  <c r="P259" i="60"/>
  <c r="R261" i="60"/>
  <c r="M264" i="60"/>
  <c r="O266" i="60"/>
  <c r="Q268" i="60"/>
  <c r="L271" i="60"/>
  <c r="N273" i="60"/>
  <c r="P275" i="60"/>
  <c r="R277" i="60"/>
  <c r="M280" i="60"/>
  <c r="O282" i="60"/>
  <c r="Q284" i="60"/>
  <c r="L287" i="60"/>
  <c r="N289" i="60"/>
  <c r="P291" i="60"/>
  <c r="R293" i="60"/>
  <c r="M296" i="60"/>
  <c r="O298" i="60"/>
  <c r="Q300" i="60"/>
  <c r="L303" i="60"/>
  <c r="N305" i="60"/>
  <c r="P307" i="60"/>
  <c r="R309" i="60"/>
  <c r="M312" i="60"/>
  <c r="O314" i="60"/>
  <c r="Q316" i="60"/>
  <c r="L319" i="60"/>
  <c r="N321" i="60"/>
  <c r="P323" i="60"/>
  <c r="R325" i="60"/>
  <c r="M328" i="60"/>
  <c r="O330" i="60"/>
  <c r="Q332" i="60"/>
  <c r="L335" i="60"/>
  <c r="N337" i="60"/>
  <c r="P339" i="60"/>
  <c r="R341" i="60"/>
  <c r="M344" i="60"/>
  <c r="O346" i="60"/>
  <c r="Q348" i="60"/>
  <c r="L351" i="60"/>
  <c r="N353" i="60"/>
  <c r="P355" i="60"/>
  <c r="R357" i="60"/>
  <c r="M360" i="60"/>
  <c r="O362" i="60"/>
  <c r="Q364" i="60"/>
  <c r="L367" i="60"/>
  <c r="N369" i="60"/>
  <c r="P371" i="60"/>
  <c r="R373" i="60"/>
  <c r="M376" i="60"/>
  <c r="O378" i="60"/>
  <c r="Q380" i="60"/>
  <c r="L383" i="60"/>
  <c r="N385" i="60"/>
  <c r="P387" i="60"/>
  <c r="R389" i="60"/>
  <c r="M392" i="60"/>
  <c r="O394" i="60"/>
  <c r="Q396" i="60"/>
  <c r="L399" i="60"/>
  <c r="N401" i="60"/>
  <c r="P403" i="60"/>
  <c r="R108" i="60"/>
  <c r="M111" i="60"/>
  <c r="O113" i="60"/>
  <c r="Q115" i="60"/>
  <c r="L118" i="60"/>
  <c r="N120" i="60"/>
  <c r="P122" i="60"/>
  <c r="R124" i="60"/>
  <c r="M127" i="60"/>
  <c r="O129" i="60"/>
  <c r="Q131" i="60"/>
  <c r="L134" i="60"/>
  <c r="N136" i="60"/>
  <c r="P138" i="60"/>
  <c r="R140" i="60"/>
  <c r="M143" i="60"/>
  <c r="O145" i="60"/>
  <c r="Q147" i="60"/>
  <c r="L150" i="60"/>
  <c r="N152" i="60"/>
  <c r="P154" i="60"/>
  <c r="R156" i="60"/>
  <c r="M159" i="60"/>
  <c r="O161" i="60"/>
  <c r="Q163" i="60"/>
  <c r="L166" i="60"/>
  <c r="N168" i="60"/>
  <c r="P170" i="60"/>
  <c r="R172" i="60"/>
  <c r="M175" i="60"/>
  <c r="O177" i="60"/>
  <c r="Q179" i="60"/>
  <c r="L182" i="60"/>
  <c r="N184" i="60"/>
  <c r="P186" i="60"/>
  <c r="R188" i="60"/>
  <c r="M191" i="60"/>
  <c r="O193" i="60"/>
  <c r="Q195" i="60"/>
  <c r="L198" i="60"/>
  <c r="N200" i="60"/>
  <c r="P202" i="60"/>
  <c r="R204" i="60"/>
  <c r="M207" i="60"/>
  <c r="O209" i="60"/>
  <c r="Q211" i="60"/>
  <c r="L214" i="60"/>
  <c r="N216" i="60"/>
  <c r="P218" i="60"/>
  <c r="R220" i="60"/>
  <c r="M223" i="60"/>
  <c r="O225" i="60"/>
  <c r="Q227" i="60"/>
  <c r="L230" i="60"/>
  <c r="N232" i="60"/>
  <c r="P234" i="60"/>
  <c r="R236" i="60"/>
  <c r="M239" i="60"/>
  <c r="O241" i="60"/>
  <c r="Q243" i="60"/>
  <c r="L246" i="60"/>
  <c r="N248" i="60"/>
  <c r="P250" i="60"/>
  <c r="R252" i="60"/>
  <c r="M255" i="60"/>
  <c r="O257" i="60"/>
  <c r="Q259" i="60"/>
  <c r="L262" i="60"/>
  <c r="N264" i="60"/>
  <c r="P266" i="60"/>
  <c r="R268" i="60"/>
  <c r="M271" i="60"/>
  <c r="O273" i="60"/>
  <c r="Q275" i="60"/>
  <c r="L278" i="60"/>
  <c r="N280" i="60"/>
  <c r="P282" i="60"/>
  <c r="R284" i="60"/>
  <c r="M287" i="60"/>
  <c r="O289" i="60"/>
  <c r="Q291" i="60"/>
  <c r="L294" i="60"/>
  <c r="N296" i="60"/>
  <c r="P298" i="60"/>
  <c r="R300" i="60"/>
  <c r="M303" i="60"/>
  <c r="O305" i="60"/>
  <c r="Q307" i="60"/>
  <c r="L310" i="60"/>
  <c r="N312" i="60"/>
  <c r="P314" i="60"/>
  <c r="R316" i="60"/>
  <c r="M319" i="60"/>
  <c r="O321" i="60"/>
  <c r="Q323" i="60"/>
  <c r="L326" i="60"/>
  <c r="N328" i="60"/>
  <c r="P330" i="60"/>
  <c r="R332" i="60"/>
  <c r="M335" i="60"/>
  <c r="O337" i="60"/>
  <c r="Q339" i="60"/>
  <c r="L342" i="60"/>
  <c r="N344" i="60"/>
  <c r="P346" i="60"/>
  <c r="R348" i="60"/>
  <c r="M351" i="60"/>
  <c r="O353" i="60"/>
  <c r="Q355" i="60"/>
  <c r="L358" i="60"/>
  <c r="N360" i="60"/>
  <c r="P362" i="60"/>
  <c r="R364" i="60"/>
  <c r="M367" i="60"/>
  <c r="O369" i="60"/>
  <c r="Q371" i="60"/>
  <c r="L374" i="60"/>
  <c r="N376" i="60"/>
  <c r="P378" i="60"/>
  <c r="R380" i="60"/>
  <c r="M383" i="60"/>
  <c r="O385" i="60"/>
  <c r="Q387" i="60"/>
  <c r="L390" i="60"/>
  <c r="N392" i="60"/>
  <c r="P394" i="60"/>
  <c r="R396" i="60"/>
  <c r="M399" i="60"/>
  <c r="O401" i="60"/>
  <c r="Q403" i="60"/>
  <c r="Q138" i="60"/>
  <c r="L141" i="60"/>
  <c r="N143" i="60"/>
  <c r="P145" i="60"/>
  <c r="R147" i="60"/>
  <c r="M150" i="60"/>
  <c r="O152" i="60"/>
  <c r="Q154" i="60"/>
  <c r="L157" i="60"/>
  <c r="N159" i="60"/>
  <c r="P161" i="60"/>
  <c r="R163" i="60"/>
  <c r="M166" i="60"/>
  <c r="O168" i="60"/>
  <c r="Q170" i="60"/>
  <c r="L173" i="60"/>
  <c r="N175" i="60"/>
  <c r="P177" i="60"/>
  <c r="R179" i="60"/>
  <c r="M182" i="60"/>
  <c r="O184" i="60"/>
  <c r="Q186" i="60"/>
  <c r="L189" i="60"/>
  <c r="N191" i="60"/>
  <c r="P193" i="60"/>
  <c r="R195" i="60"/>
  <c r="M198" i="60"/>
  <c r="O200" i="60"/>
  <c r="Q202" i="60"/>
  <c r="L205" i="60"/>
  <c r="N207" i="60"/>
  <c r="P209" i="60"/>
  <c r="R211" i="60"/>
  <c r="M214" i="60"/>
  <c r="O216" i="60"/>
  <c r="Q218" i="60"/>
  <c r="L221" i="60"/>
  <c r="N223" i="60"/>
  <c r="P225" i="60"/>
  <c r="R227" i="60"/>
  <c r="M230" i="60"/>
  <c r="O232" i="60"/>
  <c r="Q234" i="60"/>
  <c r="L237" i="60"/>
  <c r="N239" i="60"/>
  <c r="P241" i="60"/>
  <c r="R243" i="60"/>
  <c r="M246" i="60"/>
  <c r="O248" i="60"/>
  <c r="Q250" i="60"/>
  <c r="L253" i="60"/>
  <c r="N255" i="60"/>
  <c r="P257" i="60"/>
  <c r="R259" i="60"/>
  <c r="M262" i="60"/>
  <c r="O264" i="60"/>
  <c r="Q266" i="60"/>
  <c r="L269" i="60"/>
  <c r="N271" i="60"/>
  <c r="P273" i="60"/>
  <c r="R275" i="60"/>
  <c r="M278" i="60"/>
  <c r="O280" i="60"/>
  <c r="Q282" i="60"/>
  <c r="L285" i="60"/>
  <c r="N287" i="60"/>
  <c r="P289" i="60"/>
  <c r="R291" i="60"/>
  <c r="M294" i="60"/>
  <c r="O296" i="60"/>
  <c r="Q298" i="60"/>
  <c r="L301" i="60"/>
  <c r="N303" i="60"/>
  <c r="P305" i="60"/>
  <c r="R307" i="60"/>
  <c r="M310" i="60"/>
  <c r="O312" i="60"/>
  <c r="Q314" i="60"/>
  <c r="L317" i="60"/>
  <c r="N319" i="60"/>
  <c r="P321" i="60"/>
  <c r="R323" i="60"/>
  <c r="M326" i="60"/>
  <c r="O328" i="60"/>
  <c r="Q330" i="60"/>
  <c r="L333" i="60"/>
  <c r="N335" i="60"/>
  <c r="P337" i="60"/>
  <c r="R339" i="60"/>
  <c r="M342" i="60"/>
  <c r="O344" i="60"/>
  <c r="Q346" i="60"/>
  <c r="L349" i="60"/>
  <c r="N351" i="60"/>
  <c r="P353" i="60"/>
  <c r="R355" i="60"/>
  <c r="M358" i="60"/>
  <c r="O360" i="60"/>
  <c r="Q362" i="60"/>
  <c r="L365" i="60"/>
  <c r="N367" i="60"/>
  <c r="P369" i="60"/>
  <c r="R371" i="60"/>
  <c r="M374" i="60"/>
  <c r="O376" i="60"/>
  <c r="Q378" i="60"/>
  <c r="L381" i="60"/>
  <c r="N383" i="60"/>
  <c r="P385" i="60"/>
  <c r="R387" i="60"/>
  <c r="M390" i="60"/>
  <c r="O392" i="60"/>
  <c r="Q394" i="60"/>
  <c r="L397" i="60"/>
  <c r="N399" i="60"/>
  <c r="P401" i="60"/>
  <c r="R403" i="60"/>
  <c r="P136" i="60"/>
  <c r="R138" i="60"/>
  <c r="M141" i="60"/>
  <c r="O143" i="60"/>
  <c r="Q145" i="60"/>
  <c r="L148" i="60"/>
  <c r="N150" i="60"/>
  <c r="P152" i="60"/>
  <c r="R154" i="60"/>
  <c r="M157" i="60"/>
  <c r="O159" i="60"/>
  <c r="Q161" i="60"/>
  <c r="L164" i="60"/>
  <c r="N166" i="60"/>
  <c r="P168" i="60"/>
  <c r="R170" i="60"/>
  <c r="M173" i="60"/>
  <c r="O175" i="60"/>
  <c r="Q177" i="60"/>
  <c r="L180" i="60"/>
  <c r="N182" i="60"/>
  <c r="P184" i="60"/>
  <c r="R186" i="60"/>
  <c r="M189" i="60"/>
  <c r="O191" i="60"/>
  <c r="Q193" i="60"/>
  <c r="L196" i="60"/>
  <c r="N198" i="60"/>
  <c r="P200" i="60"/>
  <c r="R202" i="60"/>
  <c r="M205" i="60"/>
  <c r="O207" i="60"/>
  <c r="Q209" i="60"/>
  <c r="L212" i="60"/>
  <c r="N214" i="60"/>
  <c r="P216" i="60"/>
  <c r="R218" i="60"/>
  <c r="M221" i="60"/>
  <c r="O223" i="60"/>
  <c r="Q225" i="60"/>
  <c r="L228" i="60"/>
  <c r="N230" i="60"/>
  <c r="P232" i="60"/>
  <c r="R234" i="60"/>
  <c r="M237" i="60"/>
  <c r="O239" i="60"/>
  <c r="Q241" i="60"/>
  <c r="L244" i="60"/>
  <c r="N246" i="60"/>
  <c r="P248" i="60"/>
  <c r="R250" i="60"/>
  <c r="M253" i="60"/>
  <c r="O255" i="60"/>
  <c r="Q257" i="60"/>
  <c r="L260" i="60"/>
  <c r="N262" i="60"/>
  <c r="P264" i="60"/>
  <c r="R266" i="60"/>
  <c r="M269" i="60"/>
  <c r="O271" i="60"/>
  <c r="Q273" i="60"/>
  <c r="L276" i="60"/>
  <c r="N278" i="60"/>
  <c r="P280" i="60"/>
  <c r="R282" i="60"/>
  <c r="M285" i="60"/>
  <c r="O287" i="60"/>
  <c r="Q289" i="60"/>
  <c r="L292" i="60"/>
  <c r="N294" i="60"/>
  <c r="P296" i="60"/>
  <c r="R298" i="60"/>
  <c r="M301" i="60"/>
  <c r="O303" i="60"/>
  <c r="Q305" i="60"/>
  <c r="L308" i="60"/>
  <c r="N310" i="60"/>
  <c r="P312" i="60"/>
  <c r="R314" i="60"/>
  <c r="M317" i="60"/>
  <c r="O319" i="60"/>
  <c r="Q321" i="60"/>
  <c r="L324" i="60"/>
  <c r="N326" i="60"/>
  <c r="P328" i="60"/>
  <c r="R330" i="60"/>
  <c r="M333" i="60"/>
  <c r="O335" i="60"/>
  <c r="Q337" i="60"/>
  <c r="L340" i="60"/>
  <c r="N342" i="60"/>
  <c r="P344" i="60"/>
  <c r="R346" i="60"/>
  <c r="M349" i="60"/>
  <c r="O351" i="60"/>
  <c r="Q353" i="60"/>
  <c r="L356" i="60"/>
  <c r="N358" i="60"/>
  <c r="P360" i="60"/>
  <c r="R362" i="60"/>
  <c r="M365" i="60"/>
  <c r="O367" i="60"/>
  <c r="Q369" i="60"/>
  <c r="L372" i="60"/>
  <c r="N374" i="60"/>
  <c r="P376" i="60"/>
  <c r="R378" i="60"/>
  <c r="M381" i="60"/>
  <c r="O383" i="60"/>
  <c r="Q385" i="60"/>
  <c r="L388" i="60"/>
  <c r="N390" i="60"/>
  <c r="P392" i="60"/>
  <c r="R394" i="60"/>
  <c r="M397" i="60"/>
  <c r="O399" i="60"/>
  <c r="Q401" i="60"/>
  <c r="B6" i="60"/>
  <c r="B23" i="60"/>
  <c r="L64" i="60"/>
  <c r="B7" i="60" s="1"/>
  <c r="D9" i="60"/>
  <c r="D23" i="60"/>
  <c r="N64" i="60"/>
  <c r="D4" i="60" s="1"/>
  <c r="C18" i="60"/>
  <c r="M64" i="60"/>
  <c r="C9" i="60" s="1"/>
  <c r="C27" i="60"/>
  <c r="G21" i="60"/>
  <c r="Q64" i="60"/>
  <c r="G7" i="60" s="1"/>
  <c r="H20" i="60"/>
  <c r="H6" i="60"/>
  <c r="R64" i="60"/>
  <c r="H12" i="60" s="1"/>
  <c r="P64" i="60"/>
  <c r="F17" i="60" s="1"/>
  <c r="E28" i="60"/>
  <c r="O64" i="60"/>
  <c r="E5" i="60" s="1"/>
  <c r="E8" i="60" l="1"/>
  <c r="G6" i="60"/>
  <c r="H14" i="60"/>
  <c r="D6" i="60"/>
  <c r="F22" i="60"/>
  <c r="D26" i="60"/>
  <c r="F28" i="60"/>
  <c r="C29" i="60"/>
  <c r="E16" i="60"/>
  <c r="F26" i="60"/>
  <c r="H21" i="60"/>
  <c r="G17" i="60"/>
  <c r="C16" i="60"/>
  <c r="B11" i="60"/>
  <c r="E14" i="60"/>
  <c r="F27" i="60"/>
  <c r="H5" i="60"/>
  <c r="G19" i="60"/>
  <c r="D10" i="60"/>
  <c r="B27" i="60"/>
  <c r="C5" i="60"/>
  <c r="H26" i="60"/>
  <c r="H11" i="60"/>
  <c r="C4" i="60"/>
  <c r="G15" i="60"/>
  <c r="D5" i="60"/>
  <c r="E29" i="60"/>
  <c r="H17" i="60"/>
  <c r="C8" i="60"/>
  <c r="E22" i="60"/>
  <c r="H13" i="60"/>
  <c r="G20" i="60"/>
  <c r="D29" i="60"/>
  <c r="B5" i="60"/>
  <c r="E11" i="60"/>
  <c r="H23" i="60"/>
  <c r="G25" i="60"/>
  <c r="C10" i="60"/>
  <c r="D25" i="60"/>
  <c r="B8" i="60"/>
  <c r="E24" i="60"/>
  <c r="E26" i="60"/>
  <c r="F23" i="60"/>
  <c r="H9" i="60"/>
  <c r="H22" i="60"/>
  <c r="G14" i="60"/>
  <c r="G18" i="60"/>
  <c r="D18" i="60"/>
  <c r="D14" i="60"/>
  <c r="B21" i="60"/>
  <c r="B28" i="60"/>
  <c r="E15" i="60"/>
  <c r="F18" i="60"/>
  <c r="F13" i="60"/>
  <c r="H18" i="60"/>
  <c r="H4" i="60"/>
  <c r="G9" i="60"/>
  <c r="G11" i="60"/>
  <c r="C23" i="60"/>
  <c r="D19" i="60"/>
  <c r="D16" i="60"/>
  <c r="B29" i="60"/>
  <c r="B24" i="60"/>
  <c r="F16" i="60"/>
  <c r="F5" i="60"/>
  <c r="D13" i="60"/>
  <c r="F25" i="60"/>
  <c r="C25" i="60"/>
  <c r="F8" i="60"/>
  <c r="C21" i="60"/>
  <c r="H29" i="60"/>
  <c r="D11" i="60"/>
  <c r="E13" i="60"/>
  <c r="F11" i="60"/>
  <c r="G13" i="60"/>
  <c r="D27" i="60"/>
  <c r="E7" i="60"/>
  <c r="F7" i="60"/>
  <c r="G29" i="60"/>
  <c r="D22" i="60"/>
  <c r="E21" i="60"/>
  <c r="H16" i="60"/>
  <c r="G12" i="60"/>
  <c r="C11" i="60"/>
  <c r="E27" i="60"/>
  <c r="H27" i="60"/>
  <c r="C17" i="60"/>
  <c r="B14" i="60"/>
  <c r="E20" i="60"/>
  <c r="E6" i="60"/>
  <c r="F29" i="60"/>
  <c r="F12" i="60"/>
  <c r="H19" i="60"/>
  <c r="G10" i="60"/>
  <c r="G4" i="60"/>
  <c r="C24" i="60"/>
  <c r="C7" i="60"/>
  <c r="D7" i="60"/>
  <c r="B12" i="60"/>
  <c r="B26" i="60"/>
  <c r="D15" i="60"/>
  <c r="F9" i="60"/>
  <c r="D17" i="60"/>
  <c r="E18" i="60"/>
  <c r="H25" i="60"/>
  <c r="C28" i="60"/>
  <c r="F14" i="60"/>
  <c r="H8" i="60"/>
  <c r="C22" i="60"/>
  <c r="D20" i="60"/>
  <c r="E10" i="60"/>
  <c r="F4" i="60"/>
  <c r="C20" i="60"/>
  <c r="B25" i="60"/>
  <c r="F6" i="60"/>
  <c r="G24" i="60"/>
  <c r="D21" i="60"/>
  <c r="E17" i="60"/>
  <c r="F10" i="60"/>
  <c r="G27" i="60"/>
  <c r="D28" i="60"/>
  <c r="E9" i="60"/>
  <c r="F21" i="60"/>
  <c r="H28" i="60"/>
  <c r="H10" i="60"/>
  <c r="G22" i="60"/>
  <c r="G16" i="60"/>
  <c r="C14" i="60"/>
  <c r="C15" i="60"/>
  <c r="D24" i="60"/>
  <c r="B16" i="60"/>
  <c r="B22" i="60"/>
  <c r="F24" i="60"/>
  <c r="B17" i="60"/>
  <c r="H15" i="60"/>
  <c r="G28" i="60"/>
  <c r="B10" i="60"/>
  <c r="F19" i="60"/>
  <c r="C26" i="60"/>
  <c r="B15" i="60"/>
  <c r="C19" i="60"/>
  <c r="E23" i="60"/>
  <c r="F20" i="60"/>
  <c r="C6" i="60"/>
  <c r="F15" i="60"/>
  <c r="G8" i="60"/>
  <c r="C13" i="60"/>
  <c r="B18" i="60"/>
  <c r="E12" i="60"/>
  <c r="E19" i="60"/>
  <c r="G23" i="60"/>
  <c r="D12" i="60"/>
  <c r="B20" i="6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<sst xmlns="http://schemas.openxmlformats.org/spreadsheetml/2006/main" count="19376" uniqueCount="212">
  <si>
    <t xml:space="preserve">Coin  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</si>
  <si>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</si>
  <si>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</si>
  <si>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</si>
  <si>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</si>
  <si>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</si>
  <si>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</si>
  <si>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</si>
  <si>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</si>
  <si>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</si>
  <si>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</si>
  <si>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</si>
  <si>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</si>
  <si>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</si>
  <si>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</si>
  <si>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</si>
  <si>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</si>
  <si>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</si>
  <si>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</si>
  <si>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</si>
  <si>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</si>
  <si>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</si>
  <si>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</si>
  <si>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</si>
  <si>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</si>
  <si>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</si>
  <si>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</si>
  <si>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</si>
  <si>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</si>
  <si>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</si>
  <si>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</si>
  <si>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</si>
  <si>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</si>
  <si>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</si>
  <si>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</si>
  <si>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</si>
  <si>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</si>
  <si>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</si>
  <si>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</si>
  <si>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</si>
  <si>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</si>
  <si>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</si>
  <si>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</si>
  <si>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</si>
  <si>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</si>
  <si>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</si>
  <si>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</si>
  <si>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</si>
  <si>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3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</si>
  <si>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</si>
  <si>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</si>
  <si>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</si>
  <si>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</si>
  <si>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</si>
  <si>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3" type="noConversion"/>
  </si>
  <si>
    <t>Feature Description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</si>
  <si>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</si>
  <si>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</si>
  <si>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t>Normal Bet</t>
    <phoneticPr fontId="20" type="noConversion"/>
  </si>
  <si>
    <t>R6</t>
  </si>
  <si>
    <t>Lower</t>
    <phoneticPr fontId="28" type="noConversion"/>
  </si>
  <si>
    <t>Upper</t>
    <phoneticPr fontId="28" type="noConversion"/>
  </si>
  <si>
    <t>Simulator Cnt</t>
    <phoneticPr fontId="28" type="noConversion"/>
  </si>
  <si>
    <t>Simulator Pay</t>
    <phoneticPr fontId="28" type="noConversion"/>
  </si>
  <si>
    <t>Simulator Rate</t>
    <phoneticPr fontId="28" type="noConversion"/>
  </si>
  <si>
    <t>Simulator RTP</t>
    <phoneticPr fontId="28" type="noConversion"/>
  </si>
  <si>
    <t>Range</t>
    <phoneticPr fontId="28" type="noConversion"/>
  </si>
  <si>
    <t>Base Game</t>
    <phoneticPr fontId="28" type="noConversion"/>
  </si>
  <si>
    <t>Threshold</t>
  </si>
  <si>
    <t>A</t>
    <phoneticPr fontId="28" type="noConversion"/>
  </si>
  <si>
    <t>B</t>
    <phoneticPr fontId="28" type="noConversion"/>
  </si>
  <si>
    <t>C</t>
    <phoneticPr fontId="28" type="noConversion"/>
  </si>
  <si>
    <r>
      <rPr>
        <b/>
        <sz val="12"/>
        <rFont val="微軟正黑體"/>
        <family val="2"/>
        <charset val="136"/>
      </rPr>
      <t>使用的表</t>
    </r>
    <phoneticPr fontId="28" type="noConversion"/>
  </si>
  <si>
    <t>Rate</t>
    <phoneticPr fontId="28" type="noConversion"/>
  </si>
  <si>
    <t>Hit Rate</t>
    <phoneticPr fontId="28" type="noConversion"/>
  </si>
  <si>
    <t>FG Trigger</t>
    <phoneticPr fontId="28" type="noConversion"/>
  </si>
  <si>
    <t>Free Game</t>
    <phoneticPr fontId="28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</si>
  <si>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</si>
  <si>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</si>
  <si>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</si>
  <si>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</si>
  <si>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</si>
  <si>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G_M1</t>
  </si>
  <si>
    <t>G_M2</t>
  </si>
  <si>
    <t>G_M3</t>
  </si>
  <si>
    <t>G_M4</t>
  </si>
  <si>
    <t>G_M5</t>
  </si>
  <si>
    <t>G_A</t>
  </si>
  <si>
    <t>G_K</t>
  </si>
  <si>
    <t>G_Q</t>
  </si>
  <si>
    <t>G_J</t>
  </si>
  <si>
    <t>G_TE</t>
  </si>
  <si>
    <t>MY</t>
  </si>
  <si>
    <t>G_MY</t>
  </si>
  <si>
    <t>BG Reel Weight</t>
    <phoneticPr fontId="20" type="noConversion"/>
  </si>
  <si>
    <t>( 1 Combo ) Weight</t>
  </si>
  <si>
    <t>( 2  Combo ) Weight</t>
  </si>
  <si>
    <t>( 3 Combo ) Weight</t>
  </si>
  <si>
    <t>( 4 Combo ) Weight</t>
  </si>
  <si>
    <t>G_M1</t>
    <phoneticPr fontId="20" type="noConversion"/>
  </si>
  <si>
    <t>G_M2</t>
    <phoneticPr fontId="20" type="noConversion"/>
  </si>
  <si>
    <t>…</t>
    <phoneticPr fontId="20" type="noConversion"/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</si>
  <si>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566665</t>
    </r>
    <r>
      <rPr>
        <sz val="12"/>
        <rFont val="微軟正黑體"/>
        <family val="2"/>
        <charset val="136"/>
      </rPr>
      <t xml:space="preserve">的盤面，由左至右連線即可消除。消除所有贏分的標誌後，剩餘標誌往下掉落。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，則觸發免費遊戲。每多一顆</t>
    </r>
    <r>
      <rPr>
        <sz val="12"/>
        <rFont val="Courier New"/>
        <family val="3"/>
      </rPr>
      <t>C1,</t>
    </r>
    <r>
      <rPr>
        <sz val="12"/>
        <rFont val="微軟正黑體"/>
        <family val="2"/>
        <charset val="136"/>
      </rPr>
      <t>多兩場免費遊戲。</t>
    </r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</si>
  <si>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</si>
  <si>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</si>
  <si>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</si>
  <si>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</si>
  <si>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</si>
  <si>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</si>
  <si>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</si>
  <si>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</si>
  <si>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</si>
  <si>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</si>
  <si>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</si>
  <si>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</si>
  <si>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</si>
  <si>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</si>
  <si>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</si>
  <si>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</si>
  <si>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Initial ( 0 Combo )</t>
    <phoneticPr fontId="23" type="noConversion"/>
  </si>
  <si>
    <t>Initial 1</t>
    <phoneticPr fontId="20" type="noConversion"/>
  </si>
  <si>
    <t>新手(AB)</t>
    <phoneticPr fontId="20" type="noConversion"/>
  </si>
  <si>
    <t>老手</t>
    <phoneticPr fontId="20" type="noConversion"/>
  </si>
  <si>
    <t>老手B</t>
    <phoneticPr fontId="20" type="noConversion"/>
  </si>
  <si>
    <t>Final RTP 1</t>
    <phoneticPr fontId="28" type="noConversion"/>
  </si>
  <si>
    <t>Final RTP 2</t>
    <phoneticPr fontId="28" type="noConversion"/>
  </si>
  <si>
    <t>Final RTP 3</t>
    <phoneticPr fontId="28" type="noConversion"/>
  </si>
  <si>
    <t>Fix Num 1</t>
    <phoneticPr fontId="28" type="noConversion"/>
  </si>
  <si>
    <t>Fix Num 2</t>
    <phoneticPr fontId="20" type="noConversion"/>
  </si>
  <si>
    <t>Fix Num 3</t>
    <phoneticPr fontId="20" type="noConversion"/>
  </si>
  <si>
    <t>Fix Rate 1</t>
    <phoneticPr fontId="28" type="noConversion"/>
  </si>
  <si>
    <t>Fix Rate 2</t>
    <phoneticPr fontId="20" type="noConversion"/>
  </si>
  <si>
    <t>Fix Rate 3</t>
    <phoneticPr fontId="20" type="noConversion"/>
  </si>
  <si>
    <t>Final Rate 1</t>
    <phoneticPr fontId="28" type="noConversion"/>
  </si>
  <si>
    <t>Final Rate 2</t>
    <phoneticPr fontId="20" type="noConversion"/>
  </si>
  <si>
    <t>Final Rate 3</t>
    <phoneticPr fontId="20" type="noConversion"/>
  </si>
  <si>
    <t>Weight 1</t>
    <phoneticPr fontId="28" type="noConversion"/>
  </si>
  <si>
    <t>Weight 2</t>
    <phoneticPr fontId="28" type="noConversion"/>
  </si>
  <si>
    <t>Weight 3</t>
    <phoneticPr fontId="28" type="noConversion"/>
  </si>
  <si>
    <t>Free Game 1 RTP</t>
    <phoneticPr fontId="28" type="noConversion"/>
  </si>
  <si>
    <t>Free Game 2 RTP</t>
    <phoneticPr fontId="28" type="noConversion"/>
  </si>
  <si>
    <t>Free Game 3 RTP</t>
    <phoneticPr fontId="28" type="noConversion"/>
  </si>
  <si>
    <t>D</t>
    <phoneticPr fontId="28" type="noConversion"/>
  </si>
  <si>
    <t>E</t>
    <phoneticPr fontId="28" type="noConversion"/>
  </si>
  <si>
    <t>F</t>
    <phoneticPr fontId="28" type="noConversion"/>
  </si>
  <si>
    <t>D</t>
    <phoneticPr fontId="20" type="noConversion"/>
  </si>
  <si>
    <t>新老手A</t>
    <phoneticPr fontId="20" type="noConversion"/>
  </si>
  <si>
    <t>新老手B</t>
    <phoneticPr fontId="20" type="noConversion"/>
  </si>
  <si>
    <t>待啟用</t>
    <phoneticPr fontId="20" type="noConversion"/>
  </si>
  <si>
    <t>Buy Feature</t>
    <phoneticPr fontId="28" type="noConversion"/>
  </si>
  <si>
    <t>Buy Feature 1 RTP</t>
    <phoneticPr fontId="28" type="noConversion"/>
  </si>
  <si>
    <t>Buy Feature 2 RTP</t>
    <phoneticPr fontId="28" type="noConversion"/>
  </si>
  <si>
    <t>Buy Feature 3 RTP</t>
    <phoneticPr fontId="28" type="noConversion"/>
  </si>
  <si>
    <t>新老手</t>
    <phoneticPr fontId="20" type="noConversion"/>
  </si>
  <si>
    <t>Buy Super Feature</t>
    <phoneticPr fontId="28" type="noConversion"/>
  </si>
  <si>
    <t>G</t>
    <phoneticPr fontId="28" type="noConversion"/>
  </si>
  <si>
    <t>H</t>
    <phoneticPr fontId="28" type="noConversion"/>
  </si>
  <si>
    <t>I</t>
    <phoneticPr fontId="28" type="noConversion"/>
  </si>
  <si>
    <t>G</t>
    <phoneticPr fontId="20" type="noConversion"/>
  </si>
  <si>
    <t>1.0.0.1</t>
    <phoneticPr fontId="20" type="noConversion"/>
  </si>
  <si>
    <t>Multiway</t>
    <phoneticPr fontId="20" type="noConversion"/>
  </si>
  <si>
    <t>Pay Back</t>
    <phoneticPr fontId="23" type="noConversion"/>
  </si>
  <si>
    <t>M6</t>
  </si>
  <si>
    <t>M6</t>
    <phoneticPr fontId="20" type="noConversion"/>
  </si>
  <si>
    <t>新手(A)</t>
    <phoneticPr fontId="20" type="noConversion"/>
  </si>
  <si>
    <t>老手(A)</t>
    <phoneticPr fontId="20" type="noConversion"/>
  </si>
  <si>
    <t>新手(B)</t>
    <phoneticPr fontId="20" type="noConversion"/>
  </si>
  <si>
    <t>老手(B)</t>
    <phoneticPr fontId="20" type="noConversion"/>
  </si>
  <si>
    <t>Buy Feature</t>
    <phoneticPr fontId="20" type="noConversion"/>
  </si>
  <si>
    <t>Num</t>
    <phoneticPr fontId="20" type="noConversion"/>
  </si>
  <si>
    <t>bgC1Count</t>
    <phoneticPr fontId="20" type="noConversion"/>
  </si>
  <si>
    <t>fgC1Count</t>
    <phoneticPr fontId="20" type="noConversion"/>
  </si>
  <si>
    <t>SC Trig</t>
    <phoneticPr fontId="20" type="noConversion"/>
  </si>
  <si>
    <t>Buy Feature(A)</t>
    <phoneticPr fontId="20" type="noConversion"/>
  </si>
  <si>
    <t>Buy Feature(B)</t>
    <phoneticPr fontId="20" type="noConversion"/>
  </si>
  <si>
    <t>G_M5</t>
    <phoneticPr fontId="20" type="noConversion"/>
  </si>
  <si>
    <t>G_M6</t>
  </si>
  <si>
    <t>G_M6</t>
    <phoneticPr fontId="20" type="noConversion"/>
  </si>
  <si>
    <t>( 5+ Combo ) Weight</t>
    <phoneticPr fontId="20" type="noConversion"/>
  </si>
  <si>
    <t xml:space="preserve"> Drop Weights</t>
    <phoneticPr fontId="30" type="noConversion"/>
  </si>
  <si>
    <t>Initial 2</t>
    <phoneticPr fontId="20" type="noConversion"/>
  </si>
  <si>
    <t>FG Reel Weight</t>
    <phoneticPr fontId="20" type="noConversion"/>
  </si>
  <si>
    <t>MY Weight</t>
  </si>
  <si>
    <t>MY1</t>
    <phoneticPr fontId="20" type="noConversion"/>
  </si>
  <si>
    <t>M6</t>
    <phoneticPr fontId="23" type="noConversion"/>
  </si>
  <si>
    <t>A</t>
    <phoneticPr fontId="23" type="noConversion"/>
  </si>
  <si>
    <t>BaseGame</t>
    <phoneticPr fontId="20" type="noConversion"/>
  </si>
  <si>
    <t>權重</t>
    <phoneticPr fontId="20" type="noConversion"/>
  </si>
  <si>
    <t>FreeGame</t>
    <phoneticPr fontId="20" type="noConversion"/>
  </si>
  <si>
    <t>Initial 1</t>
  </si>
  <si>
    <t>MY</t>
    <phoneticPr fontId="20" type="noConversion"/>
  </si>
  <si>
    <t>Post Scatter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</si>
  <si>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phoneticPr fontId="23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</si>
  <si>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</si>
  <si>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</si>
  <si>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t>G_A</t>
    <phoneticPr fontId="20" type="noConversion"/>
  </si>
  <si>
    <r>
      <t>3. MY</t>
    </r>
    <r>
      <rPr>
        <sz val="12"/>
        <color theme="1"/>
        <rFont val="細明體"/>
        <family val="3"/>
        <charset val="136"/>
      </rPr>
      <t>符號透過</t>
    </r>
    <r>
      <rPr>
        <sz val="12"/>
        <color theme="1"/>
        <rFont val="Courier New"/>
        <family val="3"/>
      </rPr>
      <t>MY Weight</t>
    </r>
    <r>
      <rPr>
        <sz val="12"/>
        <color theme="1"/>
        <rFont val="新細明體"/>
        <family val="3"/>
        <charset val="136"/>
      </rPr>
      <t>決定</t>
    </r>
    <r>
      <rPr>
        <sz val="12"/>
        <color theme="1"/>
        <rFont val="Courier New"/>
        <family val="3"/>
      </rPr>
      <t>MY,G_MY</t>
    </r>
    <r>
      <rPr>
        <sz val="12"/>
        <color theme="1"/>
        <rFont val="新細明體"/>
        <family val="3"/>
        <charset val="136"/>
      </rPr>
      <t>轉換符號，一次</t>
    </r>
    <r>
      <rPr>
        <sz val="12"/>
        <color theme="1"/>
        <rFont val="Courier New"/>
        <family val="3"/>
      </rPr>
      <t>Spin</t>
    </r>
    <r>
      <rPr>
        <sz val="12"/>
        <color theme="1"/>
        <rFont val="新細明體"/>
        <family val="3"/>
        <charset val="136"/>
      </rPr>
      <t>只需抽選一次</t>
    </r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</si>
  <si>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</si>
  <si>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t>Retrigger</t>
    <phoneticPr fontId="20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</si>
  <si>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</si>
  <si>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</si>
  <si>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G_MY</t>
    <phoneticPr fontId="20" type="noConversion"/>
  </si>
  <si>
    <t>G_TE</t>
    <phoneticPr fontId="20" type="noConversion"/>
  </si>
  <si>
    <t>G_K</t>
    <phoneticPr fontId="20" type="noConversion"/>
  </si>
  <si>
    <t>G_M3</t>
    <phoneticPr fontId="20" type="noConversion"/>
  </si>
  <si>
    <t>G_Q</t>
    <phoneticPr fontId="20" type="noConversion"/>
  </si>
  <si>
    <t>G_J</t>
    <phoneticPr fontId="20" type="noConversion"/>
  </si>
  <si>
    <t>G_M4</t>
    <phoneticPr fontId="20" type="noConversion"/>
  </si>
  <si>
    <t>Initial 3</t>
  </si>
  <si>
    <t>Initial 3</t>
    <phoneticPr fontId="20" type="noConversion"/>
  </si>
  <si>
    <t>G_q</t>
    <phoneticPr fontId="20" type="noConversion"/>
  </si>
  <si>
    <t>BG Reel Height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</si>
</sst>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.0000_);[Red]\(0.0000\)"/>
    <numFmt numFmtId="179" formatCode="0.0000"/>
    <numFmt numFmtId="180" formatCode="0_);[Red]\(0\)"/>
    <numFmt numFmtId="181" formatCode="0.000000"/>
    <numFmt numFmtId="182" formatCode="0.000%"/>
    <numFmt numFmtId="183" formatCode="0.000_ "/>
    <numFmt numFmtId="184" formatCode="0.0000000_ "/>
    <numFmt numFmtId="185" formatCode="0.0000_ "/>
  </numFmts>
  <fonts count="4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theme="1"/>
      <name val="細明體"/>
      <family val="3"/>
      <charset val="136"/>
    </font>
    <font>
      <sz val="11"/>
      <color rgb="FF000000"/>
      <name val="Courier New"/>
      <family val="3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3"/>
      <charset val="136"/>
    </font>
    <font>
      <sz val="11"/>
      <color rgb="FF0A0A0A"/>
      <name val="Segoe UI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22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6" fontId="19" fillId="0" borderId="0" xfId="0" applyNumberFormat="1" applyFont="1" applyAlignment="1">
      <alignment vertical="center"/>
    </xf>
    <xf numFmtId="177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5" borderId="1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8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0" xfId="0" applyFont="1"/>
    <xf numFmtId="179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0" fontId="19" fillId="43" borderId="11" xfId="1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19" fillId="44" borderId="11" xfId="0" applyFont="1" applyFill="1" applyBorder="1" applyAlignment="1">
      <alignment vertical="center"/>
    </xf>
    <xf numFmtId="10" fontId="27" fillId="0" borderId="11" xfId="1" applyNumberFormat="1" applyFont="1" applyFill="1" applyBorder="1">
      <alignment vertical="center"/>
    </xf>
    <xf numFmtId="0" fontId="27" fillId="0" borderId="11" xfId="1" applyNumberFormat="1" applyFont="1" applyFill="1" applyBorder="1">
      <alignment vertical="center"/>
    </xf>
    <xf numFmtId="0" fontId="27" fillId="0" borderId="11" xfId="0" applyFont="1" applyBorder="1" applyAlignment="1">
      <alignment horizontal="center" vertical="center"/>
    </xf>
    <xf numFmtId="0" fontId="27" fillId="43" borderId="11" xfId="0" applyFont="1" applyFill="1" applyBorder="1" applyAlignment="1">
      <alignment horizontal="center" vertical="center"/>
    </xf>
    <xf numFmtId="0" fontId="27" fillId="45" borderId="11" xfId="0" applyFont="1" applyFill="1" applyBorder="1" applyAlignment="1">
      <alignment vertical="center"/>
    </xf>
    <xf numFmtId="10" fontId="27" fillId="0" borderId="14" xfId="1" applyNumberFormat="1" applyFont="1" applyFill="1" applyBorder="1">
      <alignment vertical="center"/>
    </xf>
    <xf numFmtId="180" fontId="27" fillId="43" borderId="11" xfId="1" applyNumberFormat="1" applyFont="1" applyFill="1" applyBorder="1">
      <alignment vertical="center"/>
    </xf>
    <xf numFmtId="10" fontId="27" fillId="0" borderId="16" xfId="1" applyNumberFormat="1" applyFont="1" applyFill="1" applyBorder="1">
      <alignment vertical="center"/>
    </xf>
    <xf numFmtId="10" fontId="27" fillId="0" borderId="11" xfId="1" applyNumberFormat="1" applyFont="1" applyBorder="1">
      <alignment vertical="center"/>
    </xf>
    <xf numFmtId="0" fontId="27" fillId="44" borderId="11" xfId="0" applyFont="1" applyFill="1" applyBorder="1" applyAlignment="1">
      <alignment vertical="center"/>
    </xf>
    <xf numFmtId="10" fontId="27" fillId="0" borderId="0" xfId="1" applyNumberFormat="1" applyFont="1">
      <alignment vertical="center"/>
    </xf>
    <xf numFmtId="0" fontId="27" fillId="46" borderId="0" xfId="0" applyFont="1" applyFill="1"/>
    <xf numFmtId="181" fontId="27" fillId="0" borderId="0" xfId="0" applyNumberFormat="1" applyFont="1" applyAlignment="1">
      <alignment vertical="center"/>
    </xf>
    <xf numFmtId="0" fontId="27" fillId="0" borderId="10" xfId="0" applyFont="1" applyBorder="1" applyAlignment="1">
      <alignment vertical="center"/>
    </xf>
    <xf numFmtId="10" fontId="27" fillId="0" borderId="0" xfId="0" applyNumberFormat="1" applyFont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25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24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center" vertical="top" wrapText="1"/>
    </xf>
    <xf numFmtId="0" fontId="19" fillId="0" borderId="25" xfId="0" applyFont="1" applyFill="1" applyBorder="1" applyAlignment="1">
      <alignment horizontal="center" vertical="top" wrapText="1"/>
    </xf>
    <xf numFmtId="0" fontId="19" fillId="0" borderId="27" xfId="0" applyFont="1" applyFill="1" applyBorder="1" applyAlignment="1">
      <alignment horizontal="center" vertical="top" wrapText="1"/>
    </xf>
    <xf numFmtId="0" fontId="19" fillId="0" borderId="18" xfId="0" applyFont="1" applyFill="1" applyBorder="1" applyAlignment="1">
      <alignment horizontal="center" vertical="top" wrapText="1"/>
    </xf>
    <xf numFmtId="0" fontId="19" fillId="0" borderId="28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7" fillId="0" borderId="11" xfId="0" applyFont="1" applyFill="1" applyBorder="1" applyAlignment="1">
      <alignment horizontal="center"/>
    </xf>
    <xf numFmtId="0" fontId="27" fillId="35" borderId="11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top" wrapText="1"/>
    </xf>
    <xf numFmtId="0" fontId="22" fillId="0" borderId="27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27" fillId="0" borderId="0" xfId="26597" applyFont="1"/>
    <xf numFmtId="0" fontId="27" fillId="0" borderId="0" xfId="0" applyFont="1" applyFill="1"/>
    <xf numFmtId="0" fontId="27" fillId="0" borderId="0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61099" applyNumberFormat="1" applyFont="1" applyAlignment="1">
      <alignment horizontal="right" vertical="center"/>
    </xf>
    <xf numFmtId="0" fontId="27" fillId="0" borderId="16" xfId="0" applyFont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82" fontId="27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83" fontId="27" fillId="45" borderId="11" xfId="0" applyNumberFormat="1" applyFont="1" applyFill="1" applyBorder="1" applyAlignment="1">
      <alignment vertical="center"/>
    </xf>
    <xf numFmtId="180" fontId="27" fillId="43" borderId="16" xfId="1" applyNumberFormat="1" applyFont="1" applyFill="1" applyBorder="1">
      <alignment vertical="center"/>
    </xf>
    <xf numFmtId="10" fontId="27" fillId="43" borderId="11" xfId="1" applyNumberFormat="1" applyFont="1" applyFill="1" applyBorder="1">
      <alignment vertical="center"/>
    </xf>
    <xf numFmtId="0" fontId="27" fillId="44" borderId="0" xfId="0" applyFont="1" applyFill="1"/>
    <xf numFmtId="184" fontId="19" fillId="0" borderId="0" xfId="0" applyNumberFormat="1" applyFont="1" applyAlignment="1">
      <alignment vertical="center"/>
    </xf>
    <xf numFmtId="0" fontId="27" fillId="0" borderId="17" xfId="0" applyFont="1" applyBorder="1" applyAlignment="1">
      <alignment vertical="center"/>
    </xf>
    <xf numFmtId="185" fontId="27" fillId="45" borderId="11" xfId="0" applyNumberFormat="1" applyFont="1" applyFill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19" fillId="44" borderId="0" xfId="0" applyFont="1" applyFill="1" applyAlignment="1">
      <alignment vertical="center"/>
    </xf>
    <xf numFmtId="0" fontId="27" fillId="44" borderId="0" xfId="0" applyFont="1" applyFill="1" applyAlignment="1">
      <alignment vertical="center"/>
    </xf>
    <xf numFmtId="10" fontId="27" fillId="0" borderId="0" xfId="1" applyNumberFormat="1" applyFont="1" applyFill="1" applyBorder="1">
      <alignment vertical="center"/>
    </xf>
    <xf numFmtId="0" fontId="27" fillId="43" borderId="0" xfId="0" applyFont="1" applyFill="1" applyAlignment="1">
      <alignment horizontal="center" vertical="center"/>
    </xf>
    <xf numFmtId="0" fontId="27" fillId="45" borderId="0" xfId="0" applyFont="1" applyFill="1" applyAlignment="1">
      <alignment vertical="center"/>
    </xf>
    <xf numFmtId="180" fontId="27" fillId="0" borderId="0" xfId="1" applyNumberFormat="1" applyFont="1" applyFill="1" applyBorder="1">
      <alignment vertical="center"/>
    </xf>
    <xf numFmtId="0" fontId="0" fillId="44" borderId="11" xfId="0" applyFill="1" applyBorder="1"/>
    <xf numFmtId="0" fontId="22" fillId="0" borderId="30" xfId="0" applyFont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top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top" wrapText="1"/>
    </xf>
    <xf numFmtId="10" fontId="33" fillId="0" borderId="28" xfId="1" applyNumberFormat="1" applyFont="1" applyBorder="1" applyAlignment="1">
      <alignment horizontal="center" vertical="center"/>
    </xf>
    <xf numFmtId="10" fontId="0" fillId="0" borderId="0" xfId="1" applyNumberFormat="1" applyFont="1" applyAlignment="1"/>
    <xf numFmtId="0" fontId="27" fillId="0" borderId="11" xfId="0" applyFont="1" applyBorder="1"/>
    <xf numFmtId="0" fontId="0" fillId="0" borderId="0" xfId="0" applyAlignment="1">
      <alignment horizontal="center"/>
    </xf>
    <xf numFmtId="0" fontId="19" fillId="35" borderId="10" xfId="0" applyFont="1" applyFill="1" applyBorder="1" applyAlignment="1">
      <alignment horizontal="center" vertical="center"/>
    </xf>
    <xf numFmtId="0" fontId="19" fillId="35" borderId="29" xfId="0" applyFont="1" applyFill="1" applyBorder="1" applyAlignment="1">
      <alignment horizontal="center" vertical="center"/>
    </xf>
    <xf numFmtId="177" fontId="34" fillId="0" borderId="0" xfId="0" applyNumberFormat="1" applyFont="1"/>
    <xf numFmtId="0" fontId="19" fillId="35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0" fillId="47" borderId="11" xfId="0" applyFill="1" applyBorder="1"/>
    <xf numFmtId="177" fontId="0" fillId="0" borderId="0" xfId="0" applyNumberFormat="1"/>
    <xf numFmtId="0" fontId="19" fillId="47" borderId="11" xfId="0" applyFont="1" applyFill="1" applyBorder="1"/>
    <xf numFmtId="0" fontId="19" fillId="0" borderId="11" xfId="0" applyFont="1" applyBorder="1"/>
    <xf numFmtId="0" fontId="0" fillId="0" borderId="11" xfId="0" applyBorder="1"/>
    <xf numFmtId="0" fontId="19" fillId="0" borderId="13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" fillId="41" borderId="19" xfId="26499" applyFill="1" applyBorder="1"/>
    <xf numFmtId="0" fontId="22" fillId="0" borderId="26" xfId="26499" applyFont="1" applyBorder="1" applyAlignment="1">
      <alignment horizontal="center" vertical="top" wrapText="1"/>
    </xf>
    <xf numFmtId="0" fontId="22" fillId="0" borderId="19" xfId="26499" applyFont="1" applyBorder="1" applyAlignment="1">
      <alignment horizontal="center" vertical="center" wrapText="1"/>
    </xf>
    <xf numFmtId="0" fontId="27" fillId="42" borderId="21" xfId="61100" applyFont="1" applyFill="1" applyBorder="1" applyAlignment="1">
      <alignment horizontal="center" vertical="center"/>
    </xf>
    <xf numFmtId="0" fontId="27" fillId="42" borderId="25" xfId="61100" applyFont="1" applyFill="1" applyBorder="1" applyAlignment="1">
      <alignment horizontal="center" vertical="center"/>
    </xf>
    <xf numFmtId="0" fontId="27" fillId="0" borderId="22" xfId="6110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8" borderId="22" xfId="0" applyFill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43" borderId="41" xfId="0" applyFill="1" applyBorder="1" applyAlignment="1">
      <alignment horizontal="center" vertical="center"/>
    </xf>
    <xf numFmtId="0" fontId="0" fillId="49" borderId="35" xfId="0" applyFill="1" applyBorder="1" applyAlignment="1">
      <alignment horizontal="center" vertical="center"/>
    </xf>
    <xf numFmtId="0" fontId="0" fillId="49" borderId="38" xfId="0" applyFill="1" applyBorder="1" applyAlignment="1">
      <alignment horizontal="center" vertical="center"/>
    </xf>
    <xf numFmtId="0" fontId="0" fillId="49" borderId="40" xfId="0" applyFill="1" applyBorder="1" applyAlignment="1">
      <alignment horizontal="center" vertical="center"/>
    </xf>
    <xf numFmtId="0" fontId="38" fillId="50" borderId="35" xfId="0" applyFont="1" applyFill="1" applyBorder="1" applyAlignment="1">
      <alignment horizontal="center" vertical="center"/>
    </xf>
    <xf numFmtId="0" fontId="38" fillId="50" borderId="38" xfId="0" applyFont="1" applyFill="1" applyBorder="1" applyAlignment="1">
      <alignment horizontal="center" vertical="center"/>
    </xf>
    <xf numFmtId="0" fontId="38" fillId="50" borderId="40" xfId="0" applyFont="1" applyFill="1" applyBorder="1" applyAlignment="1">
      <alignment horizontal="center" vertical="center"/>
    </xf>
    <xf numFmtId="0" fontId="0" fillId="51" borderId="23" xfId="0" applyFill="1" applyBorder="1" applyAlignment="1">
      <alignment horizontal="center" vertical="center"/>
    </xf>
    <xf numFmtId="0" fontId="0" fillId="48" borderId="19" xfId="0" applyFill="1" applyBorder="1" applyAlignment="1">
      <alignment horizontal="center" vertical="center"/>
    </xf>
    <xf numFmtId="0" fontId="0" fillId="51" borderId="39" xfId="0" applyFill="1" applyBorder="1" applyAlignment="1">
      <alignment horizontal="center" vertical="center"/>
    </xf>
    <xf numFmtId="0" fontId="0" fillId="51" borderId="41" xfId="0" applyFill="1" applyBorder="1" applyAlignment="1">
      <alignment horizontal="center" vertical="center"/>
    </xf>
    <xf numFmtId="0" fontId="19" fillId="51" borderId="41" xfId="0" applyFont="1" applyFill="1" applyBorder="1" applyAlignment="1">
      <alignment horizontal="center" vertical="center"/>
    </xf>
    <xf numFmtId="0" fontId="19" fillId="51" borderId="42" xfId="0" applyFont="1" applyFill="1" applyBorder="1" applyAlignment="1">
      <alignment horizontal="center" vertical="center"/>
    </xf>
    <xf numFmtId="0" fontId="19" fillId="43" borderId="41" xfId="0" applyFont="1" applyFill="1" applyBorder="1" applyAlignment="1">
      <alignment horizontal="center" vertical="center"/>
    </xf>
    <xf numFmtId="0" fontId="19" fillId="43" borderId="42" xfId="0" applyFont="1" applyFill="1" applyBorder="1" applyAlignment="1">
      <alignment horizontal="center" vertical="center"/>
    </xf>
    <xf numFmtId="0" fontId="2" fillId="41" borderId="19" xfId="26499" applyFill="1" applyBorder="1" applyAlignment="1">
      <alignment horizontal="center"/>
    </xf>
    <xf numFmtId="0" fontId="19" fillId="42" borderId="25" xfId="0" applyFont="1" applyFill="1" applyBorder="1" applyAlignment="1">
      <alignment horizontal="center" vertical="center"/>
    </xf>
    <xf numFmtId="0" fontId="19" fillId="42" borderId="28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Fill="1"/>
    <xf numFmtId="10" fontId="40" fillId="0" borderId="0" xfId="0" applyNumberFormat="1" applyFont="1" applyFill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top" wrapText="1"/>
    </xf>
    <xf numFmtId="0" fontId="19" fillId="0" borderId="23" xfId="0" applyFont="1" applyFill="1" applyBorder="1" applyAlignment="1">
      <alignment horizontal="center" vertical="top" wrapText="1"/>
    </xf>
    <xf numFmtId="0" fontId="19" fillId="0" borderId="20" xfId="0" applyFont="1" applyFill="1" applyBorder="1" applyAlignment="1">
      <alignment horizontal="center" vertical="top" wrapText="1"/>
    </xf>
    <xf numFmtId="0" fontId="19" fillId="0" borderId="21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8" fillId="50" borderId="23" xfId="0" applyFont="1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/>
    </xf>
    <xf numFmtId="0" fontId="0" fillId="43" borderId="28" xfId="0" applyFill="1" applyBorder="1" applyAlignment="1">
      <alignment horizontal="center" vertical="center"/>
    </xf>
    <xf numFmtId="0" fontId="38" fillId="50" borderId="19" xfId="0" applyFont="1" applyFill="1" applyBorder="1" applyAlignment="1">
      <alignment horizontal="center" vertical="center"/>
    </xf>
    <xf numFmtId="0" fontId="38" fillId="50" borderId="26" xfId="0" applyFont="1" applyFill="1" applyBorder="1" applyAlignment="1">
      <alignment horizontal="center" vertical="center"/>
    </xf>
    <xf numFmtId="0" fontId="38" fillId="50" borderId="3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35" borderId="14" xfId="0" applyFont="1" applyFill="1" applyBorder="1" applyAlignment="1">
      <alignment horizontal="left" vertical="center"/>
    </xf>
    <xf numFmtId="0" fontId="19" fillId="35" borderId="15" xfId="0" applyFont="1" applyFill="1" applyBorder="1" applyAlignment="1">
      <alignment horizontal="left" vertical="center"/>
    </xf>
    <xf numFmtId="0" fontId="19" fillId="35" borderId="16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22" fillId="35" borderId="11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  <xf numFmtId="0" fontId="22" fillId="35" borderId="15" xfId="0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horizontal="center" vertical="center"/>
    </xf>
    <xf numFmtId="0" fontId="19" fillId="43" borderId="14" xfId="0" applyFont="1" applyFill="1" applyBorder="1" applyAlignment="1">
      <alignment horizontal="center" vertical="center"/>
    </xf>
    <xf numFmtId="0" fontId="19" fillId="43" borderId="15" xfId="0" applyFont="1" applyFill="1" applyBorder="1" applyAlignment="1">
      <alignment horizontal="center" vertical="center"/>
    </xf>
    <xf numFmtId="0" fontId="19" fillId="43" borderId="16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35" borderId="17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1" xfId="0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0" xfId="26499" applyFont="1" applyAlignment="1">
      <alignment horizontal="center" vertical="center"/>
    </xf>
    <xf numFmtId="0" fontId="27" fillId="47" borderId="0" xfId="26597" applyFont="1" applyFill="1" applyAlignment="1">
      <alignment horizontal="center"/>
    </xf>
    <xf numFmtId="0" fontId="31" fillId="0" borderId="0" xfId="26499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1" borderId="13" xfId="0" applyFont="1" applyFill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678">
    <dxf>
      <fill>
        <patternFill>
          <bgColor rgb="FFFF0000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DCF1C7"/>
      <color rgb="FFD8BDED"/>
      <color rgb="FFBDE1FF"/>
      <color rgb="FFFFFFAB"/>
      <color rgb="FFC4E59F"/>
      <color rgb="FFFFB9B9"/>
      <color rgb="FFFF8B8B"/>
      <color rgb="FFFF8585"/>
      <color rgb="FF89E0FF"/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Sugar%20Bang%20Bang/H021192R-1.0.0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OP Jack Pot"/>
      <sheetName val="Base Game Symbol"/>
      <sheetName val="Free Game Overview"/>
      <sheetName val="Free Game Symbol"/>
      <sheetName val="Super Free Game Symbol"/>
      <sheetName val="Buy Feature Symbol"/>
    </sheetNames>
    <sheetDataSet>
      <sheetData sheetId="0"/>
      <sheetData sheetId="1"/>
      <sheetData sheetId="2">
        <row r="3">
          <cell r="AH3">
            <v>0.92001348047258968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4"/>
  <sheetViews>
    <sheetView workbookViewId="0">
      <selection activeCell="G44" sqref="G44"/>
    </sheetView>
  </sheetViews>
  <sheetFormatPr defaultColWidth="8.875" defaultRowHeight="15.75"/>
  <cols>
    <col min="1" max="1" width="24" style="1" bestFit="1" customWidth="1"/>
    <col min="2" max="2" width="22.875" style="1" bestFit="1" customWidth="1"/>
    <col min="3" max="9" width="21" style="1" customWidth="1"/>
    <col min="10" max="10" width="14.75" style="1" customWidth="1"/>
    <col min="11" max="16384" width="8.875" style="1"/>
  </cols>
  <sheetData>
    <row r="2" spans="1:10">
      <c r="A2" s="11"/>
      <c r="B2" s="12"/>
      <c r="C2" s="12"/>
    </row>
    <row r="3" spans="1:10" ht="16.5" thickBot="1">
      <c r="A3" s="11" t="s">
        <v>48</v>
      </c>
      <c r="B3" s="198" t="s">
        <v>159</v>
      </c>
      <c r="C3" s="198"/>
    </row>
    <row r="4" spans="1:10" ht="17.25" thickBot="1">
      <c r="A4" s="128" t="s">
        <v>0</v>
      </c>
      <c r="B4" s="129" t="s">
        <v>160</v>
      </c>
      <c r="C4" s="130" t="s">
        <v>161</v>
      </c>
      <c r="E4" s="44"/>
      <c r="F4" s="44"/>
      <c r="G4" s="43"/>
      <c r="H4" s="43"/>
      <c r="I4" s="43"/>
      <c r="J4" s="44"/>
    </row>
    <row r="5" spans="1:10" ht="16.5" thickBot="1">
      <c r="A5" s="131">
        <v>100</v>
      </c>
      <c r="B5" s="132">
        <v>32400</v>
      </c>
      <c r="C5" s="133">
        <f>[1]Card!AH3</f>
        <v>0.92001348047258968</v>
      </c>
      <c r="D5" s="32"/>
      <c r="E5" s="32"/>
      <c r="F5" s="32"/>
      <c r="H5" s="5"/>
      <c r="I5" s="35"/>
      <c r="J5" s="10"/>
    </row>
    <row r="6" spans="1:10">
      <c r="A6" s="32"/>
      <c r="B6" s="32"/>
      <c r="C6" s="32"/>
      <c r="D6" s="32"/>
      <c r="E6" s="32"/>
      <c r="F6" s="32"/>
      <c r="H6" s="5"/>
      <c r="I6" s="35"/>
      <c r="J6" s="10"/>
    </row>
    <row r="7" spans="1:10">
      <c r="A7" s="23" t="s">
        <v>1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</row>
    <row r="8" spans="1:10" ht="31.5">
      <c r="A8" s="33" t="s">
        <v>2</v>
      </c>
      <c r="B8" s="34">
        <v>5</v>
      </c>
      <c r="C8" s="34">
        <v>6</v>
      </c>
      <c r="D8" s="34">
        <v>6</v>
      </c>
      <c r="E8" s="34">
        <v>6</v>
      </c>
      <c r="F8" s="34">
        <v>6</v>
      </c>
      <c r="G8" s="34">
        <v>5</v>
      </c>
    </row>
    <row r="11" spans="1:10">
      <c r="A11" s="200" t="s">
        <v>55</v>
      </c>
      <c r="B11" s="201"/>
      <c r="C11" s="201"/>
      <c r="D11" s="201"/>
      <c r="E11" s="201"/>
      <c r="F11" s="201"/>
      <c r="G11" s="202"/>
    </row>
    <row r="12" spans="1:10" ht="15.6" customHeight="1">
      <c r="A12" s="203" t="s">
        <v>102</v>
      </c>
      <c r="B12" s="203"/>
      <c r="C12" s="203"/>
      <c r="D12" s="203"/>
      <c r="E12" s="203"/>
      <c r="F12" s="203"/>
      <c r="G12" s="203"/>
    </row>
    <row r="13" spans="1:10">
      <c r="A13" s="203"/>
      <c r="B13" s="203"/>
      <c r="C13" s="203"/>
      <c r="D13" s="203"/>
      <c r="E13" s="203"/>
      <c r="F13" s="203"/>
      <c r="G13" s="203"/>
    </row>
    <row r="14" spans="1:10">
      <c r="A14" s="203"/>
      <c r="B14" s="203"/>
      <c r="C14" s="203"/>
      <c r="D14" s="203"/>
      <c r="E14" s="203"/>
      <c r="F14" s="203"/>
      <c r="G14" s="203"/>
    </row>
    <row r="15" spans="1:10">
      <c r="A15" s="203"/>
      <c r="B15" s="203"/>
      <c r="C15" s="203"/>
      <c r="D15" s="203"/>
      <c r="E15" s="203"/>
      <c r="F15" s="203"/>
      <c r="G15" s="203"/>
    </row>
    <row r="16" spans="1:10">
      <c r="A16" s="203"/>
      <c r="B16" s="203"/>
      <c r="C16" s="203"/>
      <c r="D16" s="203"/>
      <c r="E16" s="203"/>
      <c r="F16" s="203"/>
      <c r="G16" s="203"/>
    </row>
    <row r="18" spans="1:8">
      <c r="A18" s="1" t="s">
        <v>54</v>
      </c>
    </row>
    <row r="19" spans="1:8">
      <c r="A19" s="23" t="s">
        <v>50</v>
      </c>
      <c r="B19" s="23" t="s">
        <v>56</v>
      </c>
    </row>
    <row r="20" spans="1:8">
      <c r="A20" s="34">
        <v>4</v>
      </c>
      <c r="B20" s="41">
        <v>8</v>
      </c>
    </row>
    <row r="21" spans="1:8">
      <c r="A21" s="7">
        <v>5</v>
      </c>
      <c r="B21" s="39">
        <v>10</v>
      </c>
    </row>
    <row r="22" spans="1:8">
      <c r="A22" s="7">
        <v>6</v>
      </c>
      <c r="B22" s="39">
        <v>12</v>
      </c>
    </row>
    <row r="23" spans="1:8">
      <c r="A23" s="34">
        <v>7</v>
      </c>
      <c r="B23" s="41">
        <v>14</v>
      </c>
    </row>
    <row r="24" spans="1:8">
      <c r="A24" s="7">
        <v>8</v>
      </c>
      <c r="B24" s="39">
        <v>16</v>
      </c>
    </row>
    <row r="25" spans="1:8">
      <c r="A25" s="7" t="s">
        <v>101</v>
      </c>
      <c r="B25" s="39" t="s">
        <v>101</v>
      </c>
    </row>
    <row r="26" spans="1:8">
      <c r="A26" s="199"/>
      <c r="B26" s="199"/>
    </row>
    <row r="28" spans="1:8">
      <c r="A28" s="1" t="e">
        <f>"All wins show for "&amp;#REF!&amp;" credit bet."</f>
        <v>#REF!</v>
      </c>
    </row>
    <row r="29" spans="1:8">
      <c r="A29" s="23" t="s">
        <v>53</v>
      </c>
      <c r="B29" s="23" t="s">
        <v>5</v>
      </c>
      <c r="C29" s="23">
        <v>3</v>
      </c>
      <c r="D29" s="23">
        <v>4</v>
      </c>
      <c r="E29" s="23">
        <v>5</v>
      </c>
      <c r="F29" s="23">
        <v>6</v>
      </c>
      <c r="G29" s="23" t="s">
        <v>47</v>
      </c>
      <c r="H29" s="16"/>
    </row>
    <row r="30" spans="1:8">
      <c r="A30" s="34" t="s">
        <v>32</v>
      </c>
      <c r="B30" s="34" t="s">
        <v>49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16"/>
    </row>
    <row r="31" spans="1:8">
      <c r="A31" s="7" t="s">
        <v>37</v>
      </c>
      <c r="B31" s="7" t="s">
        <v>52</v>
      </c>
      <c r="C31" s="37">
        <v>0</v>
      </c>
      <c r="D31" s="37">
        <v>0</v>
      </c>
      <c r="E31" s="37">
        <v>0</v>
      </c>
      <c r="F31" s="38">
        <v>0</v>
      </c>
      <c r="G31" s="38">
        <v>1</v>
      </c>
      <c r="H31" s="16"/>
    </row>
    <row r="32" spans="1:8">
      <c r="A32" s="7" t="s">
        <v>33</v>
      </c>
      <c r="B32" s="7" t="s">
        <v>33</v>
      </c>
      <c r="C32" s="135">
        <v>150</v>
      </c>
      <c r="D32" s="135">
        <v>200</v>
      </c>
      <c r="E32" s="135">
        <v>250</v>
      </c>
      <c r="F32" s="135">
        <v>400</v>
      </c>
      <c r="G32" s="38">
        <v>2</v>
      </c>
      <c r="H32" s="16"/>
    </row>
    <row r="33" spans="1:8">
      <c r="A33" s="7" t="s">
        <v>34</v>
      </c>
      <c r="B33" s="7" t="s">
        <v>34</v>
      </c>
      <c r="C33" s="135">
        <v>100</v>
      </c>
      <c r="D33" s="135">
        <v>125</v>
      </c>
      <c r="E33" s="135">
        <v>150</v>
      </c>
      <c r="F33" s="135">
        <v>250</v>
      </c>
      <c r="G33" s="37">
        <v>3</v>
      </c>
      <c r="H33" s="16"/>
    </row>
    <row r="34" spans="1:8">
      <c r="A34" s="7" t="s">
        <v>35</v>
      </c>
      <c r="B34" s="7" t="s">
        <v>35</v>
      </c>
      <c r="C34" s="135">
        <v>50</v>
      </c>
      <c r="D34" s="135">
        <v>125</v>
      </c>
      <c r="E34" s="135">
        <v>150</v>
      </c>
      <c r="F34" s="135">
        <v>200</v>
      </c>
      <c r="G34" s="37">
        <v>4</v>
      </c>
      <c r="H34" s="16"/>
    </row>
    <row r="35" spans="1:8">
      <c r="A35" s="7" t="s">
        <v>36</v>
      </c>
      <c r="B35" s="7" t="s">
        <v>36</v>
      </c>
      <c r="C35" s="135">
        <v>40</v>
      </c>
      <c r="D35" s="135">
        <v>75</v>
      </c>
      <c r="E35" s="135">
        <v>100</v>
      </c>
      <c r="F35" s="135">
        <v>150</v>
      </c>
      <c r="G35" s="37">
        <v>5</v>
      </c>
      <c r="H35" s="16"/>
    </row>
    <row r="36" spans="1:8">
      <c r="A36" s="7" t="s">
        <v>78</v>
      </c>
      <c r="B36" s="7" t="s">
        <v>78</v>
      </c>
      <c r="C36" s="135">
        <v>30</v>
      </c>
      <c r="D36" s="135">
        <v>50</v>
      </c>
      <c r="E36" s="135">
        <v>60</v>
      </c>
      <c r="F36" s="135">
        <v>75</v>
      </c>
      <c r="G36" s="37">
        <v>6</v>
      </c>
      <c r="H36" s="16"/>
    </row>
    <row r="37" spans="1:8">
      <c r="A37" s="7" t="s">
        <v>163</v>
      </c>
      <c r="B37" s="7" t="s">
        <v>163</v>
      </c>
      <c r="C37" s="135">
        <v>30</v>
      </c>
      <c r="D37" s="135">
        <v>50</v>
      </c>
      <c r="E37" s="135">
        <v>60</v>
      </c>
      <c r="F37" s="135">
        <v>75</v>
      </c>
      <c r="G37" s="37">
        <v>7</v>
      </c>
      <c r="H37" s="16"/>
    </row>
    <row r="38" spans="1:8">
      <c r="A38" s="7" t="s">
        <v>26</v>
      </c>
      <c r="B38" s="7" t="s">
        <v>26</v>
      </c>
      <c r="C38" s="135">
        <v>20</v>
      </c>
      <c r="D38" s="135">
        <v>30</v>
      </c>
      <c r="E38" s="135">
        <v>40</v>
      </c>
      <c r="F38" s="135">
        <v>50</v>
      </c>
      <c r="G38" s="37">
        <v>8</v>
      </c>
      <c r="H38" s="16"/>
    </row>
    <row r="39" spans="1:8">
      <c r="A39" s="7" t="s">
        <v>38</v>
      </c>
      <c r="B39" s="7" t="s">
        <v>38</v>
      </c>
      <c r="C39" s="135">
        <v>20</v>
      </c>
      <c r="D39" s="135">
        <v>30</v>
      </c>
      <c r="E39" s="135">
        <v>40</v>
      </c>
      <c r="F39" s="135">
        <v>50</v>
      </c>
      <c r="G39" s="37">
        <v>9</v>
      </c>
      <c r="H39" s="16"/>
    </row>
    <row r="40" spans="1:8">
      <c r="A40" s="7" t="s">
        <v>39</v>
      </c>
      <c r="B40" s="7" t="s">
        <v>39</v>
      </c>
      <c r="C40" s="135">
        <v>5</v>
      </c>
      <c r="D40" s="135">
        <v>10</v>
      </c>
      <c r="E40" s="135">
        <v>15</v>
      </c>
      <c r="F40" s="135">
        <v>20</v>
      </c>
      <c r="G40" s="37">
        <v>10</v>
      </c>
      <c r="H40" s="16"/>
    </row>
    <row r="41" spans="1:8">
      <c r="A41" s="7" t="s">
        <v>40</v>
      </c>
      <c r="B41" s="7" t="s">
        <v>40</v>
      </c>
      <c r="C41" s="135">
        <v>5</v>
      </c>
      <c r="D41" s="135">
        <v>10</v>
      </c>
      <c r="E41" s="135">
        <v>15</v>
      </c>
      <c r="F41" s="135">
        <v>20</v>
      </c>
      <c r="G41" s="37">
        <v>11</v>
      </c>
      <c r="H41" s="16"/>
    </row>
    <row r="42" spans="1:8">
      <c r="A42" s="7" t="s">
        <v>41</v>
      </c>
      <c r="B42" s="7" t="s">
        <v>41</v>
      </c>
      <c r="C42" s="135">
        <v>5</v>
      </c>
      <c r="D42" s="135">
        <v>10</v>
      </c>
      <c r="E42" s="135">
        <v>15</v>
      </c>
      <c r="F42" s="135">
        <v>20</v>
      </c>
      <c r="G42" s="37">
        <v>12</v>
      </c>
    </row>
    <row r="45" spans="1:8">
      <c r="A45" s="40" t="s">
        <v>57</v>
      </c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  <row r="59" spans="1:9">
      <c r="A59" s="16"/>
      <c r="B59" s="16"/>
      <c r="C59" s="16"/>
      <c r="D59" s="16"/>
      <c r="E59" s="16"/>
      <c r="F59" s="16"/>
      <c r="G59" s="16"/>
      <c r="H59" s="16"/>
      <c r="I59" s="16"/>
    </row>
    <row r="60" spans="1:9">
      <c r="A60" s="16"/>
      <c r="B60" s="16"/>
      <c r="C60" s="16"/>
      <c r="D60" s="16"/>
      <c r="E60" s="16"/>
      <c r="F60" s="16"/>
      <c r="G60" s="16"/>
      <c r="H60" s="16"/>
      <c r="I60" s="16"/>
    </row>
    <row r="61" spans="1:9">
      <c r="A61" s="16"/>
      <c r="B61" s="16"/>
      <c r="C61" s="16"/>
      <c r="D61" s="16"/>
      <c r="E61" s="16"/>
      <c r="F61" s="16"/>
      <c r="G61" s="16"/>
      <c r="H61" s="16"/>
      <c r="I61" s="16"/>
    </row>
    <row r="62" spans="1:9">
      <c r="A62" s="16"/>
      <c r="B62" s="16"/>
      <c r="C62" s="16"/>
      <c r="D62" s="16"/>
      <c r="E62" s="16"/>
      <c r="F62" s="16"/>
      <c r="G62" s="16"/>
      <c r="H62" s="16"/>
      <c r="I62" s="16"/>
    </row>
    <row r="63" spans="1:9">
      <c r="A63" s="16"/>
      <c r="B63" s="16"/>
      <c r="C63" s="16"/>
      <c r="D63" s="16"/>
      <c r="E63" s="16"/>
      <c r="F63" s="16"/>
      <c r="G63" s="16"/>
      <c r="H63" s="16"/>
      <c r="I63" s="16"/>
    </row>
    <row r="64" spans="1:9">
      <c r="A64" s="16"/>
      <c r="B64" s="16"/>
      <c r="C64" s="16"/>
      <c r="D64" s="16"/>
      <c r="E64" s="16"/>
      <c r="F64" s="16"/>
      <c r="G64" s="16"/>
      <c r="H64" s="16"/>
      <c r="I64" s="16"/>
    </row>
    <row r="65" spans="1:9">
      <c r="A65" s="16"/>
      <c r="B65" s="16"/>
      <c r="C65" s="16"/>
      <c r="D65" s="16"/>
      <c r="E65" s="16"/>
      <c r="F65" s="16"/>
      <c r="G65" s="16"/>
      <c r="H65" s="16"/>
      <c r="I65" s="16"/>
    </row>
    <row r="66" spans="1:9">
      <c r="A66" s="16"/>
      <c r="B66" s="16"/>
      <c r="C66" s="16"/>
      <c r="D66" s="16"/>
      <c r="E66" s="16"/>
      <c r="F66" s="16"/>
      <c r="G66" s="16"/>
      <c r="H66" s="16"/>
      <c r="I66" s="16"/>
    </row>
    <row r="67" spans="1:9">
      <c r="A67" s="16"/>
      <c r="B67" s="16"/>
      <c r="C67" s="16"/>
      <c r="D67" s="16"/>
      <c r="E67" s="16"/>
      <c r="F67" s="16"/>
      <c r="G67" s="16"/>
      <c r="H67" s="16"/>
      <c r="I67" s="16"/>
    </row>
    <row r="68" spans="1:9">
      <c r="A68" s="16"/>
      <c r="B68" s="16"/>
      <c r="C68" s="16"/>
      <c r="D68" s="16"/>
      <c r="E68" s="16"/>
      <c r="F68" s="16"/>
      <c r="G68" s="16"/>
      <c r="H68" s="16"/>
      <c r="I68" s="16"/>
    </row>
    <row r="69" spans="1:9">
      <c r="A69" s="16"/>
      <c r="B69" s="16"/>
      <c r="C69" s="16"/>
      <c r="D69" s="16"/>
      <c r="E69" s="16"/>
      <c r="F69" s="16"/>
      <c r="G69" s="16"/>
      <c r="H69" s="16"/>
      <c r="I69" s="16"/>
    </row>
    <row r="70" spans="1:9">
      <c r="A70" s="16"/>
      <c r="B70" s="16"/>
      <c r="C70" s="16"/>
      <c r="D70" s="16"/>
      <c r="E70" s="16"/>
      <c r="F70" s="16"/>
      <c r="G70" s="16"/>
      <c r="H70" s="16"/>
      <c r="I70" s="16"/>
    </row>
    <row r="71" spans="1:9">
      <c r="A71" s="16"/>
      <c r="B71" s="16"/>
      <c r="C71" s="16"/>
      <c r="D71" s="16"/>
      <c r="E71" s="16"/>
      <c r="F71" s="16"/>
      <c r="G71" s="16"/>
      <c r="H71" s="16"/>
      <c r="I71" s="16"/>
    </row>
    <row r="72" spans="1:9">
      <c r="A72" s="16"/>
      <c r="B72" s="16"/>
      <c r="C72" s="16"/>
      <c r="D72" s="16"/>
      <c r="E72" s="16"/>
      <c r="F72" s="16"/>
      <c r="G72" s="16"/>
      <c r="H72" s="16"/>
      <c r="I72" s="16"/>
    </row>
    <row r="73" spans="1:9">
      <c r="A73" s="16"/>
      <c r="B73" s="16"/>
      <c r="C73" s="16"/>
      <c r="D73" s="16"/>
      <c r="E73" s="16"/>
      <c r="F73" s="16"/>
      <c r="G73" s="16"/>
      <c r="H73" s="16"/>
      <c r="I73" s="16"/>
    </row>
    <row r="74" spans="1:9">
      <c r="B74" s="2"/>
      <c r="C74" s="2"/>
      <c r="D74" s="2"/>
    </row>
  </sheetData>
  <mergeCells count="4">
    <mergeCell ref="B3:C3"/>
    <mergeCell ref="A26:B26"/>
    <mergeCell ref="A11:G11"/>
    <mergeCell ref="A12:G16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>
    <tabColor theme="3" tint="0.59999389629810485"/>
  </sheetPr>
  <dimension ref="B1:G22"/>
  <sheetViews>
    <sheetView workbookViewId="0">
      <selection activeCell="Q23" sqref="Q23"/>
    </sheetView>
  </sheetViews>
  <sheetFormatPr defaultColWidth="6.75" defaultRowHeight="15.75"/>
  <cols>
    <col min="1" max="2" width="6.75" style="16"/>
    <col min="3" max="3" width="9.875" style="16" bestFit="1" customWidth="1"/>
    <col min="4" max="5" width="6.75" style="16"/>
    <col min="6" max="6" width="9.5" style="16" bestFit="1" customWidth="1"/>
    <col min="7" max="16384" width="6.75" style="16"/>
  </cols>
  <sheetData>
    <row r="1" spans="2:7" ht="16.149999999999999" customHeight="1"/>
    <row r="2" spans="2:7" ht="16.149999999999999" customHeight="1">
      <c r="B2" s="17" t="s">
        <v>192</v>
      </c>
      <c r="C2" s="157"/>
      <c r="D2" s="157"/>
      <c r="E2" s="157"/>
      <c r="F2" s="157"/>
      <c r="G2" s="157"/>
    </row>
    <row r="3" spans="2:7" s="104" customFormat="1" ht="17.25" thickBot="1">
      <c r="B3" s="17"/>
      <c r="C3" s="157"/>
      <c r="D3" s="157"/>
      <c r="E3" s="157"/>
      <c r="F3" s="157"/>
      <c r="G3" s="157"/>
    </row>
    <row r="4" spans="2:7" s="105" customFormat="1" ht="17.25" thickBot="1">
      <c r="B4" s="17"/>
      <c r="C4" s="161" t="s">
        <v>186</v>
      </c>
      <c r="D4" s="158" t="s">
        <v>187</v>
      </c>
      <c r="E4" s="157"/>
      <c r="F4" s="190" t="s">
        <v>188</v>
      </c>
      <c r="G4" s="168" t="s">
        <v>187</v>
      </c>
    </row>
    <row r="5" spans="2:7" s="105" customFormat="1" ht="16.5">
      <c r="B5" s="17"/>
      <c r="C5" s="162" t="s">
        <v>189</v>
      </c>
      <c r="D5" s="159">
        <v>1500</v>
      </c>
      <c r="E5" s="157"/>
      <c r="F5" s="194" t="s">
        <v>189</v>
      </c>
      <c r="G5" s="191">
        <v>800</v>
      </c>
    </row>
    <row r="6" spans="2:7" s="105" customFormat="1" ht="16.5">
      <c r="B6" s="17"/>
      <c r="C6" s="163" t="s">
        <v>180</v>
      </c>
      <c r="D6" s="160">
        <v>1200</v>
      </c>
      <c r="E6" s="157"/>
      <c r="F6" s="195" t="s">
        <v>180</v>
      </c>
      <c r="G6" s="192">
        <v>300</v>
      </c>
    </row>
    <row r="7" spans="2:7" ht="17.25" thickBot="1">
      <c r="F7" s="196" t="s">
        <v>208</v>
      </c>
      <c r="G7" s="193">
        <v>400</v>
      </c>
    </row>
    <row r="8" spans="2:7" ht="16.5">
      <c r="F8" s="188"/>
      <c r="G8" s="189"/>
    </row>
    <row r="9" spans="2:7" ht="16.5">
      <c r="B9" s="16" t="s">
        <v>193</v>
      </c>
    </row>
    <row r="11" spans="2:7" ht="16.5">
      <c r="B11" s="16" t="s">
        <v>196</v>
      </c>
    </row>
    <row r="13" spans="2:7" ht="16.5">
      <c r="B13" s="16" t="s">
        <v>197</v>
      </c>
    </row>
    <row r="15" spans="2:7" ht="16.5">
      <c r="B15" s="16" t="s">
        <v>199</v>
      </c>
    </row>
    <row r="16" spans="2:7" ht="16.5" thickBot="1"/>
    <row r="17" spans="2:4" ht="17.25" thickBot="1">
      <c r="C17" s="164" t="s">
        <v>198</v>
      </c>
      <c r="D17" s="158" t="s">
        <v>187</v>
      </c>
    </row>
    <row r="18" spans="2:4" ht="16.5">
      <c r="C18" s="165" t="s">
        <v>189</v>
      </c>
      <c r="D18" s="159">
        <v>400</v>
      </c>
    </row>
    <row r="19" spans="2:4" ht="16.5">
      <c r="C19" s="166" t="s">
        <v>180</v>
      </c>
      <c r="D19" s="160">
        <v>0</v>
      </c>
    </row>
    <row r="20" spans="2:4" ht="16.5">
      <c r="C20" s="166" t="s">
        <v>208</v>
      </c>
      <c r="D20" s="160">
        <v>800</v>
      </c>
    </row>
    <row r="22" spans="2:4" ht="16.5">
      <c r="B22" s="16" t="s">
        <v>200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>
    <tabColor theme="3" tint="0.59999389629810485"/>
  </sheetPr>
  <dimension ref="A1:AL250"/>
  <sheetViews>
    <sheetView topLeftCell="A10" workbookViewId="0">
      <selection activeCell="C65" sqref="C65:F121"/>
    </sheetView>
  </sheetViews>
  <sheetFormatPr defaultColWidth="8.875" defaultRowHeight="16.5"/>
  <cols>
    <col min="1" max="2" width="9"/>
    <col min="3" max="3" width="10.5" bestFit="1" customWidth="1"/>
    <col min="4" max="4" width="11.875" bestFit="1" customWidth="1"/>
    <col min="5" max="5" width="9"/>
    <col min="6" max="7" width="16.125" bestFit="1" customWidth="1"/>
    <col min="8" max="9" width="9"/>
    <col min="10" max="10" width="10.5" bestFit="1" customWidth="1"/>
    <col min="11" max="11" width="9"/>
    <col min="12" max="12" width="14.625" bestFit="1" customWidth="1"/>
    <col min="13" max="13" width="16.125" bestFit="1" customWidth="1"/>
    <col min="14" max="15" width="9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1.875" bestFit="1" customWidth="1"/>
    <col min="35" max="35" width="21.625" bestFit="1" customWidth="1"/>
    <col min="36" max="36" width="11.875" bestFit="1" customWidth="1"/>
    <col min="37" max="16384" width="8.875" style="16"/>
  </cols>
  <sheetData>
    <row r="1" spans="1:38" ht="15.75">
      <c r="A1" s="17"/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7"/>
      <c r="O1" s="17"/>
      <c r="P1" s="18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8">
      <c r="A2" s="17"/>
      <c r="B2" s="1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7"/>
      <c r="O2" s="17"/>
      <c r="P2" s="18"/>
      <c r="Q2" s="17"/>
      <c r="R2" s="64"/>
      <c r="S2" s="111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 t="e">
        <f>SUMPRODUCT(AC65:AC115,AK6:AK56)/AB3</f>
        <v>#DIV/0!</v>
      </c>
      <c r="AE2" s="17"/>
      <c r="AF2" s="112" t="s">
        <v>121</v>
      </c>
      <c r="AG2" s="17"/>
      <c r="AH2" s="112" t="s">
        <v>122</v>
      </c>
      <c r="AI2" s="17"/>
      <c r="AJ2" s="112" t="s">
        <v>123</v>
      </c>
    </row>
    <row r="3" spans="1:38" s="61" customFormat="1">
      <c r="A3" s="204" t="s">
        <v>60</v>
      </c>
      <c r="B3" s="204" t="s">
        <v>61</v>
      </c>
      <c r="C3" s="205" t="s">
        <v>62</v>
      </c>
      <c r="D3" s="206"/>
      <c r="E3" s="207"/>
      <c r="F3" s="205" t="s">
        <v>63</v>
      </c>
      <c r="G3" s="206"/>
      <c r="H3" s="207"/>
      <c r="I3" s="205" t="s">
        <v>64</v>
      </c>
      <c r="J3" s="206"/>
      <c r="K3" s="207"/>
      <c r="L3" s="205" t="s">
        <v>65</v>
      </c>
      <c r="M3" s="206"/>
      <c r="N3" s="207"/>
      <c r="O3" s="45"/>
      <c r="P3" s="204" t="s">
        <v>66</v>
      </c>
      <c r="Q3" s="205" t="s">
        <v>67</v>
      </c>
      <c r="R3" s="206"/>
      <c r="S3" s="206"/>
      <c r="T3" s="206"/>
      <c r="U3" s="206"/>
      <c r="V3" s="206"/>
      <c r="W3" s="206"/>
      <c r="X3" s="207"/>
      <c r="Y3" s="211" t="s">
        <v>68</v>
      </c>
      <c r="Z3" s="212"/>
      <c r="AA3" s="213"/>
      <c r="AB3" s="208">
        <f>10^9</f>
        <v>1000000000</v>
      </c>
      <c r="AC3" s="209"/>
      <c r="AD3" s="210"/>
      <c r="AE3" s="46" t="s">
        <v>124</v>
      </c>
      <c r="AF3" s="47" t="e">
        <f>SUM(AE5:AE57)+AF57*(SUM(AE64:AE122)+AE57)</f>
        <v>#DIV/0!</v>
      </c>
      <c r="AG3" s="46" t="s">
        <v>125</v>
      </c>
      <c r="AH3" s="47" t="e">
        <f>SUM(AG5:AG57)+AH57*(SUM(AG64:AG122)+AG57)</f>
        <v>#DIV/0!</v>
      </c>
      <c r="AI3" s="46" t="s">
        <v>126</v>
      </c>
      <c r="AJ3" s="47" t="e">
        <f>SUM(AI5:AI57)+AJ57*(SUM(AI64:AI122))</f>
        <v>#DIV/0!</v>
      </c>
    </row>
    <row r="4" spans="1:38">
      <c r="A4" s="204"/>
      <c r="B4" s="204"/>
      <c r="C4" s="109" t="s">
        <v>69</v>
      </c>
      <c r="D4" s="109" t="s">
        <v>70</v>
      </c>
      <c r="E4" s="109" t="s">
        <v>71</v>
      </c>
      <c r="F4" s="109" t="s">
        <v>69</v>
      </c>
      <c r="G4" s="109" t="s">
        <v>70</v>
      </c>
      <c r="H4" s="109" t="s">
        <v>71</v>
      </c>
      <c r="I4" s="109" t="s">
        <v>69</v>
      </c>
      <c r="J4" s="109" t="s">
        <v>70</v>
      </c>
      <c r="K4" s="109" t="s">
        <v>71</v>
      </c>
      <c r="L4" s="109" t="s">
        <v>69</v>
      </c>
      <c r="M4" s="109" t="s">
        <v>70</v>
      </c>
      <c r="N4" s="109" t="s">
        <v>71</v>
      </c>
      <c r="O4" s="45"/>
      <c r="P4" s="204"/>
      <c r="Q4" s="109" t="s">
        <v>72</v>
      </c>
      <c r="R4" s="109" t="s">
        <v>73</v>
      </c>
      <c r="S4" s="109" t="s">
        <v>127</v>
      </c>
      <c r="T4" s="109" t="s">
        <v>128</v>
      </c>
      <c r="U4" s="109" t="s">
        <v>129</v>
      </c>
      <c r="V4" s="109" t="s">
        <v>130</v>
      </c>
      <c r="W4" s="109" t="s">
        <v>131</v>
      </c>
      <c r="X4" s="109" t="s">
        <v>132</v>
      </c>
      <c r="Y4" s="109" t="s">
        <v>133</v>
      </c>
      <c r="Z4" s="109" t="s">
        <v>134</v>
      </c>
      <c r="AA4" s="109" t="s">
        <v>135</v>
      </c>
      <c r="AB4" s="109" t="s">
        <v>136</v>
      </c>
      <c r="AC4" s="109" t="s">
        <v>137</v>
      </c>
      <c r="AD4" s="109" t="s">
        <v>138</v>
      </c>
      <c r="AE4" s="109" t="s">
        <v>65</v>
      </c>
      <c r="AF4" s="109" t="s">
        <v>74</v>
      </c>
      <c r="AG4" s="109" t="s">
        <v>65</v>
      </c>
      <c r="AH4" s="109" t="s">
        <v>74</v>
      </c>
      <c r="AI4" s="109" t="s">
        <v>65</v>
      </c>
      <c r="AJ4" s="109" t="s">
        <v>74</v>
      </c>
    </row>
    <row r="5" spans="1:38">
      <c r="A5" s="48">
        <v>-1</v>
      </c>
      <c r="B5" s="48">
        <v>0</v>
      </c>
      <c r="C5" s="49"/>
      <c r="D5" s="49"/>
      <c r="E5" s="49"/>
      <c r="F5" s="49"/>
      <c r="G5" s="49"/>
      <c r="H5" s="49"/>
      <c r="I5" s="50" t="e" cm="1">
        <f t="array" ref="I5:I56">_xlfn.LET(_xlpm.x, C5:C56, _xlpm.x/SUM(_xlpm.x))</f>
        <v>#DIV/0!</v>
      </c>
      <c r="J5" s="50" t="e" cm="1">
        <f t="array" ref="J5:J56">_xlfn.LET(_xlpm.x, D5:D56, _xlpm.x/SUM(_xlpm.x))</f>
        <v>#DIV/0!</v>
      </c>
      <c r="K5" s="50"/>
      <c r="L5" s="51" t="e" cm="1">
        <f t="array" ref="L5:L56">F5:F56/C5:C56/Overview!#REF!/5</f>
        <v>#DIV/0!</v>
      </c>
      <c r="M5" s="51" t="e" cm="1">
        <f t="array" ref="M5:M56">G5:G56/D5:D56/Overview!#REF!/5</f>
        <v>#DIV/0!</v>
      </c>
      <c r="N5" s="50"/>
      <c r="O5" s="17" t="e">
        <f>SUMPRODUCT(I5:I52,L5:L52)</f>
        <v>#DIV/0!</v>
      </c>
      <c r="P5" s="52" t="str">
        <f t="shared" ref="P5:P56" si="0">"("&amp;$A5&amp;", "&amp;$B5&amp;"]"</f>
        <v>(-1, 0]</v>
      </c>
      <c r="Q5" s="53" t="s">
        <v>69</v>
      </c>
      <c r="R5" s="50" t="e">
        <f>_xlfn.XLOOKUP(Q5, $I$4:$K$4, I5:K5)</f>
        <v>#DIV/0!</v>
      </c>
      <c r="S5" s="54">
        <v>3</v>
      </c>
      <c r="T5" s="113">
        <v>1.8</v>
      </c>
      <c r="U5" s="113">
        <v>1.3304</v>
      </c>
      <c r="V5" s="55" t="e" cm="1">
        <f t="array" ref="V5:V57">$R5:$R57*S5:S57</f>
        <v>#DIV/0!</v>
      </c>
      <c r="W5" s="55" t="e" cm="1">
        <f t="array" ref="W5:W57">$R5:$R57*T5:T57</f>
        <v>#DIV/0!</v>
      </c>
      <c r="X5" s="55" t="e" cm="1">
        <f t="array" ref="X5:X57">$R5:$R57*U5:U57</f>
        <v>#DIV/0!</v>
      </c>
      <c r="Y5" s="55" t="e" cm="1">
        <f t="array" ref="Y5:Y56">V5:V56/SUM(_xlfn.ANCHORARRAY(V5))</f>
        <v>#DIV/0!</v>
      </c>
      <c r="Z5" s="55" t="e" cm="1">
        <f t="array" ref="Z5:Z56">W5:W56/SUM(_xlfn.ANCHORARRAY(W5))</f>
        <v>#DIV/0!</v>
      </c>
      <c r="AA5" s="55" t="e" cm="1">
        <f t="array" ref="AA5:AA56">X5:X56/SUM(_xlfn.ANCHORARRAY(X5))</f>
        <v>#DIV/0!</v>
      </c>
      <c r="AB5" s="56" t="e">
        <f>INT($AB3-SUM(_xlfn.ANCHORARRAY(AB6)))</f>
        <v>#DIV/0!</v>
      </c>
      <c r="AC5" s="56" t="e">
        <f>INT($AB3-SUM(_xlfn.ANCHORARRAY(AC6)))</f>
        <v>#DIV/0!</v>
      </c>
      <c r="AD5" s="56" t="e">
        <f>INT($AB3-SUM(_xlfn.ANCHORARRAY(AD6)))</f>
        <v>#DIV/0!</v>
      </c>
      <c r="AE5" s="57" t="e">
        <f t="shared" ref="AE5:AE55" si="1">_xlfn.LET(_xlpm.x, _xlfn.XLOOKUP($Q5, $L$4:$N$4, $L5:$N5), IF(ISERROR(_xlpm.x), 0, _xlpm.x)*AB5/$AB$3)</f>
        <v>#DIV/0!</v>
      </c>
      <c r="AF5" s="57" t="e" cm="1">
        <f t="array" ref="AF5:AF57">_xlfn.LET(_xlpm.x, AB5:AB57, _xlpm.x/SUM(_xlpm.x))</f>
        <v>#DIV/0!</v>
      </c>
      <c r="AG5" s="57" t="e">
        <f t="shared" ref="AG5:AG56" si="2">_xlfn.LET(_xlpm.x, _xlfn.XLOOKUP($Q5, $L$4:$N$4, $L5:$N5), IF(ISERROR(_xlpm.x), 0, _xlpm.x)*AC5/$AB$3)</f>
        <v>#DIV/0!</v>
      </c>
      <c r="AH5" s="57" t="e" cm="1">
        <f t="array" ref="AH5:AH57">_xlfn.LET(_xlpm.x, AC5:AC57, _xlpm.x/SUM(_xlpm.x))</f>
        <v>#DIV/0!</v>
      </c>
      <c r="AI5" s="57" t="e">
        <f t="shared" ref="AI5:AI56" si="3">_xlfn.LET(_xlpm.x, _xlfn.XLOOKUP($Q5, $L$4:$N$4, $L5:$N5), IF(ISERROR(_xlpm.x), 0, _xlpm.x)*AD5/$AB$3)</f>
        <v>#DIV/0!</v>
      </c>
      <c r="AJ5" s="57" t="e" cm="1">
        <f t="array" ref="AJ5:AJ57">_xlfn.LET(_xlpm.x, AD5:AD57, _xlpm.x/SUM(_xlpm.x))</f>
        <v>#DIV/0!</v>
      </c>
      <c r="AL5" s="134">
        <v>0.72379899999999997</v>
      </c>
    </row>
    <row r="6" spans="1:38">
      <c r="A6" s="48">
        <v>0</v>
      </c>
      <c r="B6" s="48">
        <v>1</v>
      </c>
      <c r="C6" s="49"/>
      <c r="D6" s="49"/>
      <c r="E6" s="49"/>
      <c r="F6" s="49"/>
      <c r="G6" s="49"/>
      <c r="H6" s="49"/>
      <c r="I6" s="50" t="e">
        <v>#DIV/0!</v>
      </c>
      <c r="J6" s="50" t="e">
        <v>#DIV/0!</v>
      </c>
      <c r="K6" s="50"/>
      <c r="L6" s="50" t="e">
        <v>#DIV/0!</v>
      </c>
      <c r="M6" s="50" t="e">
        <v>#DIV/0!</v>
      </c>
      <c r="N6" s="50"/>
      <c r="O6" s="17"/>
      <c r="P6" s="52" t="str">
        <f t="shared" si="0"/>
        <v>(0, 1]</v>
      </c>
      <c r="Q6" s="53" t="s">
        <v>69</v>
      </c>
      <c r="R6" s="50" t="e">
        <f t="shared" ref="R6:R56" si="4">_xlfn.SINGLE(_xlfn.XLOOKUP(Q6, $I$4:$K$4, I6:K6))</f>
        <v>#DIV/0!</v>
      </c>
      <c r="S6" s="54">
        <v>0.9</v>
      </c>
      <c r="T6" s="113" t="e">
        <f t="shared" ref="T6:T30" si="5">AN6/R6</f>
        <v>#DIV/0!</v>
      </c>
      <c r="U6" s="113">
        <v>0.7</v>
      </c>
      <c r="V6" s="55" t="e">
        <v>#DIV/0!</v>
      </c>
      <c r="W6" s="55" t="e">
        <v>#DIV/0!</v>
      </c>
      <c r="X6" s="55" t="e">
        <v>#DIV/0!</v>
      </c>
      <c r="Y6" s="55" t="e">
        <v>#DIV/0!</v>
      </c>
      <c r="Z6" s="55" t="e">
        <v>#DIV/0!</v>
      </c>
      <c r="AA6" s="55" t="e">
        <v>#DIV/0!</v>
      </c>
      <c r="AB6" s="56" t="e" cm="1">
        <f t="array" ref="AB6:AB57">INT(Y6:Y57*$AB3)</f>
        <v>#DIV/0!</v>
      </c>
      <c r="AC6" s="56" t="e" cm="1">
        <f t="array" ref="AC6:AC57">INT(Z6:Z57*$AB3)</f>
        <v>#DIV/0!</v>
      </c>
      <c r="AD6" s="56" t="e" cm="1">
        <f t="array" ref="AD6:AD57">INT(AA6:AA57*$AB3)</f>
        <v>#DIV/0!</v>
      </c>
      <c r="AE6" s="57" t="e">
        <f t="shared" si="1"/>
        <v>#DIV/0!</v>
      </c>
      <c r="AF6" s="57" t="e">
        <v>#DIV/0!</v>
      </c>
      <c r="AG6" s="57" t="e">
        <f t="shared" si="2"/>
        <v>#DIV/0!</v>
      </c>
      <c r="AH6" s="57" t="e">
        <v>#DIV/0!</v>
      </c>
      <c r="AI6" s="57" t="e">
        <f t="shared" si="3"/>
        <v>#DIV/0!</v>
      </c>
      <c r="AJ6" s="57" t="e">
        <v>#DIV/0!</v>
      </c>
      <c r="AL6" s="134">
        <v>0.15426599999999999</v>
      </c>
    </row>
    <row r="7" spans="1:38">
      <c r="A7" s="48">
        <v>1</v>
      </c>
      <c r="B7" s="48">
        <v>2</v>
      </c>
      <c r="C7" s="49"/>
      <c r="D7" s="49"/>
      <c r="E7" s="49"/>
      <c r="F7" s="49"/>
      <c r="G7" s="49"/>
      <c r="H7" s="49"/>
      <c r="I7" s="50" t="e">
        <v>#DIV/0!</v>
      </c>
      <c r="J7" s="50" t="e">
        <v>#DIV/0!</v>
      </c>
      <c r="K7" s="50"/>
      <c r="L7" s="50" t="e">
        <v>#DIV/0!</v>
      </c>
      <c r="M7" s="50" t="e">
        <v>#DIV/0!</v>
      </c>
      <c r="N7" s="50"/>
      <c r="O7" s="17"/>
      <c r="P7" s="52" t="str">
        <f t="shared" si="0"/>
        <v>(1, 2]</v>
      </c>
      <c r="Q7" s="53" t="s">
        <v>69</v>
      </c>
      <c r="R7" s="50" t="e">
        <f t="shared" si="4"/>
        <v>#DIV/0!</v>
      </c>
      <c r="S7" s="54">
        <v>0.9</v>
      </c>
      <c r="T7" s="113" t="e">
        <f t="shared" si="5"/>
        <v>#DIV/0!</v>
      </c>
      <c r="U7" s="113">
        <v>0.45</v>
      </c>
      <c r="V7" s="55" t="e">
        <v>#DIV/0!</v>
      </c>
      <c r="W7" s="55" t="e">
        <v>#DIV/0!</v>
      </c>
      <c r="X7" s="55" t="e">
        <v>#DIV/0!</v>
      </c>
      <c r="Y7" s="55" t="e">
        <v>#DIV/0!</v>
      </c>
      <c r="Z7" s="55" t="e">
        <v>#DIV/0!</v>
      </c>
      <c r="AA7" s="55" t="e">
        <v>#DIV/0!</v>
      </c>
      <c r="AB7" s="56" t="e">
        <v>#DIV/0!</v>
      </c>
      <c r="AC7" s="114" t="e">
        <v>#DIV/0!</v>
      </c>
      <c r="AD7" s="114" t="e">
        <v>#DIV/0!</v>
      </c>
      <c r="AE7" s="57" t="e">
        <f t="shared" si="1"/>
        <v>#DIV/0!</v>
      </c>
      <c r="AF7" s="57" t="e">
        <v>#DIV/0!</v>
      </c>
      <c r="AG7" s="57" t="e">
        <f t="shared" si="2"/>
        <v>#DIV/0!</v>
      </c>
      <c r="AH7" s="57" t="e">
        <v>#DIV/0!</v>
      </c>
      <c r="AI7" s="57" t="e">
        <f t="shared" si="3"/>
        <v>#DIV/0!</v>
      </c>
      <c r="AJ7" s="57" t="e">
        <v>#DIV/0!</v>
      </c>
      <c r="AL7" s="134">
        <v>4.5428000000000003E-2</v>
      </c>
    </row>
    <row r="8" spans="1:38">
      <c r="A8" s="48">
        <v>2</v>
      </c>
      <c r="B8" s="48">
        <v>3</v>
      </c>
      <c r="C8" s="49"/>
      <c r="D8" s="49"/>
      <c r="E8" s="49"/>
      <c r="F8" s="49"/>
      <c r="G8" s="49"/>
      <c r="H8" s="49"/>
      <c r="I8" s="50" t="e">
        <v>#DIV/0!</v>
      </c>
      <c r="J8" s="50" t="e">
        <v>#DIV/0!</v>
      </c>
      <c r="K8" s="50"/>
      <c r="L8" s="50" t="e">
        <v>#DIV/0!</v>
      </c>
      <c r="M8" s="50" t="e">
        <v>#DIV/0!</v>
      </c>
      <c r="N8" s="50"/>
      <c r="O8" s="17"/>
      <c r="P8" s="52" t="str">
        <f t="shared" si="0"/>
        <v>(2, 3]</v>
      </c>
      <c r="Q8" s="53" t="s">
        <v>69</v>
      </c>
      <c r="R8" s="50" t="e">
        <f t="shared" si="4"/>
        <v>#DIV/0!</v>
      </c>
      <c r="S8" s="54">
        <v>0.9</v>
      </c>
      <c r="T8" s="113" t="e">
        <f t="shared" si="5"/>
        <v>#DIV/0!</v>
      </c>
      <c r="U8" s="113">
        <v>0.4</v>
      </c>
      <c r="V8" s="55" t="e">
        <v>#DIV/0!</v>
      </c>
      <c r="W8" s="55" t="e">
        <v>#DIV/0!</v>
      </c>
      <c r="X8" s="55" t="e">
        <v>#DIV/0!</v>
      </c>
      <c r="Y8" s="55" t="e">
        <v>#DIV/0!</v>
      </c>
      <c r="Z8" s="55" t="e">
        <v>#DIV/0!</v>
      </c>
      <c r="AA8" s="55" t="e">
        <v>#DIV/0!</v>
      </c>
      <c r="AB8" s="56" t="e">
        <v>#DIV/0!</v>
      </c>
      <c r="AC8" s="114" t="e">
        <v>#DIV/0!</v>
      </c>
      <c r="AD8" s="114" t="e">
        <v>#DIV/0!</v>
      </c>
      <c r="AE8" s="57" t="e">
        <f t="shared" si="1"/>
        <v>#DIV/0!</v>
      </c>
      <c r="AF8" s="57" t="e">
        <v>#DIV/0!</v>
      </c>
      <c r="AG8" s="57" t="e">
        <f t="shared" si="2"/>
        <v>#DIV/0!</v>
      </c>
      <c r="AH8" s="57" t="e">
        <v>#DIV/0!</v>
      </c>
      <c r="AI8" s="57" t="e">
        <f t="shared" si="3"/>
        <v>#DIV/0!</v>
      </c>
      <c r="AJ8" s="57" t="e">
        <v>#DIV/0!</v>
      </c>
      <c r="AL8" s="134">
        <v>2.0910000000000002E-2</v>
      </c>
    </row>
    <row r="9" spans="1:38">
      <c r="A9" s="48">
        <v>3</v>
      </c>
      <c r="B9" s="48">
        <v>4</v>
      </c>
      <c r="C9" s="49"/>
      <c r="D9" s="49"/>
      <c r="E9" s="49"/>
      <c r="F9" s="49"/>
      <c r="G9" s="49"/>
      <c r="H9" s="49"/>
      <c r="I9" s="50" t="e">
        <v>#DIV/0!</v>
      </c>
      <c r="J9" s="50" t="e">
        <v>#DIV/0!</v>
      </c>
      <c r="K9" s="50"/>
      <c r="L9" s="50" t="e">
        <v>#DIV/0!</v>
      </c>
      <c r="M9" s="50" t="e">
        <v>#DIV/0!</v>
      </c>
      <c r="N9" s="50"/>
      <c r="O9" s="17"/>
      <c r="P9" s="52" t="str">
        <f t="shared" si="0"/>
        <v>(3, 4]</v>
      </c>
      <c r="Q9" s="53" t="s">
        <v>69</v>
      </c>
      <c r="R9" s="50" t="e">
        <f t="shared" si="4"/>
        <v>#DIV/0!</v>
      </c>
      <c r="S9" s="54">
        <v>0.9</v>
      </c>
      <c r="T9" s="113">
        <v>0.3</v>
      </c>
      <c r="U9" s="113">
        <v>0.3</v>
      </c>
      <c r="V9" s="55" t="e">
        <v>#DIV/0!</v>
      </c>
      <c r="W9" s="55" t="e">
        <v>#DIV/0!</v>
      </c>
      <c r="X9" s="55" t="e">
        <v>#DIV/0!</v>
      </c>
      <c r="Y9" s="55" t="e">
        <v>#DIV/0!</v>
      </c>
      <c r="Z9" s="55" t="e">
        <v>#DIV/0!</v>
      </c>
      <c r="AA9" s="55" t="e">
        <v>#DIV/0!</v>
      </c>
      <c r="AB9" s="56" t="e">
        <v>#DIV/0!</v>
      </c>
      <c r="AC9" s="114" t="e">
        <v>#DIV/0!</v>
      </c>
      <c r="AD9" s="114" t="e">
        <v>#DIV/0!</v>
      </c>
      <c r="AE9" s="57" t="e">
        <f t="shared" si="1"/>
        <v>#DIV/0!</v>
      </c>
      <c r="AF9" s="57" t="e">
        <v>#DIV/0!</v>
      </c>
      <c r="AG9" s="57" t="e">
        <f t="shared" si="2"/>
        <v>#DIV/0!</v>
      </c>
      <c r="AH9" s="57" t="e">
        <v>#DIV/0!</v>
      </c>
      <c r="AI9" s="57" t="e">
        <f t="shared" si="3"/>
        <v>#DIV/0!</v>
      </c>
      <c r="AJ9" s="57" t="e">
        <v>#DIV/0!</v>
      </c>
      <c r="AL9" s="134">
        <v>1.2886E-2</v>
      </c>
    </row>
    <row r="10" spans="1:38">
      <c r="A10" s="48">
        <v>4</v>
      </c>
      <c r="B10" s="48">
        <v>5</v>
      </c>
      <c r="C10" s="49"/>
      <c r="D10" s="49"/>
      <c r="E10" s="49"/>
      <c r="F10" s="49"/>
      <c r="G10" s="49"/>
      <c r="H10" s="49"/>
      <c r="I10" s="50" t="e">
        <v>#DIV/0!</v>
      </c>
      <c r="J10" s="50" t="e">
        <v>#DIV/0!</v>
      </c>
      <c r="K10" s="50"/>
      <c r="L10" s="50" t="e">
        <v>#DIV/0!</v>
      </c>
      <c r="M10" s="50" t="e">
        <v>#DIV/0!</v>
      </c>
      <c r="N10" s="50"/>
      <c r="O10" s="17"/>
      <c r="P10" s="52" t="str">
        <f t="shared" si="0"/>
        <v>(4, 5]</v>
      </c>
      <c r="Q10" s="53" t="s">
        <v>69</v>
      </c>
      <c r="R10" s="50" t="e">
        <f t="shared" si="4"/>
        <v>#DIV/0!</v>
      </c>
      <c r="S10" s="54">
        <v>0.9</v>
      </c>
      <c r="T10" s="113">
        <v>0.3</v>
      </c>
      <c r="U10" s="113">
        <v>0.1</v>
      </c>
      <c r="V10" s="55" t="e">
        <v>#DIV/0!</v>
      </c>
      <c r="W10" s="55" t="e">
        <v>#DIV/0!</v>
      </c>
      <c r="X10" s="55" t="e">
        <v>#DIV/0!</v>
      </c>
      <c r="Y10" s="55" t="e">
        <v>#DIV/0!</v>
      </c>
      <c r="Z10" s="55" t="e">
        <v>#DIV/0!</v>
      </c>
      <c r="AA10" s="55" t="e">
        <v>#DIV/0!</v>
      </c>
      <c r="AB10" s="56" t="e">
        <v>#DIV/0!</v>
      </c>
      <c r="AC10" s="114" t="e">
        <v>#DIV/0!</v>
      </c>
      <c r="AD10" s="114" t="e">
        <v>#DIV/0!</v>
      </c>
      <c r="AE10" s="57" t="e">
        <f t="shared" si="1"/>
        <v>#DIV/0!</v>
      </c>
      <c r="AF10" s="57" t="e">
        <v>#DIV/0!</v>
      </c>
      <c r="AG10" s="57" t="e">
        <f t="shared" si="2"/>
        <v>#DIV/0!</v>
      </c>
      <c r="AH10" s="57" t="e">
        <v>#DIV/0!</v>
      </c>
      <c r="AI10" s="57" t="e">
        <f t="shared" si="3"/>
        <v>#DIV/0!</v>
      </c>
      <c r="AJ10" s="57" t="e">
        <v>#DIV/0!</v>
      </c>
      <c r="AL10" s="134">
        <v>8.4060000000000003E-3</v>
      </c>
    </row>
    <row r="11" spans="1:38">
      <c r="A11" s="48">
        <v>5</v>
      </c>
      <c r="B11" s="48">
        <v>6</v>
      </c>
      <c r="C11" s="49"/>
      <c r="D11" s="49"/>
      <c r="E11" s="49"/>
      <c r="F11" s="49"/>
      <c r="G11" s="49"/>
      <c r="H11" s="49"/>
      <c r="I11" s="50" t="e">
        <v>#DIV/0!</v>
      </c>
      <c r="J11" s="50" t="e">
        <v>#DIV/0!</v>
      </c>
      <c r="K11" s="50"/>
      <c r="L11" s="50" t="e">
        <v>#DIV/0!</v>
      </c>
      <c r="M11" s="50" t="e">
        <v>#DIV/0!</v>
      </c>
      <c r="N11" s="50"/>
      <c r="O11" s="17"/>
      <c r="P11" s="52" t="str">
        <f t="shared" si="0"/>
        <v>(5, 6]</v>
      </c>
      <c r="Q11" s="53" t="s">
        <v>69</v>
      </c>
      <c r="R11" s="50" t="e">
        <f t="shared" si="4"/>
        <v>#DIV/0!</v>
      </c>
      <c r="S11" s="54">
        <v>0.91900000000000004</v>
      </c>
      <c r="T11" s="113">
        <v>0.15</v>
      </c>
      <c r="U11" s="113">
        <v>0.1</v>
      </c>
      <c r="V11" s="55" t="e">
        <v>#DIV/0!</v>
      </c>
      <c r="W11" s="55" t="e">
        <v>#DIV/0!</v>
      </c>
      <c r="X11" s="55" t="e">
        <v>#DIV/0!</v>
      </c>
      <c r="Y11" s="55" t="e">
        <v>#DIV/0!</v>
      </c>
      <c r="Z11" s="55" t="e">
        <v>#DIV/0!</v>
      </c>
      <c r="AA11" s="55" t="e">
        <v>#DIV/0!</v>
      </c>
      <c r="AB11" s="56" t="e">
        <v>#DIV/0!</v>
      </c>
      <c r="AC11" s="114" t="e">
        <v>#DIV/0!</v>
      </c>
      <c r="AD11" s="114" t="e">
        <v>#DIV/0!</v>
      </c>
      <c r="AE11" s="57" t="e">
        <f t="shared" si="1"/>
        <v>#DIV/0!</v>
      </c>
      <c r="AF11" s="57" t="e">
        <v>#DIV/0!</v>
      </c>
      <c r="AG11" s="57" t="e">
        <f t="shared" si="2"/>
        <v>#DIV/0!</v>
      </c>
      <c r="AH11" s="57" t="e">
        <v>#DIV/0!</v>
      </c>
      <c r="AI11" s="57" t="e">
        <f t="shared" si="3"/>
        <v>#DIV/0!</v>
      </c>
      <c r="AJ11" s="57" t="e">
        <v>#DIV/0!</v>
      </c>
      <c r="AL11" s="134">
        <v>6.5170000000000002E-3</v>
      </c>
    </row>
    <row r="12" spans="1:38">
      <c r="A12" s="48">
        <v>6</v>
      </c>
      <c r="B12" s="48">
        <v>7</v>
      </c>
      <c r="C12" s="49"/>
      <c r="D12" s="49"/>
      <c r="E12" s="49"/>
      <c r="F12" s="49"/>
      <c r="G12" s="49"/>
      <c r="H12" s="49"/>
      <c r="I12" s="50" t="e">
        <v>#DIV/0!</v>
      </c>
      <c r="J12" s="50" t="e">
        <v>#DIV/0!</v>
      </c>
      <c r="K12" s="50"/>
      <c r="L12" s="50" t="e">
        <v>#DIV/0!</v>
      </c>
      <c r="M12" s="50" t="e">
        <v>#DIV/0!</v>
      </c>
      <c r="N12" s="50"/>
      <c r="O12" s="17"/>
      <c r="P12" s="52" t="str">
        <f t="shared" si="0"/>
        <v>(6, 7]</v>
      </c>
      <c r="Q12" s="53" t="s">
        <v>69</v>
      </c>
      <c r="R12" s="50" t="e">
        <f t="shared" si="4"/>
        <v>#DIV/0!</v>
      </c>
      <c r="S12" s="54">
        <v>0.9</v>
      </c>
      <c r="T12" s="113">
        <v>0.12</v>
      </c>
      <c r="U12" s="113">
        <v>7.0000000000000007E-2</v>
      </c>
      <c r="V12" s="55" t="e">
        <v>#DIV/0!</v>
      </c>
      <c r="W12" s="55" t="e">
        <v>#DIV/0!</v>
      </c>
      <c r="X12" s="55" t="e">
        <v>#DIV/0!</v>
      </c>
      <c r="Y12" s="55" t="e">
        <v>#DIV/0!</v>
      </c>
      <c r="Z12" s="55" t="e">
        <v>#DIV/0!</v>
      </c>
      <c r="AA12" s="55" t="e">
        <v>#DIV/0!</v>
      </c>
      <c r="AB12" s="56" t="e">
        <v>#DIV/0!</v>
      </c>
      <c r="AC12" s="114" t="e">
        <v>#DIV/0!</v>
      </c>
      <c r="AD12" s="114" t="e">
        <v>#DIV/0!</v>
      </c>
      <c r="AE12" s="57" t="e">
        <f t="shared" si="1"/>
        <v>#DIV/0!</v>
      </c>
      <c r="AF12" s="57" t="e">
        <v>#DIV/0!</v>
      </c>
      <c r="AG12" s="57" t="e">
        <f t="shared" si="2"/>
        <v>#DIV/0!</v>
      </c>
      <c r="AH12" s="57" t="e">
        <v>#DIV/0!</v>
      </c>
      <c r="AI12" s="57" t="e">
        <f t="shared" si="3"/>
        <v>#DIV/0!</v>
      </c>
      <c r="AJ12" s="57" t="e">
        <v>#DIV/0!</v>
      </c>
      <c r="AL12" s="134">
        <v>3.5239999999999998E-3</v>
      </c>
    </row>
    <row r="13" spans="1:38">
      <c r="A13" s="48">
        <v>7</v>
      </c>
      <c r="B13" s="48">
        <v>8</v>
      </c>
      <c r="C13" s="49"/>
      <c r="D13" s="49"/>
      <c r="E13" s="49"/>
      <c r="F13" s="49"/>
      <c r="G13" s="49"/>
      <c r="H13" s="49"/>
      <c r="I13" s="50" t="e">
        <v>#DIV/0!</v>
      </c>
      <c r="J13" s="50" t="e">
        <v>#DIV/0!</v>
      </c>
      <c r="K13" s="50"/>
      <c r="L13" s="50" t="e">
        <v>#DIV/0!</v>
      </c>
      <c r="M13" s="50" t="e">
        <v>#DIV/0!</v>
      </c>
      <c r="N13" s="50"/>
      <c r="O13" s="17"/>
      <c r="P13" s="52" t="str">
        <f t="shared" si="0"/>
        <v>(7, 8]</v>
      </c>
      <c r="Q13" s="53" t="s">
        <v>69</v>
      </c>
      <c r="R13" s="50" t="e">
        <f t="shared" si="4"/>
        <v>#DIV/0!</v>
      </c>
      <c r="S13" s="54">
        <v>0.7</v>
      </c>
      <c r="T13" s="113">
        <v>0.15</v>
      </c>
      <c r="U13" s="113">
        <v>0.08</v>
      </c>
      <c r="V13" s="55" t="e">
        <v>#DIV/0!</v>
      </c>
      <c r="W13" s="55" t="e">
        <v>#DIV/0!</v>
      </c>
      <c r="X13" s="55" t="e">
        <v>#DIV/0!</v>
      </c>
      <c r="Y13" s="55" t="e">
        <v>#DIV/0!</v>
      </c>
      <c r="Z13" s="55" t="e">
        <v>#DIV/0!</v>
      </c>
      <c r="AA13" s="55" t="e">
        <v>#DIV/0!</v>
      </c>
      <c r="AB13" s="56" t="e">
        <v>#DIV/0!</v>
      </c>
      <c r="AC13" s="114" t="e">
        <v>#DIV/0!</v>
      </c>
      <c r="AD13" s="114" t="e">
        <v>#DIV/0!</v>
      </c>
      <c r="AE13" s="57" t="e">
        <f t="shared" si="1"/>
        <v>#DIV/0!</v>
      </c>
      <c r="AF13" s="57" t="e">
        <v>#DIV/0!</v>
      </c>
      <c r="AG13" s="57" t="e">
        <f t="shared" si="2"/>
        <v>#DIV/0!</v>
      </c>
      <c r="AH13" s="57" t="e">
        <v>#DIV/0!</v>
      </c>
      <c r="AI13" s="57" t="e">
        <f t="shared" si="3"/>
        <v>#DIV/0!</v>
      </c>
      <c r="AJ13" s="57" t="e">
        <v>#DIV/0!</v>
      </c>
      <c r="AL13" s="134">
        <v>3.9699999999999996E-3</v>
      </c>
    </row>
    <row r="14" spans="1:38">
      <c r="A14" s="48">
        <v>8</v>
      </c>
      <c r="B14" s="48">
        <v>9</v>
      </c>
      <c r="C14" s="49"/>
      <c r="D14" s="49"/>
      <c r="E14" s="49"/>
      <c r="F14" s="49"/>
      <c r="G14" s="49"/>
      <c r="H14" s="49"/>
      <c r="I14" s="50" t="e">
        <v>#DIV/0!</v>
      </c>
      <c r="J14" s="50" t="e">
        <v>#DIV/0!</v>
      </c>
      <c r="K14" s="50"/>
      <c r="L14" s="50" t="e">
        <v>#DIV/0!</v>
      </c>
      <c r="M14" s="50" t="e">
        <v>#DIV/0!</v>
      </c>
      <c r="N14" s="50"/>
      <c r="O14" s="17"/>
      <c r="P14" s="52" t="str">
        <f t="shared" si="0"/>
        <v>(8, 9]</v>
      </c>
      <c r="Q14" s="53" t="s">
        <v>69</v>
      </c>
      <c r="R14" s="50" t="e">
        <f t="shared" si="4"/>
        <v>#DIV/0!</v>
      </c>
      <c r="S14" s="54">
        <v>0.6</v>
      </c>
      <c r="T14" s="113">
        <v>0.12</v>
      </c>
      <c r="U14" s="113">
        <v>0.25</v>
      </c>
      <c r="V14" s="55" t="e">
        <v>#DIV/0!</v>
      </c>
      <c r="W14" s="55" t="e">
        <v>#DIV/0!</v>
      </c>
      <c r="X14" s="55" t="e">
        <v>#DIV/0!</v>
      </c>
      <c r="Y14" s="55" t="e">
        <v>#DIV/0!</v>
      </c>
      <c r="Z14" s="55" t="e">
        <v>#DIV/0!</v>
      </c>
      <c r="AA14" s="55" t="e">
        <v>#DIV/0!</v>
      </c>
      <c r="AB14" s="56" t="e">
        <v>#DIV/0!</v>
      </c>
      <c r="AC14" s="114" t="e">
        <v>#DIV/0!</v>
      </c>
      <c r="AD14" s="114" t="e">
        <v>#DIV/0!</v>
      </c>
      <c r="AE14" s="57" t="e">
        <f t="shared" si="1"/>
        <v>#DIV/0!</v>
      </c>
      <c r="AF14" s="57" t="e">
        <v>#DIV/0!</v>
      </c>
      <c r="AG14" s="57" t="e">
        <f t="shared" si="2"/>
        <v>#DIV/0!</v>
      </c>
      <c r="AH14" s="57" t="e">
        <v>#DIV/0!</v>
      </c>
      <c r="AI14" s="57" t="e">
        <f t="shared" si="3"/>
        <v>#DIV/0!</v>
      </c>
      <c r="AJ14" s="57" t="e">
        <v>#DIV/0!</v>
      </c>
      <c r="AL14" s="134">
        <v>3.2269999999999998E-3</v>
      </c>
    </row>
    <row r="15" spans="1:38">
      <c r="A15" s="48">
        <v>9</v>
      </c>
      <c r="B15" s="48">
        <v>10</v>
      </c>
      <c r="C15" s="49"/>
      <c r="D15" s="49"/>
      <c r="E15" s="49"/>
      <c r="F15" s="49"/>
      <c r="G15" s="49"/>
      <c r="H15" s="49"/>
      <c r="I15" s="50" t="e">
        <v>#DIV/0!</v>
      </c>
      <c r="J15" s="50" t="e">
        <v>#DIV/0!</v>
      </c>
      <c r="K15" s="50"/>
      <c r="L15" s="50" t="e">
        <v>#DIV/0!</v>
      </c>
      <c r="M15" s="50" t="e">
        <v>#DIV/0!</v>
      </c>
      <c r="N15" s="50"/>
      <c r="O15" s="17"/>
      <c r="P15" s="52" t="str">
        <f t="shared" si="0"/>
        <v>(9, 10]</v>
      </c>
      <c r="Q15" s="53" t="s">
        <v>69</v>
      </c>
      <c r="R15" s="50" t="e">
        <f t="shared" si="4"/>
        <v>#DIV/0!</v>
      </c>
      <c r="S15" s="54">
        <v>0.6</v>
      </c>
      <c r="T15" s="113">
        <v>0.11</v>
      </c>
      <c r="U15" s="113">
        <v>0.25</v>
      </c>
      <c r="V15" s="55" t="e">
        <v>#DIV/0!</v>
      </c>
      <c r="W15" s="55" t="e">
        <v>#DIV/0!</v>
      </c>
      <c r="X15" s="55" t="e">
        <v>#DIV/0!</v>
      </c>
      <c r="Y15" s="55" t="e">
        <v>#DIV/0!</v>
      </c>
      <c r="Z15" s="55" t="e">
        <v>#DIV/0!</v>
      </c>
      <c r="AA15" s="55" t="e">
        <v>#DIV/0!</v>
      </c>
      <c r="AB15" s="56" t="e">
        <v>#DIV/0!</v>
      </c>
      <c r="AC15" s="114" t="e">
        <v>#DIV/0!</v>
      </c>
      <c r="AD15" s="114" t="e">
        <v>#DIV/0!</v>
      </c>
      <c r="AE15" s="57" t="e">
        <f t="shared" si="1"/>
        <v>#DIV/0!</v>
      </c>
      <c r="AF15" s="57" t="e">
        <v>#DIV/0!</v>
      </c>
      <c r="AG15" s="57" t="e">
        <f t="shared" si="2"/>
        <v>#DIV/0!</v>
      </c>
      <c r="AH15" s="57" t="e">
        <v>#DIV/0!</v>
      </c>
      <c r="AI15" s="57" t="e">
        <f t="shared" si="3"/>
        <v>#DIV/0!</v>
      </c>
      <c r="AJ15" s="57" t="e">
        <v>#DIV/0!</v>
      </c>
      <c r="AL15" s="134">
        <v>2.1020000000000001E-3</v>
      </c>
    </row>
    <row r="16" spans="1:38">
      <c r="A16" s="48">
        <v>10</v>
      </c>
      <c r="B16" s="48">
        <v>15</v>
      </c>
      <c r="C16" s="49"/>
      <c r="D16" s="49"/>
      <c r="E16" s="49"/>
      <c r="F16" s="49"/>
      <c r="G16" s="49"/>
      <c r="H16" s="49"/>
      <c r="I16" s="50" t="e">
        <v>#DIV/0!</v>
      </c>
      <c r="J16" s="50" t="e">
        <v>#DIV/0!</v>
      </c>
      <c r="K16" s="50"/>
      <c r="L16" s="50" t="e">
        <v>#DIV/0!</v>
      </c>
      <c r="M16" s="50" t="e">
        <v>#DIV/0!</v>
      </c>
      <c r="N16" s="50"/>
      <c r="O16" s="17"/>
      <c r="P16" s="52" t="str">
        <f t="shared" si="0"/>
        <v>(10, 15]</v>
      </c>
      <c r="Q16" s="53" t="s">
        <v>69</v>
      </c>
      <c r="R16" s="50" t="e">
        <f t="shared" si="4"/>
        <v>#DIV/0!</v>
      </c>
      <c r="S16" s="54">
        <v>0.33200000000000002</v>
      </c>
      <c r="T16" s="113">
        <v>0.11700000000000001</v>
      </c>
      <c r="U16" s="113">
        <v>0.1043</v>
      </c>
      <c r="V16" s="55" t="e">
        <v>#DIV/0!</v>
      </c>
      <c r="W16" s="55" t="e">
        <v>#DIV/0!</v>
      </c>
      <c r="X16" s="55" t="e">
        <v>#DIV/0!</v>
      </c>
      <c r="Y16" s="55" t="e">
        <v>#DIV/0!</v>
      </c>
      <c r="Z16" s="55" t="e">
        <v>#DIV/0!</v>
      </c>
      <c r="AA16" s="55" t="e">
        <v>#DIV/0!</v>
      </c>
      <c r="AB16" s="56" t="e">
        <v>#DIV/0!</v>
      </c>
      <c r="AC16" s="114" t="e">
        <v>#DIV/0!</v>
      </c>
      <c r="AD16" s="114" t="e">
        <v>#DIV/0!</v>
      </c>
      <c r="AE16" s="57" t="e">
        <f t="shared" si="1"/>
        <v>#DIV/0!</v>
      </c>
      <c r="AF16" s="57" t="e">
        <v>#DIV/0!</v>
      </c>
      <c r="AG16" s="57" t="e">
        <f t="shared" si="2"/>
        <v>#DIV/0!</v>
      </c>
      <c r="AH16" s="57" t="e">
        <v>#DIV/0!</v>
      </c>
      <c r="AI16" s="57" t="e">
        <f t="shared" si="3"/>
        <v>#DIV/0!</v>
      </c>
      <c r="AJ16" s="57" t="e">
        <v>#DIV/0!</v>
      </c>
      <c r="AL16" s="134">
        <v>6.4320000000000002E-3</v>
      </c>
    </row>
    <row r="17" spans="1:38">
      <c r="A17" s="48">
        <v>15</v>
      </c>
      <c r="B17" s="48">
        <v>20</v>
      </c>
      <c r="C17" s="49"/>
      <c r="D17" s="49"/>
      <c r="E17" s="49"/>
      <c r="F17" s="49"/>
      <c r="G17" s="49"/>
      <c r="H17" s="49"/>
      <c r="I17" s="50" t="e">
        <v>#DIV/0!</v>
      </c>
      <c r="J17" s="50" t="e">
        <v>#DIV/0!</v>
      </c>
      <c r="K17" s="50"/>
      <c r="L17" s="50" t="e">
        <v>#DIV/0!</v>
      </c>
      <c r="M17" s="50" t="e">
        <v>#DIV/0!</v>
      </c>
      <c r="N17" s="50"/>
      <c r="O17" s="17"/>
      <c r="P17" s="52" t="str">
        <f t="shared" si="0"/>
        <v>(15, 20]</v>
      </c>
      <c r="Q17" s="53" t="s">
        <v>69</v>
      </c>
      <c r="R17" s="50" t="e">
        <f t="shared" si="4"/>
        <v>#DIV/0!</v>
      </c>
      <c r="S17" s="54">
        <v>0</v>
      </c>
      <c r="T17" s="113">
        <v>0.1</v>
      </c>
      <c r="U17" s="113">
        <v>2.8000000000000001E-2</v>
      </c>
      <c r="V17" s="55" t="e">
        <v>#DIV/0!</v>
      </c>
      <c r="W17" s="55" t="e">
        <v>#DIV/0!</v>
      </c>
      <c r="X17" s="55" t="e">
        <v>#DIV/0!</v>
      </c>
      <c r="Y17" s="55" t="e">
        <v>#DIV/0!</v>
      </c>
      <c r="Z17" s="55" t="e">
        <v>#DIV/0!</v>
      </c>
      <c r="AA17" s="55" t="e">
        <v>#DIV/0!</v>
      </c>
      <c r="AB17" s="56" t="e">
        <v>#DIV/0!</v>
      </c>
      <c r="AC17" s="114" t="e">
        <v>#DIV/0!</v>
      </c>
      <c r="AD17" s="114" t="e">
        <v>#DIV/0!</v>
      </c>
      <c r="AE17" s="57" t="e">
        <f t="shared" si="1"/>
        <v>#DIV/0!</v>
      </c>
      <c r="AF17" s="57" t="e">
        <v>#DIV/0!</v>
      </c>
      <c r="AG17" s="57" t="e">
        <f t="shared" si="2"/>
        <v>#DIV/0!</v>
      </c>
      <c r="AH17" s="57" t="e">
        <v>#DIV/0!</v>
      </c>
      <c r="AI17" s="57" t="e">
        <f t="shared" si="3"/>
        <v>#DIV/0!</v>
      </c>
      <c r="AJ17" s="57" t="e">
        <v>#DIV/0!</v>
      </c>
      <c r="AL17" s="134">
        <v>2.823E-3</v>
      </c>
    </row>
    <row r="18" spans="1:38">
      <c r="A18" s="48">
        <v>20</v>
      </c>
      <c r="B18" s="48">
        <v>25</v>
      </c>
      <c r="C18" s="49"/>
      <c r="D18" s="49"/>
      <c r="E18" s="49"/>
      <c r="F18" s="49"/>
      <c r="G18" s="49"/>
      <c r="H18" s="49"/>
      <c r="I18" s="50" t="e">
        <v>#DIV/0!</v>
      </c>
      <c r="J18" s="50" t="e">
        <v>#DIV/0!</v>
      </c>
      <c r="K18" s="50"/>
      <c r="L18" s="50" t="e">
        <v>#DIV/0!</v>
      </c>
      <c r="M18" s="50" t="e">
        <v>#DIV/0!</v>
      </c>
      <c r="N18" s="50"/>
      <c r="O18" s="17"/>
      <c r="P18" s="52" t="str">
        <f t="shared" si="0"/>
        <v>(20, 25]</v>
      </c>
      <c r="Q18" s="53" t="s">
        <v>69</v>
      </c>
      <c r="R18" s="50" t="e">
        <f t="shared" si="4"/>
        <v>#DIV/0!</v>
      </c>
      <c r="S18" s="54">
        <v>0</v>
      </c>
      <c r="T18" s="113">
        <v>0.1</v>
      </c>
      <c r="U18" s="113">
        <v>0.03</v>
      </c>
      <c r="V18" s="55" t="e">
        <v>#DIV/0!</v>
      </c>
      <c r="W18" s="55" t="e">
        <v>#DIV/0!</v>
      </c>
      <c r="X18" s="55" t="e">
        <v>#DIV/0!</v>
      </c>
      <c r="Y18" s="55" t="e">
        <v>#DIV/0!</v>
      </c>
      <c r="Z18" s="55" t="e">
        <v>#DIV/0!</v>
      </c>
      <c r="AA18" s="55" t="e">
        <v>#DIV/0!</v>
      </c>
      <c r="AB18" s="56" t="e">
        <v>#DIV/0!</v>
      </c>
      <c r="AC18" s="114" t="e">
        <v>#DIV/0!</v>
      </c>
      <c r="AD18" s="114" t="e">
        <v>#DIV/0!</v>
      </c>
      <c r="AE18" s="57" t="e">
        <f t="shared" si="1"/>
        <v>#DIV/0!</v>
      </c>
      <c r="AF18" s="57" t="e">
        <v>#DIV/0!</v>
      </c>
      <c r="AG18" s="57" t="e">
        <f t="shared" si="2"/>
        <v>#DIV/0!</v>
      </c>
      <c r="AH18" s="57" t="e">
        <v>#DIV/0!</v>
      </c>
      <c r="AI18" s="57" t="e">
        <f t="shared" si="3"/>
        <v>#DIV/0!</v>
      </c>
      <c r="AJ18" s="57" t="e">
        <v>#DIV/0!</v>
      </c>
      <c r="AL18" s="134">
        <v>1.6130000000000001E-3</v>
      </c>
    </row>
    <row r="19" spans="1:38">
      <c r="A19" s="48">
        <v>25</v>
      </c>
      <c r="B19" s="48">
        <v>30</v>
      </c>
      <c r="C19" s="49"/>
      <c r="D19" s="49"/>
      <c r="E19" s="49"/>
      <c r="F19" s="49"/>
      <c r="G19" s="49"/>
      <c r="H19" s="49"/>
      <c r="I19" s="50" t="e">
        <v>#DIV/0!</v>
      </c>
      <c r="J19" s="50" t="e">
        <v>#DIV/0!</v>
      </c>
      <c r="K19" s="50"/>
      <c r="L19" s="50" t="e">
        <v>#DIV/0!</v>
      </c>
      <c r="M19" s="50" t="e">
        <v>#DIV/0!</v>
      </c>
      <c r="N19" s="50"/>
      <c r="O19" s="17"/>
      <c r="P19" s="52" t="str">
        <f t="shared" si="0"/>
        <v>(25, 30]</v>
      </c>
      <c r="Q19" s="53" t="s">
        <v>69</v>
      </c>
      <c r="R19" s="50" t="e">
        <f t="shared" si="4"/>
        <v>#DIV/0!</v>
      </c>
      <c r="S19" s="54">
        <v>0</v>
      </c>
      <c r="T19" s="113">
        <v>9.2549999999999993E-2</v>
      </c>
      <c r="U19" s="113">
        <v>0.02</v>
      </c>
      <c r="V19" s="55" t="e">
        <v>#DIV/0!</v>
      </c>
      <c r="W19" s="55" t="e">
        <v>#DIV/0!</v>
      </c>
      <c r="X19" s="55" t="e">
        <v>#DIV/0!</v>
      </c>
      <c r="Y19" s="55" t="e">
        <v>#DIV/0!</v>
      </c>
      <c r="Z19" s="55" t="e">
        <v>#DIV/0!</v>
      </c>
      <c r="AA19" s="55" t="e">
        <v>#DIV/0!</v>
      </c>
      <c r="AB19" s="56" t="e">
        <v>#DIV/0!</v>
      </c>
      <c r="AC19" s="114" t="e">
        <v>#DIV/0!</v>
      </c>
      <c r="AD19" s="114" t="e">
        <v>#DIV/0!</v>
      </c>
      <c r="AE19" s="57" t="e">
        <f t="shared" si="1"/>
        <v>#DIV/0!</v>
      </c>
      <c r="AF19" s="57" t="e">
        <v>#DIV/0!</v>
      </c>
      <c r="AG19" s="57" t="e">
        <f t="shared" si="2"/>
        <v>#DIV/0!</v>
      </c>
      <c r="AH19" s="57" t="e">
        <v>#DIV/0!</v>
      </c>
      <c r="AI19" s="57" t="e">
        <f t="shared" si="3"/>
        <v>#DIV/0!</v>
      </c>
      <c r="AJ19" s="57" t="e">
        <v>#DIV/0!</v>
      </c>
      <c r="AL19" s="134">
        <v>1.3159999999999999E-3</v>
      </c>
    </row>
    <row r="20" spans="1:38">
      <c r="A20" s="48">
        <v>30</v>
      </c>
      <c r="B20" s="48">
        <v>35</v>
      </c>
      <c r="C20" s="49"/>
      <c r="D20" s="49"/>
      <c r="E20" s="49"/>
      <c r="F20" s="49"/>
      <c r="G20" s="49"/>
      <c r="H20" s="49"/>
      <c r="I20" s="50" t="e">
        <v>#DIV/0!</v>
      </c>
      <c r="J20" s="50" t="e">
        <v>#DIV/0!</v>
      </c>
      <c r="K20" s="50"/>
      <c r="L20" s="50" t="e">
        <v>#DIV/0!</v>
      </c>
      <c r="M20" s="50" t="e">
        <v>#DIV/0!</v>
      </c>
      <c r="N20" s="50"/>
      <c r="O20" s="17"/>
      <c r="P20" s="52" t="str">
        <f t="shared" si="0"/>
        <v>(30, 35]</v>
      </c>
      <c r="Q20" s="53" t="s">
        <v>69</v>
      </c>
      <c r="R20" s="50" t="e">
        <f t="shared" si="4"/>
        <v>#DIV/0!</v>
      </c>
      <c r="S20" s="54">
        <v>0</v>
      </c>
      <c r="T20" s="113">
        <v>0.05</v>
      </c>
      <c r="U20" s="113">
        <v>0.03</v>
      </c>
      <c r="V20" s="55" t="e">
        <v>#DIV/0!</v>
      </c>
      <c r="W20" s="55" t="e">
        <v>#DIV/0!</v>
      </c>
      <c r="X20" s="55" t="e">
        <v>#DIV/0!</v>
      </c>
      <c r="Y20" s="55" t="e">
        <v>#DIV/0!</v>
      </c>
      <c r="Z20" s="55" t="e">
        <v>#DIV/0!</v>
      </c>
      <c r="AA20" s="55" t="e">
        <v>#DIV/0!</v>
      </c>
      <c r="AB20" s="56" t="e">
        <v>#DIV/0!</v>
      </c>
      <c r="AC20" s="114" t="e">
        <v>#DIV/0!</v>
      </c>
      <c r="AD20" s="114" t="e">
        <v>#DIV/0!</v>
      </c>
      <c r="AE20" s="57" t="e">
        <f t="shared" si="1"/>
        <v>#DIV/0!</v>
      </c>
      <c r="AF20" s="57" t="e">
        <v>#DIV/0!</v>
      </c>
      <c r="AG20" s="57" t="e">
        <f t="shared" si="2"/>
        <v>#DIV/0!</v>
      </c>
      <c r="AH20" s="57" t="e">
        <v>#DIV/0!</v>
      </c>
      <c r="AI20" s="57" t="e">
        <f t="shared" si="3"/>
        <v>#DIV/0!</v>
      </c>
      <c r="AJ20" s="57" t="e">
        <v>#DIV/0!</v>
      </c>
      <c r="AL20" s="134">
        <v>6.3699999999999998E-4</v>
      </c>
    </row>
    <row r="21" spans="1:38">
      <c r="A21" s="48">
        <v>35</v>
      </c>
      <c r="B21" s="48">
        <v>40</v>
      </c>
      <c r="C21" s="49"/>
      <c r="D21" s="49"/>
      <c r="E21" s="49"/>
      <c r="F21" s="49"/>
      <c r="G21" s="49"/>
      <c r="H21" s="49"/>
      <c r="I21" s="50" t="e">
        <v>#DIV/0!</v>
      </c>
      <c r="J21" s="50" t="e">
        <v>#DIV/0!</v>
      </c>
      <c r="K21" s="50"/>
      <c r="L21" s="50" t="e">
        <v>#DIV/0!</v>
      </c>
      <c r="M21" s="50" t="e">
        <v>#DIV/0!</v>
      </c>
      <c r="N21" s="50"/>
      <c r="O21" s="17"/>
      <c r="P21" s="52" t="str">
        <f t="shared" si="0"/>
        <v>(35, 40]</v>
      </c>
      <c r="Q21" s="53" t="s">
        <v>69</v>
      </c>
      <c r="R21" s="50" t="e">
        <f t="shared" si="4"/>
        <v>#DIV/0!</v>
      </c>
      <c r="S21" s="54">
        <v>0</v>
      </c>
      <c r="T21" s="113">
        <v>0.06</v>
      </c>
      <c r="U21" s="113">
        <v>0.18</v>
      </c>
      <c r="V21" s="55" t="e">
        <v>#DIV/0!</v>
      </c>
      <c r="W21" s="55" t="e">
        <v>#DIV/0!</v>
      </c>
      <c r="X21" s="55" t="e">
        <v>#DIV/0!</v>
      </c>
      <c r="Y21" s="55" t="e">
        <v>#DIV/0!</v>
      </c>
      <c r="Z21" s="55" t="e">
        <v>#DIV/0!</v>
      </c>
      <c r="AA21" s="55" t="e">
        <v>#DIV/0!</v>
      </c>
      <c r="AB21" s="56" t="e">
        <v>#DIV/0!</v>
      </c>
      <c r="AC21" s="114" t="e">
        <v>#DIV/0!</v>
      </c>
      <c r="AD21" s="114" t="e">
        <v>#DIV/0!</v>
      </c>
      <c r="AE21" s="57" t="e">
        <f t="shared" si="1"/>
        <v>#DIV/0!</v>
      </c>
      <c r="AF21" s="57" t="e">
        <v>#DIV/0!</v>
      </c>
      <c r="AG21" s="57" t="e">
        <f t="shared" si="2"/>
        <v>#DIV/0!</v>
      </c>
      <c r="AH21" s="57" t="e">
        <v>#DIV/0!</v>
      </c>
      <c r="AI21" s="57" t="e">
        <f t="shared" si="3"/>
        <v>#DIV/0!</v>
      </c>
      <c r="AJ21" s="57" t="e">
        <v>#DIV/0!</v>
      </c>
      <c r="AL21" s="134">
        <v>4.46E-4</v>
      </c>
    </row>
    <row r="22" spans="1:38">
      <c r="A22" s="48">
        <v>40</v>
      </c>
      <c r="B22" s="48">
        <v>45</v>
      </c>
      <c r="C22" s="49"/>
      <c r="D22" s="49"/>
      <c r="E22" s="49"/>
      <c r="F22" s="49"/>
      <c r="G22" s="49"/>
      <c r="H22" s="49"/>
      <c r="I22" s="50" t="e">
        <v>#DIV/0!</v>
      </c>
      <c r="J22" s="50" t="e">
        <v>#DIV/0!</v>
      </c>
      <c r="K22" s="50"/>
      <c r="L22" s="50" t="e">
        <v>#DIV/0!</v>
      </c>
      <c r="M22" s="50" t="e">
        <v>#DIV/0!</v>
      </c>
      <c r="N22" s="50"/>
      <c r="O22" s="17"/>
      <c r="P22" s="52" t="str">
        <f t="shared" si="0"/>
        <v>(40, 45]</v>
      </c>
      <c r="Q22" s="53" t="s">
        <v>69</v>
      </c>
      <c r="R22" s="50" t="e">
        <f t="shared" si="4"/>
        <v>#DIV/0!</v>
      </c>
      <c r="S22" s="54">
        <v>0</v>
      </c>
      <c r="T22" s="113">
        <v>7.0000000000000007E-2</v>
      </c>
      <c r="U22" s="113">
        <v>0.05</v>
      </c>
      <c r="V22" s="55" t="e">
        <v>#DIV/0!</v>
      </c>
      <c r="W22" s="55" t="e">
        <v>#DIV/0!</v>
      </c>
      <c r="X22" s="55" t="e">
        <v>#DIV/0!</v>
      </c>
      <c r="Y22" s="55" t="e">
        <v>#DIV/0!</v>
      </c>
      <c r="Z22" s="55" t="e">
        <v>#DIV/0!</v>
      </c>
      <c r="AA22" s="55" t="e">
        <v>#DIV/0!</v>
      </c>
      <c r="AB22" s="56" t="e">
        <v>#DIV/0!</v>
      </c>
      <c r="AC22" s="114" t="e">
        <v>#DIV/0!</v>
      </c>
      <c r="AD22" s="114" t="e">
        <v>#DIV/0!</v>
      </c>
      <c r="AE22" s="57" t="e">
        <f t="shared" si="1"/>
        <v>#DIV/0!</v>
      </c>
      <c r="AF22" s="57" t="e">
        <v>#DIV/0!</v>
      </c>
      <c r="AG22" s="57" t="e">
        <f t="shared" si="2"/>
        <v>#DIV/0!</v>
      </c>
      <c r="AH22" s="57" t="e">
        <v>#DIV/0!</v>
      </c>
      <c r="AI22" s="57" t="e">
        <f t="shared" si="3"/>
        <v>#DIV/0!</v>
      </c>
      <c r="AJ22" s="57" t="e">
        <v>#DIV/0!</v>
      </c>
      <c r="AL22" s="134">
        <v>2.7599999999999999E-4</v>
      </c>
    </row>
    <row r="23" spans="1:38">
      <c r="A23" s="48">
        <v>45</v>
      </c>
      <c r="B23" s="48">
        <v>50</v>
      </c>
      <c r="C23" s="49"/>
      <c r="D23" s="49"/>
      <c r="E23" s="49"/>
      <c r="F23" s="49"/>
      <c r="G23" s="49"/>
      <c r="H23" s="49"/>
      <c r="I23" s="50" t="e">
        <v>#DIV/0!</v>
      </c>
      <c r="J23" s="50" t="e">
        <v>#DIV/0!</v>
      </c>
      <c r="K23" s="50"/>
      <c r="L23" s="50" t="e">
        <v>#DIV/0!</v>
      </c>
      <c r="M23" s="50" t="e">
        <v>#DIV/0!</v>
      </c>
      <c r="N23" s="50"/>
      <c r="O23" s="17"/>
      <c r="P23" s="52" t="str">
        <f t="shared" si="0"/>
        <v>(45, 50]</v>
      </c>
      <c r="Q23" s="53" t="s">
        <v>69</v>
      </c>
      <c r="R23" s="50" t="e">
        <f t="shared" si="4"/>
        <v>#DIV/0!</v>
      </c>
      <c r="S23" s="54">
        <v>0</v>
      </c>
      <c r="T23" s="113">
        <v>0.08</v>
      </c>
      <c r="U23" s="113">
        <v>0.04</v>
      </c>
      <c r="V23" s="55" t="e">
        <v>#DIV/0!</v>
      </c>
      <c r="W23" s="55" t="e">
        <v>#DIV/0!</v>
      </c>
      <c r="X23" s="55" t="e">
        <v>#DIV/0!</v>
      </c>
      <c r="Y23" s="55" t="e">
        <v>#DIV/0!</v>
      </c>
      <c r="Z23" s="55" t="e">
        <v>#DIV/0!</v>
      </c>
      <c r="AA23" s="55" t="e">
        <v>#DIV/0!</v>
      </c>
      <c r="AB23" s="56" t="e">
        <v>#DIV/0!</v>
      </c>
      <c r="AC23" s="114" t="e">
        <v>#DIV/0!</v>
      </c>
      <c r="AD23" s="114" t="e">
        <v>#DIV/0!</v>
      </c>
      <c r="AE23" s="57" t="e">
        <f t="shared" si="1"/>
        <v>#DIV/0!</v>
      </c>
      <c r="AF23" s="57" t="e">
        <v>#DIV/0!</v>
      </c>
      <c r="AG23" s="57" t="e">
        <f t="shared" si="2"/>
        <v>#DIV/0!</v>
      </c>
      <c r="AH23" s="57" t="e">
        <v>#DIV/0!</v>
      </c>
      <c r="AI23" s="57" t="e">
        <f t="shared" si="3"/>
        <v>#DIV/0!</v>
      </c>
      <c r="AJ23" s="57" t="e">
        <v>#DIV/0!</v>
      </c>
      <c r="AL23" s="134">
        <v>2.34E-4</v>
      </c>
    </row>
    <row r="24" spans="1:38">
      <c r="A24" s="48">
        <v>50</v>
      </c>
      <c r="B24" s="48">
        <v>60</v>
      </c>
      <c r="C24" s="49"/>
      <c r="D24" s="49"/>
      <c r="E24" s="49"/>
      <c r="F24" s="49"/>
      <c r="G24" s="49"/>
      <c r="H24" s="49"/>
      <c r="I24" s="50" t="e">
        <v>#DIV/0!</v>
      </c>
      <c r="J24" s="50" t="e">
        <v>#DIV/0!</v>
      </c>
      <c r="K24" s="50"/>
      <c r="L24" s="50" t="e">
        <v>#DIV/0!</v>
      </c>
      <c r="M24" s="50" t="e">
        <v>#DIV/0!</v>
      </c>
      <c r="N24" s="50"/>
      <c r="O24" s="17"/>
      <c r="P24" s="52" t="str">
        <f t="shared" si="0"/>
        <v>(50, 60]</v>
      </c>
      <c r="Q24" s="53" t="s">
        <v>69</v>
      </c>
      <c r="R24" s="50" t="e">
        <f t="shared" si="4"/>
        <v>#DIV/0!</v>
      </c>
      <c r="S24" s="54">
        <v>0</v>
      </c>
      <c r="T24" s="113">
        <v>0.04</v>
      </c>
      <c r="U24" s="113">
        <v>0.1</v>
      </c>
      <c r="V24" s="55" t="e">
        <v>#DIV/0!</v>
      </c>
      <c r="W24" s="55" t="e">
        <v>#DIV/0!</v>
      </c>
      <c r="X24" s="55" t="e">
        <v>#DIV/0!</v>
      </c>
      <c r="Y24" s="55" t="e">
        <v>#DIV/0!</v>
      </c>
      <c r="Z24" s="55" t="e">
        <v>#DIV/0!</v>
      </c>
      <c r="AA24" s="55" t="e">
        <v>#DIV/0!</v>
      </c>
      <c r="AB24" s="56" t="e">
        <v>#DIV/0!</v>
      </c>
      <c r="AC24" s="114" t="e">
        <v>#DIV/0!</v>
      </c>
      <c r="AD24" s="114" t="e">
        <v>#DIV/0!</v>
      </c>
      <c r="AE24" s="57" t="e">
        <f t="shared" si="1"/>
        <v>#DIV/0!</v>
      </c>
      <c r="AF24" s="57" t="e">
        <v>#DIV/0!</v>
      </c>
      <c r="AG24" s="57" t="e">
        <f t="shared" si="2"/>
        <v>#DIV/0!</v>
      </c>
      <c r="AH24" s="57" t="e">
        <v>#DIV/0!</v>
      </c>
      <c r="AI24" s="57" t="e">
        <f t="shared" si="3"/>
        <v>#DIV/0!</v>
      </c>
      <c r="AJ24" s="57" t="e">
        <v>#DIV/0!</v>
      </c>
      <c r="AL24" s="134">
        <v>5.0900000000000001E-4</v>
      </c>
    </row>
    <row r="25" spans="1:38">
      <c r="A25" s="48">
        <v>60</v>
      </c>
      <c r="B25" s="48">
        <v>70</v>
      </c>
      <c r="C25" s="49"/>
      <c r="D25" s="49"/>
      <c r="E25" s="49"/>
      <c r="F25" s="49"/>
      <c r="G25" s="49"/>
      <c r="H25" s="49"/>
      <c r="I25" s="50" t="e">
        <v>#DIV/0!</v>
      </c>
      <c r="J25" s="50" t="e">
        <v>#DIV/0!</v>
      </c>
      <c r="K25" s="50"/>
      <c r="L25" s="50" t="e">
        <v>#DIV/0!</v>
      </c>
      <c r="M25" s="50" t="e">
        <v>#DIV/0!</v>
      </c>
      <c r="N25" s="50"/>
      <c r="O25" s="17"/>
      <c r="P25" s="52" t="str">
        <f t="shared" si="0"/>
        <v>(60, 70]</v>
      </c>
      <c r="Q25" s="53" t="s">
        <v>69</v>
      </c>
      <c r="R25" s="50" t="e">
        <f t="shared" si="4"/>
        <v>#DIV/0!</v>
      </c>
      <c r="S25" s="54">
        <v>0</v>
      </c>
      <c r="T25" s="113" t="e">
        <f t="shared" si="5"/>
        <v>#DIV/0!</v>
      </c>
      <c r="U25" s="113">
        <v>1E-3</v>
      </c>
      <c r="V25" s="55" t="e">
        <v>#DIV/0!</v>
      </c>
      <c r="W25" s="55" t="e">
        <v>#DIV/0!</v>
      </c>
      <c r="X25" s="55" t="e">
        <v>#DIV/0!</v>
      </c>
      <c r="Y25" s="55" t="e">
        <v>#DIV/0!</v>
      </c>
      <c r="Z25" s="55" t="e">
        <v>#DIV/0!</v>
      </c>
      <c r="AA25" s="55" t="e">
        <v>#DIV/0!</v>
      </c>
      <c r="AB25" s="56" t="e">
        <v>#DIV/0!</v>
      </c>
      <c r="AC25" s="114" t="e">
        <v>#DIV/0!</v>
      </c>
      <c r="AD25" s="114" t="e">
        <v>#DIV/0!</v>
      </c>
      <c r="AE25" s="57" t="e">
        <f t="shared" si="1"/>
        <v>#DIV/0!</v>
      </c>
      <c r="AF25" s="57" t="e">
        <v>#DIV/0!</v>
      </c>
      <c r="AG25" s="57" t="e">
        <f t="shared" si="2"/>
        <v>#DIV/0!</v>
      </c>
      <c r="AH25" s="57" t="e">
        <v>#DIV/0!</v>
      </c>
      <c r="AI25" s="57" t="e">
        <f t="shared" si="3"/>
        <v>#DIV/0!</v>
      </c>
      <c r="AJ25" s="57" t="e">
        <v>#DIV/0!</v>
      </c>
      <c r="AL25" s="134">
        <v>2.9700000000000001E-4</v>
      </c>
    </row>
    <row r="26" spans="1:38">
      <c r="A26" s="48">
        <v>70</v>
      </c>
      <c r="B26" s="48">
        <v>80</v>
      </c>
      <c r="C26" s="49"/>
      <c r="D26" s="49"/>
      <c r="E26" s="49"/>
      <c r="F26" s="49"/>
      <c r="G26" s="49"/>
      <c r="H26" s="49"/>
      <c r="I26" s="50" t="e">
        <v>#DIV/0!</v>
      </c>
      <c r="J26" s="50" t="e">
        <v>#DIV/0!</v>
      </c>
      <c r="K26" s="50"/>
      <c r="L26" s="50" t="e">
        <v>#DIV/0!</v>
      </c>
      <c r="M26" s="50" t="e">
        <v>#DIV/0!</v>
      </c>
      <c r="N26" s="50"/>
      <c r="O26" s="17"/>
      <c r="P26" s="52" t="str">
        <f t="shared" si="0"/>
        <v>(70, 80]</v>
      </c>
      <c r="Q26" s="53" t="s">
        <v>69</v>
      </c>
      <c r="R26" s="50" t="e">
        <f t="shared" si="4"/>
        <v>#DIV/0!</v>
      </c>
      <c r="S26" s="54">
        <v>0</v>
      </c>
      <c r="T26" s="113" t="e">
        <f t="shared" si="5"/>
        <v>#DIV/0!</v>
      </c>
      <c r="U26" s="113">
        <v>1E-3</v>
      </c>
      <c r="V26" s="55" t="e">
        <v>#DIV/0!</v>
      </c>
      <c r="W26" s="55" t="e">
        <v>#DIV/0!</v>
      </c>
      <c r="X26" s="55" t="e">
        <v>#DIV/0!</v>
      </c>
      <c r="Y26" s="55" t="e">
        <v>#DIV/0!</v>
      </c>
      <c r="Z26" s="55" t="e">
        <v>#DIV/0!</v>
      </c>
      <c r="AA26" s="55" t="e">
        <v>#DIV/0!</v>
      </c>
      <c r="AB26" s="56" t="e">
        <v>#DIV/0!</v>
      </c>
      <c r="AC26" s="114" t="e">
        <v>#DIV/0!</v>
      </c>
      <c r="AD26" s="114" t="e">
        <v>#DIV/0!</v>
      </c>
      <c r="AE26" s="57" t="e">
        <f t="shared" si="1"/>
        <v>#DIV/0!</v>
      </c>
      <c r="AF26" s="57" t="e">
        <v>#DIV/0!</v>
      </c>
      <c r="AG26" s="57" t="e">
        <f t="shared" si="2"/>
        <v>#DIV/0!</v>
      </c>
      <c r="AH26" s="57" t="e">
        <v>#DIV/0!</v>
      </c>
      <c r="AI26" s="57" t="e">
        <f t="shared" si="3"/>
        <v>#DIV/0!</v>
      </c>
      <c r="AJ26" s="57" t="e">
        <v>#DIV/0!</v>
      </c>
      <c r="AL26" s="134">
        <v>1.06E-4</v>
      </c>
    </row>
    <row r="27" spans="1:38">
      <c r="A27" s="48">
        <v>80</v>
      </c>
      <c r="B27" s="48">
        <v>90</v>
      </c>
      <c r="C27" s="49"/>
      <c r="D27" s="49"/>
      <c r="E27" s="49"/>
      <c r="F27" s="49"/>
      <c r="G27" s="49"/>
      <c r="H27" s="49"/>
      <c r="I27" s="50" t="e">
        <v>#DIV/0!</v>
      </c>
      <c r="J27" s="50" t="e">
        <v>#DIV/0!</v>
      </c>
      <c r="K27" s="50"/>
      <c r="L27" s="50" t="e">
        <v>#DIV/0!</v>
      </c>
      <c r="M27" s="50" t="e">
        <v>#DIV/0!</v>
      </c>
      <c r="N27" s="50"/>
      <c r="O27" s="17"/>
      <c r="P27" s="52" t="str">
        <f t="shared" si="0"/>
        <v>(80, 90]</v>
      </c>
      <c r="Q27" s="53" t="s">
        <v>69</v>
      </c>
      <c r="R27" s="50" t="e">
        <f t="shared" si="4"/>
        <v>#DIV/0!</v>
      </c>
      <c r="S27" s="54">
        <v>0</v>
      </c>
      <c r="T27" s="113" t="e">
        <f t="shared" si="5"/>
        <v>#DIV/0!</v>
      </c>
      <c r="U27" s="113">
        <v>1E-3</v>
      </c>
      <c r="V27" s="55" t="e">
        <v>#DIV/0!</v>
      </c>
      <c r="W27" s="55" t="e">
        <v>#DIV/0!</v>
      </c>
      <c r="X27" s="55" t="e">
        <v>#DIV/0!</v>
      </c>
      <c r="Y27" s="55" t="e">
        <v>#DIV/0!</v>
      </c>
      <c r="Z27" s="55" t="e">
        <v>#DIV/0!</v>
      </c>
      <c r="AA27" s="55" t="e">
        <v>#DIV/0!</v>
      </c>
      <c r="AB27" s="56" t="e">
        <v>#DIV/0!</v>
      </c>
      <c r="AC27" s="114" t="e">
        <v>#DIV/0!</v>
      </c>
      <c r="AD27" s="114" t="e">
        <v>#DIV/0!</v>
      </c>
      <c r="AE27" s="57" t="e">
        <f t="shared" si="1"/>
        <v>#DIV/0!</v>
      </c>
      <c r="AF27" s="57" t="e">
        <v>#DIV/0!</v>
      </c>
      <c r="AG27" s="57" t="e">
        <f t="shared" si="2"/>
        <v>#DIV/0!</v>
      </c>
      <c r="AH27" s="57" t="e">
        <v>#DIV/0!</v>
      </c>
      <c r="AI27" s="57" t="e">
        <f t="shared" si="3"/>
        <v>#DIV/0!</v>
      </c>
      <c r="AJ27" s="57" t="e">
        <v>#DIV/0!</v>
      </c>
      <c r="AL27" s="134">
        <v>6.3999999999999997E-5</v>
      </c>
    </row>
    <row r="28" spans="1:38">
      <c r="A28" s="48">
        <v>90</v>
      </c>
      <c r="B28" s="48">
        <v>100</v>
      </c>
      <c r="C28" s="49"/>
      <c r="D28" s="49"/>
      <c r="E28" s="49"/>
      <c r="F28" s="49"/>
      <c r="G28" s="49"/>
      <c r="H28" s="49"/>
      <c r="I28" s="50" t="e">
        <v>#DIV/0!</v>
      </c>
      <c r="J28" s="50" t="e">
        <v>#DIV/0!</v>
      </c>
      <c r="K28" s="50"/>
      <c r="L28" s="50" t="e">
        <v>#DIV/0!</v>
      </c>
      <c r="M28" s="50" t="e">
        <v>#DIV/0!</v>
      </c>
      <c r="N28" s="50"/>
      <c r="O28" s="17"/>
      <c r="P28" s="52" t="str">
        <f t="shared" si="0"/>
        <v>(90, 100]</v>
      </c>
      <c r="Q28" s="53" t="s">
        <v>69</v>
      </c>
      <c r="R28" s="50" t="e">
        <f t="shared" si="4"/>
        <v>#DIV/0!</v>
      </c>
      <c r="S28" s="54">
        <v>0</v>
      </c>
      <c r="T28" s="113" t="e">
        <f t="shared" si="5"/>
        <v>#DIV/0!</v>
      </c>
      <c r="U28" s="113">
        <v>1E-3</v>
      </c>
      <c r="V28" s="55" t="e">
        <v>#DIV/0!</v>
      </c>
      <c r="W28" s="55" t="e">
        <v>#DIV/0!</v>
      </c>
      <c r="X28" s="55" t="e">
        <v>#DIV/0!</v>
      </c>
      <c r="Y28" s="55" t="e">
        <v>#DIV/0!</v>
      </c>
      <c r="Z28" s="55" t="e">
        <v>#DIV/0!</v>
      </c>
      <c r="AA28" s="55" t="e">
        <v>#DIV/0!</v>
      </c>
      <c r="AB28" s="56" t="e">
        <v>#DIV/0!</v>
      </c>
      <c r="AC28" s="114" t="e">
        <v>#DIV/0!</v>
      </c>
      <c r="AD28" s="114" t="e">
        <v>#DIV/0!</v>
      </c>
      <c r="AE28" s="57" t="e">
        <f t="shared" si="1"/>
        <v>#DIV/0!</v>
      </c>
      <c r="AF28" s="57" t="e">
        <v>#DIV/0!</v>
      </c>
      <c r="AG28" s="57" t="e">
        <f t="shared" si="2"/>
        <v>#DIV/0!</v>
      </c>
      <c r="AH28" s="57" t="e">
        <v>#DIV/0!</v>
      </c>
      <c r="AI28" s="57" t="e">
        <f t="shared" si="3"/>
        <v>#DIV/0!</v>
      </c>
      <c r="AJ28" s="57" t="e">
        <v>#DIV/0!</v>
      </c>
      <c r="AL28" s="134">
        <v>1.06E-4</v>
      </c>
    </row>
    <row r="29" spans="1:38">
      <c r="A29" s="48">
        <v>100</v>
      </c>
      <c r="B29" s="48">
        <v>120</v>
      </c>
      <c r="C29" s="49"/>
      <c r="D29" s="49"/>
      <c r="E29" s="49"/>
      <c r="F29" s="49"/>
      <c r="G29" s="49"/>
      <c r="H29" s="49"/>
      <c r="I29" s="50" t="e">
        <v>#DIV/0!</v>
      </c>
      <c r="J29" s="50" t="e">
        <v>#DIV/0!</v>
      </c>
      <c r="K29" s="50"/>
      <c r="L29" s="50" t="e">
        <v>#DIV/0!</v>
      </c>
      <c r="M29" s="50" t="e">
        <v>#DIV/0!</v>
      </c>
      <c r="N29" s="50"/>
      <c r="O29" s="17"/>
      <c r="P29" s="52" t="str">
        <f t="shared" si="0"/>
        <v>(100, 120]</v>
      </c>
      <c r="Q29" s="53" t="s">
        <v>69</v>
      </c>
      <c r="R29" s="50" t="e">
        <f t="shared" si="4"/>
        <v>#DIV/0!</v>
      </c>
      <c r="S29" s="54">
        <v>0</v>
      </c>
      <c r="T29" s="113">
        <v>0.01</v>
      </c>
      <c r="U29" s="113">
        <v>1E-3</v>
      </c>
      <c r="V29" s="55" t="e">
        <v>#DIV/0!</v>
      </c>
      <c r="W29" s="55" t="e">
        <v>#DIV/0!</v>
      </c>
      <c r="X29" s="55" t="e">
        <v>#DIV/0!</v>
      </c>
      <c r="Y29" s="55" t="e">
        <v>#DIV/0!</v>
      </c>
      <c r="Z29" s="55" t="e">
        <v>#DIV/0!</v>
      </c>
      <c r="AA29" s="55" t="e">
        <v>#DIV/0!</v>
      </c>
      <c r="AB29" s="56" t="e">
        <v>#DIV/0!</v>
      </c>
      <c r="AC29" s="114" t="e">
        <v>#DIV/0!</v>
      </c>
      <c r="AD29" s="114" t="e">
        <v>#DIV/0!</v>
      </c>
      <c r="AE29" s="57" t="e">
        <f t="shared" si="1"/>
        <v>#DIV/0!</v>
      </c>
      <c r="AF29" s="57" t="e">
        <v>#DIV/0!</v>
      </c>
      <c r="AG29" s="57" t="e">
        <f t="shared" si="2"/>
        <v>#DIV/0!</v>
      </c>
      <c r="AH29" s="57" t="e">
        <v>#DIV/0!</v>
      </c>
      <c r="AI29" s="57" t="e">
        <f t="shared" si="3"/>
        <v>#DIV/0!</v>
      </c>
      <c r="AJ29" s="57" t="e">
        <v>#DIV/0!</v>
      </c>
      <c r="AL29" s="134">
        <v>6.3999999999999997E-5</v>
      </c>
    </row>
    <row r="30" spans="1:38">
      <c r="A30" s="48">
        <v>120</v>
      </c>
      <c r="B30" s="48">
        <v>140</v>
      </c>
      <c r="C30" s="49"/>
      <c r="D30" s="49"/>
      <c r="E30" s="49"/>
      <c r="F30" s="49"/>
      <c r="G30" s="49"/>
      <c r="H30" s="49"/>
      <c r="I30" s="50" t="e">
        <v>#DIV/0!</v>
      </c>
      <c r="J30" s="50" t="e">
        <v>#DIV/0!</v>
      </c>
      <c r="K30" s="50"/>
      <c r="L30" s="50" t="e">
        <v>#DIV/0!</v>
      </c>
      <c r="M30" s="50" t="e">
        <v>#DIV/0!</v>
      </c>
      <c r="N30" s="50"/>
      <c r="O30" s="17"/>
      <c r="P30" s="52" t="str">
        <f t="shared" si="0"/>
        <v>(120, 140]</v>
      </c>
      <c r="Q30" s="53" t="s">
        <v>69</v>
      </c>
      <c r="R30" s="50" t="e">
        <f t="shared" si="4"/>
        <v>#DIV/0!</v>
      </c>
      <c r="S30" s="54">
        <v>9.9999999999999995E-7</v>
      </c>
      <c r="T30" s="113" t="e">
        <f t="shared" si="5"/>
        <v>#DIV/0!</v>
      </c>
      <c r="U30" s="113">
        <v>1E-3</v>
      </c>
      <c r="V30" s="55" t="e">
        <v>#DIV/0!</v>
      </c>
      <c r="W30" s="55" t="e">
        <v>#DIV/0!</v>
      </c>
      <c r="X30" s="55" t="e">
        <v>#DIV/0!</v>
      </c>
      <c r="Y30" s="55" t="e">
        <v>#DIV/0!</v>
      </c>
      <c r="Z30" s="55" t="e">
        <v>#DIV/0!</v>
      </c>
      <c r="AA30" s="55" t="e">
        <v>#DIV/0!</v>
      </c>
      <c r="AB30" s="56" t="e">
        <v>#DIV/0!</v>
      </c>
      <c r="AC30" s="114" t="e">
        <v>#DIV/0!</v>
      </c>
      <c r="AD30" s="114" t="e">
        <v>#DIV/0!</v>
      </c>
      <c r="AE30" s="57" t="e">
        <f t="shared" si="1"/>
        <v>#DIV/0!</v>
      </c>
      <c r="AF30" s="57" t="e">
        <v>#DIV/0!</v>
      </c>
      <c r="AG30" s="57" t="e">
        <f t="shared" si="2"/>
        <v>#DIV/0!</v>
      </c>
      <c r="AH30" s="57" t="e">
        <v>#DIV/0!</v>
      </c>
      <c r="AI30" s="57" t="e">
        <f t="shared" si="3"/>
        <v>#DIV/0!</v>
      </c>
      <c r="AJ30" s="57" t="e">
        <v>#DIV/0!</v>
      </c>
      <c r="AL30" s="134">
        <v>2.0999999999999999E-5</v>
      </c>
    </row>
    <row r="31" spans="1:38">
      <c r="A31" s="48">
        <v>140</v>
      </c>
      <c r="B31" s="48">
        <v>160</v>
      </c>
      <c r="C31" s="49"/>
      <c r="D31" s="49"/>
      <c r="E31" s="49"/>
      <c r="F31" s="49"/>
      <c r="G31" s="49"/>
      <c r="H31" s="49"/>
      <c r="I31" s="50" t="e">
        <v>#DIV/0!</v>
      </c>
      <c r="J31" s="50" t="e">
        <v>#DIV/0!</v>
      </c>
      <c r="K31" s="50"/>
      <c r="L31" s="50" t="e">
        <v>#DIV/0!</v>
      </c>
      <c r="M31" s="50" t="e">
        <v>#DIV/0!</v>
      </c>
      <c r="N31" s="50"/>
      <c r="O31" s="17"/>
      <c r="P31" s="52" t="str">
        <f t="shared" si="0"/>
        <v>(140, 160]</v>
      </c>
      <c r="Q31" s="53" t="s">
        <v>69</v>
      </c>
      <c r="R31" s="50" t="e">
        <f t="shared" si="4"/>
        <v>#DIV/0!</v>
      </c>
      <c r="S31" s="54">
        <v>0</v>
      </c>
      <c r="T31" s="54">
        <v>0</v>
      </c>
      <c r="U31" s="54">
        <v>0</v>
      </c>
      <c r="V31" s="55" t="e">
        <v>#DIV/0!</v>
      </c>
      <c r="W31" s="55" t="e">
        <v>#DIV/0!</v>
      </c>
      <c r="X31" s="55" t="e">
        <v>#DIV/0!</v>
      </c>
      <c r="Y31" s="55" t="e">
        <v>#DIV/0!</v>
      </c>
      <c r="Z31" s="55" t="e">
        <v>#DIV/0!</v>
      </c>
      <c r="AA31" s="55" t="e">
        <v>#DIV/0!</v>
      </c>
      <c r="AB31" s="56" t="e">
        <v>#DIV/0!</v>
      </c>
      <c r="AC31" s="114" t="e">
        <v>#DIV/0!</v>
      </c>
      <c r="AD31" s="114" t="e">
        <v>#DIV/0!</v>
      </c>
      <c r="AE31" s="57" t="e">
        <f t="shared" si="1"/>
        <v>#DIV/0!</v>
      </c>
      <c r="AF31" s="57" t="e">
        <v>#DIV/0!</v>
      </c>
      <c r="AG31" s="57" t="e">
        <f t="shared" si="2"/>
        <v>#DIV/0!</v>
      </c>
      <c r="AH31" s="57" t="e">
        <v>#DIV/0!</v>
      </c>
      <c r="AI31" s="57" t="e">
        <f t="shared" si="3"/>
        <v>#DIV/0!</v>
      </c>
      <c r="AJ31" s="57" t="e">
        <v>#DIV/0!</v>
      </c>
      <c r="AL31" s="134">
        <v>0</v>
      </c>
    </row>
    <row r="32" spans="1:38">
      <c r="A32" s="48">
        <v>160</v>
      </c>
      <c r="B32" s="48">
        <v>180</v>
      </c>
      <c r="C32" s="49"/>
      <c r="D32" s="49"/>
      <c r="E32" s="49"/>
      <c r="F32" s="49"/>
      <c r="G32" s="49"/>
      <c r="H32" s="49"/>
      <c r="I32" s="50" t="e">
        <v>#DIV/0!</v>
      </c>
      <c r="J32" s="50" t="e">
        <v>#DIV/0!</v>
      </c>
      <c r="K32" s="50"/>
      <c r="L32" s="50" t="e">
        <v>#DIV/0!</v>
      </c>
      <c r="M32" s="50" t="e">
        <v>#DIV/0!</v>
      </c>
      <c r="N32" s="50"/>
      <c r="O32" s="17"/>
      <c r="P32" s="52" t="str">
        <f t="shared" si="0"/>
        <v>(160, 180]</v>
      </c>
      <c r="Q32" s="53" t="s">
        <v>69</v>
      </c>
      <c r="R32" s="50" t="e">
        <f t="shared" si="4"/>
        <v>#DIV/0!</v>
      </c>
      <c r="S32" s="54">
        <v>0</v>
      </c>
      <c r="T32" s="54">
        <v>0</v>
      </c>
      <c r="U32" s="54">
        <v>0</v>
      </c>
      <c r="V32" s="55" t="e">
        <v>#DIV/0!</v>
      </c>
      <c r="W32" s="55" t="e">
        <v>#DIV/0!</v>
      </c>
      <c r="X32" s="55" t="e">
        <v>#DIV/0!</v>
      </c>
      <c r="Y32" s="55" t="e">
        <v>#DIV/0!</v>
      </c>
      <c r="Z32" s="55" t="e">
        <v>#DIV/0!</v>
      </c>
      <c r="AA32" s="55" t="e">
        <v>#DIV/0!</v>
      </c>
      <c r="AB32" s="56" t="e">
        <v>#DIV/0!</v>
      </c>
      <c r="AC32" s="114" t="e">
        <v>#DIV/0!</v>
      </c>
      <c r="AD32" s="114" t="e">
        <v>#DIV/0!</v>
      </c>
      <c r="AE32" s="57" t="e">
        <f t="shared" si="1"/>
        <v>#DIV/0!</v>
      </c>
      <c r="AF32" s="57" t="e">
        <v>#DIV/0!</v>
      </c>
      <c r="AG32" s="57" t="e">
        <f t="shared" si="2"/>
        <v>#DIV/0!</v>
      </c>
      <c r="AH32" s="57" t="e">
        <v>#DIV/0!</v>
      </c>
      <c r="AI32" s="57" t="e">
        <f t="shared" si="3"/>
        <v>#DIV/0!</v>
      </c>
      <c r="AJ32" s="57" t="e">
        <v>#DIV/0!</v>
      </c>
      <c r="AL32" s="134">
        <v>0</v>
      </c>
    </row>
    <row r="33" spans="1:38">
      <c r="A33" s="48">
        <v>180</v>
      </c>
      <c r="B33" s="48">
        <v>200</v>
      </c>
      <c r="C33" s="49"/>
      <c r="D33" s="49"/>
      <c r="E33" s="49"/>
      <c r="F33" s="49"/>
      <c r="G33" s="49"/>
      <c r="H33" s="49"/>
      <c r="I33" s="50" t="e">
        <v>#DIV/0!</v>
      </c>
      <c r="J33" s="50" t="e">
        <v>#DIV/0!</v>
      </c>
      <c r="K33" s="50"/>
      <c r="L33" s="50" t="e">
        <v>#DIV/0!</v>
      </c>
      <c r="M33" s="50" t="e">
        <v>#DIV/0!</v>
      </c>
      <c r="N33" s="50"/>
      <c r="O33" s="17"/>
      <c r="P33" s="52" t="str">
        <f t="shared" si="0"/>
        <v>(180, 200]</v>
      </c>
      <c r="Q33" s="53" t="s">
        <v>69</v>
      </c>
      <c r="R33" s="50" t="e">
        <f t="shared" si="4"/>
        <v>#DIV/0!</v>
      </c>
      <c r="S33" s="54">
        <v>0</v>
      </c>
      <c r="T33" s="54">
        <v>0</v>
      </c>
      <c r="U33" s="54">
        <v>0</v>
      </c>
      <c r="V33" s="55" t="e">
        <v>#DIV/0!</v>
      </c>
      <c r="W33" s="55" t="e">
        <v>#DIV/0!</v>
      </c>
      <c r="X33" s="55" t="e">
        <v>#DIV/0!</v>
      </c>
      <c r="Y33" s="55" t="e">
        <v>#DIV/0!</v>
      </c>
      <c r="Z33" s="55" t="e">
        <v>#DIV/0!</v>
      </c>
      <c r="AA33" s="55" t="e">
        <v>#DIV/0!</v>
      </c>
      <c r="AB33" s="56" t="e">
        <v>#DIV/0!</v>
      </c>
      <c r="AC33" s="114" t="e">
        <v>#DIV/0!</v>
      </c>
      <c r="AD33" s="114" t="e">
        <v>#DIV/0!</v>
      </c>
      <c r="AE33" s="57" t="e">
        <f t="shared" si="1"/>
        <v>#DIV/0!</v>
      </c>
      <c r="AF33" s="57" t="e">
        <v>#DIV/0!</v>
      </c>
      <c r="AG33" s="57" t="e">
        <f t="shared" si="2"/>
        <v>#DIV/0!</v>
      </c>
      <c r="AH33" s="57" t="e">
        <v>#DIV/0!</v>
      </c>
      <c r="AI33" s="57" t="e">
        <f t="shared" si="3"/>
        <v>#DIV/0!</v>
      </c>
      <c r="AJ33" s="57" t="e">
        <v>#DIV/0!</v>
      </c>
      <c r="AL33" s="134">
        <v>2.0999999999999999E-5</v>
      </c>
    </row>
    <row r="34" spans="1:38">
      <c r="A34" s="48">
        <v>200</v>
      </c>
      <c r="B34" s="48">
        <v>250</v>
      </c>
      <c r="C34" s="49"/>
      <c r="D34" s="49"/>
      <c r="E34" s="49"/>
      <c r="F34" s="49"/>
      <c r="G34" s="49"/>
      <c r="H34" s="49"/>
      <c r="I34" s="50" t="e">
        <v>#DIV/0!</v>
      </c>
      <c r="J34" s="50" t="e">
        <v>#DIV/0!</v>
      </c>
      <c r="K34" s="50"/>
      <c r="L34" s="50" t="e">
        <v>#DIV/0!</v>
      </c>
      <c r="M34" s="50" t="e">
        <v>#DIV/0!</v>
      </c>
      <c r="N34" s="50"/>
      <c r="O34" s="17"/>
      <c r="P34" s="52" t="str">
        <f t="shared" si="0"/>
        <v>(200, 250]</v>
      </c>
      <c r="Q34" s="53" t="s">
        <v>69</v>
      </c>
      <c r="R34" s="50" t="e">
        <f t="shared" si="4"/>
        <v>#DIV/0!</v>
      </c>
      <c r="S34" s="54">
        <v>0</v>
      </c>
      <c r="T34" s="54">
        <v>0</v>
      </c>
      <c r="U34" s="54">
        <v>0</v>
      </c>
      <c r="V34" s="55" t="e">
        <v>#DIV/0!</v>
      </c>
      <c r="W34" s="55" t="e">
        <v>#DIV/0!</v>
      </c>
      <c r="X34" s="55" t="e">
        <v>#DIV/0!</v>
      </c>
      <c r="Y34" s="55" t="e">
        <v>#DIV/0!</v>
      </c>
      <c r="Z34" s="55" t="e">
        <v>#DIV/0!</v>
      </c>
      <c r="AA34" s="55" t="e">
        <v>#DIV/0!</v>
      </c>
      <c r="AB34" s="56" t="e">
        <v>#DIV/0!</v>
      </c>
      <c r="AC34" s="114" t="e">
        <v>#DIV/0!</v>
      </c>
      <c r="AD34" s="114" t="e">
        <v>#DIV/0!</v>
      </c>
      <c r="AE34" s="57" t="e">
        <f t="shared" si="1"/>
        <v>#DIV/0!</v>
      </c>
      <c r="AF34" s="57" t="e">
        <v>#DIV/0!</v>
      </c>
      <c r="AG34" s="57" t="e">
        <f t="shared" si="2"/>
        <v>#DIV/0!</v>
      </c>
      <c r="AH34" s="57" t="e">
        <v>#DIV/0!</v>
      </c>
      <c r="AI34" s="57" t="e">
        <f t="shared" si="3"/>
        <v>#DIV/0!</v>
      </c>
      <c r="AJ34" s="57" t="e">
        <v>#DIV/0!</v>
      </c>
      <c r="AL34" s="134">
        <v>0</v>
      </c>
    </row>
    <row r="35" spans="1:38">
      <c r="A35" s="48">
        <v>250</v>
      </c>
      <c r="B35" s="48">
        <v>300</v>
      </c>
      <c r="C35" s="49"/>
      <c r="D35" s="49"/>
      <c r="E35" s="49"/>
      <c r="F35" s="49"/>
      <c r="G35" s="49"/>
      <c r="H35" s="49"/>
      <c r="I35" s="50" t="e">
        <v>#DIV/0!</v>
      </c>
      <c r="J35" s="50" t="e">
        <v>#DIV/0!</v>
      </c>
      <c r="K35" s="50"/>
      <c r="L35" s="50" t="e">
        <v>#DIV/0!</v>
      </c>
      <c r="M35" s="50" t="e">
        <v>#DIV/0!</v>
      </c>
      <c r="N35" s="50"/>
      <c r="O35" s="17"/>
      <c r="P35" s="52" t="str">
        <f t="shared" si="0"/>
        <v>(250, 300]</v>
      </c>
      <c r="Q35" s="53" t="s">
        <v>69</v>
      </c>
      <c r="R35" s="50" t="e">
        <f t="shared" si="4"/>
        <v>#DIV/0!</v>
      </c>
      <c r="S35" s="54">
        <v>0</v>
      </c>
      <c r="T35" s="54">
        <v>0</v>
      </c>
      <c r="U35" s="54">
        <v>0</v>
      </c>
      <c r="V35" s="55" t="e">
        <v>#DIV/0!</v>
      </c>
      <c r="W35" s="55" t="e">
        <v>#DIV/0!</v>
      </c>
      <c r="X35" s="55" t="e">
        <v>#DIV/0!</v>
      </c>
      <c r="Y35" s="55" t="e">
        <v>#DIV/0!</v>
      </c>
      <c r="Z35" s="55" t="e">
        <v>#DIV/0!</v>
      </c>
      <c r="AA35" s="55" t="e">
        <v>#DIV/0!</v>
      </c>
      <c r="AB35" s="56" t="e">
        <v>#DIV/0!</v>
      </c>
      <c r="AC35" s="114" t="e">
        <v>#DIV/0!</v>
      </c>
      <c r="AD35" s="114" t="e">
        <v>#DIV/0!</v>
      </c>
      <c r="AE35" s="57" t="e">
        <f t="shared" si="1"/>
        <v>#DIV/0!</v>
      </c>
      <c r="AF35" s="57" t="e">
        <v>#DIV/0!</v>
      </c>
      <c r="AG35" s="57" t="e">
        <f t="shared" si="2"/>
        <v>#DIV/0!</v>
      </c>
      <c r="AH35" s="57" t="e">
        <v>#DIV/0!</v>
      </c>
      <c r="AI35" s="57" t="e">
        <f t="shared" si="3"/>
        <v>#DIV/0!</v>
      </c>
      <c r="AJ35" s="57" t="e">
        <v>#DIV/0!</v>
      </c>
      <c r="AL35" s="134">
        <v>0</v>
      </c>
    </row>
    <row r="36" spans="1:38">
      <c r="A36" s="48">
        <v>300</v>
      </c>
      <c r="B36" s="48">
        <v>350</v>
      </c>
      <c r="C36" s="49"/>
      <c r="D36" s="49"/>
      <c r="E36" s="49"/>
      <c r="F36" s="49"/>
      <c r="G36" s="49"/>
      <c r="H36" s="49"/>
      <c r="I36" s="50" t="e">
        <v>#DIV/0!</v>
      </c>
      <c r="J36" s="50" t="e">
        <v>#DIV/0!</v>
      </c>
      <c r="K36" s="50"/>
      <c r="L36" s="50" t="e">
        <v>#DIV/0!</v>
      </c>
      <c r="M36" s="50" t="e">
        <v>#DIV/0!</v>
      </c>
      <c r="N36" s="50"/>
      <c r="O36" s="17"/>
      <c r="P36" s="52" t="str">
        <f t="shared" si="0"/>
        <v>(300, 350]</v>
      </c>
      <c r="Q36" s="53" t="s">
        <v>69</v>
      </c>
      <c r="R36" s="50" t="e">
        <f t="shared" si="4"/>
        <v>#DIV/0!</v>
      </c>
      <c r="S36" s="54">
        <v>0</v>
      </c>
      <c r="T36" s="54">
        <v>0</v>
      </c>
      <c r="U36" s="54">
        <v>0</v>
      </c>
      <c r="V36" s="55" t="e">
        <v>#DIV/0!</v>
      </c>
      <c r="W36" s="55" t="e">
        <v>#DIV/0!</v>
      </c>
      <c r="X36" s="55" t="e">
        <v>#DIV/0!</v>
      </c>
      <c r="Y36" s="55" t="e">
        <v>#DIV/0!</v>
      </c>
      <c r="Z36" s="55" t="e">
        <v>#DIV/0!</v>
      </c>
      <c r="AA36" s="55" t="e">
        <v>#DIV/0!</v>
      </c>
      <c r="AB36" s="56" t="e">
        <v>#DIV/0!</v>
      </c>
      <c r="AC36" s="114" t="e">
        <v>#DIV/0!</v>
      </c>
      <c r="AD36" s="114" t="e">
        <v>#DIV/0!</v>
      </c>
      <c r="AE36" s="57" t="e">
        <f t="shared" si="1"/>
        <v>#DIV/0!</v>
      </c>
      <c r="AF36" s="57" t="e">
        <v>#DIV/0!</v>
      </c>
      <c r="AG36" s="57" t="e">
        <f t="shared" si="2"/>
        <v>#DIV/0!</v>
      </c>
      <c r="AH36" s="57" t="e">
        <v>#DIV/0!</v>
      </c>
      <c r="AI36" s="57" t="e">
        <f t="shared" si="3"/>
        <v>#DIV/0!</v>
      </c>
      <c r="AJ36" s="57" t="e">
        <v>#DIV/0!</v>
      </c>
      <c r="AL36" s="134">
        <v>0</v>
      </c>
    </row>
    <row r="37" spans="1:38">
      <c r="A37" s="48">
        <v>350</v>
      </c>
      <c r="B37" s="48">
        <v>400</v>
      </c>
      <c r="C37" s="49"/>
      <c r="D37" s="49"/>
      <c r="E37" s="49"/>
      <c r="F37" s="49"/>
      <c r="G37" s="49"/>
      <c r="H37" s="49"/>
      <c r="I37" s="50" t="e">
        <v>#DIV/0!</v>
      </c>
      <c r="J37" s="50" t="e">
        <v>#DIV/0!</v>
      </c>
      <c r="K37" s="50"/>
      <c r="L37" s="50" t="e">
        <v>#DIV/0!</v>
      </c>
      <c r="M37" s="50" t="e">
        <v>#DIV/0!</v>
      </c>
      <c r="N37" s="50"/>
      <c r="O37" s="17"/>
      <c r="P37" s="52" t="str">
        <f t="shared" si="0"/>
        <v>(350, 400]</v>
      </c>
      <c r="Q37" s="53" t="s">
        <v>69</v>
      </c>
      <c r="R37" s="50" t="e">
        <f t="shared" si="4"/>
        <v>#DIV/0!</v>
      </c>
      <c r="S37" s="54">
        <v>0</v>
      </c>
      <c r="T37" s="54">
        <v>0</v>
      </c>
      <c r="U37" s="54">
        <v>0</v>
      </c>
      <c r="V37" s="55" t="e">
        <v>#DIV/0!</v>
      </c>
      <c r="W37" s="55" t="e">
        <v>#DIV/0!</v>
      </c>
      <c r="X37" s="55" t="e">
        <v>#DIV/0!</v>
      </c>
      <c r="Y37" s="55" t="e">
        <v>#DIV/0!</v>
      </c>
      <c r="Z37" s="55" t="e">
        <v>#DIV/0!</v>
      </c>
      <c r="AA37" s="55" t="e">
        <v>#DIV/0!</v>
      </c>
      <c r="AB37" s="56" t="e">
        <v>#DIV/0!</v>
      </c>
      <c r="AC37" s="114" t="e">
        <v>#DIV/0!</v>
      </c>
      <c r="AD37" s="114" t="e">
        <v>#DIV/0!</v>
      </c>
      <c r="AE37" s="57" t="e">
        <f t="shared" si="1"/>
        <v>#DIV/0!</v>
      </c>
      <c r="AF37" s="57" t="e">
        <v>#DIV/0!</v>
      </c>
      <c r="AG37" s="57" t="e">
        <f t="shared" si="2"/>
        <v>#DIV/0!</v>
      </c>
      <c r="AH37" s="57" t="e">
        <v>#DIV/0!</v>
      </c>
      <c r="AI37" s="57" t="e">
        <f t="shared" si="3"/>
        <v>#DIV/0!</v>
      </c>
      <c r="AJ37" s="57" t="e">
        <v>#DIV/0!</v>
      </c>
      <c r="AL37" s="134">
        <v>0</v>
      </c>
    </row>
    <row r="38" spans="1:38">
      <c r="A38" s="48">
        <v>400</v>
      </c>
      <c r="B38" s="48">
        <v>450</v>
      </c>
      <c r="C38" s="49"/>
      <c r="D38" s="49"/>
      <c r="E38" s="49"/>
      <c r="F38" s="49"/>
      <c r="G38" s="49"/>
      <c r="H38" s="49"/>
      <c r="I38" s="50" t="e">
        <v>#DIV/0!</v>
      </c>
      <c r="J38" s="50" t="e">
        <v>#DIV/0!</v>
      </c>
      <c r="K38" s="50"/>
      <c r="L38" s="50" t="e">
        <v>#DIV/0!</v>
      </c>
      <c r="M38" s="50" t="e">
        <v>#DIV/0!</v>
      </c>
      <c r="N38" s="50"/>
      <c r="O38" s="17"/>
      <c r="P38" s="52" t="str">
        <f t="shared" si="0"/>
        <v>(400, 450]</v>
      </c>
      <c r="Q38" s="53" t="s">
        <v>69</v>
      </c>
      <c r="R38" s="50" t="e">
        <f t="shared" si="4"/>
        <v>#DIV/0!</v>
      </c>
      <c r="S38" s="54">
        <v>0</v>
      </c>
      <c r="T38" s="54"/>
      <c r="U38" s="54">
        <v>0</v>
      </c>
      <c r="V38" s="55" t="e">
        <v>#DIV/0!</v>
      </c>
      <c r="W38" s="55" t="e">
        <v>#DIV/0!</v>
      </c>
      <c r="X38" s="55" t="e">
        <v>#DIV/0!</v>
      </c>
      <c r="Y38" s="55" t="e">
        <v>#DIV/0!</v>
      </c>
      <c r="Z38" s="55" t="e">
        <v>#DIV/0!</v>
      </c>
      <c r="AA38" s="55" t="e">
        <v>#DIV/0!</v>
      </c>
      <c r="AB38" s="56" t="e">
        <v>#DIV/0!</v>
      </c>
      <c r="AC38" s="114" t="e">
        <v>#DIV/0!</v>
      </c>
      <c r="AD38" s="114" t="e">
        <v>#DIV/0!</v>
      </c>
      <c r="AE38" s="57" t="e">
        <f t="shared" si="1"/>
        <v>#DIV/0!</v>
      </c>
      <c r="AF38" s="57" t="e">
        <v>#DIV/0!</v>
      </c>
      <c r="AG38" s="57" t="e">
        <f t="shared" si="2"/>
        <v>#DIV/0!</v>
      </c>
      <c r="AH38" s="57" t="e">
        <v>#DIV/0!</v>
      </c>
      <c r="AI38" s="57" t="e">
        <f t="shared" si="3"/>
        <v>#DIV/0!</v>
      </c>
      <c r="AJ38" s="57" t="e">
        <v>#DIV/0!</v>
      </c>
      <c r="AL38" s="134">
        <v>0</v>
      </c>
    </row>
    <row r="39" spans="1:38">
      <c r="A39" s="48">
        <v>450</v>
      </c>
      <c r="B39" s="48">
        <v>500</v>
      </c>
      <c r="C39" s="49"/>
      <c r="D39" s="49"/>
      <c r="E39" s="49"/>
      <c r="F39" s="49"/>
      <c r="G39" s="49"/>
      <c r="H39" s="49"/>
      <c r="I39" s="50" t="e">
        <v>#DIV/0!</v>
      </c>
      <c r="J39" s="50" t="e">
        <v>#DIV/0!</v>
      </c>
      <c r="K39" s="50"/>
      <c r="L39" s="50" t="e">
        <v>#DIV/0!</v>
      </c>
      <c r="M39" s="50" t="e">
        <v>#DIV/0!</v>
      </c>
      <c r="N39" s="50"/>
      <c r="O39" s="17"/>
      <c r="P39" s="52" t="str">
        <f t="shared" si="0"/>
        <v>(450, 500]</v>
      </c>
      <c r="Q39" s="53" t="s">
        <v>69</v>
      </c>
      <c r="R39" s="50" t="e">
        <f t="shared" si="4"/>
        <v>#DIV/0!</v>
      </c>
      <c r="S39" s="54">
        <v>0</v>
      </c>
      <c r="T39" s="54"/>
      <c r="U39" s="54">
        <v>0</v>
      </c>
      <c r="V39" s="55" t="e">
        <v>#DIV/0!</v>
      </c>
      <c r="W39" s="55" t="e">
        <v>#DIV/0!</v>
      </c>
      <c r="X39" s="55" t="e">
        <v>#DIV/0!</v>
      </c>
      <c r="Y39" s="55" t="e">
        <v>#DIV/0!</v>
      </c>
      <c r="Z39" s="55" t="e">
        <v>#DIV/0!</v>
      </c>
      <c r="AA39" s="55" t="e">
        <v>#DIV/0!</v>
      </c>
      <c r="AB39" s="56" t="e">
        <v>#DIV/0!</v>
      </c>
      <c r="AC39" s="114" t="e">
        <v>#DIV/0!</v>
      </c>
      <c r="AD39" s="114" t="e">
        <v>#DIV/0!</v>
      </c>
      <c r="AE39" s="57" t="e">
        <f t="shared" si="1"/>
        <v>#DIV/0!</v>
      </c>
      <c r="AF39" s="57" t="e">
        <v>#DIV/0!</v>
      </c>
      <c r="AG39" s="57" t="e">
        <f t="shared" si="2"/>
        <v>#DIV/0!</v>
      </c>
      <c r="AH39" s="57" t="e">
        <v>#DIV/0!</v>
      </c>
      <c r="AI39" s="57" t="e">
        <f t="shared" si="3"/>
        <v>#DIV/0!</v>
      </c>
      <c r="AJ39" s="57" t="e">
        <v>#DIV/0!</v>
      </c>
      <c r="AL39" s="134">
        <v>0</v>
      </c>
    </row>
    <row r="40" spans="1:38">
      <c r="A40" s="48">
        <v>500</v>
      </c>
      <c r="B40" s="48">
        <v>550</v>
      </c>
      <c r="C40" s="49"/>
      <c r="D40" s="49"/>
      <c r="E40" s="49"/>
      <c r="F40" s="49"/>
      <c r="G40" s="49"/>
      <c r="H40" s="49"/>
      <c r="I40" s="50" t="e">
        <v>#DIV/0!</v>
      </c>
      <c r="J40" s="50" t="e">
        <v>#DIV/0!</v>
      </c>
      <c r="K40" s="50"/>
      <c r="L40" s="50" t="e">
        <v>#DIV/0!</v>
      </c>
      <c r="M40" s="50" t="e">
        <v>#DIV/0!</v>
      </c>
      <c r="N40" s="50"/>
      <c r="O40" s="17"/>
      <c r="P40" s="52" t="str">
        <f t="shared" si="0"/>
        <v>(500, 550]</v>
      </c>
      <c r="Q40" s="53" t="s">
        <v>69</v>
      </c>
      <c r="R40" s="50" t="e">
        <f t="shared" si="4"/>
        <v>#DIV/0!</v>
      </c>
      <c r="S40" s="54">
        <v>0</v>
      </c>
      <c r="T40" s="54"/>
      <c r="U40" s="54">
        <v>0</v>
      </c>
      <c r="V40" s="55" t="e">
        <v>#DIV/0!</v>
      </c>
      <c r="W40" s="55" t="e">
        <v>#DIV/0!</v>
      </c>
      <c r="X40" s="55" t="e">
        <v>#DIV/0!</v>
      </c>
      <c r="Y40" s="55" t="e">
        <v>#DIV/0!</v>
      </c>
      <c r="Z40" s="55" t="e">
        <v>#DIV/0!</v>
      </c>
      <c r="AA40" s="55" t="e">
        <v>#DIV/0!</v>
      </c>
      <c r="AB40" s="56" t="e">
        <v>#DIV/0!</v>
      </c>
      <c r="AC40" s="114" t="e">
        <v>#DIV/0!</v>
      </c>
      <c r="AD40" s="114" t="e">
        <v>#DIV/0!</v>
      </c>
      <c r="AE40" s="57" t="e">
        <f t="shared" si="1"/>
        <v>#DIV/0!</v>
      </c>
      <c r="AF40" s="57" t="e">
        <v>#DIV/0!</v>
      </c>
      <c r="AG40" s="57" t="e">
        <f t="shared" si="2"/>
        <v>#DIV/0!</v>
      </c>
      <c r="AH40" s="57" t="e">
        <v>#DIV/0!</v>
      </c>
      <c r="AI40" s="57" t="e">
        <f t="shared" si="3"/>
        <v>#DIV/0!</v>
      </c>
      <c r="AJ40" s="57" t="e">
        <v>#DIV/0!</v>
      </c>
      <c r="AL40" s="134">
        <v>0</v>
      </c>
    </row>
    <row r="41" spans="1:38">
      <c r="A41" s="48">
        <v>550</v>
      </c>
      <c r="B41" s="48">
        <v>600</v>
      </c>
      <c r="C41" s="49"/>
      <c r="D41" s="49"/>
      <c r="E41" s="49"/>
      <c r="F41" s="49"/>
      <c r="G41" s="49"/>
      <c r="H41" s="49"/>
      <c r="I41" s="50" t="e">
        <v>#DIV/0!</v>
      </c>
      <c r="J41" s="50" t="e">
        <v>#DIV/0!</v>
      </c>
      <c r="K41" s="50"/>
      <c r="L41" s="50" t="e">
        <v>#DIV/0!</v>
      </c>
      <c r="M41" s="50" t="e">
        <v>#DIV/0!</v>
      </c>
      <c r="N41" s="50"/>
      <c r="O41" s="17"/>
      <c r="P41" s="52" t="str">
        <f t="shared" si="0"/>
        <v>(550, 600]</v>
      </c>
      <c r="Q41" s="53" t="s">
        <v>69</v>
      </c>
      <c r="R41" s="50" t="e">
        <f t="shared" si="4"/>
        <v>#DIV/0!</v>
      </c>
      <c r="S41" s="54">
        <v>0</v>
      </c>
      <c r="T41" s="54"/>
      <c r="U41" s="54">
        <v>0</v>
      </c>
      <c r="V41" s="55" t="e">
        <v>#DIV/0!</v>
      </c>
      <c r="W41" s="55" t="e">
        <v>#DIV/0!</v>
      </c>
      <c r="X41" s="55" t="e">
        <v>#DIV/0!</v>
      </c>
      <c r="Y41" s="55" t="e">
        <v>#DIV/0!</v>
      </c>
      <c r="Z41" s="55" t="e">
        <v>#DIV/0!</v>
      </c>
      <c r="AA41" s="55" t="e">
        <v>#DIV/0!</v>
      </c>
      <c r="AB41" s="56" t="e">
        <v>#DIV/0!</v>
      </c>
      <c r="AC41" s="114" t="e">
        <v>#DIV/0!</v>
      </c>
      <c r="AD41" s="114" t="e">
        <v>#DIV/0!</v>
      </c>
      <c r="AE41" s="57" t="e">
        <f t="shared" si="1"/>
        <v>#DIV/0!</v>
      </c>
      <c r="AF41" s="57" t="e">
        <v>#DIV/0!</v>
      </c>
      <c r="AG41" s="57" t="e">
        <f t="shared" si="2"/>
        <v>#DIV/0!</v>
      </c>
      <c r="AH41" s="57" t="e">
        <v>#DIV/0!</v>
      </c>
      <c r="AI41" s="57" t="e">
        <f t="shared" si="3"/>
        <v>#DIV/0!</v>
      </c>
      <c r="AJ41" s="57" t="e">
        <v>#DIV/0!</v>
      </c>
      <c r="AL41" s="134">
        <v>0</v>
      </c>
    </row>
    <row r="42" spans="1:38">
      <c r="A42" s="48">
        <v>600</v>
      </c>
      <c r="B42" s="48">
        <v>650</v>
      </c>
      <c r="C42" s="49"/>
      <c r="D42" s="49"/>
      <c r="E42" s="49"/>
      <c r="F42" s="49"/>
      <c r="G42" s="49"/>
      <c r="H42" s="49"/>
      <c r="I42" s="50" t="e">
        <v>#DIV/0!</v>
      </c>
      <c r="J42" s="50" t="e">
        <v>#DIV/0!</v>
      </c>
      <c r="K42" s="50"/>
      <c r="L42" s="50" t="e">
        <v>#DIV/0!</v>
      </c>
      <c r="M42" s="50" t="e">
        <v>#DIV/0!</v>
      </c>
      <c r="N42" s="50"/>
      <c r="O42" s="17"/>
      <c r="P42" s="52" t="str">
        <f t="shared" si="0"/>
        <v>(600, 650]</v>
      </c>
      <c r="Q42" s="53" t="s">
        <v>69</v>
      </c>
      <c r="R42" s="50" t="e">
        <f t="shared" si="4"/>
        <v>#DIV/0!</v>
      </c>
      <c r="S42" s="54">
        <v>0</v>
      </c>
      <c r="T42" s="54"/>
      <c r="U42" s="54">
        <v>0</v>
      </c>
      <c r="V42" s="55" t="e">
        <v>#DIV/0!</v>
      </c>
      <c r="W42" s="55" t="e">
        <v>#DIV/0!</v>
      </c>
      <c r="X42" s="55" t="e">
        <v>#DIV/0!</v>
      </c>
      <c r="Y42" s="55" t="e">
        <v>#DIV/0!</v>
      </c>
      <c r="Z42" s="55" t="e">
        <v>#DIV/0!</v>
      </c>
      <c r="AA42" s="55" t="e">
        <v>#DIV/0!</v>
      </c>
      <c r="AB42" s="56" t="e">
        <v>#DIV/0!</v>
      </c>
      <c r="AC42" s="114" t="e">
        <v>#DIV/0!</v>
      </c>
      <c r="AD42" s="114" t="e">
        <v>#DIV/0!</v>
      </c>
      <c r="AE42" s="57" t="e">
        <f t="shared" si="1"/>
        <v>#DIV/0!</v>
      </c>
      <c r="AF42" s="57" t="e">
        <v>#DIV/0!</v>
      </c>
      <c r="AG42" s="57" t="e">
        <f t="shared" si="2"/>
        <v>#DIV/0!</v>
      </c>
      <c r="AH42" s="57" t="e">
        <v>#DIV/0!</v>
      </c>
      <c r="AI42" s="57" t="e">
        <f t="shared" si="3"/>
        <v>#DIV/0!</v>
      </c>
      <c r="AJ42" s="57" t="e">
        <v>#DIV/0!</v>
      </c>
      <c r="AL42" s="134">
        <v>0</v>
      </c>
    </row>
    <row r="43" spans="1:38">
      <c r="A43" s="48">
        <v>650</v>
      </c>
      <c r="B43" s="48">
        <v>700</v>
      </c>
      <c r="C43" s="49"/>
      <c r="D43" s="49"/>
      <c r="E43" s="49"/>
      <c r="F43" s="49"/>
      <c r="G43" s="49"/>
      <c r="H43" s="49"/>
      <c r="I43" s="50" t="e">
        <v>#DIV/0!</v>
      </c>
      <c r="J43" s="50" t="e">
        <v>#DIV/0!</v>
      </c>
      <c r="K43" s="50"/>
      <c r="L43" s="50" t="e">
        <v>#DIV/0!</v>
      </c>
      <c r="M43" s="50" t="e">
        <v>#DIV/0!</v>
      </c>
      <c r="N43" s="50"/>
      <c r="O43" s="17"/>
      <c r="P43" s="52" t="str">
        <f t="shared" si="0"/>
        <v>(650, 700]</v>
      </c>
      <c r="Q43" s="53" t="s">
        <v>69</v>
      </c>
      <c r="R43" s="50" t="e">
        <f t="shared" si="4"/>
        <v>#DIV/0!</v>
      </c>
      <c r="S43" s="54">
        <v>0</v>
      </c>
      <c r="T43" s="54"/>
      <c r="U43" s="54">
        <v>0</v>
      </c>
      <c r="V43" s="55" t="e">
        <v>#DIV/0!</v>
      </c>
      <c r="W43" s="55" t="e">
        <v>#DIV/0!</v>
      </c>
      <c r="X43" s="55" t="e">
        <v>#DIV/0!</v>
      </c>
      <c r="Y43" s="55" t="e">
        <v>#DIV/0!</v>
      </c>
      <c r="Z43" s="55" t="e">
        <v>#DIV/0!</v>
      </c>
      <c r="AA43" s="55" t="e">
        <v>#DIV/0!</v>
      </c>
      <c r="AB43" s="56" t="e">
        <v>#DIV/0!</v>
      </c>
      <c r="AC43" s="114" t="e">
        <v>#DIV/0!</v>
      </c>
      <c r="AD43" s="114" t="e">
        <v>#DIV/0!</v>
      </c>
      <c r="AE43" s="57" t="e">
        <f t="shared" si="1"/>
        <v>#DIV/0!</v>
      </c>
      <c r="AF43" s="57" t="e">
        <v>#DIV/0!</v>
      </c>
      <c r="AG43" s="57" t="e">
        <f t="shared" si="2"/>
        <v>#DIV/0!</v>
      </c>
      <c r="AH43" s="57" t="e">
        <v>#DIV/0!</v>
      </c>
      <c r="AI43" s="57" t="e">
        <f t="shared" si="3"/>
        <v>#DIV/0!</v>
      </c>
      <c r="AJ43" s="57" t="e">
        <v>#DIV/0!</v>
      </c>
      <c r="AL43" s="134">
        <v>0</v>
      </c>
    </row>
    <row r="44" spans="1:38">
      <c r="A44" s="48">
        <v>700</v>
      </c>
      <c r="B44" s="48">
        <v>750</v>
      </c>
      <c r="C44" s="49"/>
      <c r="D44" s="49"/>
      <c r="E44" s="49"/>
      <c r="F44" s="49"/>
      <c r="G44" s="49"/>
      <c r="H44" s="49"/>
      <c r="I44" s="50" t="e">
        <v>#DIV/0!</v>
      </c>
      <c r="J44" s="50" t="e">
        <v>#DIV/0!</v>
      </c>
      <c r="K44" s="50"/>
      <c r="L44" s="50" t="e">
        <v>#DIV/0!</v>
      </c>
      <c r="M44" s="50" t="e">
        <v>#DIV/0!</v>
      </c>
      <c r="N44" s="50"/>
      <c r="O44" s="17"/>
      <c r="P44" s="52" t="str">
        <f t="shared" si="0"/>
        <v>(700, 750]</v>
      </c>
      <c r="Q44" s="53" t="s">
        <v>69</v>
      </c>
      <c r="R44" s="50" t="e">
        <f t="shared" si="4"/>
        <v>#DIV/0!</v>
      </c>
      <c r="S44" s="54">
        <v>0</v>
      </c>
      <c r="T44" s="54"/>
      <c r="U44" s="54">
        <v>0</v>
      </c>
      <c r="V44" s="55" t="e">
        <v>#DIV/0!</v>
      </c>
      <c r="W44" s="55" t="e">
        <v>#DIV/0!</v>
      </c>
      <c r="X44" s="55" t="e">
        <v>#DIV/0!</v>
      </c>
      <c r="Y44" s="55" t="e">
        <v>#DIV/0!</v>
      </c>
      <c r="Z44" s="55" t="e">
        <v>#DIV/0!</v>
      </c>
      <c r="AA44" s="55" t="e">
        <v>#DIV/0!</v>
      </c>
      <c r="AB44" s="56" t="e">
        <v>#DIV/0!</v>
      </c>
      <c r="AC44" s="114" t="e">
        <v>#DIV/0!</v>
      </c>
      <c r="AD44" s="114" t="e">
        <v>#DIV/0!</v>
      </c>
      <c r="AE44" s="57" t="e">
        <f t="shared" si="1"/>
        <v>#DIV/0!</v>
      </c>
      <c r="AF44" s="57" t="e">
        <v>#DIV/0!</v>
      </c>
      <c r="AG44" s="57" t="e">
        <f t="shared" si="2"/>
        <v>#DIV/0!</v>
      </c>
      <c r="AH44" s="57" t="e">
        <v>#DIV/0!</v>
      </c>
      <c r="AI44" s="57" t="e">
        <f t="shared" si="3"/>
        <v>#DIV/0!</v>
      </c>
      <c r="AJ44" s="57" t="e">
        <v>#DIV/0!</v>
      </c>
      <c r="AL44" s="134">
        <v>0</v>
      </c>
    </row>
    <row r="45" spans="1:38">
      <c r="A45" s="48">
        <v>750</v>
      </c>
      <c r="B45" s="48">
        <v>800</v>
      </c>
      <c r="C45" s="49"/>
      <c r="D45" s="49"/>
      <c r="E45" s="49"/>
      <c r="F45" s="49"/>
      <c r="G45" s="49"/>
      <c r="H45" s="49"/>
      <c r="I45" s="50" t="e">
        <v>#DIV/0!</v>
      </c>
      <c r="J45" s="50" t="e">
        <v>#DIV/0!</v>
      </c>
      <c r="K45" s="50"/>
      <c r="L45" s="50" t="e">
        <v>#DIV/0!</v>
      </c>
      <c r="M45" s="50" t="e">
        <v>#DIV/0!</v>
      </c>
      <c r="N45" s="50"/>
      <c r="O45" s="17"/>
      <c r="P45" s="52" t="str">
        <f t="shared" si="0"/>
        <v>(750, 800]</v>
      </c>
      <c r="Q45" s="53" t="s">
        <v>69</v>
      </c>
      <c r="R45" s="50" t="e">
        <f t="shared" si="4"/>
        <v>#DIV/0!</v>
      </c>
      <c r="S45" s="54">
        <v>0</v>
      </c>
      <c r="T45" s="54"/>
      <c r="U45" s="54">
        <v>0</v>
      </c>
      <c r="V45" s="55" t="e">
        <v>#DIV/0!</v>
      </c>
      <c r="W45" s="55" t="e">
        <v>#DIV/0!</v>
      </c>
      <c r="X45" s="55" t="e">
        <v>#DIV/0!</v>
      </c>
      <c r="Y45" s="55" t="e">
        <v>#DIV/0!</v>
      </c>
      <c r="Z45" s="55" t="e">
        <v>#DIV/0!</v>
      </c>
      <c r="AA45" s="55" t="e">
        <v>#DIV/0!</v>
      </c>
      <c r="AB45" s="56" t="e">
        <v>#DIV/0!</v>
      </c>
      <c r="AC45" s="114" t="e">
        <v>#DIV/0!</v>
      </c>
      <c r="AD45" s="114" t="e">
        <v>#DIV/0!</v>
      </c>
      <c r="AE45" s="57" t="e">
        <f t="shared" si="1"/>
        <v>#DIV/0!</v>
      </c>
      <c r="AF45" s="57" t="e">
        <v>#DIV/0!</v>
      </c>
      <c r="AG45" s="57" t="e">
        <f t="shared" si="2"/>
        <v>#DIV/0!</v>
      </c>
      <c r="AH45" s="57" t="e">
        <v>#DIV/0!</v>
      </c>
      <c r="AI45" s="57" t="e">
        <f t="shared" si="3"/>
        <v>#DIV/0!</v>
      </c>
      <c r="AJ45" s="57" t="e">
        <v>#DIV/0!</v>
      </c>
      <c r="AL45" s="134">
        <v>0</v>
      </c>
    </row>
    <row r="46" spans="1:38">
      <c r="A46" s="48">
        <v>800</v>
      </c>
      <c r="B46" s="48">
        <v>850</v>
      </c>
      <c r="C46" s="49"/>
      <c r="D46" s="49"/>
      <c r="E46" s="49"/>
      <c r="F46" s="49"/>
      <c r="G46" s="49"/>
      <c r="H46" s="49"/>
      <c r="I46" s="50" t="e">
        <v>#DIV/0!</v>
      </c>
      <c r="J46" s="50" t="e">
        <v>#DIV/0!</v>
      </c>
      <c r="K46" s="50"/>
      <c r="L46" s="50" t="e">
        <v>#DIV/0!</v>
      </c>
      <c r="M46" s="50" t="e">
        <v>#DIV/0!</v>
      </c>
      <c r="N46" s="50"/>
      <c r="O46" s="17"/>
      <c r="P46" s="52" t="str">
        <f t="shared" si="0"/>
        <v>(800, 850]</v>
      </c>
      <c r="Q46" s="53" t="s">
        <v>69</v>
      </c>
      <c r="R46" s="50" t="e">
        <f t="shared" si="4"/>
        <v>#DIV/0!</v>
      </c>
      <c r="S46" s="54">
        <v>0</v>
      </c>
      <c r="T46" s="54"/>
      <c r="U46" s="54">
        <v>0</v>
      </c>
      <c r="V46" s="55" t="e">
        <v>#DIV/0!</v>
      </c>
      <c r="W46" s="55" t="e">
        <v>#DIV/0!</v>
      </c>
      <c r="X46" s="55" t="e">
        <v>#DIV/0!</v>
      </c>
      <c r="Y46" s="55" t="e">
        <v>#DIV/0!</v>
      </c>
      <c r="Z46" s="55" t="e">
        <v>#DIV/0!</v>
      </c>
      <c r="AA46" s="55" t="e">
        <v>#DIV/0!</v>
      </c>
      <c r="AB46" s="56" t="e">
        <v>#DIV/0!</v>
      </c>
      <c r="AC46" s="114" t="e">
        <v>#DIV/0!</v>
      </c>
      <c r="AD46" s="114" t="e">
        <v>#DIV/0!</v>
      </c>
      <c r="AE46" s="57" t="e">
        <f t="shared" si="1"/>
        <v>#DIV/0!</v>
      </c>
      <c r="AF46" s="57" t="e">
        <v>#DIV/0!</v>
      </c>
      <c r="AG46" s="57" t="e">
        <f t="shared" si="2"/>
        <v>#DIV/0!</v>
      </c>
      <c r="AH46" s="57" t="e">
        <v>#DIV/0!</v>
      </c>
      <c r="AI46" s="57" t="e">
        <f t="shared" si="3"/>
        <v>#DIV/0!</v>
      </c>
      <c r="AJ46" s="57" t="e">
        <v>#DIV/0!</v>
      </c>
      <c r="AL46" s="134">
        <v>0</v>
      </c>
    </row>
    <row r="47" spans="1:38">
      <c r="A47" s="48">
        <v>850</v>
      </c>
      <c r="B47" s="48">
        <v>900</v>
      </c>
      <c r="C47" s="49"/>
      <c r="D47" s="49"/>
      <c r="E47" s="49"/>
      <c r="F47" s="49"/>
      <c r="G47" s="49"/>
      <c r="H47" s="49"/>
      <c r="I47" s="50" t="e">
        <v>#DIV/0!</v>
      </c>
      <c r="J47" s="50" t="e">
        <v>#DIV/0!</v>
      </c>
      <c r="K47" s="50"/>
      <c r="L47" s="50" t="e">
        <v>#DIV/0!</v>
      </c>
      <c r="M47" s="50" t="e">
        <v>#DIV/0!</v>
      </c>
      <c r="N47" s="50"/>
      <c r="O47" s="17"/>
      <c r="P47" s="52" t="str">
        <f t="shared" si="0"/>
        <v>(850, 900]</v>
      </c>
      <c r="Q47" s="53" t="s">
        <v>69</v>
      </c>
      <c r="R47" s="50" t="e">
        <f t="shared" si="4"/>
        <v>#DIV/0!</v>
      </c>
      <c r="S47" s="54">
        <v>0</v>
      </c>
      <c r="T47" s="54"/>
      <c r="U47" s="54">
        <v>0</v>
      </c>
      <c r="V47" s="55" t="e">
        <v>#DIV/0!</v>
      </c>
      <c r="W47" s="55" t="e">
        <v>#DIV/0!</v>
      </c>
      <c r="X47" s="55" t="e">
        <v>#DIV/0!</v>
      </c>
      <c r="Y47" s="55" t="e">
        <v>#DIV/0!</v>
      </c>
      <c r="Z47" s="55" t="e">
        <v>#DIV/0!</v>
      </c>
      <c r="AA47" s="55" t="e">
        <v>#DIV/0!</v>
      </c>
      <c r="AB47" s="56" t="e">
        <v>#DIV/0!</v>
      </c>
      <c r="AC47" s="114" t="e">
        <v>#DIV/0!</v>
      </c>
      <c r="AD47" s="114" t="e">
        <v>#DIV/0!</v>
      </c>
      <c r="AE47" s="57" t="e">
        <f t="shared" si="1"/>
        <v>#DIV/0!</v>
      </c>
      <c r="AF47" s="57" t="e">
        <v>#DIV/0!</v>
      </c>
      <c r="AG47" s="57" t="e">
        <f t="shared" si="2"/>
        <v>#DIV/0!</v>
      </c>
      <c r="AH47" s="57" t="e">
        <v>#DIV/0!</v>
      </c>
      <c r="AI47" s="57" t="e">
        <f t="shared" si="3"/>
        <v>#DIV/0!</v>
      </c>
      <c r="AJ47" s="57" t="e">
        <v>#DIV/0!</v>
      </c>
      <c r="AL47" s="134">
        <v>0</v>
      </c>
    </row>
    <row r="48" spans="1:38">
      <c r="A48" s="48">
        <v>900</v>
      </c>
      <c r="B48" s="48">
        <v>950</v>
      </c>
      <c r="C48" s="49"/>
      <c r="D48" s="49"/>
      <c r="E48" s="49"/>
      <c r="F48" s="49"/>
      <c r="G48" s="49"/>
      <c r="H48" s="49"/>
      <c r="I48" s="50" t="e">
        <v>#DIV/0!</v>
      </c>
      <c r="J48" s="50" t="e">
        <v>#DIV/0!</v>
      </c>
      <c r="K48" s="50"/>
      <c r="L48" s="50" t="e">
        <v>#DIV/0!</v>
      </c>
      <c r="M48" s="50" t="e">
        <v>#DIV/0!</v>
      </c>
      <c r="N48" s="50"/>
      <c r="O48" s="17"/>
      <c r="P48" s="52" t="str">
        <f t="shared" si="0"/>
        <v>(900, 950]</v>
      </c>
      <c r="Q48" s="53" t="s">
        <v>69</v>
      </c>
      <c r="R48" s="50" t="e">
        <f t="shared" si="4"/>
        <v>#DIV/0!</v>
      </c>
      <c r="S48" s="54">
        <v>0</v>
      </c>
      <c r="T48" s="54"/>
      <c r="U48" s="54">
        <v>0</v>
      </c>
      <c r="V48" s="55" t="e">
        <v>#DIV/0!</v>
      </c>
      <c r="W48" s="55" t="e">
        <v>#DIV/0!</v>
      </c>
      <c r="X48" s="55" t="e">
        <v>#DIV/0!</v>
      </c>
      <c r="Y48" s="55" t="e">
        <v>#DIV/0!</v>
      </c>
      <c r="Z48" s="55" t="e">
        <v>#DIV/0!</v>
      </c>
      <c r="AA48" s="55" t="e">
        <v>#DIV/0!</v>
      </c>
      <c r="AB48" s="56" t="e">
        <v>#DIV/0!</v>
      </c>
      <c r="AC48" s="114" t="e">
        <v>#DIV/0!</v>
      </c>
      <c r="AD48" s="114" t="e">
        <v>#DIV/0!</v>
      </c>
      <c r="AE48" s="57" t="e">
        <f t="shared" si="1"/>
        <v>#DIV/0!</v>
      </c>
      <c r="AF48" s="57" t="e">
        <v>#DIV/0!</v>
      </c>
      <c r="AG48" s="57" t="e">
        <f t="shared" si="2"/>
        <v>#DIV/0!</v>
      </c>
      <c r="AH48" s="57" t="e">
        <v>#DIV/0!</v>
      </c>
      <c r="AI48" s="57" t="e">
        <f t="shared" si="3"/>
        <v>#DIV/0!</v>
      </c>
      <c r="AJ48" s="57" t="e">
        <v>#DIV/0!</v>
      </c>
      <c r="AL48" s="134">
        <v>0</v>
      </c>
    </row>
    <row r="49" spans="1:38">
      <c r="A49" s="48">
        <v>950</v>
      </c>
      <c r="B49" s="48">
        <v>1000</v>
      </c>
      <c r="C49" s="49"/>
      <c r="D49" s="49"/>
      <c r="E49" s="49"/>
      <c r="F49" s="49"/>
      <c r="G49" s="49"/>
      <c r="H49" s="49"/>
      <c r="I49" s="50" t="e">
        <v>#DIV/0!</v>
      </c>
      <c r="J49" s="50" t="e">
        <v>#DIV/0!</v>
      </c>
      <c r="K49" s="50"/>
      <c r="L49" s="50" t="e">
        <v>#DIV/0!</v>
      </c>
      <c r="M49" s="50" t="e">
        <v>#DIV/0!</v>
      </c>
      <c r="N49" s="50"/>
      <c r="O49" s="17"/>
      <c r="P49" s="52" t="str">
        <f t="shared" si="0"/>
        <v>(950, 1000]</v>
      </c>
      <c r="Q49" s="53" t="s">
        <v>69</v>
      </c>
      <c r="R49" s="50" t="e">
        <f t="shared" si="4"/>
        <v>#DIV/0!</v>
      </c>
      <c r="S49" s="54">
        <v>0</v>
      </c>
      <c r="T49" s="54"/>
      <c r="U49" s="54">
        <v>0</v>
      </c>
      <c r="V49" s="55" t="e">
        <v>#DIV/0!</v>
      </c>
      <c r="W49" s="55" t="e">
        <v>#DIV/0!</v>
      </c>
      <c r="X49" s="55" t="e">
        <v>#DIV/0!</v>
      </c>
      <c r="Y49" s="55" t="e">
        <v>#DIV/0!</v>
      </c>
      <c r="Z49" s="55" t="e">
        <v>#DIV/0!</v>
      </c>
      <c r="AA49" s="55" t="e">
        <v>#DIV/0!</v>
      </c>
      <c r="AB49" s="56" t="e">
        <v>#DIV/0!</v>
      </c>
      <c r="AC49" s="114" t="e">
        <v>#DIV/0!</v>
      </c>
      <c r="AD49" s="114" t="e">
        <v>#DIV/0!</v>
      </c>
      <c r="AE49" s="57" t="e">
        <f t="shared" si="1"/>
        <v>#DIV/0!</v>
      </c>
      <c r="AF49" s="57" t="e">
        <v>#DIV/0!</v>
      </c>
      <c r="AG49" s="57" t="e">
        <f t="shared" si="2"/>
        <v>#DIV/0!</v>
      </c>
      <c r="AH49" s="57" t="e">
        <v>#DIV/0!</v>
      </c>
      <c r="AI49" s="57" t="e">
        <f t="shared" si="3"/>
        <v>#DIV/0!</v>
      </c>
      <c r="AJ49" s="57" t="e">
        <v>#DIV/0!</v>
      </c>
      <c r="AL49" s="134">
        <v>0</v>
      </c>
    </row>
    <row r="50" spans="1:38">
      <c r="A50" s="48">
        <v>1000</v>
      </c>
      <c r="B50" s="48">
        <v>2000</v>
      </c>
      <c r="C50" s="49"/>
      <c r="D50" s="49"/>
      <c r="E50" s="49"/>
      <c r="F50" s="49"/>
      <c r="G50" s="49"/>
      <c r="H50" s="49"/>
      <c r="I50" s="50" t="e">
        <v>#DIV/0!</v>
      </c>
      <c r="J50" s="50" t="e">
        <v>#DIV/0!</v>
      </c>
      <c r="K50" s="50"/>
      <c r="L50" s="50" t="e">
        <v>#DIV/0!</v>
      </c>
      <c r="M50" s="50" t="e">
        <v>#DIV/0!</v>
      </c>
      <c r="N50" s="50"/>
      <c r="O50" s="17"/>
      <c r="P50" s="52" t="str">
        <f t="shared" si="0"/>
        <v>(1000, 2000]</v>
      </c>
      <c r="Q50" s="53" t="s">
        <v>69</v>
      </c>
      <c r="R50" s="50" t="e">
        <f t="shared" si="4"/>
        <v>#DIV/0!</v>
      </c>
      <c r="S50" s="54">
        <v>0</v>
      </c>
      <c r="T50" s="54"/>
      <c r="U50" s="54">
        <v>0</v>
      </c>
      <c r="V50" s="55" t="e">
        <v>#DIV/0!</v>
      </c>
      <c r="W50" s="55" t="e">
        <v>#DIV/0!</v>
      </c>
      <c r="X50" s="55" t="e">
        <v>#DIV/0!</v>
      </c>
      <c r="Y50" s="55" t="e">
        <v>#DIV/0!</v>
      </c>
      <c r="Z50" s="55" t="e">
        <v>#DIV/0!</v>
      </c>
      <c r="AA50" s="55" t="e">
        <v>#DIV/0!</v>
      </c>
      <c r="AB50" s="56" t="e">
        <v>#DIV/0!</v>
      </c>
      <c r="AC50" s="114" t="e">
        <v>#DIV/0!</v>
      </c>
      <c r="AD50" s="114" t="e">
        <v>#DIV/0!</v>
      </c>
      <c r="AE50" s="57" t="e">
        <f t="shared" si="1"/>
        <v>#DIV/0!</v>
      </c>
      <c r="AF50" s="57" t="e">
        <v>#DIV/0!</v>
      </c>
      <c r="AG50" s="57" t="e">
        <f t="shared" si="2"/>
        <v>#DIV/0!</v>
      </c>
      <c r="AH50" s="57" t="e">
        <v>#DIV/0!</v>
      </c>
      <c r="AI50" s="57" t="e">
        <f t="shared" si="3"/>
        <v>#DIV/0!</v>
      </c>
      <c r="AJ50" s="57" t="e">
        <v>#DIV/0!</v>
      </c>
      <c r="AL50" s="134">
        <v>0</v>
      </c>
    </row>
    <row r="51" spans="1:38">
      <c r="A51" s="48">
        <v>2000</v>
      </c>
      <c r="B51" s="48">
        <v>3000</v>
      </c>
      <c r="C51" s="49"/>
      <c r="D51" s="49"/>
      <c r="E51" s="49"/>
      <c r="F51" s="49"/>
      <c r="G51" s="49"/>
      <c r="H51" s="49"/>
      <c r="I51" s="50" t="e">
        <v>#DIV/0!</v>
      </c>
      <c r="J51" s="50" t="e">
        <v>#DIV/0!</v>
      </c>
      <c r="K51" s="50"/>
      <c r="L51" s="50" t="e">
        <v>#DIV/0!</v>
      </c>
      <c r="M51" s="50" t="e">
        <v>#DIV/0!</v>
      </c>
      <c r="N51" s="50"/>
      <c r="O51" s="17"/>
      <c r="P51" s="52" t="str">
        <f t="shared" si="0"/>
        <v>(2000, 3000]</v>
      </c>
      <c r="Q51" s="53" t="s">
        <v>69</v>
      </c>
      <c r="R51" s="50" t="e">
        <f t="shared" si="4"/>
        <v>#DIV/0!</v>
      </c>
      <c r="S51" s="54">
        <v>0</v>
      </c>
      <c r="T51" s="54"/>
      <c r="U51" s="54">
        <v>0</v>
      </c>
      <c r="V51" s="55" t="e">
        <v>#DIV/0!</v>
      </c>
      <c r="W51" s="55" t="e">
        <v>#DIV/0!</v>
      </c>
      <c r="X51" s="55" t="e">
        <v>#DIV/0!</v>
      </c>
      <c r="Y51" s="55" t="e">
        <v>#DIV/0!</v>
      </c>
      <c r="Z51" s="55" t="e">
        <v>#DIV/0!</v>
      </c>
      <c r="AA51" s="55" t="e">
        <v>#DIV/0!</v>
      </c>
      <c r="AB51" s="56" t="e">
        <v>#DIV/0!</v>
      </c>
      <c r="AC51" s="114" t="e">
        <v>#DIV/0!</v>
      </c>
      <c r="AD51" s="114" t="e">
        <v>#DIV/0!</v>
      </c>
      <c r="AE51" s="57" t="e">
        <f t="shared" si="1"/>
        <v>#DIV/0!</v>
      </c>
      <c r="AF51" s="57" t="e">
        <v>#DIV/0!</v>
      </c>
      <c r="AG51" s="57" t="e">
        <f t="shared" si="2"/>
        <v>#DIV/0!</v>
      </c>
      <c r="AH51" s="57" t="e">
        <v>#DIV/0!</v>
      </c>
      <c r="AI51" s="57" t="e">
        <f t="shared" si="3"/>
        <v>#DIV/0!</v>
      </c>
      <c r="AJ51" s="57" t="e">
        <v>#DIV/0!</v>
      </c>
      <c r="AL51" s="134">
        <v>0</v>
      </c>
    </row>
    <row r="52" spans="1:38">
      <c r="A52" s="48">
        <v>3000</v>
      </c>
      <c r="B52" s="48">
        <v>4000</v>
      </c>
      <c r="C52" s="49"/>
      <c r="D52" s="49"/>
      <c r="E52" s="49"/>
      <c r="F52" s="49"/>
      <c r="G52" s="49"/>
      <c r="H52" s="49"/>
      <c r="I52" s="50" t="e">
        <v>#DIV/0!</v>
      </c>
      <c r="J52" s="50" t="e">
        <v>#DIV/0!</v>
      </c>
      <c r="K52" s="50"/>
      <c r="L52" s="50" t="e">
        <v>#DIV/0!</v>
      </c>
      <c r="M52" s="50" t="e">
        <v>#DIV/0!</v>
      </c>
      <c r="N52" s="50"/>
      <c r="O52" s="17"/>
      <c r="P52" s="52" t="str">
        <f t="shared" si="0"/>
        <v>(3000, 4000]</v>
      </c>
      <c r="Q52" s="53" t="s">
        <v>69</v>
      </c>
      <c r="R52" s="50" t="e">
        <f t="shared" si="4"/>
        <v>#DIV/0!</v>
      </c>
      <c r="S52" s="54">
        <v>0</v>
      </c>
      <c r="T52" s="54"/>
      <c r="U52" s="54">
        <v>0</v>
      </c>
      <c r="V52" s="55" t="e">
        <v>#DIV/0!</v>
      </c>
      <c r="W52" s="55" t="e">
        <v>#DIV/0!</v>
      </c>
      <c r="X52" s="55" t="e">
        <v>#DIV/0!</v>
      </c>
      <c r="Y52" s="55" t="e">
        <v>#DIV/0!</v>
      </c>
      <c r="Z52" s="55" t="e">
        <v>#DIV/0!</v>
      </c>
      <c r="AA52" s="55" t="e">
        <v>#DIV/0!</v>
      </c>
      <c r="AB52" s="56" t="e">
        <v>#DIV/0!</v>
      </c>
      <c r="AC52" s="114" t="e">
        <v>#DIV/0!</v>
      </c>
      <c r="AD52" s="114" t="e">
        <v>#DIV/0!</v>
      </c>
      <c r="AE52" s="57" t="e">
        <f t="shared" si="1"/>
        <v>#DIV/0!</v>
      </c>
      <c r="AF52" s="57" t="e">
        <v>#DIV/0!</v>
      </c>
      <c r="AG52" s="57" t="e">
        <f t="shared" si="2"/>
        <v>#DIV/0!</v>
      </c>
      <c r="AH52" s="57" t="e">
        <v>#DIV/0!</v>
      </c>
      <c r="AI52" s="57" t="e">
        <f t="shared" si="3"/>
        <v>#DIV/0!</v>
      </c>
      <c r="AJ52" s="57" t="e">
        <v>#DIV/0!</v>
      </c>
      <c r="AL52" s="134">
        <v>0</v>
      </c>
    </row>
    <row r="53" spans="1:38">
      <c r="A53" s="48">
        <v>4000</v>
      </c>
      <c r="B53" s="48">
        <v>5000</v>
      </c>
      <c r="C53" s="49"/>
      <c r="D53" s="49"/>
      <c r="E53" s="49"/>
      <c r="F53" s="49"/>
      <c r="G53" s="49"/>
      <c r="H53" s="49"/>
      <c r="I53" s="50" t="e">
        <v>#DIV/0!</v>
      </c>
      <c r="J53" s="50" t="e">
        <v>#DIV/0!</v>
      </c>
      <c r="K53" s="50"/>
      <c r="L53" s="50" t="e">
        <v>#DIV/0!</v>
      </c>
      <c r="M53" s="50" t="e">
        <v>#DIV/0!</v>
      </c>
      <c r="N53" s="50"/>
      <c r="O53" s="17"/>
      <c r="P53" s="52" t="str">
        <f t="shared" si="0"/>
        <v>(4000, 5000]</v>
      </c>
      <c r="Q53" s="53" t="s">
        <v>69</v>
      </c>
      <c r="R53" s="50" t="e">
        <f t="shared" si="4"/>
        <v>#DIV/0!</v>
      </c>
      <c r="S53" s="54">
        <v>0</v>
      </c>
      <c r="T53" s="54"/>
      <c r="U53" s="54">
        <v>0</v>
      </c>
      <c r="V53" s="55" t="e">
        <v>#DIV/0!</v>
      </c>
      <c r="W53" s="55" t="e">
        <v>#DIV/0!</v>
      </c>
      <c r="X53" s="55" t="e">
        <v>#DIV/0!</v>
      </c>
      <c r="Y53" s="55" t="e">
        <v>#DIV/0!</v>
      </c>
      <c r="Z53" s="55" t="e">
        <v>#DIV/0!</v>
      </c>
      <c r="AA53" s="55" t="e">
        <v>#DIV/0!</v>
      </c>
      <c r="AB53" s="56" t="e">
        <v>#DIV/0!</v>
      </c>
      <c r="AC53" s="114" t="e">
        <v>#DIV/0!</v>
      </c>
      <c r="AD53" s="114" t="e">
        <v>#DIV/0!</v>
      </c>
      <c r="AE53" s="57" t="e">
        <f t="shared" si="1"/>
        <v>#DIV/0!</v>
      </c>
      <c r="AF53" s="57" t="e">
        <v>#DIV/0!</v>
      </c>
      <c r="AG53" s="57" t="e">
        <f t="shared" si="2"/>
        <v>#DIV/0!</v>
      </c>
      <c r="AH53" s="57" t="e">
        <v>#DIV/0!</v>
      </c>
      <c r="AI53" s="57" t="e">
        <f t="shared" si="3"/>
        <v>#DIV/0!</v>
      </c>
      <c r="AJ53" s="57" t="e">
        <v>#DIV/0!</v>
      </c>
      <c r="AL53" s="134">
        <v>0</v>
      </c>
    </row>
    <row r="54" spans="1:38">
      <c r="A54" s="48">
        <v>5000</v>
      </c>
      <c r="B54" s="48">
        <v>6000</v>
      </c>
      <c r="C54" s="49"/>
      <c r="D54" s="49"/>
      <c r="E54" s="49"/>
      <c r="F54" s="49"/>
      <c r="G54" s="49"/>
      <c r="H54" s="49"/>
      <c r="I54" s="50" t="e">
        <v>#DIV/0!</v>
      </c>
      <c r="J54" s="50" t="e">
        <v>#DIV/0!</v>
      </c>
      <c r="K54" s="50"/>
      <c r="L54" s="50" t="e">
        <v>#DIV/0!</v>
      </c>
      <c r="M54" s="50" t="e">
        <v>#DIV/0!</v>
      </c>
      <c r="N54" s="50"/>
      <c r="O54" s="17"/>
      <c r="P54" s="52" t="str">
        <f t="shared" si="0"/>
        <v>(5000, 6000]</v>
      </c>
      <c r="Q54" s="53" t="s">
        <v>69</v>
      </c>
      <c r="R54" s="50" t="e">
        <f t="shared" si="4"/>
        <v>#DIV/0!</v>
      </c>
      <c r="S54" s="54">
        <v>0</v>
      </c>
      <c r="T54" s="54"/>
      <c r="U54" s="54">
        <v>0</v>
      </c>
      <c r="V54" s="55" t="e">
        <v>#DIV/0!</v>
      </c>
      <c r="W54" s="55" t="e">
        <v>#DIV/0!</v>
      </c>
      <c r="X54" s="55" t="e">
        <v>#DIV/0!</v>
      </c>
      <c r="Y54" s="55" t="e">
        <v>#DIV/0!</v>
      </c>
      <c r="Z54" s="55" t="e">
        <v>#DIV/0!</v>
      </c>
      <c r="AA54" s="55" t="e">
        <v>#DIV/0!</v>
      </c>
      <c r="AB54" s="56" t="e">
        <v>#DIV/0!</v>
      </c>
      <c r="AC54" s="114" t="e">
        <v>#DIV/0!</v>
      </c>
      <c r="AD54" s="114" t="e">
        <v>#DIV/0!</v>
      </c>
      <c r="AE54" s="57" t="e">
        <f t="shared" si="1"/>
        <v>#DIV/0!</v>
      </c>
      <c r="AF54" s="57" t="e">
        <v>#DIV/0!</v>
      </c>
      <c r="AG54" s="57" t="e">
        <f t="shared" si="2"/>
        <v>#DIV/0!</v>
      </c>
      <c r="AH54" s="57" t="e">
        <v>#DIV/0!</v>
      </c>
      <c r="AI54" s="57" t="e">
        <f t="shared" si="3"/>
        <v>#DIV/0!</v>
      </c>
      <c r="AJ54" s="57" t="e">
        <v>#DIV/0!</v>
      </c>
      <c r="AL54" s="134">
        <v>0</v>
      </c>
    </row>
    <row r="55" spans="1:38">
      <c r="A55" s="48">
        <v>6000</v>
      </c>
      <c r="B55" s="48">
        <v>7000</v>
      </c>
      <c r="C55" s="49"/>
      <c r="D55" s="49"/>
      <c r="E55" s="49"/>
      <c r="F55" s="49"/>
      <c r="G55" s="49"/>
      <c r="H55" s="49"/>
      <c r="I55" s="50" t="e">
        <v>#DIV/0!</v>
      </c>
      <c r="J55" s="50" t="e">
        <v>#DIV/0!</v>
      </c>
      <c r="K55" s="50"/>
      <c r="L55" s="50" t="e">
        <v>#DIV/0!</v>
      </c>
      <c r="M55" s="50" t="e">
        <v>#DIV/0!</v>
      </c>
      <c r="N55" s="50"/>
      <c r="O55" s="17"/>
      <c r="P55" s="52" t="str">
        <f t="shared" si="0"/>
        <v>(6000, 7000]</v>
      </c>
      <c r="Q55" s="53" t="s">
        <v>69</v>
      </c>
      <c r="R55" s="50" t="e">
        <f t="shared" si="4"/>
        <v>#DIV/0!</v>
      </c>
      <c r="S55" s="54">
        <v>0</v>
      </c>
      <c r="T55" s="54"/>
      <c r="U55" s="54">
        <v>0</v>
      </c>
      <c r="V55" s="55" t="e">
        <v>#DIV/0!</v>
      </c>
      <c r="W55" s="55" t="e">
        <v>#DIV/0!</v>
      </c>
      <c r="X55" s="55" t="e">
        <v>#DIV/0!</v>
      </c>
      <c r="Y55" s="55" t="e">
        <v>#DIV/0!</v>
      </c>
      <c r="Z55" s="55" t="e">
        <v>#DIV/0!</v>
      </c>
      <c r="AA55" s="55" t="e">
        <v>#DIV/0!</v>
      </c>
      <c r="AB55" s="56" t="e">
        <v>#DIV/0!</v>
      </c>
      <c r="AC55" s="114" t="e">
        <v>#DIV/0!</v>
      </c>
      <c r="AD55" s="114" t="e">
        <v>#DIV/0!</v>
      </c>
      <c r="AE55" s="57" t="e">
        <f t="shared" si="1"/>
        <v>#DIV/0!</v>
      </c>
      <c r="AF55" s="57" t="e">
        <v>#DIV/0!</v>
      </c>
      <c r="AG55" s="57" t="e">
        <f t="shared" si="2"/>
        <v>#DIV/0!</v>
      </c>
      <c r="AH55" s="57" t="e">
        <v>#DIV/0!</v>
      </c>
      <c r="AI55" s="57" t="e">
        <f t="shared" si="3"/>
        <v>#DIV/0!</v>
      </c>
      <c r="AJ55" s="57" t="e">
        <v>#DIV/0!</v>
      </c>
      <c r="AL55" s="134">
        <v>0</v>
      </c>
    </row>
    <row r="56" spans="1:38">
      <c r="A56" s="48">
        <v>7000</v>
      </c>
      <c r="B56" s="48">
        <v>8000</v>
      </c>
      <c r="C56" s="49"/>
      <c r="D56" s="49"/>
      <c r="E56" s="49"/>
      <c r="F56" s="49"/>
      <c r="G56" s="49"/>
      <c r="H56" s="49"/>
      <c r="I56" s="50" t="e">
        <v>#DIV/0!</v>
      </c>
      <c r="J56" s="50" t="e">
        <v>#DIV/0!</v>
      </c>
      <c r="K56" s="50"/>
      <c r="L56" s="50" t="e">
        <v>#DIV/0!</v>
      </c>
      <c r="M56" s="50" t="e">
        <v>#DIV/0!</v>
      </c>
      <c r="N56" s="50"/>
      <c r="O56" s="17"/>
      <c r="P56" s="52" t="str">
        <f t="shared" si="0"/>
        <v>(7000, 8000]</v>
      </c>
      <c r="Q56" s="53" t="s">
        <v>69</v>
      </c>
      <c r="R56" s="50" t="e">
        <f t="shared" si="4"/>
        <v>#DIV/0!</v>
      </c>
      <c r="S56" s="54">
        <v>0</v>
      </c>
      <c r="T56" s="54"/>
      <c r="U56" s="54">
        <v>0</v>
      </c>
      <c r="V56" s="55" t="e">
        <v>#DIV/0!</v>
      </c>
      <c r="W56" s="55" t="e">
        <v>#DIV/0!</v>
      </c>
      <c r="X56" s="55" t="e">
        <v>#DIV/0!</v>
      </c>
      <c r="Y56" s="55" t="e">
        <v>#DIV/0!</v>
      </c>
      <c r="Z56" s="55" t="e">
        <v>#DIV/0!</v>
      </c>
      <c r="AA56" s="55" t="e">
        <v>#DIV/0!</v>
      </c>
      <c r="AB56" s="56" t="e">
        <v>#DIV/0!</v>
      </c>
      <c r="AC56" s="114" t="e">
        <v>#DIV/0!</v>
      </c>
      <c r="AD56" s="114" t="e">
        <v>#DIV/0!</v>
      </c>
      <c r="AE56" s="57" t="e">
        <f>_xlfn.LET(_xlpm.x, _xlfn.XLOOKUP($Q56, $L$4:$N$4, $L56:$N56), IF(ISERROR(_xlpm.x), 0, _xlpm.x)*AB56/$AB$3)</f>
        <v>#DIV/0!</v>
      </c>
      <c r="AF56" s="57" t="e">
        <v>#DIV/0!</v>
      </c>
      <c r="AG56" s="57" t="e">
        <f t="shared" si="2"/>
        <v>#DIV/0!</v>
      </c>
      <c r="AH56" s="57" t="e">
        <v>#DIV/0!</v>
      </c>
      <c r="AI56" s="57" t="e">
        <f t="shared" si="3"/>
        <v>#DIV/0!</v>
      </c>
      <c r="AJ56" s="57" t="e">
        <v>#DIV/0!</v>
      </c>
      <c r="AL56" s="134">
        <v>0</v>
      </c>
    </row>
    <row r="57" spans="1:38">
      <c r="A57" s="48" t="s">
        <v>75</v>
      </c>
      <c r="B57" s="115" t="e">
        <f>C57/SUM(C5:C57)</f>
        <v>#DIV/0!</v>
      </c>
      <c r="C57" s="49"/>
      <c r="D57" s="1"/>
      <c r="E57" s="1"/>
      <c r="F57" s="49"/>
      <c r="G57" s="1">
        <f>SUM(F5:F56)/500/100000000</f>
        <v>0</v>
      </c>
      <c r="H57" s="1"/>
      <c r="I57" s="1"/>
      <c r="J57" s="1"/>
      <c r="K57" s="1"/>
      <c r="L57" s="1"/>
      <c r="M57" s="1"/>
      <c r="N57" s="17"/>
      <c r="O57" s="17"/>
      <c r="P57" s="52" t="s">
        <v>75</v>
      </c>
      <c r="Q57" s="53" t="s">
        <v>69</v>
      </c>
      <c r="R57" s="50">
        <f>0.00849</f>
        <v>8.4899999999999993E-3</v>
      </c>
      <c r="S57" s="54">
        <v>0.6</v>
      </c>
      <c r="T57" s="54">
        <v>0.5</v>
      </c>
      <c r="U57" s="54">
        <v>0.5</v>
      </c>
      <c r="V57" s="50">
        <v>5.0939999999999996E-3</v>
      </c>
      <c r="W57" s="50">
        <v>4.2449999999999996E-3</v>
      </c>
      <c r="X57" s="50">
        <v>4.2449999999999996E-3</v>
      </c>
      <c r="Y57" s="50">
        <f>V57</f>
        <v>5.0939999999999996E-3</v>
      </c>
      <c r="Z57" s="50">
        <f t="shared" ref="Z57:AA57" si="6">W57</f>
        <v>4.2449999999999996E-3</v>
      </c>
      <c r="AA57" s="50">
        <f t="shared" si="6"/>
        <v>4.2449999999999996E-3</v>
      </c>
      <c r="AB57" s="56">
        <v>5094000</v>
      </c>
      <c r="AC57" s="56">
        <v>4245000</v>
      </c>
      <c r="AD57" s="56">
        <v>4245000</v>
      </c>
      <c r="AE57" s="58" t="e">
        <f>F57/C57/500*AB57/AB3</f>
        <v>#DIV/0!</v>
      </c>
      <c r="AF57" s="58" t="e">
        <v>#DIV/0!</v>
      </c>
      <c r="AG57" s="58" t="e">
        <f>F57/C57/500*AC57/AB3</f>
        <v>#DIV/0!</v>
      </c>
      <c r="AH57" s="58" t="e">
        <v>#DIV/0!</v>
      </c>
      <c r="AI57" s="58" t="e">
        <f>F57/C57/500*AD57/AB3</f>
        <v>#DIV/0!</v>
      </c>
      <c r="AJ57" s="58" t="e">
        <v>#DIV/0!</v>
      </c>
      <c r="AL57" s="134">
        <v>0</v>
      </c>
    </row>
    <row r="58" spans="1:38">
      <c r="A58" s="60"/>
      <c r="B58" s="1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8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L58" s="134">
        <v>0</v>
      </c>
    </row>
    <row r="59" spans="1:38">
      <c r="A59" s="17"/>
      <c r="B59" s="1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8"/>
      <c r="Q59" s="17"/>
      <c r="R59" s="64"/>
      <c r="S59" s="64"/>
      <c r="T59" s="64"/>
      <c r="U59" s="64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L59" s="134">
        <v>0</v>
      </c>
    </row>
    <row r="60" spans="1:38">
      <c r="A60" s="17"/>
      <c r="B60" s="6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8"/>
      <c r="Q60" s="17"/>
      <c r="R60" s="16"/>
      <c r="S60" s="60"/>
      <c r="T60" s="60"/>
      <c r="U60" s="60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L60" s="134"/>
    </row>
    <row r="61" spans="1:38">
      <c r="A61" s="17"/>
      <c r="B61" s="6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8"/>
      <c r="Q61" s="17"/>
      <c r="R61" s="16"/>
      <c r="S61" s="60"/>
      <c r="T61" s="60"/>
      <c r="U61" s="60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12" t="s">
        <v>121</v>
      </c>
      <c r="AG61" s="17"/>
      <c r="AH61" s="112" t="s">
        <v>122</v>
      </c>
      <c r="AI61" s="17"/>
      <c r="AJ61" s="112" t="s">
        <v>123</v>
      </c>
      <c r="AL61" s="134"/>
    </row>
    <row r="62" spans="1:38">
      <c r="A62" s="214" t="s">
        <v>60</v>
      </c>
      <c r="B62" s="214" t="s">
        <v>61</v>
      </c>
      <c r="C62" s="205" t="s">
        <v>62</v>
      </c>
      <c r="D62" s="206"/>
      <c r="E62" s="207"/>
      <c r="F62" s="205" t="s">
        <v>63</v>
      </c>
      <c r="G62" s="206"/>
      <c r="H62" s="207"/>
      <c r="I62" s="205" t="s">
        <v>64</v>
      </c>
      <c r="J62" s="206"/>
      <c r="K62" s="207"/>
      <c r="L62" s="205" t="s">
        <v>65</v>
      </c>
      <c r="M62" s="206"/>
      <c r="N62" s="207"/>
      <c r="O62" s="17"/>
      <c r="P62" s="204" t="s">
        <v>66</v>
      </c>
      <c r="Q62" s="205" t="s">
        <v>76</v>
      </c>
      <c r="R62" s="206"/>
      <c r="S62" s="206"/>
      <c r="T62" s="206"/>
      <c r="U62" s="206"/>
      <c r="V62" s="206"/>
      <c r="W62" s="206"/>
      <c r="X62" s="207"/>
      <c r="Y62" s="211" t="s">
        <v>68</v>
      </c>
      <c r="Z62" s="212"/>
      <c r="AA62" s="213"/>
      <c r="AB62" s="208">
        <f>10^9</f>
        <v>1000000000</v>
      </c>
      <c r="AC62" s="209"/>
      <c r="AD62" s="210"/>
      <c r="AE62" s="46" t="s">
        <v>139</v>
      </c>
      <c r="AF62" s="47" t="e">
        <f>SUM(AE64:AE122)*AF57</f>
        <v>#DIV/0!</v>
      </c>
      <c r="AG62" s="46" t="s">
        <v>140</v>
      </c>
      <c r="AH62" s="47" t="e">
        <f>SUM(AG64:AG122)*AH57</f>
        <v>#DIV/0!</v>
      </c>
      <c r="AI62" s="46" t="s">
        <v>141</v>
      </c>
      <c r="AJ62" s="47" t="e">
        <f>SUM(AI64:AI122)*AJ57</f>
        <v>#DIV/0!</v>
      </c>
      <c r="AL62" s="134"/>
    </row>
    <row r="63" spans="1:38">
      <c r="A63" s="215"/>
      <c r="B63" s="215"/>
      <c r="C63" s="109" t="s">
        <v>142</v>
      </c>
      <c r="D63" s="109" t="s">
        <v>143</v>
      </c>
      <c r="E63" s="109" t="s">
        <v>144</v>
      </c>
      <c r="F63" s="109" t="s">
        <v>142</v>
      </c>
      <c r="G63" s="109" t="s">
        <v>143</v>
      </c>
      <c r="H63" s="109" t="s">
        <v>144</v>
      </c>
      <c r="I63" s="109" t="s">
        <v>142</v>
      </c>
      <c r="J63" s="109" t="s">
        <v>143</v>
      </c>
      <c r="K63" s="109" t="s">
        <v>144</v>
      </c>
      <c r="L63" s="109" t="s">
        <v>142</v>
      </c>
      <c r="M63" s="109" t="s">
        <v>143</v>
      </c>
      <c r="N63" s="109" t="s">
        <v>144</v>
      </c>
      <c r="O63" s="17"/>
      <c r="P63" s="204"/>
      <c r="Q63" s="109" t="s">
        <v>72</v>
      </c>
      <c r="R63" s="109" t="s">
        <v>73</v>
      </c>
      <c r="S63" s="109" t="s">
        <v>127</v>
      </c>
      <c r="T63" s="109" t="s">
        <v>128</v>
      </c>
      <c r="U63" s="109" t="s">
        <v>129</v>
      </c>
      <c r="V63" s="109" t="s">
        <v>130</v>
      </c>
      <c r="W63" s="109" t="s">
        <v>131</v>
      </c>
      <c r="X63" s="109" t="s">
        <v>132</v>
      </c>
      <c r="Y63" s="109" t="s">
        <v>133</v>
      </c>
      <c r="Z63" s="109" t="s">
        <v>134</v>
      </c>
      <c r="AA63" s="109" t="s">
        <v>135</v>
      </c>
      <c r="AB63" s="109" t="s">
        <v>136</v>
      </c>
      <c r="AC63" s="109" t="s">
        <v>137</v>
      </c>
      <c r="AD63" s="109" t="s">
        <v>138</v>
      </c>
      <c r="AE63" s="109" t="s">
        <v>65</v>
      </c>
      <c r="AF63" s="109" t="s">
        <v>74</v>
      </c>
      <c r="AG63" s="109" t="s">
        <v>65</v>
      </c>
      <c r="AH63" s="109" t="s">
        <v>74</v>
      </c>
      <c r="AI63" s="109" t="s">
        <v>65</v>
      </c>
      <c r="AJ63" s="109" t="s">
        <v>74</v>
      </c>
      <c r="AL63" s="134"/>
    </row>
    <row r="64" spans="1:38">
      <c r="A64" s="48">
        <v>-1</v>
      </c>
      <c r="B64" s="48">
        <v>0</v>
      </c>
      <c r="C64" s="49">
        <v>843</v>
      </c>
      <c r="D64" s="49"/>
      <c r="E64" s="49"/>
      <c r="F64" s="49">
        <v>0</v>
      </c>
      <c r="G64" s="49"/>
      <c r="H64" s="59"/>
      <c r="I64" s="50" cm="1">
        <f t="array" ref="I64:I122">_xlfn.LET(_xlpm.x, C64:C122, _xlpm.x/SUM(_xlpm.x))</f>
        <v>1</v>
      </c>
      <c r="J64" s="50" t="e" cm="1">
        <f t="array" ref="J64:J122">_xlfn.LET(_xlpm.x, D64:D122, _xlpm.x/SUM(_xlpm.x))</f>
        <v>#DIV/0!</v>
      </c>
      <c r="K64" s="50"/>
      <c r="L64" s="50" t="e" cm="1">
        <f t="array" ref="L64:L122">F64:F122/C64:C122/Overview!#REF!/5</f>
        <v>#REF!</v>
      </c>
      <c r="M64" s="51" t="e" cm="1">
        <f t="array" ref="M64:M122">G64:G122/D64:D122/Overview!#REF!/5</f>
        <v>#DIV/0!</v>
      </c>
      <c r="N64" s="50"/>
      <c r="O64" s="17" t="e">
        <f>SUMPRODUCT(I64:I119,L64:L119)</f>
        <v>#REF!</v>
      </c>
      <c r="P64" s="52" t="str">
        <f t="shared" ref="P64:P122" si="7">"("&amp;$A64&amp;", "&amp;$B64&amp;"]"</f>
        <v>(-1, 0]</v>
      </c>
      <c r="Q64" s="53" t="s">
        <v>145</v>
      </c>
      <c r="R64" s="50">
        <f>_xlfn.SINGLE(_xlfn.XLOOKUP(Q64, $I$63:$K$63, I64:K64))</f>
        <v>1</v>
      </c>
      <c r="S64" s="54">
        <v>0</v>
      </c>
      <c r="T64" s="54">
        <v>0</v>
      </c>
      <c r="U64" s="54">
        <v>0</v>
      </c>
      <c r="V64" s="55" cm="1">
        <f t="array" ref="V64:V122">$R64:$R122*S64:S122</f>
        <v>0</v>
      </c>
      <c r="W64" s="55" cm="1">
        <f t="array" ref="W64:W122">$R64:$R122*T64:T122</f>
        <v>0</v>
      </c>
      <c r="X64" s="55" cm="1">
        <f t="array" ref="X64:X122">$R64:$R122*U64:U122</f>
        <v>0</v>
      </c>
      <c r="Y64" s="55" t="e" cm="1">
        <f t="array" ref="Y64:Y122">_xlfn.LET(_xlpm.x,_xlfn.ANCHORARRAY( V64), _xlpm.x/SUM(_xlpm.x))</f>
        <v>#DIV/0!</v>
      </c>
      <c r="Z64" s="55" t="e" cm="1">
        <f t="array" ref="Z64:Z122">_xlfn.LET(_xlpm.x,_xlfn.ANCHORARRAY( W64), _xlpm.x/SUM(_xlpm.x))</f>
        <v>#DIV/0!</v>
      </c>
      <c r="AA64" s="55" t="e" cm="1">
        <f t="array" ref="AA64:AA122">_xlfn.LET(_xlpm.x,_xlfn.ANCHORARRAY( X64), _xlpm.x/SUM(_xlpm.x))</f>
        <v>#DIV/0!</v>
      </c>
      <c r="AB64" s="56" t="e">
        <f t="shared" ref="AB64:AD95" si="8">INT(Y64*$AB$62)</f>
        <v>#DIV/0!</v>
      </c>
      <c r="AC64" s="56" t="e">
        <f t="shared" si="8"/>
        <v>#DIV/0!</v>
      </c>
      <c r="AD64" s="56" t="e">
        <f t="shared" si="8"/>
        <v>#DIV/0!</v>
      </c>
      <c r="AE64" s="57" t="e">
        <f>_xlfn.LET(_xlpm.x, _xlfn.XLOOKUP($Q64, $L$63:$N$63, $L64:$N64), IF(ISERROR(_xlpm.x), 0, _xlpm.x)*AB64/$AB$62)</f>
        <v>#DIV/0!</v>
      </c>
      <c r="AF64" s="57" t="e" cm="1">
        <f t="array" ref="AF64:AF122">_xlfn.LET(_xlpm.x, AB64:AB122, _xlpm.x/SUM(_xlpm.x))</f>
        <v>#DIV/0!</v>
      </c>
      <c r="AG64" s="57" t="e">
        <f t="shared" ref="AG64:AG122" si="9">_xlfn.LET(_xlpm.x, _xlfn.XLOOKUP($Q64, $L$63:$N$63, $L64:$N64), IF(ISERROR(_xlpm.x), 0, _xlpm.x)*AC64/$AB$62)</f>
        <v>#DIV/0!</v>
      </c>
      <c r="AH64" s="57" t="e" cm="1">
        <f t="array" ref="AH64:AH122">_xlfn.LET(_xlpm.x, AC64:AC122, _xlpm.x/SUM(_xlpm.x))</f>
        <v>#DIV/0!</v>
      </c>
      <c r="AI64" s="57" t="e">
        <f t="shared" ref="AI64:AI122" si="10">_xlfn.LET(_xlpm.x, _xlfn.XLOOKUP($Q64, $L$63:$N$63, $L64:$N64), IF(ISERROR(_xlpm.x), 0, _xlpm.x)*AD64/$AB$62)</f>
        <v>#DIV/0!</v>
      </c>
      <c r="AJ64" s="57" t="e" cm="1">
        <f t="array" ref="AJ64:AJ122">_xlfn.LET(_xlpm.x, AD64:AD122, _xlpm.x/SUM(_xlpm.x))</f>
        <v>#DIV/0!</v>
      </c>
      <c r="AL64" s="134">
        <v>2.069E-2</v>
      </c>
    </row>
    <row r="65" spans="1:38">
      <c r="A65" s="48">
        <v>0</v>
      </c>
      <c r="B65" s="48">
        <v>1</v>
      </c>
      <c r="C65" s="49"/>
      <c r="D65" s="49"/>
      <c r="E65" s="49"/>
      <c r="F65" s="49"/>
      <c r="G65" s="49"/>
      <c r="H65" s="59"/>
      <c r="I65" s="50">
        <v>0</v>
      </c>
      <c r="J65" s="50" t="e">
        <v>#DIV/0!</v>
      </c>
      <c r="K65" s="50"/>
      <c r="L65" s="50" t="e">
        <v>#DIV/0!</v>
      </c>
      <c r="M65" s="51" t="e">
        <v>#DIV/0!</v>
      </c>
      <c r="N65" s="50"/>
      <c r="O65" s="17"/>
      <c r="P65" s="52" t="str">
        <f t="shared" si="7"/>
        <v>(0, 1]</v>
      </c>
      <c r="Q65" s="53" t="s">
        <v>145</v>
      </c>
      <c r="R65" s="50">
        <f t="shared" ref="R65:R122" si="11">_xlfn.SINGLE(_xlfn.XLOOKUP(Q65, $I$63:$K$63, I65:K65))</f>
        <v>0</v>
      </c>
      <c r="S65" s="54">
        <v>0</v>
      </c>
      <c r="T65" s="54">
        <v>0</v>
      </c>
      <c r="U65" s="54">
        <v>0</v>
      </c>
      <c r="V65" s="55">
        <v>0</v>
      </c>
      <c r="W65" s="55">
        <v>0</v>
      </c>
      <c r="X65" s="55">
        <v>0</v>
      </c>
      <c r="Y65" s="55" t="e">
        <v>#DIV/0!</v>
      </c>
      <c r="Z65" s="55" t="e">
        <v>#DIV/0!</v>
      </c>
      <c r="AA65" s="55" t="e">
        <v>#DIV/0!</v>
      </c>
      <c r="AB65" s="56" t="e">
        <f t="shared" si="8"/>
        <v>#DIV/0!</v>
      </c>
      <c r="AC65" s="56" t="e">
        <f t="shared" si="8"/>
        <v>#DIV/0!</v>
      </c>
      <c r="AD65" s="56" t="e">
        <f t="shared" si="8"/>
        <v>#DIV/0!</v>
      </c>
      <c r="AE65" s="57" t="e">
        <f t="shared" ref="AE65:AE122" si="12">_xlfn.LET(_xlpm.x, _xlfn.XLOOKUP($Q65, $L$63:$N$63, $L65:$N65), IF(ISERROR(_xlpm.x), 0, _xlpm.x)*AB65/$AB$62)</f>
        <v>#DIV/0!</v>
      </c>
      <c r="AF65" s="57" t="e">
        <v>#DIV/0!</v>
      </c>
      <c r="AG65" s="57" t="e">
        <f t="shared" si="9"/>
        <v>#DIV/0!</v>
      </c>
      <c r="AH65" s="57" t="e">
        <v>#DIV/0!</v>
      </c>
      <c r="AI65" s="57" t="e">
        <f t="shared" si="10"/>
        <v>#DIV/0!</v>
      </c>
      <c r="AJ65" s="57" t="e">
        <v>#DIV/0!</v>
      </c>
      <c r="AL65" s="134">
        <v>6.8970000000000004E-3</v>
      </c>
    </row>
    <row r="66" spans="1:38">
      <c r="A66" s="48">
        <v>1</v>
      </c>
      <c r="B66" s="48">
        <v>2</v>
      </c>
      <c r="C66" s="49"/>
      <c r="D66" s="49"/>
      <c r="E66" s="49"/>
      <c r="F66" s="49"/>
      <c r="G66" s="49"/>
      <c r="H66" s="59"/>
      <c r="I66" s="50">
        <v>0</v>
      </c>
      <c r="J66" s="50" t="e">
        <v>#DIV/0!</v>
      </c>
      <c r="K66" s="50"/>
      <c r="L66" s="50" t="e">
        <v>#DIV/0!</v>
      </c>
      <c r="M66" s="51" t="e">
        <v>#DIV/0!</v>
      </c>
      <c r="N66" s="50"/>
      <c r="O66" s="17"/>
      <c r="P66" s="52" t="str">
        <f t="shared" si="7"/>
        <v>(1, 2]</v>
      </c>
      <c r="Q66" s="53" t="s">
        <v>145</v>
      </c>
      <c r="R66" s="50">
        <f t="shared" si="11"/>
        <v>0</v>
      </c>
      <c r="S66" s="54">
        <v>0</v>
      </c>
      <c r="T66" s="54">
        <v>0</v>
      </c>
      <c r="U66" s="54">
        <v>0</v>
      </c>
      <c r="V66" s="55">
        <v>0</v>
      </c>
      <c r="W66" s="55">
        <v>0</v>
      </c>
      <c r="X66" s="55">
        <v>0</v>
      </c>
      <c r="Y66" s="55" t="e">
        <v>#DIV/0!</v>
      </c>
      <c r="Z66" s="55" t="e">
        <v>#DIV/0!</v>
      </c>
      <c r="AA66" s="55" t="e">
        <v>#DIV/0!</v>
      </c>
      <c r="AB66" s="56" t="e">
        <f t="shared" si="8"/>
        <v>#DIV/0!</v>
      </c>
      <c r="AC66" s="56" t="e">
        <f t="shared" si="8"/>
        <v>#DIV/0!</v>
      </c>
      <c r="AD66" s="56" t="e">
        <f t="shared" si="8"/>
        <v>#DIV/0!</v>
      </c>
      <c r="AE66" s="57" t="e">
        <f t="shared" si="12"/>
        <v>#DIV/0!</v>
      </c>
      <c r="AF66" s="57" t="e">
        <v>#DIV/0!</v>
      </c>
      <c r="AG66" s="57" t="e">
        <f t="shared" si="9"/>
        <v>#DIV/0!</v>
      </c>
      <c r="AH66" s="57" t="e">
        <v>#DIV/0!</v>
      </c>
      <c r="AI66" s="57" t="e">
        <f t="shared" si="10"/>
        <v>#DIV/0!</v>
      </c>
      <c r="AJ66" s="57" t="e">
        <v>#DIV/0!</v>
      </c>
      <c r="AL66" s="134">
        <v>6.8970000000000004E-3</v>
      </c>
    </row>
    <row r="67" spans="1:38">
      <c r="A67" s="48">
        <v>2</v>
      </c>
      <c r="B67" s="48">
        <v>3</v>
      </c>
      <c r="C67" s="49"/>
      <c r="D67" s="49"/>
      <c r="E67" s="49"/>
      <c r="F67" s="49"/>
      <c r="G67" s="49"/>
      <c r="H67" s="59"/>
      <c r="I67" s="50">
        <v>0</v>
      </c>
      <c r="J67" s="50" t="e">
        <v>#DIV/0!</v>
      </c>
      <c r="K67" s="50"/>
      <c r="L67" s="50" t="e">
        <v>#DIV/0!</v>
      </c>
      <c r="M67" s="51" t="e">
        <v>#DIV/0!</v>
      </c>
      <c r="N67" s="50"/>
      <c r="O67" s="17"/>
      <c r="P67" s="52" t="str">
        <f t="shared" si="7"/>
        <v>(2, 3]</v>
      </c>
      <c r="Q67" s="53" t="s">
        <v>145</v>
      </c>
      <c r="R67" s="50">
        <f t="shared" si="11"/>
        <v>0</v>
      </c>
      <c r="S67" s="54">
        <v>0</v>
      </c>
      <c r="T67" s="54">
        <v>0</v>
      </c>
      <c r="U67" s="54">
        <v>0</v>
      </c>
      <c r="V67" s="55">
        <v>0</v>
      </c>
      <c r="W67" s="55">
        <v>0</v>
      </c>
      <c r="X67" s="55">
        <v>0</v>
      </c>
      <c r="Y67" s="55" t="e">
        <v>#DIV/0!</v>
      </c>
      <c r="Z67" s="55" t="e">
        <v>#DIV/0!</v>
      </c>
      <c r="AA67" s="55" t="e">
        <v>#DIV/0!</v>
      </c>
      <c r="AB67" s="56" t="e">
        <f t="shared" si="8"/>
        <v>#DIV/0!</v>
      </c>
      <c r="AC67" s="56" t="e">
        <f t="shared" si="8"/>
        <v>#DIV/0!</v>
      </c>
      <c r="AD67" s="56" t="e">
        <f t="shared" si="8"/>
        <v>#DIV/0!</v>
      </c>
      <c r="AE67" s="57" t="e">
        <f t="shared" si="12"/>
        <v>#DIV/0!</v>
      </c>
      <c r="AF67" s="57" t="e">
        <v>#DIV/0!</v>
      </c>
      <c r="AG67" s="57" t="e">
        <f t="shared" si="9"/>
        <v>#DIV/0!</v>
      </c>
      <c r="AH67" s="57" t="e">
        <v>#DIV/0!</v>
      </c>
      <c r="AI67" s="57" t="e">
        <f t="shared" si="10"/>
        <v>#DIV/0!</v>
      </c>
      <c r="AJ67" s="57" t="e">
        <v>#DIV/0!</v>
      </c>
      <c r="AL67" s="134">
        <v>6.8970000000000004E-3</v>
      </c>
    </row>
    <row r="68" spans="1:38">
      <c r="A68" s="48">
        <v>3</v>
      </c>
      <c r="B68" s="48">
        <v>4</v>
      </c>
      <c r="C68" s="49"/>
      <c r="D68" s="49"/>
      <c r="E68" s="49"/>
      <c r="F68" s="49"/>
      <c r="G68" s="49"/>
      <c r="H68" s="59"/>
      <c r="I68" s="50">
        <v>0</v>
      </c>
      <c r="J68" s="50" t="e">
        <v>#DIV/0!</v>
      </c>
      <c r="K68" s="50"/>
      <c r="L68" s="50" t="e">
        <v>#DIV/0!</v>
      </c>
      <c r="M68" s="51" t="e">
        <v>#DIV/0!</v>
      </c>
      <c r="N68" s="50"/>
      <c r="O68" s="17"/>
      <c r="P68" s="52" t="str">
        <f t="shared" si="7"/>
        <v>(3, 4]</v>
      </c>
      <c r="Q68" s="53" t="s">
        <v>145</v>
      </c>
      <c r="R68" s="50">
        <f t="shared" si="11"/>
        <v>0</v>
      </c>
      <c r="S68" s="54">
        <v>0</v>
      </c>
      <c r="T68" s="54">
        <v>0</v>
      </c>
      <c r="U68" s="54">
        <v>0</v>
      </c>
      <c r="V68" s="55">
        <v>0</v>
      </c>
      <c r="W68" s="55">
        <v>0</v>
      </c>
      <c r="X68" s="55">
        <v>0</v>
      </c>
      <c r="Y68" s="55" t="e">
        <v>#DIV/0!</v>
      </c>
      <c r="Z68" s="55" t="e">
        <v>#DIV/0!</v>
      </c>
      <c r="AA68" s="55" t="e">
        <v>#DIV/0!</v>
      </c>
      <c r="AB68" s="56" t="e">
        <f t="shared" si="8"/>
        <v>#DIV/0!</v>
      </c>
      <c r="AC68" s="56" t="e">
        <f t="shared" si="8"/>
        <v>#DIV/0!</v>
      </c>
      <c r="AD68" s="56" t="e">
        <f t="shared" si="8"/>
        <v>#DIV/0!</v>
      </c>
      <c r="AE68" s="57" t="e">
        <f t="shared" si="12"/>
        <v>#DIV/0!</v>
      </c>
      <c r="AF68" s="57" t="e">
        <v>#DIV/0!</v>
      </c>
      <c r="AG68" s="57" t="e">
        <f t="shared" si="9"/>
        <v>#DIV/0!</v>
      </c>
      <c r="AH68" s="57" t="e">
        <v>#DIV/0!</v>
      </c>
      <c r="AI68" s="57" t="e">
        <f t="shared" si="10"/>
        <v>#DIV/0!</v>
      </c>
      <c r="AJ68" s="57" t="e">
        <v>#DIV/0!</v>
      </c>
      <c r="AL68" s="134">
        <v>6.8970000000000004E-3</v>
      </c>
    </row>
    <row r="69" spans="1:38" s="61" customFormat="1" ht="15.75">
      <c r="A69" s="48">
        <v>4</v>
      </c>
      <c r="B69" s="48">
        <v>5</v>
      </c>
      <c r="C69" s="49"/>
      <c r="D69" s="49"/>
      <c r="E69" s="49"/>
      <c r="F69" s="49"/>
      <c r="G69" s="49"/>
      <c r="H69" s="59"/>
      <c r="I69" s="50">
        <v>0</v>
      </c>
      <c r="J69" s="50" t="e">
        <v>#DIV/0!</v>
      </c>
      <c r="K69" s="50"/>
      <c r="L69" s="50" t="e">
        <v>#DIV/0!</v>
      </c>
      <c r="M69" s="51" t="e">
        <v>#DIV/0!</v>
      </c>
      <c r="N69" s="50"/>
      <c r="O69" s="17"/>
      <c r="P69" s="52" t="str">
        <f t="shared" si="7"/>
        <v>(4, 5]</v>
      </c>
      <c r="Q69" s="53" t="s">
        <v>145</v>
      </c>
      <c r="R69" s="50">
        <f t="shared" si="11"/>
        <v>0</v>
      </c>
      <c r="S69" s="54">
        <v>0</v>
      </c>
      <c r="T69" s="54">
        <v>0</v>
      </c>
      <c r="U69" s="54">
        <v>0</v>
      </c>
      <c r="V69" s="55">
        <v>0</v>
      </c>
      <c r="W69" s="55">
        <v>0</v>
      </c>
      <c r="X69" s="55">
        <v>0</v>
      </c>
      <c r="Y69" s="55" t="e">
        <v>#DIV/0!</v>
      </c>
      <c r="Z69" s="55" t="e">
        <v>#DIV/0!</v>
      </c>
      <c r="AA69" s="55" t="e">
        <v>#DIV/0!</v>
      </c>
      <c r="AB69" s="56" t="e">
        <f t="shared" si="8"/>
        <v>#DIV/0!</v>
      </c>
      <c r="AC69" s="56" t="e">
        <f t="shared" si="8"/>
        <v>#DIV/0!</v>
      </c>
      <c r="AD69" s="56" t="e">
        <f t="shared" si="8"/>
        <v>#DIV/0!</v>
      </c>
      <c r="AE69" s="57" t="e">
        <f t="shared" si="12"/>
        <v>#DIV/0!</v>
      </c>
      <c r="AF69" s="57" t="e">
        <v>#DIV/0!</v>
      </c>
      <c r="AG69" s="57" t="e">
        <f t="shared" si="9"/>
        <v>#DIV/0!</v>
      </c>
      <c r="AH69" s="57" t="e">
        <v>#DIV/0!</v>
      </c>
      <c r="AI69" s="57" t="e">
        <f t="shared" si="10"/>
        <v>#DIV/0!</v>
      </c>
      <c r="AJ69" s="57" t="e">
        <v>#DIV/0!</v>
      </c>
      <c r="AL69" s="104">
        <v>6.8970000000000004E-3</v>
      </c>
    </row>
    <row r="70" spans="1:38" ht="15.75">
      <c r="A70" s="48">
        <v>5</v>
      </c>
      <c r="B70" s="48">
        <v>6</v>
      </c>
      <c r="C70" s="49"/>
      <c r="D70" s="49"/>
      <c r="E70" s="49"/>
      <c r="F70" s="49"/>
      <c r="G70" s="49"/>
      <c r="H70" s="59"/>
      <c r="I70" s="50">
        <v>0</v>
      </c>
      <c r="J70" s="50" t="e">
        <v>#DIV/0!</v>
      </c>
      <c r="K70" s="50"/>
      <c r="L70" s="50" t="e">
        <v>#DIV/0!</v>
      </c>
      <c r="M70" s="51" t="e">
        <v>#DIV/0!</v>
      </c>
      <c r="N70" s="50"/>
      <c r="O70" s="17"/>
      <c r="P70" s="52" t="str">
        <f t="shared" si="7"/>
        <v>(5, 6]</v>
      </c>
      <c r="Q70" s="53" t="s">
        <v>145</v>
      </c>
      <c r="R70" s="50">
        <f t="shared" si="11"/>
        <v>0</v>
      </c>
      <c r="S70" s="54">
        <v>0</v>
      </c>
      <c r="T70" s="54">
        <v>0</v>
      </c>
      <c r="U70" s="54">
        <v>0</v>
      </c>
      <c r="V70" s="55">
        <v>0</v>
      </c>
      <c r="W70" s="55">
        <v>0</v>
      </c>
      <c r="X70" s="55">
        <v>0</v>
      </c>
      <c r="Y70" s="55" t="e">
        <v>#DIV/0!</v>
      </c>
      <c r="Z70" s="55" t="e">
        <v>#DIV/0!</v>
      </c>
      <c r="AA70" s="55" t="e">
        <v>#DIV/0!</v>
      </c>
      <c r="AB70" s="56" t="e">
        <f t="shared" si="8"/>
        <v>#DIV/0!</v>
      </c>
      <c r="AC70" s="56" t="e">
        <f t="shared" si="8"/>
        <v>#DIV/0!</v>
      </c>
      <c r="AD70" s="56" t="e">
        <f t="shared" si="8"/>
        <v>#DIV/0!</v>
      </c>
      <c r="AE70" s="57" t="e">
        <f t="shared" si="12"/>
        <v>#DIV/0!</v>
      </c>
      <c r="AF70" s="57" t="e">
        <v>#DIV/0!</v>
      </c>
      <c r="AG70" s="57" t="e">
        <f t="shared" si="9"/>
        <v>#DIV/0!</v>
      </c>
      <c r="AH70" s="57" t="e">
        <v>#DIV/0!</v>
      </c>
      <c r="AI70" s="57" t="e">
        <f t="shared" si="10"/>
        <v>#DIV/0!</v>
      </c>
      <c r="AJ70" s="57" t="e">
        <v>#DIV/0!</v>
      </c>
      <c r="AL70" s="16">
        <v>6.8970000000000004E-3</v>
      </c>
    </row>
    <row r="71" spans="1:38" ht="15.75">
      <c r="A71" s="48">
        <v>6</v>
      </c>
      <c r="B71" s="48">
        <v>7</v>
      </c>
      <c r="C71" s="49"/>
      <c r="D71" s="49"/>
      <c r="E71" s="49"/>
      <c r="F71" s="49"/>
      <c r="G71" s="49"/>
      <c r="H71" s="59"/>
      <c r="I71" s="50">
        <v>0</v>
      </c>
      <c r="J71" s="50" t="e">
        <v>#DIV/0!</v>
      </c>
      <c r="K71" s="50"/>
      <c r="L71" s="50" t="e">
        <v>#DIV/0!</v>
      </c>
      <c r="M71" s="51" t="e">
        <v>#DIV/0!</v>
      </c>
      <c r="N71" s="50"/>
      <c r="O71" s="17"/>
      <c r="P71" s="52" t="str">
        <f t="shared" si="7"/>
        <v>(6, 7]</v>
      </c>
      <c r="Q71" s="53" t="s">
        <v>145</v>
      </c>
      <c r="R71" s="50">
        <f t="shared" si="11"/>
        <v>0</v>
      </c>
      <c r="S71" s="54">
        <v>0</v>
      </c>
      <c r="T71" s="54">
        <v>0</v>
      </c>
      <c r="U71" s="54">
        <v>0</v>
      </c>
      <c r="V71" s="55">
        <v>0</v>
      </c>
      <c r="W71" s="55">
        <v>0</v>
      </c>
      <c r="X71" s="55">
        <v>0</v>
      </c>
      <c r="Y71" s="55" t="e">
        <v>#DIV/0!</v>
      </c>
      <c r="Z71" s="55" t="e">
        <v>#DIV/0!</v>
      </c>
      <c r="AA71" s="55" t="e">
        <v>#DIV/0!</v>
      </c>
      <c r="AB71" s="56" t="e">
        <f t="shared" si="8"/>
        <v>#DIV/0!</v>
      </c>
      <c r="AC71" s="56" t="e">
        <f t="shared" si="8"/>
        <v>#DIV/0!</v>
      </c>
      <c r="AD71" s="56" t="e">
        <f t="shared" si="8"/>
        <v>#DIV/0!</v>
      </c>
      <c r="AE71" s="57" t="e">
        <f t="shared" si="12"/>
        <v>#DIV/0!</v>
      </c>
      <c r="AF71" s="57" t="e">
        <v>#DIV/0!</v>
      </c>
      <c r="AG71" s="57" t="e">
        <f t="shared" si="9"/>
        <v>#DIV/0!</v>
      </c>
      <c r="AH71" s="57" t="e">
        <v>#DIV/0!</v>
      </c>
      <c r="AI71" s="57" t="e">
        <f t="shared" si="10"/>
        <v>#DIV/0!</v>
      </c>
      <c r="AJ71" s="57" t="e">
        <v>#DIV/0!</v>
      </c>
      <c r="AL71" s="16">
        <v>2.069E-2</v>
      </c>
    </row>
    <row r="72" spans="1:38" ht="15.75">
      <c r="A72" s="48">
        <v>7</v>
      </c>
      <c r="B72" s="48">
        <v>8</v>
      </c>
      <c r="C72" s="49"/>
      <c r="D72" s="49"/>
      <c r="E72" s="49"/>
      <c r="F72" s="49"/>
      <c r="G72" s="49"/>
      <c r="H72" s="59"/>
      <c r="I72" s="50">
        <v>0</v>
      </c>
      <c r="J72" s="50" t="e">
        <v>#DIV/0!</v>
      </c>
      <c r="K72" s="50"/>
      <c r="L72" s="50" t="e">
        <v>#DIV/0!</v>
      </c>
      <c r="M72" s="50" t="e">
        <v>#DIV/0!</v>
      </c>
      <c r="N72" s="50"/>
      <c r="O72" s="17"/>
      <c r="P72" s="52" t="str">
        <f t="shared" si="7"/>
        <v>(7, 8]</v>
      </c>
      <c r="Q72" s="53" t="s">
        <v>145</v>
      </c>
      <c r="R72" s="50">
        <f t="shared" si="11"/>
        <v>0</v>
      </c>
      <c r="S72" s="54">
        <v>0</v>
      </c>
      <c r="T72" s="54">
        <v>0.2</v>
      </c>
      <c r="U72" s="54">
        <v>0</v>
      </c>
      <c r="V72" s="55">
        <v>0</v>
      </c>
      <c r="W72" s="55">
        <v>0</v>
      </c>
      <c r="X72" s="55">
        <v>0</v>
      </c>
      <c r="Y72" s="55" t="e">
        <v>#DIV/0!</v>
      </c>
      <c r="Z72" s="55" t="e">
        <v>#DIV/0!</v>
      </c>
      <c r="AA72" s="55" t="e">
        <v>#DIV/0!</v>
      </c>
      <c r="AB72" s="56" t="e">
        <f t="shared" si="8"/>
        <v>#DIV/0!</v>
      </c>
      <c r="AC72" s="56" t="e">
        <f t="shared" si="8"/>
        <v>#DIV/0!</v>
      </c>
      <c r="AD72" s="56" t="e">
        <f t="shared" si="8"/>
        <v>#DIV/0!</v>
      </c>
      <c r="AE72" s="57" t="e">
        <f t="shared" si="12"/>
        <v>#DIV/0!</v>
      </c>
      <c r="AF72" s="57" t="e">
        <v>#DIV/0!</v>
      </c>
      <c r="AG72" s="57" t="e">
        <f t="shared" si="9"/>
        <v>#DIV/0!</v>
      </c>
      <c r="AH72" s="57" t="e">
        <v>#DIV/0!</v>
      </c>
      <c r="AI72" s="57" t="e">
        <f t="shared" si="10"/>
        <v>#DIV/0!</v>
      </c>
      <c r="AJ72" s="57" t="e">
        <v>#DIV/0!</v>
      </c>
      <c r="AL72" s="16">
        <v>0</v>
      </c>
    </row>
    <row r="73" spans="1:38" ht="15.75">
      <c r="A73" s="48">
        <v>8</v>
      </c>
      <c r="B73" s="48">
        <v>9</v>
      </c>
      <c r="C73" s="49"/>
      <c r="D73" s="49"/>
      <c r="E73" s="49"/>
      <c r="F73" s="49"/>
      <c r="G73" s="49"/>
      <c r="H73" s="59"/>
      <c r="I73" s="50">
        <v>0</v>
      </c>
      <c r="J73" s="50" t="e">
        <v>#DIV/0!</v>
      </c>
      <c r="K73" s="50"/>
      <c r="L73" s="50" t="e">
        <v>#DIV/0!</v>
      </c>
      <c r="M73" s="50" t="e">
        <v>#DIV/0!</v>
      </c>
      <c r="N73" s="50"/>
      <c r="O73" s="17"/>
      <c r="P73" s="52" t="str">
        <f t="shared" si="7"/>
        <v>(8, 9]</v>
      </c>
      <c r="Q73" s="53" t="s">
        <v>145</v>
      </c>
      <c r="R73" s="50">
        <f t="shared" si="11"/>
        <v>0</v>
      </c>
      <c r="S73" s="54">
        <v>0</v>
      </c>
      <c r="T73" s="54">
        <v>0.2</v>
      </c>
      <c r="U73" s="54">
        <v>0</v>
      </c>
      <c r="V73" s="55">
        <v>0</v>
      </c>
      <c r="W73" s="55">
        <v>0</v>
      </c>
      <c r="X73" s="55">
        <v>0</v>
      </c>
      <c r="Y73" s="55" t="e">
        <v>#DIV/0!</v>
      </c>
      <c r="Z73" s="55" t="e">
        <v>#DIV/0!</v>
      </c>
      <c r="AA73" s="55" t="e">
        <v>#DIV/0!</v>
      </c>
      <c r="AB73" s="56" t="e">
        <f t="shared" si="8"/>
        <v>#DIV/0!</v>
      </c>
      <c r="AC73" s="56" t="e">
        <f t="shared" si="8"/>
        <v>#DIV/0!</v>
      </c>
      <c r="AD73" s="56" t="e">
        <f t="shared" si="8"/>
        <v>#DIV/0!</v>
      </c>
      <c r="AE73" s="57" t="e">
        <f t="shared" si="12"/>
        <v>#DIV/0!</v>
      </c>
      <c r="AF73" s="57" t="e">
        <v>#DIV/0!</v>
      </c>
      <c r="AG73" s="57" t="e">
        <f t="shared" si="9"/>
        <v>#DIV/0!</v>
      </c>
      <c r="AH73" s="57" t="e">
        <v>#DIV/0!</v>
      </c>
      <c r="AI73" s="57" t="e">
        <f t="shared" si="10"/>
        <v>#DIV/0!</v>
      </c>
      <c r="AJ73" s="57" t="e">
        <v>#DIV/0!</v>
      </c>
      <c r="AL73" s="16">
        <v>6.8970000000000004E-3</v>
      </c>
    </row>
    <row r="74" spans="1:38" ht="15.75">
      <c r="A74" s="48">
        <v>9</v>
      </c>
      <c r="B74" s="48">
        <v>10</v>
      </c>
      <c r="C74" s="49"/>
      <c r="D74" s="49"/>
      <c r="E74" s="49"/>
      <c r="F74" s="49"/>
      <c r="G74" s="49"/>
      <c r="H74" s="59"/>
      <c r="I74" s="50">
        <v>0</v>
      </c>
      <c r="J74" s="50" t="e">
        <v>#DIV/0!</v>
      </c>
      <c r="K74" s="50"/>
      <c r="L74" s="50" t="e">
        <v>#DIV/0!</v>
      </c>
      <c r="M74" s="50" t="e">
        <v>#DIV/0!</v>
      </c>
      <c r="N74" s="50"/>
      <c r="O74" s="17"/>
      <c r="P74" s="52" t="str">
        <f t="shared" si="7"/>
        <v>(9, 10]</v>
      </c>
      <c r="Q74" s="53" t="s">
        <v>145</v>
      </c>
      <c r="R74" s="50">
        <f t="shared" si="11"/>
        <v>0</v>
      </c>
      <c r="S74" s="54">
        <v>0</v>
      </c>
      <c r="T74" s="54">
        <v>0.2</v>
      </c>
      <c r="U74" s="54">
        <v>0</v>
      </c>
      <c r="V74" s="55">
        <v>0</v>
      </c>
      <c r="W74" s="55">
        <v>0</v>
      </c>
      <c r="X74" s="55">
        <v>0</v>
      </c>
      <c r="Y74" s="55" t="e">
        <v>#DIV/0!</v>
      </c>
      <c r="Z74" s="55" t="e">
        <v>#DIV/0!</v>
      </c>
      <c r="AA74" s="55" t="e">
        <v>#DIV/0!</v>
      </c>
      <c r="AB74" s="56" t="e">
        <f t="shared" si="8"/>
        <v>#DIV/0!</v>
      </c>
      <c r="AC74" s="56" t="e">
        <f t="shared" si="8"/>
        <v>#DIV/0!</v>
      </c>
      <c r="AD74" s="56" t="e">
        <f t="shared" si="8"/>
        <v>#DIV/0!</v>
      </c>
      <c r="AE74" s="57" t="e">
        <f t="shared" si="12"/>
        <v>#DIV/0!</v>
      </c>
      <c r="AF74" s="57" t="e">
        <v>#DIV/0!</v>
      </c>
      <c r="AG74" s="57" t="e">
        <f t="shared" si="9"/>
        <v>#DIV/0!</v>
      </c>
      <c r="AH74" s="57" t="e">
        <v>#DIV/0!</v>
      </c>
      <c r="AI74" s="57" t="e">
        <f t="shared" si="10"/>
        <v>#DIV/0!</v>
      </c>
      <c r="AJ74" s="57" t="e">
        <v>#DIV/0!</v>
      </c>
      <c r="AL74" s="16">
        <v>0</v>
      </c>
    </row>
    <row r="75" spans="1:38" ht="15.6" customHeight="1">
      <c r="A75" s="48">
        <v>10</v>
      </c>
      <c r="B75" s="48">
        <v>15</v>
      </c>
      <c r="C75" s="49"/>
      <c r="D75" s="49"/>
      <c r="E75" s="49"/>
      <c r="F75" s="49"/>
      <c r="G75" s="49"/>
      <c r="H75" s="59"/>
      <c r="I75" s="50">
        <v>0</v>
      </c>
      <c r="J75" s="50" t="e">
        <v>#DIV/0!</v>
      </c>
      <c r="K75" s="50"/>
      <c r="L75" s="50" t="e">
        <v>#DIV/0!</v>
      </c>
      <c r="M75" s="50" t="e">
        <v>#DIV/0!</v>
      </c>
      <c r="N75" s="50"/>
      <c r="O75" s="17"/>
      <c r="P75" s="52" t="str">
        <f t="shared" si="7"/>
        <v>(10, 15]</v>
      </c>
      <c r="Q75" s="53" t="s">
        <v>145</v>
      </c>
      <c r="R75" s="50">
        <f t="shared" si="11"/>
        <v>0</v>
      </c>
      <c r="S75" s="54">
        <v>0</v>
      </c>
      <c r="T75" s="54">
        <v>0.08</v>
      </c>
      <c r="U75" s="54">
        <v>0</v>
      </c>
      <c r="V75" s="55">
        <v>0</v>
      </c>
      <c r="W75" s="55">
        <v>0</v>
      </c>
      <c r="X75" s="55">
        <v>0</v>
      </c>
      <c r="Y75" s="55" t="e">
        <v>#DIV/0!</v>
      </c>
      <c r="Z75" s="55" t="e">
        <v>#DIV/0!</v>
      </c>
      <c r="AA75" s="55" t="e">
        <v>#DIV/0!</v>
      </c>
      <c r="AB75" s="56" t="e">
        <f t="shared" si="8"/>
        <v>#DIV/0!</v>
      </c>
      <c r="AC75" s="56" t="e">
        <f t="shared" si="8"/>
        <v>#DIV/0!</v>
      </c>
      <c r="AD75" s="56" t="e">
        <f t="shared" si="8"/>
        <v>#DIV/0!</v>
      </c>
      <c r="AE75" s="57" t="e">
        <f t="shared" si="12"/>
        <v>#DIV/0!</v>
      </c>
      <c r="AF75" s="57" t="e">
        <v>#DIV/0!</v>
      </c>
      <c r="AG75" s="57" t="e">
        <f t="shared" si="9"/>
        <v>#DIV/0!</v>
      </c>
      <c r="AH75" s="57" t="e">
        <v>#DIV/0!</v>
      </c>
      <c r="AI75" s="57" t="e">
        <f t="shared" si="10"/>
        <v>#DIV/0!</v>
      </c>
      <c r="AJ75" s="57" t="e">
        <v>#DIV/0!</v>
      </c>
      <c r="AL75" s="16">
        <v>6.2068999999999999E-2</v>
      </c>
    </row>
    <row r="76" spans="1:38" ht="15.75">
      <c r="A76" s="48">
        <v>15</v>
      </c>
      <c r="B76" s="48">
        <v>20</v>
      </c>
      <c r="C76" s="49"/>
      <c r="D76" s="49"/>
      <c r="E76" s="49"/>
      <c r="F76" s="49"/>
      <c r="G76" s="49"/>
      <c r="H76" s="59"/>
      <c r="I76" s="50">
        <v>0</v>
      </c>
      <c r="J76" s="50" t="e">
        <v>#DIV/0!</v>
      </c>
      <c r="K76" s="50"/>
      <c r="L76" s="50" t="e">
        <v>#DIV/0!</v>
      </c>
      <c r="M76" s="50" t="e">
        <v>#DIV/0!</v>
      </c>
      <c r="N76" s="50"/>
      <c r="O76" s="17"/>
      <c r="P76" s="52" t="str">
        <f t="shared" si="7"/>
        <v>(15, 20]</v>
      </c>
      <c r="Q76" s="53" t="s">
        <v>145</v>
      </c>
      <c r="R76" s="50">
        <f t="shared" si="11"/>
        <v>0</v>
      </c>
      <c r="S76" s="54">
        <v>0</v>
      </c>
      <c r="T76" s="54">
        <v>0.08</v>
      </c>
      <c r="U76" s="54">
        <v>0</v>
      </c>
      <c r="V76" s="55">
        <v>0</v>
      </c>
      <c r="W76" s="55">
        <v>0</v>
      </c>
      <c r="X76" s="55">
        <v>0</v>
      </c>
      <c r="Y76" s="55" t="e">
        <v>#DIV/0!</v>
      </c>
      <c r="Z76" s="55" t="e">
        <v>#DIV/0!</v>
      </c>
      <c r="AA76" s="55" t="e">
        <v>#DIV/0!</v>
      </c>
      <c r="AB76" s="56" t="e">
        <f t="shared" si="8"/>
        <v>#DIV/0!</v>
      </c>
      <c r="AC76" s="56" t="e">
        <f t="shared" si="8"/>
        <v>#DIV/0!</v>
      </c>
      <c r="AD76" s="56" t="e">
        <f t="shared" si="8"/>
        <v>#DIV/0!</v>
      </c>
      <c r="AE76" s="57" t="e">
        <f t="shared" si="12"/>
        <v>#DIV/0!</v>
      </c>
      <c r="AF76" s="57" t="e">
        <v>#DIV/0!</v>
      </c>
      <c r="AG76" s="57" t="e">
        <f t="shared" si="9"/>
        <v>#DIV/0!</v>
      </c>
      <c r="AH76" s="57" t="e">
        <v>#DIV/0!</v>
      </c>
      <c r="AI76" s="57" t="e">
        <f t="shared" si="10"/>
        <v>#DIV/0!</v>
      </c>
      <c r="AJ76" s="57" t="e">
        <v>#DIV/0!</v>
      </c>
      <c r="AL76" s="16">
        <v>2.7585999999999999E-2</v>
      </c>
    </row>
    <row r="77" spans="1:38" ht="15.75">
      <c r="A77" s="48">
        <v>20</v>
      </c>
      <c r="B77" s="48">
        <v>25</v>
      </c>
      <c r="C77" s="49"/>
      <c r="D77" s="49"/>
      <c r="E77" s="49"/>
      <c r="F77" s="49"/>
      <c r="G77" s="49"/>
      <c r="H77" s="59"/>
      <c r="I77" s="50">
        <v>0</v>
      </c>
      <c r="J77" s="50" t="e">
        <v>#DIV/0!</v>
      </c>
      <c r="K77" s="50"/>
      <c r="L77" s="50" t="e">
        <v>#DIV/0!</v>
      </c>
      <c r="M77" s="50" t="e">
        <v>#DIV/0!</v>
      </c>
      <c r="N77" s="50"/>
      <c r="O77" s="17"/>
      <c r="P77" s="52" t="str">
        <f t="shared" si="7"/>
        <v>(20, 25]</v>
      </c>
      <c r="Q77" s="53" t="s">
        <v>145</v>
      </c>
      <c r="R77" s="50">
        <f t="shared" si="11"/>
        <v>0</v>
      </c>
      <c r="S77" s="54">
        <v>0</v>
      </c>
      <c r="T77" s="54">
        <v>0.08</v>
      </c>
      <c r="U77" s="54">
        <v>3</v>
      </c>
      <c r="V77" s="55">
        <v>0</v>
      </c>
      <c r="W77" s="55">
        <v>0</v>
      </c>
      <c r="X77" s="55">
        <v>0</v>
      </c>
      <c r="Y77" s="55" t="e">
        <v>#DIV/0!</v>
      </c>
      <c r="Z77" s="55" t="e">
        <v>#DIV/0!</v>
      </c>
      <c r="AA77" s="55" t="e">
        <v>#DIV/0!</v>
      </c>
      <c r="AB77" s="56" t="e">
        <f t="shared" si="8"/>
        <v>#DIV/0!</v>
      </c>
      <c r="AC77" s="56" t="e">
        <f t="shared" si="8"/>
        <v>#DIV/0!</v>
      </c>
      <c r="AD77" s="56" t="e">
        <f t="shared" si="8"/>
        <v>#DIV/0!</v>
      </c>
      <c r="AE77" s="57" t="e">
        <f t="shared" si="12"/>
        <v>#DIV/0!</v>
      </c>
      <c r="AF77" s="57" t="e">
        <v>#DIV/0!</v>
      </c>
      <c r="AG77" s="57" t="e">
        <f t="shared" si="9"/>
        <v>#DIV/0!</v>
      </c>
      <c r="AH77" s="57" t="e">
        <v>#DIV/0!</v>
      </c>
      <c r="AI77" s="57" t="e">
        <f t="shared" si="10"/>
        <v>#DIV/0!</v>
      </c>
      <c r="AJ77" s="57" t="e">
        <v>#DIV/0!</v>
      </c>
      <c r="AL77" s="16">
        <v>2.069E-2</v>
      </c>
    </row>
    <row r="78" spans="1:38" ht="15.75">
      <c r="A78" s="48">
        <v>25</v>
      </c>
      <c r="B78" s="48">
        <v>30</v>
      </c>
      <c r="C78" s="49"/>
      <c r="D78" s="49"/>
      <c r="E78" s="49"/>
      <c r="F78" s="49"/>
      <c r="G78" s="49"/>
      <c r="H78" s="59"/>
      <c r="I78" s="50">
        <v>0</v>
      </c>
      <c r="J78" s="50" t="e">
        <v>#DIV/0!</v>
      </c>
      <c r="K78" s="50"/>
      <c r="L78" s="50" t="e">
        <v>#DIV/0!</v>
      </c>
      <c r="M78" s="50" t="e">
        <v>#DIV/0!</v>
      </c>
      <c r="N78" s="50"/>
      <c r="O78" s="17"/>
      <c r="P78" s="52" t="str">
        <f t="shared" si="7"/>
        <v>(25, 30]</v>
      </c>
      <c r="Q78" s="53" t="s">
        <v>145</v>
      </c>
      <c r="R78" s="50">
        <f t="shared" si="11"/>
        <v>0</v>
      </c>
      <c r="S78" s="54">
        <v>0</v>
      </c>
      <c r="T78" s="54">
        <v>0.08</v>
      </c>
      <c r="U78" s="54">
        <v>1</v>
      </c>
      <c r="V78" s="55">
        <v>0</v>
      </c>
      <c r="W78" s="55">
        <v>0</v>
      </c>
      <c r="X78" s="55">
        <v>0</v>
      </c>
      <c r="Y78" s="55" t="e">
        <v>#DIV/0!</v>
      </c>
      <c r="Z78" s="55" t="e">
        <v>#DIV/0!</v>
      </c>
      <c r="AA78" s="55" t="e">
        <v>#DIV/0!</v>
      </c>
      <c r="AB78" s="56" t="e">
        <f t="shared" si="8"/>
        <v>#DIV/0!</v>
      </c>
      <c r="AC78" s="56" t="e">
        <f t="shared" si="8"/>
        <v>#DIV/0!</v>
      </c>
      <c r="AD78" s="56" t="e">
        <f t="shared" si="8"/>
        <v>#DIV/0!</v>
      </c>
      <c r="AE78" s="57" t="e">
        <f t="shared" si="12"/>
        <v>#DIV/0!</v>
      </c>
      <c r="AF78" s="57" t="e">
        <v>#DIV/0!</v>
      </c>
      <c r="AG78" s="57" t="e">
        <f t="shared" si="9"/>
        <v>#DIV/0!</v>
      </c>
      <c r="AH78" s="57" t="e">
        <v>#DIV/0!</v>
      </c>
      <c r="AI78" s="57" t="e">
        <f t="shared" si="10"/>
        <v>#DIV/0!</v>
      </c>
      <c r="AJ78" s="57" t="e">
        <v>#DIV/0!</v>
      </c>
      <c r="AL78" s="16">
        <v>8.9654999999999999E-2</v>
      </c>
    </row>
    <row r="79" spans="1:38" ht="15.75">
      <c r="A79" s="48">
        <v>30</v>
      </c>
      <c r="B79" s="48">
        <v>35</v>
      </c>
      <c r="C79" s="49"/>
      <c r="D79" s="49"/>
      <c r="E79" s="49"/>
      <c r="F79" s="49"/>
      <c r="G79" s="49"/>
      <c r="H79" s="59"/>
      <c r="I79" s="50">
        <v>0</v>
      </c>
      <c r="J79" s="50" t="e">
        <v>#DIV/0!</v>
      </c>
      <c r="K79" s="50"/>
      <c r="L79" s="50" t="e">
        <v>#DIV/0!</v>
      </c>
      <c r="M79" s="50" t="e">
        <v>#DIV/0!</v>
      </c>
      <c r="N79" s="50"/>
      <c r="O79" s="17"/>
      <c r="P79" s="52" t="str">
        <f t="shared" si="7"/>
        <v>(30, 35]</v>
      </c>
      <c r="Q79" s="53" t="s">
        <v>145</v>
      </c>
      <c r="R79" s="50">
        <f t="shared" si="11"/>
        <v>0</v>
      </c>
      <c r="S79" s="54">
        <v>3</v>
      </c>
      <c r="T79" s="54">
        <v>0.08</v>
      </c>
      <c r="U79" s="54">
        <v>1</v>
      </c>
      <c r="V79" s="55">
        <v>0</v>
      </c>
      <c r="W79" s="55">
        <v>0</v>
      </c>
      <c r="X79" s="55">
        <v>0</v>
      </c>
      <c r="Y79" s="55" t="e">
        <v>#DIV/0!</v>
      </c>
      <c r="Z79" s="55" t="e">
        <v>#DIV/0!</v>
      </c>
      <c r="AA79" s="55" t="e">
        <v>#DIV/0!</v>
      </c>
      <c r="AB79" s="56" t="e">
        <f t="shared" si="8"/>
        <v>#DIV/0!</v>
      </c>
      <c r="AC79" s="56" t="e">
        <f t="shared" si="8"/>
        <v>#DIV/0!</v>
      </c>
      <c r="AD79" s="56" t="e">
        <f t="shared" si="8"/>
        <v>#DIV/0!</v>
      </c>
      <c r="AE79" s="57" t="e">
        <f t="shared" si="12"/>
        <v>#DIV/0!</v>
      </c>
      <c r="AF79" s="57" t="e">
        <v>#DIV/0!</v>
      </c>
      <c r="AG79" s="57" t="e">
        <f t="shared" si="9"/>
        <v>#DIV/0!</v>
      </c>
      <c r="AH79" s="57" t="e">
        <v>#DIV/0!</v>
      </c>
      <c r="AI79" s="57" t="e">
        <f t="shared" si="10"/>
        <v>#DIV/0!</v>
      </c>
      <c r="AJ79" s="57" t="e">
        <v>#DIV/0!</v>
      </c>
      <c r="AL79" s="16">
        <v>3.4483E-2</v>
      </c>
    </row>
    <row r="80" spans="1:38" ht="15.75">
      <c r="A80" s="48">
        <v>35</v>
      </c>
      <c r="B80" s="48">
        <v>40</v>
      </c>
      <c r="C80" s="49"/>
      <c r="D80" s="49"/>
      <c r="E80" s="49"/>
      <c r="F80" s="49"/>
      <c r="G80" s="49"/>
      <c r="H80" s="59"/>
      <c r="I80" s="50">
        <v>0</v>
      </c>
      <c r="J80" s="50" t="e">
        <v>#DIV/0!</v>
      </c>
      <c r="K80" s="50"/>
      <c r="L80" s="50" t="e">
        <v>#DIV/0!</v>
      </c>
      <c r="M80" s="50" t="e">
        <v>#DIV/0!</v>
      </c>
      <c r="N80" s="50"/>
      <c r="O80" s="17"/>
      <c r="P80" s="52" t="str">
        <f t="shared" si="7"/>
        <v>(35, 40]</v>
      </c>
      <c r="Q80" s="53" t="s">
        <v>145</v>
      </c>
      <c r="R80" s="50">
        <f t="shared" si="11"/>
        <v>0</v>
      </c>
      <c r="S80" s="54">
        <v>3</v>
      </c>
      <c r="T80" s="54">
        <v>0.08</v>
      </c>
      <c r="U80" s="54">
        <v>5</v>
      </c>
      <c r="V80" s="55">
        <v>0</v>
      </c>
      <c r="W80" s="55">
        <v>0</v>
      </c>
      <c r="X80" s="55">
        <v>0</v>
      </c>
      <c r="Y80" s="55" t="e">
        <v>#DIV/0!</v>
      </c>
      <c r="Z80" s="55" t="e">
        <v>#DIV/0!</v>
      </c>
      <c r="AA80" s="55" t="e">
        <v>#DIV/0!</v>
      </c>
      <c r="AB80" s="56" t="e">
        <f t="shared" si="8"/>
        <v>#DIV/0!</v>
      </c>
      <c r="AC80" s="56" t="e">
        <f t="shared" si="8"/>
        <v>#DIV/0!</v>
      </c>
      <c r="AD80" s="56" t="e">
        <f t="shared" si="8"/>
        <v>#DIV/0!</v>
      </c>
      <c r="AE80" s="57" t="e">
        <f t="shared" si="12"/>
        <v>#DIV/0!</v>
      </c>
      <c r="AF80" s="57" t="e">
        <v>#DIV/0!</v>
      </c>
      <c r="AG80" s="57" t="e">
        <f t="shared" si="9"/>
        <v>#DIV/0!</v>
      </c>
      <c r="AH80" s="57" t="e">
        <v>#DIV/0!</v>
      </c>
      <c r="AI80" s="57" t="e">
        <f t="shared" si="10"/>
        <v>#DIV/0!</v>
      </c>
      <c r="AJ80" s="57" t="e">
        <v>#DIV/0!</v>
      </c>
      <c r="AL80" s="16">
        <v>6.2068999999999999E-2</v>
      </c>
    </row>
    <row r="81" spans="1:38" ht="15.75">
      <c r="A81" s="48">
        <v>40</v>
      </c>
      <c r="B81" s="48">
        <v>45</v>
      </c>
      <c r="C81" s="49"/>
      <c r="D81" s="49"/>
      <c r="E81" s="49"/>
      <c r="F81" s="49"/>
      <c r="G81" s="49"/>
      <c r="H81" s="59"/>
      <c r="I81" s="50">
        <v>0</v>
      </c>
      <c r="J81" s="50" t="e">
        <v>#DIV/0!</v>
      </c>
      <c r="K81" s="50"/>
      <c r="L81" s="50" t="e">
        <v>#DIV/0!</v>
      </c>
      <c r="M81" s="50" t="e">
        <v>#DIV/0!</v>
      </c>
      <c r="N81" s="50"/>
      <c r="O81" s="17"/>
      <c r="P81" s="52" t="str">
        <f t="shared" si="7"/>
        <v>(40, 45]</v>
      </c>
      <c r="Q81" s="53" t="s">
        <v>145</v>
      </c>
      <c r="R81" s="50">
        <f t="shared" si="11"/>
        <v>0</v>
      </c>
      <c r="S81" s="54">
        <v>3</v>
      </c>
      <c r="T81" s="54">
        <v>0.08</v>
      </c>
      <c r="U81" s="54">
        <v>1</v>
      </c>
      <c r="V81" s="55">
        <v>0</v>
      </c>
      <c r="W81" s="55">
        <v>0</v>
      </c>
      <c r="X81" s="55">
        <v>0</v>
      </c>
      <c r="Y81" s="55" t="e">
        <v>#DIV/0!</v>
      </c>
      <c r="Z81" s="55" t="e">
        <v>#DIV/0!</v>
      </c>
      <c r="AA81" s="55" t="e">
        <v>#DIV/0!</v>
      </c>
      <c r="AB81" s="56" t="e">
        <f t="shared" si="8"/>
        <v>#DIV/0!</v>
      </c>
      <c r="AC81" s="56" t="e">
        <f t="shared" si="8"/>
        <v>#DIV/0!</v>
      </c>
      <c r="AD81" s="56" t="e">
        <f t="shared" si="8"/>
        <v>#DIV/0!</v>
      </c>
      <c r="AE81" s="57" t="e">
        <f t="shared" si="12"/>
        <v>#DIV/0!</v>
      </c>
      <c r="AF81" s="57" t="e">
        <v>#DIV/0!</v>
      </c>
      <c r="AG81" s="57" t="e">
        <f t="shared" si="9"/>
        <v>#DIV/0!</v>
      </c>
      <c r="AH81" s="57" t="e">
        <v>#DIV/0!</v>
      </c>
      <c r="AI81" s="57" t="e">
        <f t="shared" si="10"/>
        <v>#DIV/0!</v>
      </c>
      <c r="AJ81" s="57" t="e">
        <v>#DIV/0!</v>
      </c>
      <c r="AL81" s="16">
        <v>5.5171999999999999E-2</v>
      </c>
    </row>
    <row r="82" spans="1:38" ht="15.75">
      <c r="A82" s="48">
        <v>45</v>
      </c>
      <c r="B82" s="48">
        <v>50</v>
      </c>
      <c r="C82" s="49"/>
      <c r="D82" s="49"/>
      <c r="E82" s="49"/>
      <c r="F82" s="49"/>
      <c r="G82" s="49"/>
      <c r="H82" s="59"/>
      <c r="I82" s="50">
        <v>0</v>
      </c>
      <c r="J82" s="50" t="e">
        <v>#DIV/0!</v>
      </c>
      <c r="K82" s="50"/>
      <c r="L82" s="50" t="e">
        <v>#DIV/0!</v>
      </c>
      <c r="M82" s="50" t="e">
        <v>#DIV/0!</v>
      </c>
      <c r="N82" s="50"/>
      <c r="O82" s="17"/>
      <c r="P82" s="52" t="str">
        <f t="shared" si="7"/>
        <v>(45, 50]</v>
      </c>
      <c r="Q82" s="53" t="s">
        <v>145</v>
      </c>
      <c r="R82" s="50">
        <f t="shared" si="11"/>
        <v>0</v>
      </c>
      <c r="S82" s="54">
        <v>3</v>
      </c>
      <c r="T82" s="54">
        <v>0.08</v>
      </c>
      <c r="U82" s="54">
        <v>1</v>
      </c>
      <c r="V82" s="55">
        <v>0</v>
      </c>
      <c r="W82" s="55">
        <v>0</v>
      </c>
      <c r="X82" s="55">
        <v>0</v>
      </c>
      <c r="Y82" s="55" t="e">
        <v>#DIV/0!</v>
      </c>
      <c r="Z82" s="55" t="e">
        <v>#DIV/0!</v>
      </c>
      <c r="AA82" s="55" t="e">
        <v>#DIV/0!</v>
      </c>
      <c r="AB82" s="56" t="e">
        <f t="shared" si="8"/>
        <v>#DIV/0!</v>
      </c>
      <c r="AC82" s="56" t="e">
        <f t="shared" si="8"/>
        <v>#DIV/0!</v>
      </c>
      <c r="AD82" s="56" t="e">
        <f t="shared" si="8"/>
        <v>#DIV/0!</v>
      </c>
      <c r="AE82" s="57" t="e">
        <f t="shared" si="12"/>
        <v>#DIV/0!</v>
      </c>
      <c r="AF82" s="57" t="e">
        <v>#DIV/0!</v>
      </c>
      <c r="AG82" s="57" t="e">
        <f t="shared" si="9"/>
        <v>#DIV/0!</v>
      </c>
      <c r="AH82" s="57" t="e">
        <v>#DIV/0!</v>
      </c>
      <c r="AI82" s="57" t="e">
        <f t="shared" si="10"/>
        <v>#DIV/0!</v>
      </c>
      <c r="AJ82" s="57" t="e">
        <v>#DIV/0!</v>
      </c>
      <c r="AL82" s="16">
        <v>4.8275999999999999E-2</v>
      </c>
    </row>
    <row r="83" spans="1:38" ht="15.75">
      <c r="A83" s="48">
        <v>50</v>
      </c>
      <c r="B83" s="48">
        <v>60</v>
      </c>
      <c r="C83" s="49"/>
      <c r="D83" s="49"/>
      <c r="E83" s="49"/>
      <c r="F83" s="49"/>
      <c r="G83" s="49"/>
      <c r="H83" s="59"/>
      <c r="I83" s="50">
        <v>0</v>
      </c>
      <c r="J83" s="50" t="e">
        <v>#DIV/0!</v>
      </c>
      <c r="K83" s="50"/>
      <c r="L83" s="50" t="e">
        <v>#DIV/0!</v>
      </c>
      <c r="M83" s="50" t="e">
        <v>#DIV/0!</v>
      </c>
      <c r="N83" s="50"/>
      <c r="O83" s="17"/>
      <c r="P83" s="52" t="str">
        <f t="shared" si="7"/>
        <v>(50, 60]</v>
      </c>
      <c r="Q83" s="53" t="s">
        <v>145</v>
      </c>
      <c r="R83" s="50">
        <f t="shared" si="11"/>
        <v>0</v>
      </c>
      <c r="S83" s="54">
        <v>1</v>
      </c>
      <c r="T83" s="54">
        <v>0.03</v>
      </c>
      <c r="U83" s="54">
        <v>2</v>
      </c>
      <c r="V83" s="55">
        <v>0</v>
      </c>
      <c r="W83" s="55">
        <v>0</v>
      </c>
      <c r="X83" s="55">
        <v>0</v>
      </c>
      <c r="Y83" s="55" t="e">
        <v>#DIV/0!</v>
      </c>
      <c r="Z83" s="55" t="e">
        <v>#DIV/0!</v>
      </c>
      <c r="AA83" s="55" t="e">
        <v>#DIV/0!</v>
      </c>
      <c r="AB83" s="56" t="e">
        <f t="shared" si="8"/>
        <v>#DIV/0!</v>
      </c>
      <c r="AC83" s="56" t="e">
        <f t="shared" si="8"/>
        <v>#DIV/0!</v>
      </c>
      <c r="AD83" s="56" t="e">
        <f t="shared" si="8"/>
        <v>#DIV/0!</v>
      </c>
      <c r="AE83" s="57" t="e">
        <f t="shared" si="12"/>
        <v>#DIV/0!</v>
      </c>
      <c r="AF83" s="57" t="e">
        <v>#DIV/0!</v>
      </c>
      <c r="AG83" s="57" t="e">
        <f t="shared" si="9"/>
        <v>#DIV/0!</v>
      </c>
      <c r="AH83" s="57" t="e">
        <v>#DIV/0!</v>
      </c>
      <c r="AI83" s="57" t="e">
        <f t="shared" si="10"/>
        <v>#DIV/0!</v>
      </c>
      <c r="AJ83" s="57" t="e">
        <v>#DIV/0!</v>
      </c>
      <c r="AL83" s="16">
        <v>4.8275999999999999E-2</v>
      </c>
    </row>
    <row r="84" spans="1:38" ht="15.75">
      <c r="A84" s="48">
        <v>60</v>
      </c>
      <c r="B84" s="48">
        <v>70</v>
      </c>
      <c r="C84" s="49"/>
      <c r="D84" s="49"/>
      <c r="E84" s="49"/>
      <c r="F84" s="49"/>
      <c r="G84" s="49"/>
      <c r="H84" s="59"/>
      <c r="I84" s="50">
        <v>0</v>
      </c>
      <c r="J84" s="50" t="e">
        <v>#DIV/0!</v>
      </c>
      <c r="K84" s="50"/>
      <c r="L84" s="50" t="e">
        <v>#DIV/0!</v>
      </c>
      <c r="M84" s="50" t="e">
        <v>#DIV/0!</v>
      </c>
      <c r="N84" s="50"/>
      <c r="O84" s="17"/>
      <c r="P84" s="52" t="str">
        <f t="shared" si="7"/>
        <v>(60, 70]</v>
      </c>
      <c r="Q84" s="53" t="s">
        <v>145</v>
      </c>
      <c r="R84" s="50">
        <f t="shared" si="11"/>
        <v>0</v>
      </c>
      <c r="S84" s="54">
        <v>1</v>
      </c>
      <c r="T84" s="54">
        <v>2.1999999999999999E-2</v>
      </c>
      <c r="U84" s="54">
        <v>0.2</v>
      </c>
      <c r="V84" s="55">
        <v>0</v>
      </c>
      <c r="W84" s="55">
        <v>0</v>
      </c>
      <c r="X84" s="55">
        <v>0</v>
      </c>
      <c r="Y84" s="55" t="e">
        <v>#DIV/0!</v>
      </c>
      <c r="Z84" s="55" t="e">
        <v>#DIV/0!</v>
      </c>
      <c r="AA84" s="55" t="e">
        <v>#DIV/0!</v>
      </c>
      <c r="AB84" s="56" t="e">
        <f t="shared" si="8"/>
        <v>#DIV/0!</v>
      </c>
      <c r="AC84" s="56" t="e">
        <f t="shared" si="8"/>
        <v>#DIV/0!</v>
      </c>
      <c r="AD84" s="56" t="e">
        <f t="shared" si="8"/>
        <v>#DIV/0!</v>
      </c>
      <c r="AE84" s="57" t="e">
        <f t="shared" si="12"/>
        <v>#DIV/0!</v>
      </c>
      <c r="AF84" s="57" t="e">
        <v>#DIV/0!</v>
      </c>
      <c r="AG84" s="57" t="e">
        <f t="shared" si="9"/>
        <v>#DIV/0!</v>
      </c>
      <c r="AH84" s="57" t="e">
        <v>#DIV/0!</v>
      </c>
      <c r="AI84" s="57" t="e">
        <f t="shared" si="10"/>
        <v>#DIV/0!</v>
      </c>
      <c r="AJ84" s="57" t="e">
        <v>#DIV/0!</v>
      </c>
      <c r="AL84" s="16">
        <v>6.8966E-2</v>
      </c>
    </row>
    <row r="85" spans="1:38" ht="15.75">
      <c r="A85" s="48">
        <v>70</v>
      </c>
      <c r="B85" s="48">
        <v>80</v>
      </c>
      <c r="C85" s="49"/>
      <c r="D85" s="49"/>
      <c r="E85" s="49"/>
      <c r="F85" s="49"/>
      <c r="G85" s="49"/>
      <c r="H85" s="59"/>
      <c r="I85" s="50">
        <v>0</v>
      </c>
      <c r="J85" s="50" t="e">
        <v>#DIV/0!</v>
      </c>
      <c r="K85" s="50"/>
      <c r="L85" s="50" t="e">
        <v>#DIV/0!</v>
      </c>
      <c r="M85" s="50" t="e">
        <v>#DIV/0!</v>
      </c>
      <c r="N85" s="50"/>
      <c r="O85" s="17"/>
      <c r="P85" s="52" t="str">
        <f t="shared" si="7"/>
        <v>(70, 80]</v>
      </c>
      <c r="Q85" s="53" t="s">
        <v>145</v>
      </c>
      <c r="R85" s="50">
        <f t="shared" si="11"/>
        <v>0</v>
      </c>
      <c r="S85" s="54">
        <v>0</v>
      </c>
      <c r="T85" s="54">
        <v>0.02</v>
      </c>
      <c r="U85" s="54">
        <v>0.2</v>
      </c>
      <c r="V85" s="55">
        <v>0</v>
      </c>
      <c r="W85" s="55">
        <v>0</v>
      </c>
      <c r="X85" s="55">
        <v>0</v>
      </c>
      <c r="Y85" s="55" t="e">
        <v>#DIV/0!</v>
      </c>
      <c r="Z85" s="55" t="e">
        <v>#DIV/0!</v>
      </c>
      <c r="AA85" s="55" t="e">
        <v>#DIV/0!</v>
      </c>
      <c r="AB85" s="56" t="e">
        <f t="shared" si="8"/>
        <v>#DIV/0!</v>
      </c>
      <c r="AC85" s="56" t="e">
        <f t="shared" si="8"/>
        <v>#DIV/0!</v>
      </c>
      <c r="AD85" s="56" t="e">
        <f t="shared" si="8"/>
        <v>#DIV/0!</v>
      </c>
      <c r="AE85" s="57" t="e">
        <f t="shared" si="12"/>
        <v>#DIV/0!</v>
      </c>
      <c r="AF85" s="57" t="e">
        <v>#DIV/0!</v>
      </c>
      <c r="AG85" s="57" t="e">
        <f t="shared" si="9"/>
        <v>#DIV/0!</v>
      </c>
      <c r="AH85" s="57" t="e">
        <v>#DIV/0!</v>
      </c>
      <c r="AI85" s="57" t="e">
        <f t="shared" si="10"/>
        <v>#DIV/0!</v>
      </c>
      <c r="AJ85" s="57" t="e">
        <v>#DIV/0!</v>
      </c>
      <c r="AL85" s="16">
        <v>3.4483E-2</v>
      </c>
    </row>
    <row r="86" spans="1:38" ht="15.75">
      <c r="A86" s="48">
        <v>80</v>
      </c>
      <c r="B86" s="48">
        <v>90</v>
      </c>
      <c r="C86" s="49"/>
      <c r="D86" s="49"/>
      <c r="E86" s="49"/>
      <c r="F86" s="49"/>
      <c r="G86" s="49"/>
      <c r="H86" s="59"/>
      <c r="I86" s="50">
        <v>0</v>
      </c>
      <c r="J86" s="50" t="e">
        <v>#DIV/0!</v>
      </c>
      <c r="K86" s="50"/>
      <c r="L86" s="50" t="e">
        <v>#DIV/0!</v>
      </c>
      <c r="M86" s="50" t="e">
        <v>#DIV/0!</v>
      </c>
      <c r="N86" s="50"/>
      <c r="O86" s="17"/>
      <c r="P86" s="52" t="str">
        <f t="shared" si="7"/>
        <v>(80, 90]</v>
      </c>
      <c r="Q86" s="53" t="s">
        <v>145</v>
      </c>
      <c r="R86" s="50">
        <f t="shared" si="11"/>
        <v>0</v>
      </c>
      <c r="S86" s="54">
        <v>0</v>
      </c>
      <c r="T86" s="54">
        <v>1.7999999999999999E-2</v>
      </c>
      <c r="U86" s="54">
        <v>1</v>
      </c>
      <c r="V86" s="55">
        <v>0</v>
      </c>
      <c r="W86" s="55">
        <v>0</v>
      </c>
      <c r="X86" s="55">
        <v>0</v>
      </c>
      <c r="Y86" s="55" t="e">
        <v>#DIV/0!</v>
      </c>
      <c r="Z86" s="55" t="e">
        <v>#DIV/0!</v>
      </c>
      <c r="AA86" s="55" t="e">
        <v>#DIV/0!</v>
      </c>
      <c r="AB86" s="56" t="e">
        <f t="shared" si="8"/>
        <v>#DIV/0!</v>
      </c>
      <c r="AC86" s="56" t="e">
        <f t="shared" si="8"/>
        <v>#DIV/0!</v>
      </c>
      <c r="AD86" s="56" t="e">
        <f t="shared" si="8"/>
        <v>#DIV/0!</v>
      </c>
      <c r="AE86" s="57" t="e">
        <f t="shared" si="12"/>
        <v>#DIV/0!</v>
      </c>
      <c r="AF86" s="57" t="e">
        <v>#DIV/0!</v>
      </c>
      <c r="AG86" s="57" t="e">
        <f t="shared" si="9"/>
        <v>#DIV/0!</v>
      </c>
      <c r="AH86" s="57" t="e">
        <v>#DIV/0!</v>
      </c>
      <c r="AI86" s="57" t="e">
        <f t="shared" si="10"/>
        <v>#DIV/0!</v>
      </c>
      <c r="AJ86" s="57" t="e">
        <v>#DIV/0!</v>
      </c>
      <c r="AL86" s="16">
        <v>6.8966E-2</v>
      </c>
    </row>
    <row r="87" spans="1:38" ht="15.75">
      <c r="A87" s="48">
        <v>90</v>
      </c>
      <c r="B87" s="48">
        <v>100</v>
      </c>
      <c r="C87" s="49"/>
      <c r="D87" s="49"/>
      <c r="E87" s="49"/>
      <c r="F87" s="49"/>
      <c r="G87" s="49"/>
      <c r="H87" s="59"/>
      <c r="I87" s="50">
        <v>0</v>
      </c>
      <c r="J87" s="50" t="e">
        <v>#DIV/0!</v>
      </c>
      <c r="K87" s="50"/>
      <c r="L87" s="50" t="e">
        <v>#DIV/0!</v>
      </c>
      <c r="M87" s="50" t="e">
        <v>#DIV/0!</v>
      </c>
      <c r="N87" s="50"/>
      <c r="O87" s="17"/>
      <c r="P87" s="52" t="str">
        <f t="shared" si="7"/>
        <v>(90, 100]</v>
      </c>
      <c r="Q87" s="53" t="s">
        <v>145</v>
      </c>
      <c r="R87" s="50">
        <f t="shared" si="11"/>
        <v>0</v>
      </c>
      <c r="S87" s="54">
        <v>0</v>
      </c>
      <c r="T87" s="54">
        <v>0.02</v>
      </c>
      <c r="U87" s="54">
        <v>1.1000000000000001</v>
      </c>
      <c r="V87" s="55">
        <v>0</v>
      </c>
      <c r="W87" s="55">
        <v>0</v>
      </c>
      <c r="X87" s="55">
        <v>0</v>
      </c>
      <c r="Y87" s="55" t="e">
        <v>#DIV/0!</v>
      </c>
      <c r="Z87" s="55" t="e">
        <v>#DIV/0!</v>
      </c>
      <c r="AA87" s="55" t="e">
        <v>#DIV/0!</v>
      </c>
      <c r="AB87" s="56" t="e">
        <f t="shared" si="8"/>
        <v>#DIV/0!</v>
      </c>
      <c r="AC87" s="56" t="e">
        <f t="shared" si="8"/>
        <v>#DIV/0!</v>
      </c>
      <c r="AD87" s="56" t="e">
        <f t="shared" si="8"/>
        <v>#DIV/0!</v>
      </c>
      <c r="AE87" s="57" t="e">
        <f t="shared" si="12"/>
        <v>#DIV/0!</v>
      </c>
      <c r="AF87" s="57" t="e">
        <v>#DIV/0!</v>
      </c>
      <c r="AG87" s="57" t="e">
        <f t="shared" si="9"/>
        <v>#DIV/0!</v>
      </c>
      <c r="AH87" s="57" t="e">
        <v>#DIV/0!</v>
      </c>
      <c r="AI87" s="57" t="e">
        <f t="shared" si="10"/>
        <v>#DIV/0!</v>
      </c>
      <c r="AJ87" s="57" t="e">
        <v>#DIV/0!</v>
      </c>
      <c r="AL87" s="16">
        <v>2.7585999999999999E-2</v>
      </c>
    </row>
    <row r="88" spans="1:38" ht="15.75">
      <c r="A88" s="48">
        <v>100</v>
      </c>
      <c r="B88" s="48">
        <v>120</v>
      </c>
      <c r="C88" s="49"/>
      <c r="D88" s="49"/>
      <c r="E88" s="49"/>
      <c r="F88" s="49"/>
      <c r="G88" s="49"/>
      <c r="H88" s="59"/>
      <c r="I88" s="50">
        <v>0</v>
      </c>
      <c r="J88" s="50" t="e">
        <v>#DIV/0!</v>
      </c>
      <c r="K88" s="50"/>
      <c r="L88" s="50" t="e">
        <v>#DIV/0!</v>
      </c>
      <c r="M88" s="50" t="e">
        <v>#DIV/0!</v>
      </c>
      <c r="N88" s="50"/>
      <c r="O88" s="17"/>
      <c r="P88" s="52" t="str">
        <f t="shared" si="7"/>
        <v>(100, 120]</v>
      </c>
      <c r="Q88" s="53" t="s">
        <v>145</v>
      </c>
      <c r="R88" s="50">
        <f t="shared" si="11"/>
        <v>0</v>
      </c>
      <c r="S88" s="54">
        <v>0</v>
      </c>
      <c r="T88" s="54">
        <v>2.3E-2</v>
      </c>
      <c r="U88" s="54">
        <v>0.1</v>
      </c>
      <c r="V88" s="55">
        <v>0</v>
      </c>
      <c r="W88" s="55">
        <v>0</v>
      </c>
      <c r="X88" s="55">
        <v>0</v>
      </c>
      <c r="Y88" s="55" t="e">
        <v>#DIV/0!</v>
      </c>
      <c r="Z88" s="55" t="e">
        <v>#DIV/0!</v>
      </c>
      <c r="AA88" s="55" t="e">
        <v>#DIV/0!</v>
      </c>
      <c r="AB88" s="56" t="e">
        <f t="shared" si="8"/>
        <v>#DIV/0!</v>
      </c>
      <c r="AC88" s="56" t="e">
        <f t="shared" si="8"/>
        <v>#DIV/0!</v>
      </c>
      <c r="AD88" s="56" t="e">
        <f t="shared" si="8"/>
        <v>#DIV/0!</v>
      </c>
      <c r="AE88" s="57" t="e">
        <f t="shared" si="12"/>
        <v>#DIV/0!</v>
      </c>
      <c r="AF88" s="57" t="e">
        <v>#DIV/0!</v>
      </c>
      <c r="AG88" s="57" t="e">
        <f t="shared" si="9"/>
        <v>#DIV/0!</v>
      </c>
      <c r="AH88" s="57" t="e">
        <v>#DIV/0!</v>
      </c>
      <c r="AI88" s="57" t="e">
        <f t="shared" si="10"/>
        <v>#DIV/0!</v>
      </c>
      <c r="AJ88" s="57" t="e">
        <v>#DIV/0!</v>
      </c>
      <c r="AL88" s="16">
        <v>6.8966E-2</v>
      </c>
    </row>
    <row r="89" spans="1:38" ht="15.75">
      <c r="A89" s="48">
        <v>120</v>
      </c>
      <c r="B89" s="48">
        <v>140</v>
      </c>
      <c r="C89" s="49"/>
      <c r="D89" s="49"/>
      <c r="E89" s="49"/>
      <c r="F89" s="49"/>
      <c r="G89" s="49"/>
      <c r="H89" s="59"/>
      <c r="I89" s="50">
        <v>0</v>
      </c>
      <c r="J89" s="50" t="e">
        <v>#DIV/0!</v>
      </c>
      <c r="K89" s="50"/>
      <c r="L89" s="50" t="e">
        <v>#DIV/0!</v>
      </c>
      <c r="M89" s="50" t="e">
        <v>#DIV/0!</v>
      </c>
      <c r="N89" s="50"/>
      <c r="O89" s="17"/>
      <c r="P89" s="52" t="str">
        <f t="shared" si="7"/>
        <v>(120, 140]</v>
      </c>
      <c r="Q89" s="53" t="s">
        <v>145</v>
      </c>
      <c r="R89" s="50">
        <f t="shared" si="11"/>
        <v>0</v>
      </c>
      <c r="S89" s="54">
        <v>0</v>
      </c>
      <c r="T89" s="54">
        <v>1.4999999999999999E-2</v>
      </c>
      <c r="U89" s="54">
        <v>0.1</v>
      </c>
      <c r="V89" s="55">
        <v>0</v>
      </c>
      <c r="W89" s="55">
        <v>0</v>
      </c>
      <c r="X89" s="55">
        <v>0</v>
      </c>
      <c r="Y89" s="55" t="e">
        <v>#DIV/0!</v>
      </c>
      <c r="Z89" s="55" t="e">
        <v>#DIV/0!</v>
      </c>
      <c r="AA89" s="55" t="e">
        <v>#DIV/0!</v>
      </c>
      <c r="AB89" s="56" t="e">
        <f t="shared" si="8"/>
        <v>#DIV/0!</v>
      </c>
      <c r="AC89" s="56" t="e">
        <f t="shared" si="8"/>
        <v>#DIV/0!</v>
      </c>
      <c r="AD89" s="56" t="e">
        <f t="shared" si="8"/>
        <v>#DIV/0!</v>
      </c>
      <c r="AE89" s="57" t="e">
        <f t="shared" si="12"/>
        <v>#DIV/0!</v>
      </c>
      <c r="AF89" s="57" t="e">
        <v>#DIV/0!</v>
      </c>
      <c r="AG89" s="57" t="e">
        <f t="shared" si="9"/>
        <v>#DIV/0!</v>
      </c>
      <c r="AH89" s="57" t="e">
        <v>#DIV/0!</v>
      </c>
      <c r="AI89" s="57" t="e">
        <f t="shared" si="10"/>
        <v>#DIV/0!</v>
      </c>
      <c r="AJ89" s="57" t="e">
        <v>#DIV/0!</v>
      </c>
      <c r="AL89" s="16">
        <v>2.7585999999999999E-2</v>
      </c>
    </row>
    <row r="90" spans="1:38" ht="15.75">
      <c r="A90" s="48">
        <v>140</v>
      </c>
      <c r="B90" s="48">
        <v>160</v>
      </c>
      <c r="C90" s="49"/>
      <c r="D90" s="49"/>
      <c r="E90" s="49"/>
      <c r="F90" s="49"/>
      <c r="G90" s="49"/>
      <c r="H90" s="59"/>
      <c r="I90" s="50">
        <v>0</v>
      </c>
      <c r="J90" s="50" t="e">
        <v>#DIV/0!</v>
      </c>
      <c r="K90" s="50"/>
      <c r="L90" s="50" t="e">
        <v>#DIV/0!</v>
      </c>
      <c r="M90" s="50" t="e">
        <v>#DIV/0!</v>
      </c>
      <c r="N90" s="50"/>
      <c r="O90" s="17"/>
      <c r="P90" s="52" t="str">
        <f t="shared" si="7"/>
        <v>(140, 160]</v>
      </c>
      <c r="Q90" s="53" t="s">
        <v>145</v>
      </c>
      <c r="R90" s="50">
        <f t="shared" si="11"/>
        <v>0</v>
      </c>
      <c r="S90" s="54">
        <v>0</v>
      </c>
      <c r="T90" s="54">
        <v>1.4999999999999999E-2</v>
      </c>
      <c r="U90" s="54">
        <v>0.1</v>
      </c>
      <c r="V90" s="55">
        <v>0</v>
      </c>
      <c r="W90" s="55">
        <v>0</v>
      </c>
      <c r="X90" s="55">
        <v>0</v>
      </c>
      <c r="Y90" s="55" t="e">
        <v>#DIV/0!</v>
      </c>
      <c r="Z90" s="55" t="e">
        <v>#DIV/0!</v>
      </c>
      <c r="AA90" s="55" t="e">
        <v>#DIV/0!</v>
      </c>
      <c r="AB90" s="56" t="e">
        <f t="shared" si="8"/>
        <v>#DIV/0!</v>
      </c>
      <c r="AC90" s="56" t="e">
        <f t="shared" si="8"/>
        <v>#DIV/0!</v>
      </c>
      <c r="AD90" s="56" t="e">
        <f t="shared" si="8"/>
        <v>#DIV/0!</v>
      </c>
      <c r="AE90" s="57" t="e">
        <f t="shared" si="12"/>
        <v>#DIV/0!</v>
      </c>
      <c r="AF90" s="57" t="e">
        <v>#DIV/0!</v>
      </c>
      <c r="AG90" s="57" t="e">
        <f t="shared" si="9"/>
        <v>#DIV/0!</v>
      </c>
      <c r="AH90" s="57" t="e">
        <v>#DIV/0!</v>
      </c>
      <c r="AI90" s="57" t="e">
        <f t="shared" si="10"/>
        <v>#DIV/0!</v>
      </c>
      <c r="AJ90" s="57" t="e">
        <v>#DIV/0!</v>
      </c>
      <c r="AL90" s="16">
        <v>4.8275999999999999E-2</v>
      </c>
    </row>
    <row r="91" spans="1:38" ht="15.75">
      <c r="A91" s="48">
        <v>160</v>
      </c>
      <c r="B91" s="48">
        <v>180</v>
      </c>
      <c r="C91" s="49"/>
      <c r="D91" s="49"/>
      <c r="E91" s="49"/>
      <c r="F91" s="49"/>
      <c r="G91" s="49"/>
      <c r="H91" s="59"/>
      <c r="I91" s="50">
        <v>0</v>
      </c>
      <c r="J91" s="50" t="e">
        <v>#DIV/0!</v>
      </c>
      <c r="K91" s="50"/>
      <c r="L91" s="50" t="e">
        <v>#DIV/0!</v>
      </c>
      <c r="M91" s="50" t="e">
        <v>#DIV/0!</v>
      </c>
      <c r="N91" s="50"/>
      <c r="O91" s="17"/>
      <c r="P91" s="52" t="str">
        <f t="shared" si="7"/>
        <v>(160, 180]</v>
      </c>
      <c r="Q91" s="53" t="s">
        <v>145</v>
      </c>
      <c r="R91" s="50">
        <f t="shared" si="11"/>
        <v>0</v>
      </c>
      <c r="S91" s="54">
        <v>0</v>
      </c>
      <c r="T91" s="54">
        <v>1.2999999999999999E-2</v>
      </c>
      <c r="U91" s="54">
        <v>0.2</v>
      </c>
      <c r="V91" s="55">
        <v>0</v>
      </c>
      <c r="W91" s="55">
        <v>0</v>
      </c>
      <c r="X91" s="55">
        <v>0</v>
      </c>
      <c r="Y91" s="55" t="e">
        <v>#DIV/0!</v>
      </c>
      <c r="Z91" s="55" t="e">
        <v>#DIV/0!</v>
      </c>
      <c r="AA91" s="55" t="e">
        <v>#DIV/0!</v>
      </c>
      <c r="AB91" s="56" t="e">
        <f t="shared" si="8"/>
        <v>#DIV/0!</v>
      </c>
      <c r="AC91" s="56" t="e">
        <f t="shared" si="8"/>
        <v>#DIV/0!</v>
      </c>
      <c r="AD91" s="56" t="e">
        <f t="shared" si="8"/>
        <v>#DIV/0!</v>
      </c>
      <c r="AE91" s="57" t="e">
        <f t="shared" si="12"/>
        <v>#DIV/0!</v>
      </c>
      <c r="AF91" s="57" t="e">
        <v>#DIV/0!</v>
      </c>
      <c r="AG91" s="57" t="e">
        <f t="shared" si="9"/>
        <v>#DIV/0!</v>
      </c>
      <c r="AH91" s="57" t="e">
        <v>#DIV/0!</v>
      </c>
      <c r="AI91" s="57" t="e">
        <f t="shared" si="10"/>
        <v>#DIV/0!</v>
      </c>
      <c r="AJ91" s="57" t="e">
        <v>#DIV/0!</v>
      </c>
      <c r="AL91" s="16">
        <v>2.7585999999999999E-2</v>
      </c>
    </row>
    <row r="92" spans="1:38" ht="15.75">
      <c r="A92" s="48">
        <v>180</v>
      </c>
      <c r="B92" s="48">
        <v>200</v>
      </c>
      <c r="C92" s="49"/>
      <c r="D92" s="49"/>
      <c r="E92" s="49"/>
      <c r="F92" s="49"/>
      <c r="G92" s="49"/>
      <c r="H92" s="59"/>
      <c r="I92" s="50">
        <v>0</v>
      </c>
      <c r="J92" s="50" t="e">
        <v>#DIV/0!</v>
      </c>
      <c r="K92" s="50"/>
      <c r="L92" s="50" t="e">
        <v>#DIV/0!</v>
      </c>
      <c r="M92" s="50" t="e">
        <v>#DIV/0!</v>
      </c>
      <c r="N92" s="50"/>
      <c r="O92" s="17"/>
      <c r="P92" s="52" t="str">
        <f t="shared" si="7"/>
        <v>(180, 200]</v>
      </c>
      <c r="Q92" s="53" t="s">
        <v>145</v>
      </c>
      <c r="R92" s="50">
        <f t="shared" si="11"/>
        <v>0</v>
      </c>
      <c r="S92" s="54">
        <v>0</v>
      </c>
      <c r="T92" s="54">
        <v>0.01</v>
      </c>
      <c r="U92" s="54">
        <v>0.2</v>
      </c>
      <c r="V92" s="55">
        <v>0</v>
      </c>
      <c r="W92" s="55">
        <v>0</v>
      </c>
      <c r="X92" s="55">
        <v>0</v>
      </c>
      <c r="Y92" s="55" t="e">
        <v>#DIV/0!</v>
      </c>
      <c r="Z92" s="55" t="e">
        <v>#DIV/0!</v>
      </c>
      <c r="AA92" s="55" t="e">
        <v>#DIV/0!</v>
      </c>
      <c r="AB92" s="56" t="e">
        <f t="shared" si="8"/>
        <v>#DIV/0!</v>
      </c>
      <c r="AC92" s="56" t="e">
        <f t="shared" si="8"/>
        <v>#DIV/0!</v>
      </c>
      <c r="AD92" s="56" t="e">
        <f t="shared" si="8"/>
        <v>#DIV/0!</v>
      </c>
      <c r="AE92" s="57" t="e">
        <f t="shared" si="12"/>
        <v>#DIV/0!</v>
      </c>
      <c r="AF92" s="57" t="e">
        <v>#DIV/0!</v>
      </c>
      <c r="AG92" s="57" t="e">
        <f t="shared" si="9"/>
        <v>#DIV/0!</v>
      </c>
      <c r="AH92" s="57" t="e">
        <v>#DIV/0!</v>
      </c>
      <c r="AI92" s="57" t="e">
        <f t="shared" si="10"/>
        <v>#DIV/0!</v>
      </c>
      <c r="AJ92" s="57" t="e">
        <v>#DIV/0!</v>
      </c>
      <c r="AL92" s="16">
        <v>3.4483E-2</v>
      </c>
    </row>
    <row r="93" spans="1:38" ht="15.75">
      <c r="A93" s="48">
        <v>200</v>
      </c>
      <c r="B93" s="48">
        <v>250</v>
      </c>
      <c r="C93" s="49"/>
      <c r="D93" s="49"/>
      <c r="E93" s="49"/>
      <c r="F93" s="49"/>
      <c r="G93" s="49"/>
      <c r="H93" s="59"/>
      <c r="I93" s="50">
        <v>0</v>
      </c>
      <c r="J93" s="50" t="e">
        <v>#DIV/0!</v>
      </c>
      <c r="K93" s="50"/>
      <c r="L93" s="50" t="e">
        <v>#DIV/0!</v>
      </c>
      <c r="M93" s="50" t="e">
        <v>#DIV/0!</v>
      </c>
      <c r="N93" s="50"/>
      <c r="O93" s="17"/>
      <c r="P93" s="52" t="str">
        <f t="shared" si="7"/>
        <v>(200, 250]</v>
      </c>
      <c r="Q93" s="53" t="s">
        <v>145</v>
      </c>
      <c r="R93" s="50">
        <f t="shared" si="11"/>
        <v>0</v>
      </c>
      <c r="S93" s="54">
        <v>0</v>
      </c>
      <c r="T93" s="54">
        <v>7.0000000000000001E-3</v>
      </c>
      <c r="U93" s="54">
        <v>0.3</v>
      </c>
      <c r="V93" s="55">
        <v>0</v>
      </c>
      <c r="W93" s="55">
        <v>0</v>
      </c>
      <c r="X93" s="55">
        <v>0</v>
      </c>
      <c r="Y93" s="55" t="e">
        <v>#DIV/0!</v>
      </c>
      <c r="Z93" s="55" t="e">
        <v>#DIV/0!</v>
      </c>
      <c r="AA93" s="55" t="e">
        <v>#DIV/0!</v>
      </c>
      <c r="AB93" s="56" t="e">
        <f t="shared" si="8"/>
        <v>#DIV/0!</v>
      </c>
      <c r="AC93" s="56" t="e">
        <f t="shared" si="8"/>
        <v>#DIV/0!</v>
      </c>
      <c r="AD93" s="56" t="e">
        <f t="shared" si="8"/>
        <v>#DIV/0!</v>
      </c>
      <c r="AE93" s="57" t="e">
        <f t="shared" si="12"/>
        <v>#DIV/0!</v>
      </c>
      <c r="AF93" s="57" t="e">
        <v>#DIV/0!</v>
      </c>
      <c r="AG93" s="57" t="e">
        <f t="shared" si="9"/>
        <v>#DIV/0!</v>
      </c>
      <c r="AH93" s="57" t="e">
        <v>#DIV/0!</v>
      </c>
      <c r="AI93" s="57" t="e">
        <f t="shared" si="10"/>
        <v>#DIV/0!</v>
      </c>
      <c r="AJ93" s="57" t="e">
        <v>#DIV/0!</v>
      </c>
      <c r="AL93" s="16">
        <v>1.3793E-2</v>
      </c>
    </row>
    <row r="94" spans="1:38" ht="15.75">
      <c r="A94" s="48">
        <v>250</v>
      </c>
      <c r="B94" s="48">
        <v>300</v>
      </c>
      <c r="C94" s="49"/>
      <c r="D94" s="49"/>
      <c r="E94" s="49"/>
      <c r="F94" s="49"/>
      <c r="G94" s="49"/>
      <c r="H94" s="59"/>
      <c r="I94" s="50">
        <v>0</v>
      </c>
      <c r="J94" s="50" t="e">
        <v>#DIV/0!</v>
      </c>
      <c r="K94" s="50"/>
      <c r="L94" s="50" t="e">
        <v>#DIV/0!</v>
      </c>
      <c r="M94" s="50" t="e">
        <v>#DIV/0!</v>
      </c>
      <c r="N94" s="50"/>
      <c r="O94" s="17"/>
      <c r="P94" s="52" t="str">
        <f t="shared" si="7"/>
        <v>(250, 300]</v>
      </c>
      <c r="Q94" s="53" t="s">
        <v>145</v>
      </c>
      <c r="R94" s="50">
        <f t="shared" si="11"/>
        <v>0</v>
      </c>
      <c r="S94" s="54">
        <v>0</v>
      </c>
      <c r="T94" s="54">
        <v>4.0000000000000001E-3</v>
      </c>
      <c r="U94" s="54">
        <v>0.01</v>
      </c>
      <c r="V94" s="55">
        <v>0</v>
      </c>
      <c r="W94" s="55">
        <v>0</v>
      </c>
      <c r="X94" s="55">
        <v>0</v>
      </c>
      <c r="Y94" s="55" t="e">
        <v>#DIV/0!</v>
      </c>
      <c r="Z94" s="55" t="e">
        <v>#DIV/0!</v>
      </c>
      <c r="AA94" s="55" t="e">
        <v>#DIV/0!</v>
      </c>
      <c r="AB94" s="56" t="e">
        <f t="shared" si="8"/>
        <v>#DIV/0!</v>
      </c>
      <c r="AC94" s="56" t="e">
        <f t="shared" si="8"/>
        <v>#DIV/0!</v>
      </c>
      <c r="AD94" s="56" t="e">
        <f t="shared" si="8"/>
        <v>#DIV/0!</v>
      </c>
      <c r="AE94" s="57" t="e">
        <f t="shared" si="12"/>
        <v>#DIV/0!</v>
      </c>
      <c r="AF94" s="57" t="e">
        <v>#DIV/0!</v>
      </c>
      <c r="AG94" s="57" t="e">
        <f t="shared" si="9"/>
        <v>#DIV/0!</v>
      </c>
      <c r="AH94" s="57" t="e">
        <v>#DIV/0!</v>
      </c>
      <c r="AI94" s="57" t="e">
        <f t="shared" si="10"/>
        <v>#DIV/0!</v>
      </c>
      <c r="AJ94" s="57" t="e">
        <v>#DIV/0!</v>
      </c>
      <c r="AL94" s="16">
        <v>1.3793E-2</v>
      </c>
    </row>
    <row r="95" spans="1:38" ht="15.75">
      <c r="A95" s="48">
        <v>300</v>
      </c>
      <c r="B95" s="48">
        <v>350</v>
      </c>
      <c r="C95" s="49"/>
      <c r="D95" s="49"/>
      <c r="E95" s="49"/>
      <c r="F95" s="49"/>
      <c r="G95" s="49"/>
      <c r="H95" s="59"/>
      <c r="I95" s="50">
        <v>0</v>
      </c>
      <c r="J95" s="50" t="e">
        <v>#DIV/0!</v>
      </c>
      <c r="K95" s="50"/>
      <c r="L95" s="50" t="e">
        <v>#DIV/0!</v>
      </c>
      <c r="M95" s="50" t="e">
        <v>#DIV/0!</v>
      </c>
      <c r="N95" s="50"/>
      <c r="O95" s="17"/>
      <c r="P95" s="52" t="str">
        <f t="shared" si="7"/>
        <v>(300, 350]</v>
      </c>
      <c r="Q95" s="53" t="s">
        <v>145</v>
      </c>
      <c r="R95" s="50">
        <f t="shared" si="11"/>
        <v>0</v>
      </c>
      <c r="S95" s="54">
        <v>0</v>
      </c>
      <c r="T95" s="54">
        <v>4.0000000000000001E-3</v>
      </c>
      <c r="U95" s="54">
        <v>0.01</v>
      </c>
      <c r="V95" s="55">
        <v>0</v>
      </c>
      <c r="W95" s="55">
        <v>0</v>
      </c>
      <c r="X95" s="55">
        <v>0</v>
      </c>
      <c r="Y95" s="55" t="e">
        <v>#DIV/0!</v>
      </c>
      <c r="Z95" s="55" t="e">
        <v>#DIV/0!</v>
      </c>
      <c r="AA95" s="55" t="e">
        <v>#DIV/0!</v>
      </c>
      <c r="AB95" s="56" t="e">
        <f t="shared" si="8"/>
        <v>#DIV/0!</v>
      </c>
      <c r="AC95" s="56" t="e">
        <f t="shared" si="8"/>
        <v>#DIV/0!</v>
      </c>
      <c r="AD95" s="56" t="e">
        <f t="shared" si="8"/>
        <v>#DIV/0!</v>
      </c>
      <c r="AE95" s="57" t="e">
        <f t="shared" si="12"/>
        <v>#DIV/0!</v>
      </c>
      <c r="AF95" s="57" t="e">
        <v>#DIV/0!</v>
      </c>
      <c r="AG95" s="57" t="e">
        <f t="shared" si="9"/>
        <v>#DIV/0!</v>
      </c>
      <c r="AH95" s="57" t="e">
        <v>#DIV/0!</v>
      </c>
      <c r="AI95" s="57" t="e">
        <f t="shared" si="10"/>
        <v>#DIV/0!</v>
      </c>
      <c r="AJ95" s="57" t="e">
        <v>#DIV/0!</v>
      </c>
      <c r="AL95" s="16">
        <v>6.8970000000000004E-3</v>
      </c>
    </row>
    <row r="96" spans="1:38" ht="15.75">
      <c r="A96" s="48">
        <v>350</v>
      </c>
      <c r="B96" s="48">
        <v>400</v>
      </c>
      <c r="C96" s="49"/>
      <c r="D96" s="49"/>
      <c r="E96" s="49"/>
      <c r="F96" s="49"/>
      <c r="G96" s="49"/>
      <c r="H96" s="59"/>
      <c r="I96" s="50">
        <v>0</v>
      </c>
      <c r="J96" s="50" t="e">
        <v>#DIV/0!</v>
      </c>
      <c r="K96" s="50"/>
      <c r="L96" s="50" t="e">
        <v>#DIV/0!</v>
      </c>
      <c r="M96" s="50" t="e">
        <v>#DIV/0!</v>
      </c>
      <c r="N96" s="50"/>
      <c r="O96" s="17"/>
      <c r="P96" s="52" t="str">
        <f t="shared" si="7"/>
        <v>(350, 400]</v>
      </c>
      <c r="Q96" s="53" t="s">
        <v>145</v>
      </c>
      <c r="R96" s="50">
        <f t="shared" si="11"/>
        <v>0</v>
      </c>
      <c r="S96" s="54">
        <v>0</v>
      </c>
      <c r="T96" s="54">
        <v>4.0000000000000001E-3</v>
      </c>
      <c r="U96" s="54">
        <v>0.01</v>
      </c>
      <c r="V96" s="55">
        <v>0</v>
      </c>
      <c r="W96" s="55">
        <v>0</v>
      </c>
      <c r="X96" s="55">
        <v>0</v>
      </c>
      <c r="Y96" s="55" t="e">
        <v>#DIV/0!</v>
      </c>
      <c r="Z96" s="55" t="e">
        <v>#DIV/0!</v>
      </c>
      <c r="AA96" s="55" t="e">
        <v>#DIV/0!</v>
      </c>
      <c r="AB96" s="56" t="e">
        <f t="shared" ref="AB96:AD122" si="13">INT(Y96*$AB$62)</f>
        <v>#DIV/0!</v>
      </c>
      <c r="AC96" s="56" t="e">
        <f t="shared" si="13"/>
        <v>#DIV/0!</v>
      </c>
      <c r="AD96" s="56" t="e">
        <f t="shared" si="13"/>
        <v>#DIV/0!</v>
      </c>
      <c r="AE96" s="57" t="e">
        <f t="shared" si="12"/>
        <v>#DIV/0!</v>
      </c>
      <c r="AF96" s="57" t="e">
        <v>#DIV/0!</v>
      </c>
      <c r="AG96" s="57" t="e">
        <f t="shared" si="9"/>
        <v>#DIV/0!</v>
      </c>
      <c r="AH96" s="57" t="e">
        <v>#DIV/0!</v>
      </c>
      <c r="AI96" s="57" t="e">
        <f t="shared" si="10"/>
        <v>#DIV/0!</v>
      </c>
      <c r="AJ96" s="57" t="e">
        <v>#DIV/0!</v>
      </c>
      <c r="AL96" s="16">
        <v>6.8970000000000004E-3</v>
      </c>
    </row>
    <row r="97" spans="1:38" ht="15.75">
      <c r="A97" s="48">
        <v>400</v>
      </c>
      <c r="B97" s="48">
        <v>450</v>
      </c>
      <c r="C97" s="49"/>
      <c r="D97" s="49"/>
      <c r="E97" s="49"/>
      <c r="F97" s="49"/>
      <c r="G97" s="49"/>
      <c r="H97" s="59"/>
      <c r="I97" s="50">
        <v>0</v>
      </c>
      <c r="J97" s="50" t="e">
        <v>#DIV/0!</v>
      </c>
      <c r="K97" s="50"/>
      <c r="L97" s="50" t="e">
        <v>#DIV/0!</v>
      </c>
      <c r="M97" s="50" t="e">
        <v>#DIV/0!</v>
      </c>
      <c r="N97" s="50"/>
      <c r="O97" s="17"/>
      <c r="P97" s="52" t="str">
        <f t="shared" si="7"/>
        <v>(400, 450]</v>
      </c>
      <c r="Q97" s="53" t="s">
        <v>145</v>
      </c>
      <c r="R97" s="50">
        <f t="shared" si="11"/>
        <v>0</v>
      </c>
      <c r="S97" s="54">
        <v>0</v>
      </c>
      <c r="T97" s="54">
        <v>4.0000000000000001E-3</v>
      </c>
      <c r="U97" s="54">
        <v>0.01</v>
      </c>
      <c r="V97" s="55">
        <v>0</v>
      </c>
      <c r="W97" s="55">
        <v>0</v>
      </c>
      <c r="X97" s="55">
        <v>0</v>
      </c>
      <c r="Y97" s="55" t="e">
        <v>#DIV/0!</v>
      </c>
      <c r="Z97" s="55" t="e">
        <v>#DIV/0!</v>
      </c>
      <c r="AA97" s="55" t="e">
        <v>#DIV/0!</v>
      </c>
      <c r="AB97" s="56" t="e">
        <f t="shared" si="13"/>
        <v>#DIV/0!</v>
      </c>
      <c r="AC97" s="56" t="e">
        <f t="shared" si="13"/>
        <v>#DIV/0!</v>
      </c>
      <c r="AD97" s="56" t="e">
        <f t="shared" si="13"/>
        <v>#DIV/0!</v>
      </c>
      <c r="AE97" s="57" t="e">
        <f t="shared" si="12"/>
        <v>#DIV/0!</v>
      </c>
      <c r="AF97" s="57" t="e">
        <v>#DIV/0!</v>
      </c>
      <c r="AG97" s="57" t="e">
        <f t="shared" si="9"/>
        <v>#DIV/0!</v>
      </c>
      <c r="AH97" s="57" t="e">
        <v>#DIV/0!</v>
      </c>
      <c r="AI97" s="57" t="e">
        <f t="shared" si="10"/>
        <v>#DIV/0!</v>
      </c>
      <c r="AJ97" s="57" t="e">
        <v>#DIV/0!</v>
      </c>
      <c r="AL97" s="16">
        <v>0</v>
      </c>
    </row>
    <row r="98" spans="1:38" ht="15.75">
      <c r="A98" s="48">
        <v>450</v>
      </c>
      <c r="B98" s="48">
        <v>500</v>
      </c>
      <c r="C98" s="49"/>
      <c r="D98" s="49"/>
      <c r="E98" s="49"/>
      <c r="F98" s="49"/>
      <c r="G98" s="49"/>
      <c r="H98" s="59"/>
      <c r="I98" s="50">
        <v>0</v>
      </c>
      <c r="J98" s="50" t="e">
        <v>#DIV/0!</v>
      </c>
      <c r="K98" s="50"/>
      <c r="L98" s="50" t="e">
        <v>#DIV/0!</v>
      </c>
      <c r="M98" s="50" t="e">
        <v>#DIV/0!</v>
      </c>
      <c r="N98" s="50"/>
      <c r="O98" s="17"/>
      <c r="P98" s="52" t="str">
        <f t="shared" si="7"/>
        <v>(450, 500]</v>
      </c>
      <c r="Q98" s="53" t="s">
        <v>145</v>
      </c>
      <c r="R98" s="50">
        <f t="shared" si="11"/>
        <v>0</v>
      </c>
      <c r="S98" s="54">
        <v>0</v>
      </c>
      <c r="T98" s="54">
        <v>4.0000000000000001E-3</v>
      </c>
      <c r="U98" s="54">
        <v>0.01</v>
      </c>
      <c r="V98" s="55">
        <v>0</v>
      </c>
      <c r="W98" s="55">
        <v>0</v>
      </c>
      <c r="X98" s="55">
        <v>0</v>
      </c>
      <c r="Y98" s="55" t="e">
        <v>#DIV/0!</v>
      </c>
      <c r="Z98" s="55" t="e">
        <v>#DIV/0!</v>
      </c>
      <c r="AA98" s="55" t="e">
        <v>#DIV/0!</v>
      </c>
      <c r="AB98" s="56" t="e">
        <f t="shared" si="13"/>
        <v>#DIV/0!</v>
      </c>
      <c r="AC98" s="56" t="e">
        <f t="shared" si="13"/>
        <v>#DIV/0!</v>
      </c>
      <c r="AD98" s="56" t="e">
        <f t="shared" si="13"/>
        <v>#DIV/0!</v>
      </c>
      <c r="AE98" s="57" t="e">
        <f t="shared" si="12"/>
        <v>#DIV/0!</v>
      </c>
      <c r="AF98" s="57" t="e">
        <v>#DIV/0!</v>
      </c>
      <c r="AG98" s="57" t="e">
        <f t="shared" si="9"/>
        <v>#DIV/0!</v>
      </c>
      <c r="AH98" s="57" t="e">
        <v>#DIV/0!</v>
      </c>
      <c r="AI98" s="57" t="e">
        <f t="shared" si="10"/>
        <v>#DIV/0!</v>
      </c>
      <c r="AJ98" s="57" t="e">
        <v>#DIV/0!</v>
      </c>
      <c r="AL98" s="16">
        <v>0</v>
      </c>
    </row>
    <row r="99" spans="1:38" ht="15.75">
      <c r="A99" s="48">
        <v>500</v>
      </c>
      <c r="B99" s="48">
        <v>550</v>
      </c>
      <c r="C99" s="49"/>
      <c r="D99" s="49"/>
      <c r="E99" s="49"/>
      <c r="F99" s="49"/>
      <c r="G99" s="49"/>
      <c r="H99" s="59"/>
      <c r="I99" s="50">
        <v>0</v>
      </c>
      <c r="J99" s="50" t="e">
        <v>#DIV/0!</v>
      </c>
      <c r="K99" s="50"/>
      <c r="L99" s="50" t="e">
        <v>#DIV/0!</v>
      </c>
      <c r="M99" s="50" t="e">
        <v>#DIV/0!</v>
      </c>
      <c r="N99" s="50"/>
      <c r="O99" s="17"/>
      <c r="P99" s="52" t="str">
        <f t="shared" si="7"/>
        <v>(500, 550]</v>
      </c>
      <c r="Q99" s="53" t="s">
        <v>145</v>
      </c>
      <c r="R99" s="50">
        <f t="shared" si="11"/>
        <v>0</v>
      </c>
      <c r="S99" s="54">
        <v>0</v>
      </c>
      <c r="T99" s="54">
        <v>4.0000000000000001E-3</v>
      </c>
      <c r="U99" s="54">
        <v>0.01</v>
      </c>
      <c r="V99" s="55">
        <v>0</v>
      </c>
      <c r="W99" s="55">
        <v>0</v>
      </c>
      <c r="X99" s="55">
        <v>0</v>
      </c>
      <c r="Y99" s="55" t="e">
        <v>#DIV/0!</v>
      </c>
      <c r="Z99" s="55" t="e">
        <v>#DIV/0!</v>
      </c>
      <c r="AA99" s="55" t="e">
        <v>#DIV/0!</v>
      </c>
      <c r="AB99" s="56" t="e">
        <f t="shared" si="13"/>
        <v>#DIV/0!</v>
      </c>
      <c r="AC99" s="56" t="e">
        <f t="shared" si="13"/>
        <v>#DIV/0!</v>
      </c>
      <c r="AD99" s="56" t="e">
        <f t="shared" si="13"/>
        <v>#DIV/0!</v>
      </c>
      <c r="AE99" s="57" t="e">
        <f t="shared" si="12"/>
        <v>#DIV/0!</v>
      </c>
      <c r="AF99" s="57" t="e">
        <v>#DIV/0!</v>
      </c>
      <c r="AG99" s="57" t="e">
        <f t="shared" si="9"/>
        <v>#DIV/0!</v>
      </c>
      <c r="AH99" s="57" t="e">
        <v>#DIV/0!</v>
      </c>
      <c r="AI99" s="57" t="e">
        <f t="shared" si="10"/>
        <v>#DIV/0!</v>
      </c>
      <c r="AJ99" s="57" t="e">
        <v>#DIV/0!</v>
      </c>
      <c r="AL99" s="16">
        <v>0</v>
      </c>
    </row>
    <row r="100" spans="1:38" ht="15.75">
      <c r="A100" s="48">
        <v>550</v>
      </c>
      <c r="B100" s="48">
        <v>600</v>
      </c>
      <c r="C100" s="49"/>
      <c r="D100" s="49"/>
      <c r="E100" s="49"/>
      <c r="F100" s="49"/>
      <c r="G100" s="49"/>
      <c r="H100" s="59"/>
      <c r="I100" s="50">
        <v>0</v>
      </c>
      <c r="J100" s="50" t="e">
        <v>#DIV/0!</v>
      </c>
      <c r="K100" s="50"/>
      <c r="L100" s="50" t="e">
        <v>#DIV/0!</v>
      </c>
      <c r="M100" s="50" t="e">
        <v>#DIV/0!</v>
      </c>
      <c r="N100" s="50"/>
      <c r="O100" s="17"/>
      <c r="P100" s="52" t="str">
        <f t="shared" si="7"/>
        <v>(550, 600]</v>
      </c>
      <c r="Q100" s="53" t="s">
        <v>145</v>
      </c>
      <c r="R100" s="50">
        <f t="shared" si="11"/>
        <v>0</v>
      </c>
      <c r="S100" s="54">
        <v>0</v>
      </c>
      <c r="T100" s="54">
        <v>4.0000000000000001E-3</v>
      </c>
      <c r="U100" s="54">
        <v>0.01</v>
      </c>
      <c r="V100" s="55">
        <v>0</v>
      </c>
      <c r="W100" s="55">
        <v>0</v>
      </c>
      <c r="X100" s="55">
        <v>0</v>
      </c>
      <c r="Y100" s="55" t="e">
        <v>#DIV/0!</v>
      </c>
      <c r="Z100" s="55" t="e">
        <v>#DIV/0!</v>
      </c>
      <c r="AA100" s="55" t="e">
        <v>#DIV/0!</v>
      </c>
      <c r="AB100" s="56" t="e">
        <f t="shared" si="13"/>
        <v>#DIV/0!</v>
      </c>
      <c r="AC100" s="56" t="e">
        <f t="shared" si="13"/>
        <v>#DIV/0!</v>
      </c>
      <c r="AD100" s="56" t="e">
        <f t="shared" si="13"/>
        <v>#DIV/0!</v>
      </c>
      <c r="AE100" s="57" t="e">
        <f t="shared" si="12"/>
        <v>#DIV/0!</v>
      </c>
      <c r="AF100" s="57" t="e">
        <v>#DIV/0!</v>
      </c>
      <c r="AG100" s="57" t="e">
        <f t="shared" si="9"/>
        <v>#DIV/0!</v>
      </c>
      <c r="AH100" s="57" t="e">
        <v>#DIV/0!</v>
      </c>
      <c r="AI100" s="57" t="e">
        <f t="shared" si="10"/>
        <v>#DIV/0!</v>
      </c>
      <c r="AJ100" s="57" t="e">
        <v>#DIV/0!</v>
      </c>
      <c r="AL100" s="16">
        <v>0</v>
      </c>
    </row>
    <row r="101" spans="1:38" ht="15.75">
      <c r="A101" s="48">
        <v>600</v>
      </c>
      <c r="B101" s="48">
        <v>650</v>
      </c>
      <c r="C101" s="49"/>
      <c r="D101" s="49"/>
      <c r="E101" s="49"/>
      <c r="F101" s="49"/>
      <c r="G101" s="49"/>
      <c r="H101" s="59"/>
      <c r="I101" s="50">
        <v>0</v>
      </c>
      <c r="J101" s="50" t="e">
        <v>#DIV/0!</v>
      </c>
      <c r="K101" s="50"/>
      <c r="L101" s="50" t="e">
        <v>#DIV/0!</v>
      </c>
      <c r="M101" s="50" t="e">
        <v>#DIV/0!</v>
      </c>
      <c r="N101" s="50"/>
      <c r="O101" s="17"/>
      <c r="P101" s="52" t="str">
        <f t="shared" si="7"/>
        <v>(600, 650]</v>
      </c>
      <c r="Q101" s="53" t="s">
        <v>145</v>
      </c>
      <c r="R101" s="50">
        <f t="shared" si="11"/>
        <v>0</v>
      </c>
      <c r="S101" s="54">
        <v>0</v>
      </c>
      <c r="T101" s="54">
        <v>4.0000000000000001E-3</v>
      </c>
      <c r="U101" s="54">
        <v>0.01</v>
      </c>
      <c r="V101" s="55">
        <v>0</v>
      </c>
      <c r="W101" s="55">
        <v>0</v>
      </c>
      <c r="X101" s="55">
        <v>0</v>
      </c>
      <c r="Y101" s="55" t="e">
        <v>#DIV/0!</v>
      </c>
      <c r="Z101" s="55" t="e">
        <v>#DIV/0!</v>
      </c>
      <c r="AA101" s="55" t="e">
        <v>#DIV/0!</v>
      </c>
      <c r="AB101" s="56" t="e">
        <f t="shared" si="13"/>
        <v>#DIV/0!</v>
      </c>
      <c r="AC101" s="56" t="e">
        <f t="shared" si="13"/>
        <v>#DIV/0!</v>
      </c>
      <c r="AD101" s="56" t="e">
        <f t="shared" si="13"/>
        <v>#DIV/0!</v>
      </c>
      <c r="AE101" s="57" t="e">
        <f t="shared" si="12"/>
        <v>#DIV/0!</v>
      </c>
      <c r="AF101" s="57" t="e">
        <v>#DIV/0!</v>
      </c>
      <c r="AG101" s="57" t="e">
        <f t="shared" si="9"/>
        <v>#DIV/0!</v>
      </c>
      <c r="AH101" s="57" t="e">
        <v>#DIV/0!</v>
      </c>
      <c r="AI101" s="57" t="e">
        <f t="shared" si="10"/>
        <v>#DIV/0!</v>
      </c>
      <c r="AJ101" s="57" t="e">
        <v>#DIV/0!</v>
      </c>
      <c r="AL101" s="16">
        <v>6.8970000000000004E-3</v>
      </c>
    </row>
    <row r="102" spans="1:38" ht="15.75">
      <c r="A102" s="48">
        <v>650</v>
      </c>
      <c r="B102" s="48">
        <v>700</v>
      </c>
      <c r="C102" s="49"/>
      <c r="D102" s="49"/>
      <c r="E102" s="49"/>
      <c r="F102" s="49"/>
      <c r="G102" s="49"/>
      <c r="H102" s="59"/>
      <c r="I102" s="50">
        <v>0</v>
      </c>
      <c r="J102" s="50" t="e">
        <v>#DIV/0!</v>
      </c>
      <c r="K102" s="50"/>
      <c r="L102" s="50" t="e">
        <v>#DIV/0!</v>
      </c>
      <c r="M102" s="50" t="e">
        <v>#DIV/0!</v>
      </c>
      <c r="N102" s="50"/>
      <c r="O102" s="17"/>
      <c r="P102" s="52" t="str">
        <f t="shared" si="7"/>
        <v>(650, 700]</v>
      </c>
      <c r="Q102" s="53" t="s">
        <v>145</v>
      </c>
      <c r="R102" s="50">
        <f t="shared" si="11"/>
        <v>0</v>
      </c>
      <c r="S102" s="54">
        <v>0</v>
      </c>
      <c r="T102" s="54">
        <v>3.0000000000000001E-3</v>
      </c>
      <c r="U102" s="54">
        <v>0.01</v>
      </c>
      <c r="V102" s="55">
        <v>0</v>
      </c>
      <c r="W102" s="55">
        <v>0</v>
      </c>
      <c r="X102" s="55">
        <v>0</v>
      </c>
      <c r="Y102" s="55" t="e">
        <v>#DIV/0!</v>
      </c>
      <c r="Z102" s="55" t="e">
        <v>#DIV/0!</v>
      </c>
      <c r="AA102" s="55" t="e">
        <v>#DIV/0!</v>
      </c>
      <c r="AB102" s="56" t="e">
        <f t="shared" si="13"/>
        <v>#DIV/0!</v>
      </c>
      <c r="AC102" s="56" t="e">
        <f t="shared" si="13"/>
        <v>#DIV/0!</v>
      </c>
      <c r="AD102" s="56" t="e">
        <f t="shared" si="13"/>
        <v>#DIV/0!</v>
      </c>
      <c r="AE102" s="57" t="e">
        <f t="shared" si="12"/>
        <v>#DIV/0!</v>
      </c>
      <c r="AF102" s="57" t="e">
        <v>#DIV/0!</v>
      </c>
      <c r="AG102" s="57" t="e">
        <f t="shared" si="9"/>
        <v>#DIV/0!</v>
      </c>
      <c r="AH102" s="57" t="e">
        <v>#DIV/0!</v>
      </c>
      <c r="AI102" s="57" t="e">
        <f t="shared" si="10"/>
        <v>#DIV/0!</v>
      </c>
      <c r="AJ102" s="57" t="e">
        <v>#DIV/0!</v>
      </c>
      <c r="AL102" s="16">
        <v>0</v>
      </c>
    </row>
    <row r="103" spans="1:38" ht="15.75">
      <c r="A103" s="48">
        <v>700</v>
      </c>
      <c r="B103" s="48">
        <v>750</v>
      </c>
      <c r="C103" s="49"/>
      <c r="D103" s="49"/>
      <c r="E103" s="49"/>
      <c r="F103" s="49"/>
      <c r="G103" s="49"/>
      <c r="H103" s="59"/>
      <c r="I103" s="50">
        <v>0</v>
      </c>
      <c r="J103" s="50" t="e">
        <v>#DIV/0!</v>
      </c>
      <c r="K103" s="50"/>
      <c r="L103" s="50" t="e">
        <v>#DIV/0!</v>
      </c>
      <c r="M103" s="50" t="e">
        <v>#DIV/0!</v>
      </c>
      <c r="N103" s="50"/>
      <c r="O103" s="17"/>
      <c r="P103" s="52" t="str">
        <f t="shared" si="7"/>
        <v>(700, 750]</v>
      </c>
      <c r="Q103" s="53" t="s">
        <v>145</v>
      </c>
      <c r="R103" s="50">
        <f t="shared" si="11"/>
        <v>0</v>
      </c>
      <c r="S103" s="54">
        <v>0</v>
      </c>
      <c r="T103" s="54">
        <v>3.0000000000000001E-3</v>
      </c>
      <c r="U103" s="54">
        <v>0.01</v>
      </c>
      <c r="V103" s="55">
        <v>0</v>
      </c>
      <c r="W103" s="55">
        <v>0</v>
      </c>
      <c r="X103" s="55">
        <v>0</v>
      </c>
      <c r="Y103" s="55" t="e">
        <v>#DIV/0!</v>
      </c>
      <c r="Z103" s="55" t="e">
        <v>#DIV/0!</v>
      </c>
      <c r="AA103" s="55" t="e">
        <v>#DIV/0!</v>
      </c>
      <c r="AB103" s="56" t="e">
        <f t="shared" si="13"/>
        <v>#DIV/0!</v>
      </c>
      <c r="AC103" s="56" t="e">
        <f t="shared" si="13"/>
        <v>#DIV/0!</v>
      </c>
      <c r="AD103" s="56" t="e">
        <f t="shared" si="13"/>
        <v>#DIV/0!</v>
      </c>
      <c r="AE103" s="57" t="e">
        <f t="shared" si="12"/>
        <v>#DIV/0!</v>
      </c>
      <c r="AF103" s="57" t="e">
        <v>#DIV/0!</v>
      </c>
      <c r="AG103" s="57" t="e">
        <f t="shared" si="9"/>
        <v>#DIV/0!</v>
      </c>
      <c r="AH103" s="57" t="e">
        <v>#DIV/0!</v>
      </c>
      <c r="AI103" s="57" t="e">
        <f t="shared" si="10"/>
        <v>#DIV/0!</v>
      </c>
      <c r="AJ103" s="57" t="e">
        <v>#DIV/0!</v>
      </c>
      <c r="AL103" s="16">
        <v>0</v>
      </c>
    </row>
    <row r="104" spans="1:38" ht="15.75">
      <c r="A104" s="48">
        <v>750</v>
      </c>
      <c r="B104" s="48">
        <v>800</v>
      </c>
      <c r="C104" s="116"/>
      <c r="D104" s="49"/>
      <c r="E104" s="49"/>
      <c r="F104" s="49"/>
      <c r="G104" s="49"/>
      <c r="H104" s="59"/>
      <c r="I104" s="50">
        <v>0</v>
      </c>
      <c r="J104" s="50" t="e">
        <v>#DIV/0!</v>
      </c>
      <c r="K104" s="50"/>
      <c r="L104" s="50" t="e">
        <v>#DIV/0!</v>
      </c>
      <c r="M104" s="50" t="e">
        <v>#DIV/0!</v>
      </c>
      <c r="N104" s="50"/>
      <c r="O104" s="17"/>
      <c r="P104" s="52" t="str">
        <f t="shared" si="7"/>
        <v>(750, 800]</v>
      </c>
      <c r="Q104" s="53" t="s">
        <v>145</v>
      </c>
      <c r="R104" s="50">
        <f t="shared" si="11"/>
        <v>0</v>
      </c>
      <c r="S104" s="54">
        <v>0</v>
      </c>
      <c r="T104" s="54">
        <v>3.0000000000000001E-3</v>
      </c>
      <c r="U104" s="54">
        <v>0.01</v>
      </c>
      <c r="V104" s="55">
        <v>0</v>
      </c>
      <c r="W104" s="55">
        <v>0</v>
      </c>
      <c r="X104" s="55">
        <v>0</v>
      </c>
      <c r="Y104" s="55" t="e">
        <v>#DIV/0!</v>
      </c>
      <c r="Z104" s="55" t="e">
        <v>#DIV/0!</v>
      </c>
      <c r="AA104" s="55" t="e">
        <v>#DIV/0!</v>
      </c>
      <c r="AB104" s="56" t="e">
        <f t="shared" si="13"/>
        <v>#DIV/0!</v>
      </c>
      <c r="AC104" s="56" t="e">
        <f t="shared" si="13"/>
        <v>#DIV/0!</v>
      </c>
      <c r="AD104" s="56" t="e">
        <f t="shared" si="13"/>
        <v>#DIV/0!</v>
      </c>
      <c r="AE104" s="57" t="e">
        <f t="shared" si="12"/>
        <v>#DIV/0!</v>
      </c>
      <c r="AF104" s="57" t="e">
        <v>#DIV/0!</v>
      </c>
      <c r="AG104" s="57" t="e">
        <f t="shared" si="9"/>
        <v>#DIV/0!</v>
      </c>
      <c r="AH104" s="57" t="e">
        <v>#DIV/0!</v>
      </c>
      <c r="AI104" s="57" t="e">
        <f t="shared" si="10"/>
        <v>#DIV/0!</v>
      </c>
      <c r="AJ104" s="57" t="e">
        <v>#DIV/0!</v>
      </c>
      <c r="AL104" s="16">
        <v>0</v>
      </c>
    </row>
    <row r="105" spans="1:38" ht="15.75">
      <c r="A105" s="48">
        <v>800</v>
      </c>
      <c r="B105" s="48">
        <v>850</v>
      </c>
      <c r="C105" s="49"/>
      <c r="D105" s="49"/>
      <c r="E105" s="49"/>
      <c r="F105" s="49"/>
      <c r="G105" s="49"/>
      <c r="H105" s="59"/>
      <c r="I105" s="50">
        <v>0</v>
      </c>
      <c r="J105" s="50" t="e">
        <v>#DIV/0!</v>
      </c>
      <c r="K105" s="50"/>
      <c r="L105" s="50" t="e">
        <v>#DIV/0!</v>
      </c>
      <c r="M105" s="50" t="e">
        <v>#DIV/0!</v>
      </c>
      <c r="N105" s="50"/>
      <c r="O105" s="17"/>
      <c r="P105" s="52" t="str">
        <f t="shared" si="7"/>
        <v>(800, 850]</v>
      </c>
      <c r="Q105" s="53" t="s">
        <v>145</v>
      </c>
      <c r="R105" s="50">
        <f t="shared" si="11"/>
        <v>0</v>
      </c>
      <c r="S105" s="54">
        <v>0</v>
      </c>
      <c r="T105" s="54">
        <v>3.0000000000000001E-3</v>
      </c>
      <c r="U105" s="54">
        <v>0.01</v>
      </c>
      <c r="V105" s="55">
        <v>0</v>
      </c>
      <c r="W105" s="55">
        <v>0</v>
      </c>
      <c r="X105" s="55">
        <v>0</v>
      </c>
      <c r="Y105" s="55" t="e">
        <v>#DIV/0!</v>
      </c>
      <c r="Z105" s="55" t="e">
        <v>#DIV/0!</v>
      </c>
      <c r="AA105" s="55" t="e">
        <v>#DIV/0!</v>
      </c>
      <c r="AB105" s="56" t="e">
        <f t="shared" si="13"/>
        <v>#DIV/0!</v>
      </c>
      <c r="AC105" s="56" t="e">
        <f t="shared" si="13"/>
        <v>#DIV/0!</v>
      </c>
      <c r="AD105" s="56" t="e">
        <f t="shared" si="13"/>
        <v>#DIV/0!</v>
      </c>
      <c r="AE105" s="57" t="e">
        <f t="shared" si="12"/>
        <v>#DIV/0!</v>
      </c>
      <c r="AF105" s="57" t="e">
        <v>#DIV/0!</v>
      </c>
      <c r="AG105" s="57" t="e">
        <f t="shared" si="9"/>
        <v>#DIV/0!</v>
      </c>
      <c r="AH105" s="57" t="e">
        <v>#DIV/0!</v>
      </c>
      <c r="AI105" s="57" t="e">
        <f t="shared" si="10"/>
        <v>#DIV/0!</v>
      </c>
      <c r="AJ105" s="57" t="e">
        <v>#DIV/0!</v>
      </c>
      <c r="AL105" s="16">
        <v>0</v>
      </c>
    </row>
    <row r="106" spans="1:38" ht="15.75">
      <c r="A106" s="48">
        <v>850</v>
      </c>
      <c r="B106" s="48">
        <v>900</v>
      </c>
      <c r="C106" s="49"/>
      <c r="D106" s="49"/>
      <c r="E106" s="49"/>
      <c r="F106" s="49"/>
      <c r="G106" s="49"/>
      <c r="H106" s="59"/>
      <c r="I106" s="50">
        <v>0</v>
      </c>
      <c r="J106" s="50" t="e">
        <v>#DIV/0!</v>
      </c>
      <c r="K106" s="50"/>
      <c r="L106" s="50" t="e">
        <v>#DIV/0!</v>
      </c>
      <c r="M106" s="50" t="e">
        <v>#DIV/0!</v>
      </c>
      <c r="N106" s="50"/>
      <c r="O106" s="17"/>
      <c r="P106" s="52" t="str">
        <f t="shared" si="7"/>
        <v>(850, 900]</v>
      </c>
      <c r="Q106" s="53" t="s">
        <v>145</v>
      </c>
      <c r="R106" s="50">
        <f t="shared" si="11"/>
        <v>0</v>
      </c>
      <c r="S106" s="54">
        <v>0</v>
      </c>
      <c r="T106" s="54">
        <v>3.0000000000000001E-3</v>
      </c>
      <c r="U106" s="54">
        <v>0.01</v>
      </c>
      <c r="V106" s="55">
        <v>0</v>
      </c>
      <c r="W106" s="55">
        <v>0</v>
      </c>
      <c r="X106" s="55">
        <v>0</v>
      </c>
      <c r="Y106" s="55" t="e">
        <v>#DIV/0!</v>
      </c>
      <c r="Z106" s="55" t="e">
        <v>#DIV/0!</v>
      </c>
      <c r="AA106" s="55" t="e">
        <v>#DIV/0!</v>
      </c>
      <c r="AB106" s="56" t="e">
        <f t="shared" si="13"/>
        <v>#DIV/0!</v>
      </c>
      <c r="AC106" s="56" t="e">
        <f t="shared" si="13"/>
        <v>#DIV/0!</v>
      </c>
      <c r="AD106" s="56" t="e">
        <f t="shared" si="13"/>
        <v>#DIV/0!</v>
      </c>
      <c r="AE106" s="57" t="e">
        <f t="shared" si="12"/>
        <v>#DIV/0!</v>
      </c>
      <c r="AF106" s="57" t="e">
        <v>#DIV/0!</v>
      </c>
      <c r="AG106" s="57" t="e">
        <f t="shared" si="9"/>
        <v>#DIV/0!</v>
      </c>
      <c r="AH106" s="57" t="e">
        <v>#DIV/0!</v>
      </c>
      <c r="AI106" s="57" t="e">
        <f t="shared" si="10"/>
        <v>#DIV/0!</v>
      </c>
      <c r="AJ106" s="57" t="e">
        <v>#DIV/0!</v>
      </c>
      <c r="AL106" s="16">
        <v>0</v>
      </c>
    </row>
    <row r="107" spans="1:38" ht="15.75">
      <c r="A107" s="48">
        <v>900</v>
      </c>
      <c r="B107" s="48">
        <v>950</v>
      </c>
      <c r="C107" s="49"/>
      <c r="D107" s="49"/>
      <c r="E107" s="49"/>
      <c r="F107" s="49"/>
      <c r="G107" s="49"/>
      <c r="H107" s="59"/>
      <c r="I107" s="50">
        <v>0</v>
      </c>
      <c r="J107" s="50" t="e">
        <v>#DIV/0!</v>
      </c>
      <c r="K107" s="50"/>
      <c r="L107" s="50" t="e">
        <v>#DIV/0!</v>
      </c>
      <c r="M107" s="50" t="e">
        <v>#DIV/0!</v>
      </c>
      <c r="N107" s="50"/>
      <c r="O107" s="17"/>
      <c r="P107" s="52" t="str">
        <f t="shared" si="7"/>
        <v>(900, 950]</v>
      </c>
      <c r="Q107" s="53" t="s">
        <v>145</v>
      </c>
      <c r="R107" s="50">
        <f t="shared" si="11"/>
        <v>0</v>
      </c>
      <c r="S107" s="54">
        <v>0</v>
      </c>
      <c r="T107" s="54">
        <v>3.0000000000000001E-3</v>
      </c>
      <c r="U107" s="54">
        <v>0.01</v>
      </c>
      <c r="V107" s="55">
        <v>0</v>
      </c>
      <c r="W107" s="55">
        <v>0</v>
      </c>
      <c r="X107" s="55">
        <v>0</v>
      </c>
      <c r="Y107" s="55" t="e">
        <v>#DIV/0!</v>
      </c>
      <c r="Z107" s="55" t="e">
        <v>#DIV/0!</v>
      </c>
      <c r="AA107" s="55" t="e">
        <v>#DIV/0!</v>
      </c>
      <c r="AB107" s="56" t="e">
        <f t="shared" si="13"/>
        <v>#DIV/0!</v>
      </c>
      <c r="AC107" s="56" t="e">
        <f t="shared" si="13"/>
        <v>#DIV/0!</v>
      </c>
      <c r="AD107" s="56" t="e">
        <f t="shared" si="13"/>
        <v>#DIV/0!</v>
      </c>
      <c r="AE107" s="57" t="e">
        <f t="shared" si="12"/>
        <v>#DIV/0!</v>
      </c>
      <c r="AF107" s="57" t="e">
        <v>#DIV/0!</v>
      </c>
      <c r="AG107" s="57" t="e">
        <f t="shared" si="9"/>
        <v>#DIV/0!</v>
      </c>
      <c r="AH107" s="57" t="e">
        <v>#DIV/0!</v>
      </c>
      <c r="AI107" s="57" t="e">
        <f t="shared" si="10"/>
        <v>#DIV/0!</v>
      </c>
      <c r="AJ107" s="57" t="e">
        <v>#DIV/0!</v>
      </c>
      <c r="AL107" s="16">
        <v>6.8970000000000004E-3</v>
      </c>
    </row>
    <row r="108" spans="1:38" ht="15.75">
      <c r="A108" s="48">
        <v>950</v>
      </c>
      <c r="B108" s="48">
        <v>1000</v>
      </c>
      <c r="C108" s="49"/>
      <c r="D108" s="49"/>
      <c r="E108" s="49"/>
      <c r="F108" s="49"/>
      <c r="G108" s="49"/>
      <c r="H108" s="59"/>
      <c r="I108" s="50">
        <v>0</v>
      </c>
      <c r="J108" s="50" t="e">
        <v>#DIV/0!</v>
      </c>
      <c r="K108" s="50"/>
      <c r="L108" s="50" t="e">
        <v>#DIV/0!</v>
      </c>
      <c r="M108" s="50" t="e">
        <v>#DIV/0!</v>
      </c>
      <c r="N108" s="50"/>
      <c r="O108" s="17"/>
      <c r="P108" s="52" t="str">
        <f t="shared" si="7"/>
        <v>(950, 1000]</v>
      </c>
      <c r="Q108" s="53" t="s">
        <v>145</v>
      </c>
      <c r="R108" s="50">
        <f t="shared" si="11"/>
        <v>0</v>
      </c>
      <c r="S108" s="54">
        <v>0</v>
      </c>
      <c r="T108" s="54">
        <v>3.0000000000000001E-3</v>
      </c>
      <c r="U108" s="54">
        <v>0.01</v>
      </c>
      <c r="V108" s="55">
        <v>0</v>
      </c>
      <c r="W108" s="55">
        <v>0</v>
      </c>
      <c r="X108" s="55">
        <v>0</v>
      </c>
      <c r="Y108" s="55" t="e">
        <v>#DIV/0!</v>
      </c>
      <c r="Z108" s="55" t="e">
        <v>#DIV/0!</v>
      </c>
      <c r="AA108" s="55" t="e">
        <v>#DIV/0!</v>
      </c>
      <c r="AB108" s="56" t="e">
        <f t="shared" si="13"/>
        <v>#DIV/0!</v>
      </c>
      <c r="AC108" s="56" t="e">
        <f t="shared" si="13"/>
        <v>#DIV/0!</v>
      </c>
      <c r="AD108" s="56" t="e">
        <f t="shared" si="13"/>
        <v>#DIV/0!</v>
      </c>
      <c r="AE108" s="57" t="e">
        <f t="shared" si="12"/>
        <v>#DIV/0!</v>
      </c>
      <c r="AF108" s="57" t="e">
        <v>#DIV/0!</v>
      </c>
      <c r="AG108" s="57" t="e">
        <f t="shared" si="9"/>
        <v>#DIV/0!</v>
      </c>
      <c r="AH108" s="57" t="e">
        <v>#DIV/0!</v>
      </c>
      <c r="AI108" s="57" t="e">
        <f t="shared" si="10"/>
        <v>#DIV/0!</v>
      </c>
      <c r="AJ108" s="57" t="e">
        <v>#DIV/0!</v>
      </c>
      <c r="AL108" s="16">
        <v>0</v>
      </c>
    </row>
    <row r="109" spans="1:38" ht="15.75">
      <c r="A109" s="48">
        <v>1000</v>
      </c>
      <c r="B109" s="48">
        <v>2000</v>
      </c>
      <c r="C109" s="49"/>
      <c r="D109" s="49"/>
      <c r="E109" s="49"/>
      <c r="F109" s="49"/>
      <c r="G109" s="49"/>
      <c r="H109" s="59"/>
      <c r="I109" s="50">
        <v>0</v>
      </c>
      <c r="J109" s="50" t="e">
        <v>#DIV/0!</v>
      </c>
      <c r="K109" s="50"/>
      <c r="L109" s="50" t="e">
        <v>#DIV/0!</v>
      </c>
      <c r="M109" s="50" t="e">
        <v>#DIV/0!</v>
      </c>
      <c r="N109" s="50"/>
      <c r="O109" s="17"/>
      <c r="P109" s="52" t="str">
        <f t="shared" si="7"/>
        <v>(1000, 2000]</v>
      </c>
      <c r="Q109" s="53" t="s">
        <v>145</v>
      </c>
      <c r="R109" s="50">
        <f t="shared" si="11"/>
        <v>0</v>
      </c>
      <c r="S109" s="54">
        <v>0</v>
      </c>
      <c r="T109" s="54">
        <v>8.0000000000000004E-4</v>
      </c>
      <c r="U109" s="54">
        <v>0.01</v>
      </c>
      <c r="V109" s="55">
        <v>0</v>
      </c>
      <c r="W109" s="55">
        <v>0</v>
      </c>
      <c r="X109" s="55">
        <v>0</v>
      </c>
      <c r="Y109" s="55" t="e">
        <v>#DIV/0!</v>
      </c>
      <c r="Z109" s="55" t="e">
        <v>#DIV/0!</v>
      </c>
      <c r="AA109" s="55" t="e">
        <v>#DIV/0!</v>
      </c>
      <c r="AB109" s="56" t="e">
        <f t="shared" si="13"/>
        <v>#DIV/0!</v>
      </c>
      <c r="AC109" s="56" t="e">
        <f t="shared" si="13"/>
        <v>#DIV/0!</v>
      </c>
      <c r="AD109" s="56" t="e">
        <f t="shared" si="13"/>
        <v>#DIV/0!</v>
      </c>
      <c r="AE109" s="57" t="e">
        <f t="shared" si="12"/>
        <v>#DIV/0!</v>
      </c>
      <c r="AF109" s="57" t="e">
        <v>#DIV/0!</v>
      </c>
      <c r="AG109" s="57" t="e">
        <f t="shared" si="9"/>
        <v>#DIV/0!</v>
      </c>
      <c r="AH109" s="57" t="e">
        <v>#DIV/0!</v>
      </c>
      <c r="AI109" s="57" t="e">
        <f t="shared" si="10"/>
        <v>#DIV/0!</v>
      </c>
      <c r="AJ109" s="57" t="e">
        <v>#DIV/0!</v>
      </c>
      <c r="AL109" s="16">
        <v>0</v>
      </c>
    </row>
    <row r="110" spans="1:38" ht="15.75">
      <c r="A110" s="48">
        <v>2000</v>
      </c>
      <c r="B110" s="48">
        <v>3000</v>
      </c>
      <c r="C110" s="49"/>
      <c r="D110" s="116"/>
      <c r="E110" s="49"/>
      <c r="F110" s="49"/>
      <c r="G110" s="116"/>
      <c r="H110" s="59"/>
      <c r="I110" s="50">
        <v>0</v>
      </c>
      <c r="J110" s="50" t="e">
        <v>#DIV/0!</v>
      </c>
      <c r="K110" s="50"/>
      <c r="L110" s="50" t="e">
        <v>#DIV/0!</v>
      </c>
      <c r="M110" s="50" t="e">
        <v>#DIV/0!</v>
      </c>
      <c r="N110" s="50"/>
      <c r="O110" s="17"/>
      <c r="P110" s="52" t="str">
        <f t="shared" si="7"/>
        <v>(2000, 3000]</v>
      </c>
      <c r="Q110" s="53" t="s">
        <v>145</v>
      </c>
      <c r="R110" s="50">
        <f t="shared" si="11"/>
        <v>0</v>
      </c>
      <c r="S110" s="54">
        <v>0</v>
      </c>
      <c r="T110" s="54">
        <v>8.0000000000000004E-4</v>
      </c>
      <c r="U110" s="54">
        <v>0</v>
      </c>
      <c r="V110" s="55">
        <v>0</v>
      </c>
      <c r="W110" s="55">
        <v>0</v>
      </c>
      <c r="X110" s="55">
        <v>0</v>
      </c>
      <c r="Y110" s="55" t="e">
        <v>#DIV/0!</v>
      </c>
      <c r="Z110" s="55" t="e">
        <v>#DIV/0!</v>
      </c>
      <c r="AA110" s="55" t="e">
        <v>#DIV/0!</v>
      </c>
      <c r="AB110" s="56" t="e">
        <f t="shared" si="13"/>
        <v>#DIV/0!</v>
      </c>
      <c r="AC110" s="56" t="e">
        <f t="shared" si="13"/>
        <v>#DIV/0!</v>
      </c>
      <c r="AD110" s="56" t="e">
        <f t="shared" si="13"/>
        <v>#DIV/0!</v>
      </c>
      <c r="AE110" s="57" t="e">
        <f t="shared" si="12"/>
        <v>#DIV/0!</v>
      </c>
      <c r="AF110" s="57" t="e">
        <v>#DIV/0!</v>
      </c>
      <c r="AG110" s="57" t="e">
        <f t="shared" si="9"/>
        <v>#DIV/0!</v>
      </c>
      <c r="AH110" s="57" t="e">
        <v>#DIV/0!</v>
      </c>
      <c r="AI110" s="57" t="e">
        <f t="shared" si="10"/>
        <v>#DIV/0!</v>
      </c>
      <c r="AJ110" s="57" t="e">
        <v>#DIV/0!</v>
      </c>
      <c r="AL110" s="16">
        <v>0</v>
      </c>
    </row>
    <row r="111" spans="1:38" ht="15.75">
      <c r="A111" s="48">
        <v>3000</v>
      </c>
      <c r="B111" s="48">
        <v>4000</v>
      </c>
      <c r="C111" s="49"/>
      <c r="D111" s="49"/>
      <c r="E111" s="49"/>
      <c r="F111" s="49"/>
      <c r="G111" s="49"/>
      <c r="H111" s="59"/>
      <c r="I111" s="50">
        <v>0</v>
      </c>
      <c r="J111" s="50" t="e">
        <v>#DIV/0!</v>
      </c>
      <c r="K111" s="50"/>
      <c r="L111" s="50" t="e">
        <v>#DIV/0!</v>
      </c>
      <c r="M111" s="50" t="e">
        <v>#DIV/0!</v>
      </c>
      <c r="N111" s="50"/>
      <c r="O111" s="17"/>
      <c r="P111" s="52" t="str">
        <f t="shared" si="7"/>
        <v>(3000, 4000]</v>
      </c>
      <c r="Q111" s="53" t="s">
        <v>145</v>
      </c>
      <c r="R111" s="50">
        <f t="shared" si="11"/>
        <v>0</v>
      </c>
      <c r="S111" s="54">
        <v>0</v>
      </c>
      <c r="T111" s="54">
        <v>0</v>
      </c>
      <c r="U111" s="54">
        <v>0</v>
      </c>
      <c r="V111" s="55">
        <v>0</v>
      </c>
      <c r="W111" s="55">
        <v>0</v>
      </c>
      <c r="X111" s="55">
        <v>0</v>
      </c>
      <c r="Y111" s="55" t="e">
        <v>#DIV/0!</v>
      </c>
      <c r="Z111" s="55" t="e">
        <v>#DIV/0!</v>
      </c>
      <c r="AA111" s="55" t="e">
        <v>#DIV/0!</v>
      </c>
      <c r="AB111" s="56" t="e">
        <f t="shared" si="13"/>
        <v>#DIV/0!</v>
      </c>
      <c r="AC111" s="56" t="e">
        <f t="shared" si="13"/>
        <v>#DIV/0!</v>
      </c>
      <c r="AD111" s="56" t="e">
        <f t="shared" si="13"/>
        <v>#DIV/0!</v>
      </c>
      <c r="AE111" s="57" t="e">
        <f t="shared" si="12"/>
        <v>#DIV/0!</v>
      </c>
      <c r="AF111" s="57" t="e">
        <v>#DIV/0!</v>
      </c>
      <c r="AG111" s="57" t="e">
        <f t="shared" si="9"/>
        <v>#DIV/0!</v>
      </c>
      <c r="AH111" s="57" t="e">
        <v>#DIV/0!</v>
      </c>
      <c r="AI111" s="57" t="e">
        <f t="shared" si="10"/>
        <v>#DIV/0!</v>
      </c>
      <c r="AJ111" s="57" t="e">
        <v>#DIV/0!</v>
      </c>
      <c r="AL111" s="16">
        <v>0</v>
      </c>
    </row>
    <row r="112" spans="1:38" ht="15.75">
      <c r="A112" s="48">
        <v>4000</v>
      </c>
      <c r="B112" s="48">
        <v>5000</v>
      </c>
      <c r="C112" s="49"/>
      <c r="D112" s="49"/>
      <c r="E112" s="49"/>
      <c r="F112" s="49"/>
      <c r="G112" s="49"/>
      <c r="H112" s="59"/>
      <c r="I112" s="50">
        <v>0</v>
      </c>
      <c r="J112" s="50" t="e">
        <v>#DIV/0!</v>
      </c>
      <c r="K112" s="50"/>
      <c r="L112" s="50" t="e">
        <v>#DIV/0!</v>
      </c>
      <c r="M112" s="50" t="e">
        <v>#DIV/0!</v>
      </c>
      <c r="N112" s="50"/>
      <c r="O112" s="17"/>
      <c r="P112" s="52" t="str">
        <f t="shared" si="7"/>
        <v>(4000, 5000]</v>
      </c>
      <c r="Q112" s="53" t="s">
        <v>145</v>
      </c>
      <c r="R112" s="50">
        <f t="shared" si="11"/>
        <v>0</v>
      </c>
      <c r="S112" s="54">
        <v>0</v>
      </c>
      <c r="T112" s="54">
        <v>0</v>
      </c>
      <c r="U112" s="54">
        <v>0</v>
      </c>
      <c r="V112" s="55">
        <v>0</v>
      </c>
      <c r="W112" s="55">
        <v>0</v>
      </c>
      <c r="X112" s="55">
        <v>0</v>
      </c>
      <c r="Y112" s="55" t="e">
        <v>#DIV/0!</v>
      </c>
      <c r="Z112" s="55" t="e">
        <v>#DIV/0!</v>
      </c>
      <c r="AA112" s="55" t="e">
        <v>#DIV/0!</v>
      </c>
      <c r="AB112" s="56" t="e">
        <f t="shared" si="13"/>
        <v>#DIV/0!</v>
      </c>
      <c r="AC112" s="56" t="e">
        <f t="shared" si="13"/>
        <v>#DIV/0!</v>
      </c>
      <c r="AD112" s="56" t="e">
        <f t="shared" si="13"/>
        <v>#DIV/0!</v>
      </c>
      <c r="AE112" s="57" t="e">
        <f t="shared" si="12"/>
        <v>#DIV/0!</v>
      </c>
      <c r="AF112" s="57" t="e">
        <v>#DIV/0!</v>
      </c>
      <c r="AG112" s="57" t="e">
        <f t="shared" si="9"/>
        <v>#DIV/0!</v>
      </c>
      <c r="AH112" s="57" t="e">
        <v>#DIV/0!</v>
      </c>
      <c r="AI112" s="57" t="e">
        <f t="shared" si="10"/>
        <v>#DIV/0!</v>
      </c>
      <c r="AJ112" s="57" t="e">
        <v>#DIV/0!</v>
      </c>
      <c r="AL112" s="16">
        <v>0</v>
      </c>
    </row>
    <row r="113" spans="1:38" ht="15.75">
      <c r="A113" s="48">
        <v>5000</v>
      </c>
      <c r="B113" s="48">
        <v>6000</v>
      </c>
      <c r="C113" s="49"/>
      <c r="D113" s="49"/>
      <c r="E113" s="49"/>
      <c r="F113" s="49"/>
      <c r="G113" s="49"/>
      <c r="H113" s="59"/>
      <c r="I113" s="50">
        <v>0</v>
      </c>
      <c r="J113" s="50" t="e">
        <v>#DIV/0!</v>
      </c>
      <c r="K113" s="50"/>
      <c r="L113" s="50" t="e">
        <v>#DIV/0!</v>
      </c>
      <c r="M113" s="50" t="e">
        <v>#DIV/0!</v>
      </c>
      <c r="N113" s="50"/>
      <c r="O113" s="17"/>
      <c r="P113" s="52" t="str">
        <f t="shared" si="7"/>
        <v>(5000, 6000]</v>
      </c>
      <c r="Q113" s="53" t="s">
        <v>145</v>
      </c>
      <c r="R113" s="50">
        <f t="shared" si="11"/>
        <v>0</v>
      </c>
      <c r="S113" s="54">
        <v>0</v>
      </c>
      <c r="T113" s="54">
        <v>0</v>
      </c>
      <c r="U113" s="54">
        <v>0</v>
      </c>
      <c r="V113" s="55">
        <v>0</v>
      </c>
      <c r="W113" s="55">
        <v>0</v>
      </c>
      <c r="X113" s="55">
        <v>0</v>
      </c>
      <c r="Y113" s="55" t="e">
        <v>#DIV/0!</v>
      </c>
      <c r="Z113" s="55" t="e">
        <v>#DIV/0!</v>
      </c>
      <c r="AA113" s="55" t="e">
        <v>#DIV/0!</v>
      </c>
      <c r="AB113" s="56" t="e">
        <f t="shared" si="13"/>
        <v>#DIV/0!</v>
      </c>
      <c r="AC113" s="56" t="e">
        <f t="shared" si="13"/>
        <v>#DIV/0!</v>
      </c>
      <c r="AD113" s="56" t="e">
        <f t="shared" si="13"/>
        <v>#DIV/0!</v>
      </c>
      <c r="AE113" s="57" t="e">
        <f t="shared" si="12"/>
        <v>#DIV/0!</v>
      </c>
      <c r="AF113" s="57" t="e">
        <v>#DIV/0!</v>
      </c>
      <c r="AG113" s="57" t="e">
        <f t="shared" si="9"/>
        <v>#DIV/0!</v>
      </c>
      <c r="AH113" s="57" t="e">
        <v>#DIV/0!</v>
      </c>
      <c r="AI113" s="57" t="e">
        <f t="shared" si="10"/>
        <v>#DIV/0!</v>
      </c>
      <c r="AJ113" s="57" t="e">
        <v>#DIV/0!</v>
      </c>
      <c r="AL113" s="16">
        <v>0</v>
      </c>
    </row>
    <row r="114" spans="1:38" ht="15.75">
      <c r="A114" s="48">
        <v>6000</v>
      </c>
      <c r="B114" s="48">
        <v>7000</v>
      </c>
      <c r="C114" s="49"/>
      <c r="D114" s="49"/>
      <c r="E114" s="49"/>
      <c r="F114" s="49"/>
      <c r="G114" s="49"/>
      <c r="H114" s="59"/>
      <c r="I114" s="50">
        <v>0</v>
      </c>
      <c r="J114" s="50" t="e">
        <v>#DIV/0!</v>
      </c>
      <c r="K114" s="50"/>
      <c r="L114" s="50" t="e">
        <v>#DIV/0!</v>
      </c>
      <c r="M114" s="50" t="e">
        <v>#DIV/0!</v>
      </c>
      <c r="N114" s="50"/>
      <c r="O114" s="17"/>
      <c r="P114" s="52" t="str">
        <f t="shared" si="7"/>
        <v>(6000, 7000]</v>
      </c>
      <c r="Q114" s="53" t="s">
        <v>145</v>
      </c>
      <c r="R114" s="50">
        <f t="shared" si="11"/>
        <v>0</v>
      </c>
      <c r="S114" s="54">
        <v>0</v>
      </c>
      <c r="T114" s="54">
        <v>0</v>
      </c>
      <c r="U114" s="54">
        <v>0</v>
      </c>
      <c r="V114" s="55">
        <v>0</v>
      </c>
      <c r="W114" s="55">
        <v>0</v>
      </c>
      <c r="X114" s="55">
        <v>0</v>
      </c>
      <c r="Y114" s="55" t="e">
        <v>#DIV/0!</v>
      </c>
      <c r="Z114" s="55" t="e">
        <v>#DIV/0!</v>
      </c>
      <c r="AA114" s="55" t="e">
        <v>#DIV/0!</v>
      </c>
      <c r="AB114" s="56" t="e">
        <f t="shared" si="13"/>
        <v>#DIV/0!</v>
      </c>
      <c r="AC114" s="56" t="e">
        <f t="shared" si="13"/>
        <v>#DIV/0!</v>
      </c>
      <c r="AD114" s="56" t="e">
        <f t="shared" si="13"/>
        <v>#DIV/0!</v>
      </c>
      <c r="AE114" s="57" t="e">
        <f t="shared" si="12"/>
        <v>#DIV/0!</v>
      </c>
      <c r="AF114" s="57" t="e">
        <v>#DIV/0!</v>
      </c>
      <c r="AG114" s="57" t="e">
        <f t="shared" si="9"/>
        <v>#DIV/0!</v>
      </c>
      <c r="AH114" s="57" t="e">
        <v>#DIV/0!</v>
      </c>
      <c r="AI114" s="57" t="e">
        <f t="shared" si="10"/>
        <v>#DIV/0!</v>
      </c>
      <c r="AJ114" s="57" t="e">
        <v>#DIV/0!</v>
      </c>
      <c r="AL114" s="16">
        <v>0</v>
      </c>
    </row>
    <row r="115" spans="1:38" ht="15.75">
      <c r="A115" s="48">
        <v>7000</v>
      </c>
      <c r="B115" s="48">
        <v>8000</v>
      </c>
      <c r="C115" s="49"/>
      <c r="D115" s="49"/>
      <c r="E115" s="49"/>
      <c r="F115" s="49"/>
      <c r="G115" s="49"/>
      <c r="H115" s="59"/>
      <c r="I115" s="50">
        <v>0</v>
      </c>
      <c r="J115" s="50" t="e">
        <v>#DIV/0!</v>
      </c>
      <c r="K115" s="50"/>
      <c r="L115" s="50" t="e">
        <v>#DIV/0!</v>
      </c>
      <c r="M115" s="50" t="e">
        <v>#DIV/0!</v>
      </c>
      <c r="N115" s="50"/>
      <c r="O115" s="17"/>
      <c r="P115" s="52" t="str">
        <f t="shared" si="7"/>
        <v>(7000, 8000]</v>
      </c>
      <c r="Q115" s="53" t="s">
        <v>145</v>
      </c>
      <c r="R115" s="50">
        <f t="shared" si="11"/>
        <v>0</v>
      </c>
      <c r="S115" s="54">
        <v>0</v>
      </c>
      <c r="T115" s="54">
        <v>0</v>
      </c>
      <c r="U115" s="54">
        <v>0</v>
      </c>
      <c r="V115" s="55">
        <v>0</v>
      </c>
      <c r="W115" s="55">
        <v>0</v>
      </c>
      <c r="X115" s="55">
        <v>0</v>
      </c>
      <c r="Y115" s="55" t="e">
        <v>#DIV/0!</v>
      </c>
      <c r="Z115" s="55" t="e">
        <v>#DIV/0!</v>
      </c>
      <c r="AA115" s="55" t="e">
        <v>#DIV/0!</v>
      </c>
      <c r="AB115" s="56" t="e">
        <f t="shared" si="13"/>
        <v>#DIV/0!</v>
      </c>
      <c r="AC115" s="56" t="e">
        <f t="shared" si="13"/>
        <v>#DIV/0!</v>
      </c>
      <c r="AD115" s="56" t="e">
        <f t="shared" si="13"/>
        <v>#DIV/0!</v>
      </c>
      <c r="AE115" s="57" t="e">
        <f t="shared" si="12"/>
        <v>#DIV/0!</v>
      </c>
      <c r="AF115" s="57" t="e">
        <v>#DIV/0!</v>
      </c>
      <c r="AG115" s="57" t="e">
        <f t="shared" si="9"/>
        <v>#DIV/0!</v>
      </c>
      <c r="AH115" s="57" t="e">
        <v>#DIV/0!</v>
      </c>
      <c r="AI115" s="57" t="e">
        <f t="shared" si="10"/>
        <v>#DIV/0!</v>
      </c>
      <c r="AJ115" s="57" t="e">
        <v>#DIV/0!</v>
      </c>
      <c r="AL115" s="16">
        <v>0</v>
      </c>
    </row>
    <row r="116" spans="1:38" ht="15.75">
      <c r="A116" s="48"/>
      <c r="B116" s="48"/>
      <c r="C116" s="49"/>
      <c r="D116" s="49"/>
      <c r="E116" s="49"/>
      <c r="F116" s="49"/>
      <c r="G116" s="49"/>
      <c r="H116" s="59"/>
      <c r="I116" s="50">
        <v>0</v>
      </c>
      <c r="J116" s="50" t="e">
        <v>#DIV/0!</v>
      </c>
      <c r="K116" s="50"/>
      <c r="L116" s="50" t="e">
        <v>#DIV/0!</v>
      </c>
      <c r="M116" s="50" t="e">
        <v>#DIV/0!</v>
      </c>
      <c r="N116" s="50"/>
      <c r="O116" s="17"/>
      <c r="P116" s="52" t="str">
        <f t="shared" si="7"/>
        <v>(, ]</v>
      </c>
      <c r="Q116" s="53" t="s">
        <v>145</v>
      </c>
      <c r="R116" s="50">
        <f t="shared" si="11"/>
        <v>0</v>
      </c>
      <c r="S116" s="54">
        <v>0</v>
      </c>
      <c r="T116" s="54">
        <v>0</v>
      </c>
      <c r="U116" s="54">
        <v>0</v>
      </c>
      <c r="V116" s="55">
        <v>0</v>
      </c>
      <c r="W116" s="55">
        <v>0</v>
      </c>
      <c r="X116" s="55">
        <v>0</v>
      </c>
      <c r="Y116" s="55" t="e">
        <v>#DIV/0!</v>
      </c>
      <c r="Z116" s="55" t="e">
        <v>#DIV/0!</v>
      </c>
      <c r="AA116" s="55" t="e">
        <v>#DIV/0!</v>
      </c>
      <c r="AB116" s="56" t="e">
        <f t="shared" si="13"/>
        <v>#DIV/0!</v>
      </c>
      <c r="AC116" s="56" t="e">
        <f t="shared" si="13"/>
        <v>#DIV/0!</v>
      </c>
      <c r="AD116" s="56" t="e">
        <f t="shared" si="13"/>
        <v>#DIV/0!</v>
      </c>
      <c r="AE116" s="57" t="e">
        <f t="shared" si="12"/>
        <v>#DIV/0!</v>
      </c>
      <c r="AF116" s="57" t="e">
        <v>#DIV/0!</v>
      </c>
      <c r="AG116" s="57" t="e">
        <f t="shared" si="9"/>
        <v>#DIV/0!</v>
      </c>
      <c r="AH116" s="57" t="e">
        <v>#DIV/0!</v>
      </c>
      <c r="AI116" s="57" t="e">
        <f t="shared" si="10"/>
        <v>#DIV/0!</v>
      </c>
      <c r="AJ116" s="57" t="e">
        <v>#DIV/0!</v>
      </c>
      <c r="AL116" s="16">
        <v>0</v>
      </c>
    </row>
    <row r="117" spans="1:38" ht="15.75">
      <c r="A117" s="48"/>
      <c r="B117" s="48"/>
      <c r="C117" s="49"/>
      <c r="D117" s="49"/>
      <c r="E117" s="49"/>
      <c r="F117" s="49"/>
      <c r="G117" s="49"/>
      <c r="H117" s="59"/>
      <c r="I117" s="50">
        <v>0</v>
      </c>
      <c r="J117" s="50" t="e">
        <v>#DIV/0!</v>
      </c>
      <c r="K117" s="50"/>
      <c r="L117" s="50" t="e">
        <v>#DIV/0!</v>
      </c>
      <c r="M117" s="50" t="e">
        <v>#DIV/0!</v>
      </c>
      <c r="N117" s="50"/>
      <c r="O117" s="17"/>
      <c r="P117" s="52" t="str">
        <f t="shared" si="7"/>
        <v>(, ]</v>
      </c>
      <c r="Q117" s="53" t="s">
        <v>145</v>
      </c>
      <c r="R117" s="50">
        <f t="shared" si="11"/>
        <v>0</v>
      </c>
      <c r="S117" s="54">
        <v>0</v>
      </c>
      <c r="T117" s="54">
        <v>0</v>
      </c>
      <c r="U117" s="54">
        <v>0</v>
      </c>
      <c r="V117" s="55">
        <v>0</v>
      </c>
      <c r="W117" s="55">
        <v>0</v>
      </c>
      <c r="X117" s="55">
        <v>0</v>
      </c>
      <c r="Y117" s="55" t="e">
        <v>#DIV/0!</v>
      </c>
      <c r="Z117" s="55" t="e">
        <v>#DIV/0!</v>
      </c>
      <c r="AA117" s="55" t="e">
        <v>#DIV/0!</v>
      </c>
      <c r="AB117" s="56" t="e">
        <f t="shared" si="13"/>
        <v>#DIV/0!</v>
      </c>
      <c r="AC117" s="56" t="e">
        <f t="shared" si="13"/>
        <v>#DIV/0!</v>
      </c>
      <c r="AD117" s="56" t="e">
        <f t="shared" si="13"/>
        <v>#DIV/0!</v>
      </c>
      <c r="AE117" s="57" t="e">
        <f t="shared" si="12"/>
        <v>#DIV/0!</v>
      </c>
      <c r="AF117" s="57" t="e">
        <v>#DIV/0!</v>
      </c>
      <c r="AG117" s="57" t="e">
        <f t="shared" si="9"/>
        <v>#DIV/0!</v>
      </c>
      <c r="AH117" s="57" t="e">
        <v>#DIV/0!</v>
      </c>
      <c r="AI117" s="57" t="e">
        <f t="shared" si="10"/>
        <v>#DIV/0!</v>
      </c>
      <c r="AJ117" s="57" t="e">
        <v>#DIV/0!</v>
      </c>
      <c r="AL117" s="16">
        <v>0</v>
      </c>
    </row>
    <row r="118" spans="1:38" ht="15.75">
      <c r="A118" s="48"/>
      <c r="B118" s="48"/>
      <c r="C118" s="49"/>
      <c r="D118" s="49"/>
      <c r="E118" s="49"/>
      <c r="F118" s="49"/>
      <c r="G118" s="49"/>
      <c r="H118" s="59"/>
      <c r="I118" s="50">
        <v>0</v>
      </c>
      <c r="J118" s="50" t="e">
        <v>#DIV/0!</v>
      </c>
      <c r="K118" s="50"/>
      <c r="L118" s="50" t="e">
        <v>#DIV/0!</v>
      </c>
      <c r="M118" s="50" t="e">
        <v>#DIV/0!</v>
      </c>
      <c r="N118" s="50"/>
      <c r="O118" s="17"/>
      <c r="P118" s="52" t="str">
        <f t="shared" si="7"/>
        <v>(, ]</v>
      </c>
      <c r="Q118" s="53" t="s">
        <v>145</v>
      </c>
      <c r="R118" s="50">
        <f t="shared" si="11"/>
        <v>0</v>
      </c>
      <c r="S118" s="54">
        <v>0</v>
      </c>
      <c r="T118" s="54">
        <v>0</v>
      </c>
      <c r="U118" s="54">
        <v>0</v>
      </c>
      <c r="V118" s="55">
        <v>0</v>
      </c>
      <c r="W118" s="55">
        <v>0</v>
      </c>
      <c r="X118" s="55">
        <v>0</v>
      </c>
      <c r="Y118" s="55" t="e">
        <v>#DIV/0!</v>
      </c>
      <c r="Z118" s="55" t="e">
        <v>#DIV/0!</v>
      </c>
      <c r="AA118" s="55" t="e">
        <v>#DIV/0!</v>
      </c>
      <c r="AB118" s="56" t="e">
        <f t="shared" si="13"/>
        <v>#DIV/0!</v>
      </c>
      <c r="AC118" s="56" t="e">
        <f t="shared" si="13"/>
        <v>#DIV/0!</v>
      </c>
      <c r="AD118" s="56" t="e">
        <f t="shared" si="13"/>
        <v>#DIV/0!</v>
      </c>
      <c r="AE118" s="57" t="e">
        <f t="shared" si="12"/>
        <v>#DIV/0!</v>
      </c>
      <c r="AF118" s="57" t="e">
        <v>#DIV/0!</v>
      </c>
      <c r="AG118" s="57" t="e">
        <f t="shared" si="9"/>
        <v>#DIV/0!</v>
      </c>
      <c r="AH118" s="57" t="e">
        <v>#DIV/0!</v>
      </c>
      <c r="AI118" s="57" t="e">
        <f t="shared" si="10"/>
        <v>#DIV/0!</v>
      </c>
      <c r="AJ118" s="57" t="e">
        <v>#DIV/0!</v>
      </c>
      <c r="AL118" s="16">
        <v>0</v>
      </c>
    </row>
    <row r="119" spans="1:38" ht="15.75">
      <c r="A119" s="48"/>
      <c r="B119" s="48"/>
      <c r="C119" s="49"/>
      <c r="D119" s="49"/>
      <c r="E119" s="49"/>
      <c r="F119" s="49"/>
      <c r="G119" s="49"/>
      <c r="H119" s="59"/>
      <c r="I119" s="50">
        <v>0</v>
      </c>
      <c r="J119" s="50" t="e">
        <v>#DIV/0!</v>
      </c>
      <c r="K119" s="50"/>
      <c r="L119" s="50" t="e">
        <v>#DIV/0!</v>
      </c>
      <c r="M119" s="50" t="e">
        <v>#DIV/0!</v>
      </c>
      <c r="N119" s="50"/>
      <c r="O119" s="17"/>
      <c r="P119" s="52" t="str">
        <f t="shared" si="7"/>
        <v>(, ]</v>
      </c>
      <c r="Q119" s="53" t="s">
        <v>145</v>
      </c>
      <c r="R119" s="50">
        <f t="shared" si="11"/>
        <v>0</v>
      </c>
      <c r="S119" s="54">
        <v>0</v>
      </c>
      <c r="T119" s="54">
        <v>0</v>
      </c>
      <c r="U119" s="54">
        <v>0</v>
      </c>
      <c r="V119" s="55">
        <v>0</v>
      </c>
      <c r="W119" s="55">
        <v>0</v>
      </c>
      <c r="X119" s="55">
        <v>0</v>
      </c>
      <c r="Y119" s="55" t="e">
        <v>#DIV/0!</v>
      </c>
      <c r="Z119" s="55" t="e">
        <v>#DIV/0!</v>
      </c>
      <c r="AA119" s="55" t="e">
        <v>#DIV/0!</v>
      </c>
      <c r="AB119" s="56" t="e">
        <f t="shared" si="13"/>
        <v>#DIV/0!</v>
      </c>
      <c r="AC119" s="56" t="e">
        <f t="shared" si="13"/>
        <v>#DIV/0!</v>
      </c>
      <c r="AD119" s="56" t="e">
        <f t="shared" si="13"/>
        <v>#DIV/0!</v>
      </c>
      <c r="AE119" s="57" t="e">
        <f t="shared" si="12"/>
        <v>#DIV/0!</v>
      </c>
      <c r="AF119" s="57" t="e">
        <v>#DIV/0!</v>
      </c>
      <c r="AG119" s="57" t="e">
        <f t="shared" si="9"/>
        <v>#DIV/0!</v>
      </c>
      <c r="AH119" s="57" t="e">
        <v>#DIV/0!</v>
      </c>
      <c r="AI119" s="57" t="e">
        <f t="shared" si="10"/>
        <v>#DIV/0!</v>
      </c>
      <c r="AJ119" s="57" t="e">
        <v>#DIV/0!</v>
      </c>
    </row>
    <row r="120" spans="1:38" ht="15.75">
      <c r="A120" s="48"/>
      <c r="B120" s="48"/>
      <c r="C120" s="49"/>
      <c r="D120" s="49"/>
      <c r="E120" s="49"/>
      <c r="F120" s="49"/>
      <c r="G120" s="49"/>
      <c r="H120" s="59"/>
      <c r="I120" s="50">
        <v>0</v>
      </c>
      <c r="J120" s="50" t="e">
        <v>#DIV/0!</v>
      </c>
      <c r="K120" s="50"/>
      <c r="L120" s="50" t="e">
        <v>#DIV/0!</v>
      </c>
      <c r="M120" s="50" t="e">
        <v>#DIV/0!</v>
      </c>
      <c r="N120" s="50"/>
      <c r="O120" s="17"/>
      <c r="P120" s="52" t="str">
        <f t="shared" si="7"/>
        <v>(, ]</v>
      </c>
      <c r="Q120" s="53" t="s">
        <v>145</v>
      </c>
      <c r="R120" s="50">
        <f t="shared" si="11"/>
        <v>0</v>
      </c>
      <c r="S120" s="54">
        <v>0</v>
      </c>
      <c r="T120" s="54">
        <v>0</v>
      </c>
      <c r="U120" s="54">
        <v>0</v>
      </c>
      <c r="V120" s="55">
        <v>0</v>
      </c>
      <c r="W120" s="55">
        <v>0</v>
      </c>
      <c r="X120" s="55">
        <v>0</v>
      </c>
      <c r="Y120" s="55" t="e">
        <v>#DIV/0!</v>
      </c>
      <c r="Z120" s="55" t="e">
        <v>#DIV/0!</v>
      </c>
      <c r="AA120" s="55" t="e">
        <v>#DIV/0!</v>
      </c>
      <c r="AB120" s="56" t="e">
        <f t="shared" si="13"/>
        <v>#DIV/0!</v>
      </c>
      <c r="AC120" s="56" t="e">
        <f t="shared" si="13"/>
        <v>#DIV/0!</v>
      </c>
      <c r="AD120" s="56" t="e">
        <f t="shared" si="13"/>
        <v>#DIV/0!</v>
      </c>
      <c r="AE120" s="57" t="e">
        <f t="shared" si="12"/>
        <v>#DIV/0!</v>
      </c>
      <c r="AF120" s="57" t="e">
        <v>#DIV/0!</v>
      </c>
      <c r="AG120" s="57" t="e">
        <f t="shared" si="9"/>
        <v>#DIV/0!</v>
      </c>
      <c r="AH120" s="57" t="e">
        <v>#DIV/0!</v>
      </c>
      <c r="AI120" s="57" t="e">
        <f t="shared" si="10"/>
        <v>#DIV/0!</v>
      </c>
      <c r="AJ120" s="57" t="e">
        <v>#DIV/0!</v>
      </c>
    </row>
    <row r="121" spans="1:38" ht="15.75">
      <c r="A121" s="48"/>
      <c r="B121" s="48"/>
      <c r="C121" s="49"/>
      <c r="D121" s="49"/>
      <c r="E121" s="49"/>
      <c r="F121" s="49"/>
      <c r="G121" s="49"/>
      <c r="H121" s="59"/>
      <c r="I121" s="50">
        <v>0</v>
      </c>
      <c r="J121" s="50" t="e">
        <v>#DIV/0!</v>
      </c>
      <c r="K121" s="50"/>
      <c r="L121" s="50" t="e">
        <v>#DIV/0!</v>
      </c>
      <c r="M121" s="50" t="e">
        <v>#DIV/0!</v>
      </c>
      <c r="N121" s="50"/>
      <c r="O121" s="17"/>
      <c r="P121" s="52" t="str">
        <f t="shared" si="7"/>
        <v>(, ]</v>
      </c>
      <c r="Q121" s="53" t="s">
        <v>145</v>
      </c>
      <c r="R121" s="50">
        <f t="shared" si="11"/>
        <v>0</v>
      </c>
      <c r="S121" s="54">
        <v>0</v>
      </c>
      <c r="T121" s="54">
        <v>0</v>
      </c>
      <c r="U121" s="54">
        <v>0</v>
      </c>
      <c r="V121" s="55">
        <v>0</v>
      </c>
      <c r="W121" s="55">
        <v>0</v>
      </c>
      <c r="X121" s="55">
        <v>0</v>
      </c>
      <c r="Y121" s="55" t="e">
        <v>#DIV/0!</v>
      </c>
      <c r="Z121" s="55" t="e">
        <v>#DIV/0!</v>
      </c>
      <c r="AA121" s="55" t="e">
        <v>#DIV/0!</v>
      </c>
      <c r="AB121" s="56" t="e">
        <f t="shared" si="13"/>
        <v>#DIV/0!</v>
      </c>
      <c r="AC121" s="56" t="e">
        <f t="shared" si="13"/>
        <v>#DIV/0!</v>
      </c>
      <c r="AD121" s="56" t="e">
        <f t="shared" si="13"/>
        <v>#DIV/0!</v>
      </c>
      <c r="AE121" s="57" t="e">
        <f t="shared" si="12"/>
        <v>#DIV/0!</v>
      </c>
      <c r="AF121" s="57" t="e">
        <v>#DIV/0!</v>
      </c>
      <c r="AG121" s="57" t="e">
        <f t="shared" si="9"/>
        <v>#DIV/0!</v>
      </c>
      <c r="AH121" s="57" t="e">
        <v>#DIV/0!</v>
      </c>
      <c r="AI121" s="57" t="e">
        <f t="shared" si="10"/>
        <v>#DIV/0!</v>
      </c>
      <c r="AJ121" s="57" t="e">
        <v>#DIV/0!</v>
      </c>
    </row>
    <row r="122" spans="1:38" ht="15.75">
      <c r="A122" s="48"/>
      <c r="B122" s="48"/>
      <c r="C122" s="49"/>
      <c r="D122" s="49"/>
      <c r="E122" s="49"/>
      <c r="F122" s="49"/>
      <c r="G122" s="49"/>
      <c r="H122" s="59"/>
      <c r="I122" s="50">
        <v>0</v>
      </c>
      <c r="J122" s="50" t="e">
        <v>#DIV/0!</v>
      </c>
      <c r="K122" s="50"/>
      <c r="L122" s="48" t="e">
        <v>#DIV/0!</v>
      </c>
      <c r="M122" s="48" t="e">
        <v>#DIV/0!</v>
      </c>
      <c r="N122" s="50"/>
      <c r="O122" s="17"/>
      <c r="P122" s="52" t="str">
        <f t="shared" si="7"/>
        <v>(, ]</v>
      </c>
      <c r="Q122" s="53" t="s">
        <v>145</v>
      </c>
      <c r="R122" s="50">
        <f t="shared" si="11"/>
        <v>0</v>
      </c>
      <c r="S122" s="54">
        <v>0</v>
      </c>
      <c r="T122" s="54">
        <v>0</v>
      </c>
      <c r="U122" s="54">
        <v>0</v>
      </c>
      <c r="V122" s="55">
        <v>0</v>
      </c>
      <c r="W122" s="55">
        <v>0</v>
      </c>
      <c r="X122" s="55">
        <v>0</v>
      </c>
      <c r="Y122" s="55" t="e">
        <v>#DIV/0!</v>
      </c>
      <c r="Z122" s="55" t="e">
        <v>#DIV/0!</v>
      </c>
      <c r="AA122" s="55" t="e">
        <v>#DIV/0!</v>
      </c>
      <c r="AB122" s="56" t="e">
        <f t="shared" si="13"/>
        <v>#DIV/0!</v>
      </c>
      <c r="AC122" s="56" t="e">
        <f t="shared" si="13"/>
        <v>#DIV/0!</v>
      </c>
      <c r="AD122" s="56" t="e">
        <f t="shared" si="13"/>
        <v>#DIV/0!</v>
      </c>
      <c r="AE122" s="57" t="e">
        <f t="shared" si="12"/>
        <v>#DIV/0!</v>
      </c>
      <c r="AF122" s="57" t="e">
        <v>#DIV/0!</v>
      </c>
      <c r="AG122" s="57" t="e">
        <f t="shared" si="9"/>
        <v>#DIV/0!</v>
      </c>
      <c r="AH122" s="57" t="e">
        <v>#DIV/0!</v>
      </c>
      <c r="AI122" s="57" t="e">
        <f t="shared" si="10"/>
        <v>#DIV/0!</v>
      </c>
      <c r="AJ122" s="57" t="e">
        <v>#DIV/0!</v>
      </c>
    </row>
    <row r="123" spans="1:38">
      <c r="F123" s="1"/>
      <c r="G123" s="1"/>
    </row>
    <row r="124" spans="1:38">
      <c r="F124" s="117"/>
      <c r="G124" s="117"/>
    </row>
    <row r="125" spans="1:38">
      <c r="AE125">
        <f>75*0.925</f>
        <v>69.375</v>
      </c>
    </row>
    <row r="126" spans="1:38">
      <c r="AF126" s="112" t="s">
        <v>146</v>
      </c>
      <c r="AG126" s="17"/>
      <c r="AH126" s="112" t="s">
        <v>147</v>
      </c>
      <c r="AI126" s="17"/>
      <c r="AJ126" s="112" t="s">
        <v>148</v>
      </c>
    </row>
    <row r="127" spans="1:38">
      <c r="A127" s="214" t="s">
        <v>60</v>
      </c>
      <c r="B127" s="214" t="s">
        <v>61</v>
      </c>
      <c r="C127" s="205" t="s">
        <v>62</v>
      </c>
      <c r="D127" s="206"/>
      <c r="E127" s="207"/>
      <c r="F127" s="205" t="s">
        <v>63</v>
      </c>
      <c r="G127" s="206"/>
      <c r="H127" s="207"/>
      <c r="I127" s="205" t="s">
        <v>64</v>
      </c>
      <c r="J127" s="206"/>
      <c r="K127" s="207"/>
      <c r="L127" s="205" t="s">
        <v>65</v>
      </c>
      <c r="M127" s="206"/>
      <c r="N127" s="207"/>
      <c r="O127" s="17"/>
      <c r="P127" s="204" t="s">
        <v>66</v>
      </c>
      <c r="Q127" s="205" t="s">
        <v>149</v>
      </c>
      <c r="R127" s="206"/>
      <c r="S127" s="206"/>
      <c r="T127" s="206"/>
      <c r="U127" s="206"/>
      <c r="V127" s="206"/>
      <c r="W127" s="206"/>
      <c r="X127" s="207"/>
      <c r="Y127" s="211" t="s">
        <v>68</v>
      </c>
      <c r="Z127" s="212"/>
      <c r="AA127" s="213"/>
      <c r="AB127" s="208">
        <f>10^9</f>
        <v>1000000000</v>
      </c>
      <c r="AC127" s="209"/>
      <c r="AD127" s="210"/>
      <c r="AE127" s="46" t="s">
        <v>150</v>
      </c>
      <c r="AF127" s="47" t="e">
        <f>SUM(AE129:AE187)</f>
        <v>#DIV/0!</v>
      </c>
      <c r="AG127" s="46" t="s">
        <v>151</v>
      </c>
      <c r="AH127" s="47" t="e">
        <f>SUM(AG129:AG187)</f>
        <v>#DIV/0!</v>
      </c>
      <c r="AI127" s="46" t="s">
        <v>152</v>
      </c>
      <c r="AJ127" s="47" t="e">
        <f>SUM(AI129:AI187)</f>
        <v>#DIV/0!</v>
      </c>
    </row>
    <row r="128" spans="1:38">
      <c r="A128" s="215"/>
      <c r="B128" s="215"/>
      <c r="C128" s="109" t="s">
        <v>142</v>
      </c>
      <c r="D128" s="109" t="s">
        <v>143</v>
      </c>
      <c r="E128" s="109" t="s">
        <v>144</v>
      </c>
      <c r="F128" s="109" t="s">
        <v>142</v>
      </c>
      <c r="G128" s="109" t="s">
        <v>143</v>
      </c>
      <c r="H128" s="109" t="s">
        <v>144</v>
      </c>
      <c r="I128" s="109" t="s">
        <v>142</v>
      </c>
      <c r="J128" s="109" t="s">
        <v>143</v>
      </c>
      <c r="K128" s="109" t="s">
        <v>144</v>
      </c>
      <c r="L128" s="109" t="s">
        <v>142</v>
      </c>
      <c r="M128" s="109" t="s">
        <v>143</v>
      </c>
      <c r="N128" s="109" t="s">
        <v>144</v>
      </c>
      <c r="O128" s="17"/>
      <c r="P128" s="204"/>
      <c r="Q128" s="109" t="s">
        <v>72</v>
      </c>
      <c r="R128" s="109" t="s">
        <v>73</v>
      </c>
      <c r="S128" s="109" t="s">
        <v>127</v>
      </c>
      <c r="T128" s="109" t="s">
        <v>128</v>
      </c>
      <c r="U128" s="109" t="s">
        <v>129</v>
      </c>
      <c r="V128" s="109" t="s">
        <v>130</v>
      </c>
      <c r="W128" s="109" t="s">
        <v>131</v>
      </c>
      <c r="X128" s="109" t="s">
        <v>132</v>
      </c>
      <c r="Y128" s="109" t="s">
        <v>133</v>
      </c>
      <c r="Z128" s="109" t="s">
        <v>134</v>
      </c>
      <c r="AA128" s="109" t="s">
        <v>135</v>
      </c>
      <c r="AB128" s="109" t="s">
        <v>136</v>
      </c>
      <c r="AC128" s="109" t="s">
        <v>137</v>
      </c>
      <c r="AD128" s="109" t="s">
        <v>138</v>
      </c>
      <c r="AE128" s="109" t="s">
        <v>65</v>
      </c>
      <c r="AF128" s="109" t="s">
        <v>74</v>
      </c>
      <c r="AG128" s="109" t="s">
        <v>65</v>
      </c>
      <c r="AH128" s="109" t="s">
        <v>74</v>
      </c>
      <c r="AI128" s="109" t="s">
        <v>65</v>
      </c>
      <c r="AJ128" s="109" t="s">
        <v>74</v>
      </c>
    </row>
    <row r="129" spans="1:36" ht="15.75">
      <c r="A129" s="48">
        <v>-1</v>
      </c>
      <c r="B129" s="48">
        <v>0</v>
      </c>
      <c r="C129" s="49"/>
      <c r="D129" s="49"/>
      <c r="E129" s="49"/>
      <c r="F129" s="49"/>
      <c r="G129" s="49"/>
      <c r="H129" s="59"/>
      <c r="I129" s="50" t="e" cm="1">
        <f t="array" ref="I129:I187">_xlfn.LET(_xlpm.x, C129:C187, _xlpm.x/SUM(_xlpm.x))</f>
        <v>#DIV/0!</v>
      </c>
      <c r="J129" s="50" t="e" cm="1">
        <f t="array" ref="J129:J187">_xlfn.LET(_xlpm.x, D129:D187, _xlpm.x/SUM(_xlpm.x))</f>
        <v>#DIV/0!</v>
      </c>
      <c r="K129" s="50"/>
      <c r="L129" s="50" t="e" cm="1">
        <f t="array" ref="L129:L187">F129:F187/C129:C187/Overview!#REF!/5</f>
        <v>#DIV/0!</v>
      </c>
      <c r="M129" s="51" t="e" cm="1">
        <f t="array" ref="M129:M187">G129:G187/D129:D187/Overview!#REF!/5</f>
        <v>#DIV/0!</v>
      </c>
      <c r="N129" s="55"/>
      <c r="O129" s="118"/>
      <c r="P129" s="108" t="str">
        <f t="shared" ref="P129:P187" si="14">"("&amp;$A129&amp;", "&amp;$B129&amp;"]"</f>
        <v>(-1, 0]</v>
      </c>
      <c r="Q129" s="53" t="s">
        <v>145</v>
      </c>
      <c r="R129" s="50" t="e">
        <f>_xlfn.XLOOKUP(Q129, $I$128:$K$128, I129:K129)</f>
        <v>#DIV/0!</v>
      </c>
      <c r="S129" s="119">
        <v>0</v>
      </c>
      <c r="T129" s="119">
        <v>0</v>
      </c>
      <c r="U129" s="54">
        <v>0</v>
      </c>
      <c r="V129" s="55" t="e" cm="1">
        <f t="array" ref="V129:V187">$R129:$R187*S129:S187</f>
        <v>#DIV/0!</v>
      </c>
      <c r="W129" s="55" t="e" cm="1">
        <f t="array" ref="W129:W187">$R129:$R187*T129:T187</f>
        <v>#DIV/0!</v>
      </c>
      <c r="X129" s="55" t="e" cm="1">
        <f t="array" ref="X129:X187">$R129:$R187*U129:U187</f>
        <v>#DIV/0!</v>
      </c>
      <c r="Y129" s="55" t="e" cm="1">
        <f t="array" ref="Y129:Y187">_xlfn.LET(_xlpm.x,_xlfn.ANCHORARRAY( V129), _xlpm.x/SUM(_xlpm.x))</f>
        <v>#DIV/0!</v>
      </c>
      <c r="Z129" s="55" t="e" cm="1">
        <f t="array" ref="Z129:Z187">_xlfn.LET(_xlpm.x,_xlfn.ANCHORARRAY( W129), _xlpm.x/SUM(_xlpm.x))</f>
        <v>#DIV/0!</v>
      </c>
      <c r="AA129" s="55" t="e" cm="1">
        <f t="array" ref="AA129:AA187">_xlfn.LET(_xlpm.x,_xlfn.ANCHORARRAY( X129), _xlpm.x/SUM(_xlpm.x))</f>
        <v>#DIV/0!</v>
      </c>
      <c r="AB129" s="56" t="e">
        <f t="shared" ref="AB129:AD160" si="15">INT(Y129*$AB$62)</f>
        <v>#DIV/0!</v>
      </c>
      <c r="AC129" s="56" t="e">
        <f t="shared" si="15"/>
        <v>#DIV/0!</v>
      </c>
      <c r="AD129" s="56" t="e">
        <f t="shared" si="15"/>
        <v>#DIV/0!</v>
      </c>
      <c r="AE129" s="57" t="e">
        <f>_xlfn.LET(_xlpm.x, _xlfn.XLOOKUP($Q129, $L$128:$N$128, $L129:$N129), IF(ISERROR(_xlpm.x), 0, _xlpm.x)*AB129/$AB$127)</f>
        <v>#DIV/0!</v>
      </c>
      <c r="AF129" s="57" t="e" cm="1">
        <f t="array" ref="AF129:AF187">_xlfn.LET(_xlpm.x, AB129:AB187, _xlpm.x/SUM(_xlpm.x))</f>
        <v>#DIV/0!</v>
      </c>
      <c r="AG129" s="57" t="e">
        <f>_xlfn.LET(_xlpm.x, _xlfn.XLOOKUP($Q129, $L$128:$N$128, $L129:$N129), IF(ISERROR(_xlpm.x), 0, _xlpm.x)*AC129/$AB$127)</f>
        <v>#DIV/0!</v>
      </c>
      <c r="AH129" s="57" t="e" cm="1">
        <f t="array" ref="AH129:AH187">_xlfn.LET(_xlpm.x, AC129:AC187, _xlpm.x/SUM(_xlpm.x))</f>
        <v>#DIV/0!</v>
      </c>
      <c r="AI129" s="57" t="e">
        <f>_xlfn.LET(_xlpm.x, _xlfn.XLOOKUP($Q129, $L$128:$N$128, $L129:$N129), IF(ISERROR(_xlpm.x), 0, _xlpm.x)*AD129/$AB$127)</f>
        <v>#DIV/0!</v>
      </c>
      <c r="AJ129" s="57" t="e" cm="1">
        <f t="array" ref="AJ129:AJ187">_xlfn.LET(_xlpm.x, AD129:AD187, _xlpm.x/SUM(_xlpm.x))</f>
        <v>#DIV/0!</v>
      </c>
    </row>
    <row r="130" spans="1:36" ht="15.75">
      <c r="A130" s="48">
        <v>0</v>
      </c>
      <c r="B130" s="48">
        <v>1</v>
      </c>
      <c r="C130" s="49"/>
      <c r="D130" s="49"/>
      <c r="E130" s="49"/>
      <c r="F130" s="49"/>
      <c r="G130" s="49"/>
      <c r="H130" s="59"/>
      <c r="I130" s="50" t="e">
        <v>#DIV/0!</v>
      </c>
      <c r="J130" s="50" t="e">
        <v>#DIV/0!</v>
      </c>
      <c r="K130" s="50"/>
      <c r="L130" s="50" t="e">
        <v>#DIV/0!</v>
      </c>
      <c r="M130" s="51" t="e">
        <v>#DIV/0!</v>
      </c>
      <c r="N130" s="55"/>
      <c r="O130" s="120"/>
      <c r="P130" s="108" t="str">
        <f t="shared" si="14"/>
        <v>(0, 1]</v>
      </c>
      <c r="Q130" s="53" t="s">
        <v>145</v>
      </c>
      <c r="R130" s="50" t="e">
        <f t="shared" ref="R130:R187" si="16">_xlfn.XLOOKUP(Q130, $I$128:$K$128, I130:K130)</f>
        <v>#DIV/0!</v>
      </c>
      <c r="S130" s="119">
        <v>0</v>
      </c>
      <c r="T130" s="119">
        <v>0</v>
      </c>
      <c r="U130" s="54">
        <v>0</v>
      </c>
      <c r="V130" s="55" t="e">
        <v>#DIV/0!</v>
      </c>
      <c r="W130" s="55" t="e">
        <v>#DIV/0!</v>
      </c>
      <c r="X130" s="55" t="e">
        <v>#DIV/0!</v>
      </c>
      <c r="Y130" s="55" t="e">
        <v>#DIV/0!</v>
      </c>
      <c r="Z130" s="55" t="e">
        <v>#DIV/0!</v>
      </c>
      <c r="AA130" s="55" t="e">
        <v>#DIV/0!</v>
      </c>
      <c r="AB130" s="56" t="e">
        <f t="shared" si="15"/>
        <v>#DIV/0!</v>
      </c>
      <c r="AC130" s="56" t="e">
        <f t="shared" si="15"/>
        <v>#DIV/0!</v>
      </c>
      <c r="AD130" s="56" t="e">
        <f t="shared" si="15"/>
        <v>#DIV/0!</v>
      </c>
      <c r="AE130" s="57" t="e">
        <f t="shared" ref="AE130:AE187" si="17">_xlfn.LET(_xlpm.x, _xlfn.XLOOKUP($Q130, $L$128:$N$128, $L130:$N130), IF(ISERROR(_xlpm.x), 0, _xlpm.x)*AB130/$AB$127)</f>
        <v>#DIV/0!</v>
      </c>
      <c r="AF130" s="57" t="e">
        <v>#DIV/0!</v>
      </c>
      <c r="AG130" s="57" t="e">
        <f t="shared" ref="AG130:AG187" si="18">_xlfn.LET(_xlpm.x, _xlfn.XLOOKUP($Q130, $L$128:$N$128, $L130:$N130), IF(ISERROR(_xlpm.x), 0, _xlpm.x)*AC130/$AB$127)</f>
        <v>#DIV/0!</v>
      </c>
      <c r="AH130" s="57" t="e">
        <v>#DIV/0!</v>
      </c>
      <c r="AI130" s="57" t="e">
        <f t="shared" ref="AI130:AI187" si="19">_xlfn.LET(_xlpm.x, _xlfn.XLOOKUP($Q130, $L$128:$N$128, $L130:$N130), IF(ISERROR(_xlpm.x), 0, _xlpm.x)*AD130/$AB$127)</f>
        <v>#DIV/0!</v>
      </c>
      <c r="AJ130" s="57" t="e">
        <v>#DIV/0!</v>
      </c>
    </row>
    <row r="131" spans="1:36" ht="15.75">
      <c r="A131" s="48">
        <v>1</v>
      </c>
      <c r="B131" s="48">
        <v>2</v>
      </c>
      <c r="C131" s="49"/>
      <c r="D131" s="49"/>
      <c r="E131" s="49"/>
      <c r="F131" s="49"/>
      <c r="G131" s="49"/>
      <c r="H131" s="59"/>
      <c r="I131" s="50" t="e">
        <v>#DIV/0!</v>
      </c>
      <c r="J131" s="50" t="e">
        <v>#DIV/0!</v>
      </c>
      <c r="K131" s="50"/>
      <c r="L131" s="50" t="e">
        <v>#DIV/0!</v>
      </c>
      <c r="M131" s="51" t="e">
        <v>#DIV/0!</v>
      </c>
      <c r="N131" s="55"/>
      <c r="O131" s="120"/>
      <c r="P131" s="108" t="str">
        <f t="shared" si="14"/>
        <v>(1, 2]</v>
      </c>
      <c r="Q131" s="53" t="s">
        <v>145</v>
      </c>
      <c r="R131" s="50" t="e">
        <f t="shared" si="16"/>
        <v>#DIV/0!</v>
      </c>
      <c r="S131" s="119">
        <v>0</v>
      </c>
      <c r="T131" s="119">
        <v>0</v>
      </c>
      <c r="U131" s="54">
        <v>0</v>
      </c>
      <c r="V131" s="55" t="e">
        <v>#DIV/0!</v>
      </c>
      <c r="W131" s="55" t="e">
        <v>#DIV/0!</v>
      </c>
      <c r="X131" s="55" t="e">
        <v>#DIV/0!</v>
      </c>
      <c r="Y131" s="55" t="e">
        <v>#DIV/0!</v>
      </c>
      <c r="Z131" s="55" t="e">
        <v>#DIV/0!</v>
      </c>
      <c r="AA131" s="55" t="e">
        <v>#DIV/0!</v>
      </c>
      <c r="AB131" s="56" t="e">
        <f t="shared" si="15"/>
        <v>#DIV/0!</v>
      </c>
      <c r="AC131" s="56" t="e">
        <f t="shared" si="15"/>
        <v>#DIV/0!</v>
      </c>
      <c r="AD131" s="56" t="e">
        <f t="shared" si="15"/>
        <v>#DIV/0!</v>
      </c>
      <c r="AE131" s="57" t="e">
        <f t="shared" si="17"/>
        <v>#DIV/0!</v>
      </c>
      <c r="AF131" s="57" t="e">
        <v>#DIV/0!</v>
      </c>
      <c r="AG131" s="57" t="e">
        <f t="shared" si="18"/>
        <v>#DIV/0!</v>
      </c>
      <c r="AH131" s="57" t="e">
        <v>#DIV/0!</v>
      </c>
      <c r="AI131" s="57" t="e">
        <f t="shared" si="19"/>
        <v>#DIV/0!</v>
      </c>
      <c r="AJ131" s="57" t="e">
        <v>#DIV/0!</v>
      </c>
    </row>
    <row r="132" spans="1:36" ht="15.75">
      <c r="A132" s="48">
        <v>2</v>
      </c>
      <c r="B132" s="48">
        <v>3</v>
      </c>
      <c r="C132" s="49"/>
      <c r="D132" s="49"/>
      <c r="E132" s="49"/>
      <c r="F132" s="49"/>
      <c r="G132" s="49"/>
      <c r="H132" s="59"/>
      <c r="I132" s="50" t="e">
        <v>#DIV/0!</v>
      </c>
      <c r="J132" s="50" t="e">
        <v>#DIV/0!</v>
      </c>
      <c r="K132" s="50"/>
      <c r="L132" s="50" t="e">
        <v>#DIV/0!</v>
      </c>
      <c r="M132" s="51" t="e">
        <v>#DIV/0!</v>
      </c>
      <c r="N132" s="55"/>
      <c r="O132" s="120"/>
      <c r="P132" s="108" t="str">
        <f t="shared" si="14"/>
        <v>(2, 3]</v>
      </c>
      <c r="Q132" s="53" t="s">
        <v>145</v>
      </c>
      <c r="R132" s="50" t="e">
        <f t="shared" si="16"/>
        <v>#DIV/0!</v>
      </c>
      <c r="S132" s="119">
        <v>0</v>
      </c>
      <c r="T132" s="119">
        <v>0</v>
      </c>
      <c r="U132" s="54">
        <v>0</v>
      </c>
      <c r="V132" s="55" t="e">
        <v>#DIV/0!</v>
      </c>
      <c r="W132" s="55" t="e">
        <v>#DIV/0!</v>
      </c>
      <c r="X132" s="55" t="e">
        <v>#DIV/0!</v>
      </c>
      <c r="Y132" s="55" t="e">
        <v>#DIV/0!</v>
      </c>
      <c r="Z132" s="55" t="e">
        <v>#DIV/0!</v>
      </c>
      <c r="AA132" s="55" t="e">
        <v>#DIV/0!</v>
      </c>
      <c r="AB132" s="56" t="e">
        <f t="shared" si="15"/>
        <v>#DIV/0!</v>
      </c>
      <c r="AC132" s="56" t="e">
        <f t="shared" si="15"/>
        <v>#DIV/0!</v>
      </c>
      <c r="AD132" s="56" t="e">
        <f t="shared" si="15"/>
        <v>#DIV/0!</v>
      </c>
      <c r="AE132" s="57" t="e">
        <f t="shared" si="17"/>
        <v>#DIV/0!</v>
      </c>
      <c r="AF132" s="57" t="e">
        <v>#DIV/0!</v>
      </c>
      <c r="AG132" s="57" t="e">
        <f t="shared" si="18"/>
        <v>#DIV/0!</v>
      </c>
      <c r="AH132" s="57" t="e">
        <v>#DIV/0!</v>
      </c>
      <c r="AI132" s="57" t="e">
        <f t="shared" si="19"/>
        <v>#DIV/0!</v>
      </c>
      <c r="AJ132" s="57" t="e">
        <v>#DIV/0!</v>
      </c>
    </row>
    <row r="133" spans="1:36" ht="15.75">
      <c r="A133" s="48">
        <v>3</v>
      </c>
      <c r="B133" s="48">
        <v>4</v>
      </c>
      <c r="C133" s="49"/>
      <c r="D133" s="49"/>
      <c r="E133" s="49"/>
      <c r="F133" s="49"/>
      <c r="G133" s="49"/>
      <c r="H133" s="59"/>
      <c r="I133" s="50" t="e">
        <v>#DIV/0!</v>
      </c>
      <c r="J133" s="50" t="e">
        <v>#DIV/0!</v>
      </c>
      <c r="K133" s="50"/>
      <c r="L133" s="50" t="e">
        <v>#DIV/0!</v>
      </c>
      <c r="M133" s="51" t="e">
        <v>#DIV/0!</v>
      </c>
      <c r="N133" s="55"/>
      <c r="O133" s="120"/>
      <c r="P133" s="108" t="str">
        <f t="shared" si="14"/>
        <v>(3, 4]</v>
      </c>
      <c r="Q133" s="53" t="s">
        <v>145</v>
      </c>
      <c r="R133" s="50" t="e">
        <f t="shared" si="16"/>
        <v>#DIV/0!</v>
      </c>
      <c r="S133" s="119">
        <v>0</v>
      </c>
      <c r="T133" s="119">
        <v>0</v>
      </c>
      <c r="U133" s="54">
        <v>0</v>
      </c>
      <c r="V133" s="55" t="e">
        <v>#DIV/0!</v>
      </c>
      <c r="W133" s="55" t="e">
        <v>#DIV/0!</v>
      </c>
      <c r="X133" s="55" t="e">
        <v>#DIV/0!</v>
      </c>
      <c r="Y133" s="55" t="e">
        <v>#DIV/0!</v>
      </c>
      <c r="Z133" s="55" t="e">
        <v>#DIV/0!</v>
      </c>
      <c r="AA133" s="55" t="e">
        <v>#DIV/0!</v>
      </c>
      <c r="AB133" s="56" t="e">
        <f t="shared" si="15"/>
        <v>#DIV/0!</v>
      </c>
      <c r="AC133" s="56" t="e">
        <f t="shared" si="15"/>
        <v>#DIV/0!</v>
      </c>
      <c r="AD133" s="56" t="e">
        <f t="shared" si="15"/>
        <v>#DIV/0!</v>
      </c>
      <c r="AE133" s="57" t="e">
        <f t="shared" si="17"/>
        <v>#DIV/0!</v>
      </c>
      <c r="AF133" s="57" t="e">
        <v>#DIV/0!</v>
      </c>
      <c r="AG133" s="57" t="e">
        <f t="shared" si="18"/>
        <v>#DIV/0!</v>
      </c>
      <c r="AH133" s="57" t="e">
        <v>#DIV/0!</v>
      </c>
      <c r="AI133" s="57" t="e">
        <f t="shared" si="19"/>
        <v>#DIV/0!</v>
      </c>
      <c r="AJ133" s="57" t="e">
        <v>#DIV/0!</v>
      </c>
    </row>
    <row r="134" spans="1:36" ht="15.75">
      <c r="A134" s="48">
        <v>4</v>
      </c>
      <c r="B134" s="48">
        <v>5</v>
      </c>
      <c r="C134" s="49"/>
      <c r="D134" s="49"/>
      <c r="E134" s="49"/>
      <c r="F134" s="49"/>
      <c r="G134" s="49"/>
      <c r="H134" s="59"/>
      <c r="I134" s="50" t="e">
        <v>#DIV/0!</v>
      </c>
      <c r="J134" s="50" t="e">
        <v>#DIV/0!</v>
      </c>
      <c r="K134" s="50"/>
      <c r="L134" s="50" t="e">
        <v>#DIV/0!</v>
      </c>
      <c r="M134" s="51" t="e">
        <v>#DIV/0!</v>
      </c>
      <c r="N134" s="55"/>
      <c r="O134" s="120"/>
      <c r="P134" s="108" t="str">
        <f t="shared" si="14"/>
        <v>(4, 5]</v>
      </c>
      <c r="Q134" s="53" t="s">
        <v>145</v>
      </c>
      <c r="R134" s="50" t="e">
        <f t="shared" si="16"/>
        <v>#DIV/0!</v>
      </c>
      <c r="S134" s="119">
        <v>0</v>
      </c>
      <c r="T134" s="119">
        <v>0</v>
      </c>
      <c r="U134" s="54">
        <v>0</v>
      </c>
      <c r="V134" s="55" t="e">
        <v>#DIV/0!</v>
      </c>
      <c r="W134" s="55" t="e">
        <v>#DIV/0!</v>
      </c>
      <c r="X134" s="55" t="e">
        <v>#DIV/0!</v>
      </c>
      <c r="Y134" s="55" t="e">
        <v>#DIV/0!</v>
      </c>
      <c r="Z134" s="55" t="e">
        <v>#DIV/0!</v>
      </c>
      <c r="AA134" s="55" t="e">
        <v>#DIV/0!</v>
      </c>
      <c r="AB134" s="56" t="e">
        <f t="shared" si="15"/>
        <v>#DIV/0!</v>
      </c>
      <c r="AC134" s="56" t="e">
        <f t="shared" si="15"/>
        <v>#DIV/0!</v>
      </c>
      <c r="AD134" s="56" t="e">
        <f t="shared" si="15"/>
        <v>#DIV/0!</v>
      </c>
      <c r="AE134" s="57" t="e">
        <f t="shared" si="17"/>
        <v>#DIV/0!</v>
      </c>
      <c r="AF134" s="57" t="e">
        <v>#DIV/0!</v>
      </c>
      <c r="AG134" s="57" t="e">
        <f t="shared" si="18"/>
        <v>#DIV/0!</v>
      </c>
      <c r="AH134" s="57" t="e">
        <v>#DIV/0!</v>
      </c>
      <c r="AI134" s="57" t="e">
        <f t="shared" si="19"/>
        <v>#DIV/0!</v>
      </c>
      <c r="AJ134" s="57" t="e">
        <v>#DIV/0!</v>
      </c>
    </row>
    <row r="135" spans="1:36" ht="15.75">
      <c r="A135" s="48">
        <v>5</v>
      </c>
      <c r="B135" s="48">
        <v>6</v>
      </c>
      <c r="C135" s="49"/>
      <c r="D135" s="49"/>
      <c r="E135" s="49"/>
      <c r="F135" s="49"/>
      <c r="G135" s="49"/>
      <c r="H135" s="59"/>
      <c r="I135" s="50" t="e">
        <v>#DIV/0!</v>
      </c>
      <c r="J135" s="50" t="e">
        <v>#DIV/0!</v>
      </c>
      <c r="K135" s="50"/>
      <c r="L135" s="50" t="e">
        <v>#DIV/0!</v>
      </c>
      <c r="M135" s="51" t="e">
        <v>#DIV/0!</v>
      </c>
      <c r="N135" s="55"/>
      <c r="O135" s="120"/>
      <c r="P135" s="108" t="str">
        <f t="shared" si="14"/>
        <v>(5, 6]</v>
      </c>
      <c r="Q135" s="53" t="s">
        <v>145</v>
      </c>
      <c r="R135" s="50" t="e">
        <f t="shared" si="16"/>
        <v>#DIV/0!</v>
      </c>
      <c r="S135" s="119">
        <v>0</v>
      </c>
      <c r="T135" s="119">
        <v>0</v>
      </c>
      <c r="U135" s="54">
        <v>0</v>
      </c>
      <c r="V135" s="55" t="e">
        <v>#DIV/0!</v>
      </c>
      <c r="W135" s="55" t="e">
        <v>#DIV/0!</v>
      </c>
      <c r="X135" s="55" t="e">
        <v>#DIV/0!</v>
      </c>
      <c r="Y135" s="55" t="e">
        <v>#DIV/0!</v>
      </c>
      <c r="Z135" s="55" t="e">
        <v>#DIV/0!</v>
      </c>
      <c r="AA135" s="55" t="e">
        <v>#DIV/0!</v>
      </c>
      <c r="AB135" s="56" t="e">
        <f t="shared" si="15"/>
        <v>#DIV/0!</v>
      </c>
      <c r="AC135" s="56" t="e">
        <f t="shared" si="15"/>
        <v>#DIV/0!</v>
      </c>
      <c r="AD135" s="56" t="e">
        <f t="shared" si="15"/>
        <v>#DIV/0!</v>
      </c>
      <c r="AE135" s="57" t="e">
        <f t="shared" si="17"/>
        <v>#DIV/0!</v>
      </c>
      <c r="AF135" s="57" t="e">
        <v>#DIV/0!</v>
      </c>
      <c r="AG135" s="57" t="e">
        <f t="shared" si="18"/>
        <v>#DIV/0!</v>
      </c>
      <c r="AH135" s="57" t="e">
        <v>#DIV/0!</v>
      </c>
      <c r="AI135" s="57" t="e">
        <f t="shared" si="19"/>
        <v>#DIV/0!</v>
      </c>
      <c r="AJ135" s="57" t="e">
        <v>#DIV/0!</v>
      </c>
    </row>
    <row r="136" spans="1:36" ht="15.75">
      <c r="A136" s="48">
        <v>6</v>
      </c>
      <c r="B136" s="48">
        <v>7</v>
      </c>
      <c r="C136" s="49"/>
      <c r="D136" s="49"/>
      <c r="E136" s="49"/>
      <c r="F136" s="49"/>
      <c r="G136" s="49"/>
      <c r="H136" s="59"/>
      <c r="I136" s="50" t="e">
        <v>#DIV/0!</v>
      </c>
      <c r="J136" s="50" t="e">
        <v>#DIV/0!</v>
      </c>
      <c r="K136" s="50"/>
      <c r="L136" s="50" t="e">
        <v>#DIV/0!</v>
      </c>
      <c r="M136" s="51" t="e">
        <v>#DIV/0!</v>
      </c>
      <c r="N136" s="55"/>
      <c r="O136" s="120"/>
      <c r="P136" s="108" t="str">
        <f t="shared" si="14"/>
        <v>(6, 7]</v>
      </c>
      <c r="Q136" s="53" t="s">
        <v>145</v>
      </c>
      <c r="R136" s="50" t="e">
        <f t="shared" si="16"/>
        <v>#DIV/0!</v>
      </c>
      <c r="S136" s="119">
        <v>0</v>
      </c>
      <c r="T136" s="119">
        <v>0</v>
      </c>
      <c r="U136" s="54">
        <v>0</v>
      </c>
      <c r="V136" s="55" t="e">
        <v>#DIV/0!</v>
      </c>
      <c r="W136" s="55" t="e">
        <v>#DIV/0!</v>
      </c>
      <c r="X136" s="55" t="e">
        <v>#DIV/0!</v>
      </c>
      <c r="Y136" s="55" t="e">
        <v>#DIV/0!</v>
      </c>
      <c r="Z136" s="55" t="e">
        <v>#DIV/0!</v>
      </c>
      <c r="AA136" s="55" t="e">
        <v>#DIV/0!</v>
      </c>
      <c r="AB136" s="56" t="e">
        <f t="shared" si="15"/>
        <v>#DIV/0!</v>
      </c>
      <c r="AC136" s="56" t="e">
        <f t="shared" si="15"/>
        <v>#DIV/0!</v>
      </c>
      <c r="AD136" s="56" t="e">
        <f t="shared" si="15"/>
        <v>#DIV/0!</v>
      </c>
      <c r="AE136" s="57" t="e">
        <f t="shared" si="17"/>
        <v>#DIV/0!</v>
      </c>
      <c r="AF136" s="57" t="e">
        <v>#DIV/0!</v>
      </c>
      <c r="AG136" s="57" t="e">
        <f t="shared" si="18"/>
        <v>#DIV/0!</v>
      </c>
      <c r="AH136" s="57" t="e">
        <v>#DIV/0!</v>
      </c>
      <c r="AI136" s="57" t="e">
        <f t="shared" si="19"/>
        <v>#DIV/0!</v>
      </c>
      <c r="AJ136" s="57" t="e">
        <v>#DIV/0!</v>
      </c>
    </row>
    <row r="137" spans="1:36" ht="15.75">
      <c r="A137" s="48">
        <v>7</v>
      </c>
      <c r="B137" s="48">
        <v>8</v>
      </c>
      <c r="C137" s="49"/>
      <c r="D137" s="49"/>
      <c r="E137" s="49"/>
      <c r="F137" s="49"/>
      <c r="G137" s="49"/>
      <c r="H137" s="59"/>
      <c r="I137" s="50" t="e">
        <v>#DIV/0!</v>
      </c>
      <c r="J137" s="50" t="e">
        <v>#DIV/0!</v>
      </c>
      <c r="K137" s="50"/>
      <c r="L137" s="50" t="e">
        <v>#DIV/0!</v>
      </c>
      <c r="M137" s="50" t="e">
        <v>#DIV/0!</v>
      </c>
      <c r="N137" s="55"/>
      <c r="O137" s="120"/>
      <c r="P137" s="108" t="str">
        <f t="shared" si="14"/>
        <v>(7, 8]</v>
      </c>
      <c r="Q137" s="53" t="s">
        <v>145</v>
      </c>
      <c r="R137" s="50" t="e">
        <f t="shared" si="16"/>
        <v>#DIV/0!</v>
      </c>
      <c r="S137" s="119">
        <v>0</v>
      </c>
      <c r="T137" s="119">
        <v>0</v>
      </c>
      <c r="U137" s="54">
        <v>0</v>
      </c>
      <c r="V137" s="55" t="e">
        <v>#DIV/0!</v>
      </c>
      <c r="W137" s="55" t="e">
        <v>#DIV/0!</v>
      </c>
      <c r="X137" s="55" t="e">
        <v>#DIV/0!</v>
      </c>
      <c r="Y137" s="55" t="e">
        <v>#DIV/0!</v>
      </c>
      <c r="Z137" s="55" t="e">
        <v>#DIV/0!</v>
      </c>
      <c r="AA137" s="55" t="e">
        <v>#DIV/0!</v>
      </c>
      <c r="AB137" s="56" t="e">
        <f t="shared" si="15"/>
        <v>#DIV/0!</v>
      </c>
      <c r="AC137" s="56" t="e">
        <f t="shared" si="15"/>
        <v>#DIV/0!</v>
      </c>
      <c r="AD137" s="56" t="e">
        <f t="shared" si="15"/>
        <v>#DIV/0!</v>
      </c>
      <c r="AE137" s="57" t="e">
        <f t="shared" si="17"/>
        <v>#DIV/0!</v>
      </c>
      <c r="AF137" s="57" t="e">
        <v>#DIV/0!</v>
      </c>
      <c r="AG137" s="57" t="e">
        <f t="shared" si="18"/>
        <v>#DIV/0!</v>
      </c>
      <c r="AH137" s="57" t="e">
        <v>#DIV/0!</v>
      </c>
      <c r="AI137" s="57" t="e">
        <f t="shared" si="19"/>
        <v>#DIV/0!</v>
      </c>
      <c r="AJ137" s="57" t="e">
        <v>#DIV/0!</v>
      </c>
    </row>
    <row r="138" spans="1:36" ht="15.75">
      <c r="A138" s="48">
        <v>8</v>
      </c>
      <c r="B138" s="48">
        <v>9</v>
      </c>
      <c r="C138" s="49"/>
      <c r="D138" s="49"/>
      <c r="E138" s="49"/>
      <c r="F138" s="49"/>
      <c r="G138" s="49"/>
      <c r="H138" s="59"/>
      <c r="I138" s="50" t="e">
        <v>#DIV/0!</v>
      </c>
      <c r="J138" s="50" t="e">
        <v>#DIV/0!</v>
      </c>
      <c r="K138" s="50"/>
      <c r="L138" s="50" t="e">
        <v>#DIV/0!</v>
      </c>
      <c r="M138" s="50" t="e">
        <v>#DIV/0!</v>
      </c>
      <c r="N138" s="55"/>
      <c r="O138" s="120"/>
      <c r="P138" s="108" t="str">
        <f t="shared" si="14"/>
        <v>(8, 9]</v>
      </c>
      <c r="Q138" s="53" t="s">
        <v>145</v>
      </c>
      <c r="R138" s="50" t="e">
        <f t="shared" si="16"/>
        <v>#DIV/0!</v>
      </c>
      <c r="S138" s="119">
        <v>0</v>
      </c>
      <c r="T138" s="119">
        <v>0</v>
      </c>
      <c r="U138" s="54">
        <v>0</v>
      </c>
      <c r="V138" s="55" t="e">
        <v>#DIV/0!</v>
      </c>
      <c r="W138" s="55" t="e">
        <v>#DIV/0!</v>
      </c>
      <c r="X138" s="55" t="e">
        <v>#DIV/0!</v>
      </c>
      <c r="Y138" s="55" t="e">
        <v>#DIV/0!</v>
      </c>
      <c r="Z138" s="55" t="e">
        <v>#DIV/0!</v>
      </c>
      <c r="AA138" s="55" t="e">
        <v>#DIV/0!</v>
      </c>
      <c r="AB138" s="56" t="e">
        <f t="shared" si="15"/>
        <v>#DIV/0!</v>
      </c>
      <c r="AC138" s="56" t="e">
        <f t="shared" si="15"/>
        <v>#DIV/0!</v>
      </c>
      <c r="AD138" s="56" t="e">
        <f t="shared" si="15"/>
        <v>#DIV/0!</v>
      </c>
      <c r="AE138" s="57" t="e">
        <f t="shared" si="17"/>
        <v>#DIV/0!</v>
      </c>
      <c r="AF138" s="57" t="e">
        <v>#DIV/0!</v>
      </c>
      <c r="AG138" s="57" t="e">
        <f t="shared" si="18"/>
        <v>#DIV/0!</v>
      </c>
      <c r="AH138" s="57" t="e">
        <v>#DIV/0!</v>
      </c>
      <c r="AI138" s="57" t="e">
        <f t="shared" si="19"/>
        <v>#DIV/0!</v>
      </c>
      <c r="AJ138" s="57" t="e">
        <v>#DIV/0!</v>
      </c>
    </row>
    <row r="139" spans="1:36" ht="15.75">
      <c r="A139" s="48">
        <v>9</v>
      </c>
      <c r="B139" s="48">
        <v>10</v>
      </c>
      <c r="C139" s="49"/>
      <c r="D139" s="49"/>
      <c r="E139" s="49"/>
      <c r="F139" s="49"/>
      <c r="G139" s="49"/>
      <c r="H139" s="59"/>
      <c r="I139" s="50" t="e">
        <v>#DIV/0!</v>
      </c>
      <c r="J139" s="50" t="e">
        <v>#DIV/0!</v>
      </c>
      <c r="K139" s="50"/>
      <c r="L139" s="50" t="e">
        <v>#DIV/0!</v>
      </c>
      <c r="M139" s="50" t="e">
        <v>#DIV/0!</v>
      </c>
      <c r="N139" s="55"/>
      <c r="O139" s="120"/>
      <c r="P139" s="108" t="str">
        <f t="shared" si="14"/>
        <v>(9, 10]</v>
      </c>
      <c r="Q139" s="53" t="s">
        <v>145</v>
      </c>
      <c r="R139" s="50" t="e">
        <f t="shared" si="16"/>
        <v>#DIV/0!</v>
      </c>
      <c r="S139" s="119">
        <v>0</v>
      </c>
      <c r="T139" s="119">
        <v>0</v>
      </c>
      <c r="U139" s="54">
        <v>0</v>
      </c>
      <c r="V139" s="55" t="e">
        <v>#DIV/0!</v>
      </c>
      <c r="W139" s="55" t="e">
        <v>#DIV/0!</v>
      </c>
      <c r="X139" s="55" t="e">
        <v>#DIV/0!</v>
      </c>
      <c r="Y139" s="55" t="e">
        <v>#DIV/0!</v>
      </c>
      <c r="Z139" s="55" t="e">
        <v>#DIV/0!</v>
      </c>
      <c r="AA139" s="55" t="e">
        <v>#DIV/0!</v>
      </c>
      <c r="AB139" s="56" t="e">
        <f t="shared" si="15"/>
        <v>#DIV/0!</v>
      </c>
      <c r="AC139" s="56" t="e">
        <f t="shared" si="15"/>
        <v>#DIV/0!</v>
      </c>
      <c r="AD139" s="56" t="e">
        <f t="shared" si="15"/>
        <v>#DIV/0!</v>
      </c>
      <c r="AE139" s="57" t="e">
        <f t="shared" si="17"/>
        <v>#DIV/0!</v>
      </c>
      <c r="AF139" s="57" t="e">
        <v>#DIV/0!</v>
      </c>
      <c r="AG139" s="57" t="e">
        <f t="shared" si="18"/>
        <v>#DIV/0!</v>
      </c>
      <c r="AH139" s="57" t="e">
        <v>#DIV/0!</v>
      </c>
      <c r="AI139" s="57" t="e">
        <f t="shared" si="19"/>
        <v>#DIV/0!</v>
      </c>
      <c r="AJ139" s="57" t="e">
        <v>#DIV/0!</v>
      </c>
    </row>
    <row r="140" spans="1:36" ht="15.75">
      <c r="A140" s="48">
        <v>10</v>
      </c>
      <c r="B140" s="48">
        <v>15</v>
      </c>
      <c r="C140" s="49"/>
      <c r="D140" s="49"/>
      <c r="E140" s="49"/>
      <c r="F140" s="49"/>
      <c r="G140" s="49"/>
      <c r="H140" s="59"/>
      <c r="I140" s="50" t="e">
        <v>#DIV/0!</v>
      </c>
      <c r="J140" s="50" t="e">
        <v>#DIV/0!</v>
      </c>
      <c r="K140" s="50"/>
      <c r="L140" s="50" t="e">
        <v>#DIV/0!</v>
      </c>
      <c r="M140" s="50" t="e">
        <v>#DIV/0!</v>
      </c>
      <c r="N140" s="55"/>
      <c r="O140" s="120"/>
      <c r="P140" s="108" t="str">
        <f t="shared" si="14"/>
        <v>(10, 15]</v>
      </c>
      <c r="Q140" s="53" t="s">
        <v>145</v>
      </c>
      <c r="R140" s="50" t="e">
        <f t="shared" si="16"/>
        <v>#DIV/0!</v>
      </c>
      <c r="S140" s="119">
        <v>1.3620000000000001</v>
      </c>
      <c r="T140" s="119">
        <v>0</v>
      </c>
      <c r="U140" s="54">
        <v>0</v>
      </c>
      <c r="V140" s="55" t="e">
        <v>#DIV/0!</v>
      </c>
      <c r="W140" s="55" t="e">
        <v>#DIV/0!</v>
      </c>
      <c r="X140" s="55" t="e">
        <v>#DIV/0!</v>
      </c>
      <c r="Y140" s="55" t="e">
        <v>#DIV/0!</v>
      </c>
      <c r="Z140" s="55" t="e">
        <v>#DIV/0!</v>
      </c>
      <c r="AA140" s="55" t="e">
        <v>#DIV/0!</v>
      </c>
      <c r="AB140" s="56" t="e">
        <f t="shared" si="15"/>
        <v>#DIV/0!</v>
      </c>
      <c r="AC140" s="56" t="e">
        <f t="shared" si="15"/>
        <v>#DIV/0!</v>
      </c>
      <c r="AD140" s="56" t="e">
        <f t="shared" si="15"/>
        <v>#DIV/0!</v>
      </c>
      <c r="AE140" s="57" t="e">
        <f t="shared" si="17"/>
        <v>#DIV/0!</v>
      </c>
      <c r="AF140" s="57" t="e">
        <v>#DIV/0!</v>
      </c>
      <c r="AG140" s="57" t="e">
        <f t="shared" si="18"/>
        <v>#DIV/0!</v>
      </c>
      <c r="AH140" s="57" t="e">
        <v>#DIV/0!</v>
      </c>
      <c r="AI140" s="57" t="e">
        <f t="shared" si="19"/>
        <v>#DIV/0!</v>
      </c>
      <c r="AJ140" s="57" t="e">
        <v>#DIV/0!</v>
      </c>
    </row>
    <row r="141" spans="1:36" ht="15.75">
      <c r="A141" s="48">
        <v>15</v>
      </c>
      <c r="B141" s="48">
        <v>20</v>
      </c>
      <c r="C141" s="49"/>
      <c r="D141" s="49"/>
      <c r="E141" s="49"/>
      <c r="F141" s="49"/>
      <c r="G141" s="49"/>
      <c r="H141" s="59"/>
      <c r="I141" s="50" t="e">
        <v>#DIV/0!</v>
      </c>
      <c r="J141" s="50" t="e">
        <v>#DIV/0!</v>
      </c>
      <c r="K141" s="50"/>
      <c r="L141" s="50" t="e">
        <v>#DIV/0!</v>
      </c>
      <c r="M141" s="50" t="e">
        <v>#DIV/0!</v>
      </c>
      <c r="N141" s="55"/>
      <c r="O141" s="120"/>
      <c r="P141" s="108" t="str">
        <f t="shared" si="14"/>
        <v>(15, 20]</v>
      </c>
      <c r="Q141" s="53" t="s">
        <v>145</v>
      </c>
      <c r="R141" s="50" t="e">
        <f t="shared" si="16"/>
        <v>#DIV/0!</v>
      </c>
      <c r="S141" s="119">
        <v>1</v>
      </c>
      <c r="T141" s="119">
        <v>0</v>
      </c>
      <c r="U141" s="54">
        <v>0</v>
      </c>
      <c r="V141" s="55" t="e">
        <v>#DIV/0!</v>
      </c>
      <c r="W141" s="55" t="e">
        <v>#DIV/0!</v>
      </c>
      <c r="X141" s="55" t="e">
        <v>#DIV/0!</v>
      </c>
      <c r="Y141" s="55" t="e">
        <v>#DIV/0!</v>
      </c>
      <c r="Z141" s="55" t="e">
        <v>#DIV/0!</v>
      </c>
      <c r="AA141" s="55" t="e">
        <v>#DIV/0!</v>
      </c>
      <c r="AB141" s="56" t="e">
        <f t="shared" si="15"/>
        <v>#DIV/0!</v>
      </c>
      <c r="AC141" s="56" t="e">
        <f t="shared" si="15"/>
        <v>#DIV/0!</v>
      </c>
      <c r="AD141" s="56" t="e">
        <f t="shared" si="15"/>
        <v>#DIV/0!</v>
      </c>
      <c r="AE141" s="57" t="e">
        <f t="shared" si="17"/>
        <v>#DIV/0!</v>
      </c>
      <c r="AF141" s="57" t="e">
        <v>#DIV/0!</v>
      </c>
      <c r="AG141" s="57" t="e">
        <f t="shared" si="18"/>
        <v>#DIV/0!</v>
      </c>
      <c r="AH141" s="57" t="e">
        <v>#DIV/0!</v>
      </c>
      <c r="AI141" s="57" t="e">
        <f t="shared" si="19"/>
        <v>#DIV/0!</v>
      </c>
      <c r="AJ141" s="57" t="e">
        <v>#DIV/0!</v>
      </c>
    </row>
    <row r="142" spans="1:36" ht="15.75">
      <c r="A142" s="48">
        <v>20</v>
      </c>
      <c r="B142" s="48">
        <v>25</v>
      </c>
      <c r="C142" s="49"/>
      <c r="D142" s="49"/>
      <c r="E142" s="49"/>
      <c r="F142" s="49"/>
      <c r="G142" s="49"/>
      <c r="H142" s="59"/>
      <c r="I142" s="50" t="e">
        <v>#DIV/0!</v>
      </c>
      <c r="J142" s="50" t="e">
        <v>#DIV/0!</v>
      </c>
      <c r="K142" s="50"/>
      <c r="L142" s="50" t="e">
        <v>#DIV/0!</v>
      </c>
      <c r="M142" s="50" t="e">
        <v>#DIV/0!</v>
      </c>
      <c r="N142" s="55"/>
      <c r="O142" s="120"/>
      <c r="P142" s="108" t="str">
        <f t="shared" si="14"/>
        <v>(20, 25]</v>
      </c>
      <c r="Q142" s="53" t="s">
        <v>145</v>
      </c>
      <c r="R142" s="50" t="e">
        <f t="shared" si="16"/>
        <v>#DIV/0!</v>
      </c>
      <c r="S142" s="119">
        <v>1</v>
      </c>
      <c r="T142" s="119">
        <v>3.67</v>
      </c>
      <c r="U142" s="54">
        <v>3</v>
      </c>
      <c r="V142" s="55" t="e">
        <v>#DIV/0!</v>
      </c>
      <c r="W142" s="55" t="e">
        <v>#DIV/0!</v>
      </c>
      <c r="X142" s="55" t="e">
        <v>#DIV/0!</v>
      </c>
      <c r="Y142" s="55" t="e">
        <v>#DIV/0!</v>
      </c>
      <c r="Z142" s="55" t="e">
        <v>#DIV/0!</v>
      </c>
      <c r="AA142" s="55" t="e">
        <v>#DIV/0!</v>
      </c>
      <c r="AB142" s="56" t="e">
        <f t="shared" si="15"/>
        <v>#DIV/0!</v>
      </c>
      <c r="AC142" s="56" t="e">
        <f t="shared" si="15"/>
        <v>#DIV/0!</v>
      </c>
      <c r="AD142" s="56" t="e">
        <f t="shared" si="15"/>
        <v>#DIV/0!</v>
      </c>
      <c r="AE142" s="57" t="e">
        <f t="shared" si="17"/>
        <v>#DIV/0!</v>
      </c>
      <c r="AF142" s="57" t="e">
        <v>#DIV/0!</v>
      </c>
      <c r="AG142" s="57" t="e">
        <f t="shared" si="18"/>
        <v>#DIV/0!</v>
      </c>
      <c r="AH142" s="57" t="e">
        <v>#DIV/0!</v>
      </c>
      <c r="AI142" s="57" t="e">
        <f t="shared" si="19"/>
        <v>#DIV/0!</v>
      </c>
      <c r="AJ142" s="57" t="e">
        <v>#DIV/0!</v>
      </c>
    </row>
    <row r="143" spans="1:36" ht="15.75">
      <c r="A143" s="48">
        <v>25</v>
      </c>
      <c r="B143" s="48">
        <v>30</v>
      </c>
      <c r="C143" s="49"/>
      <c r="D143" s="49"/>
      <c r="E143" s="49"/>
      <c r="F143" s="49"/>
      <c r="G143" s="49"/>
      <c r="H143" s="59"/>
      <c r="I143" s="50" t="e">
        <v>#DIV/0!</v>
      </c>
      <c r="J143" s="50" t="e">
        <v>#DIV/0!</v>
      </c>
      <c r="K143" s="50"/>
      <c r="L143" s="50" t="e">
        <v>#DIV/0!</v>
      </c>
      <c r="M143" s="50" t="e">
        <v>#DIV/0!</v>
      </c>
      <c r="N143" s="55"/>
      <c r="O143" s="120"/>
      <c r="P143" s="108" t="str">
        <f t="shared" si="14"/>
        <v>(25, 30]</v>
      </c>
      <c r="Q143" s="53" t="s">
        <v>145</v>
      </c>
      <c r="R143" s="50" t="e">
        <f t="shared" si="16"/>
        <v>#DIV/0!</v>
      </c>
      <c r="S143" s="119">
        <v>1</v>
      </c>
      <c r="T143" s="119">
        <v>1.2</v>
      </c>
      <c r="U143" s="54">
        <v>1</v>
      </c>
      <c r="V143" s="55" t="e">
        <v>#DIV/0!</v>
      </c>
      <c r="W143" s="55" t="e">
        <v>#DIV/0!</v>
      </c>
      <c r="X143" s="55" t="e">
        <v>#DIV/0!</v>
      </c>
      <c r="Y143" s="55" t="e">
        <v>#DIV/0!</v>
      </c>
      <c r="Z143" s="55" t="e">
        <v>#DIV/0!</v>
      </c>
      <c r="AA143" s="55" t="e">
        <v>#DIV/0!</v>
      </c>
      <c r="AB143" s="56" t="e">
        <f t="shared" si="15"/>
        <v>#DIV/0!</v>
      </c>
      <c r="AC143" s="56" t="e">
        <f t="shared" si="15"/>
        <v>#DIV/0!</v>
      </c>
      <c r="AD143" s="56" t="e">
        <f t="shared" si="15"/>
        <v>#DIV/0!</v>
      </c>
      <c r="AE143" s="57" t="e">
        <f t="shared" si="17"/>
        <v>#DIV/0!</v>
      </c>
      <c r="AF143" s="57" t="e">
        <v>#DIV/0!</v>
      </c>
      <c r="AG143" s="57" t="e">
        <f t="shared" si="18"/>
        <v>#DIV/0!</v>
      </c>
      <c r="AH143" s="57" t="e">
        <v>#DIV/0!</v>
      </c>
      <c r="AI143" s="57" t="e">
        <f t="shared" si="19"/>
        <v>#DIV/0!</v>
      </c>
      <c r="AJ143" s="57" t="e">
        <v>#DIV/0!</v>
      </c>
    </row>
    <row r="144" spans="1:36" ht="15.75">
      <c r="A144" s="48">
        <v>30</v>
      </c>
      <c r="B144" s="48">
        <v>35</v>
      </c>
      <c r="C144" s="49"/>
      <c r="D144" s="49"/>
      <c r="E144" s="49"/>
      <c r="F144" s="49"/>
      <c r="G144" s="49"/>
      <c r="H144" s="59"/>
      <c r="I144" s="50" t="e">
        <v>#DIV/0!</v>
      </c>
      <c r="J144" s="50" t="e">
        <v>#DIV/0!</v>
      </c>
      <c r="K144" s="50"/>
      <c r="L144" s="50" t="e">
        <v>#DIV/0!</v>
      </c>
      <c r="M144" s="50" t="e">
        <v>#DIV/0!</v>
      </c>
      <c r="N144" s="55"/>
      <c r="O144" s="120"/>
      <c r="P144" s="108" t="str">
        <f t="shared" si="14"/>
        <v>(30, 35]</v>
      </c>
      <c r="Q144" s="53" t="s">
        <v>145</v>
      </c>
      <c r="R144" s="50" t="e">
        <f t="shared" si="16"/>
        <v>#DIV/0!</v>
      </c>
      <c r="S144" s="119">
        <v>1</v>
      </c>
      <c r="T144" s="119">
        <v>3.3</v>
      </c>
      <c r="U144" s="54">
        <v>1</v>
      </c>
      <c r="V144" s="55" t="e">
        <v>#DIV/0!</v>
      </c>
      <c r="W144" s="55" t="e">
        <v>#DIV/0!</v>
      </c>
      <c r="X144" s="55" t="e">
        <v>#DIV/0!</v>
      </c>
      <c r="Y144" s="55" t="e">
        <v>#DIV/0!</v>
      </c>
      <c r="Z144" s="55" t="e">
        <v>#DIV/0!</v>
      </c>
      <c r="AA144" s="55" t="e">
        <v>#DIV/0!</v>
      </c>
      <c r="AB144" s="56" t="e">
        <f t="shared" si="15"/>
        <v>#DIV/0!</v>
      </c>
      <c r="AC144" s="56" t="e">
        <f t="shared" si="15"/>
        <v>#DIV/0!</v>
      </c>
      <c r="AD144" s="56" t="e">
        <f t="shared" si="15"/>
        <v>#DIV/0!</v>
      </c>
      <c r="AE144" s="57" t="e">
        <f t="shared" si="17"/>
        <v>#DIV/0!</v>
      </c>
      <c r="AF144" s="57" t="e">
        <v>#DIV/0!</v>
      </c>
      <c r="AG144" s="57" t="e">
        <f t="shared" si="18"/>
        <v>#DIV/0!</v>
      </c>
      <c r="AH144" s="57" t="e">
        <v>#DIV/0!</v>
      </c>
      <c r="AI144" s="57" t="e">
        <f t="shared" si="19"/>
        <v>#DIV/0!</v>
      </c>
      <c r="AJ144" s="57" t="e">
        <v>#DIV/0!</v>
      </c>
    </row>
    <row r="145" spans="1:36" ht="15.75">
      <c r="A145" s="48">
        <v>35</v>
      </c>
      <c r="B145" s="48">
        <v>40</v>
      </c>
      <c r="C145" s="49"/>
      <c r="D145" s="49"/>
      <c r="E145" s="49"/>
      <c r="F145" s="49"/>
      <c r="G145" s="49"/>
      <c r="H145" s="59"/>
      <c r="I145" s="50" t="e">
        <v>#DIV/0!</v>
      </c>
      <c r="J145" s="50" t="e">
        <v>#DIV/0!</v>
      </c>
      <c r="K145" s="50"/>
      <c r="L145" s="50" t="e">
        <v>#DIV/0!</v>
      </c>
      <c r="M145" s="50" t="e">
        <v>#DIV/0!</v>
      </c>
      <c r="N145" s="55"/>
      <c r="O145" s="120"/>
      <c r="P145" s="108" t="str">
        <f t="shared" si="14"/>
        <v>(35, 40]</v>
      </c>
      <c r="Q145" s="53" t="s">
        <v>145</v>
      </c>
      <c r="R145" s="50" t="e">
        <f t="shared" si="16"/>
        <v>#DIV/0!</v>
      </c>
      <c r="S145" s="119">
        <v>1</v>
      </c>
      <c r="T145" s="119">
        <v>1</v>
      </c>
      <c r="U145" s="54">
        <v>5</v>
      </c>
      <c r="V145" s="55" t="e">
        <v>#DIV/0!</v>
      </c>
      <c r="W145" s="55" t="e">
        <v>#DIV/0!</v>
      </c>
      <c r="X145" s="55" t="e">
        <v>#DIV/0!</v>
      </c>
      <c r="Y145" s="55" t="e">
        <v>#DIV/0!</v>
      </c>
      <c r="Z145" s="55" t="e">
        <v>#DIV/0!</v>
      </c>
      <c r="AA145" s="55" t="e">
        <v>#DIV/0!</v>
      </c>
      <c r="AB145" s="56" t="e">
        <f t="shared" si="15"/>
        <v>#DIV/0!</v>
      </c>
      <c r="AC145" s="56" t="e">
        <f t="shared" si="15"/>
        <v>#DIV/0!</v>
      </c>
      <c r="AD145" s="56" t="e">
        <f t="shared" si="15"/>
        <v>#DIV/0!</v>
      </c>
      <c r="AE145" s="57" t="e">
        <f t="shared" si="17"/>
        <v>#DIV/0!</v>
      </c>
      <c r="AF145" s="57" t="e">
        <v>#DIV/0!</v>
      </c>
      <c r="AG145" s="57" t="e">
        <f t="shared" si="18"/>
        <v>#DIV/0!</v>
      </c>
      <c r="AH145" s="57" t="e">
        <v>#DIV/0!</v>
      </c>
      <c r="AI145" s="57" t="e">
        <f t="shared" si="19"/>
        <v>#DIV/0!</v>
      </c>
      <c r="AJ145" s="57" t="e">
        <v>#DIV/0!</v>
      </c>
    </row>
    <row r="146" spans="1:36" ht="15.75">
      <c r="A146" s="48">
        <v>40</v>
      </c>
      <c r="B146" s="48">
        <v>45</v>
      </c>
      <c r="C146" s="49"/>
      <c r="D146" s="49"/>
      <c r="E146" s="49"/>
      <c r="F146" s="49"/>
      <c r="G146" s="49"/>
      <c r="H146" s="59"/>
      <c r="I146" s="50" t="e">
        <v>#DIV/0!</v>
      </c>
      <c r="J146" s="50" t="e">
        <v>#DIV/0!</v>
      </c>
      <c r="K146" s="50"/>
      <c r="L146" s="50" t="e">
        <v>#DIV/0!</v>
      </c>
      <c r="M146" s="50" t="e">
        <v>#DIV/0!</v>
      </c>
      <c r="N146" s="55"/>
      <c r="O146" s="120"/>
      <c r="P146" s="108" t="str">
        <f t="shared" si="14"/>
        <v>(40, 45]</v>
      </c>
      <c r="Q146" s="53" t="s">
        <v>145</v>
      </c>
      <c r="R146" s="50" t="e">
        <f t="shared" si="16"/>
        <v>#DIV/0!</v>
      </c>
      <c r="S146" s="119">
        <v>1</v>
      </c>
      <c r="T146" s="119">
        <v>1</v>
      </c>
      <c r="U146" s="54">
        <v>1</v>
      </c>
      <c r="V146" s="55" t="e">
        <v>#DIV/0!</v>
      </c>
      <c r="W146" s="55" t="e">
        <v>#DIV/0!</v>
      </c>
      <c r="X146" s="55" t="e">
        <v>#DIV/0!</v>
      </c>
      <c r="Y146" s="55" t="e">
        <v>#DIV/0!</v>
      </c>
      <c r="Z146" s="55" t="e">
        <v>#DIV/0!</v>
      </c>
      <c r="AA146" s="55" t="e">
        <v>#DIV/0!</v>
      </c>
      <c r="AB146" s="56" t="e">
        <f t="shared" si="15"/>
        <v>#DIV/0!</v>
      </c>
      <c r="AC146" s="56" t="e">
        <f t="shared" si="15"/>
        <v>#DIV/0!</v>
      </c>
      <c r="AD146" s="56" t="e">
        <f t="shared" si="15"/>
        <v>#DIV/0!</v>
      </c>
      <c r="AE146" s="57" t="e">
        <f t="shared" si="17"/>
        <v>#DIV/0!</v>
      </c>
      <c r="AF146" s="57" t="e">
        <v>#DIV/0!</v>
      </c>
      <c r="AG146" s="57" t="e">
        <f t="shared" si="18"/>
        <v>#DIV/0!</v>
      </c>
      <c r="AH146" s="57" t="e">
        <v>#DIV/0!</v>
      </c>
      <c r="AI146" s="57" t="e">
        <f t="shared" si="19"/>
        <v>#DIV/0!</v>
      </c>
      <c r="AJ146" s="57" t="e">
        <v>#DIV/0!</v>
      </c>
    </row>
    <row r="147" spans="1:36" ht="15.75">
      <c r="A147" s="48">
        <v>45</v>
      </c>
      <c r="B147" s="48">
        <v>50</v>
      </c>
      <c r="C147" s="49"/>
      <c r="D147" s="49"/>
      <c r="E147" s="49"/>
      <c r="F147" s="49"/>
      <c r="G147" s="49"/>
      <c r="H147" s="59"/>
      <c r="I147" s="50" t="e">
        <v>#DIV/0!</v>
      </c>
      <c r="J147" s="50" t="e">
        <v>#DIV/0!</v>
      </c>
      <c r="K147" s="50"/>
      <c r="L147" s="50" t="e">
        <v>#DIV/0!</v>
      </c>
      <c r="M147" s="50" t="e">
        <v>#DIV/0!</v>
      </c>
      <c r="N147" s="55"/>
      <c r="O147" s="120"/>
      <c r="P147" s="108" t="str">
        <f t="shared" si="14"/>
        <v>(45, 50]</v>
      </c>
      <c r="Q147" s="53" t="s">
        <v>145</v>
      </c>
      <c r="R147" s="50" t="e">
        <f t="shared" si="16"/>
        <v>#DIV/0!</v>
      </c>
      <c r="S147" s="119">
        <v>1</v>
      </c>
      <c r="T147" s="119">
        <v>1</v>
      </c>
      <c r="U147" s="54">
        <v>1</v>
      </c>
      <c r="V147" s="55" t="e">
        <v>#DIV/0!</v>
      </c>
      <c r="W147" s="55" t="e">
        <v>#DIV/0!</v>
      </c>
      <c r="X147" s="55" t="e">
        <v>#DIV/0!</v>
      </c>
      <c r="Y147" s="55" t="e">
        <v>#DIV/0!</v>
      </c>
      <c r="Z147" s="55" t="e">
        <v>#DIV/0!</v>
      </c>
      <c r="AA147" s="55" t="e">
        <v>#DIV/0!</v>
      </c>
      <c r="AB147" s="56" t="e">
        <f t="shared" si="15"/>
        <v>#DIV/0!</v>
      </c>
      <c r="AC147" s="56" t="e">
        <f t="shared" si="15"/>
        <v>#DIV/0!</v>
      </c>
      <c r="AD147" s="56" t="e">
        <f t="shared" si="15"/>
        <v>#DIV/0!</v>
      </c>
      <c r="AE147" s="57" t="e">
        <f t="shared" si="17"/>
        <v>#DIV/0!</v>
      </c>
      <c r="AF147" s="57" t="e">
        <v>#DIV/0!</v>
      </c>
      <c r="AG147" s="57" t="e">
        <f t="shared" si="18"/>
        <v>#DIV/0!</v>
      </c>
      <c r="AH147" s="57" t="e">
        <v>#DIV/0!</v>
      </c>
      <c r="AI147" s="57" t="e">
        <f t="shared" si="19"/>
        <v>#DIV/0!</v>
      </c>
      <c r="AJ147" s="57" t="e">
        <v>#DIV/0!</v>
      </c>
    </row>
    <row r="148" spans="1:36" ht="15.75">
      <c r="A148" s="48">
        <v>50</v>
      </c>
      <c r="B148" s="48">
        <v>60</v>
      </c>
      <c r="C148" s="49"/>
      <c r="D148" s="49"/>
      <c r="E148" s="49"/>
      <c r="F148" s="49"/>
      <c r="G148" s="49"/>
      <c r="H148" s="59"/>
      <c r="I148" s="50" t="e">
        <v>#DIV/0!</v>
      </c>
      <c r="J148" s="50" t="e">
        <v>#DIV/0!</v>
      </c>
      <c r="K148" s="50"/>
      <c r="L148" s="50" t="e">
        <v>#DIV/0!</v>
      </c>
      <c r="M148" s="50" t="e">
        <v>#DIV/0!</v>
      </c>
      <c r="N148" s="55"/>
      <c r="O148" s="120"/>
      <c r="P148" s="108" t="str">
        <f t="shared" si="14"/>
        <v>(50, 60]</v>
      </c>
      <c r="Q148" s="53" t="s">
        <v>145</v>
      </c>
      <c r="R148" s="50" t="e">
        <f t="shared" si="16"/>
        <v>#DIV/0!</v>
      </c>
      <c r="S148" s="119">
        <v>1.1025977562680414</v>
      </c>
      <c r="T148" s="119">
        <v>1.5</v>
      </c>
      <c r="U148" s="54">
        <v>2</v>
      </c>
      <c r="V148" s="55" t="e">
        <v>#DIV/0!</v>
      </c>
      <c r="W148" s="55" t="e">
        <v>#DIV/0!</v>
      </c>
      <c r="X148" s="55" t="e">
        <v>#DIV/0!</v>
      </c>
      <c r="Y148" s="55" t="e">
        <v>#DIV/0!</v>
      </c>
      <c r="Z148" s="55" t="e">
        <v>#DIV/0!</v>
      </c>
      <c r="AA148" s="55" t="e">
        <v>#DIV/0!</v>
      </c>
      <c r="AB148" s="56" t="e">
        <f t="shared" si="15"/>
        <v>#DIV/0!</v>
      </c>
      <c r="AC148" s="56" t="e">
        <f t="shared" si="15"/>
        <v>#DIV/0!</v>
      </c>
      <c r="AD148" s="56" t="e">
        <f t="shared" si="15"/>
        <v>#DIV/0!</v>
      </c>
      <c r="AE148" s="57" t="e">
        <f t="shared" si="17"/>
        <v>#DIV/0!</v>
      </c>
      <c r="AF148" s="57" t="e">
        <v>#DIV/0!</v>
      </c>
      <c r="AG148" s="57" t="e">
        <f t="shared" si="18"/>
        <v>#DIV/0!</v>
      </c>
      <c r="AH148" s="57" t="e">
        <v>#DIV/0!</v>
      </c>
      <c r="AI148" s="57" t="e">
        <f t="shared" si="19"/>
        <v>#DIV/0!</v>
      </c>
      <c r="AJ148" s="57" t="e">
        <v>#DIV/0!</v>
      </c>
    </row>
    <row r="149" spans="1:36" ht="15.75">
      <c r="A149" s="48">
        <v>60</v>
      </c>
      <c r="B149" s="48">
        <v>70</v>
      </c>
      <c r="C149" s="49"/>
      <c r="D149" s="49"/>
      <c r="E149" s="49"/>
      <c r="F149" s="49"/>
      <c r="G149" s="49"/>
      <c r="H149" s="59"/>
      <c r="I149" s="50" t="e">
        <v>#DIV/0!</v>
      </c>
      <c r="J149" s="50" t="e">
        <v>#DIV/0!</v>
      </c>
      <c r="K149" s="50"/>
      <c r="L149" s="50" t="e">
        <v>#DIV/0!</v>
      </c>
      <c r="M149" s="50" t="e">
        <v>#DIV/0!</v>
      </c>
      <c r="N149" s="55"/>
      <c r="O149" s="120"/>
      <c r="P149" s="108" t="str">
        <f t="shared" si="14"/>
        <v>(60, 70]</v>
      </c>
      <c r="Q149" s="53" t="s">
        <v>145</v>
      </c>
      <c r="R149" s="50" t="e">
        <f t="shared" si="16"/>
        <v>#DIV/0!</v>
      </c>
      <c r="S149" s="119">
        <v>0.85271731819524443</v>
      </c>
      <c r="T149" s="119">
        <v>0.5</v>
      </c>
      <c r="U149" s="54">
        <v>0.2</v>
      </c>
      <c r="V149" s="55" t="e">
        <v>#DIV/0!</v>
      </c>
      <c r="W149" s="55" t="e">
        <v>#DIV/0!</v>
      </c>
      <c r="X149" s="55" t="e">
        <v>#DIV/0!</v>
      </c>
      <c r="Y149" s="55" t="e">
        <v>#DIV/0!</v>
      </c>
      <c r="Z149" s="55" t="e">
        <v>#DIV/0!</v>
      </c>
      <c r="AA149" s="55" t="e">
        <v>#DIV/0!</v>
      </c>
      <c r="AB149" s="56" t="e">
        <f t="shared" si="15"/>
        <v>#DIV/0!</v>
      </c>
      <c r="AC149" s="56" t="e">
        <f t="shared" si="15"/>
        <v>#DIV/0!</v>
      </c>
      <c r="AD149" s="56" t="e">
        <f t="shared" si="15"/>
        <v>#DIV/0!</v>
      </c>
      <c r="AE149" s="57" t="e">
        <f t="shared" si="17"/>
        <v>#DIV/0!</v>
      </c>
      <c r="AF149" s="57" t="e">
        <v>#DIV/0!</v>
      </c>
      <c r="AG149" s="57" t="e">
        <f t="shared" si="18"/>
        <v>#DIV/0!</v>
      </c>
      <c r="AH149" s="57" t="e">
        <v>#DIV/0!</v>
      </c>
      <c r="AI149" s="57" t="e">
        <f t="shared" si="19"/>
        <v>#DIV/0!</v>
      </c>
      <c r="AJ149" s="57" t="e">
        <v>#DIV/0!</v>
      </c>
    </row>
    <row r="150" spans="1:36" ht="15.75">
      <c r="A150" s="48">
        <v>70</v>
      </c>
      <c r="B150" s="48">
        <v>80</v>
      </c>
      <c r="C150" s="49"/>
      <c r="D150" s="49"/>
      <c r="E150" s="49"/>
      <c r="F150" s="49"/>
      <c r="G150" s="49"/>
      <c r="H150" s="59"/>
      <c r="I150" s="50" t="e">
        <v>#DIV/0!</v>
      </c>
      <c r="J150" s="50" t="e">
        <v>#DIV/0!</v>
      </c>
      <c r="K150" s="50"/>
      <c r="L150" s="50" t="e">
        <v>#DIV/0!</v>
      </c>
      <c r="M150" s="50" t="e">
        <v>#DIV/0!</v>
      </c>
      <c r="N150" s="55"/>
      <c r="O150" s="120"/>
      <c r="P150" s="108" t="str">
        <f t="shared" si="14"/>
        <v>(70, 80]</v>
      </c>
      <c r="Q150" s="53" t="s">
        <v>145</v>
      </c>
      <c r="R150" s="50" t="e">
        <f t="shared" si="16"/>
        <v>#DIV/0!</v>
      </c>
      <c r="S150" s="119">
        <v>1</v>
      </c>
      <c r="T150" s="119">
        <v>0.5</v>
      </c>
      <c r="U150" s="54">
        <v>0.2</v>
      </c>
      <c r="V150" s="55" t="e">
        <v>#DIV/0!</v>
      </c>
      <c r="W150" s="55" t="e">
        <v>#DIV/0!</v>
      </c>
      <c r="X150" s="55" t="e">
        <v>#DIV/0!</v>
      </c>
      <c r="Y150" s="55" t="e">
        <v>#DIV/0!</v>
      </c>
      <c r="Z150" s="55" t="e">
        <v>#DIV/0!</v>
      </c>
      <c r="AA150" s="55" t="e">
        <v>#DIV/0!</v>
      </c>
      <c r="AB150" s="56" t="e">
        <f t="shared" si="15"/>
        <v>#DIV/0!</v>
      </c>
      <c r="AC150" s="56" t="e">
        <f t="shared" si="15"/>
        <v>#DIV/0!</v>
      </c>
      <c r="AD150" s="56" t="e">
        <f t="shared" si="15"/>
        <v>#DIV/0!</v>
      </c>
      <c r="AE150" s="57" t="e">
        <f t="shared" si="17"/>
        <v>#DIV/0!</v>
      </c>
      <c r="AF150" s="57" t="e">
        <v>#DIV/0!</v>
      </c>
      <c r="AG150" s="57" t="e">
        <f t="shared" si="18"/>
        <v>#DIV/0!</v>
      </c>
      <c r="AH150" s="57" t="e">
        <v>#DIV/0!</v>
      </c>
      <c r="AI150" s="57" t="e">
        <f t="shared" si="19"/>
        <v>#DIV/0!</v>
      </c>
      <c r="AJ150" s="57" t="e">
        <v>#DIV/0!</v>
      </c>
    </row>
    <row r="151" spans="1:36" ht="15.75">
      <c r="A151" s="48">
        <v>80</v>
      </c>
      <c r="B151" s="48">
        <v>90</v>
      </c>
      <c r="C151" s="49"/>
      <c r="D151" s="49"/>
      <c r="E151" s="49"/>
      <c r="F151" s="49"/>
      <c r="G151" s="49"/>
      <c r="H151" s="59"/>
      <c r="I151" s="50" t="e">
        <v>#DIV/0!</v>
      </c>
      <c r="J151" s="50" t="e">
        <v>#DIV/0!</v>
      </c>
      <c r="K151" s="50"/>
      <c r="L151" s="50" t="e">
        <v>#DIV/0!</v>
      </c>
      <c r="M151" s="50" t="e">
        <v>#DIV/0!</v>
      </c>
      <c r="N151" s="55"/>
      <c r="O151" s="120"/>
      <c r="P151" s="108" t="str">
        <f t="shared" si="14"/>
        <v>(80, 90]</v>
      </c>
      <c r="Q151" s="53" t="s">
        <v>145</v>
      </c>
      <c r="R151" s="50" t="e">
        <f t="shared" si="16"/>
        <v>#DIV/0!</v>
      </c>
      <c r="S151" s="119">
        <v>1</v>
      </c>
      <c r="T151" s="119">
        <v>0.5</v>
      </c>
      <c r="U151" s="54">
        <v>1</v>
      </c>
      <c r="V151" s="55" t="e">
        <v>#DIV/0!</v>
      </c>
      <c r="W151" s="55" t="e">
        <v>#DIV/0!</v>
      </c>
      <c r="X151" s="55" t="e">
        <v>#DIV/0!</v>
      </c>
      <c r="Y151" s="55" t="e">
        <v>#DIV/0!</v>
      </c>
      <c r="Z151" s="55" t="e">
        <v>#DIV/0!</v>
      </c>
      <c r="AA151" s="55" t="e">
        <v>#DIV/0!</v>
      </c>
      <c r="AB151" s="56" t="e">
        <f t="shared" si="15"/>
        <v>#DIV/0!</v>
      </c>
      <c r="AC151" s="56" t="e">
        <f t="shared" si="15"/>
        <v>#DIV/0!</v>
      </c>
      <c r="AD151" s="56" t="e">
        <f t="shared" si="15"/>
        <v>#DIV/0!</v>
      </c>
      <c r="AE151" s="57" t="e">
        <f t="shared" si="17"/>
        <v>#DIV/0!</v>
      </c>
      <c r="AF151" s="57" t="e">
        <v>#DIV/0!</v>
      </c>
      <c r="AG151" s="57" t="e">
        <f t="shared" si="18"/>
        <v>#DIV/0!</v>
      </c>
      <c r="AH151" s="57" t="e">
        <v>#DIV/0!</v>
      </c>
      <c r="AI151" s="57" t="e">
        <f t="shared" si="19"/>
        <v>#DIV/0!</v>
      </c>
      <c r="AJ151" s="57" t="e">
        <v>#DIV/0!</v>
      </c>
    </row>
    <row r="152" spans="1:36" ht="15.75">
      <c r="A152" s="48">
        <v>90</v>
      </c>
      <c r="B152" s="48">
        <v>100</v>
      </c>
      <c r="C152" s="49"/>
      <c r="D152" s="49"/>
      <c r="E152" s="49"/>
      <c r="F152" s="49"/>
      <c r="G152" s="49"/>
      <c r="H152" s="59"/>
      <c r="I152" s="50" t="e">
        <v>#DIV/0!</v>
      </c>
      <c r="J152" s="50" t="e">
        <v>#DIV/0!</v>
      </c>
      <c r="K152" s="50"/>
      <c r="L152" s="50" t="e">
        <v>#DIV/0!</v>
      </c>
      <c r="M152" s="50" t="e">
        <v>#DIV/0!</v>
      </c>
      <c r="N152" s="55"/>
      <c r="O152" s="120"/>
      <c r="P152" s="108" t="str">
        <f t="shared" si="14"/>
        <v>(90, 100]</v>
      </c>
      <c r="Q152" s="53" t="s">
        <v>145</v>
      </c>
      <c r="R152" s="50" t="e">
        <f t="shared" si="16"/>
        <v>#DIV/0!</v>
      </c>
      <c r="S152" s="119">
        <v>1</v>
      </c>
      <c r="T152" s="119">
        <v>0.8</v>
      </c>
      <c r="U152" s="54">
        <v>1.1000000000000001</v>
      </c>
      <c r="V152" s="55" t="e">
        <v>#DIV/0!</v>
      </c>
      <c r="W152" s="55" t="e">
        <v>#DIV/0!</v>
      </c>
      <c r="X152" s="55" t="e">
        <v>#DIV/0!</v>
      </c>
      <c r="Y152" s="55" t="e">
        <v>#DIV/0!</v>
      </c>
      <c r="Z152" s="55" t="e">
        <v>#DIV/0!</v>
      </c>
      <c r="AA152" s="55" t="e">
        <v>#DIV/0!</v>
      </c>
      <c r="AB152" s="56" t="e">
        <f t="shared" si="15"/>
        <v>#DIV/0!</v>
      </c>
      <c r="AC152" s="56" t="e">
        <f t="shared" si="15"/>
        <v>#DIV/0!</v>
      </c>
      <c r="AD152" s="56" t="e">
        <f t="shared" si="15"/>
        <v>#DIV/0!</v>
      </c>
      <c r="AE152" s="57" t="e">
        <f t="shared" si="17"/>
        <v>#DIV/0!</v>
      </c>
      <c r="AF152" s="57" t="e">
        <v>#DIV/0!</v>
      </c>
      <c r="AG152" s="57" t="e">
        <f t="shared" si="18"/>
        <v>#DIV/0!</v>
      </c>
      <c r="AH152" s="57" t="e">
        <v>#DIV/0!</v>
      </c>
      <c r="AI152" s="57" t="e">
        <f t="shared" si="19"/>
        <v>#DIV/0!</v>
      </c>
      <c r="AJ152" s="57" t="e">
        <v>#DIV/0!</v>
      </c>
    </row>
    <row r="153" spans="1:36" ht="15.75">
      <c r="A153" s="48">
        <v>100</v>
      </c>
      <c r="B153" s="48">
        <v>120</v>
      </c>
      <c r="C153" s="49"/>
      <c r="D153" s="49"/>
      <c r="E153" s="49"/>
      <c r="F153" s="49"/>
      <c r="G153" s="49"/>
      <c r="H153" s="59"/>
      <c r="I153" s="50" t="e">
        <v>#DIV/0!</v>
      </c>
      <c r="J153" s="50" t="e">
        <v>#DIV/0!</v>
      </c>
      <c r="K153" s="50"/>
      <c r="L153" s="50" t="e">
        <v>#DIV/0!</v>
      </c>
      <c r="M153" s="50" t="e">
        <v>#DIV/0!</v>
      </c>
      <c r="N153" s="55"/>
      <c r="O153" s="120"/>
      <c r="P153" s="108" t="str">
        <f t="shared" si="14"/>
        <v>(100, 120]</v>
      </c>
      <c r="Q153" s="53" t="s">
        <v>145</v>
      </c>
      <c r="R153" s="50" t="e">
        <f t="shared" si="16"/>
        <v>#DIV/0!</v>
      </c>
      <c r="S153" s="119">
        <v>0.90539999999999998</v>
      </c>
      <c r="T153" s="119">
        <v>0.8</v>
      </c>
      <c r="U153" s="54">
        <v>0.1</v>
      </c>
      <c r="V153" s="55" t="e">
        <v>#DIV/0!</v>
      </c>
      <c r="W153" s="55" t="e">
        <v>#DIV/0!</v>
      </c>
      <c r="X153" s="55" t="e">
        <v>#DIV/0!</v>
      </c>
      <c r="Y153" s="55" t="e">
        <v>#DIV/0!</v>
      </c>
      <c r="Z153" s="55" t="e">
        <v>#DIV/0!</v>
      </c>
      <c r="AA153" s="55" t="e">
        <v>#DIV/0!</v>
      </c>
      <c r="AB153" s="56" t="e">
        <f t="shared" si="15"/>
        <v>#DIV/0!</v>
      </c>
      <c r="AC153" s="56" t="e">
        <f t="shared" si="15"/>
        <v>#DIV/0!</v>
      </c>
      <c r="AD153" s="56" t="e">
        <f t="shared" si="15"/>
        <v>#DIV/0!</v>
      </c>
      <c r="AE153" s="57" t="e">
        <f t="shared" si="17"/>
        <v>#DIV/0!</v>
      </c>
      <c r="AF153" s="57" t="e">
        <v>#DIV/0!</v>
      </c>
      <c r="AG153" s="57" t="e">
        <f t="shared" si="18"/>
        <v>#DIV/0!</v>
      </c>
      <c r="AH153" s="57" t="e">
        <v>#DIV/0!</v>
      </c>
      <c r="AI153" s="57" t="e">
        <f t="shared" si="19"/>
        <v>#DIV/0!</v>
      </c>
      <c r="AJ153" s="57" t="e">
        <v>#DIV/0!</v>
      </c>
    </row>
    <row r="154" spans="1:36" ht="15.75">
      <c r="A154" s="48">
        <v>120</v>
      </c>
      <c r="B154" s="48">
        <v>140</v>
      </c>
      <c r="C154" s="49"/>
      <c r="D154" s="49"/>
      <c r="E154" s="49"/>
      <c r="F154" s="49"/>
      <c r="G154" s="49"/>
      <c r="H154" s="59"/>
      <c r="I154" s="50" t="e">
        <v>#DIV/0!</v>
      </c>
      <c r="J154" s="50" t="e">
        <v>#DIV/0!</v>
      </c>
      <c r="K154" s="50"/>
      <c r="L154" s="50" t="e">
        <v>#DIV/0!</v>
      </c>
      <c r="M154" s="50" t="e">
        <v>#DIV/0!</v>
      </c>
      <c r="N154" s="55"/>
      <c r="O154" s="120"/>
      <c r="P154" s="108" t="str">
        <f t="shared" si="14"/>
        <v>(120, 140]</v>
      </c>
      <c r="Q154" s="53" t="s">
        <v>145</v>
      </c>
      <c r="R154" s="50" t="e">
        <f t="shared" si="16"/>
        <v>#DIV/0!</v>
      </c>
      <c r="S154" s="119">
        <v>0.4</v>
      </c>
      <c r="T154" s="119">
        <v>0.4</v>
      </c>
      <c r="U154" s="54">
        <v>0.1</v>
      </c>
      <c r="V154" s="55" t="e">
        <v>#DIV/0!</v>
      </c>
      <c r="W154" s="55" t="e">
        <v>#DIV/0!</v>
      </c>
      <c r="X154" s="55" t="e">
        <v>#DIV/0!</v>
      </c>
      <c r="Y154" s="55" t="e">
        <v>#DIV/0!</v>
      </c>
      <c r="Z154" s="55" t="e">
        <v>#DIV/0!</v>
      </c>
      <c r="AA154" s="55" t="e">
        <v>#DIV/0!</v>
      </c>
      <c r="AB154" s="56" t="e">
        <f t="shared" si="15"/>
        <v>#DIV/0!</v>
      </c>
      <c r="AC154" s="56" t="e">
        <f t="shared" si="15"/>
        <v>#DIV/0!</v>
      </c>
      <c r="AD154" s="56" t="e">
        <f t="shared" si="15"/>
        <v>#DIV/0!</v>
      </c>
      <c r="AE154" s="57" t="e">
        <f t="shared" si="17"/>
        <v>#DIV/0!</v>
      </c>
      <c r="AF154" s="57" t="e">
        <v>#DIV/0!</v>
      </c>
      <c r="AG154" s="57" t="e">
        <f t="shared" si="18"/>
        <v>#DIV/0!</v>
      </c>
      <c r="AH154" s="57" t="e">
        <v>#DIV/0!</v>
      </c>
      <c r="AI154" s="57" t="e">
        <f t="shared" si="19"/>
        <v>#DIV/0!</v>
      </c>
      <c r="AJ154" s="57" t="e">
        <v>#DIV/0!</v>
      </c>
    </row>
    <row r="155" spans="1:36" ht="15.75">
      <c r="A155" s="48">
        <v>140</v>
      </c>
      <c r="B155" s="48">
        <v>160</v>
      </c>
      <c r="C155" s="49"/>
      <c r="D155" s="49"/>
      <c r="E155" s="49"/>
      <c r="F155" s="49"/>
      <c r="G155" s="49"/>
      <c r="H155" s="59"/>
      <c r="I155" s="50" t="e">
        <v>#DIV/0!</v>
      </c>
      <c r="J155" s="50" t="e">
        <v>#DIV/0!</v>
      </c>
      <c r="K155" s="50"/>
      <c r="L155" s="50" t="e">
        <v>#DIV/0!</v>
      </c>
      <c r="M155" s="50" t="e">
        <v>#DIV/0!</v>
      </c>
      <c r="N155" s="55"/>
      <c r="O155" s="120"/>
      <c r="P155" s="108" t="str">
        <f t="shared" si="14"/>
        <v>(140, 160]</v>
      </c>
      <c r="Q155" s="53" t="s">
        <v>145</v>
      </c>
      <c r="R155" s="50" t="e">
        <f t="shared" si="16"/>
        <v>#DIV/0!</v>
      </c>
      <c r="S155" s="119">
        <v>0.3</v>
      </c>
      <c r="T155" s="119">
        <v>0.4</v>
      </c>
      <c r="U155" s="54">
        <v>0.1</v>
      </c>
      <c r="V155" s="55" t="e">
        <v>#DIV/0!</v>
      </c>
      <c r="W155" s="55" t="e">
        <v>#DIV/0!</v>
      </c>
      <c r="X155" s="55" t="e">
        <v>#DIV/0!</v>
      </c>
      <c r="Y155" s="55" t="e">
        <v>#DIV/0!</v>
      </c>
      <c r="Z155" s="55" t="e">
        <v>#DIV/0!</v>
      </c>
      <c r="AA155" s="55" t="e">
        <v>#DIV/0!</v>
      </c>
      <c r="AB155" s="56" t="e">
        <f t="shared" si="15"/>
        <v>#DIV/0!</v>
      </c>
      <c r="AC155" s="56" t="e">
        <f t="shared" si="15"/>
        <v>#DIV/0!</v>
      </c>
      <c r="AD155" s="56" t="e">
        <f t="shared" si="15"/>
        <v>#DIV/0!</v>
      </c>
      <c r="AE155" s="57" t="e">
        <f t="shared" si="17"/>
        <v>#DIV/0!</v>
      </c>
      <c r="AF155" s="57" t="e">
        <v>#DIV/0!</v>
      </c>
      <c r="AG155" s="57" t="e">
        <f t="shared" si="18"/>
        <v>#DIV/0!</v>
      </c>
      <c r="AH155" s="57" t="e">
        <v>#DIV/0!</v>
      </c>
      <c r="AI155" s="57" t="e">
        <f t="shared" si="19"/>
        <v>#DIV/0!</v>
      </c>
      <c r="AJ155" s="57" t="e">
        <v>#DIV/0!</v>
      </c>
    </row>
    <row r="156" spans="1:36" ht="15.75">
      <c r="A156" s="48">
        <v>160</v>
      </c>
      <c r="B156" s="48">
        <v>180</v>
      </c>
      <c r="C156" s="49"/>
      <c r="D156" s="49"/>
      <c r="E156" s="49"/>
      <c r="F156" s="49"/>
      <c r="G156" s="49"/>
      <c r="H156" s="59"/>
      <c r="I156" s="50" t="e">
        <v>#DIV/0!</v>
      </c>
      <c r="J156" s="50" t="e">
        <v>#DIV/0!</v>
      </c>
      <c r="K156" s="50"/>
      <c r="L156" s="50" t="e">
        <v>#DIV/0!</v>
      </c>
      <c r="M156" s="50" t="e">
        <v>#DIV/0!</v>
      </c>
      <c r="N156" s="55"/>
      <c r="O156" s="120"/>
      <c r="P156" s="108" t="str">
        <f t="shared" si="14"/>
        <v>(160, 180]</v>
      </c>
      <c r="Q156" s="53" t="s">
        <v>145</v>
      </c>
      <c r="R156" s="50" t="e">
        <f t="shared" si="16"/>
        <v>#DIV/0!</v>
      </c>
      <c r="S156" s="119">
        <v>0.20499999999999999</v>
      </c>
      <c r="T156" s="119">
        <v>0.80649999999999999</v>
      </c>
      <c r="U156" s="54">
        <v>0.2</v>
      </c>
      <c r="V156" s="55" t="e">
        <v>#DIV/0!</v>
      </c>
      <c r="W156" s="55" t="e">
        <v>#DIV/0!</v>
      </c>
      <c r="X156" s="55" t="e">
        <v>#DIV/0!</v>
      </c>
      <c r="Y156" s="55" t="e">
        <v>#DIV/0!</v>
      </c>
      <c r="Z156" s="55" t="e">
        <v>#DIV/0!</v>
      </c>
      <c r="AA156" s="55" t="e">
        <v>#DIV/0!</v>
      </c>
      <c r="AB156" s="56" t="e">
        <f t="shared" si="15"/>
        <v>#DIV/0!</v>
      </c>
      <c r="AC156" s="56" t="e">
        <f t="shared" si="15"/>
        <v>#DIV/0!</v>
      </c>
      <c r="AD156" s="56" t="e">
        <f t="shared" si="15"/>
        <v>#DIV/0!</v>
      </c>
      <c r="AE156" s="57" t="e">
        <f t="shared" si="17"/>
        <v>#DIV/0!</v>
      </c>
      <c r="AF156" s="57" t="e">
        <v>#DIV/0!</v>
      </c>
      <c r="AG156" s="57" t="e">
        <f t="shared" si="18"/>
        <v>#DIV/0!</v>
      </c>
      <c r="AH156" s="57" t="e">
        <v>#DIV/0!</v>
      </c>
      <c r="AI156" s="57" t="e">
        <f t="shared" si="19"/>
        <v>#DIV/0!</v>
      </c>
      <c r="AJ156" s="57" t="e">
        <v>#DIV/0!</v>
      </c>
    </row>
    <row r="157" spans="1:36" ht="15.75">
      <c r="A157" s="48">
        <v>180</v>
      </c>
      <c r="B157" s="48">
        <v>200</v>
      </c>
      <c r="C157" s="49"/>
      <c r="D157" s="49"/>
      <c r="E157" s="49"/>
      <c r="F157" s="49"/>
      <c r="G157" s="49"/>
      <c r="H157" s="59"/>
      <c r="I157" s="50" t="e">
        <v>#DIV/0!</v>
      </c>
      <c r="J157" s="50" t="e">
        <v>#DIV/0!</v>
      </c>
      <c r="K157" s="50"/>
      <c r="L157" s="50" t="e">
        <v>#DIV/0!</v>
      </c>
      <c r="M157" s="50" t="e">
        <v>#DIV/0!</v>
      </c>
      <c r="N157" s="55"/>
      <c r="O157" s="120"/>
      <c r="P157" s="108" t="str">
        <f t="shared" si="14"/>
        <v>(180, 200]</v>
      </c>
      <c r="Q157" s="53" t="s">
        <v>145</v>
      </c>
      <c r="R157" s="50" t="e">
        <f t="shared" si="16"/>
        <v>#DIV/0!</v>
      </c>
      <c r="S157" s="119">
        <v>0.12168094309072559</v>
      </c>
      <c r="T157" s="119">
        <v>0.5</v>
      </c>
      <c r="U157" s="54">
        <v>0.2</v>
      </c>
      <c r="V157" s="55" t="e">
        <v>#DIV/0!</v>
      </c>
      <c r="W157" s="55" t="e">
        <v>#DIV/0!</v>
      </c>
      <c r="X157" s="55" t="e">
        <v>#DIV/0!</v>
      </c>
      <c r="Y157" s="55" t="e">
        <v>#DIV/0!</v>
      </c>
      <c r="Z157" s="55" t="e">
        <v>#DIV/0!</v>
      </c>
      <c r="AA157" s="55" t="e">
        <v>#DIV/0!</v>
      </c>
      <c r="AB157" s="56" t="e">
        <f t="shared" si="15"/>
        <v>#DIV/0!</v>
      </c>
      <c r="AC157" s="56" t="e">
        <f t="shared" si="15"/>
        <v>#DIV/0!</v>
      </c>
      <c r="AD157" s="56" t="e">
        <f t="shared" si="15"/>
        <v>#DIV/0!</v>
      </c>
      <c r="AE157" s="57" t="e">
        <f t="shared" si="17"/>
        <v>#DIV/0!</v>
      </c>
      <c r="AF157" s="57" t="e">
        <v>#DIV/0!</v>
      </c>
      <c r="AG157" s="57" t="e">
        <f t="shared" si="18"/>
        <v>#DIV/0!</v>
      </c>
      <c r="AH157" s="57" t="e">
        <v>#DIV/0!</v>
      </c>
      <c r="AI157" s="57" t="e">
        <f t="shared" si="19"/>
        <v>#DIV/0!</v>
      </c>
      <c r="AJ157" s="57" t="e">
        <v>#DIV/0!</v>
      </c>
    </row>
    <row r="158" spans="1:36" ht="15.75">
      <c r="A158" s="48">
        <v>200</v>
      </c>
      <c r="B158" s="48">
        <v>250</v>
      </c>
      <c r="C158" s="49"/>
      <c r="D158" s="49"/>
      <c r="E158" s="49"/>
      <c r="F158" s="49"/>
      <c r="G158" s="49"/>
      <c r="H158" s="59"/>
      <c r="I158" s="50" t="e">
        <v>#DIV/0!</v>
      </c>
      <c r="J158" s="50" t="e">
        <v>#DIV/0!</v>
      </c>
      <c r="K158" s="50"/>
      <c r="L158" s="50" t="e">
        <v>#DIV/0!</v>
      </c>
      <c r="M158" s="50" t="e">
        <v>#DIV/0!</v>
      </c>
      <c r="N158" s="55"/>
      <c r="O158" s="120"/>
      <c r="P158" s="108" t="str">
        <f t="shared" si="14"/>
        <v>(200, 250]</v>
      </c>
      <c r="Q158" s="53" t="s">
        <v>145</v>
      </c>
      <c r="R158" s="50" t="e">
        <f t="shared" si="16"/>
        <v>#DIV/0!</v>
      </c>
      <c r="S158" s="119">
        <v>0.15</v>
      </c>
      <c r="T158" s="119">
        <v>0.248</v>
      </c>
      <c r="U158" s="54">
        <v>0.3</v>
      </c>
      <c r="V158" s="55" t="e">
        <v>#DIV/0!</v>
      </c>
      <c r="W158" s="55" t="e">
        <v>#DIV/0!</v>
      </c>
      <c r="X158" s="55" t="e">
        <v>#DIV/0!</v>
      </c>
      <c r="Y158" s="55" t="e">
        <v>#DIV/0!</v>
      </c>
      <c r="Z158" s="55" t="e">
        <v>#DIV/0!</v>
      </c>
      <c r="AA158" s="55" t="e">
        <v>#DIV/0!</v>
      </c>
      <c r="AB158" s="56" t="e">
        <f t="shared" si="15"/>
        <v>#DIV/0!</v>
      </c>
      <c r="AC158" s="56" t="e">
        <f t="shared" si="15"/>
        <v>#DIV/0!</v>
      </c>
      <c r="AD158" s="56" t="e">
        <f t="shared" si="15"/>
        <v>#DIV/0!</v>
      </c>
      <c r="AE158" s="57" t="e">
        <f t="shared" si="17"/>
        <v>#DIV/0!</v>
      </c>
      <c r="AF158" s="57" t="e">
        <v>#DIV/0!</v>
      </c>
      <c r="AG158" s="57" t="e">
        <f t="shared" si="18"/>
        <v>#DIV/0!</v>
      </c>
      <c r="AH158" s="57" t="e">
        <v>#DIV/0!</v>
      </c>
      <c r="AI158" s="57" t="e">
        <f t="shared" si="19"/>
        <v>#DIV/0!</v>
      </c>
      <c r="AJ158" s="57" t="e">
        <v>#DIV/0!</v>
      </c>
    </row>
    <row r="159" spans="1:36" ht="15.75">
      <c r="A159" s="48">
        <v>250</v>
      </c>
      <c r="B159" s="48">
        <v>300</v>
      </c>
      <c r="C159" s="49"/>
      <c r="D159" s="49"/>
      <c r="E159" s="49"/>
      <c r="F159" s="49"/>
      <c r="G159" s="49"/>
      <c r="H159" s="59"/>
      <c r="I159" s="50" t="e">
        <v>#DIV/0!</v>
      </c>
      <c r="J159" s="50" t="e">
        <v>#DIV/0!</v>
      </c>
      <c r="K159" s="50"/>
      <c r="L159" s="50" t="e">
        <v>#DIV/0!</v>
      </c>
      <c r="M159" s="50" t="e">
        <v>#DIV/0!</v>
      </c>
      <c r="N159" s="55"/>
      <c r="O159" s="120"/>
      <c r="P159" s="108" t="str">
        <f t="shared" si="14"/>
        <v>(250, 300]</v>
      </c>
      <c r="Q159" s="53" t="s">
        <v>145</v>
      </c>
      <c r="R159" s="50" t="e">
        <f t="shared" si="16"/>
        <v>#DIV/0!</v>
      </c>
      <c r="S159" s="119">
        <v>6.1661245319666318E-2</v>
      </c>
      <c r="T159" s="119">
        <v>0.12</v>
      </c>
      <c r="U159" s="54">
        <v>0.01</v>
      </c>
      <c r="V159" s="55" t="e">
        <v>#DIV/0!</v>
      </c>
      <c r="W159" s="55" t="e">
        <v>#DIV/0!</v>
      </c>
      <c r="X159" s="55" t="e">
        <v>#DIV/0!</v>
      </c>
      <c r="Y159" s="55" t="e">
        <v>#DIV/0!</v>
      </c>
      <c r="Z159" s="55" t="e">
        <v>#DIV/0!</v>
      </c>
      <c r="AA159" s="55" t="e">
        <v>#DIV/0!</v>
      </c>
      <c r="AB159" s="56" t="e">
        <f t="shared" si="15"/>
        <v>#DIV/0!</v>
      </c>
      <c r="AC159" s="56" t="e">
        <f t="shared" si="15"/>
        <v>#DIV/0!</v>
      </c>
      <c r="AD159" s="56" t="e">
        <f t="shared" si="15"/>
        <v>#DIV/0!</v>
      </c>
      <c r="AE159" s="57" t="e">
        <f t="shared" si="17"/>
        <v>#DIV/0!</v>
      </c>
      <c r="AF159" s="57" t="e">
        <v>#DIV/0!</v>
      </c>
      <c r="AG159" s="57" t="e">
        <f t="shared" si="18"/>
        <v>#DIV/0!</v>
      </c>
      <c r="AH159" s="57" t="e">
        <v>#DIV/0!</v>
      </c>
      <c r="AI159" s="57" t="e">
        <f t="shared" si="19"/>
        <v>#DIV/0!</v>
      </c>
      <c r="AJ159" s="57" t="e">
        <v>#DIV/0!</v>
      </c>
    </row>
    <row r="160" spans="1:36" ht="15.75">
      <c r="A160" s="48">
        <v>300</v>
      </c>
      <c r="B160" s="48">
        <v>350</v>
      </c>
      <c r="C160" s="49"/>
      <c r="D160" s="49"/>
      <c r="E160" s="49"/>
      <c r="F160" s="49"/>
      <c r="G160" s="49"/>
      <c r="H160" s="59"/>
      <c r="I160" s="50" t="e">
        <v>#DIV/0!</v>
      </c>
      <c r="J160" s="50" t="e">
        <v>#DIV/0!</v>
      </c>
      <c r="K160" s="50"/>
      <c r="L160" s="50" t="e">
        <v>#DIV/0!</v>
      </c>
      <c r="M160" s="50" t="e">
        <v>#DIV/0!</v>
      </c>
      <c r="N160" s="55"/>
      <c r="O160" s="120"/>
      <c r="P160" s="108" t="str">
        <f t="shared" si="14"/>
        <v>(300, 350]</v>
      </c>
      <c r="Q160" s="53" t="s">
        <v>145</v>
      </c>
      <c r="R160" s="50" t="e">
        <f t="shared" si="16"/>
        <v>#DIV/0!</v>
      </c>
      <c r="S160" s="119">
        <v>0.2</v>
      </c>
      <c r="T160" s="119">
        <v>0.12</v>
      </c>
      <c r="U160" s="54">
        <v>0.01</v>
      </c>
      <c r="V160" s="55" t="e">
        <v>#DIV/0!</v>
      </c>
      <c r="W160" s="55" t="e">
        <v>#DIV/0!</v>
      </c>
      <c r="X160" s="55" t="e">
        <v>#DIV/0!</v>
      </c>
      <c r="Y160" s="55" t="e">
        <v>#DIV/0!</v>
      </c>
      <c r="Z160" s="55" t="e">
        <v>#DIV/0!</v>
      </c>
      <c r="AA160" s="55" t="e">
        <v>#DIV/0!</v>
      </c>
      <c r="AB160" s="56" t="e">
        <f t="shared" si="15"/>
        <v>#DIV/0!</v>
      </c>
      <c r="AC160" s="56" t="e">
        <f t="shared" si="15"/>
        <v>#DIV/0!</v>
      </c>
      <c r="AD160" s="56" t="e">
        <f t="shared" si="15"/>
        <v>#DIV/0!</v>
      </c>
      <c r="AE160" s="57" t="e">
        <f t="shared" si="17"/>
        <v>#DIV/0!</v>
      </c>
      <c r="AF160" s="57" t="e">
        <v>#DIV/0!</v>
      </c>
      <c r="AG160" s="57" t="e">
        <f t="shared" si="18"/>
        <v>#DIV/0!</v>
      </c>
      <c r="AH160" s="57" t="e">
        <v>#DIV/0!</v>
      </c>
      <c r="AI160" s="57" t="e">
        <f t="shared" si="19"/>
        <v>#DIV/0!</v>
      </c>
      <c r="AJ160" s="57" t="e">
        <v>#DIV/0!</v>
      </c>
    </row>
    <row r="161" spans="1:36" ht="15.75">
      <c r="A161" s="48">
        <v>350</v>
      </c>
      <c r="B161" s="48">
        <v>400</v>
      </c>
      <c r="C161" s="49"/>
      <c r="D161" s="49"/>
      <c r="E161" s="49"/>
      <c r="F161" s="49"/>
      <c r="G161" s="49"/>
      <c r="H161" s="59"/>
      <c r="I161" s="50" t="e">
        <v>#DIV/0!</v>
      </c>
      <c r="J161" s="50" t="e">
        <v>#DIV/0!</v>
      </c>
      <c r="K161" s="50"/>
      <c r="L161" s="50" t="e">
        <v>#DIV/0!</v>
      </c>
      <c r="M161" s="50" t="e">
        <v>#DIV/0!</v>
      </c>
      <c r="N161" s="55"/>
      <c r="O161" s="120"/>
      <c r="P161" s="108" t="str">
        <f t="shared" si="14"/>
        <v>(350, 400]</v>
      </c>
      <c r="Q161" s="53" t="s">
        <v>145</v>
      </c>
      <c r="R161" s="50" t="e">
        <f t="shared" si="16"/>
        <v>#DIV/0!</v>
      </c>
      <c r="S161" s="119">
        <v>3.0973932428062564E-2</v>
      </c>
      <c r="T161" s="119">
        <v>0.08</v>
      </c>
      <c r="U161" s="54">
        <v>0.01</v>
      </c>
      <c r="V161" s="55" t="e">
        <v>#DIV/0!</v>
      </c>
      <c r="W161" s="55" t="e">
        <v>#DIV/0!</v>
      </c>
      <c r="X161" s="55" t="e">
        <v>#DIV/0!</v>
      </c>
      <c r="Y161" s="55" t="e">
        <v>#DIV/0!</v>
      </c>
      <c r="Z161" s="55" t="e">
        <v>#DIV/0!</v>
      </c>
      <c r="AA161" s="55" t="e">
        <v>#DIV/0!</v>
      </c>
      <c r="AB161" s="56" t="e">
        <f t="shared" ref="AB161:AD187" si="20">INT(Y161*$AB$62)</f>
        <v>#DIV/0!</v>
      </c>
      <c r="AC161" s="56" t="e">
        <f t="shared" si="20"/>
        <v>#DIV/0!</v>
      </c>
      <c r="AD161" s="56" t="e">
        <f t="shared" si="20"/>
        <v>#DIV/0!</v>
      </c>
      <c r="AE161" s="57" t="e">
        <f t="shared" si="17"/>
        <v>#DIV/0!</v>
      </c>
      <c r="AF161" s="57" t="e">
        <v>#DIV/0!</v>
      </c>
      <c r="AG161" s="57" t="e">
        <f t="shared" si="18"/>
        <v>#DIV/0!</v>
      </c>
      <c r="AH161" s="57" t="e">
        <v>#DIV/0!</v>
      </c>
      <c r="AI161" s="57" t="e">
        <f t="shared" si="19"/>
        <v>#DIV/0!</v>
      </c>
      <c r="AJ161" s="57" t="e">
        <v>#DIV/0!</v>
      </c>
    </row>
    <row r="162" spans="1:36" ht="15.75">
      <c r="A162" s="48">
        <v>400</v>
      </c>
      <c r="B162" s="48">
        <v>450</v>
      </c>
      <c r="C162" s="49"/>
      <c r="D162" s="49"/>
      <c r="E162" s="49"/>
      <c r="F162" s="49"/>
      <c r="G162" s="49"/>
      <c r="H162" s="59"/>
      <c r="I162" s="50" t="e">
        <v>#DIV/0!</v>
      </c>
      <c r="J162" s="50" t="e">
        <v>#DIV/0!</v>
      </c>
      <c r="K162" s="50"/>
      <c r="L162" s="50" t="e">
        <v>#DIV/0!</v>
      </c>
      <c r="M162" s="50" t="e">
        <v>#DIV/0!</v>
      </c>
      <c r="N162" s="55"/>
      <c r="O162" s="120"/>
      <c r="P162" s="108" t="str">
        <f t="shared" si="14"/>
        <v>(400, 450]</v>
      </c>
      <c r="Q162" s="53" t="s">
        <v>145</v>
      </c>
      <c r="R162" s="50" t="e">
        <f t="shared" si="16"/>
        <v>#DIV/0!</v>
      </c>
      <c r="S162" s="119">
        <v>0.08</v>
      </c>
      <c r="T162" s="119">
        <v>7.0000000000000007E-2</v>
      </c>
      <c r="U162" s="54">
        <v>0.01</v>
      </c>
      <c r="V162" s="55" t="e">
        <v>#DIV/0!</v>
      </c>
      <c r="W162" s="55" t="e">
        <v>#DIV/0!</v>
      </c>
      <c r="X162" s="55" t="e">
        <v>#DIV/0!</v>
      </c>
      <c r="Y162" s="55" t="e">
        <v>#DIV/0!</v>
      </c>
      <c r="Z162" s="55" t="e">
        <v>#DIV/0!</v>
      </c>
      <c r="AA162" s="55" t="e">
        <v>#DIV/0!</v>
      </c>
      <c r="AB162" s="56" t="e">
        <f t="shared" si="20"/>
        <v>#DIV/0!</v>
      </c>
      <c r="AC162" s="56" t="e">
        <f t="shared" si="20"/>
        <v>#DIV/0!</v>
      </c>
      <c r="AD162" s="56" t="e">
        <f t="shared" si="20"/>
        <v>#DIV/0!</v>
      </c>
      <c r="AE162" s="57" t="e">
        <f t="shared" si="17"/>
        <v>#DIV/0!</v>
      </c>
      <c r="AF162" s="57" t="e">
        <v>#DIV/0!</v>
      </c>
      <c r="AG162" s="57" t="e">
        <f t="shared" si="18"/>
        <v>#DIV/0!</v>
      </c>
      <c r="AH162" s="57" t="e">
        <v>#DIV/0!</v>
      </c>
      <c r="AI162" s="57" t="e">
        <f t="shared" si="19"/>
        <v>#DIV/0!</v>
      </c>
      <c r="AJ162" s="57" t="e">
        <v>#DIV/0!</v>
      </c>
    </row>
    <row r="163" spans="1:36" ht="15.75">
      <c r="A163" s="48">
        <v>450</v>
      </c>
      <c r="B163" s="48">
        <v>500</v>
      </c>
      <c r="C163" s="49"/>
      <c r="D163" s="49"/>
      <c r="E163" s="49"/>
      <c r="F163" s="49"/>
      <c r="G163" s="49"/>
      <c r="H163" s="59"/>
      <c r="I163" s="50" t="e">
        <v>#DIV/0!</v>
      </c>
      <c r="J163" s="50" t="e">
        <v>#DIV/0!</v>
      </c>
      <c r="K163" s="50"/>
      <c r="L163" s="50" t="e">
        <v>#DIV/0!</v>
      </c>
      <c r="M163" s="50" t="e">
        <v>#DIV/0!</v>
      </c>
      <c r="N163" s="55"/>
      <c r="O163" s="120"/>
      <c r="P163" s="108" t="str">
        <f t="shared" si="14"/>
        <v>(450, 500]</v>
      </c>
      <c r="Q163" s="53" t="s">
        <v>145</v>
      </c>
      <c r="R163" s="50" t="e">
        <f t="shared" si="16"/>
        <v>#DIV/0!</v>
      </c>
      <c r="S163" s="119">
        <v>1.79053746386122E-2</v>
      </c>
      <c r="T163" s="119">
        <v>7.0000000000000007E-2</v>
      </c>
      <c r="U163" s="54">
        <v>0.01</v>
      </c>
      <c r="V163" s="55" t="e">
        <v>#DIV/0!</v>
      </c>
      <c r="W163" s="55" t="e">
        <v>#DIV/0!</v>
      </c>
      <c r="X163" s="55" t="e">
        <v>#DIV/0!</v>
      </c>
      <c r="Y163" s="55" t="e">
        <v>#DIV/0!</v>
      </c>
      <c r="Z163" s="55" t="e">
        <v>#DIV/0!</v>
      </c>
      <c r="AA163" s="55" t="e">
        <v>#DIV/0!</v>
      </c>
      <c r="AB163" s="56" t="e">
        <f t="shared" si="20"/>
        <v>#DIV/0!</v>
      </c>
      <c r="AC163" s="56" t="e">
        <f t="shared" si="20"/>
        <v>#DIV/0!</v>
      </c>
      <c r="AD163" s="56" t="e">
        <f t="shared" si="20"/>
        <v>#DIV/0!</v>
      </c>
      <c r="AE163" s="57" t="e">
        <f t="shared" si="17"/>
        <v>#DIV/0!</v>
      </c>
      <c r="AF163" s="57" t="e">
        <v>#DIV/0!</v>
      </c>
      <c r="AG163" s="57" t="e">
        <f t="shared" si="18"/>
        <v>#DIV/0!</v>
      </c>
      <c r="AH163" s="57" t="e">
        <v>#DIV/0!</v>
      </c>
      <c r="AI163" s="57" t="e">
        <f t="shared" si="19"/>
        <v>#DIV/0!</v>
      </c>
      <c r="AJ163" s="57" t="e">
        <v>#DIV/0!</v>
      </c>
    </row>
    <row r="164" spans="1:36" ht="15.75">
      <c r="A164" s="48">
        <v>500</v>
      </c>
      <c r="B164" s="48">
        <v>550</v>
      </c>
      <c r="C164" s="49"/>
      <c r="D164" s="49"/>
      <c r="E164" s="49"/>
      <c r="F164" s="49"/>
      <c r="G164" s="49"/>
      <c r="H164" s="59"/>
      <c r="I164" s="50" t="e">
        <v>#DIV/0!</v>
      </c>
      <c r="J164" s="50" t="e">
        <v>#DIV/0!</v>
      </c>
      <c r="K164" s="50"/>
      <c r="L164" s="50" t="e">
        <v>#DIV/0!</v>
      </c>
      <c r="M164" s="50" t="e">
        <v>#DIV/0!</v>
      </c>
      <c r="N164" s="55"/>
      <c r="O164" s="120"/>
      <c r="P164" s="108" t="str">
        <f t="shared" si="14"/>
        <v>(500, 550]</v>
      </c>
      <c r="Q164" s="53" t="s">
        <v>145</v>
      </c>
      <c r="R164" s="50" t="e">
        <f t="shared" si="16"/>
        <v>#DIV/0!</v>
      </c>
      <c r="S164" s="119">
        <v>0.04</v>
      </c>
      <c r="T164" s="119">
        <v>0.04</v>
      </c>
      <c r="U164" s="54">
        <v>0.01</v>
      </c>
      <c r="V164" s="55" t="e">
        <v>#DIV/0!</v>
      </c>
      <c r="W164" s="55" t="e">
        <v>#DIV/0!</v>
      </c>
      <c r="X164" s="55" t="e">
        <v>#DIV/0!</v>
      </c>
      <c r="Y164" s="55" t="e">
        <v>#DIV/0!</v>
      </c>
      <c r="Z164" s="55" t="e">
        <v>#DIV/0!</v>
      </c>
      <c r="AA164" s="55" t="e">
        <v>#DIV/0!</v>
      </c>
      <c r="AB164" s="56" t="e">
        <f t="shared" si="20"/>
        <v>#DIV/0!</v>
      </c>
      <c r="AC164" s="56" t="e">
        <f t="shared" si="20"/>
        <v>#DIV/0!</v>
      </c>
      <c r="AD164" s="56" t="e">
        <f t="shared" si="20"/>
        <v>#DIV/0!</v>
      </c>
      <c r="AE164" s="57" t="e">
        <f t="shared" si="17"/>
        <v>#DIV/0!</v>
      </c>
      <c r="AF164" s="57" t="e">
        <v>#DIV/0!</v>
      </c>
      <c r="AG164" s="57" t="e">
        <f t="shared" si="18"/>
        <v>#DIV/0!</v>
      </c>
      <c r="AH164" s="57" t="e">
        <v>#DIV/0!</v>
      </c>
      <c r="AI164" s="57" t="e">
        <f t="shared" si="19"/>
        <v>#DIV/0!</v>
      </c>
      <c r="AJ164" s="57" t="e">
        <v>#DIV/0!</v>
      </c>
    </row>
    <row r="165" spans="1:36" ht="15.75">
      <c r="A165" s="48">
        <v>550</v>
      </c>
      <c r="B165" s="48">
        <v>600</v>
      </c>
      <c r="C165" s="49"/>
      <c r="D165" s="49"/>
      <c r="E165" s="49"/>
      <c r="F165" s="49"/>
      <c r="G165" s="49"/>
      <c r="H165" s="59"/>
      <c r="I165" s="50" t="e">
        <v>#DIV/0!</v>
      </c>
      <c r="J165" s="50" t="e">
        <v>#DIV/0!</v>
      </c>
      <c r="K165" s="50"/>
      <c r="L165" s="50" t="e">
        <v>#DIV/0!</v>
      </c>
      <c r="M165" s="50" t="e">
        <v>#DIV/0!</v>
      </c>
      <c r="N165" s="55"/>
      <c r="O165" s="120"/>
      <c r="P165" s="108" t="str">
        <f t="shared" si="14"/>
        <v>(550, 600]</v>
      </c>
      <c r="Q165" s="53" t="s">
        <v>145</v>
      </c>
      <c r="R165" s="50" t="e">
        <f t="shared" si="16"/>
        <v>#DIV/0!</v>
      </c>
      <c r="S165" s="119">
        <v>0.01</v>
      </c>
      <c r="T165" s="119">
        <v>2.9000000000000001E-2</v>
      </c>
      <c r="U165" s="54">
        <v>0.01</v>
      </c>
      <c r="V165" s="55" t="e">
        <v>#DIV/0!</v>
      </c>
      <c r="W165" s="55" t="e">
        <v>#DIV/0!</v>
      </c>
      <c r="X165" s="55" t="e">
        <v>#DIV/0!</v>
      </c>
      <c r="Y165" s="55" t="e">
        <v>#DIV/0!</v>
      </c>
      <c r="Z165" s="55" t="e">
        <v>#DIV/0!</v>
      </c>
      <c r="AA165" s="55" t="e">
        <v>#DIV/0!</v>
      </c>
      <c r="AB165" s="56" t="e">
        <f t="shared" si="20"/>
        <v>#DIV/0!</v>
      </c>
      <c r="AC165" s="56" t="e">
        <f t="shared" si="20"/>
        <v>#DIV/0!</v>
      </c>
      <c r="AD165" s="56" t="e">
        <f t="shared" si="20"/>
        <v>#DIV/0!</v>
      </c>
      <c r="AE165" s="57" t="e">
        <f t="shared" si="17"/>
        <v>#DIV/0!</v>
      </c>
      <c r="AF165" s="57" t="e">
        <v>#DIV/0!</v>
      </c>
      <c r="AG165" s="57" t="e">
        <f t="shared" si="18"/>
        <v>#DIV/0!</v>
      </c>
      <c r="AH165" s="57" t="e">
        <v>#DIV/0!</v>
      </c>
      <c r="AI165" s="57" t="e">
        <f t="shared" si="19"/>
        <v>#DIV/0!</v>
      </c>
      <c r="AJ165" s="57" t="e">
        <v>#DIV/0!</v>
      </c>
    </row>
    <row r="166" spans="1:36" ht="15.75">
      <c r="A166" s="48">
        <v>600</v>
      </c>
      <c r="B166" s="48">
        <v>650</v>
      </c>
      <c r="C166" s="49"/>
      <c r="D166" s="49"/>
      <c r="E166" s="49"/>
      <c r="F166" s="49"/>
      <c r="G166" s="49"/>
      <c r="H166" s="59"/>
      <c r="I166" s="50" t="e">
        <v>#DIV/0!</v>
      </c>
      <c r="J166" s="50" t="e">
        <v>#DIV/0!</v>
      </c>
      <c r="K166" s="50"/>
      <c r="L166" s="50" t="e">
        <v>#DIV/0!</v>
      </c>
      <c r="M166" s="50" t="e">
        <v>#DIV/0!</v>
      </c>
      <c r="N166" s="55"/>
      <c r="O166" s="120"/>
      <c r="P166" s="108" t="str">
        <f t="shared" si="14"/>
        <v>(600, 650]</v>
      </c>
      <c r="Q166" s="53" t="s">
        <v>145</v>
      </c>
      <c r="R166" s="50" t="e">
        <f t="shared" si="16"/>
        <v>#DIV/0!</v>
      </c>
      <c r="S166" s="119">
        <v>0.02</v>
      </c>
      <c r="T166" s="54">
        <v>0.01</v>
      </c>
      <c r="U166" s="54">
        <v>0.01</v>
      </c>
      <c r="V166" s="55" t="e">
        <v>#DIV/0!</v>
      </c>
      <c r="W166" s="55" t="e">
        <v>#DIV/0!</v>
      </c>
      <c r="X166" s="55" t="e">
        <v>#DIV/0!</v>
      </c>
      <c r="Y166" s="55" t="e">
        <v>#DIV/0!</v>
      </c>
      <c r="Z166" s="55" t="e">
        <v>#DIV/0!</v>
      </c>
      <c r="AA166" s="55" t="e">
        <v>#DIV/0!</v>
      </c>
      <c r="AB166" s="56" t="e">
        <f t="shared" si="20"/>
        <v>#DIV/0!</v>
      </c>
      <c r="AC166" s="56" t="e">
        <f t="shared" si="20"/>
        <v>#DIV/0!</v>
      </c>
      <c r="AD166" s="56" t="e">
        <f t="shared" si="20"/>
        <v>#DIV/0!</v>
      </c>
      <c r="AE166" s="57" t="e">
        <f t="shared" si="17"/>
        <v>#DIV/0!</v>
      </c>
      <c r="AF166" s="57" t="e">
        <v>#DIV/0!</v>
      </c>
      <c r="AG166" s="57" t="e">
        <f t="shared" si="18"/>
        <v>#DIV/0!</v>
      </c>
      <c r="AH166" s="57" t="e">
        <v>#DIV/0!</v>
      </c>
      <c r="AI166" s="57" t="e">
        <f t="shared" si="19"/>
        <v>#DIV/0!</v>
      </c>
      <c r="AJ166" s="57" t="e">
        <v>#DIV/0!</v>
      </c>
    </row>
    <row r="167" spans="1:36" ht="15.75">
      <c r="A167" s="48">
        <v>650</v>
      </c>
      <c r="B167" s="48">
        <v>700</v>
      </c>
      <c r="C167" s="49"/>
      <c r="D167" s="49"/>
      <c r="E167" s="49"/>
      <c r="F167" s="49"/>
      <c r="G167" s="49"/>
      <c r="H167" s="59"/>
      <c r="I167" s="50" t="e">
        <v>#DIV/0!</v>
      </c>
      <c r="J167" s="50" t="e">
        <v>#DIV/0!</v>
      </c>
      <c r="K167" s="50"/>
      <c r="L167" s="50" t="e">
        <v>#DIV/0!</v>
      </c>
      <c r="M167" s="50" t="e">
        <v>#DIV/0!</v>
      </c>
      <c r="N167" s="55"/>
      <c r="O167" s="120"/>
      <c r="P167" s="108" t="str">
        <f t="shared" si="14"/>
        <v>(650, 700]</v>
      </c>
      <c r="Q167" s="53" t="s">
        <v>145</v>
      </c>
      <c r="R167" s="50" t="e">
        <f t="shared" si="16"/>
        <v>#DIV/0!</v>
      </c>
      <c r="S167" s="119">
        <v>0.02</v>
      </c>
      <c r="T167" s="54">
        <v>0.01</v>
      </c>
      <c r="U167" s="54">
        <v>0.01</v>
      </c>
      <c r="V167" s="55" t="e">
        <v>#DIV/0!</v>
      </c>
      <c r="W167" s="55" t="e">
        <v>#DIV/0!</v>
      </c>
      <c r="X167" s="55" t="e">
        <v>#DIV/0!</v>
      </c>
      <c r="Y167" s="55" t="e">
        <v>#DIV/0!</v>
      </c>
      <c r="Z167" s="55" t="e">
        <v>#DIV/0!</v>
      </c>
      <c r="AA167" s="55" t="e">
        <v>#DIV/0!</v>
      </c>
      <c r="AB167" s="56" t="e">
        <f t="shared" si="20"/>
        <v>#DIV/0!</v>
      </c>
      <c r="AC167" s="56" t="e">
        <f t="shared" si="20"/>
        <v>#DIV/0!</v>
      </c>
      <c r="AD167" s="56" t="e">
        <f t="shared" si="20"/>
        <v>#DIV/0!</v>
      </c>
      <c r="AE167" s="57" t="e">
        <f t="shared" si="17"/>
        <v>#DIV/0!</v>
      </c>
      <c r="AF167" s="57" t="e">
        <v>#DIV/0!</v>
      </c>
      <c r="AG167" s="57" t="e">
        <f t="shared" si="18"/>
        <v>#DIV/0!</v>
      </c>
      <c r="AH167" s="57" t="e">
        <v>#DIV/0!</v>
      </c>
      <c r="AI167" s="57" t="e">
        <f t="shared" si="19"/>
        <v>#DIV/0!</v>
      </c>
      <c r="AJ167" s="57" t="e">
        <v>#DIV/0!</v>
      </c>
    </row>
    <row r="168" spans="1:36" ht="15.75">
      <c r="A168" s="48">
        <v>700</v>
      </c>
      <c r="B168" s="48">
        <v>750</v>
      </c>
      <c r="C168" s="49"/>
      <c r="D168" s="49"/>
      <c r="E168" s="49"/>
      <c r="F168" s="49"/>
      <c r="G168" s="49"/>
      <c r="H168" s="59"/>
      <c r="I168" s="50" t="e">
        <v>#DIV/0!</v>
      </c>
      <c r="J168" s="50" t="e">
        <v>#DIV/0!</v>
      </c>
      <c r="K168" s="50"/>
      <c r="L168" s="50" t="e">
        <v>#DIV/0!</v>
      </c>
      <c r="M168" s="50" t="e">
        <v>#DIV/0!</v>
      </c>
      <c r="N168" s="55"/>
      <c r="O168" s="120"/>
      <c r="P168" s="108" t="str">
        <f t="shared" si="14"/>
        <v>(700, 750]</v>
      </c>
      <c r="Q168" s="53" t="s">
        <v>145</v>
      </c>
      <c r="R168" s="50" t="e">
        <f t="shared" si="16"/>
        <v>#DIV/0!</v>
      </c>
      <c r="S168" s="119">
        <v>0.02</v>
      </c>
      <c r="T168" s="54">
        <v>0.01</v>
      </c>
      <c r="U168" s="54">
        <v>0.01</v>
      </c>
      <c r="V168" s="55" t="e">
        <v>#DIV/0!</v>
      </c>
      <c r="W168" s="55" t="e">
        <v>#DIV/0!</v>
      </c>
      <c r="X168" s="55" t="e">
        <v>#DIV/0!</v>
      </c>
      <c r="Y168" s="55" t="e">
        <v>#DIV/0!</v>
      </c>
      <c r="Z168" s="55" t="e">
        <v>#DIV/0!</v>
      </c>
      <c r="AA168" s="55" t="e">
        <v>#DIV/0!</v>
      </c>
      <c r="AB168" s="56" t="e">
        <f t="shared" si="20"/>
        <v>#DIV/0!</v>
      </c>
      <c r="AC168" s="56" t="e">
        <f t="shared" si="20"/>
        <v>#DIV/0!</v>
      </c>
      <c r="AD168" s="56" t="e">
        <f t="shared" si="20"/>
        <v>#DIV/0!</v>
      </c>
      <c r="AE168" s="57" t="e">
        <f t="shared" si="17"/>
        <v>#DIV/0!</v>
      </c>
      <c r="AF168" s="57" t="e">
        <v>#DIV/0!</v>
      </c>
      <c r="AG168" s="57" t="e">
        <f t="shared" si="18"/>
        <v>#DIV/0!</v>
      </c>
      <c r="AH168" s="57" t="e">
        <v>#DIV/0!</v>
      </c>
      <c r="AI168" s="57" t="e">
        <f t="shared" si="19"/>
        <v>#DIV/0!</v>
      </c>
      <c r="AJ168" s="57" t="e">
        <v>#DIV/0!</v>
      </c>
    </row>
    <row r="169" spans="1:36" ht="15.75">
      <c r="A169" s="48">
        <v>750</v>
      </c>
      <c r="B169" s="48">
        <v>800</v>
      </c>
      <c r="C169" s="116"/>
      <c r="D169" s="49"/>
      <c r="E169" s="49"/>
      <c r="F169" s="49"/>
      <c r="G169" s="49"/>
      <c r="H169" s="59"/>
      <c r="I169" s="50" t="e">
        <v>#DIV/0!</v>
      </c>
      <c r="J169" s="50" t="e">
        <v>#DIV/0!</v>
      </c>
      <c r="K169" s="50"/>
      <c r="L169" s="50" t="e">
        <v>#DIV/0!</v>
      </c>
      <c r="M169" s="50" t="e">
        <v>#DIV/0!</v>
      </c>
      <c r="N169" s="55"/>
      <c r="O169" s="120"/>
      <c r="P169" s="108" t="str">
        <f t="shared" si="14"/>
        <v>(750, 800]</v>
      </c>
      <c r="Q169" s="53" t="s">
        <v>145</v>
      </c>
      <c r="R169" s="50" t="e">
        <f t="shared" si="16"/>
        <v>#DIV/0!</v>
      </c>
      <c r="S169" s="119">
        <v>0.02</v>
      </c>
      <c r="T169" s="54">
        <v>0.01</v>
      </c>
      <c r="U169" s="54">
        <v>0.01</v>
      </c>
      <c r="V169" s="55" t="e">
        <v>#DIV/0!</v>
      </c>
      <c r="W169" s="55" t="e">
        <v>#DIV/0!</v>
      </c>
      <c r="X169" s="55" t="e">
        <v>#DIV/0!</v>
      </c>
      <c r="Y169" s="55" t="e">
        <v>#DIV/0!</v>
      </c>
      <c r="Z169" s="55" t="e">
        <v>#DIV/0!</v>
      </c>
      <c r="AA169" s="55" t="e">
        <v>#DIV/0!</v>
      </c>
      <c r="AB169" s="56" t="e">
        <f t="shared" si="20"/>
        <v>#DIV/0!</v>
      </c>
      <c r="AC169" s="56" t="e">
        <f t="shared" si="20"/>
        <v>#DIV/0!</v>
      </c>
      <c r="AD169" s="56" t="e">
        <f t="shared" si="20"/>
        <v>#DIV/0!</v>
      </c>
      <c r="AE169" s="57" t="e">
        <f t="shared" si="17"/>
        <v>#DIV/0!</v>
      </c>
      <c r="AF169" s="57" t="e">
        <v>#DIV/0!</v>
      </c>
      <c r="AG169" s="57" t="e">
        <f t="shared" si="18"/>
        <v>#DIV/0!</v>
      </c>
      <c r="AH169" s="57" t="e">
        <v>#DIV/0!</v>
      </c>
      <c r="AI169" s="57" t="e">
        <f t="shared" si="19"/>
        <v>#DIV/0!</v>
      </c>
      <c r="AJ169" s="57" t="e">
        <v>#DIV/0!</v>
      </c>
    </row>
    <row r="170" spans="1:36" ht="15.75">
      <c r="A170" s="48">
        <v>800</v>
      </c>
      <c r="B170" s="48">
        <v>850</v>
      </c>
      <c r="C170" s="49"/>
      <c r="D170" s="49"/>
      <c r="E170" s="49"/>
      <c r="F170" s="49"/>
      <c r="G170" s="49"/>
      <c r="H170" s="59"/>
      <c r="I170" s="50" t="e">
        <v>#DIV/0!</v>
      </c>
      <c r="J170" s="50" t="e">
        <v>#DIV/0!</v>
      </c>
      <c r="K170" s="50"/>
      <c r="L170" s="50" t="e">
        <v>#DIV/0!</v>
      </c>
      <c r="M170" s="50" t="e">
        <v>#DIV/0!</v>
      </c>
      <c r="N170" s="55"/>
      <c r="O170" s="120"/>
      <c r="P170" s="108" t="str">
        <f t="shared" si="14"/>
        <v>(800, 850]</v>
      </c>
      <c r="Q170" s="53" t="s">
        <v>145</v>
      </c>
      <c r="R170" s="50" t="e">
        <f t="shared" si="16"/>
        <v>#DIV/0!</v>
      </c>
      <c r="S170" s="119">
        <v>0.02</v>
      </c>
      <c r="T170" s="54">
        <v>0.01</v>
      </c>
      <c r="U170" s="54">
        <v>0.01</v>
      </c>
      <c r="V170" s="55" t="e">
        <v>#DIV/0!</v>
      </c>
      <c r="W170" s="55" t="e">
        <v>#DIV/0!</v>
      </c>
      <c r="X170" s="55" t="e">
        <v>#DIV/0!</v>
      </c>
      <c r="Y170" s="55" t="e">
        <v>#DIV/0!</v>
      </c>
      <c r="Z170" s="55" t="e">
        <v>#DIV/0!</v>
      </c>
      <c r="AA170" s="55" t="e">
        <v>#DIV/0!</v>
      </c>
      <c r="AB170" s="56" t="e">
        <f t="shared" si="20"/>
        <v>#DIV/0!</v>
      </c>
      <c r="AC170" s="56" t="e">
        <f t="shared" si="20"/>
        <v>#DIV/0!</v>
      </c>
      <c r="AD170" s="56" t="e">
        <f t="shared" si="20"/>
        <v>#DIV/0!</v>
      </c>
      <c r="AE170" s="57" t="e">
        <f t="shared" si="17"/>
        <v>#DIV/0!</v>
      </c>
      <c r="AF170" s="57" t="e">
        <v>#DIV/0!</v>
      </c>
      <c r="AG170" s="57" t="e">
        <f t="shared" si="18"/>
        <v>#DIV/0!</v>
      </c>
      <c r="AH170" s="57" t="e">
        <v>#DIV/0!</v>
      </c>
      <c r="AI170" s="57" t="e">
        <f t="shared" si="19"/>
        <v>#DIV/0!</v>
      </c>
      <c r="AJ170" s="57" t="e">
        <v>#DIV/0!</v>
      </c>
    </row>
    <row r="171" spans="1:36" ht="15.75">
      <c r="A171" s="48">
        <v>850</v>
      </c>
      <c r="B171" s="48">
        <v>900</v>
      </c>
      <c r="C171" s="49"/>
      <c r="D171" s="49"/>
      <c r="E171" s="49"/>
      <c r="F171" s="49"/>
      <c r="G171" s="49"/>
      <c r="H171" s="59"/>
      <c r="I171" s="50" t="e">
        <v>#DIV/0!</v>
      </c>
      <c r="J171" s="50" t="e">
        <v>#DIV/0!</v>
      </c>
      <c r="K171" s="50"/>
      <c r="L171" s="50" t="e">
        <v>#DIV/0!</v>
      </c>
      <c r="M171" s="50" t="e">
        <v>#DIV/0!</v>
      </c>
      <c r="N171" s="55"/>
      <c r="O171" s="120"/>
      <c r="P171" s="108" t="str">
        <f t="shared" si="14"/>
        <v>(850, 900]</v>
      </c>
      <c r="Q171" s="53" t="s">
        <v>145</v>
      </c>
      <c r="R171" s="50" t="e">
        <f t="shared" si="16"/>
        <v>#DIV/0!</v>
      </c>
      <c r="S171" s="119">
        <v>0.02</v>
      </c>
      <c r="T171" s="54">
        <v>0.01</v>
      </c>
      <c r="U171" s="54">
        <v>0.01</v>
      </c>
      <c r="V171" s="55" t="e">
        <v>#DIV/0!</v>
      </c>
      <c r="W171" s="55" t="e">
        <v>#DIV/0!</v>
      </c>
      <c r="X171" s="55" t="e">
        <v>#DIV/0!</v>
      </c>
      <c r="Y171" s="55" t="e">
        <v>#DIV/0!</v>
      </c>
      <c r="Z171" s="55" t="e">
        <v>#DIV/0!</v>
      </c>
      <c r="AA171" s="55" t="e">
        <v>#DIV/0!</v>
      </c>
      <c r="AB171" s="56" t="e">
        <f t="shared" si="20"/>
        <v>#DIV/0!</v>
      </c>
      <c r="AC171" s="56" t="e">
        <f t="shared" si="20"/>
        <v>#DIV/0!</v>
      </c>
      <c r="AD171" s="56" t="e">
        <f t="shared" si="20"/>
        <v>#DIV/0!</v>
      </c>
      <c r="AE171" s="57" t="e">
        <f t="shared" si="17"/>
        <v>#DIV/0!</v>
      </c>
      <c r="AF171" s="57" t="e">
        <v>#DIV/0!</v>
      </c>
      <c r="AG171" s="57" t="e">
        <f t="shared" si="18"/>
        <v>#DIV/0!</v>
      </c>
      <c r="AH171" s="57" t="e">
        <v>#DIV/0!</v>
      </c>
      <c r="AI171" s="57" t="e">
        <f t="shared" si="19"/>
        <v>#DIV/0!</v>
      </c>
      <c r="AJ171" s="57" t="e">
        <v>#DIV/0!</v>
      </c>
    </row>
    <row r="172" spans="1:36" ht="15.75">
      <c r="A172" s="48">
        <v>900</v>
      </c>
      <c r="B172" s="48">
        <v>950</v>
      </c>
      <c r="C172" s="49"/>
      <c r="D172" s="49"/>
      <c r="E172" s="49"/>
      <c r="F172" s="49"/>
      <c r="G172" s="49"/>
      <c r="H172" s="59"/>
      <c r="I172" s="50" t="e">
        <v>#DIV/0!</v>
      </c>
      <c r="J172" s="50" t="e">
        <v>#DIV/0!</v>
      </c>
      <c r="K172" s="50"/>
      <c r="L172" s="50" t="e">
        <v>#DIV/0!</v>
      </c>
      <c r="M172" s="50" t="e">
        <v>#DIV/0!</v>
      </c>
      <c r="N172" s="55"/>
      <c r="O172" s="120"/>
      <c r="P172" s="108" t="str">
        <f t="shared" si="14"/>
        <v>(900, 950]</v>
      </c>
      <c r="Q172" s="53" t="s">
        <v>145</v>
      </c>
      <c r="R172" s="50" t="e">
        <f t="shared" si="16"/>
        <v>#DIV/0!</v>
      </c>
      <c r="S172" s="119">
        <v>0.02</v>
      </c>
      <c r="T172" s="54">
        <v>0.01</v>
      </c>
      <c r="U172" s="54">
        <v>0.01</v>
      </c>
      <c r="V172" s="55" t="e">
        <v>#DIV/0!</v>
      </c>
      <c r="W172" s="55" t="e">
        <v>#DIV/0!</v>
      </c>
      <c r="X172" s="55" t="e">
        <v>#DIV/0!</v>
      </c>
      <c r="Y172" s="55" t="e">
        <v>#DIV/0!</v>
      </c>
      <c r="Z172" s="55" t="e">
        <v>#DIV/0!</v>
      </c>
      <c r="AA172" s="55" t="e">
        <v>#DIV/0!</v>
      </c>
      <c r="AB172" s="56" t="e">
        <f t="shared" si="20"/>
        <v>#DIV/0!</v>
      </c>
      <c r="AC172" s="56" t="e">
        <f t="shared" si="20"/>
        <v>#DIV/0!</v>
      </c>
      <c r="AD172" s="56" t="e">
        <f t="shared" si="20"/>
        <v>#DIV/0!</v>
      </c>
      <c r="AE172" s="57" t="e">
        <f t="shared" si="17"/>
        <v>#DIV/0!</v>
      </c>
      <c r="AF172" s="57" t="e">
        <v>#DIV/0!</v>
      </c>
      <c r="AG172" s="57" t="e">
        <f t="shared" si="18"/>
        <v>#DIV/0!</v>
      </c>
      <c r="AH172" s="57" t="e">
        <v>#DIV/0!</v>
      </c>
      <c r="AI172" s="57" t="e">
        <f t="shared" si="19"/>
        <v>#DIV/0!</v>
      </c>
      <c r="AJ172" s="57" t="e">
        <v>#DIV/0!</v>
      </c>
    </row>
    <row r="173" spans="1:36" ht="15.75">
      <c r="A173" s="48">
        <v>950</v>
      </c>
      <c r="B173" s="48">
        <v>1000</v>
      </c>
      <c r="C173" s="49"/>
      <c r="D173" s="49"/>
      <c r="E173" s="49"/>
      <c r="F173" s="49"/>
      <c r="G173" s="49"/>
      <c r="H173" s="59"/>
      <c r="I173" s="50" t="e">
        <v>#DIV/0!</v>
      </c>
      <c r="J173" s="50" t="e">
        <v>#DIV/0!</v>
      </c>
      <c r="K173" s="50"/>
      <c r="L173" s="50" t="e">
        <v>#DIV/0!</v>
      </c>
      <c r="M173" s="50" t="e">
        <v>#DIV/0!</v>
      </c>
      <c r="N173" s="55"/>
      <c r="O173" s="120"/>
      <c r="P173" s="108" t="str">
        <f t="shared" si="14"/>
        <v>(950, 1000]</v>
      </c>
      <c r="Q173" s="53" t="s">
        <v>145</v>
      </c>
      <c r="R173" s="50" t="e">
        <f t="shared" si="16"/>
        <v>#DIV/0!</v>
      </c>
      <c r="S173" s="119">
        <v>0.02</v>
      </c>
      <c r="T173" s="54">
        <v>0.01</v>
      </c>
      <c r="U173" s="54">
        <v>0.01</v>
      </c>
      <c r="V173" s="55" t="e">
        <v>#DIV/0!</v>
      </c>
      <c r="W173" s="55" t="e">
        <v>#DIV/0!</v>
      </c>
      <c r="X173" s="55" t="e">
        <v>#DIV/0!</v>
      </c>
      <c r="Y173" s="55" t="e">
        <v>#DIV/0!</v>
      </c>
      <c r="Z173" s="55" t="e">
        <v>#DIV/0!</v>
      </c>
      <c r="AA173" s="55" t="e">
        <v>#DIV/0!</v>
      </c>
      <c r="AB173" s="56" t="e">
        <f t="shared" si="20"/>
        <v>#DIV/0!</v>
      </c>
      <c r="AC173" s="56" t="e">
        <f t="shared" si="20"/>
        <v>#DIV/0!</v>
      </c>
      <c r="AD173" s="56" t="e">
        <f t="shared" si="20"/>
        <v>#DIV/0!</v>
      </c>
      <c r="AE173" s="57" t="e">
        <f t="shared" si="17"/>
        <v>#DIV/0!</v>
      </c>
      <c r="AF173" s="57" t="e">
        <v>#DIV/0!</v>
      </c>
      <c r="AG173" s="57" t="e">
        <f t="shared" si="18"/>
        <v>#DIV/0!</v>
      </c>
      <c r="AH173" s="57" t="e">
        <v>#DIV/0!</v>
      </c>
      <c r="AI173" s="57" t="e">
        <f t="shared" si="19"/>
        <v>#DIV/0!</v>
      </c>
      <c r="AJ173" s="57" t="e">
        <v>#DIV/0!</v>
      </c>
    </row>
    <row r="174" spans="1:36" ht="15.75">
      <c r="A174" s="48">
        <v>1000</v>
      </c>
      <c r="B174" s="48">
        <v>2000</v>
      </c>
      <c r="C174" s="49"/>
      <c r="D174" s="49"/>
      <c r="E174" s="49"/>
      <c r="F174" s="49"/>
      <c r="G174" s="49"/>
      <c r="H174" s="59"/>
      <c r="I174" s="50" t="e">
        <v>#DIV/0!</v>
      </c>
      <c r="J174" s="50" t="e">
        <v>#DIV/0!</v>
      </c>
      <c r="K174" s="50"/>
      <c r="L174" s="50" t="e">
        <v>#DIV/0!</v>
      </c>
      <c r="M174" s="50" t="e">
        <v>#DIV/0!</v>
      </c>
      <c r="N174" s="55"/>
      <c r="O174" s="120"/>
      <c r="P174" s="108" t="str">
        <f t="shared" si="14"/>
        <v>(1000, 2000]</v>
      </c>
      <c r="Q174" s="53" t="s">
        <v>145</v>
      </c>
      <c r="R174" s="50" t="e">
        <f t="shared" si="16"/>
        <v>#DIV/0!</v>
      </c>
      <c r="S174" s="119">
        <v>0.02</v>
      </c>
      <c r="T174" s="54">
        <v>0.01</v>
      </c>
      <c r="U174" s="54">
        <v>0.01</v>
      </c>
      <c r="V174" s="55" t="e">
        <v>#DIV/0!</v>
      </c>
      <c r="W174" s="55" t="e">
        <v>#DIV/0!</v>
      </c>
      <c r="X174" s="55" t="e">
        <v>#DIV/0!</v>
      </c>
      <c r="Y174" s="55" t="e">
        <v>#DIV/0!</v>
      </c>
      <c r="Z174" s="55" t="e">
        <v>#DIV/0!</v>
      </c>
      <c r="AA174" s="55" t="e">
        <v>#DIV/0!</v>
      </c>
      <c r="AB174" s="56" t="e">
        <f t="shared" si="20"/>
        <v>#DIV/0!</v>
      </c>
      <c r="AC174" s="56" t="e">
        <f t="shared" si="20"/>
        <v>#DIV/0!</v>
      </c>
      <c r="AD174" s="56" t="e">
        <f t="shared" si="20"/>
        <v>#DIV/0!</v>
      </c>
      <c r="AE174" s="57" t="e">
        <f t="shared" si="17"/>
        <v>#DIV/0!</v>
      </c>
      <c r="AF174" s="57" t="e">
        <v>#DIV/0!</v>
      </c>
      <c r="AG174" s="57" t="e">
        <f t="shared" si="18"/>
        <v>#DIV/0!</v>
      </c>
      <c r="AH174" s="57" t="e">
        <v>#DIV/0!</v>
      </c>
      <c r="AI174" s="57" t="e">
        <f t="shared" si="19"/>
        <v>#DIV/0!</v>
      </c>
      <c r="AJ174" s="57" t="e">
        <v>#DIV/0!</v>
      </c>
    </row>
    <row r="175" spans="1:36" ht="15.75">
      <c r="A175" s="48">
        <v>2000</v>
      </c>
      <c r="B175" s="48">
        <v>3000</v>
      </c>
      <c r="C175" s="49"/>
      <c r="D175" s="116"/>
      <c r="E175" s="49"/>
      <c r="F175" s="49"/>
      <c r="G175" s="116"/>
      <c r="H175" s="59"/>
      <c r="I175" s="50" t="e">
        <v>#DIV/0!</v>
      </c>
      <c r="J175" s="50" t="e">
        <v>#DIV/0!</v>
      </c>
      <c r="K175" s="50"/>
      <c r="L175" s="50" t="e">
        <v>#DIV/0!</v>
      </c>
      <c r="M175" s="50" t="e">
        <v>#DIV/0!</v>
      </c>
      <c r="N175" s="55"/>
      <c r="O175" s="120"/>
      <c r="P175" s="108" t="str">
        <f t="shared" si="14"/>
        <v>(2000, 3000]</v>
      </c>
      <c r="Q175" s="53" t="s">
        <v>145</v>
      </c>
      <c r="R175" s="50" t="e">
        <f t="shared" si="16"/>
        <v>#DIV/0!</v>
      </c>
      <c r="S175" s="119">
        <v>0.02</v>
      </c>
      <c r="T175" s="54">
        <v>0.01</v>
      </c>
      <c r="U175" s="54">
        <v>0</v>
      </c>
      <c r="V175" s="55" t="e">
        <v>#DIV/0!</v>
      </c>
      <c r="W175" s="55" t="e">
        <v>#DIV/0!</v>
      </c>
      <c r="X175" s="55" t="e">
        <v>#DIV/0!</v>
      </c>
      <c r="Y175" s="55" t="e">
        <v>#DIV/0!</v>
      </c>
      <c r="Z175" s="55" t="e">
        <v>#DIV/0!</v>
      </c>
      <c r="AA175" s="55" t="e">
        <v>#DIV/0!</v>
      </c>
      <c r="AB175" s="56" t="e">
        <f t="shared" si="20"/>
        <v>#DIV/0!</v>
      </c>
      <c r="AC175" s="56" t="e">
        <f t="shared" si="20"/>
        <v>#DIV/0!</v>
      </c>
      <c r="AD175" s="56" t="e">
        <f t="shared" si="20"/>
        <v>#DIV/0!</v>
      </c>
      <c r="AE175" s="57" t="e">
        <f t="shared" si="17"/>
        <v>#DIV/0!</v>
      </c>
      <c r="AF175" s="57" t="e">
        <v>#DIV/0!</v>
      </c>
      <c r="AG175" s="57" t="e">
        <f t="shared" si="18"/>
        <v>#DIV/0!</v>
      </c>
      <c r="AH175" s="57" t="e">
        <v>#DIV/0!</v>
      </c>
      <c r="AI175" s="57" t="e">
        <f t="shared" si="19"/>
        <v>#DIV/0!</v>
      </c>
      <c r="AJ175" s="57" t="e">
        <v>#DIV/0!</v>
      </c>
    </row>
    <row r="176" spans="1:36" ht="15.75">
      <c r="A176" s="48">
        <v>3000</v>
      </c>
      <c r="B176" s="48">
        <v>4000</v>
      </c>
      <c r="C176" s="49"/>
      <c r="D176" s="49"/>
      <c r="E176" s="49"/>
      <c r="F176" s="49"/>
      <c r="G176" s="49"/>
      <c r="H176" s="59"/>
      <c r="I176" s="50" t="e">
        <v>#DIV/0!</v>
      </c>
      <c r="J176" s="50" t="e">
        <v>#DIV/0!</v>
      </c>
      <c r="K176" s="50"/>
      <c r="L176" s="50" t="e">
        <v>#DIV/0!</v>
      </c>
      <c r="M176" s="50" t="e">
        <v>#DIV/0!</v>
      </c>
      <c r="N176" s="55"/>
      <c r="O176" s="120"/>
      <c r="P176" s="108" t="str">
        <f t="shared" si="14"/>
        <v>(3000, 4000]</v>
      </c>
      <c r="Q176" s="53" t="s">
        <v>145</v>
      </c>
      <c r="R176" s="50" t="e">
        <f t="shared" si="16"/>
        <v>#DIV/0!</v>
      </c>
      <c r="S176" s="119">
        <v>0.01</v>
      </c>
      <c r="T176" s="54">
        <v>0.01</v>
      </c>
      <c r="U176" s="54">
        <v>0</v>
      </c>
      <c r="V176" s="55" t="e">
        <v>#DIV/0!</v>
      </c>
      <c r="W176" s="55" t="e">
        <v>#DIV/0!</v>
      </c>
      <c r="X176" s="55" t="e">
        <v>#DIV/0!</v>
      </c>
      <c r="Y176" s="55" t="e">
        <v>#DIV/0!</v>
      </c>
      <c r="Z176" s="55" t="e">
        <v>#DIV/0!</v>
      </c>
      <c r="AA176" s="55" t="e">
        <v>#DIV/0!</v>
      </c>
      <c r="AB176" s="56" t="e">
        <f t="shared" si="20"/>
        <v>#DIV/0!</v>
      </c>
      <c r="AC176" s="56" t="e">
        <f t="shared" si="20"/>
        <v>#DIV/0!</v>
      </c>
      <c r="AD176" s="56" t="e">
        <f t="shared" si="20"/>
        <v>#DIV/0!</v>
      </c>
      <c r="AE176" s="57" t="e">
        <f t="shared" si="17"/>
        <v>#DIV/0!</v>
      </c>
      <c r="AF176" s="57" t="e">
        <v>#DIV/0!</v>
      </c>
      <c r="AG176" s="57" t="e">
        <f t="shared" si="18"/>
        <v>#DIV/0!</v>
      </c>
      <c r="AH176" s="57" t="e">
        <v>#DIV/0!</v>
      </c>
      <c r="AI176" s="57" t="e">
        <f t="shared" si="19"/>
        <v>#DIV/0!</v>
      </c>
      <c r="AJ176" s="57" t="e">
        <v>#DIV/0!</v>
      </c>
    </row>
    <row r="177" spans="1:36" ht="15.75">
      <c r="A177" s="48">
        <v>4000</v>
      </c>
      <c r="B177" s="48">
        <v>5000</v>
      </c>
      <c r="C177" s="49"/>
      <c r="D177" s="49"/>
      <c r="E177" s="49"/>
      <c r="F177" s="49"/>
      <c r="G177" s="49"/>
      <c r="H177" s="59"/>
      <c r="I177" s="50" t="e">
        <v>#DIV/0!</v>
      </c>
      <c r="J177" s="50" t="e">
        <v>#DIV/0!</v>
      </c>
      <c r="K177" s="50"/>
      <c r="L177" s="50" t="e">
        <v>#DIV/0!</v>
      </c>
      <c r="M177" s="50" t="e">
        <v>#DIV/0!</v>
      </c>
      <c r="N177" s="55"/>
      <c r="O177" s="120"/>
      <c r="P177" s="108" t="str">
        <f t="shared" si="14"/>
        <v>(4000, 5000]</v>
      </c>
      <c r="Q177" s="53" t="s">
        <v>145</v>
      </c>
      <c r="R177" s="50" t="e">
        <f t="shared" si="16"/>
        <v>#DIV/0!</v>
      </c>
      <c r="S177" s="119">
        <v>0</v>
      </c>
      <c r="T177" s="54">
        <v>0.01</v>
      </c>
      <c r="U177" s="54">
        <v>0</v>
      </c>
      <c r="V177" s="55" t="e">
        <v>#DIV/0!</v>
      </c>
      <c r="W177" s="55" t="e">
        <v>#DIV/0!</v>
      </c>
      <c r="X177" s="55" t="e">
        <v>#DIV/0!</v>
      </c>
      <c r="Y177" s="55" t="e">
        <v>#DIV/0!</v>
      </c>
      <c r="Z177" s="55" t="e">
        <v>#DIV/0!</v>
      </c>
      <c r="AA177" s="55" t="e">
        <v>#DIV/0!</v>
      </c>
      <c r="AB177" s="56" t="e">
        <f t="shared" si="20"/>
        <v>#DIV/0!</v>
      </c>
      <c r="AC177" s="56" t="e">
        <f t="shared" si="20"/>
        <v>#DIV/0!</v>
      </c>
      <c r="AD177" s="56" t="e">
        <f t="shared" si="20"/>
        <v>#DIV/0!</v>
      </c>
      <c r="AE177" s="57" t="e">
        <f t="shared" si="17"/>
        <v>#DIV/0!</v>
      </c>
      <c r="AF177" s="57" t="e">
        <v>#DIV/0!</v>
      </c>
      <c r="AG177" s="57" t="e">
        <f t="shared" si="18"/>
        <v>#DIV/0!</v>
      </c>
      <c r="AH177" s="57" t="e">
        <v>#DIV/0!</v>
      </c>
      <c r="AI177" s="57" t="e">
        <f t="shared" si="19"/>
        <v>#DIV/0!</v>
      </c>
      <c r="AJ177" s="57" t="e">
        <v>#DIV/0!</v>
      </c>
    </row>
    <row r="178" spans="1:36" ht="15.75">
      <c r="A178" s="48">
        <v>5000</v>
      </c>
      <c r="B178" s="48">
        <v>6000</v>
      </c>
      <c r="C178" s="49"/>
      <c r="D178" s="49"/>
      <c r="E178" s="49"/>
      <c r="F178" s="49"/>
      <c r="G178" s="49"/>
      <c r="H178" s="59"/>
      <c r="I178" s="50" t="e">
        <v>#DIV/0!</v>
      </c>
      <c r="J178" s="50" t="e">
        <v>#DIV/0!</v>
      </c>
      <c r="K178" s="50"/>
      <c r="L178" s="50" t="e">
        <v>#DIV/0!</v>
      </c>
      <c r="M178" s="50" t="e">
        <v>#DIV/0!</v>
      </c>
      <c r="N178" s="55"/>
      <c r="O178" s="120"/>
      <c r="P178" s="108" t="str">
        <f t="shared" si="14"/>
        <v>(5000, 6000]</v>
      </c>
      <c r="Q178" s="53" t="s">
        <v>145</v>
      </c>
      <c r="R178" s="50" t="e">
        <f t="shared" si="16"/>
        <v>#DIV/0!</v>
      </c>
      <c r="S178" s="119">
        <v>0</v>
      </c>
      <c r="T178" s="54">
        <v>0</v>
      </c>
      <c r="U178" s="54">
        <v>0</v>
      </c>
      <c r="V178" s="55" t="e">
        <v>#DIV/0!</v>
      </c>
      <c r="W178" s="55" t="e">
        <v>#DIV/0!</v>
      </c>
      <c r="X178" s="55" t="e">
        <v>#DIV/0!</v>
      </c>
      <c r="Y178" s="55" t="e">
        <v>#DIV/0!</v>
      </c>
      <c r="Z178" s="55" t="e">
        <v>#DIV/0!</v>
      </c>
      <c r="AA178" s="55" t="e">
        <v>#DIV/0!</v>
      </c>
      <c r="AB178" s="56" t="e">
        <f t="shared" si="20"/>
        <v>#DIV/0!</v>
      </c>
      <c r="AC178" s="56" t="e">
        <f t="shared" si="20"/>
        <v>#DIV/0!</v>
      </c>
      <c r="AD178" s="56" t="e">
        <f t="shared" si="20"/>
        <v>#DIV/0!</v>
      </c>
      <c r="AE178" s="57" t="e">
        <f t="shared" si="17"/>
        <v>#DIV/0!</v>
      </c>
      <c r="AF178" s="57" t="e">
        <v>#DIV/0!</v>
      </c>
      <c r="AG178" s="57" t="e">
        <f t="shared" si="18"/>
        <v>#DIV/0!</v>
      </c>
      <c r="AH178" s="57" t="e">
        <v>#DIV/0!</v>
      </c>
      <c r="AI178" s="57" t="e">
        <f t="shared" si="19"/>
        <v>#DIV/0!</v>
      </c>
      <c r="AJ178" s="57" t="e">
        <v>#DIV/0!</v>
      </c>
    </row>
    <row r="179" spans="1:36" ht="15.75">
      <c r="A179" s="48">
        <v>6000</v>
      </c>
      <c r="B179" s="48">
        <v>7000</v>
      </c>
      <c r="C179" s="49"/>
      <c r="D179" s="49"/>
      <c r="E179" s="49"/>
      <c r="F179" s="49"/>
      <c r="G179" s="49"/>
      <c r="H179" s="59"/>
      <c r="I179" s="50" t="e">
        <v>#DIV/0!</v>
      </c>
      <c r="J179" s="50" t="e">
        <v>#DIV/0!</v>
      </c>
      <c r="K179" s="50"/>
      <c r="L179" s="50" t="e">
        <v>#DIV/0!</v>
      </c>
      <c r="M179" s="50" t="e">
        <v>#DIV/0!</v>
      </c>
      <c r="N179" s="55"/>
      <c r="O179" s="120"/>
      <c r="P179" s="108" t="str">
        <f t="shared" si="14"/>
        <v>(6000, 7000]</v>
      </c>
      <c r="Q179" s="53" t="s">
        <v>145</v>
      </c>
      <c r="R179" s="50" t="e">
        <f t="shared" si="16"/>
        <v>#DIV/0!</v>
      </c>
      <c r="S179" s="119">
        <v>0</v>
      </c>
      <c r="T179" s="54">
        <v>0</v>
      </c>
      <c r="U179" s="54">
        <v>0</v>
      </c>
      <c r="V179" s="55" t="e">
        <v>#DIV/0!</v>
      </c>
      <c r="W179" s="55" t="e">
        <v>#DIV/0!</v>
      </c>
      <c r="X179" s="55" t="e">
        <v>#DIV/0!</v>
      </c>
      <c r="Y179" s="55" t="e">
        <v>#DIV/0!</v>
      </c>
      <c r="Z179" s="55" t="e">
        <v>#DIV/0!</v>
      </c>
      <c r="AA179" s="55" t="e">
        <v>#DIV/0!</v>
      </c>
      <c r="AB179" s="56" t="e">
        <f t="shared" si="20"/>
        <v>#DIV/0!</v>
      </c>
      <c r="AC179" s="56" t="e">
        <f t="shared" si="20"/>
        <v>#DIV/0!</v>
      </c>
      <c r="AD179" s="56" t="e">
        <f t="shared" si="20"/>
        <v>#DIV/0!</v>
      </c>
      <c r="AE179" s="57" t="e">
        <f t="shared" si="17"/>
        <v>#DIV/0!</v>
      </c>
      <c r="AF179" s="57" t="e">
        <v>#DIV/0!</v>
      </c>
      <c r="AG179" s="57" t="e">
        <f t="shared" si="18"/>
        <v>#DIV/0!</v>
      </c>
      <c r="AH179" s="57" t="e">
        <v>#DIV/0!</v>
      </c>
      <c r="AI179" s="57" t="e">
        <f t="shared" si="19"/>
        <v>#DIV/0!</v>
      </c>
      <c r="AJ179" s="57" t="e">
        <v>#DIV/0!</v>
      </c>
    </row>
    <row r="180" spans="1:36" ht="15.75">
      <c r="A180" s="48">
        <v>7000</v>
      </c>
      <c r="B180" s="48">
        <v>8000</v>
      </c>
      <c r="C180" s="49"/>
      <c r="D180" s="49"/>
      <c r="E180" s="49"/>
      <c r="F180" s="49"/>
      <c r="G180" s="49"/>
      <c r="H180" s="59"/>
      <c r="I180" s="50" t="e">
        <v>#DIV/0!</v>
      </c>
      <c r="J180" s="50" t="e">
        <v>#DIV/0!</v>
      </c>
      <c r="K180" s="50"/>
      <c r="L180" s="50" t="e">
        <v>#DIV/0!</v>
      </c>
      <c r="M180" s="50" t="e">
        <v>#DIV/0!</v>
      </c>
      <c r="N180" s="55"/>
      <c r="O180" s="120"/>
      <c r="P180" s="108" t="str">
        <f t="shared" si="14"/>
        <v>(7000, 8000]</v>
      </c>
      <c r="Q180" s="53" t="s">
        <v>145</v>
      </c>
      <c r="R180" s="50" t="e">
        <f t="shared" si="16"/>
        <v>#DIV/0!</v>
      </c>
      <c r="S180" s="119">
        <v>0</v>
      </c>
      <c r="T180" s="54">
        <v>0</v>
      </c>
      <c r="U180" s="54">
        <v>0</v>
      </c>
      <c r="V180" s="55" t="e">
        <v>#DIV/0!</v>
      </c>
      <c r="W180" s="55" t="e">
        <v>#DIV/0!</v>
      </c>
      <c r="X180" s="55" t="e">
        <v>#DIV/0!</v>
      </c>
      <c r="Y180" s="55" t="e">
        <v>#DIV/0!</v>
      </c>
      <c r="Z180" s="55" t="e">
        <v>#DIV/0!</v>
      </c>
      <c r="AA180" s="55" t="e">
        <v>#DIV/0!</v>
      </c>
      <c r="AB180" s="56" t="e">
        <f t="shared" si="20"/>
        <v>#DIV/0!</v>
      </c>
      <c r="AC180" s="56" t="e">
        <f t="shared" si="20"/>
        <v>#DIV/0!</v>
      </c>
      <c r="AD180" s="56" t="e">
        <f t="shared" si="20"/>
        <v>#DIV/0!</v>
      </c>
      <c r="AE180" s="57" t="e">
        <f t="shared" si="17"/>
        <v>#DIV/0!</v>
      </c>
      <c r="AF180" s="57" t="e">
        <v>#DIV/0!</v>
      </c>
      <c r="AG180" s="57" t="e">
        <f t="shared" si="18"/>
        <v>#DIV/0!</v>
      </c>
      <c r="AH180" s="57" t="e">
        <v>#DIV/0!</v>
      </c>
      <c r="AI180" s="57" t="e">
        <f t="shared" si="19"/>
        <v>#DIV/0!</v>
      </c>
      <c r="AJ180" s="57" t="e">
        <v>#DIV/0!</v>
      </c>
    </row>
    <row r="181" spans="1:36" ht="15.75">
      <c r="A181" s="48"/>
      <c r="B181" s="48"/>
      <c r="C181" s="49"/>
      <c r="D181" s="49"/>
      <c r="E181" s="49"/>
      <c r="F181" s="49"/>
      <c r="G181" s="49"/>
      <c r="H181" s="59"/>
      <c r="I181" s="50" t="e">
        <v>#DIV/0!</v>
      </c>
      <c r="J181" s="50" t="e">
        <v>#DIV/0!</v>
      </c>
      <c r="K181" s="50"/>
      <c r="L181" s="50" t="e">
        <v>#DIV/0!</v>
      </c>
      <c r="M181" s="50" t="e">
        <v>#DIV/0!</v>
      </c>
      <c r="N181" s="55"/>
      <c r="O181" s="120"/>
      <c r="P181" s="108" t="str">
        <f t="shared" si="14"/>
        <v>(, ]</v>
      </c>
      <c r="Q181" s="53" t="s">
        <v>145</v>
      </c>
      <c r="R181" s="50" t="e">
        <f t="shared" si="16"/>
        <v>#DIV/0!</v>
      </c>
      <c r="S181" s="119">
        <v>0</v>
      </c>
      <c r="T181" s="54">
        <v>0</v>
      </c>
      <c r="U181" s="54">
        <v>0</v>
      </c>
      <c r="V181" s="55" t="e">
        <v>#DIV/0!</v>
      </c>
      <c r="W181" s="55" t="e">
        <v>#DIV/0!</v>
      </c>
      <c r="X181" s="55" t="e">
        <v>#DIV/0!</v>
      </c>
      <c r="Y181" s="55" t="e">
        <v>#DIV/0!</v>
      </c>
      <c r="Z181" s="55" t="e">
        <v>#DIV/0!</v>
      </c>
      <c r="AA181" s="55" t="e">
        <v>#DIV/0!</v>
      </c>
      <c r="AB181" s="56" t="e">
        <f t="shared" si="20"/>
        <v>#DIV/0!</v>
      </c>
      <c r="AC181" s="56" t="e">
        <f t="shared" si="20"/>
        <v>#DIV/0!</v>
      </c>
      <c r="AD181" s="56" t="e">
        <f t="shared" si="20"/>
        <v>#DIV/0!</v>
      </c>
      <c r="AE181" s="57" t="e">
        <f t="shared" si="17"/>
        <v>#DIV/0!</v>
      </c>
      <c r="AF181" s="57" t="e">
        <v>#DIV/0!</v>
      </c>
      <c r="AG181" s="57" t="e">
        <f t="shared" si="18"/>
        <v>#DIV/0!</v>
      </c>
      <c r="AH181" s="57" t="e">
        <v>#DIV/0!</v>
      </c>
      <c r="AI181" s="57" t="e">
        <f t="shared" si="19"/>
        <v>#DIV/0!</v>
      </c>
      <c r="AJ181" s="57" t="e">
        <v>#DIV/0!</v>
      </c>
    </row>
    <row r="182" spans="1:36" ht="15.75">
      <c r="A182" s="48"/>
      <c r="B182" s="48"/>
      <c r="C182" s="49"/>
      <c r="D182" s="49"/>
      <c r="E182" s="49"/>
      <c r="F182" s="49"/>
      <c r="G182" s="49"/>
      <c r="H182" s="59"/>
      <c r="I182" s="50" t="e">
        <v>#DIV/0!</v>
      </c>
      <c r="J182" s="50" t="e">
        <v>#DIV/0!</v>
      </c>
      <c r="K182" s="50"/>
      <c r="L182" s="50" t="e">
        <v>#DIV/0!</v>
      </c>
      <c r="M182" s="50" t="e">
        <v>#DIV/0!</v>
      </c>
      <c r="N182" s="55"/>
      <c r="O182" s="120"/>
      <c r="P182" s="108" t="str">
        <f t="shared" si="14"/>
        <v>(, ]</v>
      </c>
      <c r="Q182" s="53" t="s">
        <v>145</v>
      </c>
      <c r="R182" s="50" t="e">
        <f t="shared" si="16"/>
        <v>#DIV/0!</v>
      </c>
      <c r="S182" s="119">
        <v>0</v>
      </c>
      <c r="T182" s="54">
        <v>0</v>
      </c>
      <c r="U182" s="54">
        <v>0</v>
      </c>
      <c r="V182" s="55" t="e">
        <v>#DIV/0!</v>
      </c>
      <c r="W182" s="55" t="e">
        <v>#DIV/0!</v>
      </c>
      <c r="X182" s="55" t="e">
        <v>#DIV/0!</v>
      </c>
      <c r="Y182" s="55" t="e">
        <v>#DIV/0!</v>
      </c>
      <c r="Z182" s="55" t="e">
        <v>#DIV/0!</v>
      </c>
      <c r="AA182" s="55" t="e">
        <v>#DIV/0!</v>
      </c>
      <c r="AB182" s="56" t="e">
        <f t="shared" si="20"/>
        <v>#DIV/0!</v>
      </c>
      <c r="AC182" s="56" t="e">
        <f t="shared" si="20"/>
        <v>#DIV/0!</v>
      </c>
      <c r="AD182" s="56" t="e">
        <f t="shared" si="20"/>
        <v>#DIV/0!</v>
      </c>
      <c r="AE182" s="57" t="e">
        <f t="shared" si="17"/>
        <v>#DIV/0!</v>
      </c>
      <c r="AF182" s="57" t="e">
        <v>#DIV/0!</v>
      </c>
      <c r="AG182" s="57" t="e">
        <f t="shared" si="18"/>
        <v>#DIV/0!</v>
      </c>
      <c r="AH182" s="57" t="e">
        <v>#DIV/0!</v>
      </c>
      <c r="AI182" s="57" t="e">
        <f t="shared" si="19"/>
        <v>#DIV/0!</v>
      </c>
      <c r="AJ182" s="57" t="e">
        <v>#DIV/0!</v>
      </c>
    </row>
    <row r="183" spans="1:36" ht="15.75">
      <c r="A183" s="48"/>
      <c r="B183" s="48"/>
      <c r="C183" s="49"/>
      <c r="D183" s="49"/>
      <c r="E183" s="49"/>
      <c r="F183" s="49"/>
      <c r="G183" s="49"/>
      <c r="H183" s="59"/>
      <c r="I183" s="50" t="e">
        <v>#DIV/0!</v>
      </c>
      <c r="J183" s="50" t="e">
        <v>#DIV/0!</v>
      </c>
      <c r="K183" s="50"/>
      <c r="L183" s="50" t="e">
        <v>#DIV/0!</v>
      </c>
      <c r="M183" s="50" t="e">
        <v>#DIV/0!</v>
      </c>
      <c r="N183" s="55"/>
      <c r="O183" s="120"/>
      <c r="P183" s="108" t="str">
        <f t="shared" si="14"/>
        <v>(, ]</v>
      </c>
      <c r="Q183" s="53" t="s">
        <v>145</v>
      </c>
      <c r="R183" s="50" t="e">
        <f t="shared" si="16"/>
        <v>#DIV/0!</v>
      </c>
      <c r="S183" s="119">
        <v>0</v>
      </c>
      <c r="T183" s="54">
        <v>0</v>
      </c>
      <c r="U183" s="54">
        <v>0</v>
      </c>
      <c r="V183" s="55" t="e">
        <v>#DIV/0!</v>
      </c>
      <c r="W183" s="55" t="e">
        <v>#DIV/0!</v>
      </c>
      <c r="X183" s="55" t="e">
        <v>#DIV/0!</v>
      </c>
      <c r="Y183" s="55" t="e">
        <v>#DIV/0!</v>
      </c>
      <c r="Z183" s="55" t="e">
        <v>#DIV/0!</v>
      </c>
      <c r="AA183" s="55" t="e">
        <v>#DIV/0!</v>
      </c>
      <c r="AB183" s="56" t="e">
        <f t="shared" si="20"/>
        <v>#DIV/0!</v>
      </c>
      <c r="AC183" s="56" t="e">
        <f t="shared" si="20"/>
        <v>#DIV/0!</v>
      </c>
      <c r="AD183" s="56" t="e">
        <f t="shared" si="20"/>
        <v>#DIV/0!</v>
      </c>
      <c r="AE183" s="57" t="e">
        <f t="shared" si="17"/>
        <v>#DIV/0!</v>
      </c>
      <c r="AF183" s="57" t="e">
        <v>#DIV/0!</v>
      </c>
      <c r="AG183" s="57" t="e">
        <f t="shared" si="18"/>
        <v>#DIV/0!</v>
      </c>
      <c r="AH183" s="57" t="e">
        <v>#DIV/0!</v>
      </c>
      <c r="AI183" s="57" t="e">
        <f t="shared" si="19"/>
        <v>#DIV/0!</v>
      </c>
      <c r="AJ183" s="57" t="e">
        <v>#DIV/0!</v>
      </c>
    </row>
    <row r="184" spans="1:36" ht="15.75">
      <c r="A184" s="48"/>
      <c r="B184" s="48"/>
      <c r="C184" s="49"/>
      <c r="D184" s="49"/>
      <c r="E184" s="49"/>
      <c r="F184" s="49"/>
      <c r="G184" s="49"/>
      <c r="H184" s="59"/>
      <c r="I184" s="50" t="e">
        <v>#DIV/0!</v>
      </c>
      <c r="J184" s="50" t="e">
        <v>#DIV/0!</v>
      </c>
      <c r="K184" s="50"/>
      <c r="L184" s="50" t="e">
        <v>#DIV/0!</v>
      </c>
      <c r="M184" s="50" t="e">
        <v>#DIV/0!</v>
      </c>
      <c r="N184" s="55"/>
      <c r="O184" s="120"/>
      <c r="P184" s="108" t="str">
        <f t="shared" si="14"/>
        <v>(, ]</v>
      </c>
      <c r="Q184" s="53" t="s">
        <v>145</v>
      </c>
      <c r="R184" s="50" t="e">
        <f t="shared" si="16"/>
        <v>#DIV/0!</v>
      </c>
      <c r="S184" s="119">
        <v>0</v>
      </c>
      <c r="T184" s="54">
        <v>0</v>
      </c>
      <c r="U184" s="54">
        <v>0</v>
      </c>
      <c r="V184" s="55" t="e">
        <v>#DIV/0!</v>
      </c>
      <c r="W184" s="55" t="e">
        <v>#DIV/0!</v>
      </c>
      <c r="X184" s="55" t="e">
        <v>#DIV/0!</v>
      </c>
      <c r="Y184" s="55" t="e">
        <v>#DIV/0!</v>
      </c>
      <c r="Z184" s="55" t="e">
        <v>#DIV/0!</v>
      </c>
      <c r="AA184" s="55" t="e">
        <v>#DIV/0!</v>
      </c>
      <c r="AB184" s="56" t="e">
        <f t="shared" si="20"/>
        <v>#DIV/0!</v>
      </c>
      <c r="AC184" s="56" t="e">
        <f t="shared" si="20"/>
        <v>#DIV/0!</v>
      </c>
      <c r="AD184" s="56" t="e">
        <f t="shared" si="20"/>
        <v>#DIV/0!</v>
      </c>
      <c r="AE184" s="57" t="e">
        <f t="shared" si="17"/>
        <v>#DIV/0!</v>
      </c>
      <c r="AF184" s="57" t="e">
        <v>#DIV/0!</v>
      </c>
      <c r="AG184" s="57" t="e">
        <f t="shared" si="18"/>
        <v>#DIV/0!</v>
      </c>
      <c r="AH184" s="57" t="e">
        <v>#DIV/0!</v>
      </c>
      <c r="AI184" s="57" t="e">
        <f t="shared" si="19"/>
        <v>#DIV/0!</v>
      </c>
      <c r="AJ184" s="57" t="e">
        <v>#DIV/0!</v>
      </c>
    </row>
    <row r="185" spans="1:36" ht="15.75">
      <c r="A185" s="48"/>
      <c r="B185" s="48"/>
      <c r="C185" s="49"/>
      <c r="D185" s="49"/>
      <c r="E185" s="49"/>
      <c r="F185" s="49"/>
      <c r="G185" s="49"/>
      <c r="H185" s="59"/>
      <c r="I185" s="50" t="e">
        <v>#DIV/0!</v>
      </c>
      <c r="J185" s="50" t="e">
        <v>#DIV/0!</v>
      </c>
      <c r="K185" s="50"/>
      <c r="L185" s="50" t="e">
        <v>#DIV/0!</v>
      </c>
      <c r="M185" s="50" t="e">
        <v>#DIV/0!</v>
      </c>
      <c r="N185" s="55"/>
      <c r="O185" s="120"/>
      <c r="P185" s="108" t="str">
        <f t="shared" si="14"/>
        <v>(, ]</v>
      </c>
      <c r="Q185" s="53" t="s">
        <v>145</v>
      </c>
      <c r="R185" s="50" t="e">
        <f t="shared" si="16"/>
        <v>#DIV/0!</v>
      </c>
      <c r="S185" s="119">
        <v>0</v>
      </c>
      <c r="T185" s="54">
        <v>0</v>
      </c>
      <c r="U185" s="54">
        <v>0</v>
      </c>
      <c r="V185" s="55" t="e">
        <v>#DIV/0!</v>
      </c>
      <c r="W185" s="55" t="e">
        <v>#DIV/0!</v>
      </c>
      <c r="X185" s="55" t="e">
        <v>#DIV/0!</v>
      </c>
      <c r="Y185" s="55" t="e">
        <v>#DIV/0!</v>
      </c>
      <c r="Z185" s="55" t="e">
        <v>#DIV/0!</v>
      </c>
      <c r="AA185" s="55" t="e">
        <v>#DIV/0!</v>
      </c>
      <c r="AB185" s="56" t="e">
        <f t="shared" si="20"/>
        <v>#DIV/0!</v>
      </c>
      <c r="AC185" s="56" t="e">
        <f t="shared" si="20"/>
        <v>#DIV/0!</v>
      </c>
      <c r="AD185" s="56" t="e">
        <f t="shared" si="20"/>
        <v>#DIV/0!</v>
      </c>
      <c r="AE185" s="57" t="e">
        <f t="shared" si="17"/>
        <v>#DIV/0!</v>
      </c>
      <c r="AF185" s="57" t="e">
        <v>#DIV/0!</v>
      </c>
      <c r="AG185" s="57" t="e">
        <f t="shared" si="18"/>
        <v>#DIV/0!</v>
      </c>
      <c r="AH185" s="57" t="e">
        <v>#DIV/0!</v>
      </c>
      <c r="AI185" s="57" t="e">
        <f t="shared" si="19"/>
        <v>#DIV/0!</v>
      </c>
      <c r="AJ185" s="57" t="e">
        <v>#DIV/0!</v>
      </c>
    </row>
    <row r="186" spans="1:36" ht="15.75">
      <c r="A186" s="48"/>
      <c r="B186" s="48"/>
      <c r="C186" s="49"/>
      <c r="D186" s="49"/>
      <c r="E186" s="49"/>
      <c r="F186" s="49"/>
      <c r="G186" s="49"/>
      <c r="H186" s="59"/>
      <c r="I186" s="50" t="e">
        <v>#DIV/0!</v>
      </c>
      <c r="J186" s="50" t="e">
        <v>#DIV/0!</v>
      </c>
      <c r="K186" s="50"/>
      <c r="L186" s="50" t="e">
        <v>#DIV/0!</v>
      </c>
      <c r="M186" s="50" t="e">
        <v>#DIV/0!</v>
      </c>
      <c r="N186" s="55"/>
      <c r="O186" s="120"/>
      <c r="P186" s="108" t="str">
        <f t="shared" si="14"/>
        <v>(, ]</v>
      </c>
      <c r="Q186" s="53" t="s">
        <v>145</v>
      </c>
      <c r="R186" s="50" t="e">
        <f t="shared" si="16"/>
        <v>#DIV/0!</v>
      </c>
      <c r="S186" s="119">
        <v>0</v>
      </c>
      <c r="T186" s="54">
        <v>0</v>
      </c>
      <c r="U186" s="54">
        <v>0</v>
      </c>
      <c r="V186" s="55" t="e">
        <v>#DIV/0!</v>
      </c>
      <c r="W186" s="55" t="e">
        <v>#DIV/0!</v>
      </c>
      <c r="X186" s="55" t="e">
        <v>#DIV/0!</v>
      </c>
      <c r="Y186" s="55" t="e">
        <v>#DIV/0!</v>
      </c>
      <c r="Z186" s="55" t="e">
        <v>#DIV/0!</v>
      </c>
      <c r="AA186" s="55" t="e">
        <v>#DIV/0!</v>
      </c>
      <c r="AB186" s="56" t="e">
        <f t="shared" si="20"/>
        <v>#DIV/0!</v>
      </c>
      <c r="AC186" s="56" t="e">
        <f t="shared" si="20"/>
        <v>#DIV/0!</v>
      </c>
      <c r="AD186" s="56" t="e">
        <f t="shared" si="20"/>
        <v>#DIV/0!</v>
      </c>
      <c r="AE186" s="57" t="e">
        <f t="shared" si="17"/>
        <v>#DIV/0!</v>
      </c>
      <c r="AF186" s="57" t="e">
        <v>#DIV/0!</v>
      </c>
      <c r="AG186" s="57" t="e">
        <f t="shared" si="18"/>
        <v>#DIV/0!</v>
      </c>
      <c r="AH186" s="57" t="e">
        <v>#DIV/0!</v>
      </c>
      <c r="AI186" s="57" t="e">
        <f t="shared" si="19"/>
        <v>#DIV/0!</v>
      </c>
      <c r="AJ186" s="57" t="e">
        <v>#DIV/0!</v>
      </c>
    </row>
    <row r="187" spans="1:36" ht="15.75">
      <c r="A187" s="48"/>
      <c r="B187" s="48"/>
      <c r="C187" s="49"/>
      <c r="D187" s="49"/>
      <c r="E187" s="49"/>
      <c r="F187" s="49"/>
      <c r="G187" s="49"/>
      <c r="H187" s="59"/>
      <c r="I187" s="50" t="e">
        <v>#DIV/0!</v>
      </c>
      <c r="J187" s="50" t="e">
        <v>#DIV/0!</v>
      </c>
      <c r="K187" s="50"/>
      <c r="L187" s="48" t="e">
        <v>#DIV/0!</v>
      </c>
      <c r="M187" s="48" t="e">
        <v>#DIV/0!</v>
      </c>
      <c r="N187" s="55"/>
      <c r="O187" s="63"/>
      <c r="P187" s="108" t="str">
        <f t="shared" si="14"/>
        <v>(, ]</v>
      </c>
      <c r="Q187" s="53" t="s">
        <v>145</v>
      </c>
      <c r="R187" s="50" t="e">
        <f t="shared" si="16"/>
        <v>#DIV/0!</v>
      </c>
      <c r="S187" s="119">
        <v>0</v>
      </c>
      <c r="T187" s="54">
        <v>0</v>
      </c>
      <c r="U187" s="54">
        <v>0</v>
      </c>
      <c r="V187" s="55" t="e">
        <v>#DIV/0!</v>
      </c>
      <c r="W187" s="55" t="e">
        <v>#DIV/0!</v>
      </c>
      <c r="X187" s="55" t="e">
        <v>#DIV/0!</v>
      </c>
      <c r="Y187" s="55" t="e">
        <v>#DIV/0!</v>
      </c>
      <c r="Z187" s="55" t="e">
        <v>#DIV/0!</v>
      </c>
      <c r="AA187" s="55" t="e">
        <v>#DIV/0!</v>
      </c>
      <c r="AB187" s="56" t="e">
        <f t="shared" si="20"/>
        <v>#DIV/0!</v>
      </c>
      <c r="AC187" s="56" t="e">
        <f t="shared" si="20"/>
        <v>#DIV/0!</v>
      </c>
      <c r="AD187" s="56" t="e">
        <f t="shared" si="20"/>
        <v>#DIV/0!</v>
      </c>
      <c r="AE187" s="57" t="e">
        <f t="shared" si="17"/>
        <v>#DIV/0!</v>
      </c>
      <c r="AF187" s="57" t="e">
        <v>#DIV/0!</v>
      </c>
      <c r="AG187" s="57" t="e">
        <f t="shared" si="18"/>
        <v>#DIV/0!</v>
      </c>
      <c r="AH187" s="57" t="e">
        <v>#DIV/0!</v>
      </c>
      <c r="AI187" s="57" t="e">
        <f t="shared" si="19"/>
        <v>#DIV/0!</v>
      </c>
      <c r="AJ187" s="57" t="e">
        <v>#DIV/0!</v>
      </c>
    </row>
    <row r="188" spans="1:36" ht="15.75">
      <c r="A188" s="17"/>
      <c r="B188" s="17"/>
      <c r="C188" s="121"/>
      <c r="D188" s="121"/>
      <c r="E188" s="121"/>
      <c r="F188" s="121"/>
      <c r="G188" s="121"/>
      <c r="H188" s="122"/>
      <c r="I188" s="123"/>
      <c r="J188" s="123"/>
      <c r="K188" s="123"/>
      <c r="L188" s="17"/>
      <c r="M188" s="17"/>
      <c r="N188" s="123"/>
      <c r="O188" s="17"/>
      <c r="P188" s="18"/>
      <c r="Q188" s="124"/>
      <c r="R188" s="123"/>
      <c r="S188" s="125"/>
      <c r="T188" s="125"/>
      <c r="U188" s="125"/>
      <c r="V188" s="123"/>
      <c r="W188" s="123"/>
      <c r="X188" s="123"/>
      <c r="Y188" s="123"/>
      <c r="Z188" s="123"/>
      <c r="AA188" s="123"/>
      <c r="AB188" s="126"/>
      <c r="AC188" s="126"/>
      <c r="AD188" s="126"/>
      <c r="AE188" s="123"/>
      <c r="AF188" s="123"/>
      <c r="AG188" s="123"/>
      <c r="AH188" s="123"/>
      <c r="AI188" s="123"/>
      <c r="AJ188" s="123"/>
    </row>
    <row r="189" spans="1:36">
      <c r="AF189" s="112" t="s">
        <v>153</v>
      </c>
      <c r="AG189" s="17"/>
      <c r="AH189" s="112" t="s">
        <v>122</v>
      </c>
      <c r="AI189" s="17"/>
      <c r="AJ189" s="112" t="s">
        <v>148</v>
      </c>
    </row>
    <row r="190" spans="1:36">
      <c r="A190" s="214" t="s">
        <v>60</v>
      </c>
      <c r="B190" s="214" t="s">
        <v>61</v>
      </c>
      <c r="C190" s="205" t="s">
        <v>62</v>
      </c>
      <c r="D190" s="206"/>
      <c r="E190" s="207"/>
      <c r="F190" s="205" t="s">
        <v>63</v>
      </c>
      <c r="G190" s="206"/>
      <c r="H190" s="207"/>
      <c r="I190" s="205" t="s">
        <v>64</v>
      </c>
      <c r="J190" s="206"/>
      <c r="K190" s="207"/>
      <c r="L190" s="205" t="s">
        <v>65</v>
      </c>
      <c r="M190" s="206"/>
      <c r="N190" s="207"/>
      <c r="O190" s="17"/>
      <c r="P190" s="204" t="s">
        <v>66</v>
      </c>
      <c r="Q190" s="205" t="s">
        <v>154</v>
      </c>
      <c r="R190" s="206"/>
      <c r="S190" s="206"/>
      <c r="T190" s="206"/>
      <c r="U190" s="206"/>
      <c r="V190" s="206"/>
      <c r="W190" s="206"/>
      <c r="X190" s="207"/>
      <c r="Y190" s="211" t="s">
        <v>68</v>
      </c>
      <c r="Z190" s="212"/>
      <c r="AA190" s="213"/>
      <c r="AB190" s="208">
        <f>10^9</f>
        <v>1000000000</v>
      </c>
      <c r="AC190" s="209"/>
      <c r="AD190" s="210"/>
      <c r="AE190" s="46" t="s">
        <v>150</v>
      </c>
      <c r="AF190" s="47" t="e">
        <f>SUM(AE192:AE250)</f>
        <v>#DIV/0!</v>
      </c>
      <c r="AG190" s="46" t="s">
        <v>151</v>
      </c>
      <c r="AH190" s="47" t="e">
        <f>SUM(AG192:AG250)</f>
        <v>#DIV/0!</v>
      </c>
      <c r="AI190" s="46" t="s">
        <v>152</v>
      </c>
      <c r="AJ190" s="47" t="e">
        <f>SUM(AI192:AI250)</f>
        <v>#DIV/0!</v>
      </c>
    </row>
    <row r="191" spans="1:36">
      <c r="A191" s="215"/>
      <c r="B191" s="215"/>
      <c r="C191" s="109" t="s">
        <v>155</v>
      </c>
      <c r="D191" s="109" t="s">
        <v>156</v>
      </c>
      <c r="E191" s="109" t="s">
        <v>157</v>
      </c>
      <c r="F191" s="109" t="s">
        <v>155</v>
      </c>
      <c r="G191" s="109" t="s">
        <v>156</v>
      </c>
      <c r="H191" s="109" t="s">
        <v>157</v>
      </c>
      <c r="I191" s="109" t="s">
        <v>155</v>
      </c>
      <c r="J191" s="109" t="s">
        <v>156</v>
      </c>
      <c r="K191" s="109" t="s">
        <v>157</v>
      </c>
      <c r="L191" s="109" t="s">
        <v>155</v>
      </c>
      <c r="M191" s="109" t="s">
        <v>156</v>
      </c>
      <c r="N191" s="109" t="s">
        <v>157</v>
      </c>
      <c r="O191" s="17"/>
      <c r="P191" s="204"/>
      <c r="Q191" s="109" t="s">
        <v>72</v>
      </c>
      <c r="R191" s="109" t="s">
        <v>73</v>
      </c>
      <c r="S191" s="109" t="s">
        <v>127</v>
      </c>
      <c r="T191" s="109" t="s">
        <v>128</v>
      </c>
      <c r="U191" s="109" t="s">
        <v>129</v>
      </c>
      <c r="V191" s="109" t="s">
        <v>130</v>
      </c>
      <c r="W191" s="109" t="s">
        <v>131</v>
      </c>
      <c r="X191" s="109" t="s">
        <v>132</v>
      </c>
      <c r="Y191" s="109" t="s">
        <v>133</v>
      </c>
      <c r="Z191" s="109" t="s">
        <v>134</v>
      </c>
      <c r="AA191" s="109" t="s">
        <v>135</v>
      </c>
      <c r="AB191" s="109" t="s">
        <v>136</v>
      </c>
      <c r="AC191" s="109" t="s">
        <v>137</v>
      </c>
      <c r="AD191" s="109" t="s">
        <v>138</v>
      </c>
      <c r="AE191" s="109" t="s">
        <v>65</v>
      </c>
      <c r="AF191" s="109" t="s">
        <v>74</v>
      </c>
      <c r="AG191" s="109" t="s">
        <v>65</v>
      </c>
      <c r="AH191" s="109" t="s">
        <v>74</v>
      </c>
      <c r="AI191" s="109" t="s">
        <v>65</v>
      </c>
      <c r="AJ191" s="109" t="s">
        <v>74</v>
      </c>
    </row>
    <row r="192" spans="1:36" ht="15.75">
      <c r="A192" s="48">
        <v>-1</v>
      </c>
      <c r="B192" s="48">
        <v>0</v>
      </c>
      <c r="C192" s="49"/>
      <c r="D192" s="49"/>
      <c r="E192" s="49"/>
      <c r="F192" s="49"/>
      <c r="G192" s="49"/>
      <c r="H192" s="59"/>
      <c r="I192" s="50" t="e" cm="1">
        <f t="array" ref="I192:I250">_xlfn.LET(_xlpm.x, C192:C250, _xlpm.x/SUM(_xlpm.x))</f>
        <v>#DIV/0!</v>
      </c>
      <c r="J192" s="50" t="e" cm="1">
        <f t="array" ref="J192:J250">_xlfn.LET(_xlpm.x, D192:D250, _xlpm.x/SUM(_xlpm.x))</f>
        <v>#DIV/0!</v>
      </c>
      <c r="K192" s="50"/>
      <c r="L192" s="51" t="e" cm="1">
        <f t="array" ref="L192:L250">F192:F250/C192:C250/Overview!#REF!/5</f>
        <v>#DIV/0!</v>
      </c>
      <c r="M192" s="51" t="e" cm="1">
        <f t="array" ref="M192:M250">G192:G250/D192:D250/Overview!#REF!/5</f>
        <v>#DIV/0!</v>
      </c>
      <c r="N192" s="55"/>
      <c r="O192" s="118"/>
      <c r="P192" s="108" t="str">
        <f t="shared" ref="P192:P250" si="21">"("&amp;$A192&amp;", "&amp;$B192&amp;"]"</f>
        <v>(-1, 0]</v>
      </c>
      <c r="Q192" s="53" t="s">
        <v>158</v>
      </c>
      <c r="R192" s="50" t="e">
        <f>_xlfn.XLOOKUP(Q192, $I$191:$K$191, I192:K192)</f>
        <v>#DIV/0!</v>
      </c>
      <c r="S192" s="54">
        <v>0</v>
      </c>
      <c r="T192" s="54">
        <v>0</v>
      </c>
      <c r="U192" s="54">
        <v>0</v>
      </c>
      <c r="V192" s="55" t="e" cm="1">
        <f t="array" ref="V192:V250">$R192:$R250*S192:S250</f>
        <v>#DIV/0!</v>
      </c>
      <c r="W192" s="55" t="e" cm="1">
        <f t="array" ref="W192:W250">$R192:$R250*T192:T250</f>
        <v>#DIV/0!</v>
      </c>
      <c r="X192" s="55" t="e" cm="1">
        <f t="array" ref="X192:X250">$R192:$R250*U192:U250</f>
        <v>#DIV/0!</v>
      </c>
      <c r="Y192" s="55" t="e" cm="1">
        <f t="array" ref="Y192:Y250">_xlfn.LET(_xlpm.x,_xlfn.ANCHORARRAY( V192), _xlpm.x/SUM(_xlpm.x))</f>
        <v>#DIV/0!</v>
      </c>
      <c r="Z192" s="55" t="e" cm="1">
        <f t="array" ref="Z192:Z250">_xlfn.LET(_xlpm.x,_xlfn.ANCHORARRAY( W192), _xlpm.x/SUM(_xlpm.x))</f>
        <v>#DIV/0!</v>
      </c>
      <c r="AA192" s="55" t="e" cm="1">
        <f t="array" ref="AA192:AA250">_xlfn.LET(_xlpm.x,_xlfn.ANCHORARRAY( X192), _xlpm.x/SUM(_xlpm.x))</f>
        <v>#DIV/0!</v>
      </c>
      <c r="AB192" s="56" t="e">
        <f t="shared" ref="AB192:AD223" si="22">INT(Y192*$AB$62)</f>
        <v>#DIV/0!</v>
      </c>
      <c r="AC192" s="56" t="e">
        <f t="shared" si="22"/>
        <v>#DIV/0!</v>
      </c>
      <c r="AD192" s="56" t="e">
        <f t="shared" si="22"/>
        <v>#DIV/0!</v>
      </c>
      <c r="AE192" s="57" t="e">
        <f>_xlfn.LET(_xlpm.x, _xlfn.XLOOKUP($Q192, $L$191:$N$191, $L192:$N192), IF(ISERROR(_xlpm.x), 0, _xlpm.x)*AB192/$AB$190)</f>
        <v>#DIV/0!</v>
      </c>
      <c r="AF192" s="57" t="e" cm="1">
        <f t="array" ref="AF192:AF250">_xlfn.LET(_xlpm.x, AB192:AB250, _xlpm.x/SUM(_xlpm.x))</f>
        <v>#DIV/0!</v>
      </c>
      <c r="AG192" s="57" t="e">
        <f>_xlfn.LET(_xlpm.x, _xlfn.XLOOKUP($Q192, $L$191:$N$191, $L192:$N192), IF(ISERROR(_xlpm.x), 0, _xlpm.x)*AC192/$AB$190)</f>
        <v>#DIV/0!</v>
      </c>
      <c r="AH192" s="57" t="e" cm="1">
        <f t="array" ref="AH192:AH250">_xlfn.LET(_xlpm.x, AC192:AC250, _xlpm.x/SUM(_xlpm.x))</f>
        <v>#DIV/0!</v>
      </c>
      <c r="AI192" s="57" t="e">
        <f>_xlfn.LET(_xlpm.x, _xlfn.XLOOKUP($Q192, $L$191:$N$191, $L192:$N192), IF(ISERROR(_xlpm.x), 0, _xlpm.x)*AD192/$AB$190)</f>
        <v>#DIV/0!</v>
      </c>
      <c r="AJ192" s="57" t="e" cm="1">
        <f t="array" ref="AJ192:AJ250">_xlfn.LET(_xlpm.x, AD192:AD250, _xlpm.x/SUM(_xlpm.x))</f>
        <v>#DIV/0!</v>
      </c>
    </row>
    <row r="193" spans="1:36">
      <c r="A193" s="48">
        <v>0</v>
      </c>
      <c r="B193" s="48">
        <v>1</v>
      </c>
      <c r="C193" s="127"/>
      <c r="D193" s="127"/>
      <c r="E193" s="127"/>
      <c r="F193" s="127"/>
      <c r="G193" s="49"/>
      <c r="H193" s="59"/>
      <c r="I193" s="50" t="e">
        <v>#DIV/0!</v>
      </c>
      <c r="J193" s="50" t="e">
        <v>#DIV/0!</v>
      </c>
      <c r="K193" s="50"/>
      <c r="L193" s="51" t="e">
        <v>#DIV/0!</v>
      </c>
      <c r="M193" s="51" t="e">
        <v>#DIV/0!</v>
      </c>
      <c r="N193" s="55"/>
      <c r="O193" s="120"/>
      <c r="P193" s="108" t="str">
        <f t="shared" si="21"/>
        <v>(0, 1]</v>
      </c>
      <c r="Q193" s="53" t="s">
        <v>158</v>
      </c>
      <c r="R193" s="50" t="e">
        <f t="shared" ref="R193:R250" si="23">_xlfn.XLOOKUP(Q193, $I$191:$K$191, I193:K193)</f>
        <v>#DIV/0!</v>
      </c>
      <c r="S193" s="54">
        <v>0</v>
      </c>
      <c r="T193" s="54">
        <v>0</v>
      </c>
      <c r="U193" s="54">
        <v>0</v>
      </c>
      <c r="V193" s="55" t="e">
        <v>#DIV/0!</v>
      </c>
      <c r="W193" s="55" t="e">
        <v>#DIV/0!</v>
      </c>
      <c r="X193" s="55" t="e">
        <v>#DIV/0!</v>
      </c>
      <c r="Y193" s="55" t="e">
        <v>#DIV/0!</v>
      </c>
      <c r="Z193" s="55" t="e">
        <v>#DIV/0!</v>
      </c>
      <c r="AA193" s="55" t="e">
        <v>#DIV/0!</v>
      </c>
      <c r="AB193" s="56" t="e">
        <f t="shared" si="22"/>
        <v>#DIV/0!</v>
      </c>
      <c r="AC193" s="56" t="e">
        <f t="shared" si="22"/>
        <v>#DIV/0!</v>
      </c>
      <c r="AD193" s="56" t="e">
        <f t="shared" si="22"/>
        <v>#DIV/0!</v>
      </c>
      <c r="AE193" s="57" t="e">
        <f t="shared" ref="AE193:AE250" si="24">_xlfn.LET(_xlpm.x, _xlfn.XLOOKUP($Q193, $L$191:$N$191, $L193:$N193), IF(ISERROR(_xlpm.x), 0, _xlpm.x)*AB193/$AB$190)</f>
        <v>#DIV/0!</v>
      </c>
      <c r="AF193" s="57" t="e">
        <v>#DIV/0!</v>
      </c>
      <c r="AG193" s="57" t="e">
        <f t="shared" ref="AG193:AG250" si="25">_xlfn.LET(_xlpm.x, _xlfn.XLOOKUP($Q193, $L$191:$N$191, $L193:$N193), IF(ISERROR(_xlpm.x), 0, _xlpm.x)*AC193/$AB$190)</f>
        <v>#DIV/0!</v>
      </c>
      <c r="AH193" s="57" t="e">
        <v>#DIV/0!</v>
      </c>
      <c r="AI193" s="57" t="e">
        <f t="shared" ref="AI193:AI250" si="26">_xlfn.LET(_xlpm.x, _xlfn.XLOOKUP($Q193, $L$191:$N$191, $L193:$N193), IF(ISERROR(_xlpm.x), 0, _xlpm.x)*AD193/$AB$190)</f>
        <v>#DIV/0!</v>
      </c>
      <c r="AJ193" s="57" t="e">
        <v>#DIV/0!</v>
      </c>
    </row>
    <row r="194" spans="1:36">
      <c r="A194" s="48">
        <v>1</v>
      </c>
      <c r="B194" s="48">
        <v>2</v>
      </c>
      <c r="C194" s="127"/>
      <c r="D194" s="127"/>
      <c r="E194" s="127"/>
      <c r="F194" s="127"/>
      <c r="G194" s="49"/>
      <c r="H194" s="59"/>
      <c r="I194" s="50" t="e">
        <v>#DIV/0!</v>
      </c>
      <c r="J194" s="50" t="e">
        <v>#DIV/0!</v>
      </c>
      <c r="K194" s="50"/>
      <c r="L194" s="51" t="e">
        <v>#DIV/0!</v>
      </c>
      <c r="M194" s="51" t="e">
        <v>#DIV/0!</v>
      </c>
      <c r="N194" s="55"/>
      <c r="O194" s="120"/>
      <c r="P194" s="108" t="str">
        <f t="shared" si="21"/>
        <v>(1, 2]</v>
      </c>
      <c r="Q194" s="53" t="s">
        <v>158</v>
      </c>
      <c r="R194" s="50" t="e">
        <f t="shared" si="23"/>
        <v>#DIV/0!</v>
      </c>
      <c r="S194" s="54">
        <v>0</v>
      </c>
      <c r="T194" s="54">
        <v>0</v>
      </c>
      <c r="U194" s="54">
        <v>0</v>
      </c>
      <c r="V194" s="55" t="e">
        <v>#DIV/0!</v>
      </c>
      <c r="W194" s="55" t="e">
        <v>#DIV/0!</v>
      </c>
      <c r="X194" s="55" t="e">
        <v>#DIV/0!</v>
      </c>
      <c r="Y194" s="55" t="e">
        <v>#DIV/0!</v>
      </c>
      <c r="Z194" s="55" t="e">
        <v>#DIV/0!</v>
      </c>
      <c r="AA194" s="55" t="e">
        <v>#DIV/0!</v>
      </c>
      <c r="AB194" s="56" t="e">
        <f t="shared" si="22"/>
        <v>#DIV/0!</v>
      </c>
      <c r="AC194" s="56" t="e">
        <f t="shared" si="22"/>
        <v>#DIV/0!</v>
      </c>
      <c r="AD194" s="56" t="e">
        <f t="shared" si="22"/>
        <v>#DIV/0!</v>
      </c>
      <c r="AE194" s="57" t="e">
        <f t="shared" si="24"/>
        <v>#DIV/0!</v>
      </c>
      <c r="AF194" s="57" t="e">
        <v>#DIV/0!</v>
      </c>
      <c r="AG194" s="57" t="e">
        <f t="shared" si="25"/>
        <v>#DIV/0!</v>
      </c>
      <c r="AH194" s="57" t="e">
        <v>#DIV/0!</v>
      </c>
      <c r="AI194" s="57" t="e">
        <f t="shared" si="26"/>
        <v>#DIV/0!</v>
      </c>
      <c r="AJ194" s="57" t="e">
        <v>#DIV/0!</v>
      </c>
    </row>
    <row r="195" spans="1:36">
      <c r="A195" s="48">
        <v>2</v>
      </c>
      <c r="B195" s="48">
        <v>3</v>
      </c>
      <c r="C195" s="127"/>
      <c r="D195" s="127"/>
      <c r="E195" s="127"/>
      <c r="F195" s="127"/>
      <c r="G195" s="49"/>
      <c r="H195" s="59"/>
      <c r="I195" s="50" t="e">
        <v>#DIV/0!</v>
      </c>
      <c r="J195" s="50" t="e">
        <v>#DIV/0!</v>
      </c>
      <c r="K195" s="50"/>
      <c r="L195" s="51" t="e">
        <v>#DIV/0!</v>
      </c>
      <c r="M195" s="51" t="e">
        <v>#DIV/0!</v>
      </c>
      <c r="N195" s="55"/>
      <c r="O195" s="120"/>
      <c r="P195" s="108" t="str">
        <f t="shared" si="21"/>
        <v>(2, 3]</v>
      </c>
      <c r="Q195" s="53" t="s">
        <v>158</v>
      </c>
      <c r="R195" s="50" t="e">
        <f t="shared" si="23"/>
        <v>#DIV/0!</v>
      </c>
      <c r="S195" s="54">
        <v>0</v>
      </c>
      <c r="T195" s="54">
        <v>0</v>
      </c>
      <c r="U195" s="54">
        <v>0</v>
      </c>
      <c r="V195" s="55" t="e">
        <v>#DIV/0!</v>
      </c>
      <c r="W195" s="55" t="e">
        <v>#DIV/0!</v>
      </c>
      <c r="X195" s="55" t="e">
        <v>#DIV/0!</v>
      </c>
      <c r="Y195" s="55" t="e">
        <v>#DIV/0!</v>
      </c>
      <c r="Z195" s="55" t="e">
        <v>#DIV/0!</v>
      </c>
      <c r="AA195" s="55" t="e">
        <v>#DIV/0!</v>
      </c>
      <c r="AB195" s="56" t="e">
        <f t="shared" si="22"/>
        <v>#DIV/0!</v>
      </c>
      <c r="AC195" s="56" t="e">
        <f t="shared" si="22"/>
        <v>#DIV/0!</v>
      </c>
      <c r="AD195" s="56" t="e">
        <f t="shared" si="22"/>
        <v>#DIV/0!</v>
      </c>
      <c r="AE195" s="57" t="e">
        <f t="shared" si="24"/>
        <v>#DIV/0!</v>
      </c>
      <c r="AF195" s="57" t="e">
        <v>#DIV/0!</v>
      </c>
      <c r="AG195" s="57" t="e">
        <f t="shared" si="25"/>
        <v>#DIV/0!</v>
      </c>
      <c r="AH195" s="57" t="e">
        <v>#DIV/0!</v>
      </c>
      <c r="AI195" s="57" t="e">
        <f t="shared" si="26"/>
        <v>#DIV/0!</v>
      </c>
      <c r="AJ195" s="57" t="e">
        <v>#DIV/0!</v>
      </c>
    </row>
    <row r="196" spans="1:36">
      <c r="A196" s="48">
        <v>3</v>
      </c>
      <c r="B196" s="48">
        <v>4</v>
      </c>
      <c r="C196" s="127"/>
      <c r="D196" s="127"/>
      <c r="E196" s="127"/>
      <c r="F196" s="127"/>
      <c r="G196" s="49"/>
      <c r="H196" s="59"/>
      <c r="I196" s="50" t="e">
        <v>#DIV/0!</v>
      </c>
      <c r="J196" s="50" t="e">
        <v>#DIV/0!</v>
      </c>
      <c r="K196" s="50"/>
      <c r="L196" s="51" t="e">
        <v>#DIV/0!</v>
      </c>
      <c r="M196" s="51" t="e">
        <v>#DIV/0!</v>
      </c>
      <c r="N196" s="55"/>
      <c r="O196" s="120"/>
      <c r="P196" s="108" t="str">
        <f t="shared" si="21"/>
        <v>(3, 4]</v>
      </c>
      <c r="Q196" s="53" t="s">
        <v>158</v>
      </c>
      <c r="R196" s="50" t="e">
        <f t="shared" si="23"/>
        <v>#DIV/0!</v>
      </c>
      <c r="S196" s="54">
        <v>0</v>
      </c>
      <c r="T196" s="54">
        <v>0</v>
      </c>
      <c r="U196" s="54">
        <v>0</v>
      </c>
      <c r="V196" s="55" t="e">
        <v>#DIV/0!</v>
      </c>
      <c r="W196" s="55" t="e">
        <v>#DIV/0!</v>
      </c>
      <c r="X196" s="55" t="e">
        <v>#DIV/0!</v>
      </c>
      <c r="Y196" s="55" t="e">
        <v>#DIV/0!</v>
      </c>
      <c r="Z196" s="55" t="e">
        <v>#DIV/0!</v>
      </c>
      <c r="AA196" s="55" t="e">
        <v>#DIV/0!</v>
      </c>
      <c r="AB196" s="56" t="e">
        <f t="shared" si="22"/>
        <v>#DIV/0!</v>
      </c>
      <c r="AC196" s="56" t="e">
        <f t="shared" si="22"/>
        <v>#DIV/0!</v>
      </c>
      <c r="AD196" s="56" t="e">
        <f t="shared" si="22"/>
        <v>#DIV/0!</v>
      </c>
      <c r="AE196" s="57" t="e">
        <f t="shared" si="24"/>
        <v>#DIV/0!</v>
      </c>
      <c r="AF196" s="57" t="e">
        <v>#DIV/0!</v>
      </c>
      <c r="AG196" s="57" t="e">
        <f t="shared" si="25"/>
        <v>#DIV/0!</v>
      </c>
      <c r="AH196" s="57" t="e">
        <v>#DIV/0!</v>
      </c>
      <c r="AI196" s="57" t="e">
        <f t="shared" si="26"/>
        <v>#DIV/0!</v>
      </c>
      <c r="AJ196" s="57" t="e">
        <v>#DIV/0!</v>
      </c>
    </row>
    <row r="197" spans="1:36" ht="15.75">
      <c r="A197" s="48">
        <v>4</v>
      </c>
      <c r="B197" s="48">
        <v>5</v>
      </c>
      <c r="C197" s="49"/>
      <c r="D197" s="49"/>
      <c r="E197" s="49"/>
      <c r="F197" s="49"/>
      <c r="G197" s="49"/>
      <c r="H197" s="59"/>
      <c r="I197" s="50" t="e">
        <v>#DIV/0!</v>
      </c>
      <c r="J197" s="50" t="e">
        <v>#DIV/0!</v>
      </c>
      <c r="K197" s="50"/>
      <c r="L197" s="51" t="e">
        <v>#DIV/0!</v>
      </c>
      <c r="M197" s="51" t="e">
        <v>#DIV/0!</v>
      </c>
      <c r="N197" s="55"/>
      <c r="O197" s="120"/>
      <c r="P197" s="108" t="str">
        <f t="shared" si="21"/>
        <v>(4, 5]</v>
      </c>
      <c r="Q197" s="53" t="s">
        <v>158</v>
      </c>
      <c r="R197" s="50" t="e">
        <f t="shared" si="23"/>
        <v>#DIV/0!</v>
      </c>
      <c r="S197" s="54">
        <v>0</v>
      </c>
      <c r="T197" s="54">
        <v>3.0000000000000001E-3</v>
      </c>
      <c r="U197" s="54">
        <v>0</v>
      </c>
      <c r="V197" s="55" t="e">
        <v>#DIV/0!</v>
      </c>
      <c r="W197" s="55" t="e">
        <v>#DIV/0!</v>
      </c>
      <c r="X197" s="55" t="e">
        <v>#DIV/0!</v>
      </c>
      <c r="Y197" s="55" t="e">
        <v>#DIV/0!</v>
      </c>
      <c r="Z197" s="55" t="e">
        <v>#DIV/0!</v>
      </c>
      <c r="AA197" s="55" t="e">
        <v>#DIV/0!</v>
      </c>
      <c r="AB197" s="56" t="e">
        <f t="shared" si="22"/>
        <v>#DIV/0!</v>
      </c>
      <c r="AC197" s="56" t="e">
        <f t="shared" si="22"/>
        <v>#DIV/0!</v>
      </c>
      <c r="AD197" s="56" t="e">
        <f t="shared" si="22"/>
        <v>#DIV/0!</v>
      </c>
      <c r="AE197" s="57" t="e">
        <f t="shared" si="24"/>
        <v>#DIV/0!</v>
      </c>
      <c r="AF197" s="57" t="e">
        <v>#DIV/0!</v>
      </c>
      <c r="AG197" s="57" t="e">
        <f t="shared" si="25"/>
        <v>#DIV/0!</v>
      </c>
      <c r="AH197" s="57" t="e">
        <v>#DIV/0!</v>
      </c>
      <c r="AI197" s="57" t="e">
        <f t="shared" si="26"/>
        <v>#DIV/0!</v>
      </c>
      <c r="AJ197" s="57" t="e">
        <v>#DIV/0!</v>
      </c>
    </row>
    <row r="198" spans="1:36" ht="15.75">
      <c r="A198" s="48">
        <v>5</v>
      </c>
      <c r="B198" s="48">
        <v>6</v>
      </c>
      <c r="C198" s="49"/>
      <c r="D198" s="49"/>
      <c r="E198" s="49"/>
      <c r="F198" s="49"/>
      <c r="G198" s="49"/>
      <c r="H198" s="59"/>
      <c r="I198" s="50" t="e">
        <v>#DIV/0!</v>
      </c>
      <c r="J198" s="50" t="e">
        <v>#DIV/0!</v>
      </c>
      <c r="K198" s="50"/>
      <c r="L198" s="51" t="e">
        <v>#DIV/0!</v>
      </c>
      <c r="M198" s="51" t="e">
        <v>#DIV/0!</v>
      </c>
      <c r="N198" s="55"/>
      <c r="O198" s="120"/>
      <c r="P198" s="108" t="str">
        <f t="shared" si="21"/>
        <v>(5, 6]</v>
      </c>
      <c r="Q198" s="53" t="s">
        <v>158</v>
      </c>
      <c r="R198" s="50" t="e">
        <f t="shared" si="23"/>
        <v>#DIV/0!</v>
      </c>
      <c r="S198" s="54">
        <v>0</v>
      </c>
      <c r="T198" s="54">
        <v>2.4E-2</v>
      </c>
      <c r="U198" s="54">
        <v>0</v>
      </c>
      <c r="V198" s="55" t="e">
        <v>#DIV/0!</v>
      </c>
      <c r="W198" s="55" t="e">
        <v>#DIV/0!</v>
      </c>
      <c r="X198" s="55" t="e">
        <v>#DIV/0!</v>
      </c>
      <c r="Y198" s="55" t="e">
        <v>#DIV/0!</v>
      </c>
      <c r="Z198" s="55" t="e">
        <v>#DIV/0!</v>
      </c>
      <c r="AA198" s="55" t="e">
        <v>#DIV/0!</v>
      </c>
      <c r="AB198" s="56" t="e">
        <f t="shared" si="22"/>
        <v>#DIV/0!</v>
      </c>
      <c r="AC198" s="56" t="e">
        <f t="shared" si="22"/>
        <v>#DIV/0!</v>
      </c>
      <c r="AD198" s="56" t="e">
        <f t="shared" si="22"/>
        <v>#DIV/0!</v>
      </c>
      <c r="AE198" s="57" t="e">
        <f t="shared" si="24"/>
        <v>#DIV/0!</v>
      </c>
      <c r="AF198" s="57" t="e">
        <v>#DIV/0!</v>
      </c>
      <c r="AG198" s="57" t="e">
        <f t="shared" si="25"/>
        <v>#DIV/0!</v>
      </c>
      <c r="AH198" s="57" t="e">
        <v>#DIV/0!</v>
      </c>
      <c r="AI198" s="57" t="e">
        <f t="shared" si="26"/>
        <v>#DIV/0!</v>
      </c>
      <c r="AJ198" s="57" t="e">
        <v>#DIV/0!</v>
      </c>
    </row>
    <row r="199" spans="1:36" ht="15.75">
      <c r="A199" s="48">
        <v>6</v>
      </c>
      <c r="B199" s="48">
        <v>7</v>
      </c>
      <c r="C199" s="49"/>
      <c r="D199" s="49"/>
      <c r="E199" s="49"/>
      <c r="F199" s="49"/>
      <c r="G199" s="49"/>
      <c r="H199" s="59"/>
      <c r="I199" s="50" t="e">
        <v>#DIV/0!</v>
      </c>
      <c r="J199" s="50" t="e">
        <v>#DIV/0!</v>
      </c>
      <c r="K199" s="50"/>
      <c r="L199" s="51" t="e">
        <v>#DIV/0!</v>
      </c>
      <c r="M199" s="51" t="e">
        <v>#DIV/0!</v>
      </c>
      <c r="N199" s="55"/>
      <c r="O199" s="120"/>
      <c r="P199" s="108" t="str">
        <f t="shared" si="21"/>
        <v>(6, 7]</v>
      </c>
      <c r="Q199" s="53" t="s">
        <v>158</v>
      </c>
      <c r="R199" s="50" t="e">
        <f t="shared" si="23"/>
        <v>#DIV/0!</v>
      </c>
      <c r="S199" s="54">
        <v>0</v>
      </c>
      <c r="T199" s="54">
        <v>3.15E-2</v>
      </c>
      <c r="U199" s="54">
        <v>0</v>
      </c>
      <c r="V199" s="55" t="e">
        <v>#DIV/0!</v>
      </c>
      <c r="W199" s="55" t="e">
        <v>#DIV/0!</v>
      </c>
      <c r="X199" s="55" t="e">
        <v>#DIV/0!</v>
      </c>
      <c r="Y199" s="55" t="e">
        <v>#DIV/0!</v>
      </c>
      <c r="Z199" s="55" t="e">
        <v>#DIV/0!</v>
      </c>
      <c r="AA199" s="55" t="e">
        <v>#DIV/0!</v>
      </c>
      <c r="AB199" s="56" t="e">
        <f t="shared" si="22"/>
        <v>#DIV/0!</v>
      </c>
      <c r="AC199" s="56" t="e">
        <f t="shared" si="22"/>
        <v>#DIV/0!</v>
      </c>
      <c r="AD199" s="56" t="e">
        <f t="shared" si="22"/>
        <v>#DIV/0!</v>
      </c>
      <c r="AE199" s="57" t="e">
        <f t="shared" si="24"/>
        <v>#DIV/0!</v>
      </c>
      <c r="AF199" s="57" t="e">
        <v>#DIV/0!</v>
      </c>
      <c r="AG199" s="57" t="e">
        <f t="shared" si="25"/>
        <v>#DIV/0!</v>
      </c>
      <c r="AH199" s="57" t="e">
        <v>#DIV/0!</v>
      </c>
      <c r="AI199" s="57" t="e">
        <f t="shared" si="26"/>
        <v>#DIV/0!</v>
      </c>
      <c r="AJ199" s="57" t="e">
        <v>#DIV/0!</v>
      </c>
    </row>
    <row r="200" spans="1:36" ht="15.75">
      <c r="A200" s="48">
        <v>7</v>
      </c>
      <c r="B200" s="48">
        <v>8</v>
      </c>
      <c r="C200" s="49"/>
      <c r="D200" s="49"/>
      <c r="E200" s="49"/>
      <c r="F200" s="49"/>
      <c r="G200" s="49"/>
      <c r="H200" s="59"/>
      <c r="I200" s="50" t="e">
        <v>#DIV/0!</v>
      </c>
      <c r="J200" s="50" t="e">
        <v>#DIV/0!</v>
      </c>
      <c r="K200" s="50"/>
      <c r="L200" s="50" t="e">
        <v>#DIV/0!</v>
      </c>
      <c r="M200" s="50" t="e">
        <v>#DIV/0!</v>
      </c>
      <c r="N200" s="55"/>
      <c r="O200" s="120"/>
      <c r="P200" s="108" t="str">
        <f t="shared" si="21"/>
        <v>(7, 8]</v>
      </c>
      <c r="Q200" s="53" t="s">
        <v>158</v>
      </c>
      <c r="R200" s="50" t="e">
        <f t="shared" si="23"/>
        <v>#DIV/0!</v>
      </c>
      <c r="S200" s="54">
        <v>0</v>
      </c>
      <c r="T200" s="54">
        <v>3.7999999999999999E-2</v>
      </c>
      <c r="U200" s="54">
        <v>0.1</v>
      </c>
      <c r="V200" s="55" t="e">
        <v>#DIV/0!</v>
      </c>
      <c r="W200" s="55" t="e">
        <v>#DIV/0!</v>
      </c>
      <c r="X200" s="55" t="e">
        <v>#DIV/0!</v>
      </c>
      <c r="Y200" s="55" t="e">
        <v>#DIV/0!</v>
      </c>
      <c r="Z200" s="55" t="e">
        <v>#DIV/0!</v>
      </c>
      <c r="AA200" s="55" t="e">
        <v>#DIV/0!</v>
      </c>
      <c r="AB200" s="56" t="e">
        <f t="shared" si="22"/>
        <v>#DIV/0!</v>
      </c>
      <c r="AC200" s="56" t="e">
        <f t="shared" si="22"/>
        <v>#DIV/0!</v>
      </c>
      <c r="AD200" s="56" t="e">
        <f t="shared" si="22"/>
        <v>#DIV/0!</v>
      </c>
      <c r="AE200" s="57" t="e">
        <f t="shared" si="24"/>
        <v>#DIV/0!</v>
      </c>
      <c r="AF200" s="57" t="e">
        <v>#DIV/0!</v>
      </c>
      <c r="AG200" s="57" t="e">
        <f t="shared" si="25"/>
        <v>#DIV/0!</v>
      </c>
      <c r="AH200" s="57" t="e">
        <v>#DIV/0!</v>
      </c>
      <c r="AI200" s="57" t="e">
        <f t="shared" si="26"/>
        <v>#DIV/0!</v>
      </c>
      <c r="AJ200" s="57" t="e">
        <v>#DIV/0!</v>
      </c>
    </row>
    <row r="201" spans="1:36" ht="15.75">
      <c r="A201" s="48">
        <v>8</v>
      </c>
      <c r="B201" s="48">
        <v>9</v>
      </c>
      <c r="C201" s="49"/>
      <c r="D201" s="49"/>
      <c r="E201" s="49"/>
      <c r="F201" s="49"/>
      <c r="G201" s="49"/>
      <c r="H201" s="59"/>
      <c r="I201" s="50" t="e">
        <v>#DIV/0!</v>
      </c>
      <c r="J201" s="50" t="e">
        <v>#DIV/0!</v>
      </c>
      <c r="K201" s="50"/>
      <c r="L201" s="50" t="e">
        <v>#DIV/0!</v>
      </c>
      <c r="M201" s="50" t="e">
        <v>#DIV/0!</v>
      </c>
      <c r="N201" s="55"/>
      <c r="O201" s="120"/>
      <c r="P201" s="108" t="str">
        <f t="shared" si="21"/>
        <v>(8, 9]</v>
      </c>
      <c r="Q201" s="53" t="s">
        <v>158</v>
      </c>
      <c r="R201" s="50" t="e">
        <f t="shared" si="23"/>
        <v>#DIV/0!</v>
      </c>
      <c r="S201" s="54">
        <v>0</v>
      </c>
      <c r="T201" s="54">
        <v>4.2500000000000003E-2</v>
      </c>
      <c r="U201" s="54">
        <v>0.2</v>
      </c>
      <c r="V201" s="55" t="e">
        <v>#DIV/0!</v>
      </c>
      <c r="W201" s="55" t="e">
        <v>#DIV/0!</v>
      </c>
      <c r="X201" s="55" t="e">
        <v>#DIV/0!</v>
      </c>
      <c r="Y201" s="55" t="e">
        <v>#DIV/0!</v>
      </c>
      <c r="Z201" s="55" t="e">
        <v>#DIV/0!</v>
      </c>
      <c r="AA201" s="55" t="e">
        <v>#DIV/0!</v>
      </c>
      <c r="AB201" s="56" t="e">
        <f t="shared" si="22"/>
        <v>#DIV/0!</v>
      </c>
      <c r="AC201" s="56" t="e">
        <f t="shared" si="22"/>
        <v>#DIV/0!</v>
      </c>
      <c r="AD201" s="56" t="e">
        <f t="shared" si="22"/>
        <v>#DIV/0!</v>
      </c>
      <c r="AE201" s="57" t="e">
        <f t="shared" si="24"/>
        <v>#DIV/0!</v>
      </c>
      <c r="AF201" s="57" t="e">
        <v>#DIV/0!</v>
      </c>
      <c r="AG201" s="57" t="e">
        <f t="shared" si="25"/>
        <v>#DIV/0!</v>
      </c>
      <c r="AH201" s="57" t="e">
        <v>#DIV/0!</v>
      </c>
      <c r="AI201" s="57" t="e">
        <f t="shared" si="26"/>
        <v>#DIV/0!</v>
      </c>
      <c r="AJ201" s="57" t="e">
        <v>#DIV/0!</v>
      </c>
    </row>
    <row r="202" spans="1:36" ht="15.75">
      <c r="A202" s="48">
        <v>9</v>
      </c>
      <c r="B202" s="48">
        <v>10</v>
      </c>
      <c r="C202" s="49"/>
      <c r="D202" s="49"/>
      <c r="E202" s="49"/>
      <c r="F202" s="49"/>
      <c r="G202" s="49"/>
      <c r="H202" s="59"/>
      <c r="I202" s="50" t="e">
        <v>#DIV/0!</v>
      </c>
      <c r="J202" s="50" t="e">
        <v>#DIV/0!</v>
      </c>
      <c r="K202" s="50"/>
      <c r="L202" s="50" t="e">
        <v>#DIV/0!</v>
      </c>
      <c r="M202" s="50" t="e">
        <v>#DIV/0!</v>
      </c>
      <c r="N202" s="55"/>
      <c r="O202" s="120"/>
      <c r="P202" s="108" t="str">
        <f t="shared" si="21"/>
        <v>(9, 10]</v>
      </c>
      <c r="Q202" s="53" t="s">
        <v>158</v>
      </c>
      <c r="R202" s="50" t="e">
        <f t="shared" si="23"/>
        <v>#DIV/0!</v>
      </c>
      <c r="S202" s="54">
        <v>0</v>
      </c>
      <c r="T202" s="54">
        <v>5.1499999999999997E-2</v>
      </c>
      <c r="U202" s="54">
        <v>0.3</v>
      </c>
      <c r="V202" s="55" t="e">
        <v>#DIV/0!</v>
      </c>
      <c r="W202" s="55" t="e">
        <v>#DIV/0!</v>
      </c>
      <c r="X202" s="55" t="e">
        <v>#DIV/0!</v>
      </c>
      <c r="Y202" s="55" t="e">
        <v>#DIV/0!</v>
      </c>
      <c r="Z202" s="55" t="e">
        <v>#DIV/0!</v>
      </c>
      <c r="AA202" s="55" t="e">
        <v>#DIV/0!</v>
      </c>
      <c r="AB202" s="56" t="e">
        <f t="shared" si="22"/>
        <v>#DIV/0!</v>
      </c>
      <c r="AC202" s="56" t="e">
        <f t="shared" si="22"/>
        <v>#DIV/0!</v>
      </c>
      <c r="AD202" s="56" t="e">
        <f t="shared" si="22"/>
        <v>#DIV/0!</v>
      </c>
      <c r="AE202" s="57" t="e">
        <f t="shared" si="24"/>
        <v>#DIV/0!</v>
      </c>
      <c r="AF202" s="57" t="e">
        <v>#DIV/0!</v>
      </c>
      <c r="AG202" s="57" t="e">
        <f t="shared" si="25"/>
        <v>#DIV/0!</v>
      </c>
      <c r="AH202" s="57" t="e">
        <v>#DIV/0!</v>
      </c>
      <c r="AI202" s="57" t="e">
        <f t="shared" si="26"/>
        <v>#DIV/0!</v>
      </c>
      <c r="AJ202" s="57" t="e">
        <v>#DIV/0!</v>
      </c>
    </row>
    <row r="203" spans="1:36" ht="15.75">
      <c r="A203" s="48">
        <v>10</v>
      </c>
      <c r="B203" s="48">
        <v>15</v>
      </c>
      <c r="C203" s="49"/>
      <c r="D203" s="49"/>
      <c r="E203" s="49"/>
      <c r="F203" s="49"/>
      <c r="G203" s="49"/>
      <c r="H203" s="59"/>
      <c r="I203" s="50" t="e">
        <v>#DIV/0!</v>
      </c>
      <c r="J203" s="50" t="e">
        <v>#DIV/0!</v>
      </c>
      <c r="K203" s="50"/>
      <c r="L203" s="50" t="e">
        <v>#DIV/0!</v>
      </c>
      <c r="M203" s="50" t="e">
        <v>#DIV/0!</v>
      </c>
      <c r="N203" s="55"/>
      <c r="O203" s="120"/>
      <c r="P203" s="108" t="str">
        <f t="shared" si="21"/>
        <v>(10, 15]</v>
      </c>
      <c r="Q203" s="53" t="s">
        <v>158</v>
      </c>
      <c r="R203" s="50" t="e">
        <f t="shared" si="23"/>
        <v>#DIV/0!</v>
      </c>
      <c r="S203" s="54">
        <v>0</v>
      </c>
      <c r="T203" s="54">
        <v>6.8150000000000002E-2</v>
      </c>
      <c r="U203" s="54">
        <v>0.2</v>
      </c>
      <c r="V203" s="55" t="e">
        <v>#DIV/0!</v>
      </c>
      <c r="W203" s="55" t="e">
        <v>#DIV/0!</v>
      </c>
      <c r="X203" s="55" t="e">
        <v>#DIV/0!</v>
      </c>
      <c r="Y203" s="55" t="e">
        <v>#DIV/0!</v>
      </c>
      <c r="Z203" s="55" t="e">
        <v>#DIV/0!</v>
      </c>
      <c r="AA203" s="55" t="e">
        <v>#DIV/0!</v>
      </c>
      <c r="AB203" s="56" t="e">
        <f t="shared" si="22"/>
        <v>#DIV/0!</v>
      </c>
      <c r="AC203" s="56" t="e">
        <f t="shared" si="22"/>
        <v>#DIV/0!</v>
      </c>
      <c r="AD203" s="56" t="e">
        <f t="shared" si="22"/>
        <v>#DIV/0!</v>
      </c>
      <c r="AE203" s="57" t="e">
        <f t="shared" si="24"/>
        <v>#DIV/0!</v>
      </c>
      <c r="AF203" s="57" t="e">
        <v>#DIV/0!</v>
      </c>
      <c r="AG203" s="57" t="e">
        <f t="shared" si="25"/>
        <v>#DIV/0!</v>
      </c>
      <c r="AH203" s="57" t="e">
        <v>#DIV/0!</v>
      </c>
      <c r="AI203" s="57" t="e">
        <f t="shared" si="26"/>
        <v>#DIV/0!</v>
      </c>
      <c r="AJ203" s="57" t="e">
        <v>#DIV/0!</v>
      </c>
    </row>
    <row r="204" spans="1:36" ht="15.75">
      <c r="A204" s="48">
        <v>15</v>
      </c>
      <c r="B204" s="48">
        <v>20</v>
      </c>
      <c r="C204" s="49"/>
      <c r="D204" s="49"/>
      <c r="E204" s="49"/>
      <c r="F204" s="49"/>
      <c r="G204" s="49"/>
      <c r="H204" s="59"/>
      <c r="I204" s="50" t="e">
        <v>#DIV/0!</v>
      </c>
      <c r="J204" s="50" t="e">
        <v>#DIV/0!</v>
      </c>
      <c r="K204" s="50"/>
      <c r="L204" s="50" t="e">
        <v>#DIV/0!</v>
      </c>
      <c r="M204" s="50" t="e">
        <v>#DIV/0!</v>
      </c>
      <c r="N204" s="55"/>
      <c r="O204" s="120"/>
      <c r="P204" s="108" t="str">
        <f t="shared" si="21"/>
        <v>(15, 20]</v>
      </c>
      <c r="Q204" s="53" t="s">
        <v>158</v>
      </c>
      <c r="R204" s="50" t="e">
        <f t="shared" si="23"/>
        <v>#DIV/0!</v>
      </c>
      <c r="S204" s="54">
        <v>0</v>
      </c>
      <c r="T204" s="54">
        <v>0.09</v>
      </c>
      <c r="U204" s="54">
        <v>0.4</v>
      </c>
      <c r="V204" s="55" t="e">
        <v>#DIV/0!</v>
      </c>
      <c r="W204" s="55" t="e">
        <v>#DIV/0!</v>
      </c>
      <c r="X204" s="55" t="e">
        <v>#DIV/0!</v>
      </c>
      <c r="Y204" s="55" t="e">
        <v>#DIV/0!</v>
      </c>
      <c r="Z204" s="55" t="e">
        <v>#DIV/0!</v>
      </c>
      <c r="AA204" s="55" t="e">
        <v>#DIV/0!</v>
      </c>
      <c r="AB204" s="56" t="e">
        <f t="shared" si="22"/>
        <v>#DIV/0!</v>
      </c>
      <c r="AC204" s="56" t="e">
        <f t="shared" si="22"/>
        <v>#DIV/0!</v>
      </c>
      <c r="AD204" s="56" t="e">
        <f t="shared" si="22"/>
        <v>#DIV/0!</v>
      </c>
      <c r="AE204" s="57" t="e">
        <f t="shared" si="24"/>
        <v>#DIV/0!</v>
      </c>
      <c r="AF204" s="57" t="e">
        <v>#DIV/0!</v>
      </c>
      <c r="AG204" s="57" t="e">
        <f t="shared" si="25"/>
        <v>#DIV/0!</v>
      </c>
      <c r="AH204" s="57" t="e">
        <v>#DIV/0!</v>
      </c>
      <c r="AI204" s="57" t="e">
        <f t="shared" si="26"/>
        <v>#DIV/0!</v>
      </c>
      <c r="AJ204" s="57" t="e">
        <v>#DIV/0!</v>
      </c>
    </row>
    <row r="205" spans="1:36" ht="15.75">
      <c r="A205" s="48">
        <v>20</v>
      </c>
      <c r="B205" s="48">
        <v>25</v>
      </c>
      <c r="C205" s="49"/>
      <c r="D205" s="49"/>
      <c r="E205" s="49"/>
      <c r="F205" s="49"/>
      <c r="G205" s="49"/>
      <c r="H205" s="59"/>
      <c r="I205" s="50" t="e">
        <v>#DIV/0!</v>
      </c>
      <c r="J205" s="50" t="e">
        <v>#DIV/0!</v>
      </c>
      <c r="K205" s="50"/>
      <c r="L205" s="50" t="e">
        <v>#DIV/0!</v>
      </c>
      <c r="M205" s="50" t="e">
        <v>#DIV/0!</v>
      </c>
      <c r="N205" s="55"/>
      <c r="O205" s="120"/>
      <c r="P205" s="108" t="str">
        <f t="shared" si="21"/>
        <v>(20, 25]</v>
      </c>
      <c r="Q205" s="53" t="s">
        <v>158</v>
      </c>
      <c r="R205" s="50" t="e">
        <f t="shared" si="23"/>
        <v>#DIV/0!</v>
      </c>
      <c r="S205" s="54">
        <v>0</v>
      </c>
      <c r="T205" s="54">
        <v>0.13</v>
      </c>
      <c r="U205" s="54">
        <v>0.8</v>
      </c>
      <c r="V205" s="55" t="e">
        <v>#DIV/0!</v>
      </c>
      <c r="W205" s="55" t="e">
        <v>#DIV/0!</v>
      </c>
      <c r="X205" s="55" t="e">
        <v>#DIV/0!</v>
      </c>
      <c r="Y205" s="55" t="e">
        <v>#DIV/0!</v>
      </c>
      <c r="Z205" s="55" t="e">
        <v>#DIV/0!</v>
      </c>
      <c r="AA205" s="55" t="e">
        <v>#DIV/0!</v>
      </c>
      <c r="AB205" s="56" t="e">
        <f t="shared" si="22"/>
        <v>#DIV/0!</v>
      </c>
      <c r="AC205" s="56" t="e">
        <f t="shared" si="22"/>
        <v>#DIV/0!</v>
      </c>
      <c r="AD205" s="56" t="e">
        <f t="shared" si="22"/>
        <v>#DIV/0!</v>
      </c>
      <c r="AE205" s="57" t="e">
        <f t="shared" si="24"/>
        <v>#DIV/0!</v>
      </c>
      <c r="AF205" s="57" t="e">
        <v>#DIV/0!</v>
      </c>
      <c r="AG205" s="57" t="e">
        <f t="shared" si="25"/>
        <v>#DIV/0!</v>
      </c>
      <c r="AH205" s="57" t="e">
        <v>#DIV/0!</v>
      </c>
      <c r="AI205" s="57" t="e">
        <f t="shared" si="26"/>
        <v>#DIV/0!</v>
      </c>
      <c r="AJ205" s="57" t="e">
        <v>#DIV/0!</v>
      </c>
    </row>
    <row r="206" spans="1:36" ht="15.75">
      <c r="A206" s="48">
        <v>25</v>
      </c>
      <c r="B206" s="48">
        <v>30</v>
      </c>
      <c r="C206" s="49"/>
      <c r="D206" s="49"/>
      <c r="E206" s="49"/>
      <c r="F206" s="49"/>
      <c r="G206" s="49"/>
      <c r="H206" s="59"/>
      <c r="I206" s="50" t="e">
        <v>#DIV/0!</v>
      </c>
      <c r="J206" s="50" t="e">
        <v>#DIV/0!</v>
      </c>
      <c r="K206" s="50"/>
      <c r="L206" s="50" t="e">
        <v>#DIV/0!</v>
      </c>
      <c r="M206" s="50" t="e">
        <v>#DIV/0!</v>
      </c>
      <c r="N206" s="55"/>
      <c r="O206" s="120"/>
      <c r="P206" s="108" t="str">
        <f t="shared" si="21"/>
        <v>(25, 30]</v>
      </c>
      <c r="Q206" s="53" t="s">
        <v>158</v>
      </c>
      <c r="R206" s="50" t="e">
        <f t="shared" si="23"/>
        <v>#DIV/0!</v>
      </c>
      <c r="S206" s="54">
        <v>0</v>
      </c>
      <c r="T206" s="54">
        <v>0.16</v>
      </c>
      <c r="U206" s="54">
        <v>0.8</v>
      </c>
      <c r="V206" s="55" t="e">
        <v>#DIV/0!</v>
      </c>
      <c r="W206" s="55" t="e">
        <v>#DIV/0!</v>
      </c>
      <c r="X206" s="55" t="e">
        <v>#DIV/0!</v>
      </c>
      <c r="Y206" s="55" t="e">
        <v>#DIV/0!</v>
      </c>
      <c r="Z206" s="55" t="e">
        <v>#DIV/0!</v>
      </c>
      <c r="AA206" s="55" t="e">
        <v>#DIV/0!</v>
      </c>
      <c r="AB206" s="56" t="e">
        <f t="shared" si="22"/>
        <v>#DIV/0!</v>
      </c>
      <c r="AC206" s="56" t="e">
        <f t="shared" si="22"/>
        <v>#DIV/0!</v>
      </c>
      <c r="AD206" s="56" t="e">
        <f t="shared" si="22"/>
        <v>#DIV/0!</v>
      </c>
      <c r="AE206" s="57" t="e">
        <f t="shared" si="24"/>
        <v>#DIV/0!</v>
      </c>
      <c r="AF206" s="57" t="e">
        <v>#DIV/0!</v>
      </c>
      <c r="AG206" s="57" t="e">
        <f t="shared" si="25"/>
        <v>#DIV/0!</v>
      </c>
      <c r="AH206" s="57" t="e">
        <v>#DIV/0!</v>
      </c>
      <c r="AI206" s="57" t="e">
        <f t="shared" si="26"/>
        <v>#DIV/0!</v>
      </c>
      <c r="AJ206" s="57" t="e">
        <v>#DIV/0!</v>
      </c>
    </row>
    <row r="207" spans="1:36" ht="15.75">
      <c r="A207" s="48">
        <v>30</v>
      </c>
      <c r="B207" s="48">
        <v>35</v>
      </c>
      <c r="C207" s="49"/>
      <c r="D207" s="49"/>
      <c r="E207" s="49"/>
      <c r="F207" s="49"/>
      <c r="G207" s="49"/>
      <c r="H207" s="59"/>
      <c r="I207" s="50" t="e">
        <v>#DIV/0!</v>
      </c>
      <c r="J207" s="50" t="e">
        <v>#DIV/0!</v>
      </c>
      <c r="K207" s="50"/>
      <c r="L207" s="50" t="e">
        <v>#DIV/0!</v>
      </c>
      <c r="M207" s="50" t="e">
        <v>#DIV/0!</v>
      </c>
      <c r="N207" s="55"/>
      <c r="O207" s="120"/>
      <c r="P207" s="108" t="str">
        <f t="shared" si="21"/>
        <v>(30, 35]</v>
      </c>
      <c r="Q207" s="53" t="s">
        <v>158</v>
      </c>
      <c r="R207" s="50" t="e">
        <f t="shared" si="23"/>
        <v>#DIV/0!</v>
      </c>
      <c r="S207" s="54">
        <v>0</v>
      </c>
      <c r="T207" s="54">
        <v>2.8</v>
      </c>
      <c r="U207" s="54">
        <v>12</v>
      </c>
      <c r="V207" s="55" t="e">
        <v>#DIV/0!</v>
      </c>
      <c r="W207" s="55" t="e">
        <v>#DIV/0!</v>
      </c>
      <c r="X207" s="55" t="e">
        <v>#DIV/0!</v>
      </c>
      <c r="Y207" s="55" t="e">
        <v>#DIV/0!</v>
      </c>
      <c r="Z207" s="55" t="e">
        <v>#DIV/0!</v>
      </c>
      <c r="AA207" s="55" t="e">
        <v>#DIV/0!</v>
      </c>
      <c r="AB207" s="56" t="e">
        <f t="shared" si="22"/>
        <v>#DIV/0!</v>
      </c>
      <c r="AC207" s="56" t="e">
        <f t="shared" si="22"/>
        <v>#DIV/0!</v>
      </c>
      <c r="AD207" s="56" t="e">
        <f t="shared" si="22"/>
        <v>#DIV/0!</v>
      </c>
      <c r="AE207" s="57" t="e">
        <f t="shared" si="24"/>
        <v>#DIV/0!</v>
      </c>
      <c r="AF207" s="57" t="e">
        <v>#DIV/0!</v>
      </c>
      <c r="AG207" s="57" t="e">
        <f t="shared" si="25"/>
        <v>#DIV/0!</v>
      </c>
      <c r="AH207" s="57" t="e">
        <v>#DIV/0!</v>
      </c>
      <c r="AI207" s="57" t="e">
        <f t="shared" si="26"/>
        <v>#DIV/0!</v>
      </c>
      <c r="AJ207" s="57" t="e">
        <v>#DIV/0!</v>
      </c>
    </row>
    <row r="208" spans="1:36" ht="15.75">
      <c r="A208" s="48">
        <v>35</v>
      </c>
      <c r="B208" s="48">
        <v>40</v>
      </c>
      <c r="C208" s="49"/>
      <c r="D208" s="49"/>
      <c r="E208" s="49"/>
      <c r="F208" s="49"/>
      <c r="G208" s="49"/>
      <c r="H208" s="59"/>
      <c r="I208" s="50" t="e">
        <v>#DIV/0!</v>
      </c>
      <c r="J208" s="50" t="e">
        <v>#DIV/0!</v>
      </c>
      <c r="K208" s="50"/>
      <c r="L208" s="50" t="e">
        <v>#DIV/0!</v>
      </c>
      <c r="M208" s="50" t="e">
        <v>#DIV/0!</v>
      </c>
      <c r="N208" s="55"/>
      <c r="O208" s="120"/>
      <c r="P208" s="108" t="str">
        <f t="shared" si="21"/>
        <v>(35, 40]</v>
      </c>
      <c r="Q208" s="53" t="s">
        <v>158</v>
      </c>
      <c r="R208" s="50" t="e">
        <f t="shared" si="23"/>
        <v>#DIV/0!</v>
      </c>
      <c r="S208" s="54">
        <v>0</v>
      </c>
      <c r="T208" s="54">
        <v>1.38</v>
      </c>
      <c r="U208" s="54">
        <v>5</v>
      </c>
      <c r="V208" s="55" t="e">
        <v>#DIV/0!</v>
      </c>
      <c r="W208" s="55" t="e">
        <v>#DIV/0!</v>
      </c>
      <c r="X208" s="55" t="e">
        <v>#DIV/0!</v>
      </c>
      <c r="Y208" s="55" t="e">
        <v>#DIV/0!</v>
      </c>
      <c r="Z208" s="55" t="e">
        <v>#DIV/0!</v>
      </c>
      <c r="AA208" s="55" t="e">
        <v>#DIV/0!</v>
      </c>
      <c r="AB208" s="56" t="e">
        <f t="shared" si="22"/>
        <v>#DIV/0!</v>
      </c>
      <c r="AC208" s="56" t="e">
        <f t="shared" si="22"/>
        <v>#DIV/0!</v>
      </c>
      <c r="AD208" s="56" t="e">
        <f t="shared" si="22"/>
        <v>#DIV/0!</v>
      </c>
      <c r="AE208" s="57" t="e">
        <f t="shared" si="24"/>
        <v>#DIV/0!</v>
      </c>
      <c r="AF208" s="57" t="e">
        <v>#DIV/0!</v>
      </c>
      <c r="AG208" s="57" t="e">
        <f t="shared" si="25"/>
        <v>#DIV/0!</v>
      </c>
      <c r="AH208" s="57" t="e">
        <v>#DIV/0!</v>
      </c>
      <c r="AI208" s="57" t="e">
        <f t="shared" si="26"/>
        <v>#DIV/0!</v>
      </c>
      <c r="AJ208" s="57" t="e">
        <v>#DIV/0!</v>
      </c>
    </row>
    <row r="209" spans="1:36" ht="15.75">
      <c r="A209" s="48">
        <v>40</v>
      </c>
      <c r="B209" s="48">
        <v>45</v>
      </c>
      <c r="C209" s="49"/>
      <c r="D209" s="49"/>
      <c r="E209" s="49"/>
      <c r="F209" s="49"/>
      <c r="G209" s="49"/>
      <c r="H209" s="59"/>
      <c r="I209" s="50" t="e">
        <v>#DIV/0!</v>
      </c>
      <c r="J209" s="50" t="e">
        <v>#DIV/0!</v>
      </c>
      <c r="K209" s="50"/>
      <c r="L209" s="50" t="e">
        <v>#DIV/0!</v>
      </c>
      <c r="M209" s="50" t="e">
        <v>#DIV/0!</v>
      </c>
      <c r="N209" s="55"/>
      <c r="O209" s="120"/>
      <c r="P209" s="108" t="str">
        <f t="shared" si="21"/>
        <v>(40, 45]</v>
      </c>
      <c r="Q209" s="53" t="s">
        <v>158</v>
      </c>
      <c r="R209" s="50" t="e">
        <f t="shared" si="23"/>
        <v>#DIV/0!</v>
      </c>
      <c r="S209" s="54">
        <v>0</v>
      </c>
      <c r="T209" s="54">
        <v>0.75</v>
      </c>
      <c r="U209" s="54">
        <v>3</v>
      </c>
      <c r="V209" s="55" t="e">
        <v>#DIV/0!</v>
      </c>
      <c r="W209" s="55" t="e">
        <v>#DIV/0!</v>
      </c>
      <c r="X209" s="55" t="e">
        <v>#DIV/0!</v>
      </c>
      <c r="Y209" s="55" t="e">
        <v>#DIV/0!</v>
      </c>
      <c r="Z209" s="55" t="e">
        <v>#DIV/0!</v>
      </c>
      <c r="AA209" s="55" t="e">
        <v>#DIV/0!</v>
      </c>
      <c r="AB209" s="56" t="e">
        <f t="shared" si="22"/>
        <v>#DIV/0!</v>
      </c>
      <c r="AC209" s="56" t="e">
        <f t="shared" si="22"/>
        <v>#DIV/0!</v>
      </c>
      <c r="AD209" s="56" t="e">
        <f t="shared" si="22"/>
        <v>#DIV/0!</v>
      </c>
      <c r="AE209" s="57" t="e">
        <f t="shared" si="24"/>
        <v>#DIV/0!</v>
      </c>
      <c r="AF209" s="57" t="e">
        <v>#DIV/0!</v>
      </c>
      <c r="AG209" s="57" t="e">
        <f t="shared" si="25"/>
        <v>#DIV/0!</v>
      </c>
      <c r="AH209" s="57" t="e">
        <v>#DIV/0!</v>
      </c>
      <c r="AI209" s="57" t="e">
        <f t="shared" si="26"/>
        <v>#DIV/0!</v>
      </c>
      <c r="AJ209" s="57" t="e">
        <v>#DIV/0!</v>
      </c>
    </row>
    <row r="210" spans="1:36" ht="15.75">
      <c r="A210" s="48">
        <v>45</v>
      </c>
      <c r="B210" s="48">
        <v>50</v>
      </c>
      <c r="C210" s="49"/>
      <c r="D210" s="49"/>
      <c r="E210" s="49"/>
      <c r="F210" s="49"/>
      <c r="G210" s="49"/>
      <c r="H210" s="59"/>
      <c r="I210" s="50" t="e">
        <v>#DIV/0!</v>
      </c>
      <c r="J210" s="50" t="e">
        <v>#DIV/0!</v>
      </c>
      <c r="K210" s="50"/>
      <c r="L210" s="50" t="e">
        <v>#DIV/0!</v>
      </c>
      <c r="M210" s="50" t="e">
        <v>#DIV/0!</v>
      </c>
      <c r="N210" s="55"/>
      <c r="O210" s="120"/>
      <c r="P210" s="108" t="str">
        <f t="shared" si="21"/>
        <v>(45, 50]</v>
      </c>
      <c r="Q210" s="53" t="s">
        <v>158</v>
      </c>
      <c r="R210" s="50" t="e">
        <f t="shared" si="23"/>
        <v>#DIV/0!</v>
      </c>
      <c r="S210" s="54">
        <v>0</v>
      </c>
      <c r="T210" s="54">
        <v>0.437</v>
      </c>
      <c r="U210" s="54">
        <v>2</v>
      </c>
      <c r="V210" s="55" t="e">
        <v>#DIV/0!</v>
      </c>
      <c r="W210" s="55" t="e">
        <v>#DIV/0!</v>
      </c>
      <c r="X210" s="55" t="e">
        <v>#DIV/0!</v>
      </c>
      <c r="Y210" s="55" t="e">
        <v>#DIV/0!</v>
      </c>
      <c r="Z210" s="55" t="e">
        <v>#DIV/0!</v>
      </c>
      <c r="AA210" s="55" t="e">
        <v>#DIV/0!</v>
      </c>
      <c r="AB210" s="56" t="e">
        <f t="shared" si="22"/>
        <v>#DIV/0!</v>
      </c>
      <c r="AC210" s="56" t="e">
        <f t="shared" si="22"/>
        <v>#DIV/0!</v>
      </c>
      <c r="AD210" s="56" t="e">
        <f t="shared" si="22"/>
        <v>#DIV/0!</v>
      </c>
      <c r="AE210" s="57" t="e">
        <f t="shared" si="24"/>
        <v>#DIV/0!</v>
      </c>
      <c r="AF210" s="57" t="e">
        <v>#DIV/0!</v>
      </c>
      <c r="AG210" s="57" t="e">
        <f t="shared" si="25"/>
        <v>#DIV/0!</v>
      </c>
      <c r="AH210" s="57" t="e">
        <v>#DIV/0!</v>
      </c>
      <c r="AI210" s="57" t="e">
        <f t="shared" si="26"/>
        <v>#DIV/0!</v>
      </c>
      <c r="AJ210" s="57" t="e">
        <v>#DIV/0!</v>
      </c>
    </row>
    <row r="211" spans="1:36" ht="15.75">
      <c r="A211" s="48">
        <v>50</v>
      </c>
      <c r="B211" s="48">
        <v>60</v>
      </c>
      <c r="C211" s="49"/>
      <c r="D211" s="49"/>
      <c r="E211" s="49"/>
      <c r="F211" s="49"/>
      <c r="G211" s="49"/>
      <c r="H211" s="59"/>
      <c r="I211" s="50" t="e">
        <v>#DIV/0!</v>
      </c>
      <c r="J211" s="50" t="e">
        <v>#DIV/0!</v>
      </c>
      <c r="K211" s="50"/>
      <c r="L211" s="50" t="e">
        <v>#DIV/0!</v>
      </c>
      <c r="M211" s="50" t="e">
        <v>#DIV/0!</v>
      </c>
      <c r="N211" s="55"/>
      <c r="O211" s="120"/>
      <c r="P211" s="108" t="str">
        <f t="shared" si="21"/>
        <v>(50, 60]</v>
      </c>
      <c r="Q211" s="53" t="s">
        <v>158</v>
      </c>
      <c r="R211" s="50" t="e">
        <f t="shared" si="23"/>
        <v>#DIV/0!</v>
      </c>
      <c r="S211" s="54">
        <v>0</v>
      </c>
      <c r="T211" s="54">
        <v>0.13500000000000001</v>
      </c>
      <c r="U211" s="54">
        <v>1.1950000000000001</v>
      </c>
      <c r="V211" s="55" t="e">
        <v>#DIV/0!</v>
      </c>
      <c r="W211" s="55" t="e">
        <v>#DIV/0!</v>
      </c>
      <c r="X211" s="55" t="e">
        <v>#DIV/0!</v>
      </c>
      <c r="Y211" s="55" t="e">
        <v>#DIV/0!</v>
      </c>
      <c r="Z211" s="55" t="e">
        <v>#DIV/0!</v>
      </c>
      <c r="AA211" s="55" t="e">
        <v>#DIV/0!</v>
      </c>
      <c r="AB211" s="56" t="e">
        <f t="shared" si="22"/>
        <v>#DIV/0!</v>
      </c>
      <c r="AC211" s="56" t="e">
        <f t="shared" si="22"/>
        <v>#DIV/0!</v>
      </c>
      <c r="AD211" s="56" t="e">
        <f t="shared" si="22"/>
        <v>#DIV/0!</v>
      </c>
      <c r="AE211" s="57" t="e">
        <f t="shared" si="24"/>
        <v>#DIV/0!</v>
      </c>
      <c r="AF211" s="57" t="e">
        <v>#DIV/0!</v>
      </c>
      <c r="AG211" s="57" t="e">
        <f t="shared" si="25"/>
        <v>#DIV/0!</v>
      </c>
      <c r="AH211" s="57" t="e">
        <v>#DIV/0!</v>
      </c>
      <c r="AI211" s="57" t="e">
        <f t="shared" si="26"/>
        <v>#DIV/0!</v>
      </c>
      <c r="AJ211" s="57" t="e">
        <v>#DIV/0!</v>
      </c>
    </row>
    <row r="212" spans="1:36" ht="15.75">
      <c r="A212" s="48">
        <v>60</v>
      </c>
      <c r="B212" s="48">
        <v>70</v>
      </c>
      <c r="C212" s="49"/>
      <c r="D212" s="49"/>
      <c r="E212" s="49"/>
      <c r="F212" s="49"/>
      <c r="G212" s="49"/>
      <c r="H212" s="59"/>
      <c r="I212" s="50" t="e">
        <v>#DIV/0!</v>
      </c>
      <c r="J212" s="50" t="e">
        <v>#DIV/0!</v>
      </c>
      <c r="K212" s="50"/>
      <c r="L212" s="50" t="e">
        <v>#DIV/0!</v>
      </c>
      <c r="M212" s="50" t="e">
        <v>#DIV/0!</v>
      </c>
      <c r="N212" s="55"/>
      <c r="O212" s="120"/>
      <c r="P212" s="108" t="str">
        <f t="shared" si="21"/>
        <v>(60, 70]</v>
      </c>
      <c r="Q212" s="53" t="s">
        <v>158</v>
      </c>
      <c r="R212" s="50" t="e">
        <f t="shared" si="23"/>
        <v>#DIV/0!</v>
      </c>
      <c r="S212" s="54">
        <v>0</v>
      </c>
      <c r="T212" s="54">
        <v>0.06</v>
      </c>
      <c r="U212" s="54">
        <v>0.1</v>
      </c>
      <c r="V212" s="55" t="e">
        <v>#DIV/0!</v>
      </c>
      <c r="W212" s="55" t="e">
        <v>#DIV/0!</v>
      </c>
      <c r="X212" s="55" t="e">
        <v>#DIV/0!</v>
      </c>
      <c r="Y212" s="55" t="e">
        <v>#DIV/0!</v>
      </c>
      <c r="Z212" s="55" t="e">
        <v>#DIV/0!</v>
      </c>
      <c r="AA212" s="55" t="e">
        <v>#DIV/0!</v>
      </c>
      <c r="AB212" s="56" t="e">
        <f t="shared" si="22"/>
        <v>#DIV/0!</v>
      </c>
      <c r="AC212" s="56" t="e">
        <f t="shared" si="22"/>
        <v>#DIV/0!</v>
      </c>
      <c r="AD212" s="56" t="e">
        <f t="shared" si="22"/>
        <v>#DIV/0!</v>
      </c>
      <c r="AE212" s="57" t="e">
        <f t="shared" si="24"/>
        <v>#DIV/0!</v>
      </c>
      <c r="AF212" s="57" t="e">
        <v>#DIV/0!</v>
      </c>
      <c r="AG212" s="57" t="e">
        <f t="shared" si="25"/>
        <v>#DIV/0!</v>
      </c>
      <c r="AH212" s="57" t="e">
        <v>#DIV/0!</v>
      </c>
      <c r="AI212" s="57" t="e">
        <f t="shared" si="26"/>
        <v>#DIV/0!</v>
      </c>
      <c r="AJ212" s="57" t="e">
        <v>#DIV/0!</v>
      </c>
    </row>
    <row r="213" spans="1:36" ht="15.75">
      <c r="A213" s="48">
        <v>70</v>
      </c>
      <c r="B213" s="48">
        <v>80</v>
      </c>
      <c r="C213" s="49"/>
      <c r="D213" s="49"/>
      <c r="E213" s="49"/>
      <c r="F213" s="49"/>
      <c r="G213" s="49"/>
      <c r="H213" s="59"/>
      <c r="I213" s="50" t="e">
        <v>#DIV/0!</v>
      </c>
      <c r="J213" s="50" t="e">
        <v>#DIV/0!</v>
      </c>
      <c r="K213" s="50"/>
      <c r="L213" s="50" t="e">
        <v>#DIV/0!</v>
      </c>
      <c r="M213" s="50" t="e">
        <v>#DIV/0!</v>
      </c>
      <c r="N213" s="55"/>
      <c r="O213" s="120"/>
      <c r="P213" s="108" t="str">
        <f t="shared" si="21"/>
        <v>(70, 80]</v>
      </c>
      <c r="Q213" s="53" t="s">
        <v>158</v>
      </c>
      <c r="R213" s="50" t="e">
        <f t="shared" si="23"/>
        <v>#DIV/0!</v>
      </c>
      <c r="S213" s="54">
        <v>0</v>
      </c>
      <c r="T213" s="54">
        <v>3.3000000000000002E-2</v>
      </c>
      <c r="U213" s="54">
        <v>0.08</v>
      </c>
      <c r="V213" s="55" t="e">
        <v>#DIV/0!</v>
      </c>
      <c r="W213" s="55" t="e">
        <v>#DIV/0!</v>
      </c>
      <c r="X213" s="55" t="e">
        <v>#DIV/0!</v>
      </c>
      <c r="Y213" s="55" t="e">
        <v>#DIV/0!</v>
      </c>
      <c r="Z213" s="55" t="e">
        <v>#DIV/0!</v>
      </c>
      <c r="AA213" s="55" t="e">
        <v>#DIV/0!</v>
      </c>
      <c r="AB213" s="56" t="e">
        <f t="shared" si="22"/>
        <v>#DIV/0!</v>
      </c>
      <c r="AC213" s="56" t="e">
        <f t="shared" si="22"/>
        <v>#DIV/0!</v>
      </c>
      <c r="AD213" s="56" t="e">
        <f t="shared" si="22"/>
        <v>#DIV/0!</v>
      </c>
      <c r="AE213" s="57" t="e">
        <f t="shared" si="24"/>
        <v>#DIV/0!</v>
      </c>
      <c r="AF213" s="57" t="e">
        <v>#DIV/0!</v>
      </c>
      <c r="AG213" s="57" t="e">
        <f t="shared" si="25"/>
        <v>#DIV/0!</v>
      </c>
      <c r="AH213" s="57" t="e">
        <v>#DIV/0!</v>
      </c>
      <c r="AI213" s="57" t="e">
        <f t="shared" si="26"/>
        <v>#DIV/0!</v>
      </c>
      <c r="AJ213" s="57" t="e">
        <v>#DIV/0!</v>
      </c>
    </row>
    <row r="214" spans="1:36" ht="15.75">
      <c r="A214" s="48">
        <v>80</v>
      </c>
      <c r="B214" s="48">
        <v>90</v>
      </c>
      <c r="C214" s="49"/>
      <c r="D214" s="49"/>
      <c r="E214" s="49"/>
      <c r="F214" s="49"/>
      <c r="G214" s="49"/>
      <c r="H214" s="59"/>
      <c r="I214" s="50" t="e">
        <v>#DIV/0!</v>
      </c>
      <c r="J214" s="50" t="e">
        <v>#DIV/0!</v>
      </c>
      <c r="K214" s="50"/>
      <c r="L214" s="50" t="e">
        <v>#DIV/0!</v>
      </c>
      <c r="M214" s="50" t="e">
        <v>#DIV/0!</v>
      </c>
      <c r="N214" s="55"/>
      <c r="O214" s="120"/>
      <c r="P214" s="108" t="str">
        <f t="shared" si="21"/>
        <v>(80, 90]</v>
      </c>
      <c r="Q214" s="53" t="s">
        <v>158</v>
      </c>
      <c r="R214" s="50" t="e">
        <f t="shared" si="23"/>
        <v>#DIV/0!</v>
      </c>
      <c r="S214" s="54">
        <v>0</v>
      </c>
      <c r="T214" s="54">
        <v>0.02</v>
      </c>
      <c r="U214" s="54">
        <v>0.05</v>
      </c>
      <c r="V214" s="55" t="e">
        <v>#DIV/0!</v>
      </c>
      <c r="W214" s="55" t="e">
        <v>#DIV/0!</v>
      </c>
      <c r="X214" s="55" t="e">
        <v>#DIV/0!</v>
      </c>
      <c r="Y214" s="55" t="e">
        <v>#DIV/0!</v>
      </c>
      <c r="Z214" s="55" t="e">
        <v>#DIV/0!</v>
      </c>
      <c r="AA214" s="55" t="e">
        <v>#DIV/0!</v>
      </c>
      <c r="AB214" s="56" t="e">
        <f t="shared" si="22"/>
        <v>#DIV/0!</v>
      </c>
      <c r="AC214" s="56" t="e">
        <f t="shared" si="22"/>
        <v>#DIV/0!</v>
      </c>
      <c r="AD214" s="56" t="e">
        <f t="shared" si="22"/>
        <v>#DIV/0!</v>
      </c>
      <c r="AE214" s="57" t="e">
        <f t="shared" si="24"/>
        <v>#DIV/0!</v>
      </c>
      <c r="AF214" s="57" t="e">
        <v>#DIV/0!</v>
      </c>
      <c r="AG214" s="57" t="e">
        <f t="shared" si="25"/>
        <v>#DIV/0!</v>
      </c>
      <c r="AH214" s="57" t="e">
        <v>#DIV/0!</v>
      </c>
      <c r="AI214" s="57" t="e">
        <f t="shared" si="26"/>
        <v>#DIV/0!</v>
      </c>
      <c r="AJ214" s="57" t="e">
        <v>#DIV/0!</v>
      </c>
    </row>
    <row r="215" spans="1:36" ht="15.75">
      <c r="A215" s="48">
        <v>90</v>
      </c>
      <c r="B215" s="48">
        <v>100</v>
      </c>
      <c r="C215" s="49"/>
      <c r="D215" s="49"/>
      <c r="E215" s="49"/>
      <c r="F215" s="49"/>
      <c r="G215" s="49"/>
      <c r="H215" s="59"/>
      <c r="I215" s="50" t="e">
        <v>#DIV/0!</v>
      </c>
      <c r="J215" s="50" t="e">
        <v>#DIV/0!</v>
      </c>
      <c r="K215" s="50"/>
      <c r="L215" s="50" t="e">
        <v>#DIV/0!</v>
      </c>
      <c r="M215" s="50" t="e">
        <v>#DIV/0!</v>
      </c>
      <c r="N215" s="55"/>
      <c r="O215" s="120"/>
      <c r="P215" s="108" t="str">
        <f t="shared" si="21"/>
        <v>(90, 100]</v>
      </c>
      <c r="Q215" s="53" t="s">
        <v>158</v>
      </c>
      <c r="R215" s="50" t="e">
        <f t="shared" si="23"/>
        <v>#DIV/0!</v>
      </c>
      <c r="S215" s="54">
        <v>0</v>
      </c>
      <c r="T215" s="54">
        <v>1.35E-2</v>
      </c>
      <c r="U215" s="54">
        <v>0.03</v>
      </c>
      <c r="V215" s="55" t="e">
        <v>#DIV/0!</v>
      </c>
      <c r="W215" s="55" t="e">
        <v>#DIV/0!</v>
      </c>
      <c r="X215" s="55" t="e">
        <v>#DIV/0!</v>
      </c>
      <c r="Y215" s="55" t="e">
        <v>#DIV/0!</v>
      </c>
      <c r="Z215" s="55" t="e">
        <v>#DIV/0!</v>
      </c>
      <c r="AA215" s="55" t="e">
        <v>#DIV/0!</v>
      </c>
      <c r="AB215" s="56" t="e">
        <f t="shared" si="22"/>
        <v>#DIV/0!</v>
      </c>
      <c r="AC215" s="56" t="e">
        <f t="shared" si="22"/>
        <v>#DIV/0!</v>
      </c>
      <c r="AD215" s="56" t="e">
        <f t="shared" si="22"/>
        <v>#DIV/0!</v>
      </c>
      <c r="AE215" s="57" t="e">
        <f t="shared" si="24"/>
        <v>#DIV/0!</v>
      </c>
      <c r="AF215" s="57" t="e">
        <v>#DIV/0!</v>
      </c>
      <c r="AG215" s="57" t="e">
        <f t="shared" si="25"/>
        <v>#DIV/0!</v>
      </c>
      <c r="AH215" s="57" t="e">
        <v>#DIV/0!</v>
      </c>
      <c r="AI215" s="57" t="e">
        <f t="shared" si="26"/>
        <v>#DIV/0!</v>
      </c>
      <c r="AJ215" s="57" t="e">
        <v>#DIV/0!</v>
      </c>
    </row>
    <row r="216" spans="1:36" ht="15.75">
      <c r="A216" s="48">
        <v>100</v>
      </c>
      <c r="B216" s="48">
        <v>120</v>
      </c>
      <c r="C216" s="49"/>
      <c r="D216" s="49"/>
      <c r="E216" s="49"/>
      <c r="F216" s="49"/>
      <c r="G216" s="49"/>
      <c r="H216" s="59"/>
      <c r="I216" s="50" t="e">
        <v>#DIV/0!</v>
      </c>
      <c r="J216" s="50" t="e">
        <v>#DIV/0!</v>
      </c>
      <c r="K216" s="50"/>
      <c r="L216" s="50" t="e">
        <v>#DIV/0!</v>
      </c>
      <c r="M216" s="50" t="e">
        <v>#DIV/0!</v>
      </c>
      <c r="N216" s="55"/>
      <c r="O216" s="120"/>
      <c r="P216" s="108" t="str">
        <f t="shared" si="21"/>
        <v>(100, 120]</v>
      </c>
      <c r="Q216" s="53" t="s">
        <v>158</v>
      </c>
      <c r="R216" s="50" t="e">
        <f t="shared" si="23"/>
        <v>#DIV/0!</v>
      </c>
      <c r="S216" s="54">
        <v>0</v>
      </c>
      <c r="T216" s="54">
        <v>5.7000000000000002E-3</v>
      </c>
      <c r="U216" s="54">
        <v>0.05</v>
      </c>
      <c r="V216" s="55" t="e">
        <v>#DIV/0!</v>
      </c>
      <c r="W216" s="55" t="e">
        <v>#DIV/0!</v>
      </c>
      <c r="X216" s="55" t="e">
        <v>#DIV/0!</v>
      </c>
      <c r="Y216" s="55" t="e">
        <v>#DIV/0!</v>
      </c>
      <c r="Z216" s="55" t="e">
        <v>#DIV/0!</v>
      </c>
      <c r="AA216" s="55" t="e">
        <v>#DIV/0!</v>
      </c>
      <c r="AB216" s="56" t="e">
        <f t="shared" si="22"/>
        <v>#DIV/0!</v>
      </c>
      <c r="AC216" s="56" t="e">
        <f t="shared" si="22"/>
        <v>#DIV/0!</v>
      </c>
      <c r="AD216" s="56" t="e">
        <f t="shared" si="22"/>
        <v>#DIV/0!</v>
      </c>
      <c r="AE216" s="57" t="e">
        <f t="shared" si="24"/>
        <v>#DIV/0!</v>
      </c>
      <c r="AF216" s="57" t="e">
        <v>#DIV/0!</v>
      </c>
      <c r="AG216" s="57" t="e">
        <f t="shared" si="25"/>
        <v>#DIV/0!</v>
      </c>
      <c r="AH216" s="57" t="e">
        <v>#DIV/0!</v>
      </c>
      <c r="AI216" s="57" t="e">
        <f t="shared" si="26"/>
        <v>#DIV/0!</v>
      </c>
      <c r="AJ216" s="57" t="e">
        <v>#DIV/0!</v>
      </c>
    </row>
    <row r="217" spans="1:36" ht="15.75">
      <c r="A217" s="48">
        <v>120</v>
      </c>
      <c r="B217" s="48">
        <v>140</v>
      </c>
      <c r="C217" s="49"/>
      <c r="D217" s="49"/>
      <c r="E217" s="49"/>
      <c r="F217" s="49"/>
      <c r="G217" s="49"/>
      <c r="H217" s="59"/>
      <c r="I217" s="50" t="e">
        <v>#DIV/0!</v>
      </c>
      <c r="J217" s="50" t="e">
        <v>#DIV/0!</v>
      </c>
      <c r="K217" s="50"/>
      <c r="L217" s="50" t="e">
        <v>#DIV/0!</v>
      </c>
      <c r="M217" s="50" t="e">
        <v>#DIV/0!</v>
      </c>
      <c r="N217" s="55"/>
      <c r="O217" s="120"/>
      <c r="P217" s="108" t="str">
        <f t="shared" si="21"/>
        <v>(120, 140]</v>
      </c>
      <c r="Q217" s="53" t="s">
        <v>158</v>
      </c>
      <c r="R217" s="50" t="e">
        <f t="shared" si="23"/>
        <v>#DIV/0!</v>
      </c>
      <c r="S217" s="54">
        <v>0</v>
      </c>
      <c r="T217" s="54">
        <v>3.6600000000000001E-3</v>
      </c>
      <c r="U217" s="54">
        <v>1E-3</v>
      </c>
      <c r="V217" s="55" t="e">
        <v>#DIV/0!</v>
      </c>
      <c r="W217" s="55" t="e">
        <v>#DIV/0!</v>
      </c>
      <c r="X217" s="55" t="e">
        <v>#DIV/0!</v>
      </c>
      <c r="Y217" s="55" t="e">
        <v>#DIV/0!</v>
      </c>
      <c r="Z217" s="55" t="e">
        <v>#DIV/0!</v>
      </c>
      <c r="AA217" s="55" t="e">
        <v>#DIV/0!</v>
      </c>
      <c r="AB217" s="56" t="e">
        <f t="shared" si="22"/>
        <v>#DIV/0!</v>
      </c>
      <c r="AC217" s="56" t="e">
        <f t="shared" si="22"/>
        <v>#DIV/0!</v>
      </c>
      <c r="AD217" s="56" t="e">
        <f t="shared" si="22"/>
        <v>#DIV/0!</v>
      </c>
      <c r="AE217" s="57" t="e">
        <f t="shared" si="24"/>
        <v>#DIV/0!</v>
      </c>
      <c r="AF217" s="57" t="e">
        <v>#DIV/0!</v>
      </c>
      <c r="AG217" s="57" t="e">
        <f t="shared" si="25"/>
        <v>#DIV/0!</v>
      </c>
      <c r="AH217" s="57" t="e">
        <v>#DIV/0!</v>
      </c>
      <c r="AI217" s="57" t="e">
        <f t="shared" si="26"/>
        <v>#DIV/0!</v>
      </c>
      <c r="AJ217" s="57" t="e">
        <v>#DIV/0!</v>
      </c>
    </row>
    <row r="218" spans="1:36" ht="15.75">
      <c r="A218" s="48">
        <v>140</v>
      </c>
      <c r="B218" s="48">
        <v>160</v>
      </c>
      <c r="C218" s="49"/>
      <c r="D218" s="49"/>
      <c r="E218" s="49"/>
      <c r="F218" s="49"/>
      <c r="G218" s="49"/>
      <c r="H218" s="59"/>
      <c r="I218" s="50" t="e">
        <v>#DIV/0!</v>
      </c>
      <c r="J218" s="50" t="e">
        <v>#DIV/0!</v>
      </c>
      <c r="K218" s="50"/>
      <c r="L218" s="50" t="e">
        <v>#DIV/0!</v>
      </c>
      <c r="M218" s="50" t="e">
        <v>#DIV/0!</v>
      </c>
      <c r="N218" s="55"/>
      <c r="O218" s="120"/>
      <c r="P218" s="108" t="str">
        <f t="shared" si="21"/>
        <v>(140, 160]</v>
      </c>
      <c r="Q218" s="53" t="s">
        <v>158</v>
      </c>
      <c r="R218" s="50" t="e">
        <f t="shared" si="23"/>
        <v>#DIV/0!</v>
      </c>
      <c r="S218" s="54">
        <v>0</v>
      </c>
      <c r="T218" s="54">
        <v>2.65E-3</v>
      </c>
      <c r="U218" s="54">
        <v>1E-3</v>
      </c>
      <c r="V218" s="55" t="e">
        <v>#DIV/0!</v>
      </c>
      <c r="W218" s="55" t="e">
        <v>#DIV/0!</v>
      </c>
      <c r="X218" s="55" t="e">
        <v>#DIV/0!</v>
      </c>
      <c r="Y218" s="55" t="e">
        <v>#DIV/0!</v>
      </c>
      <c r="Z218" s="55" t="e">
        <v>#DIV/0!</v>
      </c>
      <c r="AA218" s="55" t="e">
        <v>#DIV/0!</v>
      </c>
      <c r="AB218" s="56" t="e">
        <f t="shared" si="22"/>
        <v>#DIV/0!</v>
      </c>
      <c r="AC218" s="56" t="e">
        <f t="shared" si="22"/>
        <v>#DIV/0!</v>
      </c>
      <c r="AD218" s="56" t="e">
        <f t="shared" si="22"/>
        <v>#DIV/0!</v>
      </c>
      <c r="AE218" s="57" t="e">
        <f t="shared" si="24"/>
        <v>#DIV/0!</v>
      </c>
      <c r="AF218" s="57" t="e">
        <v>#DIV/0!</v>
      </c>
      <c r="AG218" s="57" t="e">
        <f t="shared" si="25"/>
        <v>#DIV/0!</v>
      </c>
      <c r="AH218" s="57" t="e">
        <v>#DIV/0!</v>
      </c>
      <c r="AI218" s="57" t="e">
        <f t="shared" si="26"/>
        <v>#DIV/0!</v>
      </c>
      <c r="AJ218" s="57" t="e">
        <v>#DIV/0!</v>
      </c>
    </row>
    <row r="219" spans="1:36" ht="15.75">
      <c r="A219" s="48">
        <v>160</v>
      </c>
      <c r="B219" s="48">
        <v>180</v>
      </c>
      <c r="C219" s="49"/>
      <c r="D219" s="49"/>
      <c r="E219" s="49"/>
      <c r="F219" s="49"/>
      <c r="G219" s="49"/>
      <c r="H219" s="59"/>
      <c r="I219" s="50" t="e">
        <v>#DIV/0!</v>
      </c>
      <c r="J219" s="50" t="e">
        <v>#DIV/0!</v>
      </c>
      <c r="K219" s="50"/>
      <c r="L219" s="50" t="e">
        <v>#DIV/0!</v>
      </c>
      <c r="M219" s="50" t="e">
        <v>#DIV/0!</v>
      </c>
      <c r="N219" s="55"/>
      <c r="O219" s="120"/>
      <c r="P219" s="108" t="str">
        <f t="shared" si="21"/>
        <v>(160, 180]</v>
      </c>
      <c r="Q219" s="53" t="s">
        <v>158</v>
      </c>
      <c r="R219" s="50" t="e">
        <f t="shared" si="23"/>
        <v>#DIV/0!</v>
      </c>
      <c r="S219" s="54">
        <v>0</v>
      </c>
      <c r="T219" s="54">
        <v>1.8E-3</v>
      </c>
      <c r="U219" s="54">
        <v>1.8E-3</v>
      </c>
      <c r="V219" s="55" t="e">
        <v>#DIV/0!</v>
      </c>
      <c r="W219" s="55" t="e">
        <v>#DIV/0!</v>
      </c>
      <c r="X219" s="55" t="e">
        <v>#DIV/0!</v>
      </c>
      <c r="Y219" s="55" t="e">
        <v>#DIV/0!</v>
      </c>
      <c r="Z219" s="55" t="e">
        <v>#DIV/0!</v>
      </c>
      <c r="AA219" s="55" t="e">
        <v>#DIV/0!</v>
      </c>
      <c r="AB219" s="56" t="e">
        <f t="shared" si="22"/>
        <v>#DIV/0!</v>
      </c>
      <c r="AC219" s="56" t="e">
        <f t="shared" si="22"/>
        <v>#DIV/0!</v>
      </c>
      <c r="AD219" s="56" t="e">
        <f t="shared" si="22"/>
        <v>#DIV/0!</v>
      </c>
      <c r="AE219" s="57" t="e">
        <f t="shared" si="24"/>
        <v>#DIV/0!</v>
      </c>
      <c r="AF219" s="57" t="e">
        <v>#DIV/0!</v>
      </c>
      <c r="AG219" s="57" t="e">
        <f t="shared" si="25"/>
        <v>#DIV/0!</v>
      </c>
      <c r="AH219" s="57" t="e">
        <v>#DIV/0!</v>
      </c>
      <c r="AI219" s="57" t="e">
        <f t="shared" si="26"/>
        <v>#DIV/0!</v>
      </c>
      <c r="AJ219" s="57" t="e">
        <v>#DIV/0!</v>
      </c>
    </row>
    <row r="220" spans="1:36" ht="15.75">
      <c r="A220" s="48">
        <v>180</v>
      </c>
      <c r="B220" s="48">
        <v>200</v>
      </c>
      <c r="C220" s="49"/>
      <c r="D220" s="49"/>
      <c r="E220" s="49"/>
      <c r="F220" s="49"/>
      <c r="G220" s="49"/>
      <c r="H220" s="59"/>
      <c r="I220" s="50" t="e">
        <v>#DIV/0!</v>
      </c>
      <c r="J220" s="50" t="e">
        <v>#DIV/0!</v>
      </c>
      <c r="K220" s="50"/>
      <c r="L220" s="50" t="e">
        <v>#DIV/0!</v>
      </c>
      <c r="M220" s="50" t="e">
        <v>#DIV/0!</v>
      </c>
      <c r="N220" s="55"/>
      <c r="O220" s="120"/>
      <c r="P220" s="108" t="str">
        <f t="shared" si="21"/>
        <v>(180, 200]</v>
      </c>
      <c r="Q220" s="53" t="s">
        <v>158</v>
      </c>
      <c r="R220" s="50" t="e">
        <f t="shared" si="23"/>
        <v>#DIV/0!</v>
      </c>
      <c r="S220" s="54">
        <v>0</v>
      </c>
      <c r="T220" s="54">
        <v>1.8E-3</v>
      </c>
      <c r="U220" s="54">
        <v>1.8E-3</v>
      </c>
      <c r="V220" s="55" t="e">
        <v>#DIV/0!</v>
      </c>
      <c r="W220" s="55" t="e">
        <v>#DIV/0!</v>
      </c>
      <c r="X220" s="55" t="e">
        <v>#DIV/0!</v>
      </c>
      <c r="Y220" s="55" t="e">
        <v>#DIV/0!</v>
      </c>
      <c r="Z220" s="55" t="e">
        <v>#DIV/0!</v>
      </c>
      <c r="AA220" s="55" t="e">
        <v>#DIV/0!</v>
      </c>
      <c r="AB220" s="56" t="e">
        <f t="shared" si="22"/>
        <v>#DIV/0!</v>
      </c>
      <c r="AC220" s="56" t="e">
        <f t="shared" si="22"/>
        <v>#DIV/0!</v>
      </c>
      <c r="AD220" s="56" t="e">
        <f t="shared" si="22"/>
        <v>#DIV/0!</v>
      </c>
      <c r="AE220" s="57" t="e">
        <f t="shared" si="24"/>
        <v>#DIV/0!</v>
      </c>
      <c r="AF220" s="57" t="e">
        <v>#DIV/0!</v>
      </c>
      <c r="AG220" s="57" t="e">
        <f t="shared" si="25"/>
        <v>#DIV/0!</v>
      </c>
      <c r="AH220" s="57" t="e">
        <v>#DIV/0!</v>
      </c>
      <c r="AI220" s="57" t="e">
        <f t="shared" si="26"/>
        <v>#DIV/0!</v>
      </c>
      <c r="AJ220" s="57" t="e">
        <v>#DIV/0!</v>
      </c>
    </row>
    <row r="221" spans="1:36" ht="15.75">
      <c r="A221" s="48">
        <v>200</v>
      </c>
      <c r="B221" s="48">
        <v>250</v>
      </c>
      <c r="C221" s="49"/>
      <c r="D221" s="49"/>
      <c r="E221" s="49"/>
      <c r="F221" s="49"/>
      <c r="G221" s="49"/>
      <c r="H221" s="59"/>
      <c r="I221" s="50" t="e">
        <v>#DIV/0!</v>
      </c>
      <c r="J221" s="50" t="e">
        <v>#DIV/0!</v>
      </c>
      <c r="K221" s="50"/>
      <c r="L221" s="50" t="e">
        <v>#DIV/0!</v>
      </c>
      <c r="M221" s="50" t="e">
        <v>#DIV/0!</v>
      </c>
      <c r="N221" s="55"/>
      <c r="O221" s="120"/>
      <c r="P221" s="108" t="str">
        <f t="shared" si="21"/>
        <v>(200, 250]</v>
      </c>
      <c r="Q221" s="53" t="s">
        <v>158</v>
      </c>
      <c r="R221" s="50" t="e">
        <f t="shared" si="23"/>
        <v>#DIV/0!</v>
      </c>
      <c r="S221" s="54">
        <v>2.8050000000000002</v>
      </c>
      <c r="T221" s="54">
        <v>1.5E-3</v>
      </c>
      <c r="U221" s="54">
        <v>0.02</v>
      </c>
      <c r="V221" s="55" t="e">
        <v>#DIV/0!</v>
      </c>
      <c r="W221" s="55" t="e">
        <v>#DIV/0!</v>
      </c>
      <c r="X221" s="55" t="e">
        <v>#DIV/0!</v>
      </c>
      <c r="Y221" s="55" t="e">
        <v>#DIV/0!</v>
      </c>
      <c r="Z221" s="55" t="e">
        <v>#DIV/0!</v>
      </c>
      <c r="AA221" s="55" t="e">
        <v>#DIV/0!</v>
      </c>
      <c r="AB221" s="56" t="e">
        <f t="shared" si="22"/>
        <v>#DIV/0!</v>
      </c>
      <c r="AC221" s="56" t="e">
        <f t="shared" si="22"/>
        <v>#DIV/0!</v>
      </c>
      <c r="AD221" s="56" t="e">
        <f t="shared" si="22"/>
        <v>#DIV/0!</v>
      </c>
      <c r="AE221" s="57" t="e">
        <f>_xlfn.LET(_xlpm.x, _xlfn.XLOOKUP($Q221, $L$191:$N$191, $L221:$N221), IF(ISERROR(_xlpm.x), 0, _xlpm.x)*AB221/$AB$190)</f>
        <v>#DIV/0!</v>
      </c>
      <c r="AF221" s="57" t="e">
        <v>#DIV/0!</v>
      </c>
      <c r="AG221" s="57" t="e">
        <f t="shared" si="25"/>
        <v>#DIV/0!</v>
      </c>
      <c r="AH221" s="57" t="e">
        <v>#DIV/0!</v>
      </c>
      <c r="AI221" s="57" t="e">
        <f t="shared" si="26"/>
        <v>#DIV/0!</v>
      </c>
      <c r="AJ221" s="57" t="e">
        <v>#DIV/0!</v>
      </c>
    </row>
    <row r="222" spans="1:36" ht="15.75">
      <c r="A222" s="48">
        <v>250</v>
      </c>
      <c r="B222" s="48">
        <v>300</v>
      </c>
      <c r="C222" s="49"/>
      <c r="D222" s="49"/>
      <c r="E222" s="49"/>
      <c r="F222" s="49"/>
      <c r="G222" s="49"/>
      <c r="H222" s="59"/>
      <c r="I222" s="50" t="e">
        <v>#DIV/0!</v>
      </c>
      <c r="J222" s="50" t="e">
        <v>#DIV/0!</v>
      </c>
      <c r="K222" s="50"/>
      <c r="L222" s="50" t="e">
        <v>#DIV/0!</v>
      </c>
      <c r="M222" s="50" t="e">
        <v>#DIV/0!</v>
      </c>
      <c r="N222" s="55"/>
      <c r="O222" s="120"/>
      <c r="P222" s="108" t="str">
        <f t="shared" si="21"/>
        <v>(250, 300]</v>
      </c>
      <c r="Q222" s="53" t="s">
        <v>158</v>
      </c>
      <c r="R222" s="50" t="e">
        <f t="shared" si="23"/>
        <v>#DIV/0!</v>
      </c>
      <c r="S222" s="54">
        <v>2.2000000000000002</v>
      </c>
      <c r="T222" s="54">
        <v>1.8E-3</v>
      </c>
      <c r="U222" s="54">
        <v>1.8E-3</v>
      </c>
      <c r="V222" s="55" t="e">
        <v>#DIV/0!</v>
      </c>
      <c r="W222" s="55" t="e">
        <v>#DIV/0!</v>
      </c>
      <c r="X222" s="55" t="e">
        <v>#DIV/0!</v>
      </c>
      <c r="Y222" s="55" t="e">
        <v>#DIV/0!</v>
      </c>
      <c r="Z222" s="55" t="e">
        <v>#DIV/0!</v>
      </c>
      <c r="AA222" s="55" t="e">
        <v>#DIV/0!</v>
      </c>
      <c r="AB222" s="56" t="e">
        <f t="shared" si="22"/>
        <v>#DIV/0!</v>
      </c>
      <c r="AC222" s="56" t="e">
        <f t="shared" si="22"/>
        <v>#DIV/0!</v>
      </c>
      <c r="AD222" s="56" t="e">
        <f t="shared" si="22"/>
        <v>#DIV/0!</v>
      </c>
      <c r="AE222" s="57" t="e">
        <f t="shared" si="24"/>
        <v>#DIV/0!</v>
      </c>
      <c r="AF222" s="57" t="e">
        <v>#DIV/0!</v>
      </c>
      <c r="AG222" s="57" t="e">
        <f t="shared" si="25"/>
        <v>#DIV/0!</v>
      </c>
      <c r="AH222" s="57" t="e">
        <v>#DIV/0!</v>
      </c>
      <c r="AI222" s="57" t="e">
        <f t="shared" si="26"/>
        <v>#DIV/0!</v>
      </c>
      <c r="AJ222" s="57" t="e">
        <v>#DIV/0!</v>
      </c>
    </row>
    <row r="223" spans="1:36" ht="15.75">
      <c r="A223" s="48">
        <v>300</v>
      </c>
      <c r="B223" s="48">
        <v>350</v>
      </c>
      <c r="C223" s="49"/>
      <c r="D223" s="49"/>
      <c r="E223" s="49"/>
      <c r="F223" s="49"/>
      <c r="G223" s="49"/>
      <c r="H223" s="59"/>
      <c r="I223" s="50" t="e">
        <v>#DIV/0!</v>
      </c>
      <c r="J223" s="50" t="e">
        <v>#DIV/0!</v>
      </c>
      <c r="K223" s="50"/>
      <c r="L223" s="50" t="e">
        <v>#DIV/0!</v>
      </c>
      <c r="M223" s="50" t="e">
        <v>#DIV/0!</v>
      </c>
      <c r="N223" s="55"/>
      <c r="O223" s="120"/>
      <c r="P223" s="108" t="str">
        <f t="shared" si="21"/>
        <v>(300, 350]</v>
      </c>
      <c r="Q223" s="53" t="s">
        <v>158</v>
      </c>
      <c r="R223" s="50" t="e">
        <f t="shared" si="23"/>
        <v>#DIV/0!</v>
      </c>
      <c r="S223" s="54">
        <v>2</v>
      </c>
      <c r="T223" s="54">
        <v>1.75E-3</v>
      </c>
      <c r="U223" s="54">
        <v>1.75E-3</v>
      </c>
      <c r="V223" s="55" t="e">
        <v>#DIV/0!</v>
      </c>
      <c r="W223" s="55" t="e">
        <v>#DIV/0!</v>
      </c>
      <c r="X223" s="55" t="e">
        <v>#DIV/0!</v>
      </c>
      <c r="Y223" s="55" t="e">
        <v>#DIV/0!</v>
      </c>
      <c r="Z223" s="55" t="e">
        <v>#DIV/0!</v>
      </c>
      <c r="AA223" s="55" t="e">
        <v>#DIV/0!</v>
      </c>
      <c r="AB223" s="56" t="e">
        <f t="shared" si="22"/>
        <v>#DIV/0!</v>
      </c>
      <c r="AC223" s="56" t="e">
        <f t="shared" si="22"/>
        <v>#DIV/0!</v>
      </c>
      <c r="AD223" s="56" t="e">
        <f t="shared" si="22"/>
        <v>#DIV/0!</v>
      </c>
      <c r="AE223" s="57" t="e">
        <f t="shared" si="24"/>
        <v>#DIV/0!</v>
      </c>
      <c r="AF223" s="57" t="e">
        <v>#DIV/0!</v>
      </c>
      <c r="AG223" s="57" t="e">
        <f t="shared" si="25"/>
        <v>#DIV/0!</v>
      </c>
      <c r="AH223" s="57" t="e">
        <v>#DIV/0!</v>
      </c>
      <c r="AI223" s="57" t="e">
        <f t="shared" si="26"/>
        <v>#DIV/0!</v>
      </c>
      <c r="AJ223" s="57" t="e">
        <v>#DIV/0!</v>
      </c>
    </row>
    <row r="224" spans="1:36" ht="15.75">
      <c r="A224" s="48">
        <v>350</v>
      </c>
      <c r="B224" s="48">
        <v>400</v>
      </c>
      <c r="C224" s="49"/>
      <c r="D224" s="49"/>
      <c r="E224" s="49"/>
      <c r="F224" s="49"/>
      <c r="G224" s="49"/>
      <c r="H224" s="59"/>
      <c r="I224" s="50" t="e">
        <v>#DIV/0!</v>
      </c>
      <c r="J224" s="50" t="e">
        <v>#DIV/0!</v>
      </c>
      <c r="K224" s="50"/>
      <c r="L224" s="50" t="e">
        <v>#DIV/0!</v>
      </c>
      <c r="M224" s="50" t="e">
        <v>#DIV/0!</v>
      </c>
      <c r="N224" s="55"/>
      <c r="O224" s="120"/>
      <c r="P224" s="108" t="str">
        <f t="shared" si="21"/>
        <v>(350, 400]</v>
      </c>
      <c r="Q224" s="53" t="s">
        <v>158</v>
      </c>
      <c r="R224" s="50" t="e">
        <f t="shared" si="23"/>
        <v>#DIV/0!</v>
      </c>
      <c r="S224" s="54">
        <v>1.5</v>
      </c>
      <c r="T224" s="54">
        <v>1.8E-3</v>
      </c>
      <c r="U224" s="54">
        <v>1.8E-3</v>
      </c>
      <c r="V224" s="55" t="e">
        <v>#DIV/0!</v>
      </c>
      <c r="W224" s="55" t="e">
        <v>#DIV/0!</v>
      </c>
      <c r="X224" s="55" t="e">
        <v>#DIV/0!</v>
      </c>
      <c r="Y224" s="55" t="e">
        <v>#DIV/0!</v>
      </c>
      <c r="Z224" s="55" t="e">
        <v>#DIV/0!</v>
      </c>
      <c r="AA224" s="55" t="e">
        <v>#DIV/0!</v>
      </c>
      <c r="AB224" s="56" t="e">
        <f t="shared" ref="AB224:AD250" si="27">INT(Y224*$AB$62)</f>
        <v>#DIV/0!</v>
      </c>
      <c r="AC224" s="56" t="e">
        <f t="shared" si="27"/>
        <v>#DIV/0!</v>
      </c>
      <c r="AD224" s="56" t="e">
        <f t="shared" si="27"/>
        <v>#DIV/0!</v>
      </c>
      <c r="AE224" s="57" t="e">
        <f t="shared" si="24"/>
        <v>#DIV/0!</v>
      </c>
      <c r="AF224" s="57" t="e">
        <v>#DIV/0!</v>
      </c>
      <c r="AG224" s="57" t="e">
        <f t="shared" si="25"/>
        <v>#DIV/0!</v>
      </c>
      <c r="AH224" s="57" t="e">
        <v>#DIV/0!</v>
      </c>
      <c r="AI224" s="57" t="e">
        <f t="shared" si="26"/>
        <v>#DIV/0!</v>
      </c>
      <c r="AJ224" s="57" t="e">
        <v>#DIV/0!</v>
      </c>
    </row>
    <row r="225" spans="1:36" ht="15.75">
      <c r="A225" s="48">
        <v>400</v>
      </c>
      <c r="B225" s="48">
        <v>450</v>
      </c>
      <c r="C225" s="49"/>
      <c r="D225" s="49"/>
      <c r="E225" s="49"/>
      <c r="F225" s="49"/>
      <c r="G225" s="49"/>
      <c r="H225" s="59"/>
      <c r="I225" s="50" t="e">
        <v>#DIV/0!</v>
      </c>
      <c r="J225" s="50" t="e">
        <v>#DIV/0!</v>
      </c>
      <c r="K225" s="50"/>
      <c r="L225" s="50" t="e">
        <v>#DIV/0!</v>
      </c>
      <c r="M225" s="50" t="e">
        <v>#DIV/0!</v>
      </c>
      <c r="N225" s="55"/>
      <c r="O225" s="120"/>
      <c r="P225" s="108" t="str">
        <f t="shared" si="21"/>
        <v>(400, 450]</v>
      </c>
      <c r="Q225" s="53" t="s">
        <v>158</v>
      </c>
      <c r="R225" s="50" t="e">
        <f t="shared" si="23"/>
        <v>#DIV/0!</v>
      </c>
      <c r="S225" s="54">
        <v>1</v>
      </c>
      <c r="T225" s="54">
        <v>2.5000000000000001E-3</v>
      </c>
      <c r="U225" s="54">
        <v>2.5000000000000001E-3</v>
      </c>
      <c r="V225" s="55" t="e">
        <v>#DIV/0!</v>
      </c>
      <c r="W225" s="55" t="e">
        <v>#DIV/0!</v>
      </c>
      <c r="X225" s="55" t="e">
        <v>#DIV/0!</v>
      </c>
      <c r="Y225" s="55" t="e">
        <v>#DIV/0!</v>
      </c>
      <c r="Z225" s="55" t="e">
        <v>#DIV/0!</v>
      </c>
      <c r="AA225" s="55" t="e">
        <v>#DIV/0!</v>
      </c>
      <c r="AB225" s="56" t="e">
        <f t="shared" si="27"/>
        <v>#DIV/0!</v>
      </c>
      <c r="AC225" s="56" t="e">
        <f t="shared" si="27"/>
        <v>#DIV/0!</v>
      </c>
      <c r="AD225" s="56" t="e">
        <f t="shared" si="27"/>
        <v>#DIV/0!</v>
      </c>
      <c r="AE225" s="57" t="e">
        <f t="shared" si="24"/>
        <v>#DIV/0!</v>
      </c>
      <c r="AF225" s="57" t="e">
        <v>#DIV/0!</v>
      </c>
      <c r="AG225" s="57" t="e">
        <f t="shared" si="25"/>
        <v>#DIV/0!</v>
      </c>
      <c r="AH225" s="57" t="e">
        <v>#DIV/0!</v>
      </c>
      <c r="AI225" s="57" t="e">
        <f t="shared" si="26"/>
        <v>#DIV/0!</v>
      </c>
      <c r="AJ225" s="57" t="e">
        <v>#DIV/0!</v>
      </c>
    </row>
    <row r="226" spans="1:36" ht="15.75">
      <c r="A226" s="48">
        <v>450</v>
      </c>
      <c r="B226" s="48">
        <v>500</v>
      </c>
      <c r="C226" s="49"/>
      <c r="D226" s="49"/>
      <c r="E226" s="49"/>
      <c r="F226" s="49"/>
      <c r="G226" s="49"/>
      <c r="H226" s="59"/>
      <c r="I226" s="50" t="e">
        <v>#DIV/0!</v>
      </c>
      <c r="J226" s="50" t="e">
        <v>#DIV/0!</v>
      </c>
      <c r="K226" s="50"/>
      <c r="L226" s="50" t="e">
        <v>#DIV/0!</v>
      </c>
      <c r="M226" s="50" t="e">
        <v>#DIV/0!</v>
      </c>
      <c r="N226" s="55"/>
      <c r="O226" s="120"/>
      <c r="P226" s="108" t="str">
        <f t="shared" si="21"/>
        <v>(450, 500]</v>
      </c>
      <c r="Q226" s="53" t="s">
        <v>158</v>
      </c>
      <c r="R226" s="50" t="e">
        <f t="shared" si="23"/>
        <v>#DIV/0!</v>
      </c>
      <c r="S226" s="54">
        <v>0.8</v>
      </c>
      <c r="T226" s="54">
        <v>3.5000000000000001E-3</v>
      </c>
      <c r="U226" s="54">
        <v>3.5000000000000001E-3</v>
      </c>
      <c r="V226" s="55" t="e">
        <v>#DIV/0!</v>
      </c>
      <c r="W226" s="55" t="e">
        <v>#DIV/0!</v>
      </c>
      <c r="X226" s="55" t="e">
        <v>#DIV/0!</v>
      </c>
      <c r="Y226" s="55" t="e">
        <v>#DIV/0!</v>
      </c>
      <c r="Z226" s="55" t="e">
        <v>#DIV/0!</v>
      </c>
      <c r="AA226" s="55" t="e">
        <v>#DIV/0!</v>
      </c>
      <c r="AB226" s="56" t="e">
        <f t="shared" si="27"/>
        <v>#DIV/0!</v>
      </c>
      <c r="AC226" s="56" t="e">
        <f t="shared" si="27"/>
        <v>#DIV/0!</v>
      </c>
      <c r="AD226" s="56" t="e">
        <f t="shared" si="27"/>
        <v>#DIV/0!</v>
      </c>
      <c r="AE226" s="57" t="e">
        <f t="shared" si="24"/>
        <v>#DIV/0!</v>
      </c>
      <c r="AF226" s="57" t="e">
        <v>#DIV/0!</v>
      </c>
      <c r="AG226" s="57" t="e">
        <f t="shared" si="25"/>
        <v>#DIV/0!</v>
      </c>
      <c r="AH226" s="57" t="e">
        <v>#DIV/0!</v>
      </c>
      <c r="AI226" s="57" t="e">
        <f t="shared" si="26"/>
        <v>#DIV/0!</v>
      </c>
      <c r="AJ226" s="57" t="e">
        <v>#DIV/0!</v>
      </c>
    </row>
    <row r="227" spans="1:36" ht="15.75">
      <c r="A227" s="48">
        <v>500</v>
      </c>
      <c r="B227" s="48">
        <v>550</v>
      </c>
      <c r="C227" s="49"/>
      <c r="D227" s="49"/>
      <c r="E227" s="49"/>
      <c r="F227" s="49"/>
      <c r="G227" s="49"/>
      <c r="H227" s="59"/>
      <c r="I227" s="50" t="e">
        <v>#DIV/0!</v>
      </c>
      <c r="J227" s="50" t="e">
        <v>#DIV/0!</v>
      </c>
      <c r="K227" s="50"/>
      <c r="L227" s="50" t="e">
        <v>#DIV/0!</v>
      </c>
      <c r="M227" s="50" t="e">
        <v>#DIV/0!</v>
      </c>
      <c r="N227" s="55"/>
      <c r="O227" s="120"/>
      <c r="P227" s="108" t="str">
        <f t="shared" si="21"/>
        <v>(500, 550]</v>
      </c>
      <c r="Q227" s="53" t="s">
        <v>158</v>
      </c>
      <c r="R227" s="50" t="e">
        <f t="shared" si="23"/>
        <v>#DIV/0!</v>
      </c>
      <c r="S227" s="54">
        <v>0.8</v>
      </c>
      <c r="T227" s="54">
        <v>1.6000000000000001E-3</v>
      </c>
      <c r="U227" s="54">
        <v>1.6000000000000001E-3</v>
      </c>
      <c r="V227" s="55" t="e">
        <v>#DIV/0!</v>
      </c>
      <c r="W227" s="55" t="e">
        <v>#DIV/0!</v>
      </c>
      <c r="X227" s="55" t="e">
        <v>#DIV/0!</v>
      </c>
      <c r="Y227" s="55" t="e">
        <v>#DIV/0!</v>
      </c>
      <c r="Z227" s="55" t="e">
        <v>#DIV/0!</v>
      </c>
      <c r="AA227" s="55" t="e">
        <v>#DIV/0!</v>
      </c>
      <c r="AB227" s="56" t="e">
        <f t="shared" si="27"/>
        <v>#DIV/0!</v>
      </c>
      <c r="AC227" s="56" t="e">
        <f t="shared" si="27"/>
        <v>#DIV/0!</v>
      </c>
      <c r="AD227" s="56" t="e">
        <f t="shared" si="27"/>
        <v>#DIV/0!</v>
      </c>
      <c r="AE227" s="57" t="e">
        <f t="shared" si="24"/>
        <v>#DIV/0!</v>
      </c>
      <c r="AF227" s="57" t="e">
        <v>#DIV/0!</v>
      </c>
      <c r="AG227" s="57" t="e">
        <f t="shared" si="25"/>
        <v>#DIV/0!</v>
      </c>
      <c r="AH227" s="57" t="e">
        <v>#DIV/0!</v>
      </c>
      <c r="AI227" s="57" t="e">
        <f t="shared" si="26"/>
        <v>#DIV/0!</v>
      </c>
      <c r="AJ227" s="57" t="e">
        <v>#DIV/0!</v>
      </c>
    </row>
    <row r="228" spans="1:36" ht="15.75">
      <c r="A228" s="48">
        <v>550</v>
      </c>
      <c r="B228" s="48">
        <v>600</v>
      </c>
      <c r="C228" s="49"/>
      <c r="D228" s="49"/>
      <c r="E228" s="49"/>
      <c r="F228" s="49"/>
      <c r="G228" s="49"/>
      <c r="H228" s="59"/>
      <c r="I228" s="50" t="e">
        <v>#DIV/0!</v>
      </c>
      <c r="J228" s="50" t="e">
        <v>#DIV/0!</v>
      </c>
      <c r="K228" s="50"/>
      <c r="L228" s="50" t="e">
        <v>#DIV/0!</v>
      </c>
      <c r="M228" s="50" t="e">
        <v>#DIV/0!</v>
      </c>
      <c r="N228" s="55"/>
      <c r="O228" s="120"/>
      <c r="P228" s="108" t="str">
        <f t="shared" si="21"/>
        <v>(550, 600]</v>
      </c>
      <c r="Q228" s="53" t="s">
        <v>158</v>
      </c>
      <c r="R228" s="50" t="e">
        <f t="shared" si="23"/>
        <v>#DIV/0!</v>
      </c>
      <c r="S228" s="54">
        <v>0.5</v>
      </c>
      <c r="T228" s="54">
        <v>0</v>
      </c>
      <c r="U228" s="54">
        <v>0</v>
      </c>
      <c r="V228" s="55" t="e">
        <v>#DIV/0!</v>
      </c>
      <c r="W228" s="55" t="e">
        <v>#DIV/0!</v>
      </c>
      <c r="X228" s="55" t="e">
        <v>#DIV/0!</v>
      </c>
      <c r="Y228" s="55" t="e">
        <v>#DIV/0!</v>
      </c>
      <c r="Z228" s="55" t="e">
        <v>#DIV/0!</v>
      </c>
      <c r="AA228" s="55" t="e">
        <v>#DIV/0!</v>
      </c>
      <c r="AB228" s="56" t="e">
        <f t="shared" si="27"/>
        <v>#DIV/0!</v>
      </c>
      <c r="AC228" s="56" t="e">
        <f t="shared" si="27"/>
        <v>#DIV/0!</v>
      </c>
      <c r="AD228" s="56" t="e">
        <f t="shared" si="27"/>
        <v>#DIV/0!</v>
      </c>
      <c r="AE228" s="57" t="e">
        <f t="shared" si="24"/>
        <v>#DIV/0!</v>
      </c>
      <c r="AF228" s="57" t="e">
        <v>#DIV/0!</v>
      </c>
      <c r="AG228" s="57" t="e">
        <f t="shared" si="25"/>
        <v>#DIV/0!</v>
      </c>
      <c r="AH228" s="57" t="e">
        <v>#DIV/0!</v>
      </c>
      <c r="AI228" s="57" t="e">
        <f t="shared" si="26"/>
        <v>#DIV/0!</v>
      </c>
      <c r="AJ228" s="57" t="e">
        <v>#DIV/0!</v>
      </c>
    </row>
    <row r="229" spans="1:36" ht="15.75">
      <c r="A229" s="48">
        <v>600</v>
      </c>
      <c r="B229" s="48">
        <v>650</v>
      </c>
      <c r="C229" s="49"/>
      <c r="D229" s="49"/>
      <c r="E229" s="49"/>
      <c r="F229" s="49"/>
      <c r="G229" s="49"/>
      <c r="H229" s="59"/>
      <c r="I229" s="50" t="e">
        <v>#DIV/0!</v>
      </c>
      <c r="J229" s="50" t="e">
        <v>#DIV/0!</v>
      </c>
      <c r="K229" s="50"/>
      <c r="L229" s="50" t="e">
        <v>#DIV/0!</v>
      </c>
      <c r="M229" s="50" t="e">
        <v>#DIV/0!</v>
      </c>
      <c r="N229" s="55"/>
      <c r="O229" s="120"/>
      <c r="P229" s="108" t="str">
        <f t="shared" si="21"/>
        <v>(600, 650]</v>
      </c>
      <c r="Q229" s="53" t="s">
        <v>158</v>
      </c>
      <c r="R229" s="50" t="e">
        <f t="shared" si="23"/>
        <v>#DIV/0!</v>
      </c>
      <c r="S229" s="54">
        <v>0.21</v>
      </c>
      <c r="T229" s="54">
        <v>0</v>
      </c>
      <c r="U229" s="54">
        <v>0</v>
      </c>
      <c r="V229" s="55" t="e">
        <v>#DIV/0!</v>
      </c>
      <c r="W229" s="55" t="e">
        <v>#DIV/0!</v>
      </c>
      <c r="X229" s="55" t="e">
        <v>#DIV/0!</v>
      </c>
      <c r="Y229" s="55" t="e">
        <v>#DIV/0!</v>
      </c>
      <c r="Z229" s="55" t="e">
        <v>#DIV/0!</v>
      </c>
      <c r="AA229" s="55" t="e">
        <v>#DIV/0!</v>
      </c>
      <c r="AB229" s="56" t="e">
        <f t="shared" si="27"/>
        <v>#DIV/0!</v>
      </c>
      <c r="AC229" s="56" t="e">
        <f t="shared" si="27"/>
        <v>#DIV/0!</v>
      </c>
      <c r="AD229" s="56" t="e">
        <f t="shared" si="27"/>
        <v>#DIV/0!</v>
      </c>
      <c r="AE229" s="57" t="e">
        <f t="shared" si="24"/>
        <v>#DIV/0!</v>
      </c>
      <c r="AF229" s="57" t="e">
        <v>#DIV/0!</v>
      </c>
      <c r="AG229" s="57" t="e">
        <f t="shared" si="25"/>
        <v>#DIV/0!</v>
      </c>
      <c r="AH229" s="57" t="e">
        <v>#DIV/0!</v>
      </c>
      <c r="AI229" s="57" t="e">
        <f t="shared" si="26"/>
        <v>#DIV/0!</v>
      </c>
      <c r="AJ229" s="57" t="e">
        <v>#DIV/0!</v>
      </c>
    </row>
    <row r="230" spans="1:36" ht="15.75">
      <c r="A230" s="48">
        <v>650</v>
      </c>
      <c r="B230" s="48">
        <v>700</v>
      </c>
      <c r="C230" s="49"/>
      <c r="D230" s="49"/>
      <c r="E230" s="49"/>
      <c r="F230" s="49"/>
      <c r="G230" s="49"/>
      <c r="H230" s="59"/>
      <c r="I230" s="50" t="e">
        <v>#DIV/0!</v>
      </c>
      <c r="J230" s="50" t="e">
        <v>#DIV/0!</v>
      </c>
      <c r="K230" s="50"/>
      <c r="L230" s="50" t="e">
        <v>#DIV/0!</v>
      </c>
      <c r="M230" s="50" t="e">
        <v>#DIV/0!</v>
      </c>
      <c r="N230" s="55"/>
      <c r="O230" s="120"/>
      <c r="P230" s="108" t="str">
        <f t="shared" si="21"/>
        <v>(650, 700]</v>
      </c>
      <c r="Q230" s="53" t="s">
        <v>158</v>
      </c>
      <c r="R230" s="50" t="e">
        <f t="shared" si="23"/>
        <v>#DIV/0!</v>
      </c>
      <c r="S230" s="54">
        <v>0.2</v>
      </c>
      <c r="T230" s="54">
        <v>0</v>
      </c>
      <c r="U230" s="54">
        <v>0</v>
      </c>
      <c r="V230" s="55" t="e">
        <v>#DIV/0!</v>
      </c>
      <c r="W230" s="55" t="e">
        <v>#DIV/0!</v>
      </c>
      <c r="X230" s="55" t="e">
        <v>#DIV/0!</v>
      </c>
      <c r="Y230" s="55" t="e">
        <v>#DIV/0!</v>
      </c>
      <c r="Z230" s="55" t="e">
        <v>#DIV/0!</v>
      </c>
      <c r="AA230" s="55" t="e">
        <v>#DIV/0!</v>
      </c>
      <c r="AB230" s="56" t="e">
        <f t="shared" si="27"/>
        <v>#DIV/0!</v>
      </c>
      <c r="AC230" s="56" t="e">
        <f t="shared" si="27"/>
        <v>#DIV/0!</v>
      </c>
      <c r="AD230" s="56" t="e">
        <f t="shared" si="27"/>
        <v>#DIV/0!</v>
      </c>
      <c r="AE230" s="57" t="e">
        <f t="shared" si="24"/>
        <v>#DIV/0!</v>
      </c>
      <c r="AF230" s="57" t="e">
        <v>#DIV/0!</v>
      </c>
      <c r="AG230" s="57" t="e">
        <f t="shared" si="25"/>
        <v>#DIV/0!</v>
      </c>
      <c r="AH230" s="57" t="e">
        <v>#DIV/0!</v>
      </c>
      <c r="AI230" s="57" t="e">
        <f t="shared" si="26"/>
        <v>#DIV/0!</v>
      </c>
      <c r="AJ230" s="57" t="e">
        <v>#DIV/0!</v>
      </c>
    </row>
    <row r="231" spans="1:36" ht="15.75">
      <c r="A231" s="48">
        <v>700</v>
      </c>
      <c r="B231" s="48">
        <v>750</v>
      </c>
      <c r="C231" s="49"/>
      <c r="D231" s="49"/>
      <c r="E231" s="49"/>
      <c r="F231" s="49"/>
      <c r="G231" s="49"/>
      <c r="H231" s="59"/>
      <c r="I231" s="50" t="e">
        <v>#DIV/0!</v>
      </c>
      <c r="J231" s="50" t="e">
        <v>#DIV/0!</v>
      </c>
      <c r="K231" s="50"/>
      <c r="L231" s="50" t="e">
        <v>#DIV/0!</v>
      </c>
      <c r="M231" s="50" t="e">
        <v>#DIV/0!</v>
      </c>
      <c r="N231" s="55"/>
      <c r="O231" s="120"/>
      <c r="P231" s="108" t="str">
        <f t="shared" si="21"/>
        <v>(700, 750]</v>
      </c>
      <c r="Q231" s="53" t="s">
        <v>158</v>
      </c>
      <c r="R231" s="50" t="e">
        <f t="shared" si="23"/>
        <v>#DIV/0!</v>
      </c>
      <c r="S231" s="54">
        <v>0.315</v>
      </c>
      <c r="T231" s="54">
        <v>0</v>
      </c>
      <c r="U231" s="54">
        <v>0</v>
      </c>
      <c r="V231" s="55" t="e">
        <v>#DIV/0!</v>
      </c>
      <c r="W231" s="55" t="e">
        <v>#DIV/0!</v>
      </c>
      <c r="X231" s="55" t="e">
        <v>#DIV/0!</v>
      </c>
      <c r="Y231" s="55" t="e">
        <v>#DIV/0!</v>
      </c>
      <c r="Z231" s="55" t="e">
        <v>#DIV/0!</v>
      </c>
      <c r="AA231" s="55" t="e">
        <v>#DIV/0!</v>
      </c>
      <c r="AB231" s="56" t="e">
        <f t="shared" si="27"/>
        <v>#DIV/0!</v>
      </c>
      <c r="AC231" s="56" t="e">
        <f t="shared" si="27"/>
        <v>#DIV/0!</v>
      </c>
      <c r="AD231" s="56" t="e">
        <f t="shared" si="27"/>
        <v>#DIV/0!</v>
      </c>
      <c r="AE231" s="57" t="e">
        <f t="shared" si="24"/>
        <v>#DIV/0!</v>
      </c>
      <c r="AF231" s="57" t="e">
        <v>#DIV/0!</v>
      </c>
      <c r="AG231" s="57" t="e">
        <f t="shared" si="25"/>
        <v>#DIV/0!</v>
      </c>
      <c r="AH231" s="57" t="e">
        <v>#DIV/0!</v>
      </c>
      <c r="AI231" s="57" t="e">
        <f t="shared" si="26"/>
        <v>#DIV/0!</v>
      </c>
      <c r="AJ231" s="57" t="e">
        <v>#DIV/0!</v>
      </c>
    </row>
    <row r="232" spans="1:36" ht="15.75">
      <c r="A232" s="48">
        <v>750</v>
      </c>
      <c r="B232" s="48">
        <v>800</v>
      </c>
      <c r="C232" s="49"/>
      <c r="D232" s="49"/>
      <c r="E232" s="49"/>
      <c r="F232" s="49"/>
      <c r="G232" s="49"/>
      <c r="H232" s="59"/>
      <c r="I232" s="50" t="e">
        <v>#DIV/0!</v>
      </c>
      <c r="J232" s="50" t="e">
        <v>#DIV/0!</v>
      </c>
      <c r="K232" s="50"/>
      <c r="L232" s="50" t="e">
        <v>#DIV/0!</v>
      </c>
      <c r="M232" s="50" t="e">
        <v>#DIV/0!</v>
      </c>
      <c r="N232" s="55"/>
      <c r="O232" s="120"/>
      <c r="P232" s="108" t="str">
        <f t="shared" si="21"/>
        <v>(750, 800]</v>
      </c>
      <c r="Q232" s="53" t="s">
        <v>158</v>
      </c>
      <c r="R232" s="50" t="e">
        <f t="shared" si="23"/>
        <v>#DIV/0!</v>
      </c>
      <c r="S232" s="54">
        <v>8000</v>
      </c>
      <c r="T232" s="54">
        <v>0</v>
      </c>
      <c r="U232" s="54">
        <v>0</v>
      </c>
      <c r="V232" s="55" t="e">
        <v>#DIV/0!</v>
      </c>
      <c r="W232" s="55" t="e">
        <v>#DIV/0!</v>
      </c>
      <c r="X232" s="55" t="e">
        <v>#DIV/0!</v>
      </c>
      <c r="Y232" s="55" t="e">
        <v>#DIV/0!</v>
      </c>
      <c r="Z232" s="55" t="e">
        <v>#DIV/0!</v>
      </c>
      <c r="AA232" s="55" t="e">
        <v>#DIV/0!</v>
      </c>
      <c r="AB232" s="56" t="e">
        <f t="shared" si="27"/>
        <v>#DIV/0!</v>
      </c>
      <c r="AC232" s="56" t="e">
        <f t="shared" si="27"/>
        <v>#DIV/0!</v>
      </c>
      <c r="AD232" s="56" t="e">
        <f t="shared" si="27"/>
        <v>#DIV/0!</v>
      </c>
      <c r="AE232" s="57" t="e">
        <f t="shared" si="24"/>
        <v>#DIV/0!</v>
      </c>
      <c r="AF232" s="57" t="e">
        <v>#DIV/0!</v>
      </c>
      <c r="AG232" s="57" t="e">
        <f t="shared" si="25"/>
        <v>#DIV/0!</v>
      </c>
      <c r="AH232" s="57" t="e">
        <v>#DIV/0!</v>
      </c>
      <c r="AI232" s="57" t="e">
        <f t="shared" si="26"/>
        <v>#DIV/0!</v>
      </c>
      <c r="AJ232" s="57" t="e">
        <v>#DIV/0!</v>
      </c>
    </row>
    <row r="233" spans="1:36" ht="15.75">
      <c r="A233" s="48">
        <v>800</v>
      </c>
      <c r="B233" s="48">
        <v>850</v>
      </c>
      <c r="C233" s="49"/>
      <c r="D233" s="49"/>
      <c r="E233" s="49"/>
      <c r="F233" s="49"/>
      <c r="G233" s="49"/>
      <c r="H233" s="59"/>
      <c r="I233" s="50" t="e">
        <v>#DIV/0!</v>
      </c>
      <c r="J233" s="50" t="e">
        <v>#DIV/0!</v>
      </c>
      <c r="K233" s="50"/>
      <c r="L233" s="50" t="e">
        <v>#DIV/0!</v>
      </c>
      <c r="M233" s="50" t="e">
        <v>#DIV/0!</v>
      </c>
      <c r="N233" s="55"/>
      <c r="O233" s="120"/>
      <c r="P233" s="108" t="str">
        <f t="shared" si="21"/>
        <v>(800, 850]</v>
      </c>
      <c r="Q233" s="53" t="s">
        <v>158</v>
      </c>
      <c r="R233" s="50" t="e">
        <f t="shared" si="23"/>
        <v>#DIV/0!</v>
      </c>
      <c r="S233" s="54">
        <v>0.2</v>
      </c>
      <c r="T233" s="54">
        <v>0</v>
      </c>
      <c r="U233" s="54">
        <v>0</v>
      </c>
      <c r="V233" s="55" t="e">
        <v>#DIV/0!</v>
      </c>
      <c r="W233" s="55" t="e">
        <v>#DIV/0!</v>
      </c>
      <c r="X233" s="55" t="e">
        <v>#DIV/0!</v>
      </c>
      <c r="Y233" s="55" t="e">
        <v>#DIV/0!</v>
      </c>
      <c r="Z233" s="55" t="e">
        <v>#DIV/0!</v>
      </c>
      <c r="AA233" s="55" t="e">
        <v>#DIV/0!</v>
      </c>
      <c r="AB233" s="56" t="e">
        <f t="shared" si="27"/>
        <v>#DIV/0!</v>
      </c>
      <c r="AC233" s="56" t="e">
        <f t="shared" si="27"/>
        <v>#DIV/0!</v>
      </c>
      <c r="AD233" s="56" t="e">
        <f t="shared" si="27"/>
        <v>#DIV/0!</v>
      </c>
      <c r="AE233" s="57" t="e">
        <f t="shared" si="24"/>
        <v>#DIV/0!</v>
      </c>
      <c r="AF233" s="57" t="e">
        <v>#DIV/0!</v>
      </c>
      <c r="AG233" s="57" t="e">
        <f t="shared" si="25"/>
        <v>#DIV/0!</v>
      </c>
      <c r="AH233" s="57" t="e">
        <v>#DIV/0!</v>
      </c>
      <c r="AI233" s="57" t="e">
        <f t="shared" si="26"/>
        <v>#DIV/0!</v>
      </c>
      <c r="AJ233" s="57" t="e">
        <v>#DIV/0!</v>
      </c>
    </row>
    <row r="234" spans="1:36" ht="15.75">
      <c r="A234" s="48">
        <v>850</v>
      </c>
      <c r="B234" s="48">
        <v>900</v>
      </c>
      <c r="C234" s="49"/>
      <c r="D234" s="49"/>
      <c r="E234" s="49"/>
      <c r="F234" s="49"/>
      <c r="G234" s="49"/>
      <c r="H234" s="59"/>
      <c r="I234" s="50" t="e">
        <v>#DIV/0!</v>
      </c>
      <c r="J234" s="50" t="e">
        <v>#DIV/0!</v>
      </c>
      <c r="K234" s="50"/>
      <c r="L234" s="50" t="e">
        <v>#DIV/0!</v>
      </c>
      <c r="M234" s="50" t="e">
        <v>#DIV/0!</v>
      </c>
      <c r="N234" s="55"/>
      <c r="O234" s="120"/>
      <c r="P234" s="108" t="str">
        <f t="shared" si="21"/>
        <v>(850, 900]</v>
      </c>
      <c r="Q234" s="53" t="s">
        <v>158</v>
      </c>
      <c r="R234" s="50" t="e">
        <f t="shared" si="23"/>
        <v>#DIV/0!</v>
      </c>
      <c r="S234" s="54">
        <v>0.2</v>
      </c>
      <c r="T234" s="54">
        <v>0</v>
      </c>
      <c r="U234" s="54">
        <v>0</v>
      </c>
      <c r="V234" s="55" t="e">
        <v>#DIV/0!</v>
      </c>
      <c r="W234" s="55" t="e">
        <v>#DIV/0!</v>
      </c>
      <c r="X234" s="55" t="e">
        <v>#DIV/0!</v>
      </c>
      <c r="Y234" s="55" t="e">
        <v>#DIV/0!</v>
      </c>
      <c r="Z234" s="55" t="e">
        <v>#DIV/0!</v>
      </c>
      <c r="AA234" s="55" t="e">
        <v>#DIV/0!</v>
      </c>
      <c r="AB234" s="56" t="e">
        <f t="shared" si="27"/>
        <v>#DIV/0!</v>
      </c>
      <c r="AC234" s="56" t="e">
        <f t="shared" si="27"/>
        <v>#DIV/0!</v>
      </c>
      <c r="AD234" s="56" t="e">
        <f t="shared" si="27"/>
        <v>#DIV/0!</v>
      </c>
      <c r="AE234" s="57" t="e">
        <f t="shared" si="24"/>
        <v>#DIV/0!</v>
      </c>
      <c r="AF234" s="57" t="e">
        <v>#DIV/0!</v>
      </c>
      <c r="AG234" s="57" t="e">
        <f t="shared" si="25"/>
        <v>#DIV/0!</v>
      </c>
      <c r="AH234" s="57" t="e">
        <v>#DIV/0!</v>
      </c>
      <c r="AI234" s="57" t="e">
        <f t="shared" si="26"/>
        <v>#DIV/0!</v>
      </c>
      <c r="AJ234" s="57" t="e">
        <v>#DIV/0!</v>
      </c>
    </row>
    <row r="235" spans="1:36" ht="15.75">
      <c r="A235" s="48">
        <v>900</v>
      </c>
      <c r="B235" s="48">
        <v>950</v>
      </c>
      <c r="C235" s="49"/>
      <c r="D235" s="49"/>
      <c r="E235" s="49"/>
      <c r="F235" s="49"/>
      <c r="G235" s="49"/>
      <c r="H235" s="59"/>
      <c r="I235" s="50" t="e">
        <v>#DIV/0!</v>
      </c>
      <c r="J235" s="50" t="e">
        <v>#DIV/0!</v>
      </c>
      <c r="K235" s="50"/>
      <c r="L235" s="50" t="e">
        <v>#DIV/0!</v>
      </c>
      <c r="M235" s="50" t="e">
        <v>#DIV/0!</v>
      </c>
      <c r="N235" s="55"/>
      <c r="O235" s="120"/>
      <c r="P235" s="108" t="str">
        <f t="shared" si="21"/>
        <v>(900, 950]</v>
      </c>
      <c r="Q235" s="53" t="s">
        <v>158</v>
      </c>
      <c r="R235" s="50" t="e">
        <f t="shared" si="23"/>
        <v>#DIV/0!</v>
      </c>
      <c r="S235" s="54">
        <v>0.1</v>
      </c>
      <c r="T235" s="54">
        <v>0</v>
      </c>
      <c r="U235" s="54">
        <v>0</v>
      </c>
      <c r="V235" s="55" t="e">
        <v>#DIV/0!</v>
      </c>
      <c r="W235" s="55" t="e">
        <v>#DIV/0!</v>
      </c>
      <c r="X235" s="55" t="e">
        <v>#DIV/0!</v>
      </c>
      <c r="Y235" s="55" t="e">
        <v>#DIV/0!</v>
      </c>
      <c r="Z235" s="55" t="e">
        <v>#DIV/0!</v>
      </c>
      <c r="AA235" s="55" t="e">
        <v>#DIV/0!</v>
      </c>
      <c r="AB235" s="56" t="e">
        <f t="shared" si="27"/>
        <v>#DIV/0!</v>
      </c>
      <c r="AC235" s="56" t="e">
        <f t="shared" si="27"/>
        <v>#DIV/0!</v>
      </c>
      <c r="AD235" s="56" t="e">
        <f t="shared" si="27"/>
        <v>#DIV/0!</v>
      </c>
      <c r="AE235" s="57" t="e">
        <f t="shared" si="24"/>
        <v>#DIV/0!</v>
      </c>
      <c r="AF235" s="57" t="e">
        <v>#DIV/0!</v>
      </c>
      <c r="AG235" s="57" t="e">
        <f t="shared" si="25"/>
        <v>#DIV/0!</v>
      </c>
      <c r="AH235" s="57" t="e">
        <v>#DIV/0!</v>
      </c>
      <c r="AI235" s="57" t="e">
        <f t="shared" si="26"/>
        <v>#DIV/0!</v>
      </c>
      <c r="AJ235" s="57" t="e">
        <v>#DIV/0!</v>
      </c>
    </row>
    <row r="236" spans="1:36" ht="15.75">
      <c r="A236" s="48">
        <v>950</v>
      </c>
      <c r="B236" s="48">
        <v>1000</v>
      </c>
      <c r="C236" s="116"/>
      <c r="D236" s="49"/>
      <c r="E236" s="49"/>
      <c r="F236" s="49"/>
      <c r="G236" s="49"/>
      <c r="H236" s="59"/>
      <c r="I236" s="50" t="e">
        <v>#DIV/0!</v>
      </c>
      <c r="J236" s="50" t="e">
        <v>#DIV/0!</v>
      </c>
      <c r="K236" s="50"/>
      <c r="L236" s="50" t="e">
        <v>#DIV/0!</v>
      </c>
      <c r="M236" s="50" t="e">
        <v>#DIV/0!</v>
      </c>
      <c r="N236" s="55"/>
      <c r="O236" s="120"/>
      <c r="P236" s="108" t="str">
        <f t="shared" si="21"/>
        <v>(950, 1000]</v>
      </c>
      <c r="Q236" s="53" t="s">
        <v>158</v>
      </c>
      <c r="R236" s="50" t="e">
        <f t="shared" si="23"/>
        <v>#DIV/0!</v>
      </c>
      <c r="S236" s="54">
        <v>0.1</v>
      </c>
      <c r="T236" s="54">
        <v>0</v>
      </c>
      <c r="U236" s="54">
        <v>0</v>
      </c>
      <c r="V236" s="55" t="e">
        <v>#DIV/0!</v>
      </c>
      <c r="W236" s="55" t="e">
        <v>#DIV/0!</v>
      </c>
      <c r="X236" s="55" t="e">
        <v>#DIV/0!</v>
      </c>
      <c r="Y236" s="55" t="e">
        <v>#DIV/0!</v>
      </c>
      <c r="Z236" s="55" t="e">
        <v>#DIV/0!</v>
      </c>
      <c r="AA236" s="55" t="e">
        <v>#DIV/0!</v>
      </c>
      <c r="AB236" s="56" t="e">
        <f t="shared" si="27"/>
        <v>#DIV/0!</v>
      </c>
      <c r="AC236" s="56" t="e">
        <f t="shared" si="27"/>
        <v>#DIV/0!</v>
      </c>
      <c r="AD236" s="56" t="e">
        <f t="shared" si="27"/>
        <v>#DIV/0!</v>
      </c>
      <c r="AE236" s="57" t="e">
        <f t="shared" si="24"/>
        <v>#DIV/0!</v>
      </c>
      <c r="AF236" s="57" t="e">
        <v>#DIV/0!</v>
      </c>
      <c r="AG236" s="57" t="e">
        <f t="shared" si="25"/>
        <v>#DIV/0!</v>
      </c>
      <c r="AH236" s="57" t="e">
        <v>#DIV/0!</v>
      </c>
      <c r="AI236" s="57" t="e">
        <f t="shared" si="26"/>
        <v>#DIV/0!</v>
      </c>
      <c r="AJ236" s="57" t="e">
        <v>#DIV/0!</v>
      </c>
    </row>
    <row r="237" spans="1:36" ht="15.75">
      <c r="A237" s="48">
        <v>1000</v>
      </c>
      <c r="B237" s="48">
        <v>2000</v>
      </c>
      <c r="C237" s="49"/>
      <c r="D237" s="49"/>
      <c r="E237" s="49"/>
      <c r="F237" s="49"/>
      <c r="G237" s="49"/>
      <c r="H237" s="59"/>
      <c r="I237" s="50" t="e">
        <v>#DIV/0!</v>
      </c>
      <c r="J237" s="50" t="e">
        <v>#DIV/0!</v>
      </c>
      <c r="K237" s="50"/>
      <c r="L237" s="50" t="e">
        <v>#DIV/0!</v>
      </c>
      <c r="M237" s="50" t="e">
        <v>#DIV/0!</v>
      </c>
      <c r="N237" s="55"/>
      <c r="O237" s="120"/>
      <c r="P237" s="108" t="str">
        <f t="shared" si="21"/>
        <v>(1000, 2000]</v>
      </c>
      <c r="Q237" s="53" t="s">
        <v>158</v>
      </c>
      <c r="R237" s="50" t="e">
        <f t="shared" si="23"/>
        <v>#DIV/0!</v>
      </c>
      <c r="S237" s="54">
        <v>0.01</v>
      </c>
      <c r="T237" s="54">
        <v>0</v>
      </c>
      <c r="U237" s="54">
        <v>0</v>
      </c>
      <c r="V237" s="55" t="e">
        <v>#DIV/0!</v>
      </c>
      <c r="W237" s="55" t="e">
        <v>#DIV/0!</v>
      </c>
      <c r="X237" s="55" t="e">
        <v>#DIV/0!</v>
      </c>
      <c r="Y237" s="55" t="e">
        <v>#DIV/0!</v>
      </c>
      <c r="Z237" s="55" t="e">
        <v>#DIV/0!</v>
      </c>
      <c r="AA237" s="55" t="e">
        <v>#DIV/0!</v>
      </c>
      <c r="AB237" s="56" t="e">
        <f t="shared" si="27"/>
        <v>#DIV/0!</v>
      </c>
      <c r="AC237" s="56" t="e">
        <f t="shared" si="27"/>
        <v>#DIV/0!</v>
      </c>
      <c r="AD237" s="56" t="e">
        <f t="shared" si="27"/>
        <v>#DIV/0!</v>
      </c>
      <c r="AE237" s="57" t="e">
        <f t="shared" si="24"/>
        <v>#DIV/0!</v>
      </c>
      <c r="AF237" s="57" t="e">
        <v>#DIV/0!</v>
      </c>
      <c r="AG237" s="57" t="e">
        <f t="shared" si="25"/>
        <v>#DIV/0!</v>
      </c>
      <c r="AH237" s="57" t="e">
        <v>#DIV/0!</v>
      </c>
      <c r="AI237" s="57" t="e">
        <f t="shared" si="26"/>
        <v>#DIV/0!</v>
      </c>
      <c r="AJ237" s="57" t="e">
        <v>#DIV/0!</v>
      </c>
    </row>
    <row r="238" spans="1:36" ht="15.75">
      <c r="A238" s="48">
        <v>2000</v>
      </c>
      <c r="B238" s="48">
        <v>3000</v>
      </c>
      <c r="C238" s="49"/>
      <c r="D238" s="49"/>
      <c r="E238" s="49"/>
      <c r="F238" s="49"/>
      <c r="G238" s="116"/>
      <c r="H238" s="59"/>
      <c r="I238" s="50" t="e">
        <v>#DIV/0!</v>
      </c>
      <c r="J238" s="50" t="e">
        <v>#DIV/0!</v>
      </c>
      <c r="K238" s="50"/>
      <c r="L238" s="50" t="e">
        <v>#DIV/0!</v>
      </c>
      <c r="M238" s="50" t="e">
        <v>#DIV/0!</v>
      </c>
      <c r="N238" s="55"/>
      <c r="O238" s="120"/>
      <c r="P238" s="108" t="str">
        <f t="shared" si="21"/>
        <v>(2000, 3000]</v>
      </c>
      <c r="Q238" s="53" t="s">
        <v>158</v>
      </c>
      <c r="R238" s="50" t="e">
        <f t="shared" si="23"/>
        <v>#DIV/0!</v>
      </c>
      <c r="S238" s="54">
        <v>0.01</v>
      </c>
      <c r="T238" s="54">
        <v>0</v>
      </c>
      <c r="U238" s="54">
        <v>0</v>
      </c>
      <c r="V238" s="55" t="e">
        <v>#DIV/0!</v>
      </c>
      <c r="W238" s="55" t="e">
        <v>#DIV/0!</v>
      </c>
      <c r="X238" s="55" t="e">
        <v>#DIV/0!</v>
      </c>
      <c r="Y238" s="55" t="e">
        <v>#DIV/0!</v>
      </c>
      <c r="Z238" s="55" t="e">
        <v>#DIV/0!</v>
      </c>
      <c r="AA238" s="55" t="e">
        <v>#DIV/0!</v>
      </c>
      <c r="AB238" s="56" t="e">
        <f t="shared" si="27"/>
        <v>#DIV/0!</v>
      </c>
      <c r="AC238" s="56" t="e">
        <f t="shared" si="27"/>
        <v>#DIV/0!</v>
      </c>
      <c r="AD238" s="56" t="e">
        <f t="shared" si="27"/>
        <v>#DIV/0!</v>
      </c>
      <c r="AE238" s="57" t="e">
        <f t="shared" si="24"/>
        <v>#DIV/0!</v>
      </c>
      <c r="AF238" s="57" t="e">
        <v>#DIV/0!</v>
      </c>
      <c r="AG238" s="57" t="e">
        <f t="shared" si="25"/>
        <v>#DIV/0!</v>
      </c>
      <c r="AH238" s="57" t="e">
        <v>#DIV/0!</v>
      </c>
      <c r="AI238" s="57" t="e">
        <f t="shared" si="26"/>
        <v>#DIV/0!</v>
      </c>
      <c r="AJ238" s="57" t="e">
        <v>#DIV/0!</v>
      </c>
    </row>
    <row r="239" spans="1:36" ht="15.75">
      <c r="A239" s="48">
        <v>3000</v>
      </c>
      <c r="B239" s="48">
        <v>4000</v>
      </c>
      <c r="C239" s="49"/>
      <c r="D239" s="49"/>
      <c r="E239" s="49"/>
      <c r="F239" s="49"/>
      <c r="G239" s="49"/>
      <c r="H239" s="59"/>
      <c r="I239" s="50" t="e">
        <v>#DIV/0!</v>
      </c>
      <c r="J239" s="50" t="e">
        <v>#DIV/0!</v>
      </c>
      <c r="K239" s="50"/>
      <c r="L239" s="50" t="e">
        <v>#DIV/0!</v>
      </c>
      <c r="M239" s="50" t="e">
        <v>#DIV/0!</v>
      </c>
      <c r="N239" s="55"/>
      <c r="O239" s="120"/>
      <c r="P239" s="108" t="str">
        <f t="shared" si="21"/>
        <v>(3000, 4000]</v>
      </c>
      <c r="Q239" s="53" t="s">
        <v>158</v>
      </c>
      <c r="R239" s="50" t="e">
        <f t="shared" si="23"/>
        <v>#DIV/0!</v>
      </c>
      <c r="S239" s="54">
        <v>0.02</v>
      </c>
      <c r="T239" s="54">
        <v>0</v>
      </c>
      <c r="U239" s="54">
        <v>0</v>
      </c>
      <c r="V239" s="55" t="e">
        <v>#DIV/0!</v>
      </c>
      <c r="W239" s="55" t="e">
        <v>#DIV/0!</v>
      </c>
      <c r="X239" s="55" t="e">
        <v>#DIV/0!</v>
      </c>
      <c r="Y239" s="55" t="e">
        <v>#DIV/0!</v>
      </c>
      <c r="Z239" s="55" t="e">
        <v>#DIV/0!</v>
      </c>
      <c r="AA239" s="55" t="e">
        <v>#DIV/0!</v>
      </c>
      <c r="AB239" s="56" t="e">
        <f t="shared" si="27"/>
        <v>#DIV/0!</v>
      </c>
      <c r="AC239" s="56" t="e">
        <f t="shared" si="27"/>
        <v>#DIV/0!</v>
      </c>
      <c r="AD239" s="56" t="e">
        <f t="shared" si="27"/>
        <v>#DIV/0!</v>
      </c>
      <c r="AE239" s="57" t="e">
        <f t="shared" si="24"/>
        <v>#DIV/0!</v>
      </c>
      <c r="AF239" s="57" t="e">
        <v>#DIV/0!</v>
      </c>
      <c r="AG239" s="57" t="e">
        <f t="shared" si="25"/>
        <v>#DIV/0!</v>
      </c>
      <c r="AH239" s="57" t="e">
        <v>#DIV/0!</v>
      </c>
      <c r="AI239" s="57" t="e">
        <f t="shared" si="26"/>
        <v>#DIV/0!</v>
      </c>
      <c r="AJ239" s="57" t="e">
        <v>#DIV/0!</v>
      </c>
    </row>
    <row r="240" spans="1:36" ht="15.75">
      <c r="A240" s="48">
        <v>4000</v>
      </c>
      <c r="B240" s="48">
        <v>5000</v>
      </c>
      <c r="C240" s="49"/>
      <c r="D240" s="49"/>
      <c r="E240" s="49"/>
      <c r="F240" s="49"/>
      <c r="G240" s="49"/>
      <c r="H240" s="59"/>
      <c r="I240" s="50" t="e">
        <v>#DIV/0!</v>
      </c>
      <c r="J240" s="50" t="e">
        <v>#DIV/0!</v>
      </c>
      <c r="K240" s="50"/>
      <c r="L240" s="50" t="e">
        <v>#DIV/0!</v>
      </c>
      <c r="M240" s="50" t="e">
        <v>#DIV/0!</v>
      </c>
      <c r="N240" s="55"/>
      <c r="O240" s="120"/>
      <c r="P240" s="108" t="str">
        <f t="shared" si="21"/>
        <v>(4000, 5000]</v>
      </c>
      <c r="Q240" s="53" t="s">
        <v>158</v>
      </c>
      <c r="R240" s="50" t="e">
        <f t="shared" si="23"/>
        <v>#DIV/0!</v>
      </c>
      <c r="S240" s="54">
        <v>0.05</v>
      </c>
      <c r="T240" s="54">
        <v>0</v>
      </c>
      <c r="U240" s="54">
        <v>0</v>
      </c>
      <c r="V240" s="55" t="e">
        <v>#DIV/0!</v>
      </c>
      <c r="W240" s="55" t="e">
        <v>#DIV/0!</v>
      </c>
      <c r="X240" s="55" t="e">
        <v>#DIV/0!</v>
      </c>
      <c r="Y240" s="55" t="e">
        <v>#DIV/0!</v>
      </c>
      <c r="Z240" s="55" t="e">
        <v>#DIV/0!</v>
      </c>
      <c r="AA240" s="55" t="e">
        <v>#DIV/0!</v>
      </c>
      <c r="AB240" s="56" t="e">
        <f t="shared" si="27"/>
        <v>#DIV/0!</v>
      </c>
      <c r="AC240" s="56" t="e">
        <f t="shared" si="27"/>
        <v>#DIV/0!</v>
      </c>
      <c r="AD240" s="56" t="e">
        <f t="shared" si="27"/>
        <v>#DIV/0!</v>
      </c>
      <c r="AE240" s="57" t="e">
        <f t="shared" si="24"/>
        <v>#DIV/0!</v>
      </c>
      <c r="AF240" s="57" t="e">
        <v>#DIV/0!</v>
      </c>
      <c r="AG240" s="57" t="e">
        <f t="shared" si="25"/>
        <v>#DIV/0!</v>
      </c>
      <c r="AH240" s="57" t="e">
        <v>#DIV/0!</v>
      </c>
      <c r="AI240" s="57" t="e">
        <f t="shared" si="26"/>
        <v>#DIV/0!</v>
      </c>
      <c r="AJ240" s="57" t="e">
        <v>#DIV/0!</v>
      </c>
    </row>
    <row r="241" spans="1:36" ht="15.75">
      <c r="A241" s="48">
        <v>5000</v>
      </c>
      <c r="B241" s="48">
        <v>6000</v>
      </c>
      <c r="C241" s="49"/>
      <c r="D241" s="49"/>
      <c r="E241" s="49"/>
      <c r="F241" s="49"/>
      <c r="G241" s="49"/>
      <c r="H241" s="59"/>
      <c r="I241" s="50" t="e">
        <v>#DIV/0!</v>
      </c>
      <c r="J241" s="50" t="e">
        <v>#DIV/0!</v>
      </c>
      <c r="K241" s="50"/>
      <c r="L241" s="50" t="e">
        <v>#DIV/0!</v>
      </c>
      <c r="M241" s="50" t="e">
        <v>#DIV/0!</v>
      </c>
      <c r="N241" s="55"/>
      <c r="O241" s="120"/>
      <c r="P241" s="108" t="str">
        <f t="shared" si="21"/>
        <v>(5000, 6000]</v>
      </c>
      <c r="Q241" s="53" t="s">
        <v>158</v>
      </c>
      <c r="R241" s="50" t="e">
        <f t="shared" si="23"/>
        <v>#DIV/0!</v>
      </c>
      <c r="S241" s="54">
        <v>0.05</v>
      </c>
      <c r="T241" s="54">
        <v>0</v>
      </c>
      <c r="U241" s="54">
        <v>0</v>
      </c>
      <c r="V241" s="55" t="e">
        <v>#DIV/0!</v>
      </c>
      <c r="W241" s="55" t="e">
        <v>#DIV/0!</v>
      </c>
      <c r="X241" s="55" t="e">
        <v>#DIV/0!</v>
      </c>
      <c r="Y241" s="55" t="e">
        <v>#DIV/0!</v>
      </c>
      <c r="Z241" s="55" t="e">
        <v>#DIV/0!</v>
      </c>
      <c r="AA241" s="55" t="e">
        <v>#DIV/0!</v>
      </c>
      <c r="AB241" s="56" t="e">
        <f t="shared" si="27"/>
        <v>#DIV/0!</v>
      </c>
      <c r="AC241" s="56" t="e">
        <f t="shared" si="27"/>
        <v>#DIV/0!</v>
      </c>
      <c r="AD241" s="56" t="e">
        <f t="shared" si="27"/>
        <v>#DIV/0!</v>
      </c>
      <c r="AE241" s="57" t="e">
        <f t="shared" si="24"/>
        <v>#DIV/0!</v>
      </c>
      <c r="AF241" s="57" t="e">
        <v>#DIV/0!</v>
      </c>
      <c r="AG241" s="57" t="e">
        <f t="shared" si="25"/>
        <v>#DIV/0!</v>
      </c>
      <c r="AH241" s="57" t="e">
        <v>#DIV/0!</v>
      </c>
      <c r="AI241" s="57" t="e">
        <f t="shared" si="26"/>
        <v>#DIV/0!</v>
      </c>
      <c r="AJ241" s="57" t="e">
        <v>#DIV/0!</v>
      </c>
    </row>
    <row r="242" spans="1:36" ht="15.75">
      <c r="A242" s="48">
        <v>6000</v>
      </c>
      <c r="B242" s="48">
        <v>7000</v>
      </c>
      <c r="C242" s="49"/>
      <c r="D242" s="116"/>
      <c r="E242" s="49"/>
      <c r="F242" s="49"/>
      <c r="G242" s="49"/>
      <c r="H242" s="59"/>
      <c r="I242" s="50" t="e">
        <v>#DIV/0!</v>
      </c>
      <c r="J242" s="50" t="e">
        <v>#DIV/0!</v>
      </c>
      <c r="K242" s="50"/>
      <c r="L242" s="50" t="e">
        <v>#DIV/0!</v>
      </c>
      <c r="M242" s="50" t="e">
        <v>#DIV/0!</v>
      </c>
      <c r="N242" s="55"/>
      <c r="O242" s="120"/>
      <c r="P242" s="108" t="str">
        <f t="shared" si="21"/>
        <v>(6000, 7000]</v>
      </c>
      <c r="Q242" s="53" t="s">
        <v>158</v>
      </c>
      <c r="R242" s="50" t="e">
        <f t="shared" si="23"/>
        <v>#DIV/0!</v>
      </c>
      <c r="S242" s="54">
        <v>0.02</v>
      </c>
      <c r="T242" s="54">
        <v>0</v>
      </c>
      <c r="U242" s="54">
        <v>0</v>
      </c>
      <c r="V242" s="55" t="e">
        <v>#DIV/0!</v>
      </c>
      <c r="W242" s="55" t="e">
        <v>#DIV/0!</v>
      </c>
      <c r="X242" s="55" t="e">
        <v>#DIV/0!</v>
      </c>
      <c r="Y242" s="55" t="e">
        <v>#DIV/0!</v>
      </c>
      <c r="Z242" s="55" t="e">
        <v>#DIV/0!</v>
      </c>
      <c r="AA242" s="55" t="e">
        <v>#DIV/0!</v>
      </c>
      <c r="AB242" s="56" t="e">
        <f t="shared" si="27"/>
        <v>#DIV/0!</v>
      </c>
      <c r="AC242" s="56" t="e">
        <f t="shared" si="27"/>
        <v>#DIV/0!</v>
      </c>
      <c r="AD242" s="56" t="e">
        <f t="shared" si="27"/>
        <v>#DIV/0!</v>
      </c>
      <c r="AE242" s="57" t="e">
        <f t="shared" si="24"/>
        <v>#DIV/0!</v>
      </c>
      <c r="AF242" s="57" t="e">
        <v>#DIV/0!</v>
      </c>
      <c r="AG242" s="57" t="e">
        <f t="shared" si="25"/>
        <v>#DIV/0!</v>
      </c>
      <c r="AH242" s="57" t="e">
        <v>#DIV/0!</v>
      </c>
      <c r="AI242" s="57" t="e">
        <f t="shared" si="26"/>
        <v>#DIV/0!</v>
      </c>
      <c r="AJ242" s="57" t="e">
        <v>#DIV/0!</v>
      </c>
    </row>
    <row r="243" spans="1:36" ht="15.75">
      <c r="A243" s="48">
        <v>7000</v>
      </c>
      <c r="B243" s="48">
        <v>8000</v>
      </c>
      <c r="C243" s="49"/>
      <c r="D243" s="49"/>
      <c r="E243" s="49"/>
      <c r="F243" s="49"/>
      <c r="G243" s="49"/>
      <c r="H243" s="59"/>
      <c r="I243" s="50" t="e">
        <v>#DIV/0!</v>
      </c>
      <c r="J243" s="50" t="e">
        <v>#DIV/0!</v>
      </c>
      <c r="K243" s="50"/>
      <c r="L243" s="50" t="e">
        <v>#DIV/0!</v>
      </c>
      <c r="M243" s="50" t="e">
        <v>#DIV/0!</v>
      </c>
      <c r="N243" s="55"/>
      <c r="O243" s="120"/>
      <c r="P243" s="108" t="str">
        <f t="shared" si="21"/>
        <v>(7000, 8000]</v>
      </c>
      <c r="Q243" s="53" t="s">
        <v>158</v>
      </c>
      <c r="R243" s="50" t="e">
        <f t="shared" si="23"/>
        <v>#DIV/0!</v>
      </c>
      <c r="S243" s="54">
        <v>8.0000000000000002E-3</v>
      </c>
      <c r="T243" s="54">
        <v>0</v>
      </c>
      <c r="U243" s="54">
        <v>0</v>
      </c>
      <c r="V243" s="55" t="e">
        <v>#DIV/0!</v>
      </c>
      <c r="W243" s="55" t="e">
        <v>#DIV/0!</v>
      </c>
      <c r="X243" s="55" t="e">
        <v>#DIV/0!</v>
      </c>
      <c r="Y243" s="55" t="e">
        <v>#DIV/0!</v>
      </c>
      <c r="Z243" s="55" t="e">
        <v>#DIV/0!</v>
      </c>
      <c r="AA243" s="55" t="e">
        <v>#DIV/0!</v>
      </c>
      <c r="AB243" s="56" t="e">
        <f t="shared" si="27"/>
        <v>#DIV/0!</v>
      </c>
      <c r="AC243" s="56" t="e">
        <f t="shared" si="27"/>
        <v>#DIV/0!</v>
      </c>
      <c r="AD243" s="56" t="e">
        <f t="shared" si="27"/>
        <v>#DIV/0!</v>
      </c>
      <c r="AE243" s="57" t="e">
        <f t="shared" si="24"/>
        <v>#DIV/0!</v>
      </c>
      <c r="AF243" s="57" t="e">
        <v>#DIV/0!</v>
      </c>
      <c r="AG243" s="57" t="e">
        <f t="shared" si="25"/>
        <v>#DIV/0!</v>
      </c>
      <c r="AH243" s="57" t="e">
        <v>#DIV/0!</v>
      </c>
      <c r="AI243" s="57" t="e">
        <f t="shared" si="26"/>
        <v>#DIV/0!</v>
      </c>
      <c r="AJ243" s="57" t="e">
        <v>#DIV/0!</v>
      </c>
    </row>
    <row r="244" spans="1:36" ht="15.75">
      <c r="A244" s="48"/>
      <c r="B244" s="48"/>
      <c r="C244" s="49"/>
      <c r="D244" s="49"/>
      <c r="E244" s="49"/>
      <c r="F244" s="49"/>
      <c r="G244" s="49"/>
      <c r="H244" s="59"/>
      <c r="I244" s="50" t="e">
        <v>#DIV/0!</v>
      </c>
      <c r="J244" s="50" t="e">
        <v>#DIV/0!</v>
      </c>
      <c r="K244" s="50"/>
      <c r="L244" s="50" t="e">
        <v>#DIV/0!</v>
      </c>
      <c r="M244" s="50" t="e">
        <v>#DIV/0!</v>
      </c>
      <c r="N244" s="55"/>
      <c r="O244" s="120"/>
      <c r="P244" s="108" t="str">
        <f t="shared" si="21"/>
        <v>(, ]</v>
      </c>
      <c r="Q244" s="53" t="s">
        <v>158</v>
      </c>
      <c r="R244" s="50" t="e">
        <f t="shared" si="23"/>
        <v>#DIV/0!</v>
      </c>
      <c r="S244" s="54">
        <v>0</v>
      </c>
      <c r="T244" s="54">
        <v>0</v>
      </c>
      <c r="U244" s="54">
        <v>0</v>
      </c>
      <c r="V244" s="55" t="e">
        <v>#DIV/0!</v>
      </c>
      <c r="W244" s="55" t="e">
        <v>#DIV/0!</v>
      </c>
      <c r="X244" s="55" t="e">
        <v>#DIV/0!</v>
      </c>
      <c r="Y244" s="55" t="e">
        <v>#DIV/0!</v>
      </c>
      <c r="Z244" s="55" t="e">
        <v>#DIV/0!</v>
      </c>
      <c r="AA244" s="55" t="e">
        <v>#DIV/0!</v>
      </c>
      <c r="AB244" s="56" t="e">
        <f t="shared" si="27"/>
        <v>#DIV/0!</v>
      </c>
      <c r="AC244" s="56" t="e">
        <f t="shared" si="27"/>
        <v>#DIV/0!</v>
      </c>
      <c r="AD244" s="56" t="e">
        <f t="shared" si="27"/>
        <v>#DIV/0!</v>
      </c>
      <c r="AE244" s="57" t="e">
        <f t="shared" si="24"/>
        <v>#DIV/0!</v>
      </c>
      <c r="AF244" s="57" t="e">
        <v>#DIV/0!</v>
      </c>
      <c r="AG244" s="57" t="e">
        <f t="shared" si="25"/>
        <v>#DIV/0!</v>
      </c>
      <c r="AH244" s="57" t="e">
        <v>#DIV/0!</v>
      </c>
      <c r="AI244" s="57" t="e">
        <f t="shared" si="26"/>
        <v>#DIV/0!</v>
      </c>
      <c r="AJ244" s="57" t="e">
        <v>#DIV/0!</v>
      </c>
    </row>
    <row r="245" spans="1:36" ht="15.75">
      <c r="A245" s="48"/>
      <c r="B245" s="48"/>
      <c r="C245" s="49"/>
      <c r="D245" s="49"/>
      <c r="E245" s="49"/>
      <c r="F245" s="49"/>
      <c r="G245" s="49"/>
      <c r="H245" s="59"/>
      <c r="I245" s="50" t="e">
        <v>#DIV/0!</v>
      </c>
      <c r="J245" s="50" t="e">
        <v>#DIV/0!</v>
      </c>
      <c r="K245" s="50"/>
      <c r="L245" s="50" t="e">
        <v>#DIV/0!</v>
      </c>
      <c r="M245" s="50" t="e">
        <v>#DIV/0!</v>
      </c>
      <c r="N245" s="55"/>
      <c r="O245" s="120"/>
      <c r="P245" s="108" t="str">
        <f t="shared" si="21"/>
        <v>(, ]</v>
      </c>
      <c r="Q245" s="53" t="s">
        <v>158</v>
      </c>
      <c r="R245" s="50" t="e">
        <f t="shared" si="23"/>
        <v>#DIV/0!</v>
      </c>
      <c r="S245" s="54">
        <v>0</v>
      </c>
      <c r="T245" s="54">
        <v>0</v>
      </c>
      <c r="U245" s="54">
        <v>0</v>
      </c>
      <c r="V245" s="55" t="e">
        <v>#DIV/0!</v>
      </c>
      <c r="W245" s="55" t="e">
        <v>#DIV/0!</v>
      </c>
      <c r="X245" s="55" t="e">
        <v>#DIV/0!</v>
      </c>
      <c r="Y245" s="55" t="e">
        <v>#DIV/0!</v>
      </c>
      <c r="Z245" s="55" t="e">
        <v>#DIV/0!</v>
      </c>
      <c r="AA245" s="55" t="e">
        <v>#DIV/0!</v>
      </c>
      <c r="AB245" s="56" t="e">
        <f t="shared" si="27"/>
        <v>#DIV/0!</v>
      </c>
      <c r="AC245" s="56" t="e">
        <f t="shared" si="27"/>
        <v>#DIV/0!</v>
      </c>
      <c r="AD245" s="56" t="e">
        <f t="shared" si="27"/>
        <v>#DIV/0!</v>
      </c>
      <c r="AE245" s="57" t="e">
        <f t="shared" si="24"/>
        <v>#DIV/0!</v>
      </c>
      <c r="AF245" s="57" t="e">
        <v>#DIV/0!</v>
      </c>
      <c r="AG245" s="57" t="e">
        <f t="shared" si="25"/>
        <v>#DIV/0!</v>
      </c>
      <c r="AH245" s="57" t="e">
        <v>#DIV/0!</v>
      </c>
      <c r="AI245" s="57" t="e">
        <f t="shared" si="26"/>
        <v>#DIV/0!</v>
      </c>
      <c r="AJ245" s="57" t="e">
        <v>#DIV/0!</v>
      </c>
    </row>
    <row r="246" spans="1:36" ht="15.75">
      <c r="A246" s="48"/>
      <c r="B246" s="48"/>
      <c r="C246" s="49"/>
      <c r="D246" s="49"/>
      <c r="E246" s="49"/>
      <c r="F246" s="49"/>
      <c r="G246" s="49"/>
      <c r="H246" s="59"/>
      <c r="I246" s="50" t="e">
        <v>#DIV/0!</v>
      </c>
      <c r="J246" s="50" t="e">
        <v>#DIV/0!</v>
      </c>
      <c r="K246" s="50"/>
      <c r="L246" s="50" t="e">
        <v>#DIV/0!</v>
      </c>
      <c r="M246" s="50" t="e">
        <v>#DIV/0!</v>
      </c>
      <c r="N246" s="55"/>
      <c r="O246" s="120"/>
      <c r="P246" s="108" t="str">
        <f t="shared" si="21"/>
        <v>(, ]</v>
      </c>
      <c r="Q246" s="53" t="s">
        <v>158</v>
      </c>
      <c r="R246" s="50" t="e">
        <f t="shared" si="23"/>
        <v>#DIV/0!</v>
      </c>
      <c r="S246" s="54">
        <v>0</v>
      </c>
      <c r="T246" s="54">
        <v>0</v>
      </c>
      <c r="U246" s="54">
        <v>0</v>
      </c>
      <c r="V246" s="55" t="e">
        <v>#DIV/0!</v>
      </c>
      <c r="W246" s="55" t="e">
        <v>#DIV/0!</v>
      </c>
      <c r="X246" s="55" t="e">
        <v>#DIV/0!</v>
      </c>
      <c r="Y246" s="55" t="e">
        <v>#DIV/0!</v>
      </c>
      <c r="Z246" s="55" t="e">
        <v>#DIV/0!</v>
      </c>
      <c r="AA246" s="55" t="e">
        <v>#DIV/0!</v>
      </c>
      <c r="AB246" s="56" t="e">
        <f t="shared" si="27"/>
        <v>#DIV/0!</v>
      </c>
      <c r="AC246" s="56" t="e">
        <f t="shared" si="27"/>
        <v>#DIV/0!</v>
      </c>
      <c r="AD246" s="56" t="e">
        <f t="shared" si="27"/>
        <v>#DIV/0!</v>
      </c>
      <c r="AE246" s="57" t="e">
        <f t="shared" si="24"/>
        <v>#DIV/0!</v>
      </c>
      <c r="AF246" s="57" t="e">
        <v>#DIV/0!</v>
      </c>
      <c r="AG246" s="57" t="e">
        <f t="shared" si="25"/>
        <v>#DIV/0!</v>
      </c>
      <c r="AH246" s="57" t="e">
        <v>#DIV/0!</v>
      </c>
      <c r="AI246" s="57" t="e">
        <f t="shared" si="26"/>
        <v>#DIV/0!</v>
      </c>
      <c r="AJ246" s="57" t="e">
        <v>#DIV/0!</v>
      </c>
    </row>
    <row r="247" spans="1:36" ht="15.75">
      <c r="A247" s="48"/>
      <c r="B247" s="48"/>
      <c r="C247" s="49"/>
      <c r="D247" s="49"/>
      <c r="E247" s="49"/>
      <c r="F247" s="49"/>
      <c r="G247" s="49"/>
      <c r="H247" s="59"/>
      <c r="I247" s="50" t="e">
        <v>#DIV/0!</v>
      </c>
      <c r="J247" s="50" t="e">
        <v>#DIV/0!</v>
      </c>
      <c r="K247" s="50"/>
      <c r="L247" s="50" t="e">
        <v>#DIV/0!</v>
      </c>
      <c r="M247" s="50" t="e">
        <v>#DIV/0!</v>
      </c>
      <c r="N247" s="55"/>
      <c r="O247" s="120"/>
      <c r="P247" s="108" t="str">
        <f t="shared" si="21"/>
        <v>(, ]</v>
      </c>
      <c r="Q247" s="53" t="s">
        <v>158</v>
      </c>
      <c r="R247" s="50" t="e">
        <f t="shared" si="23"/>
        <v>#DIV/0!</v>
      </c>
      <c r="S247" s="54">
        <v>0</v>
      </c>
      <c r="T247" s="54">
        <v>0</v>
      </c>
      <c r="U247" s="54">
        <v>0</v>
      </c>
      <c r="V247" s="55" t="e">
        <v>#DIV/0!</v>
      </c>
      <c r="W247" s="55" t="e">
        <v>#DIV/0!</v>
      </c>
      <c r="X247" s="55" t="e">
        <v>#DIV/0!</v>
      </c>
      <c r="Y247" s="55" t="e">
        <v>#DIV/0!</v>
      </c>
      <c r="Z247" s="55" t="e">
        <v>#DIV/0!</v>
      </c>
      <c r="AA247" s="55" t="e">
        <v>#DIV/0!</v>
      </c>
      <c r="AB247" s="56" t="e">
        <f t="shared" si="27"/>
        <v>#DIV/0!</v>
      </c>
      <c r="AC247" s="56" t="e">
        <f t="shared" si="27"/>
        <v>#DIV/0!</v>
      </c>
      <c r="AD247" s="56" t="e">
        <f t="shared" si="27"/>
        <v>#DIV/0!</v>
      </c>
      <c r="AE247" s="57" t="e">
        <f t="shared" si="24"/>
        <v>#DIV/0!</v>
      </c>
      <c r="AF247" s="57" t="e">
        <v>#DIV/0!</v>
      </c>
      <c r="AG247" s="57" t="e">
        <f t="shared" si="25"/>
        <v>#DIV/0!</v>
      </c>
      <c r="AH247" s="57" t="e">
        <v>#DIV/0!</v>
      </c>
      <c r="AI247" s="57" t="e">
        <f t="shared" si="26"/>
        <v>#DIV/0!</v>
      </c>
      <c r="AJ247" s="57" t="e">
        <v>#DIV/0!</v>
      </c>
    </row>
    <row r="248" spans="1:36" ht="15.75">
      <c r="A248" s="48"/>
      <c r="B248" s="48"/>
      <c r="C248" s="49"/>
      <c r="D248" s="49"/>
      <c r="E248" s="49"/>
      <c r="F248" s="49"/>
      <c r="G248" s="49"/>
      <c r="H248" s="59"/>
      <c r="I248" s="50" t="e">
        <v>#DIV/0!</v>
      </c>
      <c r="J248" s="50" t="e">
        <v>#DIV/0!</v>
      </c>
      <c r="K248" s="50"/>
      <c r="L248" s="50" t="e">
        <v>#DIV/0!</v>
      </c>
      <c r="M248" s="50" t="e">
        <v>#DIV/0!</v>
      </c>
      <c r="N248" s="55"/>
      <c r="O248" s="120"/>
      <c r="P248" s="108" t="str">
        <f t="shared" si="21"/>
        <v>(, ]</v>
      </c>
      <c r="Q248" s="53" t="s">
        <v>158</v>
      </c>
      <c r="R248" s="50" t="e">
        <f t="shared" si="23"/>
        <v>#DIV/0!</v>
      </c>
      <c r="S248" s="54">
        <v>0</v>
      </c>
      <c r="T248" s="54">
        <v>0</v>
      </c>
      <c r="U248" s="54">
        <v>0</v>
      </c>
      <c r="V248" s="55" t="e">
        <v>#DIV/0!</v>
      </c>
      <c r="W248" s="55" t="e">
        <v>#DIV/0!</v>
      </c>
      <c r="X248" s="55" t="e">
        <v>#DIV/0!</v>
      </c>
      <c r="Y248" s="55" t="e">
        <v>#DIV/0!</v>
      </c>
      <c r="Z248" s="55" t="e">
        <v>#DIV/0!</v>
      </c>
      <c r="AA248" s="55" t="e">
        <v>#DIV/0!</v>
      </c>
      <c r="AB248" s="56" t="e">
        <f t="shared" si="27"/>
        <v>#DIV/0!</v>
      </c>
      <c r="AC248" s="56" t="e">
        <f t="shared" si="27"/>
        <v>#DIV/0!</v>
      </c>
      <c r="AD248" s="56" t="e">
        <f t="shared" si="27"/>
        <v>#DIV/0!</v>
      </c>
      <c r="AE248" s="57" t="e">
        <f t="shared" si="24"/>
        <v>#DIV/0!</v>
      </c>
      <c r="AF248" s="57" t="e">
        <v>#DIV/0!</v>
      </c>
      <c r="AG248" s="57" t="e">
        <f t="shared" si="25"/>
        <v>#DIV/0!</v>
      </c>
      <c r="AH248" s="57" t="e">
        <v>#DIV/0!</v>
      </c>
      <c r="AI248" s="57" t="e">
        <f t="shared" si="26"/>
        <v>#DIV/0!</v>
      </c>
      <c r="AJ248" s="57" t="e">
        <v>#DIV/0!</v>
      </c>
    </row>
    <row r="249" spans="1:36" ht="15.75">
      <c r="A249" s="48"/>
      <c r="B249" s="48"/>
      <c r="C249" s="49"/>
      <c r="D249" s="49"/>
      <c r="E249" s="49"/>
      <c r="F249" s="49"/>
      <c r="G249" s="49"/>
      <c r="H249" s="59"/>
      <c r="I249" s="50" t="e">
        <v>#DIV/0!</v>
      </c>
      <c r="J249" s="50" t="e">
        <v>#DIV/0!</v>
      </c>
      <c r="K249" s="50"/>
      <c r="L249" s="50" t="e">
        <v>#DIV/0!</v>
      </c>
      <c r="M249" s="50" t="e">
        <v>#DIV/0!</v>
      </c>
      <c r="N249" s="55"/>
      <c r="O249" s="120"/>
      <c r="P249" s="108" t="str">
        <f t="shared" si="21"/>
        <v>(, ]</v>
      </c>
      <c r="Q249" s="53" t="s">
        <v>158</v>
      </c>
      <c r="R249" s="50" t="e">
        <f t="shared" si="23"/>
        <v>#DIV/0!</v>
      </c>
      <c r="S249" s="54">
        <v>0</v>
      </c>
      <c r="T249" s="54">
        <v>0</v>
      </c>
      <c r="U249" s="54">
        <v>0</v>
      </c>
      <c r="V249" s="55" t="e">
        <v>#DIV/0!</v>
      </c>
      <c r="W249" s="55" t="e">
        <v>#DIV/0!</v>
      </c>
      <c r="X249" s="55" t="e">
        <v>#DIV/0!</v>
      </c>
      <c r="Y249" s="55" t="e">
        <v>#DIV/0!</v>
      </c>
      <c r="Z249" s="55" t="e">
        <v>#DIV/0!</v>
      </c>
      <c r="AA249" s="55" t="e">
        <v>#DIV/0!</v>
      </c>
      <c r="AB249" s="56" t="e">
        <f t="shared" si="27"/>
        <v>#DIV/0!</v>
      </c>
      <c r="AC249" s="56" t="e">
        <f t="shared" si="27"/>
        <v>#DIV/0!</v>
      </c>
      <c r="AD249" s="56" t="e">
        <f t="shared" si="27"/>
        <v>#DIV/0!</v>
      </c>
      <c r="AE249" s="57" t="e">
        <f t="shared" si="24"/>
        <v>#DIV/0!</v>
      </c>
      <c r="AF249" s="57" t="e">
        <v>#DIV/0!</v>
      </c>
      <c r="AG249" s="57" t="e">
        <f t="shared" si="25"/>
        <v>#DIV/0!</v>
      </c>
      <c r="AH249" s="57" t="e">
        <v>#DIV/0!</v>
      </c>
      <c r="AI249" s="57" t="e">
        <f t="shared" si="26"/>
        <v>#DIV/0!</v>
      </c>
      <c r="AJ249" s="57" t="e">
        <v>#DIV/0!</v>
      </c>
    </row>
    <row r="250" spans="1:36" ht="15.75">
      <c r="A250" s="48"/>
      <c r="B250" s="48"/>
      <c r="C250" s="49"/>
      <c r="D250" s="49"/>
      <c r="E250" s="49"/>
      <c r="F250" s="49"/>
      <c r="G250" s="49"/>
      <c r="H250" s="59"/>
      <c r="I250" s="50" t="e">
        <v>#DIV/0!</v>
      </c>
      <c r="J250" s="50" t="e">
        <v>#DIV/0!</v>
      </c>
      <c r="K250" s="50"/>
      <c r="L250" s="48" t="e">
        <v>#DIV/0!</v>
      </c>
      <c r="M250" s="48" t="e">
        <v>#DIV/0!</v>
      </c>
      <c r="N250" s="55"/>
      <c r="O250" s="63"/>
      <c r="P250" s="108" t="str">
        <f t="shared" si="21"/>
        <v>(, ]</v>
      </c>
      <c r="Q250" s="53" t="s">
        <v>158</v>
      </c>
      <c r="R250" s="50" t="e">
        <f t="shared" si="23"/>
        <v>#DIV/0!</v>
      </c>
      <c r="S250" s="54">
        <v>0</v>
      </c>
      <c r="T250" s="54">
        <v>0</v>
      </c>
      <c r="U250" s="54">
        <v>0</v>
      </c>
      <c r="V250" s="55" t="e">
        <v>#DIV/0!</v>
      </c>
      <c r="W250" s="55" t="e">
        <v>#DIV/0!</v>
      </c>
      <c r="X250" s="55" t="e">
        <v>#DIV/0!</v>
      </c>
      <c r="Y250" s="55" t="e">
        <v>#DIV/0!</v>
      </c>
      <c r="Z250" s="55" t="e">
        <v>#DIV/0!</v>
      </c>
      <c r="AA250" s="55" t="e">
        <v>#DIV/0!</v>
      </c>
      <c r="AB250" s="56" t="e">
        <f t="shared" si="27"/>
        <v>#DIV/0!</v>
      </c>
      <c r="AC250" s="56" t="e">
        <f t="shared" si="27"/>
        <v>#DIV/0!</v>
      </c>
      <c r="AD250" s="56" t="e">
        <f t="shared" si="27"/>
        <v>#DIV/0!</v>
      </c>
      <c r="AE250" s="57" t="e">
        <f t="shared" si="24"/>
        <v>#DIV/0!</v>
      </c>
      <c r="AF250" s="57" t="e">
        <v>#DIV/0!</v>
      </c>
      <c r="AG250" s="57" t="e">
        <f t="shared" si="25"/>
        <v>#DIV/0!</v>
      </c>
      <c r="AH250" s="57" t="e">
        <v>#DIV/0!</v>
      </c>
      <c r="AI250" s="57" t="e">
        <f t="shared" si="26"/>
        <v>#DIV/0!</v>
      </c>
      <c r="AJ250" s="57" t="e">
        <v>#DIV/0!</v>
      </c>
    </row>
  </sheetData>
  <mergeCells count="40">
    <mergeCell ref="L190:N190"/>
    <mergeCell ref="P190:P191"/>
    <mergeCell ref="Q190:X190"/>
    <mergeCell ref="Y190:AA190"/>
    <mergeCell ref="AB190:AD190"/>
    <mergeCell ref="A190:A191"/>
    <mergeCell ref="B190:B191"/>
    <mergeCell ref="C190:E190"/>
    <mergeCell ref="F190:H190"/>
    <mergeCell ref="I190:K190"/>
    <mergeCell ref="L127:N127"/>
    <mergeCell ref="P127:P128"/>
    <mergeCell ref="Q127:X127"/>
    <mergeCell ref="Y127:AA127"/>
    <mergeCell ref="AB127:AD127"/>
    <mergeCell ref="A127:A128"/>
    <mergeCell ref="B127:B128"/>
    <mergeCell ref="C127:E127"/>
    <mergeCell ref="F127:H127"/>
    <mergeCell ref="I127:K127"/>
    <mergeCell ref="L62:N62"/>
    <mergeCell ref="P62:P63"/>
    <mergeCell ref="Q62:X62"/>
    <mergeCell ref="Y62:AA62"/>
    <mergeCell ref="AB62:AD62"/>
    <mergeCell ref="A62:A63"/>
    <mergeCell ref="B62:B63"/>
    <mergeCell ref="C62:E62"/>
    <mergeCell ref="F62:H62"/>
    <mergeCell ref="I62:K62"/>
    <mergeCell ref="A3:A4"/>
    <mergeCell ref="B3:B4"/>
    <mergeCell ref="C3:E3"/>
    <mergeCell ref="F3:H3"/>
    <mergeCell ref="AB3:AD3"/>
    <mergeCell ref="I3:K3"/>
    <mergeCell ref="L3:N3"/>
    <mergeCell ref="P3:P4"/>
    <mergeCell ref="Q3:X3"/>
    <mergeCell ref="Y3:AA3"/>
  </mergeCells>
  <phoneticPr fontId="20" type="noConversion"/>
  <conditionalFormatting sqref="AE5:AE5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{9E68AD65-E833-41BC-BFC6-E4D44D1D2A29}</x14:id>
        </ext>
      </extLst>
    </cfRule>
  </conditionalFormatting>
  <conditionalFormatting sqref="AF8:AF5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{F9B079E1-053E-417F-B52C-F5F16CFE4642}</x14:id>
        </ext>
      </extLst>
    </cfRule>
  </conditionalFormatting>
  <conditionalFormatting sqref="AE64:AE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{F46477D9-9247-4167-8A01-CEBEEEED56F6}</x14:id>
        </ext>
      </extLst>
    </cfRule>
  </conditionalFormatting>
  <conditionalFormatting sqref="AF64:AF122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{29C5BF58-701A-498D-A8EC-00C8855966D6}</x14:id>
        </ext>
      </extLst>
    </cfRule>
  </conditionalFormatting>
  <conditionalFormatting sqref="AH8:AH5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{D9435DA5-825B-4229-807C-51379B4A2052}</x14:id>
        </ext>
      </extLst>
    </cfRule>
  </conditionalFormatting>
  <conditionalFormatting sqref="AH64:AH12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{E44210D5-4B3D-4C5B-B047-6784875CF195}</x14:id>
        </ext>
      </extLst>
    </cfRule>
  </conditionalFormatting>
  <conditionalFormatting sqref="AI5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{A7AFE0D3-D854-423D-9D9D-37BD4A191AB9}</x14:id>
        </ext>
      </extLst>
    </cfRule>
  </conditionalFormatting>
  <conditionalFormatting sqref="AJ8:AJ57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{008E3F0B-CCB6-4F52-B10D-28CEB5A0DFE6}</x14:id>
        </ext>
      </extLst>
    </cfRule>
  </conditionalFormatting>
  <conditionalFormatting sqref="AJ64:AJ12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{F85C3F39-2A4C-4E8B-901B-D299063F61D8}</x14:id>
        </ext>
      </extLst>
    </cfRule>
  </conditionalFormatting>
  <conditionalFormatting sqref="AG5:AG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{49C9EA9B-9280-4E09-BC8A-B79A88F3201A}</x14:id>
        </ext>
      </extLst>
    </cfRule>
  </conditionalFormatting>
  <conditionalFormatting sqref="AI5:AI5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{97CE4A22-B4A6-4401-A7A1-BA98FD34CA15}</x14:id>
        </ext>
      </extLst>
    </cfRule>
  </conditionalFormatting>
  <conditionalFormatting sqref="AG64:AG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{06044DD7-8089-49F5-AAA2-1F88486F7EA7}</x14:id>
        </ext>
      </extLst>
    </cfRule>
  </conditionalFormatting>
  <conditionalFormatting sqref="AI64:AI12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{DDAD5CD2-805E-49B0-A2A9-CB2F2460EA78}</x14:id>
        </ext>
      </extLst>
    </cfRule>
  </conditionalFormatting>
  <conditionalFormatting sqref="R129:R188">
    <cfRule type="cellIs" dxfId="677" priority="16" operator="lessThan">
      <formula>$A$58</formula>
    </cfRule>
  </conditionalFormatting>
  <conditionalFormatting sqref="AE129:AE18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{7411881E-B7E7-4A5E-9BBF-75419EE67940}</x14:id>
        </ext>
      </extLst>
    </cfRule>
  </conditionalFormatting>
  <conditionalFormatting sqref="AF129:AF18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{620658FD-6E34-486D-90B6-343E6F25E87A}</x14:id>
        </ext>
      </extLst>
    </cfRule>
  </conditionalFormatting>
  <conditionalFormatting sqref="AH129:AH18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{3BA98DBF-6D3F-43F1-B23B-57F2B3051274}</x14:id>
        </ext>
      </extLst>
    </cfRule>
  </conditionalFormatting>
  <conditionalFormatting sqref="AJ129:AJ18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{099AD1EC-E23C-419F-B0F6-AEE5C6A424CD}</x14:id>
        </ext>
      </extLst>
    </cfRule>
  </conditionalFormatting>
  <conditionalFormatting sqref="AG129:AG18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{CF0E3EB5-ABA4-4A3E-B1E6-408780D49EB7}</x14:id>
        </ext>
      </extLst>
    </cfRule>
  </conditionalFormatting>
  <conditionalFormatting sqref="AI129:AI18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{A6C1679A-0E2D-4E10-AC13-1BCF3BCAE875}</x14:id>
        </ext>
      </extLst>
    </cfRule>
  </conditionalFormatting>
  <conditionalFormatting sqref="R192:R250">
    <cfRule type="cellIs" dxfId="676" priority="9" operator="lessThan">
      <formula>$A$58</formula>
    </cfRule>
  </conditionalFormatting>
  <conditionalFormatting sqref="AE192:AE25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{B28CC76B-DE70-4F65-969B-2D72F91EFFF6}</x14:id>
        </ext>
      </extLst>
    </cfRule>
  </conditionalFormatting>
  <conditionalFormatting sqref="AF192:AF25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{369EB3CB-BB1A-446B-8903-A7D13D177C6D}</x14:id>
        </ext>
      </extLst>
    </cfRule>
  </conditionalFormatting>
  <conditionalFormatting sqref="AH192:AH25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{E0A43A24-54AE-4423-8D9E-E499AF112F41}</x14:id>
        </ext>
      </extLst>
    </cfRule>
  </conditionalFormatting>
  <conditionalFormatting sqref="AJ192:AJ25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{9396838B-1AC4-4277-B510-B110AB99DD2A}</x14:id>
        </ext>
      </extLst>
    </cfRule>
  </conditionalFormatting>
  <conditionalFormatting sqref="AG192:AG25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{29E34A10-B71B-4671-AB7B-E13850432586}</x14:id>
        </ext>
      </extLst>
    </cfRule>
  </conditionalFormatting>
  <conditionalFormatting sqref="AI192:AI2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{DECBB75A-B29E-48E2-AF34-6C782FFFB26F}</x14:id>
        </ext>
      </extLst>
    </cfRule>
  </conditionalFormatting>
  <conditionalFormatting sqref="R5:R57 R64:R122 R129:R187 R192:R250">
    <cfRule type="cellIs" dxfId="675" priority="2" operator="lessThan">
      <formula>0.001</formula>
    </cfRule>
  </conditionalFormatting>
  <conditionalFormatting sqref="AL8:AL6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{D78CCC4F-F78A-4F3D-BFA4-E9A28DB66475}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8AD65-E833-41BC-BFC6-E4D44D1D2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F9B079E1-053E-417F-B52C-F5F16CFE4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F46477D9-9247-4167-8A01-CEBEEEED5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29C5BF58-701A-498D-A8EC-00C885596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D9435DA5-825B-4229-807C-51379B4A20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44210D5-4B3D-4C5B-B047-6784875C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A7AFE0D3-D854-423D-9D9D-37BD4A191A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008E3F0B-CCB6-4F52-B10D-28CEB5A0D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F85C3F39-2A4C-4E8B-901B-D299063F61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49C9EA9B-9280-4E09-BC8A-B79A88F32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CE4A22-B4A6-4401-A7A1-BA98FD34CA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06044DD7-8089-49F5-AAA2-1F88486F7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DDAD5CD2-805E-49B0-A2A9-CB2F2460E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411881E-B7E7-4A5E-9BBF-75419EE67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AE129:AE188</xm:sqref>
        </x14:conditionalFormatting>
        <x14:conditionalFormatting xmlns:xm="http://schemas.microsoft.com/office/excel/2006/main">
          <x14:cfRule type="dataBar" id="{620658FD-6E34-486D-90B6-343E6F25E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AF129:AF188</xm:sqref>
        </x14:conditionalFormatting>
        <x14:conditionalFormatting xmlns:xm="http://schemas.microsoft.com/office/excel/2006/main">
          <x14:cfRule type="dataBar" id="{3BA98DBF-6D3F-43F1-B23B-57F2B30512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AH129:AH188</xm:sqref>
        </x14:conditionalFormatting>
        <x14:conditionalFormatting xmlns:xm="http://schemas.microsoft.com/office/excel/2006/main">
          <x14:cfRule type="dataBar" id="{099AD1EC-E23C-419F-B0F6-AEE5C6A42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AJ129:AJ188</xm:sqref>
        </x14:conditionalFormatting>
        <x14:conditionalFormatting xmlns:xm="http://schemas.microsoft.com/office/excel/2006/main">
          <x14:cfRule type="dataBar" id="{CF0E3EB5-ABA4-4A3E-B1E6-408780D49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AG129:AG188</xm:sqref>
        </x14:conditionalFormatting>
        <x14:conditionalFormatting xmlns:xm="http://schemas.microsoft.com/office/excel/2006/main">
          <x14:cfRule type="dataBar" id="{A6C1679A-0E2D-4E10-AC13-1BCF3BCAE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AI129:AI188</xm:sqref>
        </x14:conditionalFormatting>
        <x14:conditionalFormatting xmlns:xm="http://schemas.microsoft.com/office/excel/2006/main">
          <x14:cfRule type="dataBar" id="{B28CC76B-DE70-4F65-969B-2D72F91EF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AE192:AE250</xm:sqref>
        </x14:conditionalFormatting>
        <x14:conditionalFormatting xmlns:xm="http://schemas.microsoft.com/office/excel/2006/main">
          <x14:cfRule type="dataBar" id="{369EB3CB-BB1A-446B-8903-A7D13D177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AF192:AF250</xm:sqref>
        </x14:conditionalFormatting>
        <x14:conditionalFormatting xmlns:xm="http://schemas.microsoft.com/office/excel/2006/main">
          <x14:cfRule type="dataBar" id="{E0A43A24-54AE-4423-8D9E-E499AF112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AH192:AH250</xm:sqref>
        </x14:conditionalFormatting>
        <x14:conditionalFormatting xmlns:xm="http://schemas.microsoft.com/office/excel/2006/main">
          <x14:cfRule type="dataBar" id="{9396838B-1AC4-4277-B510-B110AB99D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AJ192:AJ250</xm:sqref>
        </x14:conditionalFormatting>
        <x14:conditionalFormatting xmlns:xm="http://schemas.microsoft.com/office/excel/2006/main">
          <x14:cfRule type="dataBar" id="{29E34A10-B71B-4671-AB7B-E13850432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AG192:AG250</xm:sqref>
        </x14:conditionalFormatting>
        <x14:conditionalFormatting xmlns:xm="http://schemas.microsoft.com/office/excel/2006/main">
          <x14:cfRule type="dataBar" id="{DECBB75A-B29E-48E2-AF34-6C782FFFB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AI192:AI250</xm:sqref>
        </x14:conditionalFormatting>
        <x14:conditionalFormatting xmlns:xm="http://schemas.microsoft.com/office/excel/2006/main">
          <x14:cfRule type="dataBar" id="{D78CCC4F-F78A-4F3D-BFA4-E9A28DB66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sheetPr>
    <tabColor theme="3" tint="0.59999389629810485"/>
  </sheetPr>
  <dimension ref="A1:AB16"/>
  <sheetViews>
    <sheetView workbookViewId="0">
      <selection activeCell="G35" sqref="G35"/>
    </sheetView>
  </sheetViews>
  <sheetFormatPr defaultColWidth="8.875" defaultRowHeight="15.75"/>
  <cols>
    <col min="1" max="1" width="13.25" style="16" bestFit="1" customWidth="1"/>
    <col min="2" max="2" width="5.5" style="16" bestFit="1" customWidth="1"/>
    <col min="3" max="3" width="14.625" style="16" bestFit="1" customWidth="1"/>
    <col min="4" max="4" width="16.75" style="16" bestFit="1" customWidth="1"/>
    <col min="5" max="5" width="8.875" style="16"/>
    <col min="6" max="6" width="13.25" style="16" bestFit="1" customWidth="1"/>
    <col min="7" max="7" width="5.5" style="16" bestFit="1" customWidth="1"/>
    <col min="8" max="8" width="13.25" style="16" bestFit="1" customWidth="1"/>
    <col min="9" max="10" width="8.875" style="16"/>
    <col min="11" max="11" width="13.25" style="16" bestFit="1" customWidth="1"/>
    <col min="12" max="12" width="5.5" style="16" bestFit="1" customWidth="1"/>
    <col min="13" max="13" width="14.625" style="16" bestFit="1" customWidth="1"/>
    <col min="14" max="15" width="8.875" style="16"/>
    <col min="16" max="16" width="13.25" style="16" bestFit="1" customWidth="1"/>
    <col min="17" max="17" width="5.5" style="16" bestFit="1" customWidth="1"/>
    <col min="18" max="18" width="13.25" style="16" bestFit="1" customWidth="1"/>
    <col min="19" max="20" width="8.875" style="16"/>
    <col min="21" max="21" width="13.25" style="16" bestFit="1" customWidth="1"/>
    <col min="22" max="22" width="5.5" style="16" bestFit="1" customWidth="1"/>
    <col min="23" max="23" width="16.125" style="16" bestFit="1" customWidth="1"/>
    <col min="24" max="25" width="8.875" style="16"/>
    <col min="26" max="26" width="13.25" style="16" bestFit="1" customWidth="1"/>
    <col min="27" max="27" width="5.5" style="16" bestFit="1" customWidth="1"/>
    <col min="28" max="28" width="16.125" style="16" bestFit="1" customWidth="1"/>
    <col min="29" max="16384" width="8.875" style="16"/>
  </cols>
  <sheetData>
    <row r="1" spans="1:28" ht="17.25" thickBot="1">
      <c r="A1" s="216" t="s">
        <v>164</v>
      </c>
      <c r="B1" s="217"/>
      <c r="C1" s="217"/>
      <c r="D1" s="136"/>
      <c r="E1" s="136"/>
      <c r="F1" s="216" t="s">
        <v>165</v>
      </c>
      <c r="G1" s="217"/>
      <c r="H1" s="217"/>
      <c r="I1"/>
      <c r="J1"/>
      <c r="K1" s="216" t="s">
        <v>166</v>
      </c>
      <c r="L1" s="217"/>
      <c r="M1" s="217"/>
      <c r="N1" s="136"/>
      <c r="O1" s="136"/>
      <c r="P1" s="216" t="s">
        <v>167</v>
      </c>
      <c r="Q1" s="217"/>
      <c r="R1" s="217"/>
      <c r="S1"/>
      <c r="T1"/>
      <c r="U1" s="216" t="s">
        <v>173</v>
      </c>
      <c r="V1" s="217"/>
      <c r="W1" s="218"/>
      <c r="Z1" s="216" t="s">
        <v>174</v>
      </c>
      <c r="AA1" s="217"/>
      <c r="AB1" s="218"/>
    </row>
    <row r="2" spans="1:28" ht="16.5">
      <c r="A2" s="137"/>
      <c r="B2" s="137" t="s">
        <v>169</v>
      </c>
      <c r="C2" s="138" t="s">
        <v>58</v>
      </c>
      <c r="D2" s="110"/>
      <c r="E2" s="139"/>
      <c r="F2" s="137"/>
      <c r="G2" s="137" t="s">
        <v>169</v>
      </c>
      <c r="H2" s="138" t="s">
        <v>51</v>
      </c>
      <c r="I2"/>
      <c r="J2"/>
      <c r="K2" s="137"/>
      <c r="L2" s="137" t="s">
        <v>169</v>
      </c>
      <c r="M2" s="138" t="s">
        <v>58</v>
      </c>
      <c r="N2" s="110"/>
      <c r="O2" s="139"/>
      <c r="P2" s="137"/>
      <c r="Q2" s="137" t="s">
        <v>169</v>
      </c>
      <c r="R2" s="138" t="s">
        <v>51</v>
      </c>
      <c r="S2"/>
      <c r="T2"/>
      <c r="U2" s="137"/>
      <c r="V2" s="137" t="s">
        <v>169</v>
      </c>
      <c r="W2" s="140" t="s">
        <v>168</v>
      </c>
      <c r="Z2" s="137"/>
      <c r="AA2" s="137" t="s">
        <v>169</v>
      </c>
      <c r="AB2" s="140" t="s">
        <v>168</v>
      </c>
    </row>
    <row r="3" spans="1:28" ht="16.5">
      <c r="A3" s="141" t="s">
        <v>170</v>
      </c>
      <c r="B3" s="141">
        <v>0</v>
      </c>
      <c r="C3" s="142">
        <v>61097038</v>
      </c>
      <c r="D3" s="42"/>
      <c r="E3" s="143"/>
      <c r="F3" s="141" t="s">
        <v>170</v>
      </c>
      <c r="G3" s="141">
        <v>0</v>
      </c>
      <c r="H3" s="142">
        <v>60620570</v>
      </c>
      <c r="I3" s="42"/>
      <c r="J3"/>
      <c r="K3" s="141" t="s">
        <v>170</v>
      </c>
      <c r="L3" s="141">
        <v>0</v>
      </c>
      <c r="M3" s="142">
        <v>61097038</v>
      </c>
      <c r="N3" s="42"/>
      <c r="O3" s="143"/>
      <c r="P3" s="141" t="s">
        <v>170</v>
      </c>
      <c r="Q3" s="141">
        <v>0</v>
      </c>
      <c r="R3" s="142">
        <v>60484902</v>
      </c>
      <c r="S3"/>
      <c r="T3"/>
      <c r="U3" s="141" t="s">
        <v>170</v>
      </c>
      <c r="V3" s="141">
        <v>0</v>
      </c>
      <c r="W3" s="144">
        <v>0</v>
      </c>
      <c r="Z3" s="141" t="s">
        <v>170</v>
      </c>
      <c r="AA3" s="141">
        <v>0</v>
      </c>
      <c r="AB3" s="144">
        <v>0</v>
      </c>
    </row>
    <row r="4" spans="1:28" ht="16.5">
      <c r="A4" s="145" t="s">
        <v>170</v>
      </c>
      <c r="B4" s="145">
        <v>1</v>
      </c>
      <c r="C4" s="142">
        <v>31505064</v>
      </c>
      <c r="D4" s="42"/>
      <c r="E4"/>
      <c r="F4" s="145" t="s">
        <v>170</v>
      </c>
      <c r="G4" s="145">
        <v>1</v>
      </c>
      <c r="H4" s="142">
        <v>31921351</v>
      </c>
      <c r="I4"/>
      <c r="J4"/>
      <c r="K4" s="145" t="s">
        <v>170</v>
      </c>
      <c r="L4" s="145">
        <v>1</v>
      </c>
      <c r="M4" s="142">
        <v>31505064</v>
      </c>
      <c r="N4" s="42"/>
      <c r="O4"/>
      <c r="P4" s="145" t="s">
        <v>170</v>
      </c>
      <c r="Q4" s="145">
        <v>1</v>
      </c>
      <c r="R4" s="142">
        <v>32006136</v>
      </c>
      <c r="S4"/>
      <c r="T4"/>
      <c r="U4" s="145" t="s">
        <v>170</v>
      </c>
      <c r="V4" s="145">
        <v>1</v>
      </c>
      <c r="W4" s="144">
        <v>0</v>
      </c>
      <c r="Z4" s="145" t="s">
        <v>170</v>
      </c>
      <c r="AA4" s="145">
        <v>1</v>
      </c>
      <c r="AB4" s="144">
        <v>0</v>
      </c>
    </row>
    <row r="5" spans="1:28" ht="16.5">
      <c r="A5" s="145" t="s">
        <v>170</v>
      </c>
      <c r="B5" s="145">
        <v>2</v>
      </c>
      <c r="C5" s="142">
        <v>6888935</v>
      </c>
      <c r="D5" s="42"/>
      <c r="E5"/>
      <c r="F5" s="145" t="s">
        <v>170</v>
      </c>
      <c r="G5" s="145">
        <v>2</v>
      </c>
      <c r="H5" s="142">
        <v>7035148</v>
      </c>
      <c r="I5"/>
      <c r="J5"/>
      <c r="K5" s="145" t="s">
        <v>170</v>
      </c>
      <c r="L5" s="145">
        <v>2</v>
      </c>
      <c r="M5" s="142">
        <v>6888935</v>
      </c>
      <c r="N5" s="42"/>
      <c r="O5"/>
      <c r="P5" s="145" t="s">
        <v>170</v>
      </c>
      <c r="Q5" s="145">
        <v>2</v>
      </c>
      <c r="R5" s="142">
        <v>7084534</v>
      </c>
      <c r="S5"/>
      <c r="T5"/>
      <c r="U5" s="145" t="s">
        <v>170</v>
      </c>
      <c r="V5" s="145">
        <v>2</v>
      </c>
      <c r="W5" s="144">
        <v>0</v>
      </c>
      <c r="Z5" s="145" t="s">
        <v>170</v>
      </c>
      <c r="AA5" s="145">
        <v>2</v>
      </c>
      <c r="AB5" s="144">
        <v>0</v>
      </c>
    </row>
    <row r="6" spans="1:28" ht="16.5">
      <c r="A6" s="145" t="s">
        <v>170</v>
      </c>
      <c r="B6" s="145">
        <v>3</v>
      </c>
      <c r="C6" s="142">
        <v>479514</v>
      </c>
      <c r="D6"/>
      <c r="E6"/>
      <c r="F6" s="145" t="s">
        <v>170</v>
      </c>
      <c r="G6" s="145">
        <v>3</v>
      </c>
      <c r="H6" s="142">
        <v>398355</v>
      </c>
      <c r="I6"/>
      <c r="J6"/>
      <c r="K6" s="145" t="s">
        <v>170</v>
      </c>
      <c r="L6" s="145">
        <v>3</v>
      </c>
      <c r="M6" s="142">
        <v>479514</v>
      </c>
      <c r="N6"/>
      <c r="O6"/>
      <c r="P6" s="145" t="s">
        <v>170</v>
      </c>
      <c r="Q6" s="145">
        <v>3</v>
      </c>
      <c r="R6" s="142">
        <v>399936</v>
      </c>
      <c r="S6"/>
      <c r="T6"/>
      <c r="U6" s="145" t="s">
        <v>170</v>
      </c>
      <c r="V6" s="145">
        <v>3</v>
      </c>
      <c r="W6" s="142">
        <v>2640000</v>
      </c>
      <c r="Z6" s="145" t="s">
        <v>170</v>
      </c>
      <c r="AA6" s="145">
        <v>3</v>
      </c>
      <c r="AB6" s="142">
        <v>2640000</v>
      </c>
    </row>
    <row r="7" spans="1:28" ht="16.5">
      <c r="A7" s="145" t="s">
        <v>170</v>
      </c>
      <c r="B7" s="145">
        <v>4</v>
      </c>
      <c r="C7" s="142">
        <v>28701</v>
      </c>
      <c r="D7"/>
      <c r="E7"/>
      <c r="F7" s="145" t="s">
        <v>170</v>
      </c>
      <c r="G7" s="145">
        <v>4</v>
      </c>
      <c r="H7" s="142">
        <v>23956</v>
      </c>
      <c r="I7"/>
      <c r="J7"/>
      <c r="K7" s="145" t="s">
        <v>170</v>
      </c>
      <c r="L7" s="145">
        <v>4</v>
      </c>
      <c r="M7" s="142">
        <v>28701</v>
      </c>
      <c r="N7"/>
      <c r="O7"/>
      <c r="P7" s="145" t="s">
        <v>170</v>
      </c>
      <c r="Q7" s="145">
        <v>4</v>
      </c>
      <c r="R7" s="142">
        <v>23860</v>
      </c>
      <c r="S7"/>
      <c r="T7"/>
      <c r="U7" s="145" t="s">
        <v>170</v>
      </c>
      <c r="V7" s="145">
        <v>4</v>
      </c>
      <c r="W7" s="142">
        <v>0</v>
      </c>
      <c r="Z7" s="145" t="s">
        <v>170</v>
      </c>
      <c r="AA7" s="145">
        <v>4</v>
      </c>
      <c r="AB7" s="142">
        <v>0</v>
      </c>
    </row>
    <row r="8" spans="1:28" ht="16.5">
      <c r="A8" s="145" t="s">
        <v>170</v>
      </c>
      <c r="B8" s="145">
        <v>5</v>
      </c>
      <c r="C8" s="142">
        <v>748</v>
      </c>
      <c r="D8"/>
      <c r="E8"/>
      <c r="F8" s="145" t="s">
        <v>170</v>
      </c>
      <c r="G8" s="145">
        <v>5</v>
      </c>
      <c r="H8" s="142">
        <v>620</v>
      </c>
      <c r="I8"/>
      <c r="J8"/>
      <c r="K8" s="145" t="s">
        <v>170</v>
      </c>
      <c r="L8" s="145">
        <v>5</v>
      </c>
      <c r="M8" s="142">
        <v>748</v>
      </c>
      <c r="N8"/>
      <c r="O8"/>
      <c r="P8" s="145" t="s">
        <v>170</v>
      </c>
      <c r="Q8" s="145">
        <v>5</v>
      </c>
      <c r="R8" s="142">
        <v>632</v>
      </c>
      <c r="S8"/>
      <c r="T8"/>
      <c r="U8" s="145" t="s">
        <v>170</v>
      </c>
      <c r="V8" s="145">
        <v>5</v>
      </c>
      <c r="W8" s="142">
        <v>0</v>
      </c>
      <c r="Z8" s="145" t="s">
        <v>170</v>
      </c>
      <c r="AA8" s="145">
        <v>5</v>
      </c>
      <c r="AB8" s="142">
        <v>0</v>
      </c>
    </row>
    <row r="9" spans="1:28" ht="16.5">
      <c r="A9" s="42"/>
      <c r="B9" s="42"/>
      <c r="C9" s="42"/>
      <c r="D9" s="42"/>
      <c r="E9"/>
      <c r="F9" s="42"/>
      <c r="G9" s="42"/>
      <c r="H9" s="42"/>
      <c r="I9"/>
      <c r="J9"/>
      <c r="K9" s="42"/>
      <c r="L9" s="42"/>
      <c r="M9" s="42"/>
      <c r="N9" s="42"/>
      <c r="O9"/>
      <c r="P9" s="42"/>
      <c r="Q9" s="42"/>
      <c r="R9" s="42"/>
      <c r="S9"/>
      <c r="T9"/>
      <c r="U9" s="42"/>
      <c r="V9" s="42"/>
      <c r="W9" s="42"/>
      <c r="Z9" s="42"/>
      <c r="AA9" s="42"/>
      <c r="AB9" s="42"/>
    </row>
    <row r="10" spans="1:28" ht="16.5">
      <c r="A10" s="145" t="s">
        <v>171</v>
      </c>
      <c r="B10" s="145">
        <v>0</v>
      </c>
      <c r="C10" s="142">
        <v>3111332</v>
      </c>
      <c r="D10"/>
      <c r="E10"/>
      <c r="F10" s="145" t="s">
        <v>171</v>
      </c>
      <c r="G10" s="145">
        <v>0</v>
      </c>
      <c r="H10" s="142">
        <v>2575888</v>
      </c>
      <c r="I10"/>
      <c r="J10"/>
      <c r="K10" s="145" t="s">
        <v>171</v>
      </c>
      <c r="L10" s="145">
        <v>0</v>
      </c>
      <c r="M10" s="142">
        <v>3111332</v>
      </c>
      <c r="N10"/>
      <c r="O10"/>
      <c r="P10" s="145" t="s">
        <v>171</v>
      </c>
      <c r="Q10" s="145">
        <v>0</v>
      </c>
      <c r="R10" s="142">
        <v>2608153</v>
      </c>
      <c r="S10"/>
      <c r="T10"/>
      <c r="U10" s="145" t="s">
        <v>171</v>
      </c>
      <c r="V10" s="145">
        <v>0</v>
      </c>
      <c r="W10" s="142">
        <v>16358479</v>
      </c>
      <c r="Z10" s="145" t="s">
        <v>171</v>
      </c>
      <c r="AA10" s="145">
        <v>0</v>
      </c>
      <c r="AB10" s="142">
        <v>16358479</v>
      </c>
    </row>
    <row r="11" spans="1:28" ht="16.5">
      <c r="A11" s="145" t="s">
        <v>171</v>
      </c>
      <c r="B11" s="145">
        <v>1</v>
      </c>
      <c r="C11" s="142">
        <v>1710844</v>
      </c>
      <c r="D11"/>
      <c r="E11"/>
      <c r="F11" s="145" t="s">
        <v>171</v>
      </c>
      <c r="G11" s="145">
        <v>1</v>
      </c>
      <c r="H11" s="142">
        <v>1427828</v>
      </c>
      <c r="I11"/>
      <c r="J11"/>
      <c r="K11" s="145" t="s">
        <v>171</v>
      </c>
      <c r="L11" s="145">
        <v>1</v>
      </c>
      <c r="M11" s="142">
        <v>1710844</v>
      </c>
      <c r="N11"/>
      <c r="O11"/>
      <c r="P11" s="145" t="s">
        <v>171</v>
      </c>
      <c r="Q11" s="145">
        <v>1</v>
      </c>
      <c r="R11" s="142">
        <v>1426949</v>
      </c>
      <c r="S11"/>
      <c r="T11"/>
      <c r="U11" s="145" t="s">
        <v>171</v>
      </c>
      <c r="V11" s="145">
        <v>1</v>
      </c>
      <c r="W11" s="142">
        <v>8843802</v>
      </c>
      <c r="Z11" s="145" t="s">
        <v>171</v>
      </c>
      <c r="AA11" s="145">
        <v>1</v>
      </c>
      <c r="AB11" s="142">
        <v>8843802</v>
      </c>
    </row>
    <row r="12" spans="1:28" ht="16.5">
      <c r="A12" s="145" t="s">
        <v>171</v>
      </c>
      <c r="B12" s="145">
        <v>2</v>
      </c>
      <c r="C12" s="142">
        <v>410718</v>
      </c>
      <c r="D12"/>
      <c r="E12"/>
      <c r="F12" s="145" t="s">
        <v>171</v>
      </c>
      <c r="G12" s="145">
        <v>2</v>
      </c>
      <c r="H12" s="142">
        <v>345014</v>
      </c>
      <c r="I12"/>
      <c r="J12"/>
      <c r="K12" s="145" t="s">
        <v>171</v>
      </c>
      <c r="L12" s="145">
        <v>2</v>
      </c>
      <c r="M12" s="142">
        <v>410718</v>
      </c>
      <c r="N12"/>
      <c r="O12"/>
      <c r="P12" s="145" t="s">
        <v>171</v>
      </c>
      <c r="Q12" s="145">
        <v>2</v>
      </c>
      <c r="R12" s="142">
        <v>342094</v>
      </c>
      <c r="S12"/>
      <c r="T12"/>
      <c r="U12" s="145" t="s">
        <v>171</v>
      </c>
      <c r="V12" s="145">
        <v>2</v>
      </c>
      <c r="W12" s="142">
        <v>2107675</v>
      </c>
      <c r="Z12" s="145" t="s">
        <v>171</v>
      </c>
      <c r="AA12" s="145">
        <v>2</v>
      </c>
      <c r="AB12" s="142">
        <v>2107675</v>
      </c>
    </row>
    <row r="13" spans="1:28" ht="16.5">
      <c r="A13" s="145" t="s">
        <v>171</v>
      </c>
      <c r="B13" s="145">
        <v>3</v>
      </c>
      <c r="C13" s="142">
        <v>33446</v>
      </c>
      <c r="D13"/>
      <c r="E13"/>
      <c r="F13" s="145" t="s">
        <v>171</v>
      </c>
      <c r="G13" s="145">
        <v>3</v>
      </c>
      <c r="H13" s="142">
        <v>27866</v>
      </c>
      <c r="I13"/>
      <c r="J13"/>
      <c r="K13" s="145" t="s">
        <v>171</v>
      </c>
      <c r="L13" s="145">
        <v>3</v>
      </c>
      <c r="M13" s="142">
        <v>33446</v>
      </c>
      <c r="N13"/>
      <c r="O13"/>
      <c r="P13" s="145" t="s">
        <v>171</v>
      </c>
      <c r="Q13" s="145">
        <v>3</v>
      </c>
      <c r="R13" s="142">
        <v>31117</v>
      </c>
      <c r="S13"/>
      <c r="T13"/>
      <c r="U13" s="145" t="s">
        <v>171</v>
      </c>
      <c r="V13" s="145">
        <v>3</v>
      </c>
      <c r="W13" s="142">
        <v>212566</v>
      </c>
      <c r="Z13" s="145" t="s">
        <v>171</v>
      </c>
      <c r="AA13" s="145">
        <v>3</v>
      </c>
      <c r="AB13" s="142">
        <v>212566</v>
      </c>
    </row>
    <row r="14" spans="1:28" ht="16.5">
      <c r="A14" s="145" t="s">
        <v>171</v>
      </c>
      <c r="B14" s="145">
        <v>4</v>
      </c>
      <c r="C14" s="142">
        <v>2306</v>
      </c>
      <c r="D14"/>
      <c r="E14"/>
      <c r="F14" s="145" t="s">
        <v>171</v>
      </c>
      <c r="G14" s="145">
        <v>4</v>
      </c>
      <c r="H14" s="142">
        <v>1931</v>
      </c>
      <c r="I14"/>
      <c r="J14"/>
      <c r="K14" s="145" t="s">
        <v>171</v>
      </c>
      <c r="L14" s="145">
        <v>4</v>
      </c>
      <c r="M14" s="142">
        <v>2306</v>
      </c>
      <c r="N14"/>
      <c r="O14"/>
      <c r="P14" s="145" t="s">
        <v>171</v>
      </c>
      <c r="Q14" s="145">
        <v>4</v>
      </c>
      <c r="R14" s="142">
        <v>2050</v>
      </c>
      <c r="S14"/>
      <c r="T14"/>
      <c r="U14" s="145" t="s">
        <v>171</v>
      </c>
      <c r="V14" s="145">
        <v>4</v>
      </c>
      <c r="W14" s="142">
        <v>14546</v>
      </c>
      <c r="Z14" s="145" t="s">
        <v>171</v>
      </c>
      <c r="AA14" s="145">
        <v>4</v>
      </c>
      <c r="AB14" s="142">
        <v>14546</v>
      </c>
    </row>
    <row r="15" spans="1:28" ht="16.5">
      <c r="A15" s="145" t="s">
        <v>171</v>
      </c>
      <c r="B15" s="145">
        <v>5</v>
      </c>
      <c r="C15" s="142">
        <v>64</v>
      </c>
      <c r="D15"/>
      <c r="E15"/>
      <c r="F15" s="145" t="s">
        <v>171</v>
      </c>
      <c r="G15" s="145">
        <v>5</v>
      </c>
      <c r="H15" s="142">
        <v>58</v>
      </c>
      <c r="I15"/>
      <c r="J15"/>
      <c r="K15" s="145" t="s">
        <v>171</v>
      </c>
      <c r="L15" s="145">
        <v>5</v>
      </c>
      <c r="M15" s="142">
        <v>64</v>
      </c>
      <c r="N15"/>
      <c r="O15"/>
      <c r="P15" s="145" t="s">
        <v>171</v>
      </c>
      <c r="Q15" s="145">
        <v>5</v>
      </c>
      <c r="R15" s="142">
        <v>62</v>
      </c>
      <c r="S15"/>
      <c r="T15"/>
      <c r="U15" s="145" t="s">
        <v>171</v>
      </c>
      <c r="V15" s="145">
        <v>5</v>
      </c>
      <c r="W15" s="142">
        <v>377</v>
      </c>
      <c r="Z15" s="145" t="s">
        <v>171</v>
      </c>
      <c r="AA15" s="145">
        <v>5</v>
      </c>
      <c r="AB15" s="142">
        <v>377</v>
      </c>
    </row>
    <row r="16" spans="1:28" ht="16.5">
      <c r="A16" s="145" t="s">
        <v>172</v>
      </c>
      <c r="B16" s="146"/>
      <c r="C16" s="146">
        <f>_xlfn.FLOOR.MATH(SUM(C4:C8,C11:C15)/SUM(C3:C8)*10^10)</f>
        <v>4106034000</v>
      </c>
      <c r="D16"/>
      <c r="E16"/>
      <c r="F16" s="145" t="s">
        <v>172</v>
      </c>
      <c r="G16" s="146"/>
      <c r="H16" s="146">
        <f>_xlfn.FLOOR.MATH(SUM(H4:H8,H11:H15)/SUM(H3:H8)*10^10)</f>
        <v>4118212700</v>
      </c>
      <c r="I16"/>
      <c r="J16"/>
      <c r="K16" s="145" t="s">
        <v>172</v>
      </c>
      <c r="L16" s="146"/>
      <c r="M16" s="146">
        <f>_xlfn.FLOOR.MATH(SUM(M4:M8,M11:M15)/SUM(M3:M8)*10^10)</f>
        <v>4106034000</v>
      </c>
      <c r="N16"/>
      <c r="O16"/>
      <c r="P16" s="145" t="s">
        <v>172</v>
      </c>
      <c r="Q16" s="146"/>
      <c r="R16" s="146">
        <f>_xlfn.FLOOR.MATH(SUM(R4:R8,R11:R15)/SUM(R3:R8)*10^10)</f>
        <v>4131737000</v>
      </c>
      <c r="S16"/>
      <c r="T16"/>
      <c r="U16" s="145" t="s">
        <v>172</v>
      </c>
      <c r="V16" s="146"/>
      <c r="W16" s="146">
        <f>_xlfn.FLOOR.MATH(SUM(W4:W8,W11:W15)/SUM(W3:W8)*10^10)</f>
        <v>52344568181</v>
      </c>
      <c r="Z16" s="145" t="s">
        <v>172</v>
      </c>
      <c r="AA16" s="146"/>
      <c r="AB16" s="146">
        <f>_xlfn.FLOOR.MATH(SUM(AB4:AB8,AB11:AB15)/SUM(AB3:AB8)*10^10)</f>
        <v>52344568181</v>
      </c>
    </row>
  </sheetData>
  <mergeCells count="6">
    <mergeCell ref="Z1:AB1"/>
    <mergeCell ref="A1:C1"/>
    <mergeCell ref="F1:H1"/>
    <mergeCell ref="K1:M1"/>
    <mergeCell ref="P1:R1"/>
    <mergeCell ref="U1:W1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>
    <tabColor theme="3" tint="0.59999389629810485"/>
  </sheetPr>
  <dimension ref="A1:CK405"/>
  <sheetViews>
    <sheetView topLeftCell="AP1" zoomScaleNormal="100" workbookViewId="0">
      <selection activeCell="BC17" sqref="BC17"/>
    </sheetView>
  </sheetViews>
  <sheetFormatPr defaultColWidth="9" defaultRowHeight="15.75"/>
  <cols>
    <col min="1" max="1" width="17.875" style="1" bestFit="1" customWidth="1"/>
    <col min="2" max="2" width="6.75" style="1" bestFit="1" customWidth="1"/>
    <col min="3" max="3" width="10.5" style="1" bestFit="1" customWidth="1"/>
    <col min="4" max="5" width="8" style="1" bestFit="1" customWidth="1"/>
    <col min="6" max="6" width="13.2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86" customWidth="1"/>
    <col min="11" max="11" width="9.25" style="1" bestFit="1" customWidth="1"/>
    <col min="12" max="12" width="6.125" style="106" bestFit="1" customWidth="1"/>
    <col min="13" max="14" width="7.5" style="106" bestFit="1" customWidth="1"/>
    <col min="15" max="15" width="7.5" style="106" customWidth="1"/>
    <col min="16" max="16" width="7.5" style="106" bestFit="1" customWidth="1"/>
    <col min="17" max="17" width="4.625" style="106" bestFit="1" customWidth="1"/>
    <col min="18" max="18" width="4.625" style="106" customWidth="1"/>
    <col min="19" max="19" width="8.875" style="1" customWidth="1"/>
    <col min="20" max="20" width="4.75" style="1" customWidth="1"/>
    <col min="21" max="25" width="4.75" style="106" customWidth="1"/>
    <col min="26" max="26" width="4.625" style="1" customWidth="1"/>
    <col min="27" max="27" width="8.875" style="1" customWidth="1"/>
    <col min="28" max="28" width="6.875" style="1" bestFit="1" customWidth="1"/>
    <col min="29" max="34" width="5.5" style="1" bestFit="1" customWidth="1"/>
    <col min="35" max="35" width="9" style="1"/>
    <col min="36" max="44" width="9" style="1" customWidth="1"/>
    <col min="45" max="45" width="9" style="1"/>
    <col min="46" max="46" width="17.875" style="1" bestFit="1" customWidth="1"/>
    <col min="47" max="51" width="6.75" style="1" bestFit="1" customWidth="1"/>
    <col min="52" max="52" width="4.25" style="1" bestFit="1" customWidth="1"/>
    <col min="53" max="53" width="5.5" style="1" customWidth="1"/>
    <col min="54" max="54" width="4.75" style="1" customWidth="1"/>
    <col min="55" max="55" width="8.875" style="86" customWidth="1"/>
    <col min="56" max="56" width="9.25" style="1" bestFit="1" customWidth="1"/>
    <col min="57" max="57" width="6.125" style="110" bestFit="1" customWidth="1"/>
    <col min="58" max="59" width="7.5" style="110" bestFit="1" customWidth="1"/>
    <col min="60" max="60" width="7.5" style="110" customWidth="1"/>
    <col min="61" max="61" width="7.5" style="110" bestFit="1" customWidth="1"/>
    <col min="62" max="62" width="4.625" style="110" bestFit="1" customWidth="1"/>
    <col min="63" max="63" width="4.625" style="110" customWidth="1"/>
    <col min="64" max="64" width="8.875" style="1" customWidth="1"/>
    <col min="65" max="65" width="4.75" style="1" customWidth="1"/>
    <col min="66" max="70" width="4.75" style="110" customWidth="1"/>
    <col min="71" max="71" width="4.625" style="1" customWidth="1"/>
    <col min="72" max="72" width="8.875" style="1" customWidth="1"/>
    <col min="73" max="73" width="6.875" style="1" bestFit="1" customWidth="1"/>
    <col min="74" max="79" width="5.5" style="1" bestFit="1" customWidth="1"/>
    <col min="80" max="16384" width="9" style="1"/>
  </cols>
  <sheetData>
    <row r="1" spans="1:89" ht="16.5">
      <c r="K1" s="3"/>
      <c r="T1" s="222" t="s">
        <v>120</v>
      </c>
      <c r="U1" s="222"/>
      <c r="V1" s="222"/>
      <c r="W1" s="222"/>
      <c r="X1" s="222"/>
      <c r="Y1" s="222"/>
      <c r="Z1" s="222"/>
      <c r="AB1" s="224"/>
      <c r="AC1" s="224"/>
      <c r="AD1" s="224"/>
      <c r="AE1" s="224"/>
      <c r="AF1" s="224"/>
      <c r="AG1" s="224"/>
      <c r="AH1" s="224"/>
      <c r="BD1" s="3"/>
      <c r="BM1" s="222" t="s">
        <v>180</v>
      </c>
      <c r="BN1" s="222"/>
      <c r="BO1" s="222"/>
      <c r="BP1" s="222"/>
      <c r="BQ1" s="222"/>
      <c r="BR1" s="222"/>
      <c r="BS1" s="222"/>
      <c r="BU1" s="224"/>
      <c r="BV1" s="224"/>
      <c r="BW1" s="224"/>
      <c r="BX1" s="224"/>
      <c r="BY1" s="224"/>
      <c r="BZ1" s="224"/>
      <c r="CA1" s="224"/>
    </row>
    <row r="2" spans="1:89" s="14" customFormat="1" ht="15.95" customHeight="1">
      <c r="J2" s="87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225" t="s">
        <v>94</v>
      </c>
      <c r="AC2" s="225"/>
      <c r="AD2" s="225"/>
      <c r="AE2" s="225"/>
      <c r="AF2" s="225"/>
      <c r="AG2" s="225"/>
      <c r="AH2" s="225"/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  <c r="BC2" s="87"/>
      <c r="BD2" s="220" t="s">
        <v>119</v>
      </c>
      <c r="BE2" s="220"/>
      <c r="BF2" s="220"/>
      <c r="BG2" s="220"/>
      <c r="BH2" s="220"/>
      <c r="BI2" s="220"/>
      <c r="BJ2" s="220"/>
      <c r="BK2" s="220"/>
      <c r="BM2" s="223" t="s">
        <v>4</v>
      </c>
      <c r="BN2" s="223"/>
      <c r="BO2" s="223"/>
      <c r="BP2" s="223"/>
      <c r="BQ2" s="223"/>
      <c r="BR2" s="223"/>
      <c r="BS2" s="223"/>
      <c r="BU2" s="225" t="s">
        <v>94</v>
      </c>
      <c r="BV2" s="225"/>
      <c r="BW2" s="225"/>
      <c r="BX2" s="225"/>
      <c r="BY2" s="225"/>
      <c r="BZ2" s="225"/>
      <c r="CA2" s="225"/>
      <c r="CC2" s="221" t="s">
        <v>179</v>
      </c>
      <c r="CD2" s="221"/>
      <c r="CE2" s="221"/>
      <c r="CF2" s="221"/>
      <c r="CG2" s="221"/>
      <c r="CH2" s="221"/>
      <c r="CI2" s="221"/>
      <c r="CJ2" s="221"/>
      <c r="CK2" s="221"/>
    </row>
    <row r="3" spans="1:89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06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  <c r="AT3" s="19" t="s">
        <v>3</v>
      </c>
      <c r="AU3" s="20" t="s">
        <v>6</v>
      </c>
      <c r="AV3" s="20" t="s">
        <v>7</v>
      </c>
      <c r="AW3" s="20" t="s">
        <v>8</v>
      </c>
      <c r="AX3" s="20" t="s">
        <v>9</v>
      </c>
      <c r="AY3" s="20" t="s">
        <v>10</v>
      </c>
      <c r="AZ3" s="20" t="s">
        <v>31</v>
      </c>
      <c r="BA3" s="20" t="s">
        <v>80</v>
      </c>
      <c r="BB3" s="19" t="s">
        <v>11</v>
      </c>
      <c r="BD3" s="23" t="s">
        <v>12</v>
      </c>
      <c r="BE3" s="23" t="s">
        <v>13</v>
      </c>
      <c r="BF3" s="23" t="s">
        <v>14</v>
      </c>
      <c r="BG3" s="23" t="s">
        <v>15</v>
      </c>
      <c r="BH3" s="23" t="s">
        <v>16</v>
      </c>
      <c r="BI3" s="23" t="s">
        <v>17</v>
      </c>
      <c r="BJ3" s="23" t="s">
        <v>24</v>
      </c>
      <c r="BK3" s="23" t="s">
        <v>79</v>
      </c>
      <c r="BL3" s="110"/>
      <c r="BM3" s="23" t="s">
        <v>13</v>
      </c>
      <c r="BN3" s="23" t="s">
        <v>14</v>
      </c>
      <c r="BO3" s="23" t="s">
        <v>15</v>
      </c>
      <c r="BP3" s="23" t="s">
        <v>16</v>
      </c>
      <c r="BQ3" s="23" t="s">
        <v>17</v>
      </c>
      <c r="BR3" s="23" t="s">
        <v>24</v>
      </c>
      <c r="BS3" s="23" t="s">
        <v>79</v>
      </c>
      <c r="BU3" s="99" t="s">
        <v>42</v>
      </c>
      <c r="BV3" s="99" t="s">
        <v>43</v>
      </c>
      <c r="BW3" s="99" t="s">
        <v>44</v>
      </c>
      <c r="BX3" s="99" t="s">
        <v>45</v>
      </c>
      <c r="BY3" s="99" t="s">
        <v>46</v>
      </c>
      <c r="BZ3" s="99" t="s">
        <v>24</v>
      </c>
      <c r="CA3" s="99" t="s">
        <v>79</v>
      </c>
      <c r="CC3" s="103"/>
      <c r="CD3" s="219" t="s">
        <v>95</v>
      </c>
      <c r="CE3" s="219"/>
      <c r="CF3" s="219"/>
      <c r="CG3" s="219"/>
      <c r="CH3" s="219"/>
      <c r="CI3" s="219"/>
      <c r="CJ3" s="219"/>
      <c r="CK3" s="219"/>
    </row>
    <row r="4" spans="1:89" ht="15.95" customHeight="1" thickBot="1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88"/>
      <c r="K4" s="22">
        <v>0</v>
      </c>
      <c r="L4" s="98" t="s">
        <v>163</v>
      </c>
      <c r="M4" s="98" t="s">
        <v>26</v>
      </c>
      <c r="N4" s="98" t="s">
        <v>36</v>
      </c>
      <c r="O4" s="98" t="s">
        <v>35</v>
      </c>
      <c r="P4" s="98" t="s">
        <v>40</v>
      </c>
      <c r="Q4" s="98" t="s">
        <v>39</v>
      </c>
      <c r="R4" s="37" t="s">
        <v>36</v>
      </c>
      <c r="T4" s="97">
        <f>VLOOKUP(L4, $A$4:$I$29, 9, 0)</f>
        <v>7</v>
      </c>
      <c r="U4" s="97">
        <f t="shared" ref="U4:Z4" si="1">VLOOKUP(M4, $A$4:$I$29, 9, 0)</f>
        <v>8</v>
      </c>
      <c r="V4" s="97">
        <f t="shared" si="1"/>
        <v>5</v>
      </c>
      <c r="W4" s="97">
        <f t="shared" si="1"/>
        <v>4</v>
      </c>
      <c r="X4" s="97">
        <f t="shared" si="1"/>
        <v>11</v>
      </c>
      <c r="Y4" s="97">
        <f t="shared" si="1"/>
        <v>10</v>
      </c>
      <c r="Z4" s="97">
        <f t="shared" si="1"/>
        <v>5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  <c r="AT4" s="7" t="s">
        <v>81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88"/>
      <c r="BD4" s="22">
        <v>0</v>
      </c>
      <c r="BE4" s="98" t="s">
        <v>163</v>
      </c>
      <c r="BF4" s="98" t="s">
        <v>163</v>
      </c>
      <c r="BG4" s="98" t="s">
        <v>38</v>
      </c>
      <c r="BH4" s="98" t="s">
        <v>78</v>
      </c>
      <c r="BI4" s="98" t="s">
        <v>36</v>
      </c>
      <c r="BJ4" s="98" t="s">
        <v>26</v>
      </c>
      <c r="BK4" s="37" t="s">
        <v>26</v>
      </c>
      <c r="BM4" s="97">
        <f>VLOOKUP(BE4, $A$4:$I$29, 9, 0)</f>
        <v>7</v>
      </c>
      <c r="BN4" s="97">
        <f t="shared" ref="BN4:BS4" si="3">VLOOKUP(BF4, $A$4:$I$29, 9, 0)</f>
        <v>7</v>
      </c>
      <c r="BO4" s="97">
        <f t="shared" si="3"/>
        <v>9</v>
      </c>
      <c r="BP4" s="97">
        <f t="shared" si="3"/>
        <v>6</v>
      </c>
      <c r="BQ4" s="97">
        <f t="shared" si="3"/>
        <v>5</v>
      </c>
      <c r="BR4" s="97">
        <f t="shared" si="3"/>
        <v>8</v>
      </c>
      <c r="BS4" s="97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65" t="s">
        <v>53</v>
      </c>
      <c r="CD4" s="66" t="s">
        <v>13</v>
      </c>
      <c r="CE4" s="66" t="s">
        <v>14</v>
      </c>
      <c r="CF4" s="66" t="s">
        <v>15</v>
      </c>
      <c r="CG4" s="66" t="s">
        <v>16</v>
      </c>
      <c r="CH4" s="66" t="s">
        <v>17</v>
      </c>
      <c r="CI4" s="66" t="s">
        <v>59</v>
      </c>
      <c r="CJ4" s="67" t="s">
        <v>79</v>
      </c>
      <c r="CK4" s="68" t="s">
        <v>4</v>
      </c>
    </row>
    <row r="5" spans="1:89" ht="15.95" customHeight="1">
      <c r="A5" s="7" t="s">
        <v>20</v>
      </c>
      <c r="B5" s="15">
        <f t="shared" ref="B5:B29" si="4">COUNTIF(L$4:L$304,$A5)</f>
        <v>0</v>
      </c>
      <c r="C5" s="15">
        <f t="shared" ref="C5:C29" si="5">COUNTIF(M$4:M$304,$A5)</f>
        <v>0</v>
      </c>
      <c r="D5" s="15">
        <f t="shared" ref="D5:D29" si="6">COUNTIF(N$4:N$304,$A5)</f>
        <v>0</v>
      </c>
      <c r="E5" s="15">
        <f t="shared" ref="E5:E29" si="7">COUNTIF(O$4:O$304,$A5)</f>
        <v>0</v>
      </c>
      <c r="F5" s="15">
        <f t="shared" ref="F5:F29" si="8">COUNTIF(P$4:P$304,$A5)</f>
        <v>0</v>
      </c>
      <c r="G5" s="15">
        <f t="shared" ref="G5:G29" si="9">COUNTIF(Q$4:Q$304,$A5)</f>
        <v>0</v>
      </c>
      <c r="H5" s="15">
        <f t="shared" ref="H5:H29" si="10">COUNTIF(R$4:R$304,$A5)</f>
        <v>0</v>
      </c>
      <c r="I5" s="7">
        <v>1</v>
      </c>
      <c r="J5" s="88"/>
      <c r="K5" s="21">
        <v>1</v>
      </c>
      <c r="L5" s="98" t="s">
        <v>40</v>
      </c>
      <c r="M5" s="98" t="s">
        <v>78</v>
      </c>
      <c r="N5" s="98" t="s">
        <v>26</v>
      </c>
      <c r="O5" s="98" t="s">
        <v>35</v>
      </c>
      <c r="P5" s="98" t="s">
        <v>40</v>
      </c>
      <c r="Q5" s="98" t="s">
        <v>39</v>
      </c>
      <c r="R5" s="37" t="s">
        <v>36</v>
      </c>
      <c r="T5" s="97">
        <f t="shared" ref="T5:T68" si="11">VLOOKUP(L5, $A$4:$I$29, 9, 0)</f>
        <v>11</v>
      </c>
      <c r="U5" s="97">
        <f t="shared" ref="U5:U68" si="12">VLOOKUP(M5, $A$4:$I$29, 9, 0)</f>
        <v>6</v>
      </c>
      <c r="V5" s="97">
        <f t="shared" ref="V5:V68" si="13">VLOOKUP(N5, $A$4:$I$29, 9, 0)</f>
        <v>8</v>
      </c>
      <c r="W5" s="97">
        <f t="shared" ref="W5:W68" si="14">VLOOKUP(O5, $A$4:$I$29, 9, 0)</f>
        <v>4</v>
      </c>
      <c r="X5" s="97">
        <f t="shared" ref="X5:X68" si="15">VLOOKUP(P5, $A$4:$I$29, 9, 0)</f>
        <v>11</v>
      </c>
      <c r="Y5" s="97">
        <f t="shared" ref="Y5:Y68" si="16">VLOOKUP(Q5, $A$4:$I$29, 9, 0)</f>
        <v>10</v>
      </c>
      <c r="Z5" s="97">
        <f t="shared" ref="Z5:Z68" si="17">VLOOKUP(R5, $A$4:$I$29, 9, 0)</f>
        <v>5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183">
        <v>0</v>
      </c>
      <c r="AT5" s="7" t="s">
        <v>20</v>
      </c>
      <c r="AU5" s="15">
        <f t="shared" ref="AU5:AU29" si="18">COUNTIF(BE$4:BE$304,$A5)</f>
        <v>0</v>
      </c>
      <c r="AV5" s="15">
        <f t="shared" ref="AV5:AV29" si="19">COUNTIF(BF$4:BF$304,$A5)</f>
        <v>0</v>
      </c>
      <c r="AW5" s="15">
        <f t="shared" ref="AW5:AW29" si="20">COUNTIF(BG$4:BG$304,$A5)</f>
        <v>0</v>
      </c>
      <c r="AX5" s="15">
        <f t="shared" ref="AX5:AX29" si="21">COUNTIF(BH$4:BH$304,$A5)</f>
        <v>0</v>
      </c>
      <c r="AY5" s="15">
        <f t="shared" ref="AY5:AY29" si="22">COUNTIF(BI$4:BI$304,$A5)</f>
        <v>0</v>
      </c>
      <c r="AZ5" s="15">
        <f t="shared" ref="AZ5:AZ29" si="23">COUNTIF(BJ$4:BJ$304,$A5)</f>
        <v>0</v>
      </c>
      <c r="BA5" s="15">
        <f t="shared" ref="BA5:BA29" si="24">COUNTIF(BK$4:BK$304,$A5)</f>
        <v>0</v>
      </c>
      <c r="BB5" s="7">
        <v>1</v>
      </c>
      <c r="BC5" s="88"/>
      <c r="BD5" s="21">
        <v>1</v>
      </c>
      <c r="BE5" s="98" t="s">
        <v>38</v>
      </c>
      <c r="BF5" s="98" t="s">
        <v>40</v>
      </c>
      <c r="BG5" s="98" t="s">
        <v>38</v>
      </c>
      <c r="BH5" s="98" t="s">
        <v>26</v>
      </c>
      <c r="BI5" s="98" t="s">
        <v>207</v>
      </c>
      <c r="BJ5" s="98" t="s">
        <v>38</v>
      </c>
      <c r="BK5" s="37" t="s">
        <v>26</v>
      </c>
      <c r="BM5" s="97">
        <f t="shared" ref="BM5:BM68" si="25">VLOOKUP(BE5, $A$4:$I$29, 9, 0)</f>
        <v>9</v>
      </c>
      <c r="BN5" s="97">
        <f t="shared" ref="BN5:BN68" si="26">VLOOKUP(BF5, $A$4:$I$29, 9, 0)</f>
        <v>11</v>
      </c>
      <c r="BO5" s="97">
        <f t="shared" ref="BO5:BO68" si="27">VLOOKUP(BG5, $A$4:$I$29, 9, 0)</f>
        <v>9</v>
      </c>
      <c r="BP5" s="97">
        <f t="shared" ref="BP5:BP68" si="28">VLOOKUP(BH5, $A$4:$I$29, 9, 0)</f>
        <v>8</v>
      </c>
      <c r="BQ5" s="97">
        <f t="shared" ref="BQ5:BQ68" si="29">VLOOKUP(BI5, $A$4:$I$29, 9, 0)</f>
        <v>16</v>
      </c>
      <c r="BR5" s="97">
        <f t="shared" ref="BR5:BR68" si="30">VLOOKUP(BJ5, $A$4:$I$29, 9, 0)</f>
        <v>9</v>
      </c>
      <c r="BS5" s="97">
        <f t="shared" ref="BS5:BS68" si="31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69" t="s">
        <v>81</v>
      </c>
      <c r="CD5" s="70">
        <v>0</v>
      </c>
      <c r="CE5" s="71">
        <v>0</v>
      </c>
      <c r="CF5" s="71">
        <v>0</v>
      </c>
      <c r="CG5" s="71">
        <v>0</v>
      </c>
      <c r="CH5" s="71">
        <v>0</v>
      </c>
      <c r="CI5" s="71">
        <v>0</v>
      </c>
      <c r="CJ5" s="72">
        <v>0</v>
      </c>
      <c r="CK5" s="183">
        <v>0</v>
      </c>
    </row>
    <row r="6" spans="1:89" ht="15.95" customHeight="1">
      <c r="A6" s="7" t="s">
        <v>21</v>
      </c>
      <c r="B6" s="15">
        <f t="shared" si="4"/>
        <v>1</v>
      </c>
      <c r="C6" s="15">
        <f t="shared" si="5"/>
        <v>1</v>
      </c>
      <c r="D6" s="15">
        <f t="shared" si="6"/>
        <v>2</v>
      </c>
      <c r="E6" s="15">
        <f t="shared" si="7"/>
        <v>1</v>
      </c>
      <c r="F6" s="15">
        <f t="shared" si="8"/>
        <v>1</v>
      </c>
      <c r="G6" s="15">
        <f t="shared" si="9"/>
        <v>2</v>
      </c>
      <c r="H6" s="15">
        <f t="shared" si="10"/>
        <v>4</v>
      </c>
      <c r="I6" s="7">
        <v>2</v>
      </c>
      <c r="K6" s="22">
        <v>2</v>
      </c>
      <c r="L6" s="98" t="s">
        <v>40</v>
      </c>
      <c r="M6" s="98" t="s">
        <v>39</v>
      </c>
      <c r="N6" s="98" t="s">
        <v>40</v>
      </c>
      <c r="O6" s="98" t="s">
        <v>204</v>
      </c>
      <c r="P6" s="98" t="s">
        <v>38</v>
      </c>
      <c r="Q6" s="98" t="s">
        <v>39</v>
      </c>
      <c r="R6" s="37" t="s">
        <v>36</v>
      </c>
      <c r="T6" s="97">
        <f t="shared" si="11"/>
        <v>11</v>
      </c>
      <c r="U6" s="97">
        <f t="shared" si="12"/>
        <v>10</v>
      </c>
      <c r="V6" s="97">
        <f t="shared" si="13"/>
        <v>11</v>
      </c>
      <c r="W6" s="97">
        <f t="shared" si="14"/>
        <v>15</v>
      </c>
      <c r="X6" s="97">
        <f t="shared" si="15"/>
        <v>9</v>
      </c>
      <c r="Y6" s="97">
        <f t="shared" si="16"/>
        <v>10</v>
      </c>
      <c r="Z6" s="97">
        <f t="shared" si="17"/>
        <v>5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10</v>
      </c>
      <c r="AL6" s="182">
        <v>10</v>
      </c>
      <c r="AM6" s="182">
        <v>10</v>
      </c>
      <c r="AN6" s="182">
        <v>10</v>
      </c>
      <c r="AO6" s="182">
        <v>10</v>
      </c>
      <c r="AP6" s="182">
        <v>10</v>
      </c>
      <c r="AQ6" s="92">
        <v>5</v>
      </c>
      <c r="AR6" s="79">
        <v>1</v>
      </c>
      <c r="AT6" s="7" t="s">
        <v>21</v>
      </c>
      <c r="AU6" s="15">
        <f t="shared" si="18"/>
        <v>0</v>
      </c>
      <c r="AV6" s="15">
        <f t="shared" si="19"/>
        <v>0</v>
      </c>
      <c r="AW6" s="15">
        <f t="shared" si="20"/>
        <v>0</v>
      </c>
      <c r="AX6" s="15">
        <f t="shared" si="21"/>
        <v>0</v>
      </c>
      <c r="AY6" s="15">
        <f t="shared" si="22"/>
        <v>0</v>
      </c>
      <c r="AZ6" s="15">
        <f t="shared" si="23"/>
        <v>0</v>
      </c>
      <c r="BA6" s="15">
        <f t="shared" si="24"/>
        <v>0</v>
      </c>
      <c r="BB6" s="7">
        <v>2</v>
      </c>
      <c r="BD6" s="22">
        <v>2</v>
      </c>
      <c r="BE6" s="98" t="s">
        <v>40</v>
      </c>
      <c r="BF6" s="98" t="s">
        <v>41</v>
      </c>
      <c r="BG6" s="98" t="s">
        <v>34</v>
      </c>
      <c r="BH6" s="98" t="s">
        <v>26</v>
      </c>
      <c r="BI6" s="98" t="s">
        <v>78</v>
      </c>
      <c r="BJ6" s="98" t="s">
        <v>78</v>
      </c>
      <c r="BK6" s="37" t="s">
        <v>26</v>
      </c>
      <c r="BM6" s="97">
        <f t="shared" si="25"/>
        <v>11</v>
      </c>
      <c r="BN6" s="97">
        <f t="shared" si="26"/>
        <v>12</v>
      </c>
      <c r="BO6" s="97">
        <f t="shared" si="27"/>
        <v>3</v>
      </c>
      <c r="BP6" s="97">
        <f t="shared" si="28"/>
        <v>8</v>
      </c>
      <c r="BQ6" s="97">
        <f t="shared" si="29"/>
        <v>6</v>
      </c>
      <c r="BR6" s="97">
        <f t="shared" si="30"/>
        <v>6</v>
      </c>
      <c r="BS6" s="97">
        <f t="shared" si="31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100" t="s">
        <v>20</v>
      </c>
      <c r="CD6" s="90">
        <v>10</v>
      </c>
      <c r="CE6" s="182">
        <v>10</v>
      </c>
      <c r="CF6" s="182">
        <v>10</v>
      </c>
      <c r="CG6" s="182">
        <v>10</v>
      </c>
      <c r="CH6" s="182">
        <v>10</v>
      </c>
      <c r="CI6" s="182">
        <v>10</v>
      </c>
      <c r="CJ6" s="92">
        <v>5</v>
      </c>
      <c r="CK6" s="79">
        <v>1</v>
      </c>
    </row>
    <row r="7" spans="1:89" ht="15.95" customHeight="1">
      <c r="A7" s="26" t="s">
        <v>22</v>
      </c>
      <c r="B7" s="15">
        <f t="shared" si="4"/>
        <v>1</v>
      </c>
      <c r="C7" s="15">
        <f t="shared" si="5"/>
        <v>5</v>
      </c>
      <c r="D7" s="15">
        <f t="shared" si="6"/>
        <v>6</v>
      </c>
      <c r="E7" s="15">
        <f t="shared" si="7"/>
        <v>10</v>
      </c>
      <c r="F7" s="15">
        <f t="shared" si="8"/>
        <v>2</v>
      </c>
      <c r="G7" s="15">
        <f t="shared" si="9"/>
        <v>5</v>
      </c>
      <c r="H7" s="15">
        <f t="shared" si="10"/>
        <v>11</v>
      </c>
      <c r="I7" s="7">
        <v>3</v>
      </c>
      <c r="K7" s="21">
        <v>3</v>
      </c>
      <c r="L7" s="98" t="s">
        <v>41</v>
      </c>
      <c r="M7" s="98" t="s">
        <v>78</v>
      </c>
      <c r="N7" s="98" t="s">
        <v>40</v>
      </c>
      <c r="O7" s="98" t="s">
        <v>78</v>
      </c>
      <c r="P7" s="98" t="s">
        <v>204</v>
      </c>
      <c r="Q7" s="98" t="s">
        <v>41</v>
      </c>
      <c r="R7" s="37" t="s">
        <v>34</v>
      </c>
      <c r="T7" s="97">
        <f t="shared" si="11"/>
        <v>12</v>
      </c>
      <c r="U7" s="97">
        <f t="shared" si="12"/>
        <v>6</v>
      </c>
      <c r="V7" s="97">
        <f t="shared" si="13"/>
        <v>11</v>
      </c>
      <c r="W7" s="97">
        <f t="shared" si="14"/>
        <v>6</v>
      </c>
      <c r="X7" s="97">
        <f t="shared" si="15"/>
        <v>15</v>
      </c>
      <c r="Y7" s="97">
        <f t="shared" si="16"/>
        <v>12</v>
      </c>
      <c r="Z7" s="97">
        <f t="shared" si="17"/>
        <v>3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8</v>
      </c>
      <c r="AL7" s="182">
        <v>8</v>
      </c>
      <c r="AM7" s="182">
        <v>8</v>
      </c>
      <c r="AN7" s="182">
        <v>8</v>
      </c>
      <c r="AO7" s="182">
        <v>8</v>
      </c>
      <c r="AP7" s="182">
        <v>8</v>
      </c>
      <c r="AQ7" s="92">
        <v>8</v>
      </c>
      <c r="AR7" s="79">
        <v>2</v>
      </c>
      <c r="AT7" s="26" t="s">
        <v>22</v>
      </c>
      <c r="AU7" s="15">
        <f t="shared" si="18"/>
        <v>1</v>
      </c>
      <c r="AV7" s="15">
        <f t="shared" si="19"/>
        <v>12</v>
      </c>
      <c r="AW7" s="15">
        <f t="shared" si="20"/>
        <v>7</v>
      </c>
      <c r="AX7" s="15">
        <f t="shared" si="21"/>
        <v>3</v>
      </c>
      <c r="AY7" s="15">
        <f t="shared" si="22"/>
        <v>9</v>
      </c>
      <c r="AZ7" s="15">
        <f t="shared" si="23"/>
        <v>0</v>
      </c>
      <c r="BA7" s="15">
        <f t="shared" si="24"/>
        <v>12</v>
      </c>
      <c r="BB7" s="7">
        <v>3</v>
      </c>
      <c r="BD7" s="21">
        <v>3</v>
      </c>
      <c r="BE7" s="98" t="s">
        <v>41</v>
      </c>
      <c r="BF7" s="98" t="s">
        <v>39</v>
      </c>
      <c r="BG7" s="98" t="s">
        <v>26</v>
      </c>
      <c r="BH7" s="98" t="s">
        <v>26</v>
      </c>
      <c r="BI7" s="98" t="s">
        <v>78</v>
      </c>
      <c r="BJ7" s="98" t="s">
        <v>41</v>
      </c>
      <c r="BK7" s="37" t="s">
        <v>26</v>
      </c>
      <c r="BM7" s="97">
        <f t="shared" si="25"/>
        <v>12</v>
      </c>
      <c r="BN7" s="97">
        <f t="shared" si="26"/>
        <v>10</v>
      </c>
      <c r="BO7" s="97">
        <f t="shared" si="27"/>
        <v>8</v>
      </c>
      <c r="BP7" s="97">
        <f t="shared" si="28"/>
        <v>8</v>
      </c>
      <c r="BQ7" s="97">
        <f t="shared" si="29"/>
        <v>6</v>
      </c>
      <c r="BR7" s="97">
        <f t="shared" si="30"/>
        <v>12</v>
      </c>
      <c r="BS7" s="97">
        <f t="shared" si="31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100" t="s">
        <v>21</v>
      </c>
      <c r="CD7" s="90">
        <v>8</v>
      </c>
      <c r="CE7" s="182">
        <v>8</v>
      </c>
      <c r="CF7" s="182">
        <v>8</v>
      </c>
      <c r="CG7" s="182">
        <v>8</v>
      </c>
      <c r="CH7" s="182">
        <v>8</v>
      </c>
      <c r="CI7" s="182">
        <v>8</v>
      </c>
      <c r="CJ7" s="92">
        <v>8</v>
      </c>
      <c r="CK7" s="79">
        <v>2</v>
      </c>
    </row>
    <row r="8" spans="1:89" ht="15.95" customHeight="1">
      <c r="A8" s="27" t="s">
        <v>18</v>
      </c>
      <c r="B8" s="15">
        <f t="shared" si="4"/>
        <v>11</v>
      </c>
      <c r="C8" s="15">
        <f t="shared" si="5"/>
        <v>4</v>
      </c>
      <c r="D8" s="15">
        <f t="shared" si="6"/>
        <v>8</v>
      </c>
      <c r="E8" s="15">
        <f t="shared" si="7"/>
        <v>5</v>
      </c>
      <c r="F8" s="15">
        <f t="shared" si="8"/>
        <v>7</v>
      </c>
      <c r="G8" s="15">
        <f t="shared" si="9"/>
        <v>4</v>
      </c>
      <c r="H8" s="15">
        <f t="shared" si="10"/>
        <v>16</v>
      </c>
      <c r="I8" s="7">
        <v>4</v>
      </c>
      <c r="K8" s="22">
        <v>4</v>
      </c>
      <c r="L8" s="98" t="s">
        <v>41</v>
      </c>
      <c r="M8" s="98" t="s">
        <v>36</v>
      </c>
      <c r="N8" s="98" t="s">
        <v>26</v>
      </c>
      <c r="O8" s="98" t="s">
        <v>34</v>
      </c>
      <c r="P8" s="98" t="s">
        <v>36</v>
      </c>
      <c r="Q8" s="98" t="s">
        <v>41</v>
      </c>
      <c r="R8" s="37" t="s">
        <v>34</v>
      </c>
      <c r="T8" s="97">
        <f t="shared" si="11"/>
        <v>12</v>
      </c>
      <c r="U8" s="97">
        <f t="shared" si="12"/>
        <v>5</v>
      </c>
      <c r="V8" s="97">
        <f t="shared" si="13"/>
        <v>8</v>
      </c>
      <c r="W8" s="97">
        <f t="shared" si="14"/>
        <v>3</v>
      </c>
      <c r="X8" s="97">
        <f t="shared" si="15"/>
        <v>5</v>
      </c>
      <c r="Y8" s="97">
        <f t="shared" si="16"/>
        <v>12</v>
      </c>
      <c r="Z8" s="97">
        <f t="shared" si="17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100" t="s">
        <v>22</v>
      </c>
      <c r="AK8" s="90">
        <v>10</v>
      </c>
      <c r="AL8" s="182">
        <v>13</v>
      </c>
      <c r="AM8" s="182">
        <v>10</v>
      </c>
      <c r="AN8" s="182">
        <v>5</v>
      </c>
      <c r="AO8" s="182">
        <v>20</v>
      </c>
      <c r="AP8" s="182">
        <v>5</v>
      </c>
      <c r="AQ8" s="92">
        <v>10</v>
      </c>
      <c r="AR8" s="79">
        <v>3</v>
      </c>
      <c r="AT8" s="27" t="s">
        <v>18</v>
      </c>
      <c r="AU8" s="15">
        <f t="shared" si="18"/>
        <v>3</v>
      </c>
      <c r="AV8" s="15">
        <f t="shared" si="19"/>
        <v>1</v>
      </c>
      <c r="AW8" s="15">
        <f t="shared" si="20"/>
        <v>3</v>
      </c>
      <c r="AX8" s="15">
        <f t="shared" si="21"/>
        <v>8</v>
      </c>
      <c r="AY8" s="15">
        <f t="shared" si="22"/>
        <v>3</v>
      </c>
      <c r="AZ8" s="15">
        <f t="shared" si="23"/>
        <v>3</v>
      </c>
      <c r="BA8" s="15">
        <f t="shared" si="24"/>
        <v>14</v>
      </c>
      <c r="BB8" s="7">
        <v>4</v>
      </c>
      <c r="BD8" s="22">
        <v>4</v>
      </c>
      <c r="BE8" s="98" t="s">
        <v>38</v>
      </c>
      <c r="BF8" s="98" t="s">
        <v>41</v>
      </c>
      <c r="BG8" s="98" t="s">
        <v>204</v>
      </c>
      <c r="BH8" s="98" t="s">
        <v>39</v>
      </c>
      <c r="BI8" s="98" t="s">
        <v>38</v>
      </c>
      <c r="BJ8" s="98" t="s">
        <v>41</v>
      </c>
      <c r="BK8" s="37" t="s">
        <v>34</v>
      </c>
      <c r="BM8" s="97">
        <f t="shared" si="25"/>
        <v>9</v>
      </c>
      <c r="BN8" s="97">
        <f t="shared" si="26"/>
        <v>12</v>
      </c>
      <c r="BO8" s="97">
        <f t="shared" si="27"/>
        <v>15</v>
      </c>
      <c r="BP8" s="97">
        <f t="shared" si="28"/>
        <v>10</v>
      </c>
      <c r="BQ8" s="97">
        <f t="shared" si="29"/>
        <v>9</v>
      </c>
      <c r="BR8" s="97">
        <f t="shared" si="30"/>
        <v>12</v>
      </c>
      <c r="BS8" s="97">
        <f t="shared" si="31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100" t="s">
        <v>22</v>
      </c>
      <c r="CD8" s="90">
        <v>10</v>
      </c>
      <c r="CE8" s="182">
        <v>13</v>
      </c>
      <c r="CF8" s="182">
        <v>10</v>
      </c>
      <c r="CG8" s="182">
        <v>5</v>
      </c>
      <c r="CH8" s="182">
        <v>20</v>
      </c>
      <c r="CI8" s="182">
        <v>5</v>
      </c>
      <c r="CJ8" s="92">
        <v>10</v>
      </c>
      <c r="CK8" s="79">
        <v>3</v>
      </c>
    </row>
    <row r="9" spans="1:89" ht="15.95" customHeight="1">
      <c r="A9" s="28" t="s">
        <v>19</v>
      </c>
      <c r="B9" s="15">
        <f t="shared" si="4"/>
        <v>10</v>
      </c>
      <c r="C9" s="15">
        <f t="shared" si="5"/>
        <v>6</v>
      </c>
      <c r="D9" s="15">
        <f t="shared" si="6"/>
        <v>16</v>
      </c>
      <c r="E9" s="15">
        <f t="shared" si="7"/>
        <v>6</v>
      </c>
      <c r="F9" s="15">
        <f t="shared" si="8"/>
        <v>17</v>
      </c>
      <c r="G9" s="15">
        <f t="shared" si="9"/>
        <v>2</v>
      </c>
      <c r="H9" s="15">
        <f t="shared" si="10"/>
        <v>15</v>
      </c>
      <c r="I9" s="7">
        <v>5</v>
      </c>
      <c r="K9" s="21">
        <v>5</v>
      </c>
      <c r="L9" s="98" t="s">
        <v>40</v>
      </c>
      <c r="M9" s="98" t="s">
        <v>39</v>
      </c>
      <c r="N9" s="98" t="s">
        <v>38</v>
      </c>
      <c r="O9" s="98" t="s">
        <v>34</v>
      </c>
      <c r="P9" s="98" t="s">
        <v>40</v>
      </c>
      <c r="Q9" s="98" t="s">
        <v>41</v>
      </c>
      <c r="R9" s="37" t="s">
        <v>34</v>
      </c>
      <c r="T9" s="97">
        <f t="shared" si="11"/>
        <v>11</v>
      </c>
      <c r="U9" s="97">
        <f t="shared" si="12"/>
        <v>10</v>
      </c>
      <c r="V9" s="97">
        <f t="shared" si="13"/>
        <v>9</v>
      </c>
      <c r="W9" s="97">
        <f t="shared" si="14"/>
        <v>3</v>
      </c>
      <c r="X9" s="97">
        <f t="shared" si="15"/>
        <v>11</v>
      </c>
      <c r="Y9" s="97">
        <f t="shared" si="16"/>
        <v>12</v>
      </c>
      <c r="Z9" s="97">
        <f t="shared" si="17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15</v>
      </c>
      <c r="AL9" s="182">
        <v>10</v>
      </c>
      <c r="AM9" s="182">
        <v>15</v>
      </c>
      <c r="AN9" s="182">
        <v>5</v>
      </c>
      <c r="AO9" s="182">
        <v>18</v>
      </c>
      <c r="AP9" s="182">
        <v>20</v>
      </c>
      <c r="AQ9" s="92">
        <v>10</v>
      </c>
      <c r="AR9" s="79">
        <v>4</v>
      </c>
      <c r="AT9" s="28" t="s">
        <v>19</v>
      </c>
      <c r="AU9" s="15">
        <f t="shared" si="18"/>
        <v>8</v>
      </c>
      <c r="AV9" s="15">
        <f t="shared" si="19"/>
        <v>1</v>
      </c>
      <c r="AW9" s="15">
        <f>COUNTIF(BG$4:BG$304,$A9)</f>
        <v>16</v>
      </c>
      <c r="AX9" s="15">
        <f t="shared" si="21"/>
        <v>3</v>
      </c>
      <c r="AY9" s="15">
        <f t="shared" si="22"/>
        <v>15</v>
      </c>
      <c r="AZ9" s="15">
        <f t="shared" si="23"/>
        <v>5</v>
      </c>
      <c r="BA9" s="15">
        <f t="shared" si="24"/>
        <v>10</v>
      </c>
      <c r="BB9" s="7">
        <v>5</v>
      </c>
      <c r="BD9" s="21">
        <v>5</v>
      </c>
      <c r="BE9" s="98" t="s">
        <v>40</v>
      </c>
      <c r="BF9" s="98" t="s">
        <v>34</v>
      </c>
      <c r="BG9" s="98" t="s">
        <v>35</v>
      </c>
      <c r="BH9" s="98" t="s">
        <v>39</v>
      </c>
      <c r="BI9" s="98" t="s">
        <v>38</v>
      </c>
      <c r="BJ9" s="98" t="s">
        <v>78</v>
      </c>
      <c r="BK9" s="37" t="s">
        <v>34</v>
      </c>
      <c r="BM9" s="97">
        <f t="shared" si="25"/>
        <v>11</v>
      </c>
      <c r="BN9" s="97">
        <f t="shared" si="26"/>
        <v>3</v>
      </c>
      <c r="BO9" s="97">
        <f t="shared" si="27"/>
        <v>4</v>
      </c>
      <c r="BP9" s="97">
        <f t="shared" si="28"/>
        <v>10</v>
      </c>
      <c r="BQ9" s="97">
        <f t="shared" si="29"/>
        <v>9</v>
      </c>
      <c r="BR9" s="97">
        <f t="shared" si="30"/>
        <v>6</v>
      </c>
      <c r="BS9" s="97">
        <f t="shared" si="31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100" t="s">
        <v>18</v>
      </c>
      <c r="CD9" s="90">
        <v>15</v>
      </c>
      <c r="CE9" s="182">
        <v>10</v>
      </c>
      <c r="CF9" s="182">
        <v>15</v>
      </c>
      <c r="CG9" s="182">
        <v>5</v>
      </c>
      <c r="CH9" s="182">
        <v>18</v>
      </c>
      <c r="CI9" s="182">
        <v>20</v>
      </c>
      <c r="CJ9" s="92">
        <v>10</v>
      </c>
      <c r="CK9" s="79">
        <v>4</v>
      </c>
    </row>
    <row r="10" spans="1:89" ht="15.95" customHeight="1">
      <c r="A10" s="29" t="s">
        <v>77</v>
      </c>
      <c r="B10" s="15">
        <f t="shared" si="4"/>
        <v>7</v>
      </c>
      <c r="C10" s="15">
        <f t="shared" si="5"/>
        <v>16</v>
      </c>
      <c r="D10" s="15">
        <f t="shared" si="6"/>
        <v>10</v>
      </c>
      <c r="E10" s="15">
        <f t="shared" si="7"/>
        <v>19</v>
      </c>
      <c r="F10" s="15">
        <f t="shared" si="8"/>
        <v>5</v>
      </c>
      <c r="G10" s="15">
        <f t="shared" si="9"/>
        <v>25</v>
      </c>
      <c r="H10" s="15">
        <f t="shared" si="10"/>
        <v>17</v>
      </c>
      <c r="I10" s="7">
        <v>6</v>
      </c>
      <c r="K10" s="22">
        <v>6</v>
      </c>
      <c r="L10" s="98" t="s">
        <v>26</v>
      </c>
      <c r="M10" s="98" t="s">
        <v>39</v>
      </c>
      <c r="N10" s="98" t="s">
        <v>38</v>
      </c>
      <c r="O10" s="98" t="s">
        <v>35</v>
      </c>
      <c r="P10" s="98" t="s">
        <v>40</v>
      </c>
      <c r="Q10" s="98" t="s">
        <v>36</v>
      </c>
      <c r="R10" s="37" t="s">
        <v>78</v>
      </c>
      <c r="T10" s="97">
        <f t="shared" si="11"/>
        <v>8</v>
      </c>
      <c r="U10" s="97">
        <f t="shared" si="12"/>
        <v>10</v>
      </c>
      <c r="V10" s="97">
        <f t="shared" si="13"/>
        <v>9</v>
      </c>
      <c r="W10" s="97">
        <f t="shared" si="14"/>
        <v>4</v>
      </c>
      <c r="X10" s="97">
        <f t="shared" si="15"/>
        <v>11</v>
      </c>
      <c r="Y10" s="97">
        <f t="shared" si="16"/>
        <v>5</v>
      </c>
      <c r="Z10" s="97">
        <f t="shared" si="17"/>
        <v>6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182">
        <v>20</v>
      </c>
      <c r="AM10" s="182">
        <v>20</v>
      </c>
      <c r="AN10" s="182">
        <v>20</v>
      </c>
      <c r="AO10" s="182">
        <v>10</v>
      </c>
      <c r="AP10" s="182">
        <v>20</v>
      </c>
      <c r="AQ10" s="92">
        <v>10</v>
      </c>
      <c r="AR10" s="79">
        <v>5</v>
      </c>
      <c r="AT10" s="29" t="s">
        <v>77</v>
      </c>
      <c r="AU10" s="15">
        <f t="shared" si="18"/>
        <v>8</v>
      </c>
      <c r="AV10" s="15">
        <f t="shared" si="19"/>
        <v>17</v>
      </c>
      <c r="AW10" s="15">
        <f t="shared" si="20"/>
        <v>1</v>
      </c>
      <c r="AX10" s="15">
        <f t="shared" si="21"/>
        <v>26</v>
      </c>
      <c r="AY10" s="15">
        <f t="shared" si="22"/>
        <v>6</v>
      </c>
      <c r="AZ10" s="15">
        <f t="shared" si="23"/>
        <v>27</v>
      </c>
      <c r="BA10" s="15">
        <f t="shared" si="24"/>
        <v>14</v>
      </c>
      <c r="BB10" s="7">
        <v>6</v>
      </c>
      <c r="BD10" s="22">
        <v>6</v>
      </c>
      <c r="BE10" s="98" t="s">
        <v>38</v>
      </c>
      <c r="BF10" s="98" t="s">
        <v>34</v>
      </c>
      <c r="BG10" s="98" t="s">
        <v>26</v>
      </c>
      <c r="BH10" s="98" t="s">
        <v>39</v>
      </c>
      <c r="BI10" s="98" t="s">
        <v>163</v>
      </c>
      <c r="BJ10" s="98" t="s">
        <v>78</v>
      </c>
      <c r="BK10" s="37" t="s">
        <v>34</v>
      </c>
      <c r="BM10" s="97">
        <f t="shared" si="25"/>
        <v>9</v>
      </c>
      <c r="BN10" s="97">
        <f t="shared" si="26"/>
        <v>3</v>
      </c>
      <c r="BO10" s="97">
        <f t="shared" si="27"/>
        <v>8</v>
      </c>
      <c r="BP10" s="97">
        <f t="shared" si="28"/>
        <v>10</v>
      </c>
      <c r="BQ10" s="97">
        <f t="shared" si="29"/>
        <v>7</v>
      </c>
      <c r="BR10" s="97">
        <f t="shared" si="30"/>
        <v>6</v>
      </c>
      <c r="BS10" s="97">
        <f t="shared" si="31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100" t="s">
        <v>19</v>
      </c>
      <c r="CD10" s="90">
        <v>10</v>
      </c>
      <c r="CE10" s="182">
        <v>20</v>
      </c>
      <c r="CF10" s="182">
        <v>20</v>
      </c>
      <c r="CG10" s="182">
        <v>20</v>
      </c>
      <c r="CH10" s="182">
        <v>10</v>
      </c>
      <c r="CI10" s="182">
        <v>20</v>
      </c>
      <c r="CJ10" s="92">
        <v>10</v>
      </c>
      <c r="CK10" s="79">
        <v>5</v>
      </c>
    </row>
    <row r="11" spans="1:89" ht="15.95" customHeight="1">
      <c r="A11" s="29" t="s">
        <v>162</v>
      </c>
      <c r="B11" s="15">
        <f t="shared" si="4"/>
        <v>15</v>
      </c>
      <c r="C11" s="15">
        <f t="shared" si="5"/>
        <v>9</v>
      </c>
      <c r="D11" s="15">
        <f t="shared" si="6"/>
        <v>12</v>
      </c>
      <c r="E11" s="15">
        <f t="shared" si="7"/>
        <v>6</v>
      </c>
      <c r="F11" s="15">
        <f t="shared" si="8"/>
        <v>21</v>
      </c>
      <c r="G11" s="15">
        <f t="shared" si="9"/>
        <v>1</v>
      </c>
      <c r="H11" s="15">
        <f t="shared" si="10"/>
        <v>6</v>
      </c>
      <c r="I11" s="7">
        <v>7</v>
      </c>
      <c r="K11" s="21">
        <v>7</v>
      </c>
      <c r="L11" s="98" t="s">
        <v>38</v>
      </c>
      <c r="M11" s="98" t="s">
        <v>78</v>
      </c>
      <c r="N11" s="98" t="s">
        <v>78</v>
      </c>
      <c r="O11" s="98" t="s">
        <v>39</v>
      </c>
      <c r="P11" s="98" t="s">
        <v>41</v>
      </c>
      <c r="Q11" s="98" t="s">
        <v>26</v>
      </c>
      <c r="R11" s="37" t="s">
        <v>41</v>
      </c>
      <c r="T11" s="97">
        <f t="shared" si="11"/>
        <v>9</v>
      </c>
      <c r="U11" s="97">
        <f t="shared" si="12"/>
        <v>6</v>
      </c>
      <c r="V11" s="97">
        <f t="shared" si="13"/>
        <v>6</v>
      </c>
      <c r="W11" s="97">
        <f t="shared" si="14"/>
        <v>10</v>
      </c>
      <c r="X11" s="97">
        <f t="shared" si="15"/>
        <v>12</v>
      </c>
      <c r="Y11" s="97">
        <f t="shared" si="16"/>
        <v>8</v>
      </c>
      <c r="Z11" s="97">
        <f t="shared" si="17"/>
        <v>12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50</v>
      </c>
      <c r="AL11" s="182">
        <v>50</v>
      </c>
      <c r="AM11" s="182">
        <v>50</v>
      </c>
      <c r="AN11" s="182">
        <v>50</v>
      </c>
      <c r="AO11" s="182">
        <v>50</v>
      </c>
      <c r="AP11" s="182">
        <v>50</v>
      </c>
      <c r="AQ11" s="92">
        <v>10</v>
      </c>
      <c r="AR11" s="79">
        <v>6</v>
      </c>
      <c r="AT11" s="29" t="s">
        <v>162</v>
      </c>
      <c r="AU11" s="15">
        <f t="shared" si="18"/>
        <v>13</v>
      </c>
      <c r="AV11" s="15">
        <f t="shared" si="19"/>
        <v>10</v>
      </c>
      <c r="AW11" s="15">
        <f t="shared" si="20"/>
        <v>1</v>
      </c>
      <c r="AX11" s="15">
        <f t="shared" si="21"/>
        <v>3</v>
      </c>
      <c r="AY11" s="15">
        <f t="shared" si="22"/>
        <v>28</v>
      </c>
      <c r="AZ11" s="15">
        <f t="shared" si="23"/>
        <v>3</v>
      </c>
      <c r="BA11" s="15">
        <f t="shared" si="24"/>
        <v>7</v>
      </c>
      <c r="BB11" s="7">
        <v>7</v>
      </c>
      <c r="BD11" s="21">
        <v>7</v>
      </c>
      <c r="BE11" s="98" t="s">
        <v>41</v>
      </c>
      <c r="BF11" s="98" t="s">
        <v>163</v>
      </c>
      <c r="BG11" s="98" t="s">
        <v>38</v>
      </c>
      <c r="BH11" s="98" t="s">
        <v>41</v>
      </c>
      <c r="BI11" s="98" t="s">
        <v>40</v>
      </c>
      <c r="BJ11" s="98" t="s">
        <v>78</v>
      </c>
      <c r="BK11" s="37" t="s">
        <v>34</v>
      </c>
      <c r="BM11" s="97">
        <f t="shared" si="25"/>
        <v>12</v>
      </c>
      <c r="BN11" s="97">
        <f t="shared" si="26"/>
        <v>7</v>
      </c>
      <c r="BO11" s="97">
        <f t="shared" si="27"/>
        <v>9</v>
      </c>
      <c r="BP11" s="97">
        <f t="shared" si="28"/>
        <v>12</v>
      </c>
      <c r="BQ11" s="97">
        <f t="shared" si="29"/>
        <v>11</v>
      </c>
      <c r="BR11" s="97">
        <f t="shared" si="30"/>
        <v>6</v>
      </c>
      <c r="BS11" s="97">
        <f t="shared" si="31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100" t="s">
        <v>77</v>
      </c>
      <c r="CD11" s="90">
        <v>50</v>
      </c>
      <c r="CE11" s="182">
        <v>50</v>
      </c>
      <c r="CF11" s="182">
        <v>50</v>
      </c>
      <c r="CG11" s="182">
        <v>50</v>
      </c>
      <c r="CH11" s="182">
        <v>50</v>
      </c>
      <c r="CI11" s="182">
        <v>50</v>
      </c>
      <c r="CJ11" s="92">
        <v>10</v>
      </c>
      <c r="CK11" s="79">
        <v>6</v>
      </c>
    </row>
    <row r="12" spans="1:89" ht="15.95" customHeight="1">
      <c r="A12" s="26" t="s">
        <v>25</v>
      </c>
      <c r="B12" s="15">
        <f t="shared" si="4"/>
        <v>11</v>
      </c>
      <c r="C12" s="15">
        <f t="shared" si="5"/>
        <v>16</v>
      </c>
      <c r="D12" s="15">
        <f t="shared" si="6"/>
        <v>10</v>
      </c>
      <c r="E12" s="15">
        <f t="shared" si="7"/>
        <v>20</v>
      </c>
      <c r="F12" s="15">
        <f t="shared" si="8"/>
        <v>2</v>
      </c>
      <c r="G12" s="15">
        <f t="shared" si="9"/>
        <v>31</v>
      </c>
      <c r="H12" s="15">
        <f t="shared" si="10"/>
        <v>5</v>
      </c>
      <c r="I12" s="7">
        <v>8</v>
      </c>
      <c r="K12" s="22">
        <v>8</v>
      </c>
      <c r="L12" s="98" t="s">
        <v>163</v>
      </c>
      <c r="M12" s="98" t="s">
        <v>204</v>
      </c>
      <c r="N12" s="98" t="s">
        <v>36</v>
      </c>
      <c r="O12" s="98" t="s">
        <v>78</v>
      </c>
      <c r="P12" s="98" t="s">
        <v>36</v>
      </c>
      <c r="Q12" s="98" t="s">
        <v>78</v>
      </c>
      <c r="R12" s="37" t="s">
        <v>41</v>
      </c>
      <c r="T12" s="97">
        <f t="shared" si="11"/>
        <v>7</v>
      </c>
      <c r="U12" s="97">
        <f t="shared" si="12"/>
        <v>15</v>
      </c>
      <c r="V12" s="97">
        <f t="shared" si="13"/>
        <v>5</v>
      </c>
      <c r="W12" s="97">
        <f t="shared" si="14"/>
        <v>6</v>
      </c>
      <c r="X12" s="97">
        <f t="shared" si="15"/>
        <v>5</v>
      </c>
      <c r="Y12" s="97">
        <f t="shared" si="16"/>
        <v>6</v>
      </c>
      <c r="Z12" s="97">
        <f t="shared" si="17"/>
        <v>12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100" t="s">
        <v>162</v>
      </c>
      <c r="AK12" s="90">
        <v>50</v>
      </c>
      <c r="AL12" s="182">
        <v>50</v>
      </c>
      <c r="AM12" s="182">
        <v>50</v>
      </c>
      <c r="AN12" s="182">
        <v>50</v>
      </c>
      <c r="AO12" s="182">
        <v>50</v>
      </c>
      <c r="AP12" s="182">
        <v>50</v>
      </c>
      <c r="AQ12" s="92">
        <v>10</v>
      </c>
      <c r="AR12" s="79">
        <v>7</v>
      </c>
      <c r="AT12" s="26" t="s">
        <v>25</v>
      </c>
      <c r="AU12" s="15">
        <f t="shared" si="18"/>
        <v>2</v>
      </c>
      <c r="AV12" s="15">
        <f t="shared" si="19"/>
        <v>12</v>
      </c>
      <c r="AW12" s="15">
        <f t="shared" si="20"/>
        <v>21</v>
      </c>
      <c r="AX12" s="15">
        <f t="shared" si="21"/>
        <v>10</v>
      </c>
      <c r="AY12" s="15">
        <f t="shared" si="22"/>
        <v>3</v>
      </c>
      <c r="AZ12" s="15">
        <f t="shared" si="23"/>
        <v>29</v>
      </c>
      <c r="BA12" s="15">
        <f t="shared" si="24"/>
        <v>11</v>
      </c>
      <c r="BB12" s="7">
        <v>8</v>
      </c>
      <c r="BD12" s="22">
        <v>8</v>
      </c>
      <c r="BE12" s="98" t="s">
        <v>78</v>
      </c>
      <c r="BF12" s="98" t="s">
        <v>163</v>
      </c>
      <c r="BG12" s="98" t="s">
        <v>38</v>
      </c>
      <c r="BH12" s="98" t="s">
        <v>78</v>
      </c>
      <c r="BI12" s="98" t="s">
        <v>40</v>
      </c>
      <c r="BJ12" s="98" t="s">
        <v>163</v>
      </c>
      <c r="BK12" s="37" t="s">
        <v>35</v>
      </c>
      <c r="BM12" s="97">
        <f t="shared" si="25"/>
        <v>6</v>
      </c>
      <c r="BN12" s="97">
        <f t="shared" si="26"/>
        <v>7</v>
      </c>
      <c r="BO12" s="97">
        <f t="shared" si="27"/>
        <v>9</v>
      </c>
      <c r="BP12" s="97">
        <f t="shared" si="28"/>
        <v>6</v>
      </c>
      <c r="BQ12" s="97">
        <f t="shared" si="29"/>
        <v>11</v>
      </c>
      <c r="BR12" s="97">
        <f t="shared" si="30"/>
        <v>7</v>
      </c>
      <c r="BS12" s="97">
        <f t="shared" si="31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100" t="s">
        <v>162</v>
      </c>
      <c r="CD12" s="90">
        <v>50</v>
      </c>
      <c r="CE12" s="182">
        <v>50</v>
      </c>
      <c r="CF12" s="182">
        <v>50</v>
      </c>
      <c r="CG12" s="182">
        <v>50</v>
      </c>
      <c r="CH12" s="182">
        <v>50</v>
      </c>
      <c r="CI12" s="182">
        <v>50</v>
      </c>
      <c r="CJ12" s="92">
        <v>10</v>
      </c>
      <c r="CK12" s="79">
        <v>7</v>
      </c>
    </row>
    <row r="13" spans="1:89" ht="15.95" customHeight="1">
      <c r="A13" s="27" t="s">
        <v>27</v>
      </c>
      <c r="B13" s="15">
        <f t="shared" si="4"/>
        <v>16</v>
      </c>
      <c r="C13" s="15">
        <f t="shared" si="5"/>
        <v>9</v>
      </c>
      <c r="D13" s="15">
        <f t="shared" si="6"/>
        <v>12</v>
      </c>
      <c r="E13" s="15">
        <f t="shared" si="7"/>
        <v>5</v>
      </c>
      <c r="F13" s="15">
        <f t="shared" si="8"/>
        <v>16</v>
      </c>
      <c r="G13" s="15">
        <f t="shared" si="9"/>
        <v>4</v>
      </c>
      <c r="H13" s="15">
        <f t="shared" si="10"/>
        <v>13</v>
      </c>
      <c r="I13" s="7">
        <v>9</v>
      </c>
      <c r="K13" s="21">
        <v>9</v>
      </c>
      <c r="L13" s="98" t="s">
        <v>40</v>
      </c>
      <c r="M13" s="98" t="s">
        <v>35</v>
      </c>
      <c r="N13" s="98" t="s">
        <v>36</v>
      </c>
      <c r="O13" s="98" t="s">
        <v>41</v>
      </c>
      <c r="P13" s="98" t="s">
        <v>36</v>
      </c>
      <c r="Q13" s="98" t="s">
        <v>78</v>
      </c>
      <c r="R13" s="37" t="s">
        <v>26</v>
      </c>
      <c r="T13" s="97">
        <f t="shared" si="11"/>
        <v>11</v>
      </c>
      <c r="U13" s="97">
        <f t="shared" si="12"/>
        <v>4</v>
      </c>
      <c r="V13" s="97">
        <f t="shared" si="13"/>
        <v>5</v>
      </c>
      <c r="W13" s="97">
        <f t="shared" si="14"/>
        <v>12</v>
      </c>
      <c r="X13" s="97">
        <f t="shared" si="15"/>
        <v>5</v>
      </c>
      <c r="Y13" s="97">
        <f t="shared" si="16"/>
        <v>6</v>
      </c>
      <c r="Z13" s="97">
        <f t="shared" si="17"/>
        <v>8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182">
        <v>10</v>
      </c>
      <c r="AM13" s="182">
        <v>40</v>
      </c>
      <c r="AN13" s="182">
        <v>1</v>
      </c>
      <c r="AO13" s="182">
        <v>40</v>
      </c>
      <c r="AP13" s="182">
        <v>1</v>
      </c>
      <c r="AQ13" s="92">
        <v>10</v>
      </c>
      <c r="AR13" s="79">
        <v>8</v>
      </c>
      <c r="AT13" s="27" t="s">
        <v>27</v>
      </c>
      <c r="AU13" s="15">
        <f t="shared" si="18"/>
        <v>19</v>
      </c>
      <c r="AV13" s="15">
        <f t="shared" si="19"/>
        <v>2</v>
      </c>
      <c r="AW13" s="15">
        <f t="shared" si="20"/>
        <v>19</v>
      </c>
      <c r="AX13" s="15">
        <f t="shared" si="21"/>
        <v>4</v>
      </c>
      <c r="AY13" s="15">
        <f t="shared" si="22"/>
        <v>16</v>
      </c>
      <c r="AZ13" s="15">
        <f t="shared" si="23"/>
        <v>7</v>
      </c>
      <c r="BA13" s="15">
        <f t="shared" si="24"/>
        <v>7</v>
      </c>
      <c r="BB13" s="7">
        <v>9</v>
      </c>
      <c r="BD13" s="21">
        <v>9</v>
      </c>
      <c r="BE13" s="98" t="s">
        <v>40</v>
      </c>
      <c r="BF13" s="98" t="s">
        <v>175</v>
      </c>
      <c r="BG13" s="98" t="s">
        <v>35</v>
      </c>
      <c r="BH13" s="98" t="s">
        <v>39</v>
      </c>
      <c r="BI13" s="98" t="s">
        <v>163</v>
      </c>
      <c r="BJ13" s="98" t="s">
        <v>78</v>
      </c>
      <c r="BK13" s="37" t="s">
        <v>35</v>
      </c>
      <c r="BM13" s="97">
        <f t="shared" si="25"/>
        <v>11</v>
      </c>
      <c r="BN13" s="97">
        <f t="shared" si="26"/>
        <v>17</v>
      </c>
      <c r="BO13" s="97">
        <f t="shared" si="27"/>
        <v>4</v>
      </c>
      <c r="BP13" s="97">
        <f t="shared" si="28"/>
        <v>10</v>
      </c>
      <c r="BQ13" s="97">
        <f t="shared" si="29"/>
        <v>7</v>
      </c>
      <c r="BR13" s="97">
        <f t="shared" si="30"/>
        <v>6</v>
      </c>
      <c r="BS13" s="97">
        <f t="shared" si="31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100" t="s">
        <v>25</v>
      </c>
      <c r="CD13" s="90">
        <v>10</v>
      </c>
      <c r="CE13" s="182">
        <v>10</v>
      </c>
      <c r="CF13" s="182">
        <v>40</v>
      </c>
      <c r="CG13" s="182">
        <v>1</v>
      </c>
      <c r="CH13" s="182">
        <v>40</v>
      </c>
      <c r="CI13" s="182">
        <v>1</v>
      </c>
      <c r="CJ13" s="92">
        <v>10</v>
      </c>
      <c r="CK13" s="79">
        <v>8</v>
      </c>
    </row>
    <row r="14" spans="1:89" ht="15.95" customHeight="1">
      <c r="A14" s="28" t="s">
        <v>28</v>
      </c>
      <c r="B14" s="15">
        <f t="shared" si="4"/>
        <v>3</v>
      </c>
      <c r="C14" s="15">
        <f t="shared" si="5"/>
        <v>17</v>
      </c>
      <c r="D14" s="15">
        <f t="shared" si="6"/>
        <v>4</v>
      </c>
      <c r="E14" s="15">
        <f t="shared" si="7"/>
        <v>19</v>
      </c>
      <c r="F14" s="15">
        <f t="shared" si="8"/>
        <v>2</v>
      </c>
      <c r="G14" s="15">
        <f t="shared" si="9"/>
        <v>22</v>
      </c>
      <c r="H14" s="15">
        <f t="shared" si="10"/>
        <v>15</v>
      </c>
      <c r="I14" s="7">
        <v>10</v>
      </c>
      <c r="K14" s="22">
        <v>10</v>
      </c>
      <c r="L14" s="98" t="s">
        <v>40</v>
      </c>
      <c r="M14" s="98" t="s">
        <v>35</v>
      </c>
      <c r="N14" s="98" t="s">
        <v>36</v>
      </c>
      <c r="O14" s="98" t="s">
        <v>41</v>
      </c>
      <c r="P14" s="98" t="s">
        <v>40</v>
      </c>
      <c r="Q14" s="98" t="s">
        <v>41</v>
      </c>
      <c r="R14" s="37" t="s">
        <v>36</v>
      </c>
      <c r="T14" s="97">
        <f t="shared" si="11"/>
        <v>11</v>
      </c>
      <c r="U14" s="97">
        <f t="shared" si="12"/>
        <v>4</v>
      </c>
      <c r="V14" s="97">
        <f t="shared" si="13"/>
        <v>5</v>
      </c>
      <c r="W14" s="97">
        <f t="shared" si="14"/>
        <v>12</v>
      </c>
      <c r="X14" s="97">
        <f t="shared" si="15"/>
        <v>11</v>
      </c>
      <c r="Y14" s="97">
        <f t="shared" si="16"/>
        <v>12</v>
      </c>
      <c r="Z14" s="97">
        <f t="shared" si="17"/>
        <v>5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182">
        <v>8</v>
      </c>
      <c r="AM14" s="182">
        <v>25</v>
      </c>
      <c r="AN14" s="182">
        <v>10</v>
      </c>
      <c r="AO14" s="182">
        <v>1</v>
      </c>
      <c r="AP14" s="182">
        <v>40</v>
      </c>
      <c r="AQ14" s="92">
        <v>10</v>
      </c>
      <c r="AR14" s="79">
        <v>9</v>
      </c>
      <c r="AT14" s="28" t="s">
        <v>28</v>
      </c>
      <c r="AU14" s="15">
        <f t="shared" si="18"/>
        <v>14</v>
      </c>
      <c r="AV14" s="15">
        <f t="shared" si="19"/>
        <v>27</v>
      </c>
      <c r="AW14" s="15">
        <f t="shared" si="20"/>
        <v>2</v>
      </c>
      <c r="AX14" s="15">
        <f t="shared" si="21"/>
        <v>25</v>
      </c>
      <c r="AY14" s="15">
        <f t="shared" si="22"/>
        <v>7</v>
      </c>
      <c r="AZ14" s="15">
        <f t="shared" si="23"/>
        <v>24</v>
      </c>
      <c r="BA14" s="15">
        <f t="shared" si="24"/>
        <v>12</v>
      </c>
      <c r="BB14" s="7">
        <v>10</v>
      </c>
      <c r="BD14" s="22">
        <v>10</v>
      </c>
      <c r="BE14" s="98" t="s">
        <v>40</v>
      </c>
      <c r="BF14" s="98" t="s">
        <v>78</v>
      </c>
      <c r="BG14" s="98" t="s">
        <v>40</v>
      </c>
      <c r="BH14" s="98" t="s">
        <v>175</v>
      </c>
      <c r="BI14" s="98" t="s">
        <v>163</v>
      </c>
      <c r="BJ14" s="98" t="s">
        <v>78</v>
      </c>
      <c r="BK14" s="37" t="s">
        <v>35</v>
      </c>
      <c r="BM14" s="97">
        <f t="shared" si="25"/>
        <v>11</v>
      </c>
      <c r="BN14" s="97">
        <f t="shared" si="26"/>
        <v>6</v>
      </c>
      <c r="BO14" s="97">
        <f t="shared" si="27"/>
        <v>11</v>
      </c>
      <c r="BP14" s="97">
        <f t="shared" si="28"/>
        <v>17</v>
      </c>
      <c r="BQ14" s="97">
        <f t="shared" si="29"/>
        <v>7</v>
      </c>
      <c r="BR14" s="97">
        <f t="shared" si="30"/>
        <v>6</v>
      </c>
      <c r="BS14" s="97">
        <f t="shared" si="31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100" t="s">
        <v>27</v>
      </c>
      <c r="CD14" s="90">
        <v>40</v>
      </c>
      <c r="CE14" s="182">
        <v>8</v>
      </c>
      <c r="CF14" s="182">
        <v>25</v>
      </c>
      <c r="CG14" s="182">
        <v>10</v>
      </c>
      <c r="CH14" s="182">
        <v>1</v>
      </c>
      <c r="CI14" s="182">
        <v>40</v>
      </c>
      <c r="CJ14" s="92">
        <v>10</v>
      </c>
      <c r="CK14" s="79">
        <v>9</v>
      </c>
    </row>
    <row r="15" spans="1:89" ht="15.95" customHeight="1">
      <c r="A15" s="29" t="s">
        <v>29</v>
      </c>
      <c r="B15" s="15">
        <f t="shared" si="4"/>
        <v>25</v>
      </c>
      <c r="C15" s="15">
        <f t="shared" si="5"/>
        <v>1</v>
      </c>
      <c r="D15" s="15">
        <f t="shared" si="6"/>
        <v>20</v>
      </c>
      <c r="E15" s="15">
        <f t="shared" si="7"/>
        <v>6</v>
      </c>
      <c r="F15" s="15">
        <f t="shared" si="8"/>
        <v>27</v>
      </c>
      <c r="G15" s="15">
        <f t="shared" si="9"/>
        <v>5</v>
      </c>
      <c r="H15" s="15">
        <f t="shared" si="10"/>
        <v>5</v>
      </c>
      <c r="I15" s="7">
        <v>11</v>
      </c>
      <c r="K15" s="21">
        <v>11</v>
      </c>
      <c r="L15" s="98" t="s">
        <v>35</v>
      </c>
      <c r="M15" s="98" t="s">
        <v>39</v>
      </c>
      <c r="N15" s="98" t="s">
        <v>163</v>
      </c>
      <c r="O15" s="98" t="s">
        <v>163</v>
      </c>
      <c r="P15" s="98" t="s">
        <v>163</v>
      </c>
      <c r="Q15" s="98" t="s">
        <v>41</v>
      </c>
      <c r="R15" s="37" t="s">
        <v>41</v>
      </c>
      <c r="T15" s="97">
        <f t="shared" si="11"/>
        <v>4</v>
      </c>
      <c r="U15" s="97">
        <f t="shared" si="12"/>
        <v>10</v>
      </c>
      <c r="V15" s="97">
        <f t="shared" si="13"/>
        <v>7</v>
      </c>
      <c r="W15" s="97">
        <f t="shared" si="14"/>
        <v>7</v>
      </c>
      <c r="X15" s="97">
        <f t="shared" si="15"/>
        <v>7</v>
      </c>
      <c r="Y15" s="97">
        <f t="shared" si="16"/>
        <v>12</v>
      </c>
      <c r="Z15" s="97">
        <f t="shared" si="17"/>
        <v>12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182">
        <v>40</v>
      </c>
      <c r="AM15" s="182">
        <v>40</v>
      </c>
      <c r="AN15" s="182">
        <v>10</v>
      </c>
      <c r="AO15" s="182">
        <v>40</v>
      </c>
      <c r="AP15" s="182">
        <v>1</v>
      </c>
      <c r="AQ15" s="92">
        <v>10</v>
      </c>
      <c r="AR15" s="79">
        <v>10</v>
      </c>
      <c r="AT15" s="29" t="s">
        <v>29</v>
      </c>
      <c r="AU15" s="15">
        <f t="shared" si="18"/>
        <v>23</v>
      </c>
      <c r="AV15" s="15">
        <f t="shared" si="19"/>
        <v>5</v>
      </c>
      <c r="AW15" s="15">
        <f t="shared" si="20"/>
        <v>35</v>
      </c>
      <c r="AX15" s="15">
        <f t="shared" si="21"/>
        <v>6</v>
      </c>
      <c r="AY15" s="15">
        <f t="shared" si="22"/>
        <v>20</v>
      </c>
      <c r="AZ15" s="15">
        <f t="shared" si="23"/>
        <v>2</v>
      </c>
      <c r="BA15" s="15">
        <f t="shared" si="24"/>
        <v>15</v>
      </c>
      <c r="BB15" s="7">
        <v>11</v>
      </c>
      <c r="BD15" s="21">
        <v>11</v>
      </c>
      <c r="BE15" s="98" t="s">
        <v>41</v>
      </c>
      <c r="BF15" s="98" t="s">
        <v>78</v>
      </c>
      <c r="BG15" s="98" t="s">
        <v>40</v>
      </c>
      <c r="BH15" s="98" t="s">
        <v>195</v>
      </c>
      <c r="BI15" s="98" t="s">
        <v>38</v>
      </c>
      <c r="BJ15" s="98" t="s">
        <v>163</v>
      </c>
      <c r="BK15" s="37" t="s">
        <v>35</v>
      </c>
      <c r="BM15" s="97">
        <f t="shared" si="25"/>
        <v>12</v>
      </c>
      <c r="BN15" s="97">
        <f t="shared" si="26"/>
        <v>6</v>
      </c>
      <c r="BO15" s="97">
        <f t="shared" si="27"/>
        <v>11</v>
      </c>
      <c r="BP15" s="97">
        <f t="shared" si="28"/>
        <v>19</v>
      </c>
      <c r="BQ15" s="97">
        <f t="shared" si="29"/>
        <v>9</v>
      </c>
      <c r="BR15" s="97">
        <f t="shared" si="30"/>
        <v>7</v>
      </c>
      <c r="BS15" s="97">
        <f t="shared" si="31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100" t="s">
        <v>28</v>
      </c>
      <c r="CD15" s="90">
        <v>10</v>
      </c>
      <c r="CE15" s="182">
        <v>40</v>
      </c>
      <c r="CF15" s="182">
        <v>40</v>
      </c>
      <c r="CG15" s="182">
        <v>10</v>
      </c>
      <c r="CH15" s="182">
        <v>40</v>
      </c>
      <c r="CI15" s="182">
        <v>1</v>
      </c>
      <c r="CJ15" s="92">
        <v>10</v>
      </c>
      <c r="CK15" s="79">
        <v>10</v>
      </c>
    </row>
    <row r="16" spans="1:89" ht="15.95" customHeight="1">
      <c r="A16" s="30" t="s">
        <v>30</v>
      </c>
      <c r="B16" s="15">
        <f t="shared" si="4"/>
        <v>19</v>
      </c>
      <c r="C16" s="15">
        <f t="shared" si="5"/>
        <v>15</v>
      </c>
      <c r="D16" s="15">
        <f t="shared" si="6"/>
        <v>6</v>
      </c>
      <c r="E16" s="15">
        <f t="shared" si="7"/>
        <v>13</v>
      </c>
      <c r="F16" s="15">
        <f t="shared" si="8"/>
        <v>10</v>
      </c>
      <c r="G16" s="15">
        <f t="shared" si="9"/>
        <v>18</v>
      </c>
      <c r="H16" s="15">
        <f t="shared" si="10"/>
        <v>12</v>
      </c>
      <c r="I16" s="7">
        <v>12</v>
      </c>
      <c r="K16" s="22">
        <v>12</v>
      </c>
      <c r="L16" s="98" t="s">
        <v>163</v>
      </c>
      <c r="M16" s="98" t="s">
        <v>39</v>
      </c>
      <c r="N16" s="98" t="s">
        <v>40</v>
      </c>
      <c r="O16" s="98" t="s">
        <v>39</v>
      </c>
      <c r="P16" s="98" t="s">
        <v>163</v>
      </c>
      <c r="Q16" s="98" t="s">
        <v>41</v>
      </c>
      <c r="R16" s="37" t="s">
        <v>41</v>
      </c>
      <c r="T16" s="97">
        <f t="shared" si="11"/>
        <v>7</v>
      </c>
      <c r="U16" s="97">
        <f t="shared" si="12"/>
        <v>10</v>
      </c>
      <c r="V16" s="97">
        <f t="shared" si="13"/>
        <v>11</v>
      </c>
      <c r="W16" s="97">
        <f t="shared" si="14"/>
        <v>10</v>
      </c>
      <c r="X16" s="97">
        <f t="shared" si="15"/>
        <v>7</v>
      </c>
      <c r="Y16" s="97">
        <f t="shared" si="16"/>
        <v>12</v>
      </c>
      <c r="Z16" s="97">
        <f t="shared" si="17"/>
        <v>12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100" t="s">
        <v>29</v>
      </c>
      <c r="AK16" s="90">
        <v>40</v>
      </c>
      <c r="AL16" s="182">
        <v>40</v>
      </c>
      <c r="AM16" s="182">
        <v>40</v>
      </c>
      <c r="AN16" s="182">
        <v>1</v>
      </c>
      <c r="AO16" s="182">
        <v>1</v>
      </c>
      <c r="AP16" s="182">
        <v>1</v>
      </c>
      <c r="AQ16" s="92">
        <v>10</v>
      </c>
      <c r="AR16" s="79">
        <v>11</v>
      </c>
      <c r="AT16" s="30" t="s">
        <v>30</v>
      </c>
      <c r="AU16" s="15">
        <f t="shared" si="18"/>
        <v>30</v>
      </c>
      <c r="AV16" s="15">
        <f t="shared" si="19"/>
        <v>16</v>
      </c>
      <c r="AW16" s="15">
        <f t="shared" si="20"/>
        <v>5</v>
      </c>
      <c r="AX16" s="15">
        <f t="shared" si="21"/>
        <v>19</v>
      </c>
      <c r="AY16" s="15">
        <f t="shared" si="22"/>
        <v>5</v>
      </c>
      <c r="AZ16" s="15">
        <f t="shared" si="23"/>
        <v>21</v>
      </c>
      <c r="BA16" s="15">
        <f t="shared" si="24"/>
        <v>19</v>
      </c>
      <c r="BB16" s="7">
        <v>12</v>
      </c>
      <c r="BD16" s="22">
        <v>12</v>
      </c>
      <c r="BE16" s="98" t="s">
        <v>41</v>
      </c>
      <c r="BF16" s="98" t="s">
        <v>39</v>
      </c>
      <c r="BG16" s="98" t="s">
        <v>100</v>
      </c>
      <c r="BH16" s="98" t="s">
        <v>26</v>
      </c>
      <c r="BI16" s="98" t="s">
        <v>38</v>
      </c>
      <c r="BJ16" s="98" t="s">
        <v>163</v>
      </c>
      <c r="BK16" s="37" t="s">
        <v>36</v>
      </c>
      <c r="BM16" s="97">
        <f t="shared" si="25"/>
        <v>12</v>
      </c>
      <c r="BN16" s="97">
        <f t="shared" si="26"/>
        <v>10</v>
      </c>
      <c r="BO16" s="97">
        <f t="shared" si="27"/>
        <v>14</v>
      </c>
      <c r="BP16" s="97">
        <f t="shared" si="28"/>
        <v>8</v>
      </c>
      <c r="BQ16" s="97">
        <f t="shared" si="29"/>
        <v>9</v>
      </c>
      <c r="BR16" s="97">
        <f t="shared" si="30"/>
        <v>7</v>
      </c>
      <c r="BS16" s="97">
        <f t="shared" si="31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100" t="s">
        <v>29</v>
      </c>
      <c r="CD16" s="90">
        <v>40</v>
      </c>
      <c r="CE16" s="182">
        <v>40</v>
      </c>
      <c r="CF16" s="182">
        <v>40</v>
      </c>
      <c r="CG16" s="182">
        <v>1</v>
      </c>
      <c r="CH16" s="182">
        <v>1</v>
      </c>
      <c r="CI16" s="182">
        <v>1</v>
      </c>
      <c r="CJ16" s="92">
        <v>10</v>
      </c>
      <c r="CK16" s="79">
        <v>11</v>
      </c>
    </row>
    <row r="17" spans="1:89" ht="15.95" customHeight="1">
      <c r="A17" s="30" t="s">
        <v>82</v>
      </c>
      <c r="B17" s="15">
        <f t="shared" si="4"/>
        <v>0</v>
      </c>
      <c r="C17" s="15">
        <f t="shared" si="5"/>
        <v>1</v>
      </c>
      <c r="D17" s="15">
        <f t="shared" si="6"/>
        <v>0</v>
      </c>
      <c r="E17" s="15">
        <f t="shared" si="7"/>
        <v>0</v>
      </c>
      <c r="F17" s="15">
        <f t="shared" si="8"/>
        <v>0</v>
      </c>
      <c r="G17" s="15">
        <f t="shared" si="9"/>
        <v>0</v>
      </c>
      <c r="H17" s="15">
        <f t="shared" si="10"/>
        <v>0</v>
      </c>
      <c r="I17" s="7">
        <v>13</v>
      </c>
      <c r="K17" s="21">
        <v>13</v>
      </c>
      <c r="L17" s="98" t="s">
        <v>163</v>
      </c>
      <c r="M17" s="98" t="s">
        <v>195</v>
      </c>
      <c r="N17" s="98" t="s">
        <v>40</v>
      </c>
      <c r="O17" s="98" t="s">
        <v>39</v>
      </c>
      <c r="P17" s="98" t="s">
        <v>175</v>
      </c>
      <c r="Q17" s="98" t="s">
        <v>39</v>
      </c>
      <c r="R17" s="37" t="s">
        <v>41</v>
      </c>
      <c r="T17" s="97">
        <f t="shared" si="11"/>
        <v>7</v>
      </c>
      <c r="U17" s="97">
        <f t="shared" si="12"/>
        <v>19</v>
      </c>
      <c r="V17" s="97">
        <f t="shared" si="13"/>
        <v>11</v>
      </c>
      <c r="W17" s="97">
        <f t="shared" si="14"/>
        <v>10</v>
      </c>
      <c r="X17" s="97">
        <f t="shared" si="15"/>
        <v>17</v>
      </c>
      <c r="Y17" s="97">
        <f t="shared" si="16"/>
        <v>10</v>
      </c>
      <c r="Z17" s="97">
        <f t="shared" si="17"/>
        <v>12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182">
        <v>40</v>
      </c>
      <c r="AM17" s="182">
        <v>20</v>
      </c>
      <c r="AN17" s="182">
        <v>1</v>
      </c>
      <c r="AO17" s="182">
        <v>1</v>
      </c>
      <c r="AP17" s="182">
        <v>1</v>
      </c>
      <c r="AQ17" s="92">
        <v>10</v>
      </c>
      <c r="AR17" s="79">
        <v>12</v>
      </c>
      <c r="AT17" s="30" t="s">
        <v>82</v>
      </c>
      <c r="AU17" s="15">
        <f t="shared" si="18"/>
        <v>0</v>
      </c>
      <c r="AV17" s="15">
        <f t="shared" si="19"/>
        <v>0</v>
      </c>
      <c r="AW17" s="15">
        <f t="shared" si="20"/>
        <v>0</v>
      </c>
      <c r="AX17" s="15">
        <f t="shared" si="21"/>
        <v>0</v>
      </c>
      <c r="AY17" s="15">
        <f t="shared" si="22"/>
        <v>0</v>
      </c>
      <c r="AZ17" s="15">
        <f t="shared" si="23"/>
        <v>0</v>
      </c>
      <c r="BA17" s="15">
        <f t="shared" si="24"/>
        <v>0</v>
      </c>
      <c r="BB17" s="7">
        <v>13</v>
      </c>
      <c r="BD17" s="21">
        <v>13</v>
      </c>
      <c r="BE17" s="98" t="s">
        <v>38</v>
      </c>
      <c r="BF17" s="98" t="s">
        <v>39</v>
      </c>
      <c r="BG17" s="98" t="s">
        <v>205</v>
      </c>
      <c r="BH17" s="98" t="s">
        <v>26</v>
      </c>
      <c r="BI17" s="98" t="s">
        <v>163</v>
      </c>
      <c r="BJ17" s="98" t="s">
        <v>78</v>
      </c>
      <c r="BK17" s="37" t="s">
        <v>36</v>
      </c>
      <c r="BM17" s="97">
        <f t="shared" si="25"/>
        <v>9</v>
      </c>
      <c r="BN17" s="97">
        <f t="shared" si="26"/>
        <v>10</v>
      </c>
      <c r="BO17" s="97">
        <f t="shared" si="27"/>
        <v>21</v>
      </c>
      <c r="BP17" s="97">
        <f t="shared" si="28"/>
        <v>8</v>
      </c>
      <c r="BQ17" s="97">
        <f t="shared" si="29"/>
        <v>7</v>
      </c>
      <c r="BR17" s="97">
        <f t="shared" si="30"/>
        <v>6</v>
      </c>
      <c r="BS17" s="97">
        <f t="shared" si="31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100" t="s">
        <v>30</v>
      </c>
      <c r="CD17" s="90">
        <v>5</v>
      </c>
      <c r="CE17" s="182">
        <v>40</v>
      </c>
      <c r="CF17" s="182">
        <v>20</v>
      </c>
      <c r="CG17" s="182">
        <v>1</v>
      </c>
      <c r="CH17" s="182">
        <v>1</v>
      </c>
      <c r="CI17" s="182">
        <v>1</v>
      </c>
      <c r="CJ17" s="92">
        <v>10</v>
      </c>
      <c r="CK17" s="79">
        <v>12</v>
      </c>
    </row>
    <row r="18" spans="1:89" s="106" customFormat="1" ht="15.95" customHeight="1">
      <c r="A18" s="30" t="s">
        <v>83</v>
      </c>
      <c r="B18" s="15">
        <f t="shared" si="4"/>
        <v>0</v>
      </c>
      <c r="C18" s="15">
        <f t="shared" si="5"/>
        <v>1</v>
      </c>
      <c r="D18" s="15">
        <f t="shared" si="6"/>
        <v>1</v>
      </c>
      <c r="E18" s="15">
        <f t="shared" si="7"/>
        <v>0</v>
      </c>
      <c r="F18" s="15">
        <f t="shared" si="8"/>
        <v>1</v>
      </c>
      <c r="G18" s="15">
        <f t="shared" si="9"/>
        <v>0</v>
      </c>
      <c r="H18" s="15">
        <f t="shared" si="10"/>
        <v>0</v>
      </c>
      <c r="I18" s="7">
        <v>14</v>
      </c>
      <c r="J18" s="86"/>
      <c r="K18" s="22">
        <v>14</v>
      </c>
      <c r="L18" s="98" t="s">
        <v>39</v>
      </c>
      <c r="M18" s="98" t="s">
        <v>33</v>
      </c>
      <c r="N18" s="98" t="s">
        <v>40</v>
      </c>
      <c r="O18" s="98" t="s">
        <v>40</v>
      </c>
      <c r="P18" s="98" t="s">
        <v>78</v>
      </c>
      <c r="Q18" s="98" t="s">
        <v>40</v>
      </c>
      <c r="R18" s="37" t="s">
        <v>38</v>
      </c>
      <c r="T18" s="97">
        <f t="shared" si="11"/>
        <v>10</v>
      </c>
      <c r="U18" s="97">
        <f t="shared" si="12"/>
        <v>2</v>
      </c>
      <c r="V18" s="97">
        <f t="shared" si="13"/>
        <v>11</v>
      </c>
      <c r="W18" s="97">
        <f t="shared" si="14"/>
        <v>11</v>
      </c>
      <c r="X18" s="97">
        <f t="shared" si="15"/>
        <v>6</v>
      </c>
      <c r="Y18" s="97">
        <f t="shared" si="16"/>
        <v>11</v>
      </c>
      <c r="Z18" s="97">
        <f t="shared" si="17"/>
        <v>9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182">
        <v>3</v>
      </c>
      <c r="AM18" s="182">
        <v>3</v>
      </c>
      <c r="AN18" s="182">
        <v>3</v>
      </c>
      <c r="AO18" s="182">
        <v>3</v>
      </c>
      <c r="AP18" s="182">
        <v>0</v>
      </c>
      <c r="AQ18" s="92">
        <v>0</v>
      </c>
      <c r="AR18" s="79">
        <v>13</v>
      </c>
      <c r="AT18" s="30" t="s">
        <v>83</v>
      </c>
      <c r="AU18" s="15">
        <f t="shared" si="18"/>
        <v>0</v>
      </c>
      <c r="AV18" s="15">
        <f t="shared" si="19"/>
        <v>2</v>
      </c>
      <c r="AW18" s="15">
        <f t="shared" si="20"/>
        <v>1</v>
      </c>
      <c r="AX18" s="15">
        <f t="shared" si="21"/>
        <v>1</v>
      </c>
      <c r="AY18" s="15">
        <f t="shared" si="22"/>
        <v>1</v>
      </c>
      <c r="AZ18" s="15">
        <f t="shared" si="23"/>
        <v>0</v>
      </c>
      <c r="BA18" s="15">
        <f t="shared" si="24"/>
        <v>0</v>
      </c>
      <c r="BB18" s="7">
        <v>14</v>
      </c>
      <c r="BC18" s="86"/>
      <c r="BD18" s="22">
        <v>14</v>
      </c>
      <c r="BE18" s="98" t="s">
        <v>163</v>
      </c>
      <c r="BF18" s="98" t="s">
        <v>177</v>
      </c>
      <c r="BG18" s="98" t="s">
        <v>39</v>
      </c>
      <c r="BH18" s="98" t="s">
        <v>163</v>
      </c>
      <c r="BI18" s="98" t="s">
        <v>163</v>
      </c>
      <c r="BJ18" s="98" t="s">
        <v>39</v>
      </c>
      <c r="BK18" s="37" t="s">
        <v>36</v>
      </c>
      <c r="BL18" s="110"/>
      <c r="BM18" s="97">
        <f t="shared" si="25"/>
        <v>7</v>
      </c>
      <c r="BN18" s="97">
        <f t="shared" si="26"/>
        <v>18</v>
      </c>
      <c r="BO18" s="97">
        <f t="shared" si="27"/>
        <v>10</v>
      </c>
      <c r="BP18" s="97">
        <f t="shared" si="28"/>
        <v>7</v>
      </c>
      <c r="BQ18" s="97">
        <f t="shared" si="29"/>
        <v>7</v>
      </c>
      <c r="BR18" s="97">
        <f t="shared" si="30"/>
        <v>10</v>
      </c>
      <c r="BS18" s="97">
        <f t="shared" si="31"/>
        <v>5</v>
      </c>
      <c r="BT18" s="110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110"/>
      <c r="CC18" s="100" t="s">
        <v>82</v>
      </c>
      <c r="CD18" s="90">
        <v>0</v>
      </c>
      <c r="CE18" s="182">
        <v>3</v>
      </c>
      <c r="CF18" s="182">
        <v>3</v>
      </c>
      <c r="CG18" s="182">
        <v>3</v>
      </c>
      <c r="CH18" s="182">
        <v>3</v>
      </c>
      <c r="CI18" s="182">
        <v>0</v>
      </c>
      <c r="CJ18" s="92">
        <v>0</v>
      </c>
      <c r="CK18" s="79">
        <v>13</v>
      </c>
    </row>
    <row r="19" spans="1:89" ht="15.95" customHeight="1">
      <c r="A19" s="30" t="s">
        <v>84</v>
      </c>
      <c r="B19" s="15">
        <f t="shared" si="4"/>
        <v>0</v>
      </c>
      <c r="C19" s="15">
        <f t="shared" si="5"/>
        <v>1</v>
      </c>
      <c r="D19" s="15">
        <f t="shared" si="6"/>
        <v>1</v>
      </c>
      <c r="E19" s="15">
        <f t="shared" si="7"/>
        <v>1</v>
      </c>
      <c r="F19" s="15">
        <f t="shared" si="8"/>
        <v>1</v>
      </c>
      <c r="G19" s="15">
        <f t="shared" si="9"/>
        <v>0</v>
      </c>
      <c r="H19" s="15">
        <f t="shared" si="10"/>
        <v>0</v>
      </c>
      <c r="I19" s="7">
        <v>15</v>
      </c>
      <c r="J19" s="107"/>
      <c r="K19" s="21">
        <v>15</v>
      </c>
      <c r="L19" s="98" t="s">
        <v>41</v>
      </c>
      <c r="M19" s="98" t="s">
        <v>99</v>
      </c>
      <c r="N19" s="98" t="s">
        <v>163</v>
      </c>
      <c r="O19" s="98" t="s">
        <v>40</v>
      </c>
      <c r="P19" s="98" t="s">
        <v>177</v>
      </c>
      <c r="Q19" s="98" t="s">
        <v>78</v>
      </c>
      <c r="R19" s="37" t="s">
        <v>38</v>
      </c>
      <c r="T19" s="97">
        <f t="shared" si="11"/>
        <v>12</v>
      </c>
      <c r="U19" s="97">
        <f t="shared" si="12"/>
        <v>13</v>
      </c>
      <c r="V19" s="97">
        <f t="shared" si="13"/>
        <v>7</v>
      </c>
      <c r="W19" s="97">
        <f t="shared" si="14"/>
        <v>11</v>
      </c>
      <c r="X19" s="97">
        <f t="shared" si="15"/>
        <v>18</v>
      </c>
      <c r="Y19" s="97">
        <f t="shared" si="16"/>
        <v>6</v>
      </c>
      <c r="Z19" s="97">
        <f t="shared" si="17"/>
        <v>9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182">
        <v>4</v>
      </c>
      <c r="AM19" s="182">
        <v>4</v>
      </c>
      <c r="AN19" s="182">
        <v>2</v>
      </c>
      <c r="AO19" s="182">
        <v>2</v>
      </c>
      <c r="AP19" s="182">
        <v>0</v>
      </c>
      <c r="AQ19" s="92">
        <v>0</v>
      </c>
      <c r="AR19" s="79">
        <v>14</v>
      </c>
      <c r="AT19" s="30" t="s">
        <v>84</v>
      </c>
      <c r="AU19" s="15">
        <f t="shared" si="18"/>
        <v>0</v>
      </c>
      <c r="AV19" s="15">
        <f t="shared" si="19"/>
        <v>0</v>
      </c>
      <c r="AW19" s="15">
        <f t="shared" si="20"/>
        <v>1</v>
      </c>
      <c r="AX19" s="15">
        <f t="shared" si="21"/>
        <v>1</v>
      </c>
      <c r="AY19" s="15">
        <f t="shared" si="22"/>
        <v>1</v>
      </c>
      <c r="AZ19" s="15">
        <f t="shared" si="23"/>
        <v>0</v>
      </c>
      <c r="BA19" s="15">
        <f t="shared" si="24"/>
        <v>0</v>
      </c>
      <c r="BB19" s="7">
        <v>15</v>
      </c>
      <c r="BC19" s="107"/>
      <c r="BD19" s="21">
        <v>15</v>
      </c>
      <c r="BE19" s="98" t="s">
        <v>40</v>
      </c>
      <c r="BF19" s="98" t="s">
        <v>163</v>
      </c>
      <c r="BG19" s="98" t="s">
        <v>36</v>
      </c>
      <c r="BH19" s="98" t="s">
        <v>177</v>
      </c>
      <c r="BI19" s="98" t="s">
        <v>195</v>
      </c>
      <c r="BJ19" s="98" t="s">
        <v>78</v>
      </c>
      <c r="BK19" s="37" t="s">
        <v>36</v>
      </c>
      <c r="BM19" s="97">
        <f t="shared" si="25"/>
        <v>11</v>
      </c>
      <c r="BN19" s="97">
        <f t="shared" si="26"/>
        <v>7</v>
      </c>
      <c r="BO19" s="97">
        <f t="shared" si="27"/>
        <v>5</v>
      </c>
      <c r="BP19" s="97">
        <f t="shared" si="28"/>
        <v>18</v>
      </c>
      <c r="BQ19" s="97">
        <f t="shared" si="29"/>
        <v>19</v>
      </c>
      <c r="BR19" s="97">
        <f t="shared" si="30"/>
        <v>6</v>
      </c>
      <c r="BS19" s="97">
        <f t="shared" si="31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100" t="s">
        <v>83</v>
      </c>
      <c r="CD19" s="90">
        <v>0</v>
      </c>
      <c r="CE19" s="182">
        <v>4</v>
      </c>
      <c r="CF19" s="182">
        <v>4</v>
      </c>
      <c r="CG19" s="182">
        <v>2</v>
      </c>
      <c r="CH19" s="182">
        <v>2</v>
      </c>
      <c r="CI19" s="182">
        <v>0</v>
      </c>
      <c r="CJ19" s="92">
        <v>0</v>
      </c>
      <c r="CK19" s="79">
        <v>14</v>
      </c>
    </row>
    <row r="20" spans="1:89" ht="15.95" customHeight="1">
      <c r="A20" s="30" t="s">
        <v>85</v>
      </c>
      <c r="B20" s="15">
        <f t="shared" si="4"/>
        <v>0</v>
      </c>
      <c r="C20" s="15">
        <f t="shared" si="5"/>
        <v>1</v>
      </c>
      <c r="D20" s="15">
        <f t="shared" si="6"/>
        <v>1</v>
      </c>
      <c r="E20" s="15">
        <f t="shared" si="7"/>
        <v>0</v>
      </c>
      <c r="F20" s="15">
        <f t="shared" si="8"/>
        <v>1</v>
      </c>
      <c r="G20" s="15">
        <f t="shared" si="9"/>
        <v>0</v>
      </c>
      <c r="H20" s="15">
        <f t="shared" si="10"/>
        <v>0</v>
      </c>
      <c r="I20" s="7">
        <v>16</v>
      </c>
      <c r="K20" s="22">
        <v>16</v>
      </c>
      <c r="L20" s="98" t="s">
        <v>41</v>
      </c>
      <c r="M20" s="98" t="s">
        <v>41</v>
      </c>
      <c r="N20" s="98" t="s">
        <v>163</v>
      </c>
      <c r="O20" s="98" t="s">
        <v>26</v>
      </c>
      <c r="P20" s="98" t="s">
        <v>163</v>
      </c>
      <c r="Q20" s="98" t="s">
        <v>26</v>
      </c>
      <c r="R20" s="37" t="s">
        <v>38</v>
      </c>
      <c r="T20" s="97">
        <f t="shared" si="11"/>
        <v>12</v>
      </c>
      <c r="U20" s="97">
        <f t="shared" si="12"/>
        <v>12</v>
      </c>
      <c r="V20" s="97">
        <f t="shared" si="13"/>
        <v>7</v>
      </c>
      <c r="W20" s="97">
        <f t="shared" si="14"/>
        <v>8</v>
      </c>
      <c r="X20" s="97">
        <f t="shared" si="15"/>
        <v>7</v>
      </c>
      <c r="Y20" s="97">
        <f t="shared" si="16"/>
        <v>8</v>
      </c>
      <c r="Z20" s="97">
        <f t="shared" si="17"/>
        <v>9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100" t="s">
        <v>84</v>
      </c>
      <c r="AK20" s="90">
        <v>0</v>
      </c>
      <c r="AL20" s="182">
        <v>5</v>
      </c>
      <c r="AM20" s="182">
        <v>5</v>
      </c>
      <c r="AN20" s="182">
        <v>2</v>
      </c>
      <c r="AO20" s="182">
        <v>2</v>
      </c>
      <c r="AP20" s="182">
        <v>0</v>
      </c>
      <c r="AQ20" s="92">
        <v>0</v>
      </c>
      <c r="AR20" s="79">
        <v>15</v>
      </c>
      <c r="AT20" s="30" t="s">
        <v>85</v>
      </c>
      <c r="AU20" s="15">
        <f t="shared" si="18"/>
        <v>0</v>
      </c>
      <c r="AV20" s="15">
        <f t="shared" si="19"/>
        <v>1</v>
      </c>
      <c r="AW20" s="15">
        <f t="shared" si="20"/>
        <v>2</v>
      </c>
      <c r="AX20" s="15">
        <f t="shared" si="21"/>
        <v>1</v>
      </c>
      <c r="AY20" s="15">
        <f t="shared" si="22"/>
        <v>1</v>
      </c>
      <c r="AZ20" s="15">
        <f t="shared" si="23"/>
        <v>0</v>
      </c>
      <c r="BA20" s="15">
        <f t="shared" si="24"/>
        <v>0</v>
      </c>
      <c r="BB20" s="7">
        <v>16</v>
      </c>
      <c r="BD20" s="22">
        <v>16</v>
      </c>
      <c r="BE20" s="98" t="s">
        <v>41</v>
      </c>
      <c r="BF20" s="98" t="s">
        <v>78</v>
      </c>
      <c r="BG20" s="98" t="s">
        <v>36</v>
      </c>
      <c r="BH20" s="98" t="s">
        <v>39</v>
      </c>
      <c r="BI20" s="98" t="s">
        <v>39</v>
      </c>
      <c r="BJ20" s="98" t="s">
        <v>78</v>
      </c>
      <c r="BK20" s="37" t="s">
        <v>26</v>
      </c>
      <c r="BM20" s="97">
        <f t="shared" si="25"/>
        <v>12</v>
      </c>
      <c r="BN20" s="97">
        <f t="shared" si="26"/>
        <v>6</v>
      </c>
      <c r="BO20" s="97">
        <f t="shared" si="27"/>
        <v>5</v>
      </c>
      <c r="BP20" s="97">
        <f t="shared" si="28"/>
        <v>10</v>
      </c>
      <c r="BQ20" s="97">
        <f t="shared" si="29"/>
        <v>10</v>
      </c>
      <c r="BR20" s="97">
        <f t="shared" si="30"/>
        <v>6</v>
      </c>
      <c r="BS20" s="97">
        <f t="shared" si="31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100" t="s">
        <v>84</v>
      </c>
      <c r="CD20" s="90">
        <v>0</v>
      </c>
      <c r="CE20" s="182">
        <v>5</v>
      </c>
      <c r="CF20" s="182">
        <v>5</v>
      </c>
      <c r="CG20" s="182">
        <v>2</v>
      </c>
      <c r="CH20" s="182">
        <v>2</v>
      </c>
      <c r="CI20" s="182">
        <v>0</v>
      </c>
      <c r="CJ20" s="92">
        <v>0</v>
      </c>
      <c r="CK20" s="79">
        <v>15</v>
      </c>
    </row>
    <row r="21" spans="1:89" ht="15.95" customHeight="1">
      <c r="A21" s="30" t="s">
        <v>86</v>
      </c>
      <c r="B21" s="15">
        <f t="shared" si="4"/>
        <v>0</v>
      </c>
      <c r="C21" s="15">
        <f t="shared" si="5"/>
        <v>4</v>
      </c>
      <c r="D21" s="15">
        <f t="shared" si="6"/>
        <v>1</v>
      </c>
      <c r="E21" s="15">
        <f t="shared" si="7"/>
        <v>1</v>
      </c>
      <c r="F21" s="15">
        <f t="shared" si="8"/>
        <v>1</v>
      </c>
      <c r="G21" s="15">
        <f t="shared" si="9"/>
        <v>0</v>
      </c>
      <c r="H21" s="15">
        <f t="shared" si="10"/>
        <v>0</v>
      </c>
      <c r="I21" s="7">
        <v>17</v>
      </c>
      <c r="K21" s="21">
        <v>17</v>
      </c>
      <c r="L21" s="98" t="s">
        <v>40</v>
      </c>
      <c r="M21" s="98" t="s">
        <v>41</v>
      </c>
      <c r="N21" s="98" t="s">
        <v>38</v>
      </c>
      <c r="O21" s="98" t="s">
        <v>26</v>
      </c>
      <c r="P21" s="98" t="s">
        <v>163</v>
      </c>
      <c r="Q21" s="98" t="s">
        <v>78</v>
      </c>
      <c r="R21" s="37" t="s">
        <v>78</v>
      </c>
      <c r="T21" s="97">
        <f t="shared" si="11"/>
        <v>11</v>
      </c>
      <c r="U21" s="97">
        <f t="shared" si="12"/>
        <v>12</v>
      </c>
      <c r="V21" s="97">
        <f t="shared" si="13"/>
        <v>9</v>
      </c>
      <c r="W21" s="97">
        <f t="shared" si="14"/>
        <v>8</v>
      </c>
      <c r="X21" s="97">
        <f t="shared" si="15"/>
        <v>7</v>
      </c>
      <c r="Y21" s="97">
        <f t="shared" si="16"/>
        <v>6</v>
      </c>
      <c r="Z21" s="97">
        <f t="shared" si="17"/>
        <v>6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182">
        <v>5</v>
      </c>
      <c r="AM21" s="182">
        <v>5</v>
      </c>
      <c r="AN21" s="182">
        <v>5</v>
      </c>
      <c r="AO21" s="182">
        <v>8</v>
      </c>
      <c r="AP21" s="182">
        <v>0</v>
      </c>
      <c r="AQ21" s="92">
        <v>0</v>
      </c>
      <c r="AR21" s="79">
        <v>16</v>
      </c>
      <c r="AT21" s="30" t="s">
        <v>86</v>
      </c>
      <c r="AU21" s="15">
        <f t="shared" si="18"/>
        <v>0</v>
      </c>
      <c r="AV21" s="15">
        <f t="shared" si="19"/>
        <v>3</v>
      </c>
      <c r="AW21" s="15">
        <f t="shared" si="20"/>
        <v>0</v>
      </c>
      <c r="AX21" s="15">
        <f t="shared" si="21"/>
        <v>4</v>
      </c>
      <c r="AY21" s="15">
        <f t="shared" si="22"/>
        <v>1</v>
      </c>
      <c r="AZ21" s="15">
        <f t="shared" si="23"/>
        <v>0</v>
      </c>
      <c r="BA21" s="15">
        <f t="shared" si="24"/>
        <v>0</v>
      </c>
      <c r="BB21" s="7">
        <v>17</v>
      </c>
      <c r="BD21" s="21">
        <v>17</v>
      </c>
      <c r="BE21" s="98" t="s">
        <v>78</v>
      </c>
      <c r="BF21" s="98" t="s">
        <v>78</v>
      </c>
      <c r="BG21" s="98" t="s">
        <v>207</v>
      </c>
      <c r="BH21" s="98" t="s">
        <v>100</v>
      </c>
      <c r="BI21" s="98" t="s">
        <v>163</v>
      </c>
      <c r="BJ21" s="98" t="s">
        <v>78</v>
      </c>
      <c r="BK21" s="37" t="s">
        <v>26</v>
      </c>
      <c r="BM21" s="97">
        <f t="shared" si="25"/>
        <v>6</v>
      </c>
      <c r="BN21" s="97">
        <f t="shared" si="26"/>
        <v>6</v>
      </c>
      <c r="BO21" s="97">
        <f t="shared" si="27"/>
        <v>16</v>
      </c>
      <c r="BP21" s="97">
        <f t="shared" si="28"/>
        <v>14</v>
      </c>
      <c r="BQ21" s="97">
        <f t="shared" si="29"/>
        <v>7</v>
      </c>
      <c r="BR21" s="97">
        <f t="shared" si="30"/>
        <v>6</v>
      </c>
      <c r="BS21" s="97">
        <f t="shared" si="31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100" t="s">
        <v>85</v>
      </c>
      <c r="CD21" s="90">
        <v>0</v>
      </c>
      <c r="CE21" s="182">
        <v>5</v>
      </c>
      <c r="CF21" s="182">
        <v>5</v>
      </c>
      <c r="CG21" s="182">
        <v>5</v>
      </c>
      <c r="CH21" s="182">
        <v>8</v>
      </c>
      <c r="CI21" s="182">
        <v>0</v>
      </c>
      <c r="CJ21" s="92">
        <v>0</v>
      </c>
      <c r="CK21" s="79">
        <v>16</v>
      </c>
    </row>
    <row r="22" spans="1:89" ht="15.95" customHeight="1">
      <c r="A22" s="30" t="s">
        <v>176</v>
      </c>
      <c r="B22" s="15">
        <f t="shared" si="4"/>
        <v>0</v>
      </c>
      <c r="C22" s="15">
        <f t="shared" si="5"/>
        <v>4</v>
      </c>
      <c r="D22" s="15">
        <f t="shared" si="6"/>
        <v>2</v>
      </c>
      <c r="E22" s="15">
        <f t="shared" si="7"/>
        <v>1</v>
      </c>
      <c r="F22" s="15">
        <f t="shared" si="8"/>
        <v>1</v>
      </c>
      <c r="G22" s="15">
        <f t="shared" si="9"/>
        <v>0</v>
      </c>
      <c r="H22" s="15">
        <f t="shared" si="10"/>
        <v>0</v>
      </c>
      <c r="I22" s="7">
        <v>18</v>
      </c>
      <c r="K22" s="22">
        <v>18</v>
      </c>
      <c r="L22" s="98" t="s">
        <v>40</v>
      </c>
      <c r="M22" s="98" t="s">
        <v>163</v>
      </c>
      <c r="N22" s="98" t="s">
        <v>78</v>
      </c>
      <c r="O22" s="98" t="s">
        <v>35</v>
      </c>
      <c r="P22" s="98" t="s">
        <v>38</v>
      </c>
      <c r="Q22" s="98" t="s">
        <v>78</v>
      </c>
      <c r="R22" s="98" t="s">
        <v>35</v>
      </c>
      <c r="T22" s="97">
        <f t="shared" si="11"/>
        <v>11</v>
      </c>
      <c r="U22" s="97">
        <f t="shared" si="12"/>
        <v>7</v>
      </c>
      <c r="V22" s="97">
        <f t="shared" si="13"/>
        <v>6</v>
      </c>
      <c r="W22" s="97">
        <f t="shared" si="14"/>
        <v>4</v>
      </c>
      <c r="X22" s="97">
        <f t="shared" si="15"/>
        <v>9</v>
      </c>
      <c r="Y22" s="97">
        <f t="shared" si="16"/>
        <v>6</v>
      </c>
      <c r="Z22" s="97">
        <f t="shared" si="17"/>
        <v>4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182">
        <v>15</v>
      </c>
      <c r="AM22" s="182">
        <v>15</v>
      </c>
      <c r="AN22" s="182">
        <v>10</v>
      </c>
      <c r="AO22" s="182">
        <v>15</v>
      </c>
      <c r="AP22" s="182">
        <v>0</v>
      </c>
      <c r="AQ22" s="92">
        <v>0</v>
      </c>
      <c r="AR22" s="79">
        <v>17</v>
      </c>
      <c r="AT22" s="30" t="s">
        <v>176</v>
      </c>
      <c r="AU22" s="15">
        <f t="shared" si="18"/>
        <v>0</v>
      </c>
      <c r="AV22" s="15">
        <f t="shared" si="19"/>
        <v>3</v>
      </c>
      <c r="AW22" s="15">
        <f t="shared" si="20"/>
        <v>1</v>
      </c>
      <c r="AX22" s="15">
        <f t="shared" si="21"/>
        <v>2</v>
      </c>
      <c r="AY22" s="15">
        <f t="shared" si="22"/>
        <v>2</v>
      </c>
      <c r="AZ22" s="15">
        <f t="shared" si="23"/>
        <v>0</v>
      </c>
      <c r="BA22" s="15">
        <f t="shared" si="24"/>
        <v>0</v>
      </c>
      <c r="BB22" s="7">
        <v>18</v>
      </c>
      <c r="BD22" s="22">
        <v>18</v>
      </c>
      <c r="BE22" s="98" t="s">
        <v>41</v>
      </c>
      <c r="BF22" s="98" t="s">
        <v>202</v>
      </c>
      <c r="BG22" s="98" t="s">
        <v>38</v>
      </c>
      <c r="BH22" s="98" t="s">
        <v>35</v>
      </c>
      <c r="BI22" s="98" t="s">
        <v>38</v>
      </c>
      <c r="BJ22" s="98" t="s">
        <v>36</v>
      </c>
      <c r="BK22" s="98" t="s">
        <v>26</v>
      </c>
      <c r="BM22" s="97">
        <f t="shared" si="25"/>
        <v>12</v>
      </c>
      <c r="BN22" s="97">
        <f t="shared" si="26"/>
        <v>23</v>
      </c>
      <c r="BO22" s="97">
        <f t="shared" si="27"/>
        <v>9</v>
      </c>
      <c r="BP22" s="97">
        <f t="shared" si="28"/>
        <v>4</v>
      </c>
      <c r="BQ22" s="97">
        <f t="shared" si="29"/>
        <v>9</v>
      </c>
      <c r="BR22" s="97">
        <f t="shared" si="30"/>
        <v>5</v>
      </c>
      <c r="BS22" s="97">
        <f t="shared" si="31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100" t="s">
        <v>86</v>
      </c>
      <c r="CD22" s="90">
        <v>0</v>
      </c>
      <c r="CE22" s="182">
        <v>15</v>
      </c>
      <c r="CF22" s="182">
        <v>15</v>
      </c>
      <c r="CG22" s="182">
        <v>10</v>
      </c>
      <c r="CH22" s="182">
        <v>15</v>
      </c>
      <c r="CI22" s="182">
        <v>0</v>
      </c>
      <c r="CJ22" s="92">
        <v>0</v>
      </c>
      <c r="CK22" s="79">
        <v>17</v>
      </c>
    </row>
    <row r="23" spans="1:89" ht="15.95" customHeight="1">
      <c r="A23" s="30" t="s">
        <v>87</v>
      </c>
      <c r="B23" s="15">
        <f t="shared" si="4"/>
        <v>0</v>
      </c>
      <c r="C23" s="15">
        <f t="shared" si="5"/>
        <v>2</v>
      </c>
      <c r="D23" s="15">
        <f t="shared" si="6"/>
        <v>1</v>
      </c>
      <c r="E23" s="15">
        <f t="shared" si="7"/>
        <v>1</v>
      </c>
      <c r="F23" s="15">
        <f t="shared" si="8"/>
        <v>0</v>
      </c>
      <c r="G23" s="15">
        <f t="shared" si="9"/>
        <v>0</v>
      </c>
      <c r="H23" s="15">
        <f t="shared" si="10"/>
        <v>0</v>
      </c>
      <c r="I23" s="7">
        <v>19</v>
      </c>
      <c r="K23" s="21">
        <v>19</v>
      </c>
      <c r="L23" s="98" t="s">
        <v>163</v>
      </c>
      <c r="M23" s="98" t="s">
        <v>26</v>
      </c>
      <c r="N23" s="98" t="s">
        <v>38</v>
      </c>
      <c r="O23" s="98" t="s">
        <v>26</v>
      </c>
      <c r="P23" s="98" t="s">
        <v>163</v>
      </c>
      <c r="Q23" s="98" t="s">
        <v>78</v>
      </c>
      <c r="R23" s="37" t="s">
        <v>35</v>
      </c>
      <c r="T23" s="97">
        <f t="shared" si="11"/>
        <v>7</v>
      </c>
      <c r="U23" s="97">
        <f t="shared" si="12"/>
        <v>8</v>
      </c>
      <c r="V23" s="97">
        <f t="shared" si="13"/>
        <v>9</v>
      </c>
      <c r="W23" s="97">
        <f t="shared" si="14"/>
        <v>8</v>
      </c>
      <c r="X23" s="97">
        <f t="shared" si="15"/>
        <v>7</v>
      </c>
      <c r="Y23" s="97">
        <f t="shared" si="16"/>
        <v>6</v>
      </c>
      <c r="Z23" s="97">
        <f t="shared" si="17"/>
        <v>4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182">
        <v>10</v>
      </c>
      <c r="AM23" s="182">
        <v>15</v>
      </c>
      <c r="AN23" s="182">
        <v>15</v>
      </c>
      <c r="AO23" s="182">
        <v>10</v>
      </c>
      <c r="AP23" s="182">
        <v>0</v>
      </c>
      <c r="AQ23" s="92">
        <v>0</v>
      </c>
      <c r="AR23" s="79">
        <v>18</v>
      </c>
      <c r="AT23" s="30" t="s">
        <v>87</v>
      </c>
      <c r="AU23" s="15">
        <f t="shared" si="18"/>
        <v>0</v>
      </c>
      <c r="AV23" s="15">
        <f t="shared" si="19"/>
        <v>1</v>
      </c>
      <c r="AW23" s="15">
        <f t="shared" si="20"/>
        <v>2</v>
      </c>
      <c r="AX23" s="15">
        <f t="shared" si="21"/>
        <v>1</v>
      </c>
      <c r="AY23" s="15">
        <f t="shared" si="22"/>
        <v>1</v>
      </c>
      <c r="AZ23" s="15">
        <f t="shared" si="23"/>
        <v>0</v>
      </c>
      <c r="BA23" s="15">
        <f t="shared" si="24"/>
        <v>0</v>
      </c>
      <c r="BB23" s="7">
        <v>19</v>
      </c>
      <c r="BD23" s="21">
        <v>19</v>
      </c>
      <c r="BE23" s="98" t="s">
        <v>163</v>
      </c>
      <c r="BF23" s="98" t="s">
        <v>39</v>
      </c>
      <c r="BG23" s="98" t="s">
        <v>26</v>
      </c>
      <c r="BH23" s="98" t="s">
        <v>35</v>
      </c>
      <c r="BI23" s="98" t="s">
        <v>39</v>
      </c>
      <c r="BJ23" s="98" t="s">
        <v>41</v>
      </c>
      <c r="BK23" s="37" t="s">
        <v>26</v>
      </c>
      <c r="BM23" s="97">
        <f t="shared" si="25"/>
        <v>7</v>
      </c>
      <c r="BN23" s="97">
        <f t="shared" si="26"/>
        <v>10</v>
      </c>
      <c r="BO23" s="97">
        <f t="shared" si="27"/>
        <v>8</v>
      </c>
      <c r="BP23" s="97">
        <f t="shared" si="28"/>
        <v>4</v>
      </c>
      <c r="BQ23" s="97">
        <f t="shared" si="29"/>
        <v>10</v>
      </c>
      <c r="BR23" s="97">
        <f t="shared" si="30"/>
        <v>12</v>
      </c>
      <c r="BS23" s="97">
        <f t="shared" si="31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100" t="s">
        <v>176</v>
      </c>
      <c r="CD23" s="90">
        <v>0</v>
      </c>
      <c r="CE23" s="182">
        <v>10</v>
      </c>
      <c r="CF23" s="182">
        <v>15</v>
      </c>
      <c r="CG23" s="182">
        <v>15</v>
      </c>
      <c r="CH23" s="182">
        <v>10</v>
      </c>
      <c r="CI23" s="182">
        <v>0</v>
      </c>
      <c r="CJ23" s="92">
        <v>0</v>
      </c>
      <c r="CK23" s="79">
        <v>18</v>
      </c>
    </row>
    <row r="24" spans="1:89" ht="15.95" customHeight="1">
      <c r="A24" s="30" t="s">
        <v>88</v>
      </c>
      <c r="B24" s="15">
        <f t="shared" si="4"/>
        <v>0</v>
      </c>
      <c r="C24" s="15">
        <f t="shared" si="5"/>
        <v>1</v>
      </c>
      <c r="D24" s="15">
        <f t="shared" si="6"/>
        <v>1</v>
      </c>
      <c r="E24" s="15">
        <f t="shared" si="7"/>
        <v>1</v>
      </c>
      <c r="F24" s="15">
        <f t="shared" si="8"/>
        <v>1</v>
      </c>
      <c r="G24" s="15">
        <f t="shared" si="9"/>
        <v>0</v>
      </c>
      <c r="H24" s="15">
        <f t="shared" si="10"/>
        <v>0</v>
      </c>
      <c r="I24" s="7">
        <v>20</v>
      </c>
      <c r="K24" s="22">
        <v>20</v>
      </c>
      <c r="L24" s="98" t="s">
        <v>40</v>
      </c>
      <c r="M24" s="98" t="s">
        <v>41</v>
      </c>
      <c r="N24" s="98" t="s">
        <v>38</v>
      </c>
      <c r="O24" s="98" t="s">
        <v>26</v>
      </c>
      <c r="P24" s="98" t="s">
        <v>35</v>
      </c>
      <c r="Q24" s="98" t="s">
        <v>39</v>
      </c>
      <c r="R24" s="37" t="s">
        <v>35</v>
      </c>
      <c r="T24" s="97">
        <f t="shared" si="11"/>
        <v>11</v>
      </c>
      <c r="U24" s="97">
        <f t="shared" si="12"/>
        <v>12</v>
      </c>
      <c r="V24" s="97">
        <f t="shared" si="13"/>
        <v>9</v>
      </c>
      <c r="W24" s="97">
        <f t="shared" si="14"/>
        <v>8</v>
      </c>
      <c r="X24" s="97">
        <f t="shared" si="15"/>
        <v>4</v>
      </c>
      <c r="Y24" s="97">
        <f t="shared" si="16"/>
        <v>10</v>
      </c>
      <c r="Z24" s="97">
        <f t="shared" si="17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100" t="s">
        <v>87</v>
      </c>
      <c r="AK24" s="90">
        <v>0</v>
      </c>
      <c r="AL24" s="182">
        <v>12</v>
      </c>
      <c r="AM24" s="182">
        <v>12</v>
      </c>
      <c r="AN24" s="182">
        <v>4</v>
      </c>
      <c r="AO24" s="182">
        <v>6</v>
      </c>
      <c r="AP24" s="182">
        <v>0</v>
      </c>
      <c r="AQ24" s="92">
        <v>0</v>
      </c>
      <c r="AR24" s="79">
        <v>19</v>
      </c>
      <c r="AT24" s="30" t="s">
        <v>88</v>
      </c>
      <c r="AU24" s="15">
        <f t="shared" si="18"/>
        <v>0</v>
      </c>
      <c r="AV24" s="15">
        <f t="shared" si="19"/>
        <v>1</v>
      </c>
      <c r="AW24" s="15">
        <f t="shared" si="20"/>
        <v>1</v>
      </c>
      <c r="AX24" s="15">
        <f t="shared" si="21"/>
        <v>1</v>
      </c>
      <c r="AY24" s="15">
        <f t="shared" si="22"/>
        <v>1</v>
      </c>
      <c r="AZ24" s="15">
        <f t="shared" si="23"/>
        <v>0</v>
      </c>
      <c r="BA24" s="15">
        <f t="shared" si="24"/>
        <v>0</v>
      </c>
      <c r="BB24" s="7">
        <v>20</v>
      </c>
      <c r="BD24" s="22">
        <v>20</v>
      </c>
      <c r="BE24" s="98" t="s">
        <v>34</v>
      </c>
      <c r="BF24" s="98" t="s">
        <v>39</v>
      </c>
      <c r="BG24" s="98" t="s">
        <v>195</v>
      </c>
      <c r="BH24" s="98" t="s">
        <v>39</v>
      </c>
      <c r="BI24" s="98" t="s">
        <v>38</v>
      </c>
      <c r="BJ24" s="98" t="s">
        <v>41</v>
      </c>
      <c r="BK24" s="37" t="s">
        <v>39</v>
      </c>
      <c r="BM24" s="97">
        <f t="shared" si="25"/>
        <v>3</v>
      </c>
      <c r="BN24" s="97">
        <f t="shared" si="26"/>
        <v>10</v>
      </c>
      <c r="BO24" s="97">
        <f t="shared" si="27"/>
        <v>19</v>
      </c>
      <c r="BP24" s="97">
        <f t="shared" si="28"/>
        <v>10</v>
      </c>
      <c r="BQ24" s="97">
        <f t="shared" si="29"/>
        <v>9</v>
      </c>
      <c r="BR24" s="97">
        <f t="shared" si="30"/>
        <v>12</v>
      </c>
      <c r="BS24" s="97">
        <f t="shared" si="31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100" t="s">
        <v>87</v>
      </c>
      <c r="CD24" s="90">
        <v>0</v>
      </c>
      <c r="CE24" s="182">
        <v>12</v>
      </c>
      <c r="CF24" s="182">
        <v>12</v>
      </c>
      <c r="CG24" s="182">
        <v>4</v>
      </c>
      <c r="CH24" s="182">
        <v>6</v>
      </c>
      <c r="CI24" s="182">
        <v>0</v>
      </c>
      <c r="CJ24" s="92">
        <v>0</v>
      </c>
      <c r="CK24" s="79">
        <v>19</v>
      </c>
    </row>
    <row r="25" spans="1:89" ht="16.5" customHeight="1">
      <c r="A25" s="30" t="s">
        <v>89</v>
      </c>
      <c r="B25" s="15">
        <f t="shared" si="4"/>
        <v>0</v>
      </c>
      <c r="C25" s="15">
        <f t="shared" si="5"/>
        <v>1</v>
      </c>
      <c r="D25" s="15">
        <f t="shared" si="6"/>
        <v>1</v>
      </c>
      <c r="E25" s="15">
        <f t="shared" si="7"/>
        <v>3</v>
      </c>
      <c r="F25" s="15">
        <f t="shared" si="8"/>
        <v>0</v>
      </c>
      <c r="G25" s="15">
        <f t="shared" si="9"/>
        <v>0</v>
      </c>
      <c r="H25" s="15">
        <f t="shared" si="10"/>
        <v>0</v>
      </c>
      <c r="I25" s="7">
        <v>21</v>
      </c>
      <c r="K25" s="21">
        <v>21</v>
      </c>
      <c r="L25" s="98" t="s">
        <v>41</v>
      </c>
      <c r="M25" s="98" t="s">
        <v>177</v>
      </c>
      <c r="N25" s="98" t="s">
        <v>38</v>
      </c>
      <c r="O25" s="98" t="s">
        <v>205</v>
      </c>
      <c r="P25" s="98" t="s">
        <v>35</v>
      </c>
      <c r="Q25" s="98" t="s">
        <v>39</v>
      </c>
      <c r="R25" s="37" t="s">
        <v>39</v>
      </c>
      <c r="T25" s="97">
        <f t="shared" si="11"/>
        <v>12</v>
      </c>
      <c r="U25" s="97">
        <f t="shared" si="12"/>
        <v>18</v>
      </c>
      <c r="V25" s="97">
        <f t="shared" si="13"/>
        <v>9</v>
      </c>
      <c r="W25" s="97">
        <f t="shared" si="14"/>
        <v>21</v>
      </c>
      <c r="X25" s="97">
        <f t="shared" si="15"/>
        <v>4</v>
      </c>
      <c r="Y25" s="97">
        <f t="shared" si="16"/>
        <v>10</v>
      </c>
      <c r="Z25" s="97">
        <f t="shared" si="17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182">
        <v>8</v>
      </c>
      <c r="AM25" s="182">
        <v>12</v>
      </c>
      <c r="AN25" s="182">
        <v>4</v>
      </c>
      <c r="AO25" s="182">
        <v>4</v>
      </c>
      <c r="AP25" s="182">
        <v>0</v>
      </c>
      <c r="AQ25" s="92">
        <v>0</v>
      </c>
      <c r="AR25" s="79">
        <v>20</v>
      </c>
      <c r="AT25" s="30" t="s">
        <v>89</v>
      </c>
      <c r="AU25" s="15">
        <f t="shared" si="18"/>
        <v>0</v>
      </c>
      <c r="AV25" s="15">
        <f t="shared" si="19"/>
        <v>1</v>
      </c>
      <c r="AW25" s="15">
        <f t="shared" si="20"/>
        <v>1</v>
      </c>
      <c r="AX25" s="15">
        <f t="shared" si="21"/>
        <v>1</v>
      </c>
      <c r="AY25" s="15">
        <f t="shared" si="22"/>
        <v>0</v>
      </c>
      <c r="AZ25" s="15">
        <f t="shared" si="23"/>
        <v>0</v>
      </c>
      <c r="BA25" s="15">
        <f t="shared" si="24"/>
        <v>0</v>
      </c>
      <c r="BB25" s="7">
        <v>21</v>
      </c>
      <c r="BD25" s="21">
        <v>21</v>
      </c>
      <c r="BE25" s="98" t="s">
        <v>39</v>
      </c>
      <c r="BF25" s="98" t="s">
        <v>39</v>
      </c>
      <c r="BG25" s="98" t="s">
        <v>36</v>
      </c>
      <c r="BH25" s="98" t="s">
        <v>41</v>
      </c>
      <c r="BI25" s="98" t="s">
        <v>163</v>
      </c>
      <c r="BJ25" s="98" t="s">
        <v>41</v>
      </c>
      <c r="BK25" s="37" t="s">
        <v>39</v>
      </c>
      <c r="BM25" s="97">
        <f t="shared" si="25"/>
        <v>10</v>
      </c>
      <c r="BN25" s="97">
        <f t="shared" si="26"/>
        <v>10</v>
      </c>
      <c r="BO25" s="97">
        <f t="shared" si="27"/>
        <v>5</v>
      </c>
      <c r="BP25" s="97">
        <f t="shared" si="28"/>
        <v>12</v>
      </c>
      <c r="BQ25" s="97">
        <f t="shared" si="29"/>
        <v>7</v>
      </c>
      <c r="BR25" s="97">
        <f t="shared" si="30"/>
        <v>12</v>
      </c>
      <c r="BS25" s="97">
        <f t="shared" si="31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100" t="s">
        <v>88</v>
      </c>
      <c r="CD25" s="90">
        <v>0</v>
      </c>
      <c r="CE25" s="182">
        <v>8</v>
      </c>
      <c r="CF25" s="182">
        <v>12</v>
      </c>
      <c r="CG25" s="182">
        <v>4</v>
      </c>
      <c r="CH25" s="182">
        <v>4</v>
      </c>
      <c r="CI25" s="182">
        <v>0</v>
      </c>
      <c r="CJ25" s="92">
        <v>0</v>
      </c>
      <c r="CK25" s="79">
        <v>20</v>
      </c>
    </row>
    <row r="26" spans="1:89" ht="16.5" customHeight="1">
      <c r="A26" s="30" t="s">
        <v>90</v>
      </c>
      <c r="B26" s="15">
        <f t="shared" si="4"/>
        <v>0</v>
      </c>
      <c r="C26" s="15">
        <f t="shared" si="5"/>
        <v>1</v>
      </c>
      <c r="D26" s="15">
        <f t="shared" si="6"/>
        <v>1</v>
      </c>
      <c r="E26" s="15">
        <f t="shared" si="7"/>
        <v>0</v>
      </c>
      <c r="F26" s="15">
        <f t="shared" si="8"/>
        <v>1</v>
      </c>
      <c r="G26" s="15">
        <f t="shared" si="9"/>
        <v>0</v>
      </c>
      <c r="H26" s="15">
        <f t="shared" si="10"/>
        <v>0</v>
      </c>
      <c r="I26" s="7">
        <v>22</v>
      </c>
      <c r="K26" s="22">
        <v>22</v>
      </c>
      <c r="L26" s="98" t="s">
        <v>163</v>
      </c>
      <c r="M26" s="98" t="s">
        <v>38</v>
      </c>
      <c r="N26" s="98" t="s">
        <v>40</v>
      </c>
      <c r="O26" s="98" t="s">
        <v>39</v>
      </c>
      <c r="P26" s="98" t="s">
        <v>38</v>
      </c>
      <c r="Q26" s="98" t="s">
        <v>39</v>
      </c>
      <c r="R26" s="37" t="s">
        <v>38</v>
      </c>
      <c r="T26" s="97">
        <f t="shared" si="11"/>
        <v>7</v>
      </c>
      <c r="U26" s="97">
        <f t="shared" si="12"/>
        <v>9</v>
      </c>
      <c r="V26" s="97">
        <f t="shared" si="13"/>
        <v>11</v>
      </c>
      <c r="W26" s="97">
        <f t="shared" si="14"/>
        <v>10</v>
      </c>
      <c r="X26" s="97">
        <f t="shared" si="15"/>
        <v>9</v>
      </c>
      <c r="Y26" s="97">
        <f t="shared" si="16"/>
        <v>10</v>
      </c>
      <c r="Z26" s="97">
        <f t="shared" si="17"/>
        <v>9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182">
        <v>10</v>
      </c>
      <c r="AM26" s="182">
        <v>6</v>
      </c>
      <c r="AN26" s="182">
        <v>2</v>
      </c>
      <c r="AO26" s="182">
        <v>8</v>
      </c>
      <c r="AP26" s="182">
        <v>0</v>
      </c>
      <c r="AQ26" s="92">
        <v>0</v>
      </c>
      <c r="AR26" s="79">
        <v>21</v>
      </c>
      <c r="AT26" s="30" t="s">
        <v>90</v>
      </c>
      <c r="AU26" s="15">
        <f t="shared" si="18"/>
        <v>0</v>
      </c>
      <c r="AV26" s="15">
        <f t="shared" si="19"/>
        <v>1</v>
      </c>
      <c r="AW26" s="15">
        <f t="shared" si="20"/>
        <v>1</v>
      </c>
      <c r="AX26" s="15">
        <f t="shared" si="21"/>
        <v>1</v>
      </c>
      <c r="AY26" s="15">
        <f t="shared" si="22"/>
        <v>1</v>
      </c>
      <c r="AZ26" s="15">
        <f t="shared" si="23"/>
        <v>0</v>
      </c>
      <c r="BA26" s="15">
        <f t="shared" si="24"/>
        <v>0</v>
      </c>
      <c r="BB26" s="7">
        <v>22</v>
      </c>
      <c r="BD26" s="22">
        <v>22</v>
      </c>
      <c r="BE26" s="98" t="s">
        <v>39</v>
      </c>
      <c r="BF26" s="98" t="s">
        <v>41</v>
      </c>
      <c r="BG26" s="98" t="s">
        <v>36</v>
      </c>
      <c r="BH26" s="98" t="s">
        <v>41</v>
      </c>
      <c r="BI26" s="98" t="s">
        <v>41</v>
      </c>
      <c r="BJ26" s="98" t="s">
        <v>36</v>
      </c>
      <c r="BK26" s="37" t="s">
        <v>39</v>
      </c>
      <c r="BM26" s="97">
        <f t="shared" si="25"/>
        <v>10</v>
      </c>
      <c r="BN26" s="97">
        <f t="shared" si="26"/>
        <v>12</v>
      </c>
      <c r="BO26" s="97">
        <f t="shared" si="27"/>
        <v>5</v>
      </c>
      <c r="BP26" s="97">
        <f t="shared" si="28"/>
        <v>12</v>
      </c>
      <c r="BQ26" s="97">
        <f t="shared" si="29"/>
        <v>12</v>
      </c>
      <c r="BR26" s="97">
        <f t="shared" si="30"/>
        <v>5</v>
      </c>
      <c r="BS26" s="97">
        <f t="shared" si="31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100" t="s">
        <v>89</v>
      </c>
      <c r="CD26" s="90">
        <v>0</v>
      </c>
      <c r="CE26" s="182">
        <v>10</v>
      </c>
      <c r="CF26" s="182">
        <v>6</v>
      </c>
      <c r="CG26" s="182">
        <v>2</v>
      </c>
      <c r="CH26" s="182">
        <v>8</v>
      </c>
      <c r="CI26" s="182">
        <v>0</v>
      </c>
      <c r="CJ26" s="92">
        <v>0</v>
      </c>
      <c r="CK26" s="79">
        <v>21</v>
      </c>
    </row>
    <row r="27" spans="1:89" ht="16.5" customHeight="1">
      <c r="A27" s="30" t="s">
        <v>91</v>
      </c>
      <c r="B27" s="15">
        <f t="shared" si="4"/>
        <v>0</v>
      </c>
      <c r="C27" s="15">
        <f t="shared" si="5"/>
        <v>2</v>
      </c>
      <c r="D27" s="15">
        <f t="shared" si="6"/>
        <v>1</v>
      </c>
      <c r="E27" s="15">
        <f t="shared" si="7"/>
        <v>0</v>
      </c>
      <c r="F27" s="15">
        <f t="shared" si="8"/>
        <v>1</v>
      </c>
      <c r="G27" s="15">
        <f t="shared" si="9"/>
        <v>0</v>
      </c>
      <c r="H27" s="15">
        <f t="shared" si="10"/>
        <v>0</v>
      </c>
      <c r="I27" s="7">
        <v>23</v>
      </c>
      <c r="K27" s="21">
        <v>23</v>
      </c>
      <c r="L27" s="98" t="s">
        <v>38</v>
      </c>
      <c r="M27" s="98" t="s">
        <v>38</v>
      </c>
      <c r="N27" s="98" t="s">
        <v>40</v>
      </c>
      <c r="O27" s="98" t="s">
        <v>39</v>
      </c>
      <c r="P27" s="98" t="s">
        <v>34</v>
      </c>
      <c r="Q27" s="98" t="s">
        <v>78</v>
      </c>
      <c r="R27" s="37" t="s">
        <v>38</v>
      </c>
      <c r="T27" s="97">
        <f t="shared" si="11"/>
        <v>9</v>
      </c>
      <c r="U27" s="97">
        <f t="shared" si="12"/>
        <v>9</v>
      </c>
      <c r="V27" s="97">
        <f t="shared" si="13"/>
        <v>11</v>
      </c>
      <c r="W27" s="97">
        <f t="shared" si="14"/>
        <v>10</v>
      </c>
      <c r="X27" s="97">
        <f t="shared" si="15"/>
        <v>3</v>
      </c>
      <c r="Y27" s="97">
        <f t="shared" si="16"/>
        <v>6</v>
      </c>
      <c r="Z27" s="97">
        <f t="shared" si="17"/>
        <v>9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182">
        <v>5</v>
      </c>
      <c r="AM27" s="182">
        <v>6</v>
      </c>
      <c r="AN27" s="182">
        <v>2</v>
      </c>
      <c r="AO27" s="182">
        <v>4</v>
      </c>
      <c r="AP27" s="182">
        <v>0</v>
      </c>
      <c r="AQ27" s="92">
        <v>0</v>
      </c>
      <c r="AR27" s="79">
        <v>22</v>
      </c>
      <c r="AT27" s="30" t="s">
        <v>91</v>
      </c>
      <c r="AU27" s="15">
        <f t="shared" si="18"/>
        <v>0</v>
      </c>
      <c r="AV27" s="15">
        <f t="shared" si="19"/>
        <v>1</v>
      </c>
      <c r="AW27" s="15">
        <f t="shared" si="20"/>
        <v>1</v>
      </c>
      <c r="AX27" s="15">
        <f t="shared" si="21"/>
        <v>1</v>
      </c>
      <c r="AY27" s="15">
        <f t="shared" si="22"/>
        <v>0</v>
      </c>
      <c r="AZ27" s="15">
        <f t="shared" si="23"/>
        <v>0</v>
      </c>
      <c r="BA27" s="15">
        <f t="shared" si="24"/>
        <v>0</v>
      </c>
      <c r="BB27" s="7">
        <v>23</v>
      </c>
      <c r="BD27" s="21">
        <v>23</v>
      </c>
      <c r="BE27" s="98" t="s">
        <v>36</v>
      </c>
      <c r="BF27" s="98" t="s">
        <v>41</v>
      </c>
      <c r="BG27" s="98" t="s">
        <v>36</v>
      </c>
      <c r="BH27" s="98" t="s">
        <v>41</v>
      </c>
      <c r="BI27" s="98" t="s">
        <v>36</v>
      </c>
      <c r="BJ27" s="98" t="s">
        <v>36</v>
      </c>
      <c r="BK27" s="37" t="s">
        <v>39</v>
      </c>
      <c r="BM27" s="97">
        <f t="shared" si="25"/>
        <v>5</v>
      </c>
      <c r="BN27" s="97">
        <f t="shared" si="26"/>
        <v>12</v>
      </c>
      <c r="BO27" s="97">
        <f t="shared" si="27"/>
        <v>5</v>
      </c>
      <c r="BP27" s="97">
        <f t="shared" si="28"/>
        <v>12</v>
      </c>
      <c r="BQ27" s="97">
        <f t="shared" si="29"/>
        <v>5</v>
      </c>
      <c r="BR27" s="97">
        <f t="shared" si="30"/>
        <v>5</v>
      </c>
      <c r="BS27" s="97">
        <f t="shared" si="31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100" t="s">
        <v>90</v>
      </c>
      <c r="CD27" s="90">
        <v>0</v>
      </c>
      <c r="CE27" s="182">
        <v>5</v>
      </c>
      <c r="CF27" s="182">
        <v>6</v>
      </c>
      <c r="CG27" s="182">
        <v>2</v>
      </c>
      <c r="CH27" s="182">
        <v>4</v>
      </c>
      <c r="CI27" s="182">
        <v>0</v>
      </c>
      <c r="CJ27" s="92">
        <v>0</v>
      </c>
      <c r="CK27" s="79">
        <v>22</v>
      </c>
    </row>
    <row r="28" spans="1:89" ht="16.5" customHeight="1" thickBot="1">
      <c r="A28" s="30" t="s">
        <v>92</v>
      </c>
      <c r="B28" s="15">
        <f t="shared" si="4"/>
        <v>2</v>
      </c>
      <c r="C28" s="15">
        <f t="shared" si="5"/>
        <v>2</v>
      </c>
      <c r="D28" s="15">
        <f t="shared" si="6"/>
        <v>3</v>
      </c>
      <c r="E28" s="15">
        <f t="shared" si="7"/>
        <v>2</v>
      </c>
      <c r="F28" s="15">
        <f t="shared" si="8"/>
        <v>2</v>
      </c>
      <c r="G28" s="15">
        <f t="shared" si="9"/>
        <v>2</v>
      </c>
      <c r="H28" s="15">
        <f t="shared" si="10"/>
        <v>2</v>
      </c>
      <c r="I28" s="7">
        <v>24</v>
      </c>
      <c r="K28" s="22">
        <v>24</v>
      </c>
      <c r="L28" s="98" t="s">
        <v>38</v>
      </c>
      <c r="M28" s="98" t="s">
        <v>175</v>
      </c>
      <c r="N28" s="98" t="s">
        <v>36</v>
      </c>
      <c r="O28" s="98" t="s">
        <v>26</v>
      </c>
      <c r="P28" s="98" t="s">
        <v>38</v>
      </c>
      <c r="Q28" s="98" t="s">
        <v>35</v>
      </c>
      <c r="R28" s="37" t="s">
        <v>34</v>
      </c>
      <c r="T28" s="97">
        <f t="shared" si="11"/>
        <v>9</v>
      </c>
      <c r="U28" s="97">
        <f t="shared" si="12"/>
        <v>17</v>
      </c>
      <c r="V28" s="97">
        <f t="shared" si="13"/>
        <v>5</v>
      </c>
      <c r="W28" s="97">
        <f t="shared" si="14"/>
        <v>8</v>
      </c>
      <c r="X28" s="97">
        <f t="shared" si="15"/>
        <v>9</v>
      </c>
      <c r="Y28" s="97">
        <f t="shared" si="16"/>
        <v>4</v>
      </c>
      <c r="Z28" s="97">
        <f t="shared" si="17"/>
        <v>3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100" t="s">
        <v>91</v>
      </c>
      <c r="AK28" s="90">
        <v>0</v>
      </c>
      <c r="AL28" s="182">
        <v>4</v>
      </c>
      <c r="AM28" s="182">
        <v>6</v>
      </c>
      <c r="AN28" s="182">
        <v>2</v>
      </c>
      <c r="AO28" s="182">
        <v>4</v>
      </c>
      <c r="AP28" s="182">
        <v>0</v>
      </c>
      <c r="AQ28" s="92">
        <v>0</v>
      </c>
      <c r="AR28" s="79">
        <v>23</v>
      </c>
      <c r="AT28" s="30" t="s">
        <v>92</v>
      </c>
      <c r="AU28" s="15">
        <f t="shared" si="18"/>
        <v>0</v>
      </c>
      <c r="AV28" s="15">
        <f t="shared" si="19"/>
        <v>3</v>
      </c>
      <c r="AW28" s="15">
        <f t="shared" si="20"/>
        <v>0</v>
      </c>
      <c r="AX28" s="15">
        <f t="shared" si="21"/>
        <v>0</v>
      </c>
      <c r="AY28" s="15">
        <f t="shared" si="22"/>
        <v>0</v>
      </c>
      <c r="AZ28" s="15">
        <f t="shared" si="23"/>
        <v>0</v>
      </c>
      <c r="BA28" s="15">
        <f t="shared" si="24"/>
        <v>0</v>
      </c>
      <c r="BB28" s="7">
        <v>24</v>
      </c>
      <c r="BD28" s="22">
        <v>24</v>
      </c>
      <c r="BE28" s="98" t="s">
        <v>36</v>
      </c>
      <c r="BF28" s="98" t="s">
        <v>41</v>
      </c>
      <c r="BG28" s="98" t="s">
        <v>40</v>
      </c>
      <c r="BH28" s="98" t="s">
        <v>78</v>
      </c>
      <c r="BI28" s="98" t="s">
        <v>35</v>
      </c>
      <c r="BJ28" s="98" t="s">
        <v>26</v>
      </c>
      <c r="BK28" s="37" t="s">
        <v>41</v>
      </c>
      <c r="BM28" s="97">
        <f t="shared" si="25"/>
        <v>5</v>
      </c>
      <c r="BN28" s="97">
        <f t="shared" si="26"/>
        <v>12</v>
      </c>
      <c r="BO28" s="97">
        <f t="shared" si="27"/>
        <v>11</v>
      </c>
      <c r="BP28" s="97">
        <f t="shared" si="28"/>
        <v>6</v>
      </c>
      <c r="BQ28" s="97">
        <f t="shared" si="29"/>
        <v>4</v>
      </c>
      <c r="BR28" s="97">
        <f t="shared" si="30"/>
        <v>8</v>
      </c>
      <c r="BS28" s="97">
        <f t="shared" si="31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100" t="s">
        <v>91</v>
      </c>
      <c r="CD28" s="90">
        <v>0</v>
      </c>
      <c r="CE28" s="182">
        <v>4</v>
      </c>
      <c r="CF28" s="182">
        <v>6</v>
      </c>
      <c r="CG28" s="182">
        <v>2</v>
      </c>
      <c r="CH28" s="182">
        <v>4</v>
      </c>
      <c r="CI28" s="182">
        <v>0</v>
      </c>
      <c r="CJ28" s="92">
        <v>0</v>
      </c>
      <c r="CK28" s="79">
        <v>23</v>
      </c>
    </row>
    <row r="29" spans="1:89" ht="16.5" customHeight="1">
      <c r="A29" s="30" t="s">
        <v>93</v>
      </c>
      <c r="B29" s="15">
        <f t="shared" si="4"/>
        <v>0</v>
      </c>
      <c r="C29" s="15">
        <f t="shared" si="5"/>
        <v>1</v>
      </c>
      <c r="D29" s="15">
        <f t="shared" si="6"/>
        <v>1</v>
      </c>
      <c r="E29" s="15">
        <f t="shared" si="7"/>
        <v>1</v>
      </c>
      <c r="F29" s="15">
        <f t="shared" si="8"/>
        <v>1</v>
      </c>
      <c r="G29" s="15">
        <f t="shared" si="9"/>
        <v>0</v>
      </c>
      <c r="H29" s="15">
        <f t="shared" si="10"/>
        <v>0</v>
      </c>
      <c r="I29" s="7">
        <v>25</v>
      </c>
      <c r="K29" s="21">
        <v>25</v>
      </c>
      <c r="L29" s="98" t="s">
        <v>40</v>
      </c>
      <c r="M29" s="98" t="s">
        <v>78</v>
      </c>
      <c r="N29" s="98" t="s">
        <v>36</v>
      </c>
      <c r="O29" s="98" t="s">
        <v>35</v>
      </c>
      <c r="P29" s="98" t="s">
        <v>39</v>
      </c>
      <c r="Q29" s="98" t="s">
        <v>26</v>
      </c>
      <c r="R29" s="37" t="s">
        <v>34</v>
      </c>
      <c r="T29" s="97">
        <f t="shared" si="11"/>
        <v>11</v>
      </c>
      <c r="U29" s="97">
        <f t="shared" si="12"/>
        <v>6</v>
      </c>
      <c r="V29" s="97">
        <f t="shared" si="13"/>
        <v>5</v>
      </c>
      <c r="W29" s="97">
        <f t="shared" si="14"/>
        <v>4</v>
      </c>
      <c r="X29" s="97">
        <f t="shared" si="15"/>
        <v>10</v>
      </c>
      <c r="Y29" s="97">
        <f t="shared" si="16"/>
        <v>8</v>
      </c>
      <c r="Z29" s="97">
        <f t="shared" si="17"/>
        <v>3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  <c r="AT29" s="30" t="s">
        <v>93</v>
      </c>
      <c r="AU29" s="15">
        <f t="shared" si="18"/>
        <v>0</v>
      </c>
      <c r="AV29" s="15">
        <f t="shared" si="19"/>
        <v>1</v>
      </c>
      <c r="AW29" s="15">
        <f t="shared" si="20"/>
        <v>0</v>
      </c>
      <c r="AX29" s="15">
        <f t="shared" si="21"/>
        <v>0</v>
      </c>
      <c r="AY29" s="15">
        <f t="shared" si="22"/>
        <v>0</v>
      </c>
      <c r="AZ29" s="15">
        <f t="shared" si="23"/>
        <v>0</v>
      </c>
      <c r="BA29" s="15">
        <f t="shared" si="24"/>
        <v>0</v>
      </c>
      <c r="BB29" s="7">
        <v>25</v>
      </c>
      <c r="BD29" s="21">
        <v>25</v>
      </c>
      <c r="BE29" s="98" t="s">
        <v>163</v>
      </c>
      <c r="BF29" s="98" t="s">
        <v>163</v>
      </c>
      <c r="BG29" s="98" t="s">
        <v>40</v>
      </c>
      <c r="BH29" s="98" t="s">
        <v>78</v>
      </c>
      <c r="BI29" s="98" t="s">
        <v>41</v>
      </c>
      <c r="BJ29" s="98" t="s">
        <v>78</v>
      </c>
      <c r="BK29" s="37" t="s">
        <v>41</v>
      </c>
      <c r="BM29" s="97">
        <f t="shared" si="25"/>
        <v>7</v>
      </c>
      <c r="BN29" s="97">
        <f t="shared" si="26"/>
        <v>7</v>
      </c>
      <c r="BO29" s="97">
        <f t="shared" si="27"/>
        <v>11</v>
      </c>
      <c r="BP29" s="97">
        <f t="shared" si="28"/>
        <v>6</v>
      </c>
      <c r="BQ29" s="97">
        <f t="shared" si="29"/>
        <v>12</v>
      </c>
      <c r="BR29" s="97">
        <f t="shared" si="30"/>
        <v>6</v>
      </c>
      <c r="BS29" s="97">
        <f t="shared" si="31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84" t="s">
        <v>190</v>
      </c>
      <c r="CD29" s="185">
        <v>0</v>
      </c>
      <c r="CE29" s="186">
        <v>10</v>
      </c>
      <c r="CF29" s="186">
        <v>10</v>
      </c>
      <c r="CG29" s="186">
        <v>10</v>
      </c>
      <c r="CH29" s="186">
        <v>10</v>
      </c>
      <c r="CI29" s="186">
        <v>0</v>
      </c>
      <c r="CJ29" s="187">
        <v>0</v>
      </c>
      <c r="CK29" s="183">
        <v>24</v>
      </c>
    </row>
    <row r="30" spans="1:89" ht="16.5" customHeight="1" thickBot="1">
      <c r="A30" s="106"/>
      <c r="I30" s="18"/>
      <c r="K30" s="22">
        <v>26</v>
      </c>
      <c r="L30" s="98" t="s">
        <v>38</v>
      </c>
      <c r="M30" s="98" t="s">
        <v>78</v>
      </c>
      <c r="N30" s="98" t="s">
        <v>41</v>
      </c>
      <c r="O30" s="98" t="s">
        <v>39</v>
      </c>
      <c r="P30" s="98" t="s">
        <v>38</v>
      </c>
      <c r="Q30" s="98" t="s">
        <v>78</v>
      </c>
      <c r="R30" s="37" t="s">
        <v>34</v>
      </c>
      <c r="T30" s="97">
        <f t="shared" si="11"/>
        <v>9</v>
      </c>
      <c r="U30" s="97">
        <f t="shared" si="12"/>
        <v>6</v>
      </c>
      <c r="V30" s="97">
        <f t="shared" si="13"/>
        <v>12</v>
      </c>
      <c r="W30" s="97">
        <f t="shared" si="14"/>
        <v>10</v>
      </c>
      <c r="X30" s="97">
        <f t="shared" si="15"/>
        <v>9</v>
      </c>
      <c r="Y30" s="97">
        <f t="shared" si="16"/>
        <v>6</v>
      </c>
      <c r="Z30" s="97">
        <f t="shared" si="17"/>
        <v>3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  <c r="AT30" s="110"/>
      <c r="BB30" s="18"/>
      <c r="BD30" s="22">
        <v>26</v>
      </c>
      <c r="BE30" s="98" t="s">
        <v>40</v>
      </c>
      <c r="BF30" s="98" t="s">
        <v>163</v>
      </c>
      <c r="BG30" s="98" t="s">
        <v>163</v>
      </c>
      <c r="BH30" s="98" t="s">
        <v>39</v>
      </c>
      <c r="BI30" s="98" t="s">
        <v>39</v>
      </c>
      <c r="BJ30" s="98" t="s">
        <v>39</v>
      </c>
      <c r="BK30" s="37" t="s">
        <v>41</v>
      </c>
      <c r="BM30" s="97">
        <f t="shared" si="25"/>
        <v>11</v>
      </c>
      <c r="BN30" s="97">
        <f t="shared" si="26"/>
        <v>7</v>
      </c>
      <c r="BO30" s="97">
        <f t="shared" si="27"/>
        <v>7</v>
      </c>
      <c r="BP30" s="97">
        <f t="shared" si="28"/>
        <v>10</v>
      </c>
      <c r="BQ30" s="97">
        <f t="shared" si="29"/>
        <v>10</v>
      </c>
      <c r="BR30" s="97">
        <f t="shared" si="30"/>
        <v>10</v>
      </c>
      <c r="BS30" s="97">
        <f t="shared" si="31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101" t="s">
        <v>201</v>
      </c>
      <c r="CD30" s="93">
        <v>0</v>
      </c>
      <c r="CE30" s="94">
        <v>1</v>
      </c>
      <c r="CF30" s="94">
        <v>1</v>
      </c>
      <c r="CG30" s="94">
        <v>1</v>
      </c>
      <c r="CH30" s="94">
        <v>1</v>
      </c>
      <c r="CI30" s="94">
        <v>0</v>
      </c>
      <c r="CJ30" s="95">
        <v>0</v>
      </c>
      <c r="CK30" s="84">
        <v>25</v>
      </c>
    </row>
    <row r="31" spans="1:89" ht="16.5" customHeight="1">
      <c r="A31" s="147"/>
      <c r="B31" s="147"/>
      <c r="C31" s="179"/>
      <c r="D31" s="179"/>
      <c r="E31" s="179"/>
      <c r="F31" s="179"/>
      <c r="I31" s="18"/>
      <c r="K31" s="21">
        <v>27</v>
      </c>
      <c r="L31" s="98" t="s">
        <v>36</v>
      </c>
      <c r="M31" s="98" t="s">
        <v>100</v>
      </c>
      <c r="N31" s="98" t="s">
        <v>41</v>
      </c>
      <c r="O31" s="98" t="s">
        <v>39</v>
      </c>
      <c r="P31" s="98" t="s">
        <v>33</v>
      </c>
      <c r="Q31" s="98" t="s">
        <v>78</v>
      </c>
      <c r="R31" s="37" t="s">
        <v>38</v>
      </c>
      <c r="T31" s="97">
        <f t="shared" si="11"/>
        <v>5</v>
      </c>
      <c r="U31" s="97">
        <f t="shared" si="12"/>
        <v>14</v>
      </c>
      <c r="V31" s="97">
        <f t="shared" si="13"/>
        <v>12</v>
      </c>
      <c r="W31" s="97">
        <f t="shared" si="14"/>
        <v>10</v>
      </c>
      <c r="X31" s="97">
        <f t="shared" si="15"/>
        <v>2</v>
      </c>
      <c r="Y31" s="97">
        <f t="shared" si="16"/>
        <v>6</v>
      </c>
      <c r="Z31" s="97">
        <f t="shared" si="17"/>
        <v>9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  <c r="AT31" s="147"/>
      <c r="AU31" s="147"/>
      <c r="AV31" s="147"/>
      <c r="AW31" s="147"/>
      <c r="AX31" s="147"/>
      <c r="AY31" s="96"/>
      <c r="AZ31" s="96"/>
      <c r="BB31" s="18"/>
      <c r="BD31" s="21">
        <v>27</v>
      </c>
      <c r="BE31" s="98" t="s">
        <v>40</v>
      </c>
      <c r="BF31" s="98" t="s">
        <v>26</v>
      </c>
      <c r="BG31" s="98" t="s">
        <v>35</v>
      </c>
      <c r="BH31" s="98" t="s">
        <v>39</v>
      </c>
      <c r="BI31" s="98" t="s">
        <v>39</v>
      </c>
      <c r="BJ31" s="98" t="s">
        <v>78</v>
      </c>
      <c r="BK31" s="37" t="s">
        <v>41</v>
      </c>
      <c r="BM31" s="97">
        <f t="shared" si="25"/>
        <v>11</v>
      </c>
      <c r="BN31" s="97">
        <f t="shared" si="26"/>
        <v>8</v>
      </c>
      <c r="BO31" s="97">
        <f t="shared" si="27"/>
        <v>4</v>
      </c>
      <c r="BP31" s="97">
        <f t="shared" si="28"/>
        <v>10</v>
      </c>
      <c r="BQ31" s="97">
        <f t="shared" si="29"/>
        <v>10</v>
      </c>
      <c r="BR31" s="97">
        <f t="shared" si="30"/>
        <v>6</v>
      </c>
      <c r="BS31" s="97">
        <f t="shared" si="31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103"/>
      <c r="CD31" s="103"/>
      <c r="CE31" s="103"/>
      <c r="CF31" s="103"/>
      <c r="CG31" s="103"/>
      <c r="CH31" s="103"/>
      <c r="CI31" s="103"/>
      <c r="CJ31" s="103"/>
      <c r="CK31" s="103"/>
    </row>
    <row r="32" spans="1:89" ht="16.5" customHeight="1" thickBot="1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I32" s="18"/>
      <c r="K32" s="22">
        <v>28</v>
      </c>
      <c r="L32" s="98" t="s">
        <v>41</v>
      </c>
      <c r="M32" s="98" t="s">
        <v>34</v>
      </c>
      <c r="N32" s="98" t="s">
        <v>34</v>
      </c>
      <c r="O32" s="98" t="s">
        <v>39</v>
      </c>
      <c r="P32" s="98" t="s">
        <v>40</v>
      </c>
      <c r="Q32" s="98" t="s">
        <v>78</v>
      </c>
      <c r="R32" s="37" t="s">
        <v>38</v>
      </c>
      <c r="T32" s="97">
        <f t="shared" si="11"/>
        <v>12</v>
      </c>
      <c r="U32" s="97">
        <f t="shared" si="12"/>
        <v>3</v>
      </c>
      <c r="V32" s="97">
        <f t="shared" si="13"/>
        <v>3</v>
      </c>
      <c r="W32" s="97">
        <f t="shared" si="14"/>
        <v>10</v>
      </c>
      <c r="X32" s="97">
        <f t="shared" si="15"/>
        <v>11</v>
      </c>
      <c r="Y32" s="97">
        <f t="shared" si="16"/>
        <v>6</v>
      </c>
      <c r="Z32" s="97">
        <f t="shared" si="17"/>
        <v>9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  <c r="AT32" s="7" t="s">
        <v>118</v>
      </c>
      <c r="AU32" s="20" t="s">
        <v>13</v>
      </c>
      <c r="AV32" s="20" t="s">
        <v>7</v>
      </c>
      <c r="AW32" s="20" t="s">
        <v>8</v>
      </c>
      <c r="AX32" s="20" t="s">
        <v>9</v>
      </c>
      <c r="AY32" s="20" t="s">
        <v>10</v>
      </c>
      <c r="AZ32" s="20" t="s">
        <v>59</v>
      </c>
      <c r="BB32" s="18"/>
      <c r="BD32" s="22">
        <v>28</v>
      </c>
      <c r="BE32" s="98" t="s">
        <v>39</v>
      </c>
      <c r="BF32" s="98" t="s">
        <v>26</v>
      </c>
      <c r="BG32" s="98" t="s">
        <v>207</v>
      </c>
      <c r="BH32" s="98" t="s">
        <v>204</v>
      </c>
      <c r="BI32" s="98" t="s">
        <v>163</v>
      </c>
      <c r="BJ32" s="98" t="s">
        <v>26</v>
      </c>
      <c r="BK32" s="37" t="s">
        <v>40</v>
      </c>
      <c r="BM32" s="97">
        <f t="shared" si="25"/>
        <v>10</v>
      </c>
      <c r="BN32" s="97">
        <f t="shared" si="26"/>
        <v>8</v>
      </c>
      <c r="BO32" s="97">
        <f t="shared" si="27"/>
        <v>16</v>
      </c>
      <c r="BP32" s="97">
        <f t="shared" si="28"/>
        <v>15</v>
      </c>
      <c r="BQ32" s="97">
        <f t="shared" si="29"/>
        <v>7</v>
      </c>
      <c r="BR32" s="97">
        <f t="shared" si="30"/>
        <v>8</v>
      </c>
      <c r="BS32" s="97">
        <f t="shared" si="31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103"/>
      <c r="CD32" s="219" t="s">
        <v>96</v>
      </c>
      <c r="CE32" s="219"/>
      <c r="CF32" s="219"/>
      <c r="CG32" s="219"/>
      <c r="CH32" s="219"/>
      <c r="CI32" s="219"/>
      <c r="CJ32" s="219"/>
      <c r="CK32" s="219"/>
    </row>
    <row r="33" spans="1:89" ht="16.5" customHeight="1" thickBot="1">
      <c r="A33" s="7" t="s">
        <v>103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I33" s="18"/>
      <c r="K33" s="21">
        <v>29</v>
      </c>
      <c r="L33" s="98" t="s">
        <v>41</v>
      </c>
      <c r="M33" s="98" t="s">
        <v>34</v>
      </c>
      <c r="N33" s="98" t="s">
        <v>100</v>
      </c>
      <c r="O33" s="98" t="s">
        <v>78</v>
      </c>
      <c r="P33" s="98" t="s">
        <v>40</v>
      </c>
      <c r="Q33" s="98" t="s">
        <v>41</v>
      </c>
      <c r="R33" s="37" t="s">
        <v>26</v>
      </c>
      <c r="T33" s="97">
        <f t="shared" si="11"/>
        <v>12</v>
      </c>
      <c r="U33" s="97">
        <f t="shared" si="12"/>
        <v>3</v>
      </c>
      <c r="V33" s="97">
        <f t="shared" si="13"/>
        <v>14</v>
      </c>
      <c r="W33" s="97">
        <f t="shared" si="14"/>
        <v>6</v>
      </c>
      <c r="X33" s="97">
        <f t="shared" si="15"/>
        <v>11</v>
      </c>
      <c r="Y33" s="97">
        <f t="shared" si="16"/>
        <v>12</v>
      </c>
      <c r="Z33" s="97">
        <f t="shared" si="17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  <c r="AT33" s="7" t="s">
        <v>103</v>
      </c>
      <c r="AU33" s="13">
        <v>0</v>
      </c>
      <c r="AV33" s="13">
        <v>390</v>
      </c>
      <c r="AW33" s="13">
        <v>390</v>
      </c>
      <c r="AX33" s="13">
        <v>185</v>
      </c>
      <c r="AY33" s="13">
        <v>120</v>
      </c>
      <c r="AZ33" s="13">
        <v>0</v>
      </c>
      <c r="BB33" s="18"/>
      <c r="BD33" s="21">
        <v>29</v>
      </c>
      <c r="BE33" s="98" t="s">
        <v>39</v>
      </c>
      <c r="BF33" s="98" t="s">
        <v>26</v>
      </c>
      <c r="BG33" s="98" t="s">
        <v>36</v>
      </c>
      <c r="BH33" s="98" t="s">
        <v>39</v>
      </c>
      <c r="BI33" s="98" t="s">
        <v>163</v>
      </c>
      <c r="BJ33" s="98" t="s">
        <v>39</v>
      </c>
      <c r="BK33" s="37" t="s">
        <v>40</v>
      </c>
      <c r="BM33" s="97">
        <f t="shared" si="25"/>
        <v>10</v>
      </c>
      <c r="BN33" s="97">
        <f t="shared" si="26"/>
        <v>8</v>
      </c>
      <c r="BO33" s="97">
        <f t="shared" si="27"/>
        <v>5</v>
      </c>
      <c r="BP33" s="97">
        <f t="shared" si="28"/>
        <v>10</v>
      </c>
      <c r="BQ33" s="97">
        <f t="shared" si="29"/>
        <v>7</v>
      </c>
      <c r="BR33" s="97">
        <f t="shared" si="30"/>
        <v>10</v>
      </c>
      <c r="BS33" s="97">
        <f t="shared" si="31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65" t="s">
        <v>53</v>
      </c>
      <c r="CD33" s="66" t="s">
        <v>13</v>
      </c>
      <c r="CE33" s="66" t="s">
        <v>14</v>
      </c>
      <c r="CF33" s="66" t="s">
        <v>15</v>
      </c>
      <c r="CG33" s="66" t="s">
        <v>16</v>
      </c>
      <c r="CH33" s="66" t="s">
        <v>17</v>
      </c>
      <c r="CI33" s="66" t="s">
        <v>59</v>
      </c>
      <c r="CJ33" s="67" t="s">
        <v>79</v>
      </c>
      <c r="CK33" s="68" t="s">
        <v>4</v>
      </c>
    </row>
    <row r="34" spans="1:89" ht="16.5" customHeight="1">
      <c r="A34" s="7" t="s">
        <v>106</v>
      </c>
      <c r="B34" s="13">
        <v>0</v>
      </c>
      <c r="C34" s="13">
        <v>390</v>
      </c>
      <c r="D34" s="13">
        <v>390</v>
      </c>
      <c r="E34" s="13">
        <v>185</v>
      </c>
      <c r="F34" s="13">
        <v>120</v>
      </c>
      <c r="G34" s="13">
        <v>0</v>
      </c>
      <c r="K34" s="22">
        <v>30</v>
      </c>
      <c r="L34" s="98" t="s">
        <v>40</v>
      </c>
      <c r="M34" s="98" t="s">
        <v>35</v>
      </c>
      <c r="N34" s="98" t="s">
        <v>204</v>
      </c>
      <c r="O34" s="98" t="s">
        <v>78</v>
      </c>
      <c r="P34" s="98" t="s">
        <v>34</v>
      </c>
      <c r="Q34" s="98" t="s">
        <v>78</v>
      </c>
      <c r="R34" s="98" t="s">
        <v>26</v>
      </c>
      <c r="T34" s="97">
        <f t="shared" si="11"/>
        <v>11</v>
      </c>
      <c r="U34" s="97">
        <f t="shared" si="12"/>
        <v>4</v>
      </c>
      <c r="V34" s="97">
        <f t="shared" si="13"/>
        <v>15</v>
      </c>
      <c r="W34" s="97">
        <f t="shared" si="14"/>
        <v>6</v>
      </c>
      <c r="X34" s="97">
        <f t="shared" si="15"/>
        <v>3</v>
      </c>
      <c r="Y34" s="97">
        <f t="shared" si="16"/>
        <v>6</v>
      </c>
      <c r="Z34" s="97">
        <f t="shared" si="17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  <c r="AT34" s="7" t="s">
        <v>106</v>
      </c>
      <c r="AU34" s="13">
        <v>0</v>
      </c>
      <c r="AV34" s="13">
        <v>390</v>
      </c>
      <c r="AW34" s="13">
        <v>390</v>
      </c>
      <c r="AX34" s="13">
        <v>185</v>
      </c>
      <c r="AY34" s="13">
        <v>120</v>
      </c>
      <c r="AZ34" s="13">
        <v>0</v>
      </c>
      <c r="BD34" s="22">
        <v>30</v>
      </c>
      <c r="BE34" s="98" t="s">
        <v>36</v>
      </c>
      <c r="BF34" s="98" t="s">
        <v>40</v>
      </c>
      <c r="BG34" s="98" t="s">
        <v>40</v>
      </c>
      <c r="BH34" s="98" t="s">
        <v>38</v>
      </c>
      <c r="BI34" s="98" t="s">
        <v>38</v>
      </c>
      <c r="BJ34" s="98" t="s">
        <v>39</v>
      </c>
      <c r="BK34" s="98" t="s">
        <v>40</v>
      </c>
      <c r="BM34" s="97">
        <f t="shared" si="25"/>
        <v>5</v>
      </c>
      <c r="BN34" s="97">
        <f t="shared" si="26"/>
        <v>11</v>
      </c>
      <c r="BO34" s="97">
        <f t="shared" si="27"/>
        <v>11</v>
      </c>
      <c r="BP34" s="97">
        <f t="shared" si="28"/>
        <v>9</v>
      </c>
      <c r="BQ34" s="97">
        <f t="shared" si="29"/>
        <v>9</v>
      </c>
      <c r="BR34" s="97">
        <f t="shared" si="30"/>
        <v>10</v>
      </c>
      <c r="BS34" s="97">
        <f t="shared" si="31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69" t="s">
        <v>81</v>
      </c>
      <c r="CD34" s="70">
        <v>0</v>
      </c>
      <c r="CE34" s="71">
        <v>0</v>
      </c>
      <c r="CF34" s="71">
        <v>0</v>
      </c>
      <c r="CG34" s="71">
        <v>0</v>
      </c>
      <c r="CH34" s="71">
        <v>0</v>
      </c>
      <c r="CI34" s="71">
        <v>0</v>
      </c>
      <c r="CJ34" s="72">
        <v>0</v>
      </c>
      <c r="CK34" s="73">
        <v>0</v>
      </c>
    </row>
    <row r="35" spans="1:89" ht="16.5" customHeight="1">
      <c r="A35" s="7" t="s">
        <v>104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98" t="s">
        <v>38</v>
      </c>
      <c r="M35" s="98" t="s">
        <v>35</v>
      </c>
      <c r="N35" s="98" t="s">
        <v>35</v>
      </c>
      <c r="O35" s="98" t="s">
        <v>26</v>
      </c>
      <c r="P35" s="98" t="s">
        <v>163</v>
      </c>
      <c r="Q35" s="98" t="s">
        <v>78</v>
      </c>
      <c r="R35" s="37" t="s">
        <v>33</v>
      </c>
      <c r="T35" s="97">
        <f t="shared" si="11"/>
        <v>9</v>
      </c>
      <c r="U35" s="97">
        <f t="shared" si="12"/>
        <v>4</v>
      </c>
      <c r="V35" s="97">
        <f t="shared" si="13"/>
        <v>4</v>
      </c>
      <c r="W35" s="97">
        <f t="shared" si="14"/>
        <v>8</v>
      </c>
      <c r="X35" s="97">
        <f t="shared" si="15"/>
        <v>7</v>
      </c>
      <c r="Y35" s="97">
        <f t="shared" si="16"/>
        <v>6</v>
      </c>
      <c r="Z35" s="97">
        <f t="shared" si="17"/>
        <v>2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90">
        <v>0</v>
      </c>
      <c r="AL35" s="182">
        <v>0</v>
      </c>
      <c r="AM35" s="182">
        <v>0</v>
      </c>
      <c r="AN35" s="182">
        <v>0</v>
      </c>
      <c r="AO35" s="182">
        <v>0</v>
      </c>
      <c r="AP35" s="182">
        <v>0</v>
      </c>
      <c r="AQ35" s="92">
        <v>0</v>
      </c>
      <c r="AR35" s="78">
        <v>1</v>
      </c>
      <c r="AT35" s="7" t="s">
        <v>104</v>
      </c>
      <c r="AU35" s="13">
        <v>0</v>
      </c>
      <c r="AV35" s="13">
        <v>2035</v>
      </c>
      <c r="AW35" s="13">
        <v>2010</v>
      </c>
      <c r="AX35" s="13">
        <v>1125</v>
      </c>
      <c r="AY35" s="13">
        <v>860</v>
      </c>
      <c r="AZ35" s="13">
        <v>0</v>
      </c>
      <c r="BD35" s="21">
        <v>31</v>
      </c>
      <c r="BE35" s="98" t="s">
        <v>163</v>
      </c>
      <c r="BF35" s="98" t="s">
        <v>39</v>
      </c>
      <c r="BG35" s="98" t="s">
        <v>40</v>
      </c>
      <c r="BH35" s="98" t="s">
        <v>203</v>
      </c>
      <c r="BI35" s="98" t="s">
        <v>41</v>
      </c>
      <c r="BJ35" s="98" t="s">
        <v>41</v>
      </c>
      <c r="BK35" s="37" t="s">
        <v>40</v>
      </c>
      <c r="BM35" s="97">
        <f t="shared" si="25"/>
        <v>7</v>
      </c>
      <c r="BN35" s="97">
        <f t="shared" si="26"/>
        <v>10</v>
      </c>
      <c r="BO35" s="97">
        <f t="shared" si="27"/>
        <v>11</v>
      </c>
      <c r="BP35" s="97">
        <f t="shared" si="28"/>
        <v>20</v>
      </c>
      <c r="BQ35" s="97">
        <f t="shared" si="29"/>
        <v>12</v>
      </c>
      <c r="BR35" s="97">
        <f t="shared" si="30"/>
        <v>12</v>
      </c>
      <c r="BS35" s="97">
        <f t="shared" si="31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74" t="s">
        <v>20</v>
      </c>
      <c r="CD35" s="90">
        <v>0</v>
      </c>
      <c r="CE35" s="182">
        <v>0</v>
      </c>
      <c r="CF35" s="182">
        <v>0</v>
      </c>
      <c r="CG35" s="182">
        <v>0</v>
      </c>
      <c r="CH35" s="182">
        <v>0</v>
      </c>
      <c r="CI35" s="182">
        <v>0</v>
      </c>
      <c r="CJ35" s="92">
        <v>0</v>
      </c>
      <c r="CK35" s="78">
        <v>1</v>
      </c>
    </row>
    <row r="36" spans="1:89" ht="16.5" customHeight="1">
      <c r="A36" s="7" t="s">
        <v>107</v>
      </c>
      <c r="B36" s="13">
        <v>0</v>
      </c>
      <c r="C36" s="13">
        <v>2035</v>
      </c>
      <c r="D36" s="13">
        <v>2010</v>
      </c>
      <c r="E36" s="13">
        <v>1125</v>
      </c>
      <c r="F36" s="13">
        <v>860</v>
      </c>
      <c r="G36" s="13">
        <v>0</v>
      </c>
      <c r="K36" s="22">
        <v>32</v>
      </c>
      <c r="L36" s="98" t="s">
        <v>38</v>
      </c>
      <c r="M36" s="98" t="s">
        <v>26</v>
      </c>
      <c r="N36" s="98" t="s">
        <v>26</v>
      </c>
      <c r="O36" s="98" t="s">
        <v>34</v>
      </c>
      <c r="P36" s="98" t="s">
        <v>163</v>
      </c>
      <c r="Q36" s="98" t="s">
        <v>39</v>
      </c>
      <c r="R36" s="37" t="s">
        <v>33</v>
      </c>
      <c r="T36" s="97">
        <f t="shared" si="11"/>
        <v>9</v>
      </c>
      <c r="U36" s="97">
        <f t="shared" si="12"/>
        <v>8</v>
      </c>
      <c r="V36" s="97">
        <f t="shared" si="13"/>
        <v>8</v>
      </c>
      <c r="W36" s="97">
        <f t="shared" si="14"/>
        <v>3</v>
      </c>
      <c r="X36" s="97">
        <f t="shared" si="15"/>
        <v>7</v>
      </c>
      <c r="Y36" s="97">
        <f t="shared" si="16"/>
        <v>10</v>
      </c>
      <c r="Z36" s="97">
        <f t="shared" si="17"/>
        <v>2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74" t="s">
        <v>21</v>
      </c>
      <c r="AK36" s="90">
        <v>8</v>
      </c>
      <c r="AL36" s="182">
        <v>8</v>
      </c>
      <c r="AM36" s="182">
        <v>8</v>
      </c>
      <c r="AN36" s="182">
        <v>8</v>
      </c>
      <c r="AO36" s="182">
        <v>8</v>
      </c>
      <c r="AP36" s="182">
        <v>8</v>
      </c>
      <c r="AQ36" s="92">
        <v>8</v>
      </c>
      <c r="AR36" s="78">
        <v>2</v>
      </c>
      <c r="AT36" s="7" t="s">
        <v>107</v>
      </c>
      <c r="AU36" s="13">
        <v>0</v>
      </c>
      <c r="AV36" s="13">
        <v>2035</v>
      </c>
      <c r="AW36" s="13">
        <v>2010</v>
      </c>
      <c r="AX36" s="13">
        <v>1125</v>
      </c>
      <c r="AY36" s="13">
        <v>860</v>
      </c>
      <c r="AZ36" s="13">
        <v>0</v>
      </c>
      <c r="BD36" s="22">
        <v>32</v>
      </c>
      <c r="BE36" s="98" t="s">
        <v>163</v>
      </c>
      <c r="BF36" s="98" t="s">
        <v>39</v>
      </c>
      <c r="BG36" s="98" t="s">
        <v>26</v>
      </c>
      <c r="BH36" s="98" t="s">
        <v>26</v>
      </c>
      <c r="BI36" s="98" t="s">
        <v>41</v>
      </c>
      <c r="BJ36" s="98" t="s">
        <v>40</v>
      </c>
      <c r="BK36" s="37" t="s">
        <v>78</v>
      </c>
      <c r="BM36" s="97">
        <f t="shared" si="25"/>
        <v>7</v>
      </c>
      <c r="BN36" s="97">
        <f t="shared" si="26"/>
        <v>10</v>
      </c>
      <c r="BO36" s="97">
        <f t="shared" si="27"/>
        <v>8</v>
      </c>
      <c r="BP36" s="97">
        <f t="shared" si="28"/>
        <v>8</v>
      </c>
      <c r="BQ36" s="97">
        <f t="shared" si="29"/>
        <v>12</v>
      </c>
      <c r="BR36" s="97">
        <f t="shared" si="30"/>
        <v>11</v>
      </c>
      <c r="BS36" s="97">
        <f t="shared" si="31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74" t="s">
        <v>21</v>
      </c>
      <c r="CD36" s="75">
        <v>1</v>
      </c>
      <c r="CE36" s="76">
        <v>1</v>
      </c>
      <c r="CF36" s="76">
        <v>1</v>
      </c>
      <c r="CG36" s="76">
        <v>1</v>
      </c>
      <c r="CH36" s="76">
        <v>1</v>
      </c>
      <c r="CI36" s="76">
        <v>1</v>
      </c>
      <c r="CJ36" s="77">
        <v>0</v>
      </c>
      <c r="CK36" s="78">
        <v>2</v>
      </c>
    </row>
    <row r="37" spans="1:89" ht="16.5" customHeight="1">
      <c r="A37" s="7" t="s">
        <v>105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98" t="s">
        <v>163</v>
      </c>
      <c r="M37" s="98" t="s">
        <v>26</v>
      </c>
      <c r="N37" s="98" t="s">
        <v>40</v>
      </c>
      <c r="O37" s="98" t="s">
        <v>34</v>
      </c>
      <c r="P37" s="98" t="s">
        <v>78</v>
      </c>
      <c r="Q37" s="98" t="s">
        <v>163</v>
      </c>
      <c r="R37" s="37" t="s">
        <v>34</v>
      </c>
      <c r="T37" s="97">
        <f t="shared" si="11"/>
        <v>7</v>
      </c>
      <c r="U37" s="97">
        <f t="shared" si="12"/>
        <v>8</v>
      </c>
      <c r="V37" s="97">
        <f t="shared" si="13"/>
        <v>11</v>
      </c>
      <c r="W37" s="97">
        <f t="shared" si="14"/>
        <v>3</v>
      </c>
      <c r="X37" s="97">
        <f t="shared" si="15"/>
        <v>6</v>
      </c>
      <c r="Y37" s="97">
        <f t="shared" si="16"/>
        <v>7</v>
      </c>
      <c r="Z37" s="97">
        <f t="shared" si="17"/>
        <v>3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90">
        <v>10</v>
      </c>
      <c r="AL37" s="182">
        <v>13</v>
      </c>
      <c r="AM37" s="182">
        <v>10</v>
      </c>
      <c r="AN37" s="182">
        <v>5</v>
      </c>
      <c r="AO37" s="182">
        <v>20</v>
      </c>
      <c r="AP37" s="182">
        <v>5</v>
      </c>
      <c r="AQ37" s="92">
        <v>10</v>
      </c>
      <c r="AR37" s="78">
        <v>3</v>
      </c>
      <c r="AT37" s="7" t="s">
        <v>105</v>
      </c>
      <c r="AU37" s="13">
        <v>0</v>
      </c>
      <c r="AV37" s="13">
        <v>290</v>
      </c>
      <c r="AW37" s="13">
        <v>283</v>
      </c>
      <c r="AX37" s="13">
        <v>803</v>
      </c>
      <c r="AY37" s="13">
        <v>520</v>
      </c>
      <c r="AZ37" s="13">
        <v>0</v>
      </c>
      <c r="BD37" s="21">
        <v>33</v>
      </c>
      <c r="BE37" s="98" t="s">
        <v>40</v>
      </c>
      <c r="BF37" s="98" t="s">
        <v>39</v>
      </c>
      <c r="BG37" s="98" t="s">
        <v>40</v>
      </c>
      <c r="BH37" s="98" t="s">
        <v>39</v>
      </c>
      <c r="BI37" s="98" t="s">
        <v>38</v>
      </c>
      <c r="BJ37" s="98" t="s">
        <v>26</v>
      </c>
      <c r="BK37" s="37" t="s">
        <v>78</v>
      </c>
      <c r="BM37" s="97">
        <f t="shared" si="25"/>
        <v>11</v>
      </c>
      <c r="BN37" s="97">
        <f t="shared" si="26"/>
        <v>10</v>
      </c>
      <c r="BO37" s="97">
        <f t="shared" si="27"/>
        <v>11</v>
      </c>
      <c r="BP37" s="97">
        <f t="shared" si="28"/>
        <v>10</v>
      </c>
      <c r="BQ37" s="97">
        <f t="shared" si="29"/>
        <v>9</v>
      </c>
      <c r="BR37" s="97">
        <f t="shared" si="30"/>
        <v>8</v>
      </c>
      <c r="BS37" s="97">
        <f t="shared" si="31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74" t="s">
        <v>22</v>
      </c>
      <c r="CD37" s="75">
        <v>1</v>
      </c>
      <c r="CE37" s="76">
        <v>70</v>
      </c>
      <c r="CF37" s="76">
        <v>1</v>
      </c>
      <c r="CG37" s="76">
        <v>70</v>
      </c>
      <c r="CH37" s="76">
        <v>1</v>
      </c>
      <c r="CI37" s="76">
        <v>1</v>
      </c>
      <c r="CJ37" s="77">
        <v>0</v>
      </c>
      <c r="CK37" s="78">
        <v>3</v>
      </c>
    </row>
    <row r="38" spans="1:89" ht="16.5" customHeight="1">
      <c r="A38" s="7" t="s">
        <v>108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98" t="s">
        <v>41</v>
      </c>
      <c r="M38" s="98" t="s">
        <v>78</v>
      </c>
      <c r="N38" s="98" t="s">
        <v>163</v>
      </c>
      <c r="O38" s="98" t="s">
        <v>78</v>
      </c>
      <c r="P38" s="98" t="s">
        <v>36</v>
      </c>
      <c r="Q38" s="98" t="s">
        <v>41</v>
      </c>
      <c r="R38" s="37" t="s">
        <v>34</v>
      </c>
      <c r="T38" s="97">
        <f t="shared" si="11"/>
        <v>12</v>
      </c>
      <c r="U38" s="97">
        <f t="shared" si="12"/>
        <v>6</v>
      </c>
      <c r="V38" s="97">
        <f t="shared" si="13"/>
        <v>7</v>
      </c>
      <c r="W38" s="97">
        <f t="shared" si="14"/>
        <v>6</v>
      </c>
      <c r="X38" s="97">
        <f t="shared" si="15"/>
        <v>5</v>
      </c>
      <c r="Y38" s="97">
        <f t="shared" si="16"/>
        <v>12</v>
      </c>
      <c r="Z38" s="97">
        <f t="shared" si="17"/>
        <v>3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90">
        <v>15</v>
      </c>
      <c r="AL38" s="182">
        <v>10</v>
      </c>
      <c r="AM38" s="182">
        <v>15</v>
      </c>
      <c r="AN38" s="182">
        <v>5</v>
      </c>
      <c r="AO38" s="182">
        <v>18</v>
      </c>
      <c r="AP38" s="182">
        <v>20</v>
      </c>
      <c r="AQ38" s="92">
        <v>10</v>
      </c>
      <c r="AR38" s="78">
        <v>4</v>
      </c>
      <c r="AT38" s="7" t="s">
        <v>108</v>
      </c>
      <c r="AU38" s="13">
        <v>0</v>
      </c>
      <c r="AV38" s="13">
        <v>290</v>
      </c>
      <c r="AW38" s="13">
        <v>283</v>
      </c>
      <c r="AX38" s="13">
        <v>803</v>
      </c>
      <c r="AY38" s="13">
        <v>520</v>
      </c>
      <c r="AZ38" s="13">
        <v>0</v>
      </c>
      <c r="BD38" s="22">
        <v>34</v>
      </c>
      <c r="BE38" s="98" t="s">
        <v>38</v>
      </c>
      <c r="BF38" s="98" t="s">
        <v>78</v>
      </c>
      <c r="BG38" s="98" t="s">
        <v>36</v>
      </c>
      <c r="BH38" s="98" t="s">
        <v>41</v>
      </c>
      <c r="BI38" s="98" t="s">
        <v>38</v>
      </c>
      <c r="BJ38" s="98" t="s">
        <v>26</v>
      </c>
      <c r="BK38" s="37" t="s">
        <v>78</v>
      </c>
      <c r="BM38" s="97">
        <f t="shared" si="25"/>
        <v>9</v>
      </c>
      <c r="BN38" s="97">
        <f t="shared" si="26"/>
        <v>6</v>
      </c>
      <c r="BO38" s="97">
        <f t="shared" si="27"/>
        <v>5</v>
      </c>
      <c r="BP38" s="97">
        <f t="shared" si="28"/>
        <v>12</v>
      </c>
      <c r="BQ38" s="97">
        <f t="shared" si="29"/>
        <v>9</v>
      </c>
      <c r="BR38" s="97">
        <f t="shared" si="30"/>
        <v>8</v>
      </c>
      <c r="BS38" s="97">
        <f t="shared" si="31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74" t="s">
        <v>18</v>
      </c>
      <c r="CD38" s="75">
        <v>1</v>
      </c>
      <c r="CE38" s="76">
        <v>1</v>
      </c>
      <c r="CF38" s="76">
        <v>5</v>
      </c>
      <c r="CG38" s="76">
        <v>1</v>
      </c>
      <c r="CH38" s="76">
        <v>1</v>
      </c>
      <c r="CI38" s="76">
        <v>70</v>
      </c>
      <c r="CJ38" s="77">
        <v>1</v>
      </c>
      <c r="CK38" s="78">
        <v>4</v>
      </c>
    </row>
    <row r="39" spans="1:89" ht="16.5" customHeight="1">
      <c r="A39" s="7" t="s">
        <v>109</v>
      </c>
      <c r="B39" s="13">
        <v>0</v>
      </c>
      <c r="C39" s="13">
        <v>290</v>
      </c>
      <c r="D39" s="13">
        <v>283</v>
      </c>
      <c r="E39" s="13">
        <v>803</v>
      </c>
      <c r="F39" s="13">
        <v>520</v>
      </c>
      <c r="G39" s="13">
        <v>0</v>
      </c>
      <c r="K39" s="21">
        <v>35</v>
      </c>
      <c r="L39" s="98" t="s">
        <v>41</v>
      </c>
      <c r="M39" s="98" t="s">
        <v>41</v>
      </c>
      <c r="N39" s="98" t="s">
        <v>38</v>
      </c>
      <c r="O39" s="98" t="s">
        <v>26</v>
      </c>
      <c r="P39" s="98" t="s">
        <v>100</v>
      </c>
      <c r="Q39" s="98" t="s">
        <v>41</v>
      </c>
      <c r="R39" s="37" t="s">
        <v>41</v>
      </c>
      <c r="T39" s="97">
        <f t="shared" si="11"/>
        <v>12</v>
      </c>
      <c r="U39" s="97">
        <f t="shared" si="12"/>
        <v>12</v>
      </c>
      <c r="V39" s="97">
        <f t="shared" si="13"/>
        <v>9</v>
      </c>
      <c r="W39" s="97">
        <f t="shared" si="14"/>
        <v>8</v>
      </c>
      <c r="X39" s="97">
        <f t="shared" si="15"/>
        <v>14</v>
      </c>
      <c r="Y39" s="97">
        <f t="shared" si="16"/>
        <v>12</v>
      </c>
      <c r="Z39" s="97">
        <f t="shared" si="17"/>
        <v>12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90">
        <v>10</v>
      </c>
      <c r="AL39" s="182">
        <v>20</v>
      </c>
      <c r="AM39" s="182">
        <v>20</v>
      </c>
      <c r="AN39" s="182">
        <v>20</v>
      </c>
      <c r="AO39" s="182">
        <v>10</v>
      </c>
      <c r="AP39" s="182">
        <v>20</v>
      </c>
      <c r="AQ39" s="92">
        <v>10</v>
      </c>
      <c r="AR39" s="78">
        <v>5</v>
      </c>
      <c r="AT39" s="7" t="s">
        <v>109</v>
      </c>
      <c r="AU39" s="13">
        <v>0</v>
      </c>
      <c r="AV39" s="13">
        <v>290</v>
      </c>
      <c r="AW39" s="13">
        <v>283</v>
      </c>
      <c r="AX39" s="13">
        <v>803</v>
      </c>
      <c r="AY39" s="13">
        <v>520</v>
      </c>
      <c r="AZ39" s="13">
        <v>0</v>
      </c>
      <c r="BD39" s="21">
        <v>35</v>
      </c>
      <c r="BE39" s="98" t="s">
        <v>78</v>
      </c>
      <c r="BF39" s="98" t="s">
        <v>203</v>
      </c>
      <c r="BG39" s="98" t="s">
        <v>36</v>
      </c>
      <c r="BH39" s="98" t="s">
        <v>78</v>
      </c>
      <c r="BI39" s="98" t="s">
        <v>163</v>
      </c>
      <c r="BJ39" s="98" t="s">
        <v>26</v>
      </c>
      <c r="BK39" s="37" t="s">
        <v>78</v>
      </c>
      <c r="BM39" s="97">
        <f t="shared" si="25"/>
        <v>6</v>
      </c>
      <c r="BN39" s="97">
        <f t="shared" si="26"/>
        <v>20</v>
      </c>
      <c r="BO39" s="97">
        <f t="shared" si="27"/>
        <v>5</v>
      </c>
      <c r="BP39" s="97">
        <f t="shared" si="28"/>
        <v>6</v>
      </c>
      <c r="BQ39" s="97">
        <f t="shared" si="29"/>
        <v>7</v>
      </c>
      <c r="BR39" s="97">
        <f t="shared" si="30"/>
        <v>8</v>
      </c>
      <c r="BS39" s="97">
        <f t="shared" si="31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74" t="s">
        <v>19</v>
      </c>
      <c r="CD39" s="75">
        <v>1</v>
      </c>
      <c r="CE39" s="76">
        <v>70</v>
      </c>
      <c r="CF39" s="76">
        <v>1</v>
      </c>
      <c r="CG39" s="76">
        <v>1</v>
      </c>
      <c r="CH39" s="76">
        <v>1</v>
      </c>
      <c r="CI39" s="76">
        <v>70</v>
      </c>
      <c r="CJ39" s="77">
        <v>1</v>
      </c>
      <c r="CK39" s="78">
        <v>5</v>
      </c>
    </row>
    <row r="40" spans="1:89" ht="16.5" customHeight="1">
      <c r="A40" s="7" t="s">
        <v>110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30" t="s">
        <v>36</v>
      </c>
      <c r="M40" s="30" t="s">
        <v>41</v>
      </c>
      <c r="N40" s="30" t="s">
        <v>35</v>
      </c>
      <c r="O40" s="30" t="s">
        <v>26</v>
      </c>
      <c r="P40" s="30" t="s">
        <v>40</v>
      </c>
      <c r="Q40" s="30" t="s">
        <v>41</v>
      </c>
      <c r="R40" s="30" t="s">
        <v>35</v>
      </c>
      <c r="T40" s="97">
        <f t="shared" si="11"/>
        <v>5</v>
      </c>
      <c r="U40" s="97">
        <f t="shared" si="12"/>
        <v>12</v>
      </c>
      <c r="V40" s="97">
        <f t="shared" si="13"/>
        <v>4</v>
      </c>
      <c r="W40" s="97">
        <f t="shared" si="14"/>
        <v>8</v>
      </c>
      <c r="X40" s="97">
        <f t="shared" si="15"/>
        <v>11</v>
      </c>
      <c r="Y40" s="97">
        <f t="shared" si="16"/>
        <v>12</v>
      </c>
      <c r="Z40" s="97">
        <f t="shared" si="17"/>
        <v>4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74" t="s">
        <v>77</v>
      </c>
      <c r="AK40" s="90">
        <v>50</v>
      </c>
      <c r="AL40" s="182">
        <v>50</v>
      </c>
      <c r="AM40" s="182">
        <v>50</v>
      </c>
      <c r="AN40" s="182">
        <v>50</v>
      </c>
      <c r="AO40" s="182">
        <v>50</v>
      </c>
      <c r="AP40" s="182">
        <v>50</v>
      </c>
      <c r="AQ40" s="92">
        <v>10</v>
      </c>
      <c r="AR40" s="78">
        <v>6</v>
      </c>
      <c r="AT40" s="7" t="s">
        <v>110</v>
      </c>
      <c r="AU40" s="13">
        <v>0</v>
      </c>
      <c r="AV40" s="13">
        <v>880</v>
      </c>
      <c r="AW40" s="13">
        <v>830</v>
      </c>
      <c r="AX40" s="13">
        <v>850</v>
      </c>
      <c r="AY40" s="13">
        <v>1250</v>
      </c>
      <c r="AZ40" s="13">
        <v>0</v>
      </c>
      <c r="BD40" s="22">
        <v>36</v>
      </c>
      <c r="BE40" s="30" t="s">
        <v>41</v>
      </c>
      <c r="BF40" s="30" t="s">
        <v>41</v>
      </c>
      <c r="BG40" s="30" t="s">
        <v>40</v>
      </c>
      <c r="BH40" s="30" t="s">
        <v>78</v>
      </c>
      <c r="BI40" s="30" t="s">
        <v>36</v>
      </c>
      <c r="BJ40" s="30" t="s">
        <v>38</v>
      </c>
      <c r="BK40" s="30" t="s">
        <v>163</v>
      </c>
      <c r="BM40" s="97">
        <f t="shared" si="25"/>
        <v>12</v>
      </c>
      <c r="BN40" s="97">
        <f t="shared" si="26"/>
        <v>12</v>
      </c>
      <c r="BO40" s="97">
        <f t="shared" si="27"/>
        <v>11</v>
      </c>
      <c r="BP40" s="97">
        <f t="shared" si="28"/>
        <v>6</v>
      </c>
      <c r="BQ40" s="97">
        <f t="shared" si="29"/>
        <v>5</v>
      </c>
      <c r="BR40" s="97">
        <f t="shared" si="30"/>
        <v>9</v>
      </c>
      <c r="BS40" s="97">
        <f t="shared" si="31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74" t="s">
        <v>77</v>
      </c>
      <c r="CD40" s="75">
        <v>5</v>
      </c>
      <c r="CE40" s="76">
        <v>1</v>
      </c>
      <c r="CF40" s="76">
        <v>70</v>
      </c>
      <c r="CG40" s="76">
        <v>1</v>
      </c>
      <c r="CH40" s="76">
        <v>70</v>
      </c>
      <c r="CI40" s="76">
        <v>1</v>
      </c>
      <c r="CJ40" s="77">
        <v>1</v>
      </c>
      <c r="CK40" s="78">
        <v>6</v>
      </c>
    </row>
    <row r="41" spans="1:89" ht="16.5" customHeight="1">
      <c r="A41" s="7" t="s">
        <v>111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98" t="s">
        <v>35</v>
      </c>
      <c r="M41" s="98" t="s">
        <v>202</v>
      </c>
      <c r="N41" s="98" t="s">
        <v>35</v>
      </c>
      <c r="O41" s="98" t="s">
        <v>39</v>
      </c>
      <c r="P41" s="98" t="s">
        <v>40</v>
      </c>
      <c r="Q41" s="98" t="s">
        <v>78</v>
      </c>
      <c r="R41" s="37" t="s">
        <v>35</v>
      </c>
      <c r="T41" s="97">
        <f t="shared" si="11"/>
        <v>4</v>
      </c>
      <c r="U41" s="97">
        <f t="shared" si="12"/>
        <v>23</v>
      </c>
      <c r="V41" s="97">
        <f t="shared" si="13"/>
        <v>4</v>
      </c>
      <c r="W41" s="97">
        <f t="shared" si="14"/>
        <v>10</v>
      </c>
      <c r="X41" s="97">
        <f t="shared" si="15"/>
        <v>11</v>
      </c>
      <c r="Y41" s="97">
        <f t="shared" si="16"/>
        <v>6</v>
      </c>
      <c r="Z41" s="97">
        <f t="shared" si="17"/>
        <v>4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90">
        <v>50</v>
      </c>
      <c r="AL41" s="182">
        <v>50</v>
      </c>
      <c r="AM41" s="182">
        <v>50</v>
      </c>
      <c r="AN41" s="182">
        <v>50</v>
      </c>
      <c r="AO41" s="182">
        <v>50</v>
      </c>
      <c r="AP41" s="182">
        <v>50</v>
      </c>
      <c r="AQ41" s="92">
        <v>10</v>
      </c>
      <c r="AR41" s="78">
        <v>7</v>
      </c>
      <c r="AT41" s="7" t="s">
        <v>111</v>
      </c>
      <c r="AU41" s="13">
        <v>0</v>
      </c>
      <c r="AV41" s="13">
        <v>880</v>
      </c>
      <c r="AW41" s="13">
        <v>830</v>
      </c>
      <c r="AX41" s="13">
        <v>850</v>
      </c>
      <c r="AY41" s="13">
        <v>1250</v>
      </c>
      <c r="AZ41" s="13">
        <v>0</v>
      </c>
      <c r="BD41" s="21">
        <v>37</v>
      </c>
      <c r="BE41" s="98" t="s">
        <v>163</v>
      </c>
      <c r="BF41" s="98" t="s">
        <v>41</v>
      </c>
      <c r="BG41" s="98" t="s">
        <v>40</v>
      </c>
      <c r="BH41" s="98" t="s">
        <v>78</v>
      </c>
      <c r="BI41" s="98" t="s">
        <v>40</v>
      </c>
      <c r="BJ41" s="98" t="s">
        <v>38</v>
      </c>
      <c r="BK41" s="37" t="s">
        <v>163</v>
      </c>
      <c r="BM41" s="97">
        <f t="shared" si="25"/>
        <v>7</v>
      </c>
      <c r="BN41" s="97">
        <f t="shared" si="26"/>
        <v>12</v>
      </c>
      <c r="BO41" s="97">
        <f t="shared" si="27"/>
        <v>11</v>
      </c>
      <c r="BP41" s="97">
        <f t="shared" si="28"/>
        <v>6</v>
      </c>
      <c r="BQ41" s="97">
        <f t="shared" si="29"/>
        <v>11</v>
      </c>
      <c r="BR41" s="97">
        <f t="shared" si="30"/>
        <v>9</v>
      </c>
      <c r="BS41" s="97">
        <f t="shared" si="31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74" t="s">
        <v>162</v>
      </c>
      <c r="CD41" s="75">
        <v>1</v>
      </c>
      <c r="CE41" s="76">
        <v>70</v>
      </c>
      <c r="CF41" s="76">
        <v>1</v>
      </c>
      <c r="CG41" s="76">
        <v>1</v>
      </c>
      <c r="CH41" s="76">
        <v>1</v>
      </c>
      <c r="CI41" s="76">
        <v>70</v>
      </c>
      <c r="CJ41" s="77">
        <v>1</v>
      </c>
      <c r="CK41" s="78">
        <v>7</v>
      </c>
    </row>
    <row r="42" spans="1:89" ht="16.5" customHeight="1">
      <c r="A42" s="7" t="s">
        <v>112</v>
      </c>
      <c r="B42" s="13">
        <v>0</v>
      </c>
      <c r="C42" s="13">
        <v>880</v>
      </c>
      <c r="D42" s="13">
        <v>830</v>
      </c>
      <c r="E42" s="13">
        <v>850</v>
      </c>
      <c r="F42" s="13">
        <v>1250</v>
      </c>
      <c r="G42" s="13">
        <v>0</v>
      </c>
      <c r="K42" s="22">
        <v>38</v>
      </c>
      <c r="L42" s="98" t="s">
        <v>35</v>
      </c>
      <c r="M42" s="98" t="s">
        <v>163</v>
      </c>
      <c r="N42" s="98" t="s">
        <v>177</v>
      </c>
      <c r="O42" s="98" t="s">
        <v>39</v>
      </c>
      <c r="P42" s="98" t="s">
        <v>38</v>
      </c>
      <c r="Q42" s="98" t="s">
        <v>78</v>
      </c>
      <c r="R42" s="37" t="s">
        <v>35</v>
      </c>
      <c r="T42" s="97">
        <f t="shared" si="11"/>
        <v>4</v>
      </c>
      <c r="U42" s="97">
        <f t="shared" si="12"/>
        <v>7</v>
      </c>
      <c r="V42" s="97">
        <f t="shared" si="13"/>
        <v>18</v>
      </c>
      <c r="W42" s="97">
        <f t="shared" si="14"/>
        <v>10</v>
      </c>
      <c r="X42" s="97">
        <f t="shared" si="15"/>
        <v>9</v>
      </c>
      <c r="Y42" s="97">
        <f t="shared" si="16"/>
        <v>6</v>
      </c>
      <c r="Z42" s="97">
        <f t="shared" si="17"/>
        <v>4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90">
        <v>10</v>
      </c>
      <c r="AL42" s="182">
        <v>10</v>
      </c>
      <c r="AM42" s="182">
        <v>40</v>
      </c>
      <c r="AN42" s="182">
        <v>1</v>
      </c>
      <c r="AO42" s="182">
        <v>40</v>
      </c>
      <c r="AP42" s="182">
        <v>1</v>
      </c>
      <c r="AQ42" s="92">
        <v>10</v>
      </c>
      <c r="AR42" s="78">
        <v>7</v>
      </c>
      <c r="AT42" s="7" t="s">
        <v>112</v>
      </c>
      <c r="AU42" s="13">
        <v>0</v>
      </c>
      <c r="AV42" s="13">
        <v>880</v>
      </c>
      <c r="AW42" s="13">
        <v>830</v>
      </c>
      <c r="AX42" s="13">
        <v>850</v>
      </c>
      <c r="AY42" s="13">
        <v>1250</v>
      </c>
      <c r="AZ42" s="13">
        <v>0</v>
      </c>
      <c r="BD42" s="22">
        <v>38</v>
      </c>
      <c r="BE42" s="98" t="s">
        <v>163</v>
      </c>
      <c r="BF42" s="98" t="s">
        <v>41</v>
      </c>
      <c r="BG42" s="98" t="s">
        <v>36</v>
      </c>
      <c r="BH42" s="98" t="s">
        <v>39</v>
      </c>
      <c r="BI42" s="98" t="s">
        <v>40</v>
      </c>
      <c r="BJ42" s="98" t="s">
        <v>26</v>
      </c>
      <c r="BK42" s="37" t="s">
        <v>163</v>
      </c>
      <c r="BM42" s="97">
        <f t="shared" si="25"/>
        <v>7</v>
      </c>
      <c r="BN42" s="97">
        <f t="shared" si="26"/>
        <v>12</v>
      </c>
      <c r="BO42" s="97">
        <f t="shared" si="27"/>
        <v>5</v>
      </c>
      <c r="BP42" s="97">
        <f t="shared" si="28"/>
        <v>10</v>
      </c>
      <c r="BQ42" s="97">
        <f t="shared" si="29"/>
        <v>11</v>
      </c>
      <c r="BR42" s="97">
        <f t="shared" si="30"/>
        <v>8</v>
      </c>
      <c r="BS42" s="97">
        <f t="shared" si="31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74" t="s">
        <v>25</v>
      </c>
      <c r="CD42" s="75">
        <v>1</v>
      </c>
      <c r="CE42" s="76">
        <v>1</v>
      </c>
      <c r="CF42" s="76">
        <v>1</v>
      </c>
      <c r="CG42" s="76">
        <v>1</v>
      </c>
      <c r="CH42" s="76">
        <v>70</v>
      </c>
      <c r="CI42" s="76">
        <v>1</v>
      </c>
      <c r="CJ42" s="77">
        <v>1</v>
      </c>
      <c r="CK42" s="78">
        <v>7</v>
      </c>
    </row>
    <row r="43" spans="1:89" ht="16.5" customHeight="1">
      <c r="A43" s="7" t="s">
        <v>113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98" t="s">
        <v>78</v>
      </c>
      <c r="M43" s="98" t="s">
        <v>36</v>
      </c>
      <c r="N43" s="98" t="s">
        <v>163</v>
      </c>
      <c r="O43" s="98" t="s">
        <v>36</v>
      </c>
      <c r="P43" s="98" t="s">
        <v>38</v>
      </c>
      <c r="Q43" s="98" t="s">
        <v>39</v>
      </c>
      <c r="R43" s="37" t="s">
        <v>78</v>
      </c>
      <c r="T43" s="97">
        <f t="shared" si="11"/>
        <v>6</v>
      </c>
      <c r="U43" s="97">
        <f t="shared" si="12"/>
        <v>5</v>
      </c>
      <c r="V43" s="97">
        <f t="shared" si="13"/>
        <v>7</v>
      </c>
      <c r="W43" s="97">
        <f t="shared" si="14"/>
        <v>5</v>
      </c>
      <c r="X43" s="97">
        <f t="shared" si="15"/>
        <v>9</v>
      </c>
      <c r="Y43" s="97">
        <f t="shared" si="16"/>
        <v>10</v>
      </c>
      <c r="Z43" s="97">
        <f t="shared" si="17"/>
        <v>6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90">
        <v>40</v>
      </c>
      <c r="AL43" s="182">
        <v>8</v>
      </c>
      <c r="AM43" s="182">
        <v>25</v>
      </c>
      <c r="AN43" s="182">
        <v>10</v>
      </c>
      <c r="AO43" s="182">
        <v>1</v>
      </c>
      <c r="AP43" s="182">
        <v>40</v>
      </c>
      <c r="AQ43" s="92">
        <v>10</v>
      </c>
      <c r="AR43" s="78">
        <v>8</v>
      </c>
      <c r="AT43" s="7" t="s">
        <v>113</v>
      </c>
      <c r="AU43" s="13">
        <v>0</v>
      </c>
      <c r="AV43" s="13">
        <v>292</v>
      </c>
      <c r="AW43" s="13">
        <v>305</v>
      </c>
      <c r="AX43" s="13">
        <v>514</v>
      </c>
      <c r="AY43" s="13">
        <v>608</v>
      </c>
      <c r="AZ43" s="13">
        <v>0</v>
      </c>
      <c r="BD43" s="21">
        <v>39</v>
      </c>
      <c r="BE43" s="98" t="s">
        <v>40</v>
      </c>
      <c r="BF43" s="98" t="s">
        <v>195</v>
      </c>
      <c r="BG43" s="98" t="s">
        <v>41</v>
      </c>
      <c r="BH43" s="98" t="s">
        <v>78</v>
      </c>
      <c r="BI43" s="98" t="s">
        <v>36</v>
      </c>
      <c r="BJ43" s="98" t="s">
        <v>26</v>
      </c>
      <c r="BK43" s="37" t="s">
        <v>163</v>
      </c>
      <c r="BM43" s="97">
        <f t="shared" si="25"/>
        <v>11</v>
      </c>
      <c r="BN43" s="97">
        <f t="shared" si="26"/>
        <v>19</v>
      </c>
      <c r="BO43" s="97">
        <f t="shared" si="27"/>
        <v>12</v>
      </c>
      <c r="BP43" s="97">
        <f t="shared" si="28"/>
        <v>6</v>
      </c>
      <c r="BQ43" s="97">
        <f t="shared" si="29"/>
        <v>5</v>
      </c>
      <c r="BR43" s="97">
        <f t="shared" si="30"/>
        <v>8</v>
      </c>
      <c r="BS43" s="97">
        <f t="shared" si="31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74" t="s">
        <v>27</v>
      </c>
      <c r="CD43" s="75">
        <v>1</v>
      </c>
      <c r="CE43" s="76">
        <v>1</v>
      </c>
      <c r="CF43" s="76">
        <v>1</v>
      </c>
      <c r="CG43" s="76">
        <v>70</v>
      </c>
      <c r="CH43" s="76">
        <v>1</v>
      </c>
      <c r="CI43" s="76">
        <v>70</v>
      </c>
      <c r="CJ43" s="77">
        <v>1</v>
      </c>
      <c r="CK43" s="78">
        <v>8</v>
      </c>
    </row>
    <row r="44" spans="1:89" ht="16.5" customHeight="1">
      <c r="A44" s="7" t="s">
        <v>114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98" t="s">
        <v>163</v>
      </c>
      <c r="M44" s="98" t="s">
        <v>207</v>
      </c>
      <c r="N44" s="98" t="s">
        <v>41</v>
      </c>
      <c r="O44" s="98" t="s">
        <v>36</v>
      </c>
      <c r="P44" s="98" t="s">
        <v>35</v>
      </c>
      <c r="Q44" s="98" t="s">
        <v>26</v>
      </c>
      <c r="R44" s="37" t="s">
        <v>78</v>
      </c>
      <c r="T44" s="97">
        <f t="shared" si="11"/>
        <v>7</v>
      </c>
      <c r="U44" s="97">
        <f t="shared" si="12"/>
        <v>16</v>
      </c>
      <c r="V44" s="97">
        <f t="shared" si="13"/>
        <v>12</v>
      </c>
      <c r="W44" s="97">
        <f t="shared" si="14"/>
        <v>5</v>
      </c>
      <c r="X44" s="97">
        <f t="shared" si="15"/>
        <v>4</v>
      </c>
      <c r="Y44" s="97">
        <f t="shared" si="16"/>
        <v>8</v>
      </c>
      <c r="Z44" s="97">
        <f t="shared" si="17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74" t="s">
        <v>28</v>
      </c>
      <c r="AK44" s="90">
        <v>10</v>
      </c>
      <c r="AL44" s="182">
        <v>40</v>
      </c>
      <c r="AM44" s="182">
        <v>40</v>
      </c>
      <c r="AN44" s="182">
        <v>10</v>
      </c>
      <c r="AO44" s="182">
        <v>40</v>
      </c>
      <c r="AP44" s="182">
        <v>1</v>
      </c>
      <c r="AQ44" s="92">
        <v>10</v>
      </c>
      <c r="AR44" s="78">
        <v>9</v>
      </c>
      <c r="AT44" s="7" t="s">
        <v>114</v>
      </c>
      <c r="AU44" s="13">
        <v>0</v>
      </c>
      <c r="AV44" s="13">
        <v>292</v>
      </c>
      <c r="AW44" s="13">
        <v>305</v>
      </c>
      <c r="AX44" s="13">
        <v>514</v>
      </c>
      <c r="AY44" s="13">
        <v>608</v>
      </c>
      <c r="AZ44" s="13">
        <v>0</v>
      </c>
      <c r="BD44" s="22">
        <v>40</v>
      </c>
      <c r="BE44" s="98" t="s">
        <v>41</v>
      </c>
      <c r="BF44" s="98" t="s">
        <v>26</v>
      </c>
      <c r="BG44" s="98" t="s">
        <v>40</v>
      </c>
      <c r="BH44" s="98" t="s">
        <v>41</v>
      </c>
      <c r="BI44" s="98" t="s">
        <v>36</v>
      </c>
      <c r="BJ44" s="98" t="s">
        <v>39</v>
      </c>
      <c r="BK44" s="37" t="s">
        <v>78</v>
      </c>
      <c r="BM44" s="97">
        <f t="shared" si="25"/>
        <v>12</v>
      </c>
      <c r="BN44" s="97">
        <f t="shared" si="26"/>
        <v>8</v>
      </c>
      <c r="BO44" s="97">
        <f t="shared" si="27"/>
        <v>11</v>
      </c>
      <c r="BP44" s="97">
        <f t="shared" si="28"/>
        <v>12</v>
      </c>
      <c r="BQ44" s="97">
        <f t="shared" si="29"/>
        <v>5</v>
      </c>
      <c r="BR44" s="97">
        <f t="shared" si="30"/>
        <v>10</v>
      </c>
      <c r="BS44" s="97">
        <f t="shared" si="31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74" t="s">
        <v>28</v>
      </c>
      <c r="CD44" s="75">
        <v>1</v>
      </c>
      <c r="CE44" s="76">
        <v>1</v>
      </c>
      <c r="CF44" s="76">
        <v>5</v>
      </c>
      <c r="CG44" s="76">
        <v>1</v>
      </c>
      <c r="CH44" s="76">
        <v>1</v>
      </c>
      <c r="CI44" s="76">
        <v>1</v>
      </c>
      <c r="CJ44" s="77">
        <v>3</v>
      </c>
      <c r="CK44" s="78">
        <v>9</v>
      </c>
    </row>
    <row r="45" spans="1:89" ht="16.5" customHeight="1">
      <c r="A45" s="7" t="s">
        <v>115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98" t="s">
        <v>40</v>
      </c>
      <c r="M45" s="98" t="s">
        <v>78</v>
      </c>
      <c r="N45" s="98" t="s">
        <v>78</v>
      </c>
      <c r="O45" s="98" t="s">
        <v>38</v>
      </c>
      <c r="P45" s="98" t="s">
        <v>35</v>
      </c>
      <c r="Q45" s="98" t="s">
        <v>78</v>
      </c>
      <c r="R45" s="37" t="s">
        <v>78</v>
      </c>
      <c r="T45" s="97">
        <f t="shared" si="11"/>
        <v>11</v>
      </c>
      <c r="U45" s="97">
        <f t="shared" si="12"/>
        <v>6</v>
      </c>
      <c r="V45" s="97">
        <f t="shared" si="13"/>
        <v>6</v>
      </c>
      <c r="W45" s="97">
        <f t="shared" si="14"/>
        <v>9</v>
      </c>
      <c r="X45" s="97">
        <f t="shared" si="15"/>
        <v>4</v>
      </c>
      <c r="Y45" s="97">
        <f t="shared" si="16"/>
        <v>6</v>
      </c>
      <c r="Z45" s="97">
        <f t="shared" si="17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90">
        <v>40</v>
      </c>
      <c r="AL45" s="182">
        <v>40</v>
      </c>
      <c r="AM45" s="182">
        <v>40</v>
      </c>
      <c r="AN45" s="182">
        <v>1</v>
      </c>
      <c r="AO45" s="182">
        <v>1</v>
      </c>
      <c r="AP45" s="182">
        <v>1</v>
      </c>
      <c r="AQ45" s="92">
        <v>10</v>
      </c>
      <c r="AR45" s="78">
        <v>10</v>
      </c>
      <c r="AT45" s="7" t="s">
        <v>115</v>
      </c>
      <c r="AU45" s="13">
        <v>0</v>
      </c>
      <c r="AV45" s="13">
        <v>292</v>
      </c>
      <c r="AW45" s="13">
        <v>305</v>
      </c>
      <c r="AX45" s="13">
        <v>514</v>
      </c>
      <c r="AY45" s="13">
        <v>608</v>
      </c>
      <c r="AZ45" s="13">
        <v>0</v>
      </c>
      <c r="BD45" s="21">
        <v>41</v>
      </c>
      <c r="BE45" s="98" t="s">
        <v>36</v>
      </c>
      <c r="BF45" s="98" t="s">
        <v>26</v>
      </c>
      <c r="BG45" s="98" t="s">
        <v>40</v>
      </c>
      <c r="BH45" s="98" t="s">
        <v>41</v>
      </c>
      <c r="BI45" s="98" t="s">
        <v>78</v>
      </c>
      <c r="BJ45" s="98" t="s">
        <v>39</v>
      </c>
      <c r="BK45" s="37" t="s">
        <v>78</v>
      </c>
      <c r="BM45" s="97">
        <f t="shared" si="25"/>
        <v>5</v>
      </c>
      <c r="BN45" s="97">
        <f t="shared" si="26"/>
        <v>8</v>
      </c>
      <c r="BO45" s="97">
        <f t="shared" si="27"/>
        <v>11</v>
      </c>
      <c r="BP45" s="97">
        <f t="shared" si="28"/>
        <v>12</v>
      </c>
      <c r="BQ45" s="97">
        <f t="shared" si="29"/>
        <v>6</v>
      </c>
      <c r="BR45" s="97">
        <f t="shared" si="30"/>
        <v>10</v>
      </c>
      <c r="BS45" s="97">
        <f t="shared" si="31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74" t="s">
        <v>29</v>
      </c>
      <c r="CD45" s="75">
        <v>1</v>
      </c>
      <c r="CE45" s="76">
        <v>70</v>
      </c>
      <c r="CF45" s="76">
        <v>1</v>
      </c>
      <c r="CG45" s="76">
        <v>1</v>
      </c>
      <c r="CH45" s="76">
        <v>1</v>
      </c>
      <c r="CI45" s="76">
        <v>1</v>
      </c>
      <c r="CJ45" s="77">
        <v>1</v>
      </c>
      <c r="CK45" s="78">
        <v>10</v>
      </c>
    </row>
    <row r="46" spans="1:89" ht="16.5" customHeight="1">
      <c r="A46" s="7" t="s">
        <v>116</v>
      </c>
      <c r="B46" s="13">
        <v>0</v>
      </c>
      <c r="C46" s="13">
        <v>292</v>
      </c>
      <c r="D46" s="13">
        <v>305</v>
      </c>
      <c r="E46" s="13">
        <v>514</v>
      </c>
      <c r="F46" s="13">
        <v>608</v>
      </c>
      <c r="G46" s="13">
        <v>0</v>
      </c>
      <c r="K46" s="22">
        <v>42</v>
      </c>
      <c r="L46" s="98" t="s">
        <v>40</v>
      </c>
      <c r="M46" s="98" t="s">
        <v>163</v>
      </c>
      <c r="N46" s="98" t="s">
        <v>36</v>
      </c>
      <c r="O46" s="98" t="s">
        <v>38</v>
      </c>
      <c r="P46" s="98" t="s">
        <v>163</v>
      </c>
      <c r="Q46" s="98" t="s">
        <v>34</v>
      </c>
      <c r="R46" s="37" t="s">
        <v>35</v>
      </c>
      <c r="T46" s="97">
        <f t="shared" si="11"/>
        <v>11</v>
      </c>
      <c r="U46" s="97">
        <f t="shared" si="12"/>
        <v>7</v>
      </c>
      <c r="V46" s="97">
        <f t="shared" si="13"/>
        <v>5</v>
      </c>
      <c r="W46" s="97">
        <f t="shared" si="14"/>
        <v>9</v>
      </c>
      <c r="X46" s="97">
        <f t="shared" si="15"/>
        <v>7</v>
      </c>
      <c r="Y46" s="97">
        <f t="shared" si="16"/>
        <v>3</v>
      </c>
      <c r="Z46" s="97">
        <f t="shared" si="17"/>
        <v>4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90">
        <v>5</v>
      </c>
      <c r="AL46" s="182">
        <v>40</v>
      </c>
      <c r="AM46" s="182">
        <v>20</v>
      </c>
      <c r="AN46" s="182">
        <v>1</v>
      </c>
      <c r="AO46" s="182">
        <v>1</v>
      </c>
      <c r="AP46" s="182">
        <v>1</v>
      </c>
      <c r="AQ46" s="92">
        <v>10</v>
      </c>
      <c r="AR46" s="79">
        <v>11</v>
      </c>
      <c r="AT46" s="7" t="s">
        <v>116</v>
      </c>
      <c r="AU46" s="13">
        <v>0</v>
      </c>
      <c r="AV46" s="13">
        <v>292</v>
      </c>
      <c r="AW46" s="13">
        <v>305</v>
      </c>
      <c r="AX46" s="13">
        <v>514</v>
      </c>
      <c r="AY46" s="13">
        <v>608</v>
      </c>
      <c r="AZ46" s="13">
        <v>0</v>
      </c>
      <c r="BD46" s="22">
        <v>42</v>
      </c>
      <c r="BE46" s="98" t="s">
        <v>39</v>
      </c>
      <c r="BF46" s="98" t="s">
        <v>34</v>
      </c>
      <c r="BG46" s="98" t="s">
        <v>177</v>
      </c>
      <c r="BH46" s="98" t="s">
        <v>41</v>
      </c>
      <c r="BI46" s="98" t="s">
        <v>34</v>
      </c>
      <c r="BJ46" s="98" t="s">
        <v>26</v>
      </c>
      <c r="BK46" s="37" t="s">
        <v>78</v>
      </c>
      <c r="BM46" s="97">
        <f t="shared" si="25"/>
        <v>10</v>
      </c>
      <c r="BN46" s="97">
        <f t="shared" si="26"/>
        <v>3</v>
      </c>
      <c r="BO46" s="97">
        <f t="shared" si="27"/>
        <v>18</v>
      </c>
      <c r="BP46" s="97">
        <f t="shared" si="28"/>
        <v>12</v>
      </c>
      <c r="BQ46" s="97">
        <f t="shared" si="29"/>
        <v>3</v>
      </c>
      <c r="BR46" s="97">
        <f t="shared" si="30"/>
        <v>8</v>
      </c>
      <c r="BS46" s="97">
        <f t="shared" si="31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74" t="s">
        <v>30</v>
      </c>
      <c r="CD46" s="75">
        <v>70</v>
      </c>
      <c r="CE46" s="76">
        <v>1</v>
      </c>
      <c r="CF46" s="76">
        <v>1</v>
      </c>
      <c r="CG46" s="76">
        <v>1</v>
      </c>
      <c r="CH46" s="76">
        <v>1</v>
      </c>
      <c r="CI46" s="76">
        <v>1</v>
      </c>
      <c r="CJ46" s="77">
        <v>1</v>
      </c>
      <c r="CK46" s="79">
        <v>11</v>
      </c>
    </row>
    <row r="47" spans="1:89" ht="16.5" customHeight="1">
      <c r="A47" s="7" t="s">
        <v>117</v>
      </c>
      <c r="B47" s="13">
        <v>1</v>
      </c>
      <c r="C47" s="13">
        <v>470</v>
      </c>
      <c r="D47" s="13">
        <v>640</v>
      </c>
      <c r="E47" s="13">
        <v>360</v>
      </c>
      <c r="F47" s="13">
        <v>290</v>
      </c>
      <c r="G47" s="13">
        <v>1</v>
      </c>
      <c r="K47" s="21">
        <v>43</v>
      </c>
      <c r="L47" s="98" t="s">
        <v>35</v>
      </c>
      <c r="M47" s="98" t="s">
        <v>39</v>
      </c>
      <c r="N47" s="98" t="s">
        <v>207</v>
      </c>
      <c r="O47" s="98" t="s">
        <v>78</v>
      </c>
      <c r="P47" s="98" t="s">
        <v>163</v>
      </c>
      <c r="Q47" s="98" t="s">
        <v>34</v>
      </c>
      <c r="R47" s="37" t="s">
        <v>35</v>
      </c>
      <c r="T47" s="97">
        <f t="shared" si="11"/>
        <v>4</v>
      </c>
      <c r="U47" s="97">
        <f t="shared" si="12"/>
        <v>10</v>
      </c>
      <c r="V47" s="97">
        <f t="shared" si="13"/>
        <v>16</v>
      </c>
      <c r="W47" s="97">
        <f t="shared" si="14"/>
        <v>6</v>
      </c>
      <c r="X47" s="97">
        <f t="shared" si="15"/>
        <v>7</v>
      </c>
      <c r="Y47" s="97">
        <f t="shared" si="16"/>
        <v>3</v>
      </c>
      <c r="Z47" s="97">
        <f t="shared" si="17"/>
        <v>4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74" t="s">
        <v>82</v>
      </c>
      <c r="AK47" s="90">
        <v>0</v>
      </c>
      <c r="AL47" s="182">
        <v>3</v>
      </c>
      <c r="AM47" s="182">
        <v>3</v>
      </c>
      <c r="AN47" s="182">
        <v>3</v>
      </c>
      <c r="AO47" s="182">
        <v>3</v>
      </c>
      <c r="AP47" s="182">
        <v>0</v>
      </c>
      <c r="AQ47" s="92">
        <v>0</v>
      </c>
      <c r="AR47" s="78">
        <v>12</v>
      </c>
      <c r="AT47" s="7" t="s">
        <v>117</v>
      </c>
      <c r="AU47" s="13">
        <v>1</v>
      </c>
      <c r="AV47" s="13">
        <v>470</v>
      </c>
      <c r="AW47" s="13">
        <v>640</v>
      </c>
      <c r="AX47" s="13">
        <v>360</v>
      </c>
      <c r="AY47" s="13">
        <v>290</v>
      </c>
      <c r="AZ47" s="13">
        <v>1</v>
      </c>
      <c r="BD47" s="21">
        <v>43</v>
      </c>
      <c r="BE47" s="98" t="s">
        <v>41</v>
      </c>
      <c r="BF47" s="98" t="s">
        <v>34</v>
      </c>
      <c r="BG47" s="98" t="s">
        <v>26</v>
      </c>
      <c r="BH47" s="98" t="s">
        <v>39</v>
      </c>
      <c r="BI47" s="98" t="s">
        <v>163</v>
      </c>
      <c r="BJ47" s="98" t="s">
        <v>26</v>
      </c>
      <c r="BK47" s="37" t="s">
        <v>34</v>
      </c>
      <c r="BM47" s="97">
        <f t="shared" si="25"/>
        <v>12</v>
      </c>
      <c r="BN47" s="97">
        <f t="shared" si="26"/>
        <v>3</v>
      </c>
      <c r="BO47" s="97">
        <f t="shared" si="27"/>
        <v>8</v>
      </c>
      <c r="BP47" s="97">
        <f t="shared" si="28"/>
        <v>10</v>
      </c>
      <c r="BQ47" s="97">
        <f t="shared" si="29"/>
        <v>7</v>
      </c>
      <c r="BR47" s="97">
        <f t="shared" si="30"/>
        <v>8</v>
      </c>
      <c r="BS47" s="97">
        <f t="shared" si="31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74" t="s">
        <v>82</v>
      </c>
      <c r="CD47" s="75">
        <v>0</v>
      </c>
      <c r="CE47" s="76">
        <v>0</v>
      </c>
      <c r="CF47" s="76">
        <v>0</v>
      </c>
      <c r="CG47" s="76">
        <v>0</v>
      </c>
      <c r="CH47" s="76">
        <v>0</v>
      </c>
      <c r="CI47" s="76">
        <v>0</v>
      </c>
      <c r="CJ47" s="77">
        <v>0</v>
      </c>
      <c r="CK47" s="78">
        <v>12</v>
      </c>
    </row>
    <row r="48" spans="1:89" ht="16.5" customHeight="1" thickBot="1">
      <c r="A48" s="96"/>
      <c r="B48" s="96"/>
      <c r="C48" s="96"/>
      <c r="D48" s="96"/>
      <c r="E48" s="96"/>
      <c r="F48" s="96"/>
      <c r="K48" s="22">
        <v>44</v>
      </c>
      <c r="L48" s="98" t="s">
        <v>35</v>
      </c>
      <c r="M48" s="98" t="s">
        <v>205</v>
      </c>
      <c r="N48" s="98" t="s">
        <v>190</v>
      </c>
      <c r="O48" s="98" t="s">
        <v>26</v>
      </c>
      <c r="P48" s="98" t="s">
        <v>163</v>
      </c>
      <c r="Q48" s="98" t="s">
        <v>39</v>
      </c>
      <c r="R48" s="37" t="s">
        <v>35</v>
      </c>
      <c r="T48" s="97">
        <f t="shared" si="11"/>
        <v>4</v>
      </c>
      <c r="U48" s="97">
        <f t="shared" si="12"/>
        <v>21</v>
      </c>
      <c r="V48" s="97">
        <f t="shared" si="13"/>
        <v>24</v>
      </c>
      <c r="W48" s="97">
        <f t="shared" si="14"/>
        <v>8</v>
      </c>
      <c r="X48" s="97">
        <f t="shared" si="15"/>
        <v>7</v>
      </c>
      <c r="Y48" s="97">
        <f t="shared" si="16"/>
        <v>10</v>
      </c>
      <c r="Z48" s="97">
        <f t="shared" si="17"/>
        <v>4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90">
        <v>0</v>
      </c>
      <c r="AL48" s="182">
        <v>4</v>
      </c>
      <c r="AM48" s="182">
        <v>4</v>
      </c>
      <c r="AN48" s="182">
        <v>2</v>
      </c>
      <c r="AO48" s="182">
        <v>2</v>
      </c>
      <c r="AP48" s="182">
        <v>0</v>
      </c>
      <c r="AQ48" s="92">
        <v>0</v>
      </c>
      <c r="AR48" s="78">
        <v>13</v>
      </c>
      <c r="AT48" s="96"/>
      <c r="AU48" s="96"/>
      <c r="AV48" s="96"/>
      <c r="AW48" s="96"/>
      <c r="AX48" s="96"/>
      <c r="AY48" s="96"/>
      <c r="AZ48" s="96"/>
      <c r="BD48" s="22">
        <v>44</v>
      </c>
      <c r="BE48" s="98" t="s">
        <v>38</v>
      </c>
      <c r="BF48" s="98" t="s">
        <v>207</v>
      </c>
      <c r="BG48" s="98" t="s">
        <v>38</v>
      </c>
      <c r="BH48" s="98" t="s">
        <v>39</v>
      </c>
      <c r="BI48" s="98" t="s">
        <v>163</v>
      </c>
      <c r="BJ48" s="98" t="s">
        <v>38</v>
      </c>
      <c r="BK48" s="37" t="s">
        <v>34</v>
      </c>
      <c r="BM48" s="97">
        <f t="shared" si="25"/>
        <v>9</v>
      </c>
      <c r="BN48" s="97">
        <f t="shared" si="26"/>
        <v>16</v>
      </c>
      <c r="BO48" s="97">
        <f t="shared" si="27"/>
        <v>9</v>
      </c>
      <c r="BP48" s="97">
        <f t="shared" si="28"/>
        <v>10</v>
      </c>
      <c r="BQ48" s="97">
        <f t="shared" si="29"/>
        <v>7</v>
      </c>
      <c r="BR48" s="97">
        <f t="shared" si="30"/>
        <v>9</v>
      </c>
      <c r="BS48" s="97">
        <f t="shared" si="31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74" t="s">
        <v>83</v>
      </c>
      <c r="CD48" s="75">
        <v>0</v>
      </c>
      <c r="CE48" s="76">
        <v>1</v>
      </c>
      <c r="CF48" s="76">
        <v>1</v>
      </c>
      <c r="CG48" s="76">
        <v>1</v>
      </c>
      <c r="CH48" s="76">
        <v>1</v>
      </c>
      <c r="CI48" s="76">
        <v>0</v>
      </c>
      <c r="CJ48" s="77">
        <v>0</v>
      </c>
      <c r="CK48" s="78">
        <v>13</v>
      </c>
    </row>
    <row r="49" spans="1:89" ht="16.5" customHeight="1" thickBot="1">
      <c r="A49" s="175" t="s">
        <v>194</v>
      </c>
      <c r="B49" s="154" t="s">
        <v>183</v>
      </c>
      <c r="K49" s="21">
        <v>45</v>
      </c>
      <c r="L49" s="98" t="s">
        <v>163</v>
      </c>
      <c r="M49" s="98" t="s">
        <v>177</v>
      </c>
      <c r="N49" s="98" t="s">
        <v>34</v>
      </c>
      <c r="O49" s="98" t="s">
        <v>41</v>
      </c>
      <c r="P49" s="98" t="s">
        <v>36</v>
      </c>
      <c r="Q49" s="98" t="s">
        <v>39</v>
      </c>
      <c r="R49" s="37" t="s">
        <v>163</v>
      </c>
      <c r="T49" s="97">
        <f t="shared" si="11"/>
        <v>7</v>
      </c>
      <c r="U49" s="97">
        <f t="shared" si="12"/>
        <v>18</v>
      </c>
      <c r="V49" s="97">
        <f t="shared" si="13"/>
        <v>3</v>
      </c>
      <c r="W49" s="97">
        <f t="shared" si="14"/>
        <v>12</v>
      </c>
      <c r="X49" s="97">
        <f t="shared" si="15"/>
        <v>5</v>
      </c>
      <c r="Y49" s="97">
        <f t="shared" si="16"/>
        <v>10</v>
      </c>
      <c r="Z49" s="97">
        <f t="shared" si="17"/>
        <v>7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74" t="s">
        <v>84</v>
      </c>
      <c r="AK49" s="90">
        <v>0</v>
      </c>
      <c r="AL49" s="182">
        <v>5</v>
      </c>
      <c r="AM49" s="182">
        <v>5</v>
      </c>
      <c r="AN49" s="182">
        <v>2</v>
      </c>
      <c r="AO49" s="182">
        <v>2</v>
      </c>
      <c r="AP49" s="182">
        <v>0</v>
      </c>
      <c r="AQ49" s="92">
        <v>0</v>
      </c>
      <c r="AR49" s="78">
        <v>14</v>
      </c>
      <c r="AT49" s="149" t="s">
        <v>182</v>
      </c>
      <c r="AU49" s="154" t="s">
        <v>183</v>
      </c>
      <c r="AV49" s="96"/>
      <c r="AW49" s="96"/>
      <c r="AX49" s="96"/>
      <c r="AY49" s="96"/>
      <c r="AZ49" s="96"/>
      <c r="BD49" s="21">
        <v>45</v>
      </c>
      <c r="BE49" s="98" t="s">
        <v>38</v>
      </c>
      <c r="BF49" s="98" t="s">
        <v>39</v>
      </c>
      <c r="BG49" s="98" t="s">
        <v>203</v>
      </c>
      <c r="BH49" s="98" t="s">
        <v>34</v>
      </c>
      <c r="BI49" s="98" t="s">
        <v>40</v>
      </c>
      <c r="BJ49" s="98" t="s">
        <v>38</v>
      </c>
      <c r="BK49" s="37" t="s">
        <v>36</v>
      </c>
      <c r="BM49" s="97">
        <f t="shared" si="25"/>
        <v>9</v>
      </c>
      <c r="BN49" s="97">
        <f t="shared" si="26"/>
        <v>10</v>
      </c>
      <c r="BO49" s="97">
        <f t="shared" si="27"/>
        <v>20</v>
      </c>
      <c r="BP49" s="97">
        <f t="shared" si="28"/>
        <v>3</v>
      </c>
      <c r="BQ49" s="97">
        <f t="shared" si="29"/>
        <v>11</v>
      </c>
      <c r="BR49" s="97">
        <f t="shared" si="30"/>
        <v>9</v>
      </c>
      <c r="BS49" s="97">
        <f t="shared" si="31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74" t="s">
        <v>84</v>
      </c>
      <c r="CD49" s="75">
        <v>0</v>
      </c>
      <c r="CE49" s="76">
        <v>1</v>
      </c>
      <c r="CF49" s="76">
        <v>1</v>
      </c>
      <c r="CG49" s="76">
        <v>1</v>
      </c>
      <c r="CH49" s="76">
        <v>1</v>
      </c>
      <c r="CI49" s="76">
        <v>0</v>
      </c>
      <c r="CJ49" s="77">
        <v>0</v>
      </c>
      <c r="CK49" s="78">
        <v>14</v>
      </c>
    </row>
    <row r="50" spans="1:89" ht="16.5" customHeight="1">
      <c r="A50" s="151" t="s">
        <v>81</v>
      </c>
      <c r="B50" s="152">
        <v>0</v>
      </c>
      <c r="K50" s="22">
        <v>46</v>
      </c>
      <c r="L50" s="98" t="s">
        <v>26</v>
      </c>
      <c r="M50" s="98" t="s">
        <v>163</v>
      </c>
      <c r="N50" s="98" t="s">
        <v>163</v>
      </c>
      <c r="O50" s="98" t="s">
        <v>36</v>
      </c>
      <c r="P50" s="98" t="s">
        <v>39</v>
      </c>
      <c r="Q50" s="98" t="s">
        <v>39</v>
      </c>
      <c r="R50" s="37" t="s">
        <v>78</v>
      </c>
      <c r="T50" s="97">
        <f t="shared" si="11"/>
        <v>8</v>
      </c>
      <c r="U50" s="97">
        <f t="shared" si="12"/>
        <v>7</v>
      </c>
      <c r="V50" s="97">
        <f t="shared" si="13"/>
        <v>7</v>
      </c>
      <c r="W50" s="97">
        <f t="shared" si="14"/>
        <v>5</v>
      </c>
      <c r="X50" s="97">
        <f t="shared" si="15"/>
        <v>10</v>
      </c>
      <c r="Y50" s="97">
        <f t="shared" si="16"/>
        <v>10</v>
      </c>
      <c r="Z50" s="97">
        <f t="shared" si="17"/>
        <v>6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90">
        <v>0</v>
      </c>
      <c r="AL50" s="182">
        <v>5</v>
      </c>
      <c r="AM50" s="182">
        <v>5</v>
      </c>
      <c r="AN50" s="182">
        <v>5</v>
      </c>
      <c r="AO50" s="182">
        <v>8</v>
      </c>
      <c r="AP50" s="182">
        <v>0</v>
      </c>
      <c r="AQ50" s="92">
        <v>0</v>
      </c>
      <c r="AR50" s="78">
        <v>15</v>
      </c>
      <c r="AT50" s="151" t="s">
        <v>81</v>
      </c>
      <c r="AU50" s="152">
        <v>0</v>
      </c>
      <c r="BD50" s="22">
        <v>46</v>
      </c>
      <c r="BE50" s="98" t="s">
        <v>40</v>
      </c>
      <c r="BF50" s="98" t="s">
        <v>26</v>
      </c>
      <c r="BG50" s="98" t="s">
        <v>34</v>
      </c>
      <c r="BH50" s="98" t="s">
        <v>34</v>
      </c>
      <c r="BI50" s="98" t="s">
        <v>40</v>
      </c>
      <c r="BJ50" s="98" t="s">
        <v>78</v>
      </c>
      <c r="BK50" s="37" t="s">
        <v>36</v>
      </c>
      <c r="BM50" s="97">
        <f t="shared" si="25"/>
        <v>11</v>
      </c>
      <c r="BN50" s="97">
        <f t="shared" si="26"/>
        <v>8</v>
      </c>
      <c r="BO50" s="97">
        <f t="shared" si="27"/>
        <v>3</v>
      </c>
      <c r="BP50" s="97">
        <f t="shared" si="28"/>
        <v>3</v>
      </c>
      <c r="BQ50" s="97">
        <f t="shared" si="29"/>
        <v>11</v>
      </c>
      <c r="BR50" s="97">
        <f t="shared" si="30"/>
        <v>6</v>
      </c>
      <c r="BS50" s="97">
        <f t="shared" si="31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74" t="s">
        <v>85</v>
      </c>
      <c r="CD50" s="75">
        <v>0</v>
      </c>
      <c r="CE50" s="76">
        <v>1</v>
      </c>
      <c r="CF50" s="76">
        <v>1</v>
      </c>
      <c r="CG50" s="76">
        <v>1</v>
      </c>
      <c r="CH50" s="76">
        <v>1</v>
      </c>
      <c r="CI50" s="76">
        <v>0</v>
      </c>
      <c r="CJ50" s="77">
        <v>0</v>
      </c>
      <c r="CK50" s="78">
        <v>15</v>
      </c>
    </row>
    <row r="51" spans="1:89" ht="16.5" customHeight="1">
      <c r="A51" s="150" t="s">
        <v>20</v>
      </c>
      <c r="B51" s="153">
        <v>0</v>
      </c>
      <c r="K51" s="21">
        <v>47</v>
      </c>
      <c r="L51" s="98" t="s">
        <v>78</v>
      </c>
      <c r="M51" s="98" t="s">
        <v>26</v>
      </c>
      <c r="N51" s="98" t="s">
        <v>175</v>
      </c>
      <c r="O51" s="98" t="s">
        <v>36</v>
      </c>
      <c r="P51" s="98" t="s">
        <v>36</v>
      </c>
      <c r="Q51" s="98" t="s">
        <v>78</v>
      </c>
      <c r="R51" s="37" t="s">
        <v>34</v>
      </c>
      <c r="T51" s="97">
        <f t="shared" si="11"/>
        <v>6</v>
      </c>
      <c r="U51" s="97">
        <f t="shared" si="12"/>
        <v>8</v>
      </c>
      <c r="V51" s="97">
        <f t="shared" si="13"/>
        <v>17</v>
      </c>
      <c r="W51" s="97">
        <f t="shared" si="14"/>
        <v>5</v>
      </c>
      <c r="X51" s="97">
        <f t="shared" si="15"/>
        <v>5</v>
      </c>
      <c r="Y51" s="97">
        <f t="shared" si="16"/>
        <v>6</v>
      </c>
      <c r="Z51" s="97">
        <f t="shared" si="17"/>
        <v>3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90">
        <v>0</v>
      </c>
      <c r="AL51" s="182">
        <v>15</v>
      </c>
      <c r="AM51" s="182">
        <v>15</v>
      </c>
      <c r="AN51" s="182">
        <v>10</v>
      </c>
      <c r="AO51" s="182">
        <v>15</v>
      </c>
      <c r="AP51" s="182">
        <v>0</v>
      </c>
      <c r="AQ51" s="92">
        <v>0</v>
      </c>
      <c r="AR51" s="78">
        <v>16</v>
      </c>
      <c r="AT51" s="150" t="s">
        <v>20</v>
      </c>
      <c r="AU51" s="153">
        <v>0</v>
      </c>
      <c r="BD51" s="21">
        <v>47</v>
      </c>
      <c r="BE51" s="98" t="s">
        <v>39</v>
      </c>
      <c r="BF51" s="98" t="s">
        <v>39</v>
      </c>
      <c r="BG51" s="98" t="s">
        <v>26</v>
      </c>
      <c r="BH51" s="98" t="s">
        <v>34</v>
      </c>
      <c r="BI51" s="98" t="s">
        <v>163</v>
      </c>
      <c r="BJ51" s="98" t="s">
        <v>78</v>
      </c>
      <c r="BK51" s="37" t="s">
        <v>36</v>
      </c>
      <c r="BM51" s="97">
        <f t="shared" si="25"/>
        <v>10</v>
      </c>
      <c r="BN51" s="97">
        <f t="shared" si="26"/>
        <v>10</v>
      </c>
      <c r="BO51" s="97">
        <f t="shared" si="27"/>
        <v>8</v>
      </c>
      <c r="BP51" s="97">
        <f t="shared" si="28"/>
        <v>3</v>
      </c>
      <c r="BQ51" s="97">
        <f t="shared" si="29"/>
        <v>7</v>
      </c>
      <c r="BR51" s="97">
        <f t="shared" si="30"/>
        <v>6</v>
      </c>
      <c r="BS51" s="97">
        <f t="shared" si="31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74" t="s">
        <v>86</v>
      </c>
      <c r="CD51" s="75">
        <v>0</v>
      </c>
      <c r="CE51" s="76">
        <v>1</v>
      </c>
      <c r="CF51" s="76">
        <v>1</v>
      </c>
      <c r="CG51" s="76">
        <v>1</v>
      </c>
      <c r="CH51" s="76">
        <v>2</v>
      </c>
      <c r="CI51" s="76">
        <v>0</v>
      </c>
      <c r="CJ51" s="77">
        <v>0</v>
      </c>
      <c r="CK51" s="78">
        <v>16</v>
      </c>
    </row>
    <row r="52" spans="1:89" ht="16.5" customHeight="1">
      <c r="A52" s="150" t="s">
        <v>21</v>
      </c>
      <c r="B52" s="153">
        <v>2</v>
      </c>
      <c r="K52" s="22">
        <v>48</v>
      </c>
      <c r="L52" s="98" t="s">
        <v>41</v>
      </c>
      <c r="M52" s="98" t="s">
        <v>41</v>
      </c>
      <c r="N52" s="98" t="s">
        <v>177</v>
      </c>
      <c r="O52" s="98" t="s">
        <v>41</v>
      </c>
      <c r="P52" s="98" t="s">
        <v>35</v>
      </c>
      <c r="Q52" s="98" t="s">
        <v>39</v>
      </c>
      <c r="R52" s="37" t="s">
        <v>41</v>
      </c>
      <c r="T52" s="97">
        <f t="shared" si="11"/>
        <v>12</v>
      </c>
      <c r="U52" s="97">
        <f t="shared" si="12"/>
        <v>12</v>
      </c>
      <c r="V52" s="97">
        <f t="shared" si="13"/>
        <v>18</v>
      </c>
      <c r="W52" s="97">
        <f t="shared" si="14"/>
        <v>12</v>
      </c>
      <c r="X52" s="97">
        <f t="shared" si="15"/>
        <v>4</v>
      </c>
      <c r="Y52" s="97">
        <f t="shared" si="16"/>
        <v>10</v>
      </c>
      <c r="Z52" s="97">
        <f t="shared" si="17"/>
        <v>12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74" t="s">
        <v>176</v>
      </c>
      <c r="AK52" s="90">
        <v>0</v>
      </c>
      <c r="AL52" s="182">
        <v>10</v>
      </c>
      <c r="AM52" s="182">
        <v>15</v>
      </c>
      <c r="AN52" s="182">
        <v>15</v>
      </c>
      <c r="AO52" s="182">
        <v>10</v>
      </c>
      <c r="AP52" s="182">
        <v>0</v>
      </c>
      <c r="AQ52" s="92">
        <v>0</v>
      </c>
      <c r="AR52" s="78">
        <v>17</v>
      </c>
      <c r="AT52" s="150" t="s">
        <v>21</v>
      </c>
      <c r="AU52" s="153">
        <v>2</v>
      </c>
      <c r="BD52" s="22">
        <v>48</v>
      </c>
      <c r="BE52" s="98" t="s">
        <v>41</v>
      </c>
      <c r="BF52" s="98" t="s">
        <v>39</v>
      </c>
      <c r="BG52" s="98" t="s">
        <v>26</v>
      </c>
      <c r="BH52" s="98" t="s">
        <v>78</v>
      </c>
      <c r="BI52" s="98" t="s">
        <v>163</v>
      </c>
      <c r="BJ52" s="98" t="s">
        <v>39</v>
      </c>
      <c r="BK52" s="37" t="s">
        <v>35</v>
      </c>
      <c r="BM52" s="97">
        <f t="shared" si="25"/>
        <v>12</v>
      </c>
      <c r="BN52" s="97">
        <f t="shared" si="26"/>
        <v>10</v>
      </c>
      <c r="BO52" s="97">
        <f t="shared" si="27"/>
        <v>8</v>
      </c>
      <c r="BP52" s="97">
        <f t="shared" si="28"/>
        <v>6</v>
      </c>
      <c r="BQ52" s="97">
        <f t="shared" si="29"/>
        <v>7</v>
      </c>
      <c r="BR52" s="97">
        <f t="shared" si="30"/>
        <v>10</v>
      </c>
      <c r="BS52" s="97">
        <f t="shared" si="31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74" t="s">
        <v>176</v>
      </c>
      <c r="CD52" s="75">
        <v>0</v>
      </c>
      <c r="CE52" s="76">
        <v>1</v>
      </c>
      <c r="CF52" s="76">
        <v>1</v>
      </c>
      <c r="CG52" s="76">
        <v>1</v>
      </c>
      <c r="CH52" s="76">
        <v>1</v>
      </c>
      <c r="CI52" s="76">
        <v>0</v>
      </c>
      <c r="CJ52" s="77">
        <v>0</v>
      </c>
      <c r="CK52" s="78">
        <v>17</v>
      </c>
    </row>
    <row r="53" spans="1:89" ht="16.5" customHeight="1">
      <c r="A53" s="150" t="s">
        <v>22</v>
      </c>
      <c r="B53" s="153">
        <v>3</v>
      </c>
      <c r="K53" s="21">
        <v>49</v>
      </c>
      <c r="L53" s="98" t="s">
        <v>35</v>
      </c>
      <c r="M53" s="98" t="s">
        <v>41</v>
      </c>
      <c r="N53" s="98" t="s">
        <v>163</v>
      </c>
      <c r="O53" s="98" t="s">
        <v>26</v>
      </c>
      <c r="P53" s="98" t="s">
        <v>35</v>
      </c>
      <c r="Q53" s="98" t="s">
        <v>39</v>
      </c>
      <c r="R53" s="37" t="s">
        <v>41</v>
      </c>
      <c r="T53" s="97">
        <f t="shared" si="11"/>
        <v>4</v>
      </c>
      <c r="U53" s="97">
        <f t="shared" si="12"/>
        <v>12</v>
      </c>
      <c r="V53" s="97">
        <f t="shared" si="13"/>
        <v>7</v>
      </c>
      <c r="W53" s="97">
        <f t="shared" si="14"/>
        <v>8</v>
      </c>
      <c r="X53" s="97">
        <f t="shared" si="15"/>
        <v>4</v>
      </c>
      <c r="Y53" s="97">
        <f t="shared" si="16"/>
        <v>10</v>
      </c>
      <c r="Z53" s="97">
        <f t="shared" si="17"/>
        <v>12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90">
        <v>0</v>
      </c>
      <c r="AL53" s="182">
        <v>12</v>
      </c>
      <c r="AM53" s="182">
        <v>12</v>
      </c>
      <c r="AN53" s="182">
        <v>4</v>
      </c>
      <c r="AO53" s="182">
        <v>6</v>
      </c>
      <c r="AP53" s="182">
        <v>0</v>
      </c>
      <c r="AQ53" s="92">
        <v>0</v>
      </c>
      <c r="AR53" s="78">
        <v>17</v>
      </c>
      <c r="AT53" s="150" t="s">
        <v>22</v>
      </c>
      <c r="AU53" s="153">
        <v>3</v>
      </c>
      <c r="BD53" s="21">
        <v>49</v>
      </c>
      <c r="BE53" s="98" t="s">
        <v>40</v>
      </c>
      <c r="BF53" s="98" t="s">
        <v>78</v>
      </c>
      <c r="BG53" s="98" t="s">
        <v>40</v>
      </c>
      <c r="BH53" s="98" t="s">
        <v>78</v>
      </c>
      <c r="BI53" s="98" t="s">
        <v>39</v>
      </c>
      <c r="BJ53" s="98" t="s">
        <v>39</v>
      </c>
      <c r="BK53" s="37" t="s">
        <v>35</v>
      </c>
      <c r="BM53" s="97">
        <f t="shared" si="25"/>
        <v>11</v>
      </c>
      <c r="BN53" s="97">
        <f t="shared" si="26"/>
        <v>6</v>
      </c>
      <c r="BO53" s="97">
        <f t="shared" si="27"/>
        <v>11</v>
      </c>
      <c r="BP53" s="97">
        <f t="shared" si="28"/>
        <v>6</v>
      </c>
      <c r="BQ53" s="97">
        <f t="shared" si="29"/>
        <v>10</v>
      </c>
      <c r="BR53" s="97">
        <f t="shared" si="30"/>
        <v>10</v>
      </c>
      <c r="BS53" s="97">
        <f t="shared" si="31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74" t="s">
        <v>87</v>
      </c>
      <c r="CD53" s="75">
        <v>0</v>
      </c>
      <c r="CE53" s="76">
        <v>1</v>
      </c>
      <c r="CF53" s="76">
        <v>1</v>
      </c>
      <c r="CG53" s="76">
        <v>1</v>
      </c>
      <c r="CH53" s="76">
        <v>1</v>
      </c>
      <c r="CI53" s="76">
        <v>0</v>
      </c>
      <c r="CJ53" s="77">
        <v>0</v>
      </c>
      <c r="CK53" s="78">
        <v>17</v>
      </c>
    </row>
    <row r="54" spans="1:89" ht="16.5" customHeight="1">
      <c r="A54" s="150" t="s">
        <v>18</v>
      </c>
      <c r="B54" s="153">
        <v>5</v>
      </c>
      <c r="K54" s="22">
        <v>50</v>
      </c>
      <c r="L54" s="98" t="s">
        <v>35</v>
      </c>
      <c r="M54" s="98" t="s">
        <v>39</v>
      </c>
      <c r="N54" s="98" t="s">
        <v>40</v>
      </c>
      <c r="O54" s="98" t="s">
        <v>78</v>
      </c>
      <c r="P54" s="98" t="s">
        <v>202</v>
      </c>
      <c r="Q54" s="98" t="s">
        <v>78</v>
      </c>
      <c r="R54" s="37" t="s">
        <v>41</v>
      </c>
      <c r="T54" s="97">
        <f t="shared" si="11"/>
        <v>4</v>
      </c>
      <c r="U54" s="97">
        <f t="shared" si="12"/>
        <v>10</v>
      </c>
      <c r="V54" s="97">
        <f t="shared" si="13"/>
        <v>11</v>
      </c>
      <c r="W54" s="97">
        <f t="shared" si="14"/>
        <v>6</v>
      </c>
      <c r="X54" s="97">
        <f t="shared" si="15"/>
        <v>23</v>
      </c>
      <c r="Y54" s="97">
        <f t="shared" si="16"/>
        <v>6</v>
      </c>
      <c r="Z54" s="97">
        <f t="shared" si="17"/>
        <v>12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90">
        <v>0</v>
      </c>
      <c r="AL54" s="182">
        <v>8</v>
      </c>
      <c r="AM54" s="182">
        <v>12</v>
      </c>
      <c r="AN54" s="182">
        <v>4</v>
      </c>
      <c r="AO54" s="182">
        <v>4</v>
      </c>
      <c r="AP54" s="182">
        <v>0</v>
      </c>
      <c r="AQ54" s="92">
        <v>0</v>
      </c>
      <c r="AR54" s="78">
        <v>18</v>
      </c>
      <c r="AT54" s="150" t="s">
        <v>18</v>
      </c>
      <c r="AU54" s="153">
        <v>5</v>
      </c>
      <c r="BD54" s="22">
        <v>50</v>
      </c>
      <c r="BE54" s="98" t="s">
        <v>163</v>
      </c>
      <c r="BF54" s="98" t="s">
        <v>78</v>
      </c>
      <c r="BG54" s="98" t="s">
        <v>40</v>
      </c>
      <c r="BH54" s="98" t="s">
        <v>35</v>
      </c>
      <c r="BI54" s="98" t="s">
        <v>34</v>
      </c>
      <c r="BJ54" s="98" t="s">
        <v>41</v>
      </c>
      <c r="BK54" s="37" t="s">
        <v>35</v>
      </c>
      <c r="BM54" s="97">
        <f t="shared" si="25"/>
        <v>7</v>
      </c>
      <c r="BN54" s="97">
        <f t="shared" si="26"/>
        <v>6</v>
      </c>
      <c r="BO54" s="97">
        <f t="shared" si="27"/>
        <v>11</v>
      </c>
      <c r="BP54" s="97">
        <f t="shared" si="28"/>
        <v>4</v>
      </c>
      <c r="BQ54" s="97">
        <f t="shared" si="29"/>
        <v>3</v>
      </c>
      <c r="BR54" s="97">
        <f t="shared" si="30"/>
        <v>12</v>
      </c>
      <c r="BS54" s="97">
        <f t="shared" si="31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74" t="s">
        <v>88</v>
      </c>
      <c r="CD54" s="75">
        <v>0</v>
      </c>
      <c r="CE54" s="76">
        <v>1</v>
      </c>
      <c r="CF54" s="76">
        <v>1</v>
      </c>
      <c r="CG54" s="76">
        <v>1</v>
      </c>
      <c r="CH54" s="76">
        <v>1</v>
      </c>
      <c r="CI54" s="76">
        <v>0</v>
      </c>
      <c r="CJ54" s="77">
        <v>0</v>
      </c>
      <c r="CK54" s="78">
        <v>18</v>
      </c>
    </row>
    <row r="55" spans="1:89" ht="16.5" customHeight="1">
      <c r="A55" s="150" t="s">
        <v>19</v>
      </c>
      <c r="B55" s="153">
        <v>8</v>
      </c>
      <c r="K55" s="21">
        <v>51</v>
      </c>
      <c r="L55" s="98" t="s">
        <v>34</v>
      </c>
      <c r="M55" s="98" t="s">
        <v>26</v>
      </c>
      <c r="N55" s="98" t="s">
        <v>34</v>
      </c>
      <c r="O55" s="98" t="s">
        <v>34</v>
      </c>
      <c r="P55" s="98" t="s">
        <v>41</v>
      </c>
      <c r="Q55" s="98" t="s">
        <v>78</v>
      </c>
      <c r="R55" s="37" t="s">
        <v>163</v>
      </c>
      <c r="T55" s="97">
        <f t="shared" si="11"/>
        <v>3</v>
      </c>
      <c r="U55" s="97">
        <f t="shared" si="12"/>
        <v>8</v>
      </c>
      <c r="V55" s="97">
        <f t="shared" si="13"/>
        <v>3</v>
      </c>
      <c r="W55" s="97">
        <f t="shared" si="14"/>
        <v>3</v>
      </c>
      <c r="X55" s="97">
        <f t="shared" si="15"/>
        <v>12</v>
      </c>
      <c r="Y55" s="97">
        <f t="shared" si="16"/>
        <v>6</v>
      </c>
      <c r="Z55" s="97">
        <f t="shared" si="17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74" t="s">
        <v>89</v>
      </c>
      <c r="AK55" s="90">
        <v>0</v>
      </c>
      <c r="AL55" s="182">
        <v>10</v>
      </c>
      <c r="AM55" s="182">
        <v>6</v>
      </c>
      <c r="AN55" s="182">
        <v>2</v>
      </c>
      <c r="AO55" s="182">
        <v>8</v>
      </c>
      <c r="AP55" s="182">
        <v>0</v>
      </c>
      <c r="AQ55" s="92">
        <v>0</v>
      </c>
      <c r="AR55" s="78">
        <v>19</v>
      </c>
      <c r="AT55" s="150" t="s">
        <v>19</v>
      </c>
      <c r="AU55" s="153">
        <v>8</v>
      </c>
      <c r="BD55" s="21">
        <v>51</v>
      </c>
      <c r="BE55" s="98" t="s">
        <v>38</v>
      </c>
      <c r="BF55" s="98" t="s">
        <v>175</v>
      </c>
      <c r="BG55" s="98" t="s">
        <v>78</v>
      </c>
      <c r="BH55" s="98" t="s">
        <v>35</v>
      </c>
      <c r="BI55" s="98" t="s">
        <v>34</v>
      </c>
      <c r="BJ55" s="98" t="s">
        <v>41</v>
      </c>
      <c r="BK55" s="37" t="s">
        <v>78</v>
      </c>
      <c r="BM55" s="97">
        <f t="shared" si="25"/>
        <v>9</v>
      </c>
      <c r="BN55" s="97">
        <f t="shared" si="26"/>
        <v>17</v>
      </c>
      <c r="BO55" s="97">
        <f t="shared" si="27"/>
        <v>6</v>
      </c>
      <c r="BP55" s="97">
        <f t="shared" si="28"/>
        <v>4</v>
      </c>
      <c r="BQ55" s="97">
        <f t="shared" si="29"/>
        <v>3</v>
      </c>
      <c r="BR55" s="97">
        <f t="shared" si="30"/>
        <v>12</v>
      </c>
      <c r="BS55" s="97">
        <f t="shared" si="31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74" t="s">
        <v>89</v>
      </c>
      <c r="CD55" s="75">
        <v>0</v>
      </c>
      <c r="CE55" s="76">
        <v>1</v>
      </c>
      <c r="CF55" s="76">
        <v>1</v>
      </c>
      <c r="CG55" s="76">
        <v>1</v>
      </c>
      <c r="CH55" s="76">
        <v>1</v>
      </c>
      <c r="CI55" s="76">
        <v>0</v>
      </c>
      <c r="CJ55" s="77">
        <v>0</v>
      </c>
      <c r="CK55" s="78">
        <v>19</v>
      </c>
    </row>
    <row r="56" spans="1:89" ht="16.5" customHeight="1">
      <c r="A56" s="150" t="s">
        <v>77</v>
      </c>
      <c r="B56" s="153">
        <v>12</v>
      </c>
      <c r="K56" s="22">
        <v>52</v>
      </c>
      <c r="L56" s="98" t="s">
        <v>41</v>
      </c>
      <c r="M56" s="98" t="s">
        <v>36</v>
      </c>
      <c r="N56" s="98" t="s">
        <v>39</v>
      </c>
      <c r="O56" s="98" t="s">
        <v>210</v>
      </c>
      <c r="P56" s="98" t="s">
        <v>41</v>
      </c>
      <c r="Q56" s="98" t="s">
        <v>39</v>
      </c>
      <c r="R56" s="37" t="s">
        <v>36</v>
      </c>
      <c r="T56" s="97">
        <f t="shared" si="11"/>
        <v>12</v>
      </c>
      <c r="U56" s="97">
        <f t="shared" si="12"/>
        <v>5</v>
      </c>
      <c r="V56" s="97">
        <f t="shared" si="13"/>
        <v>10</v>
      </c>
      <c r="W56" s="97">
        <f t="shared" si="14"/>
        <v>21</v>
      </c>
      <c r="X56" s="97">
        <f t="shared" si="15"/>
        <v>12</v>
      </c>
      <c r="Y56" s="97">
        <f t="shared" si="16"/>
        <v>10</v>
      </c>
      <c r="Z56" s="97">
        <f t="shared" si="17"/>
        <v>5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90">
        <v>0</v>
      </c>
      <c r="AL56" s="182">
        <v>5</v>
      </c>
      <c r="AM56" s="182">
        <v>6</v>
      </c>
      <c r="AN56" s="182">
        <v>2</v>
      </c>
      <c r="AO56" s="182">
        <v>4</v>
      </c>
      <c r="AP56" s="182">
        <v>0</v>
      </c>
      <c r="AQ56" s="92">
        <v>0</v>
      </c>
      <c r="AR56" s="78">
        <v>20</v>
      </c>
      <c r="AT56" s="150" t="s">
        <v>77</v>
      </c>
      <c r="AU56" s="153">
        <v>12</v>
      </c>
      <c r="BD56" s="22">
        <v>52</v>
      </c>
      <c r="BE56" s="98" t="s">
        <v>40</v>
      </c>
      <c r="BF56" s="98" t="s">
        <v>39</v>
      </c>
      <c r="BG56" s="98" t="s">
        <v>38</v>
      </c>
      <c r="BH56" s="98" t="s">
        <v>40</v>
      </c>
      <c r="BI56" s="98" t="s">
        <v>40</v>
      </c>
      <c r="BJ56" s="98" t="s">
        <v>26</v>
      </c>
      <c r="BK56" s="37" t="s">
        <v>78</v>
      </c>
      <c r="BM56" s="97">
        <f t="shared" si="25"/>
        <v>11</v>
      </c>
      <c r="BN56" s="97">
        <f t="shared" si="26"/>
        <v>10</v>
      </c>
      <c r="BO56" s="97">
        <f t="shared" si="27"/>
        <v>9</v>
      </c>
      <c r="BP56" s="97">
        <f t="shared" si="28"/>
        <v>11</v>
      </c>
      <c r="BQ56" s="97">
        <f t="shared" si="29"/>
        <v>11</v>
      </c>
      <c r="BR56" s="97">
        <f t="shared" si="30"/>
        <v>8</v>
      </c>
      <c r="BS56" s="97">
        <f t="shared" si="31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74" t="s">
        <v>90</v>
      </c>
      <c r="CD56" s="75">
        <v>0</v>
      </c>
      <c r="CE56" s="76">
        <v>1</v>
      </c>
      <c r="CF56" s="76">
        <v>1</v>
      </c>
      <c r="CG56" s="76">
        <v>1</v>
      </c>
      <c r="CH56" s="76">
        <v>1</v>
      </c>
      <c r="CI56" s="76">
        <v>0</v>
      </c>
      <c r="CJ56" s="77">
        <v>0</v>
      </c>
      <c r="CK56" s="78">
        <v>20</v>
      </c>
    </row>
    <row r="57" spans="1:89" ht="16.5" customHeight="1" thickBot="1">
      <c r="A57" s="150" t="s">
        <v>184</v>
      </c>
      <c r="B57" s="153">
        <v>10</v>
      </c>
      <c r="K57" s="21">
        <v>53</v>
      </c>
      <c r="L57" s="98" t="s">
        <v>40</v>
      </c>
      <c r="M57" s="98" t="s">
        <v>36</v>
      </c>
      <c r="N57" s="98" t="s">
        <v>205</v>
      </c>
      <c r="O57" s="98" t="s">
        <v>78</v>
      </c>
      <c r="P57" s="98" t="s">
        <v>40</v>
      </c>
      <c r="Q57" s="98" t="s">
        <v>78</v>
      </c>
      <c r="R57" s="37" t="s">
        <v>36</v>
      </c>
      <c r="T57" s="97">
        <f t="shared" si="11"/>
        <v>11</v>
      </c>
      <c r="U57" s="97">
        <f t="shared" si="12"/>
        <v>5</v>
      </c>
      <c r="V57" s="97">
        <f t="shared" si="13"/>
        <v>21</v>
      </c>
      <c r="W57" s="97">
        <f t="shared" si="14"/>
        <v>6</v>
      </c>
      <c r="X57" s="97">
        <f t="shared" si="15"/>
        <v>11</v>
      </c>
      <c r="Y57" s="97">
        <f t="shared" si="16"/>
        <v>6</v>
      </c>
      <c r="Z57" s="97">
        <f t="shared" si="17"/>
        <v>5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90">
        <v>0</v>
      </c>
      <c r="AL57" s="182">
        <v>4</v>
      </c>
      <c r="AM57" s="182">
        <v>6</v>
      </c>
      <c r="AN57" s="182">
        <v>2</v>
      </c>
      <c r="AO57" s="182">
        <v>4</v>
      </c>
      <c r="AP57" s="182">
        <v>0</v>
      </c>
      <c r="AQ57" s="92">
        <v>0</v>
      </c>
      <c r="AR57" s="84">
        <v>21</v>
      </c>
      <c r="AT57" s="150" t="s">
        <v>184</v>
      </c>
      <c r="AU57" s="153">
        <v>10</v>
      </c>
      <c r="BD57" s="21">
        <v>53</v>
      </c>
      <c r="BE57" s="98" t="s">
        <v>40</v>
      </c>
      <c r="BF57" s="98" t="s">
        <v>39</v>
      </c>
      <c r="BG57" s="98" t="s">
        <v>38</v>
      </c>
      <c r="BH57" s="98" t="s">
        <v>40</v>
      </c>
      <c r="BI57" s="98" t="s">
        <v>26</v>
      </c>
      <c r="BJ57" s="98" t="s">
        <v>39</v>
      </c>
      <c r="BK57" s="37" t="s">
        <v>78</v>
      </c>
      <c r="BM57" s="97">
        <f t="shared" si="25"/>
        <v>11</v>
      </c>
      <c r="BN57" s="97">
        <f t="shared" si="26"/>
        <v>10</v>
      </c>
      <c r="BO57" s="97">
        <f t="shared" si="27"/>
        <v>9</v>
      </c>
      <c r="BP57" s="97">
        <f t="shared" si="28"/>
        <v>11</v>
      </c>
      <c r="BQ57" s="97">
        <f t="shared" si="29"/>
        <v>8</v>
      </c>
      <c r="BR57" s="97">
        <f t="shared" si="30"/>
        <v>10</v>
      </c>
      <c r="BS57" s="97">
        <f t="shared" si="31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80" t="s">
        <v>91</v>
      </c>
      <c r="CD57" s="81">
        <v>0</v>
      </c>
      <c r="CE57" s="82">
        <v>1</v>
      </c>
      <c r="CF57" s="82">
        <v>1</v>
      </c>
      <c r="CG57" s="82">
        <v>1</v>
      </c>
      <c r="CH57" s="82">
        <v>1</v>
      </c>
      <c r="CI57" s="82">
        <v>0</v>
      </c>
      <c r="CJ57" s="83">
        <v>0</v>
      </c>
      <c r="CK57" s="84">
        <v>21</v>
      </c>
    </row>
    <row r="58" spans="1:89" ht="16.5" customHeight="1">
      <c r="A58" s="150" t="s">
        <v>185</v>
      </c>
      <c r="B58" s="153">
        <v>10</v>
      </c>
      <c r="K58" s="22">
        <v>54</v>
      </c>
      <c r="L58" s="98" t="s">
        <v>35</v>
      </c>
      <c r="M58" s="98" t="s">
        <v>206</v>
      </c>
      <c r="N58" s="98" t="s">
        <v>40</v>
      </c>
      <c r="O58" s="98" t="s">
        <v>78</v>
      </c>
      <c r="P58" s="98" t="s">
        <v>36</v>
      </c>
      <c r="Q58" s="98" t="s">
        <v>41</v>
      </c>
      <c r="R58" s="37" t="s">
        <v>36</v>
      </c>
      <c r="T58" s="97">
        <f t="shared" si="11"/>
        <v>4</v>
      </c>
      <c r="U58" s="97">
        <f t="shared" si="12"/>
        <v>22</v>
      </c>
      <c r="V58" s="97">
        <f t="shared" si="13"/>
        <v>11</v>
      </c>
      <c r="W58" s="97">
        <f t="shared" si="14"/>
        <v>6</v>
      </c>
      <c r="X58" s="97">
        <f t="shared" si="15"/>
        <v>5</v>
      </c>
      <c r="Y58" s="97">
        <f t="shared" si="16"/>
        <v>12</v>
      </c>
      <c r="Z58" s="97">
        <f t="shared" si="17"/>
        <v>5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2</v>
      </c>
      <c r="AJ58" s="100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79">
        <v>24</v>
      </c>
      <c r="AT58" s="150" t="s">
        <v>185</v>
      </c>
      <c r="AU58" s="153">
        <v>10</v>
      </c>
      <c r="BD58" s="22">
        <v>54</v>
      </c>
      <c r="BE58" s="98" t="s">
        <v>36</v>
      </c>
      <c r="BF58" s="98" t="s">
        <v>41</v>
      </c>
      <c r="BG58" s="98" t="s">
        <v>36</v>
      </c>
      <c r="BH58" s="98" t="s">
        <v>78</v>
      </c>
      <c r="BI58" s="98" t="s">
        <v>26</v>
      </c>
      <c r="BJ58" s="98" t="s">
        <v>39</v>
      </c>
      <c r="BK58" s="37" t="s">
        <v>163</v>
      </c>
      <c r="BM58" s="97">
        <f t="shared" si="25"/>
        <v>5</v>
      </c>
      <c r="BN58" s="97">
        <f t="shared" si="26"/>
        <v>12</v>
      </c>
      <c r="BO58" s="97">
        <f t="shared" si="27"/>
        <v>5</v>
      </c>
      <c r="BP58" s="97">
        <f t="shared" si="28"/>
        <v>6</v>
      </c>
      <c r="BQ58" s="97">
        <f t="shared" si="29"/>
        <v>8</v>
      </c>
      <c r="BR58" s="97">
        <f t="shared" si="30"/>
        <v>10</v>
      </c>
      <c r="BS58" s="97">
        <f t="shared" si="31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100" t="s">
        <v>190</v>
      </c>
      <c r="CD58" s="90">
        <v>0</v>
      </c>
      <c r="CE58" s="182">
        <v>0</v>
      </c>
      <c r="CF58" s="182">
        <v>0</v>
      </c>
      <c r="CG58" s="182">
        <v>0</v>
      </c>
      <c r="CH58" s="182">
        <v>0</v>
      </c>
      <c r="CI58" s="182">
        <v>0</v>
      </c>
      <c r="CJ58" s="92">
        <v>0</v>
      </c>
      <c r="CK58" s="79">
        <v>24</v>
      </c>
    </row>
    <row r="59" spans="1:89" ht="16.5" customHeight="1" thickBot="1">
      <c r="A59" s="155" t="s">
        <v>38</v>
      </c>
      <c r="B59" s="176">
        <v>10</v>
      </c>
      <c r="K59" s="21">
        <v>55</v>
      </c>
      <c r="L59" s="98" t="s">
        <v>35</v>
      </c>
      <c r="M59" s="98" t="s">
        <v>203</v>
      </c>
      <c r="N59" s="98" t="s">
        <v>40</v>
      </c>
      <c r="O59" s="98" t="s">
        <v>26</v>
      </c>
      <c r="P59" s="98" t="s">
        <v>36</v>
      </c>
      <c r="Q59" s="98" t="s">
        <v>41</v>
      </c>
      <c r="R59" s="37" t="s">
        <v>26</v>
      </c>
      <c r="T59" s="97">
        <f t="shared" si="11"/>
        <v>4</v>
      </c>
      <c r="U59" s="97">
        <f t="shared" si="12"/>
        <v>20</v>
      </c>
      <c r="V59" s="97">
        <f t="shared" si="13"/>
        <v>11</v>
      </c>
      <c r="W59" s="97">
        <f t="shared" si="14"/>
        <v>8</v>
      </c>
      <c r="X59" s="97">
        <f t="shared" si="15"/>
        <v>5</v>
      </c>
      <c r="Y59" s="97">
        <f t="shared" si="16"/>
        <v>12</v>
      </c>
      <c r="Z59" s="97">
        <f t="shared" si="17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  <c r="AT59" s="155" t="s">
        <v>38</v>
      </c>
      <c r="AU59" s="176">
        <v>10</v>
      </c>
      <c r="BD59" s="21">
        <v>55</v>
      </c>
      <c r="BE59" s="98" t="s">
        <v>36</v>
      </c>
      <c r="BF59" s="98" t="s">
        <v>40</v>
      </c>
      <c r="BG59" s="98" t="s">
        <v>40</v>
      </c>
      <c r="BH59" s="98" t="s">
        <v>78</v>
      </c>
      <c r="BI59" s="98" t="s">
        <v>34</v>
      </c>
      <c r="BJ59" s="98" t="s">
        <v>78</v>
      </c>
      <c r="BK59" s="37" t="s">
        <v>163</v>
      </c>
      <c r="BM59" s="97">
        <f t="shared" si="25"/>
        <v>5</v>
      </c>
      <c r="BN59" s="97">
        <f t="shared" si="26"/>
        <v>11</v>
      </c>
      <c r="BO59" s="97">
        <f t="shared" si="27"/>
        <v>11</v>
      </c>
      <c r="BP59" s="97">
        <f t="shared" si="28"/>
        <v>6</v>
      </c>
      <c r="BQ59" s="97">
        <f t="shared" si="29"/>
        <v>3</v>
      </c>
      <c r="BR59" s="97">
        <f t="shared" si="30"/>
        <v>6</v>
      </c>
      <c r="BS59" s="97">
        <f t="shared" si="31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101" t="s">
        <v>201</v>
      </c>
      <c r="CD59" s="93">
        <v>0</v>
      </c>
      <c r="CE59" s="94">
        <v>1</v>
      </c>
      <c r="CF59" s="94">
        <v>1</v>
      </c>
      <c r="CG59" s="94">
        <v>1</v>
      </c>
      <c r="CH59" s="94">
        <v>1</v>
      </c>
      <c r="CI59" s="94">
        <v>0</v>
      </c>
      <c r="CJ59" s="95">
        <v>0</v>
      </c>
      <c r="CK59" s="84">
        <v>25</v>
      </c>
    </row>
    <row r="60" spans="1:89" ht="16.5" customHeight="1">
      <c r="A60" s="155" t="s">
        <v>39</v>
      </c>
      <c r="B60" s="176">
        <v>10</v>
      </c>
      <c r="K60" s="22">
        <v>56</v>
      </c>
      <c r="L60" s="98" t="s">
        <v>39</v>
      </c>
      <c r="M60" s="98" t="s">
        <v>38</v>
      </c>
      <c r="N60" s="98" t="s">
        <v>40</v>
      </c>
      <c r="O60" s="98" t="s">
        <v>26</v>
      </c>
      <c r="P60" s="98" t="s">
        <v>40</v>
      </c>
      <c r="Q60" s="98" t="s">
        <v>41</v>
      </c>
      <c r="R60" s="37" t="s">
        <v>78</v>
      </c>
      <c r="T60" s="97">
        <f t="shared" si="11"/>
        <v>10</v>
      </c>
      <c r="U60" s="97">
        <f t="shared" si="12"/>
        <v>9</v>
      </c>
      <c r="V60" s="97">
        <f t="shared" si="13"/>
        <v>11</v>
      </c>
      <c r="W60" s="97">
        <f t="shared" si="14"/>
        <v>8</v>
      </c>
      <c r="X60" s="97">
        <f t="shared" si="15"/>
        <v>11</v>
      </c>
      <c r="Y60" s="97">
        <f t="shared" si="16"/>
        <v>12</v>
      </c>
      <c r="Z60" s="97">
        <f t="shared" si="17"/>
        <v>6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  <c r="AT60" s="155" t="s">
        <v>39</v>
      </c>
      <c r="AU60" s="176">
        <v>10</v>
      </c>
      <c r="BD60" s="22">
        <v>56</v>
      </c>
      <c r="BE60" s="98" t="s">
        <v>41</v>
      </c>
      <c r="BF60" s="98" t="s">
        <v>40</v>
      </c>
      <c r="BG60" s="98" t="s">
        <v>40</v>
      </c>
      <c r="BH60" s="98" t="s">
        <v>175</v>
      </c>
      <c r="BI60" s="98" t="s">
        <v>34</v>
      </c>
      <c r="BJ60" s="98" t="s">
        <v>26</v>
      </c>
      <c r="BK60" s="37" t="s">
        <v>163</v>
      </c>
      <c r="BM60" s="97">
        <f t="shared" si="25"/>
        <v>12</v>
      </c>
      <c r="BN60" s="97">
        <f t="shared" si="26"/>
        <v>11</v>
      </c>
      <c r="BO60" s="97">
        <f t="shared" si="27"/>
        <v>11</v>
      </c>
      <c r="BP60" s="97">
        <f t="shared" si="28"/>
        <v>17</v>
      </c>
      <c r="BQ60" s="97">
        <f t="shared" si="29"/>
        <v>3</v>
      </c>
      <c r="BR60" s="97">
        <f t="shared" si="30"/>
        <v>8</v>
      </c>
      <c r="BS60" s="97">
        <f t="shared" si="31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103"/>
      <c r="CD60" s="103"/>
      <c r="CE60" s="103"/>
      <c r="CF60" s="103"/>
      <c r="CG60" s="103"/>
      <c r="CH60" s="103"/>
      <c r="CI60" s="103"/>
      <c r="CJ60" s="103"/>
      <c r="CK60" s="103"/>
    </row>
    <row r="61" spans="1:89" ht="17.25" thickBot="1">
      <c r="A61" s="155" t="s">
        <v>40</v>
      </c>
      <c r="B61" s="176">
        <v>10</v>
      </c>
      <c r="K61" s="21">
        <v>57</v>
      </c>
      <c r="L61" s="98" t="s">
        <v>41</v>
      </c>
      <c r="M61" s="98" t="s">
        <v>38</v>
      </c>
      <c r="N61" s="98" t="s">
        <v>163</v>
      </c>
      <c r="O61" s="98" t="s">
        <v>26</v>
      </c>
      <c r="P61" s="98" t="s">
        <v>36</v>
      </c>
      <c r="Q61" s="98" t="s">
        <v>26</v>
      </c>
      <c r="R61" s="37" t="s">
        <v>78</v>
      </c>
      <c r="T61" s="97">
        <f t="shared" si="11"/>
        <v>12</v>
      </c>
      <c r="U61" s="97">
        <f t="shared" si="12"/>
        <v>9</v>
      </c>
      <c r="V61" s="97">
        <f t="shared" si="13"/>
        <v>7</v>
      </c>
      <c r="W61" s="97">
        <f t="shared" si="14"/>
        <v>8</v>
      </c>
      <c r="X61" s="97">
        <f t="shared" si="15"/>
        <v>5</v>
      </c>
      <c r="Y61" s="97">
        <f t="shared" si="16"/>
        <v>8</v>
      </c>
      <c r="Z61" s="97">
        <f t="shared" si="17"/>
        <v>6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  <c r="AT61" s="155" t="s">
        <v>40</v>
      </c>
      <c r="AU61" s="176">
        <v>10</v>
      </c>
      <c r="BD61" s="21">
        <v>57</v>
      </c>
      <c r="BE61" s="98" t="s">
        <v>41</v>
      </c>
      <c r="BF61" s="98" t="s">
        <v>39</v>
      </c>
      <c r="BG61" s="98" t="s">
        <v>41</v>
      </c>
      <c r="BH61" s="98" t="s">
        <v>36</v>
      </c>
      <c r="BI61" s="98" t="s">
        <v>40</v>
      </c>
      <c r="BJ61" s="98" t="s">
        <v>38</v>
      </c>
      <c r="BK61" s="37" t="s">
        <v>38</v>
      </c>
      <c r="BM61" s="97">
        <f t="shared" si="25"/>
        <v>12</v>
      </c>
      <c r="BN61" s="97">
        <f t="shared" si="26"/>
        <v>10</v>
      </c>
      <c r="BO61" s="97">
        <f t="shared" si="27"/>
        <v>12</v>
      </c>
      <c r="BP61" s="97">
        <f t="shared" si="28"/>
        <v>5</v>
      </c>
      <c r="BQ61" s="97">
        <f t="shared" si="29"/>
        <v>11</v>
      </c>
      <c r="BR61" s="97">
        <f t="shared" si="30"/>
        <v>9</v>
      </c>
      <c r="BS61" s="97">
        <f t="shared" si="31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103"/>
      <c r="CD61" s="219" t="s">
        <v>97</v>
      </c>
      <c r="CE61" s="219"/>
      <c r="CF61" s="219"/>
      <c r="CG61" s="219"/>
      <c r="CH61" s="219"/>
      <c r="CI61" s="219"/>
      <c r="CJ61" s="219"/>
      <c r="CK61" s="219"/>
    </row>
    <row r="62" spans="1:89" ht="17.25" thickBot="1">
      <c r="A62" s="156" t="s">
        <v>41</v>
      </c>
      <c r="B62" s="177">
        <v>10</v>
      </c>
      <c r="K62" s="22">
        <v>58</v>
      </c>
      <c r="L62" s="98" t="s">
        <v>163</v>
      </c>
      <c r="M62" s="98" t="s">
        <v>78</v>
      </c>
      <c r="N62" s="98" t="s">
        <v>163</v>
      </c>
      <c r="O62" s="98" t="s">
        <v>163</v>
      </c>
      <c r="P62" s="98" t="s">
        <v>40</v>
      </c>
      <c r="Q62" s="98" t="s">
        <v>78</v>
      </c>
      <c r="R62" s="37" t="s">
        <v>40</v>
      </c>
      <c r="T62" s="97">
        <f t="shared" si="11"/>
        <v>7</v>
      </c>
      <c r="U62" s="97">
        <f t="shared" si="12"/>
        <v>6</v>
      </c>
      <c r="V62" s="97">
        <f t="shared" si="13"/>
        <v>7</v>
      </c>
      <c r="W62" s="97">
        <f t="shared" si="14"/>
        <v>7</v>
      </c>
      <c r="X62" s="97">
        <f t="shared" si="15"/>
        <v>11</v>
      </c>
      <c r="Y62" s="97">
        <f t="shared" si="16"/>
        <v>6</v>
      </c>
      <c r="Z62" s="97">
        <f t="shared" si="17"/>
        <v>11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  <c r="AT62" s="156" t="s">
        <v>41</v>
      </c>
      <c r="AU62" s="177">
        <v>10</v>
      </c>
      <c r="BD62" s="22">
        <v>58</v>
      </c>
      <c r="BE62" s="98" t="s">
        <v>163</v>
      </c>
      <c r="BF62" s="98" t="s">
        <v>100</v>
      </c>
      <c r="BG62" s="98" t="s">
        <v>26</v>
      </c>
      <c r="BH62" s="98" t="s">
        <v>26</v>
      </c>
      <c r="BI62" s="98" t="s">
        <v>40</v>
      </c>
      <c r="BJ62" s="98" t="s">
        <v>26</v>
      </c>
      <c r="BK62" s="37" t="s">
        <v>38</v>
      </c>
      <c r="BM62" s="97">
        <f t="shared" si="25"/>
        <v>7</v>
      </c>
      <c r="BN62" s="97">
        <f t="shared" si="26"/>
        <v>14</v>
      </c>
      <c r="BO62" s="97">
        <f t="shared" si="27"/>
        <v>8</v>
      </c>
      <c r="BP62" s="97">
        <f t="shared" si="28"/>
        <v>8</v>
      </c>
      <c r="BQ62" s="97">
        <f t="shared" si="29"/>
        <v>11</v>
      </c>
      <c r="BR62" s="97">
        <f t="shared" si="30"/>
        <v>8</v>
      </c>
      <c r="BS62" s="97">
        <f t="shared" si="31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65" t="s">
        <v>53</v>
      </c>
      <c r="CD62" s="66" t="s">
        <v>13</v>
      </c>
      <c r="CE62" s="66" t="s">
        <v>14</v>
      </c>
      <c r="CF62" s="66" t="s">
        <v>15</v>
      </c>
      <c r="CG62" s="66" t="s">
        <v>16</v>
      </c>
      <c r="CH62" s="66" t="s">
        <v>17</v>
      </c>
      <c r="CI62" s="66" t="s">
        <v>59</v>
      </c>
      <c r="CJ62" s="67" t="s">
        <v>79</v>
      </c>
      <c r="CK62" s="68" t="s">
        <v>4</v>
      </c>
    </row>
    <row r="63" spans="1:89" ht="16.5" customHeight="1" thickBot="1">
      <c r="K63" s="21">
        <v>59</v>
      </c>
      <c r="L63" s="98" t="s">
        <v>163</v>
      </c>
      <c r="M63" s="98" t="s">
        <v>202</v>
      </c>
      <c r="N63" s="98" t="s">
        <v>38</v>
      </c>
      <c r="O63" s="98" t="s">
        <v>163</v>
      </c>
      <c r="P63" s="98" t="s">
        <v>41</v>
      </c>
      <c r="Q63" s="98" t="s">
        <v>78</v>
      </c>
      <c r="R63" s="98" t="s">
        <v>39</v>
      </c>
      <c r="T63" s="97">
        <f t="shared" si="11"/>
        <v>7</v>
      </c>
      <c r="U63" s="97">
        <f t="shared" si="12"/>
        <v>23</v>
      </c>
      <c r="V63" s="97">
        <f t="shared" si="13"/>
        <v>9</v>
      </c>
      <c r="W63" s="97">
        <f t="shared" si="14"/>
        <v>7</v>
      </c>
      <c r="X63" s="97">
        <f t="shared" si="15"/>
        <v>12</v>
      </c>
      <c r="Y63" s="97">
        <f t="shared" si="16"/>
        <v>6</v>
      </c>
      <c r="Z63" s="97">
        <f t="shared" si="17"/>
        <v>10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  <c r="BD63" s="21">
        <v>59</v>
      </c>
      <c r="BE63" s="98" t="s">
        <v>38</v>
      </c>
      <c r="BF63" s="98" t="s">
        <v>78</v>
      </c>
      <c r="BG63" s="98" t="s">
        <v>41</v>
      </c>
      <c r="BH63" s="98" t="s">
        <v>35</v>
      </c>
      <c r="BI63" s="98" t="s">
        <v>163</v>
      </c>
      <c r="BJ63" s="98" t="s">
        <v>78</v>
      </c>
      <c r="BK63" s="98" t="s">
        <v>35</v>
      </c>
      <c r="BM63" s="97">
        <f t="shared" si="25"/>
        <v>9</v>
      </c>
      <c r="BN63" s="97">
        <f t="shared" si="26"/>
        <v>6</v>
      </c>
      <c r="BO63" s="97">
        <f t="shared" si="27"/>
        <v>12</v>
      </c>
      <c r="BP63" s="97">
        <f t="shared" si="28"/>
        <v>4</v>
      </c>
      <c r="BQ63" s="97">
        <f t="shared" si="29"/>
        <v>7</v>
      </c>
      <c r="BR63" s="97">
        <f t="shared" si="30"/>
        <v>6</v>
      </c>
      <c r="BS63" s="97">
        <f t="shared" si="31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69" t="s">
        <v>81</v>
      </c>
      <c r="CD63" s="70">
        <v>0</v>
      </c>
      <c r="CE63" s="71">
        <v>0</v>
      </c>
      <c r="CF63" s="71">
        <v>0</v>
      </c>
      <c r="CG63" s="71">
        <v>0</v>
      </c>
      <c r="CH63" s="71">
        <v>0</v>
      </c>
      <c r="CI63" s="71">
        <v>0</v>
      </c>
      <c r="CJ63" s="72">
        <v>0</v>
      </c>
      <c r="CK63" s="73">
        <v>0</v>
      </c>
    </row>
    <row r="64" spans="1:89" ht="16.5" customHeight="1" thickBot="1">
      <c r="A64" s="167" t="s">
        <v>191</v>
      </c>
      <c r="B64" s="168" t="s">
        <v>52</v>
      </c>
      <c r="K64" s="22">
        <v>60</v>
      </c>
      <c r="L64" s="98" t="s">
        <v>40</v>
      </c>
      <c r="M64" s="98" t="s">
        <v>41</v>
      </c>
      <c r="N64" s="98" t="s">
        <v>78</v>
      </c>
      <c r="O64" s="98" t="s">
        <v>26</v>
      </c>
      <c r="P64" s="98" t="s">
        <v>41</v>
      </c>
      <c r="Q64" s="98" t="s">
        <v>26</v>
      </c>
      <c r="R64" s="37" t="s">
        <v>39</v>
      </c>
      <c r="T64" s="97">
        <f t="shared" si="11"/>
        <v>11</v>
      </c>
      <c r="U64" s="97">
        <f t="shared" si="12"/>
        <v>12</v>
      </c>
      <c r="V64" s="97">
        <f t="shared" si="13"/>
        <v>6</v>
      </c>
      <c r="W64" s="97">
        <f t="shared" si="14"/>
        <v>8</v>
      </c>
      <c r="X64" s="97">
        <f t="shared" si="15"/>
        <v>12</v>
      </c>
      <c r="Y64" s="97">
        <f t="shared" si="16"/>
        <v>8</v>
      </c>
      <c r="Z64" s="97">
        <f t="shared" si="17"/>
        <v>10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74" t="s">
        <v>20</v>
      </c>
      <c r="AK64" s="90">
        <v>0</v>
      </c>
      <c r="AL64" s="182">
        <v>0</v>
      </c>
      <c r="AM64" s="182">
        <v>0</v>
      </c>
      <c r="AN64" s="182">
        <v>0</v>
      </c>
      <c r="AO64" s="182">
        <v>0</v>
      </c>
      <c r="AP64" s="182">
        <v>0</v>
      </c>
      <c r="AQ64" s="92">
        <v>0</v>
      </c>
      <c r="AR64" s="78">
        <v>1</v>
      </c>
      <c r="AT64" s="167" t="s">
        <v>191</v>
      </c>
      <c r="AU64" s="168" t="s">
        <v>52</v>
      </c>
      <c r="BD64" s="22">
        <v>60</v>
      </c>
      <c r="BE64" s="98" t="s">
        <v>38</v>
      </c>
      <c r="BF64" s="98" t="s">
        <v>175</v>
      </c>
      <c r="BG64" s="98" t="s">
        <v>202</v>
      </c>
      <c r="BH64" s="98" t="s">
        <v>35</v>
      </c>
      <c r="BI64" s="98" t="s">
        <v>40</v>
      </c>
      <c r="BJ64" s="98" t="s">
        <v>26</v>
      </c>
      <c r="BK64" s="37" t="s">
        <v>35</v>
      </c>
      <c r="BM64" s="97">
        <f t="shared" si="25"/>
        <v>9</v>
      </c>
      <c r="BN64" s="97">
        <f t="shared" si="26"/>
        <v>17</v>
      </c>
      <c r="BO64" s="97">
        <f t="shared" si="27"/>
        <v>23</v>
      </c>
      <c r="BP64" s="97">
        <f t="shared" si="28"/>
        <v>4</v>
      </c>
      <c r="BQ64" s="97">
        <f t="shared" si="29"/>
        <v>11</v>
      </c>
      <c r="BR64" s="97">
        <f t="shared" si="30"/>
        <v>8</v>
      </c>
      <c r="BS64" s="97">
        <f t="shared" si="31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74" t="s">
        <v>20</v>
      </c>
      <c r="CD64" s="90">
        <v>0</v>
      </c>
      <c r="CE64" s="182">
        <v>0</v>
      </c>
      <c r="CF64" s="182">
        <v>0</v>
      </c>
      <c r="CG64" s="182">
        <v>0</v>
      </c>
      <c r="CH64" s="182">
        <v>0</v>
      </c>
      <c r="CI64" s="182">
        <v>0</v>
      </c>
      <c r="CJ64" s="92">
        <v>0</v>
      </c>
      <c r="CK64" s="78">
        <v>1</v>
      </c>
    </row>
    <row r="65" spans="1:89" ht="16.5" customHeight="1">
      <c r="A65" s="169">
        <v>0</v>
      </c>
      <c r="B65" s="159">
        <v>1000</v>
      </c>
      <c r="K65" s="21">
        <v>61</v>
      </c>
      <c r="L65" s="98" t="s">
        <v>26</v>
      </c>
      <c r="M65" s="98" t="s">
        <v>41</v>
      </c>
      <c r="N65" s="98" t="s">
        <v>78</v>
      </c>
      <c r="O65" s="98" t="s">
        <v>39</v>
      </c>
      <c r="P65" s="98" t="s">
        <v>163</v>
      </c>
      <c r="Q65" s="98" t="s">
        <v>26</v>
      </c>
      <c r="R65" s="37" t="s">
        <v>39</v>
      </c>
      <c r="T65" s="97">
        <f t="shared" si="11"/>
        <v>8</v>
      </c>
      <c r="U65" s="97">
        <f t="shared" si="12"/>
        <v>12</v>
      </c>
      <c r="V65" s="97">
        <f t="shared" si="13"/>
        <v>6</v>
      </c>
      <c r="W65" s="97">
        <f t="shared" si="14"/>
        <v>10</v>
      </c>
      <c r="X65" s="97">
        <f t="shared" si="15"/>
        <v>7</v>
      </c>
      <c r="Y65" s="97">
        <f t="shared" si="16"/>
        <v>8</v>
      </c>
      <c r="Z65" s="97">
        <f t="shared" si="17"/>
        <v>10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74" t="s">
        <v>21</v>
      </c>
      <c r="AK65" s="90">
        <v>6</v>
      </c>
      <c r="AL65" s="182">
        <v>6</v>
      </c>
      <c r="AM65" s="182">
        <v>6</v>
      </c>
      <c r="AN65" s="182">
        <v>6</v>
      </c>
      <c r="AO65" s="182">
        <v>6</v>
      </c>
      <c r="AP65" s="182">
        <v>6</v>
      </c>
      <c r="AQ65" s="92">
        <v>4</v>
      </c>
      <c r="AR65" s="78">
        <v>2</v>
      </c>
      <c r="AT65" s="169">
        <v>0</v>
      </c>
      <c r="AU65" s="159">
        <v>100</v>
      </c>
      <c r="BD65" s="21">
        <v>61</v>
      </c>
      <c r="BE65" s="98" t="s">
        <v>40</v>
      </c>
      <c r="BF65" s="98" t="s">
        <v>26</v>
      </c>
      <c r="BG65" s="98" t="s">
        <v>38</v>
      </c>
      <c r="BH65" s="98" t="s">
        <v>35</v>
      </c>
      <c r="BI65" s="98" t="s">
        <v>40</v>
      </c>
      <c r="BJ65" s="98" t="s">
        <v>26</v>
      </c>
      <c r="BK65" s="37" t="s">
        <v>35</v>
      </c>
      <c r="BM65" s="97">
        <f t="shared" si="25"/>
        <v>11</v>
      </c>
      <c r="BN65" s="97">
        <f t="shared" si="26"/>
        <v>8</v>
      </c>
      <c r="BO65" s="97">
        <f t="shared" si="27"/>
        <v>9</v>
      </c>
      <c r="BP65" s="97">
        <f t="shared" si="28"/>
        <v>4</v>
      </c>
      <c r="BQ65" s="97">
        <f t="shared" si="29"/>
        <v>11</v>
      </c>
      <c r="BR65" s="97">
        <f t="shared" si="30"/>
        <v>8</v>
      </c>
      <c r="BS65" s="97">
        <f t="shared" si="31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74" t="s">
        <v>21</v>
      </c>
      <c r="CD65" s="75">
        <v>1</v>
      </c>
      <c r="CE65" s="76">
        <v>1</v>
      </c>
      <c r="CF65" s="76">
        <v>1</v>
      </c>
      <c r="CG65" s="76">
        <v>1</v>
      </c>
      <c r="CH65" s="76">
        <v>1</v>
      </c>
      <c r="CI65" s="76">
        <v>1</v>
      </c>
      <c r="CJ65" s="77">
        <v>0</v>
      </c>
      <c r="CK65" s="78">
        <v>2</v>
      </c>
    </row>
    <row r="66" spans="1:89" ht="16.5" customHeight="1">
      <c r="A66" s="170">
        <v>1</v>
      </c>
      <c r="B66" s="160">
        <v>50</v>
      </c>
      <c r="K66" s="22">
        <v>62</v>
      </c>
      <c r="L66" s="98" t="s">
        <v>26</v>
      </c>
      <c r="M66" s="98" t="s">
        <v>38</v>
      </c>
      <c r="N66" s="98" t="s">
        <v>41</v>
      </c>
      <c r="O66" s="98" t="s">
        <v>41</v>
      </c>
      <c r="P66" s="98" t="s">
        <v>163</v>
      </c>
      <c r="Q66" s="98" t="s">
        <v>39</v>
      </c>
      <c r="R66" s="37" t="s">
        <v>40</v>
      </c>
      <c r="T66" s="97">
        <f t="shared" si="11"/>
        <v>8</v>
      </c>
      <c r="U66" s="97">
        <f t="shared" si="12"/>
        <v>9</v>
      </c>
      <c r="V66" s="97">
        <f t="shared" si="13"/>
        <v>12</v>
      </c>
      <c r="W66" s="97">
        <f t="shared" si="14"/>
        <v>12</v>
      </c>
      <c r="X66" s="97">
        <f t="shared" si="15"/>
        <v>7</v>
      </c>
      <c r="Y66" s="97">
        <f t="shared" si="16"/>
        <v>10</v>
      </c>
      <c r="Z66" s="97">
        <f t="shared" si="17"/>
        <v>11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74" t="s">
        <v>22</v>
      </c>
      <c r="AK66" s="90">
        <v>10</v>
      </c>
      <c r="AL66" s="182">
        <v>13</v>
      </c>
      <c r="AM66" s="182">
        <v>10</v>
      </c>
      <c r="AN66" s="182">
        <v>5</v>
      </c>
      <c r="AO66" s="182">
        <v>20</v>
      </c>
      <c r="AP66" s="182">
        <v>5</v>
      </c>
      <c r="AQ66" s="92">
        <v>10</v>
      </c>
      <c r="AR66" s="78">
        <v>3</v>
      </c>
      <c r="AT66" s="170">
        <v>1</v>
      </c>
      <c r="AU66" s="160">
        <v>0</v>
      </c>
      <c r="BD66" s="22">
        <v>62</v>
      </c>
      <c r="BE66" s="98" t="s">
        <v>38</v>
      </c>
      <c r="BF66" s="98" t="s">
        <v>26</v>
      </c>
      <c r="BG66" s="98" t="s">
        <v>38</v>
      </c>
      <c r="BH66" s="98" t="s">
        <v>39</v>
      </c>
      <c r="BI66" s="98" t="s">
        <v>38</v>
      </c>
      <c r="BJ66" s="98" t="s">
        <v>38</v>
      </c>
      <c r="BK66" s="37" t="s">
        <v>38</v>
      </c>
      <c r="BM66" s="97">
        <f t="shared" si="25"/>
        <v>9</v>
      </c>
      <c r="BN66" s="97">
        <f t="shared" si="26"/>
        <v>8</v>
      </c>
      <c r="BO66" s="97">
        <f t="shared" si="27"/>
        <v>9</v>
      </c>
      <c r="BP66" s="97">
        <f t="shared" si="28"/>
        <v>10</v>
      </c>
      <c r="BQ66" s="97">
        <f t="shared" si="29"/>
        <v>9</v>
      </c>
      <c r="BR66" s="97">
        <f t="shared" si="30"/>
        <v>9</v>
      </c>
      <c r="BS66" s="97">
        <f t="shared" si="31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74" t="s">
        <v>22</v>
      </c>
      <c r="CD66" s="75">
        <v>1</v>
      </c>
      <c r="CE66" s="76">
        <v>70</v>
      </c>
      <c r="CF66" s="76">
        <v>1</v>
      </c>
      <c r="CG66" s="76">
        <v>70</v>
      </c>
      <c r="CH66" s="76">
        <v>1</v>
      </c>
      <c r="CI66" s="76">
        <v>1</v>
      </c>
      <c r="CJ66" s="77">
        <v>0</v>
      </c>
      <c r="CK66" s="78">
        <v>3</v>
      </c>
    </row>
    <row r="67" spans="1:89" ht="16.5" customHeight="1">
      <c r="A67" s="170">
        <v>2</v>
      </c>
      <c r="B67" s="160">
        <v>20</v>
      </c>
      <c r="K67" s="21">
        <v>63</v>
      </c>
      <c r="L67" s="98" t="s">
        <v>190</v>
      </c>
      <c r="M67" s="98" t="s">
        <v>190</v>
      </c>
      <c r="N67" s="98" t="s">
        <v>190</v>
      </c>
      <c r="O67" s="98" t="s">
        <v>190</v>
      </c>
      <c r="P67" s="98" t="s">
        <v>190</v>
      </c>
      <c r="Q67" s="98" t="s">
        <v>190</v>
      </c>
      <c r="R67" s="37" t="s">
        <v>190</v>
      </c>
      <c r="T67" s="97">
        <f t="shared" si="11"/>
        <v>24</v>
      </c>
      <c r="U67" s="97">
        <f t="shared" si="12"/>
        <v>24</v>
      </c>
      <c r="V67" s="97">
        <f t="shared" si="13"/>
        <v>24</v>
      </c>
      <c r="W67" s="97">
        <f t="shared" si="14"/>
        <v>24</v>
      </c>
      <c r="X67" s="97">
        <f t="shared" si="15"/>
        <v>24</v>
      </c>
      <c r="Y67" s="97">
        <f t="shared" si="16"/>
        <v>24</v>
      </c>
      <c r="Z67" s="97">
        <f t="shared" si="17"/>
        <v>24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74" t="s">
        <v>18</v>
      </c>
      <c r="AK67" s="90">
        <v>12</v>
      </c>
      <c r="AL67" s="182">
        <v>10</v>
      </c>
      <c r="AM67" s="182">
        <v>15</v>
      </c>
      <c r="AN67" s="182">
        <v>5</v>
      </c>
      <c r="AO67" s="182">
        <v>18</v>
      </c>
      <c r="AP67" s="182">
        <v>20</v>
      </c>
      <c r="AQ67" s="92">
        <v>10</v>
      </c>
      <c r="AR67" s="78">
        <v>4</v>
      </c>
      <c r="AT67" s="170">
        <v>2</v>
      </c>
      <c r="AU67" s="160">
        <v>20</v>
      </c>
      <c r="BD67" s="21">
        <v>63</v>
      </c>
      <c r="BE67" s="98" t="s">
        <v>41</v>
      </c>
      <c r="BF67" s="98" t="s">
        <v>78</v>
      </c>
      <c r="BG67" s="98" t="s">
        <v>38</v>
      </c>
      <c r="BH67" s="98" t="s">
        <v>39</v>
      </c>
      <c r="BI67" s="98" t="s">
        <v>36</v>
      </c>
      <c r="BJ67" s="98" t="s">
        <v>41</v>
      </c>
      <c r="BK67" s="37" t="s">
        <v>38</v>
      </c>
      <c r="BM67" s="97">
        <f t="shared" si="25"/>
        <v>12</v>
      </c>
      <c r="BN67" s="97">
        <f t="shared" si="26"/>
        <v>6</v>
      </c>
      <c r="BO67" s="97">
        <f t="shared" si="27"/>
        <v>9</v>
      </c>
      <c r="BP67" s="97">
        <f t="shared" si="28"/>
        <v>10</v>
      </c>
      <c r="BQ67" s="97">
        <f t="shared" si="29"/>
        <v>5</v>
      </c>
      <c r="BR67" s="97">
        <f t="shared" si="30"/>
        <v>12</v>
      </c>
      <c r="BS67" s="97">
        <f t="shared" si="31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74" t="s">
        <v>18</v>
      </c>
      <c r="CD67" s="75">
        <v>1</v>
      </c>
      <c r="CE67" s="76">
        <v>1</v>
      </c>
      <c r="CF67" s="76">
        <v>5</v>
      </c>
      <c r="CG67" s="76">
        <v>1</v>
      </c>
      <c r="CH67" s="76">
        <v>1</v>
      </c>
      <c r="CI67" s="76">
        <v>70</v>
      </c>
      <c r="CJ67" s="77">
        <v>1</v>
      </c>
      <c r="CK67" s="78">
        <v>4</v>
      </c>
    </row>
    <row r="68" spans="1:89" ht="16.5" customHeight="1">
      <c r="A68" s="170">
        <v>3</v>
      </c>
      <c r="B68" s="160">
        <v>10</v>
      </c>
      <c r="K68" s="22">
        <v>64</v>
      </c>
      <c r="L68" s="98" t="s">
        <v>190</v>
      </c>
      <c r="M68" s="98" t="s">
        <v>190</v>
      </c>
      <c r="N68" s="98" t="s">
        <v>190</v>
      </c>
      <c r="O68" s="98" t="s">
        <v>190</v>
      </c>
      <c r="P68" s="98" t="s">
        <v>190</v>
      </c>
      <c r="Q68" s="98" t="s">
        <v>190</v>
      </c>
      <c r="R68" s="37" t="s">
        <v>190</v>
      </c>
      <c r="T68" s="97">
        <f t="shared" si="11"/>
        <v>24</v>
      </c>
      <c r="U68" s="97">
        <f t="shared" si="12"/>
        <v>24</v>
      </c>
      <c r="V68" s="97">
        <f t="shared" si="13"/>
        <v>24</v>
      </c>
      <c r="W68" s="97">
        <f t="shared" si="14"/>
        <v>24</v>
      </c>
      <c r="X68" s="97">
        <f t="shared" si="15"/>
        <v>24</v>
      </c>
      <c r="Y68" s="97">
        <f t="shared" si="16"/>
        <v>24</v>
      </c>
      <c r="Z68" s="97">
        <f t="shared" si="17"/>
        <v>24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74" t="s">
        <v>19</v>
      </c>
      <c r="AK68" s="90">
        <v>10</v>
      </c>
      <c r="AL68" s="182">
        <v>20</v>
      </c>
      <c r="AM68" s="182">
        <v>20</v>
      </c>
      <c r="AN68" s="182">
        <v>20</v>
      </c>
      <c r="AO68" s="182">
        <v>10</v>
      </c>
      <c r="AP68" s="182">
        <v>20</v>
      </c>
      <c r="AQ68" s="92">
        <v>10</v>
      </c>
      <c r="AR68" s="78">
        <v>5</v>
      </c>
      <c r="AT68" s="170">
        <v>3</v>
      </c>
      <c r="AU68" s="160">
        <v>100</v>
      </c>
      <c r="BD68" s="22">
        <v>64</v>
      </c>
      <c r="BE68" s="98" t="s">
        <v>35</v>
      </c>
      <c r="BF68" s="98" t="s">
        <v>39</v>
      </c>
      <c r="BG68" s="98" t="s">
        <v>36</v>
      </c>
      <c r="BH68" s="98" t="s">
        <v>41</v>
      </c>
      <c r="BI68" s="98" t="s">
        <v>163</v>
      </c>
      <c r="BJ68" s="98" t="s">
        <v>41</v>
      </c>
      <c r="BK68" s="37" t="s">
        <v>40</v>
      </c>
      <c r="BM68" s="97">
        <f t="shared" si="25"/>
        <v>4</v>
      </c>
      <c r="BN68" s="97">
        <f t="shared" si="26"/>
        <v>10</v>
      </c>
      <c r="BO68" s="97">
        <f t="shared" si="27"/>
        <v>5</v>
      </c>
      <c r="BP68" s="97">
        <f t="shared" si="28"/>
        <v>12</v>
      </c>
      <c r="BQ68" s="97">
        <f t="shared" si="29"/>
        <v>7</v>
      </c>
      <c r="BR68" s="97">
        <f t="shared" si="30"/>
        <v>12</v>
      </c>
      <c r="BS68" s="97">
        <f t="shared" si="31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74" t="s">
        <v>19</v>
      </c>
      <c r="CD68" s="75">
        <v>1</v>
      </c>
      <c r="CE68" s="76">
        <v>70</v>
      </c>
      <c r="CF68" s="76">
        <v>1</v>
      </c>
      <c r="CG68" s="76">
        <v>1</v>
      </c>
      <c r="CH68" s="76">
        <v>1</v>
      </c>
      <c r="CI68" s="76">
        <v>70</v>
      </c>
      <c r="CJ68" s="77">
        <v>1</v>
      </c>
      <c r="CK68" s="78">
        <v>5</v>
      </c>
    </row>
    <row r="69" spans="1:89" ht="16.5" customHeight="1">
      <c r="A69" s="170">
        <v>4</v>
      </c>
      <c r="B69" s="160">
        <v>1</v>
      </c>
      <c r="K69" s="21">
        <v>65</v>
      </c>
      <c r="L69" s="98" t="s">
        <v>163</v>
      </c>
      <c r="M69" s="98" t="s">
        <v>78</v>
      </c>
      <c r="N69" s="98" t="s">
        <v>39</v>
      </c>
      <c r="O69" s="98" t="s">
        <v>78</v>
      </c>
      <c r="P69" s="98" t="s">
        <v>26</v>
      </c>
      <c r="Q69" s="98" t="s">
        <v>78</v>
      </c>
      <c r="R69" s="37" t="s">
        <v>39</v>
      </c>
      <c r="T69" s="97">
        <f t="shared" ref="T69:T124" si="32">VLOOKUP(L69, $A$4:$I$29, 9, 0)</f>
        <v>7</v>
      </c>
      <c r="U69" s="97">
        <f t="shared" ref="U69:U124" si="33">VLOOKUP(M69, $A$4:$I$29, 9, 0)</f>
        <v>6</v>
      </c>
      <c r="V69" s="97">
        <f t="shared" ref="V69:V124" si="34">VLOOKUP(N69, $A$4:$I$29, 9, 0)</f>
        <v>10</v>
      </c>
      <c r="W69" s="97">
        <f t="shared" ref="W69:W124" si="35">VLOOKUP(O69, $A$4:$I$29, 9, 0)</f>
        <v>6</v>
      </c>
      <c r="X69" s="97">
        <f t="shared" ref="X69:X124" si="36">VLOOKUP(P69, $A$4:$I$29, 9, 0)</f>
        <v>8</v>
      </c>
      <c r="Y69" s="97">
        <f t="shared" ref="Y69:Y124" si="37">VLOOKUP(Q69, $A$4:$I$29, 9, 0)</f>
        <v>6</v>
      </c>
      <c r="Z69" s="97">
        <f t="shared" ref="Z69:Z124" si="38">VLOOKUP(R69, $A$4:$I$29, 9, 0)</f>
        <v>10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74" t="s">
        <v>77</v>
      </c>
      <c r="AK69" s="90">
        <v>50</v>
      </c>
      <c r="AL69" s="182">
        <v>50</v>
      </c>
      <c r="AM69" s="182">
        <v>50</v>
      </c>
      <c r="AN69" s="182">
        <v>50</v>
      </c>
      <c r="AO69" s="182">
        <v>50</v>
      </c>
      <c r="AP69" s="182">
        <v>50</v>
      </c>
      <c r="AQ69" s="92">
        <v>10</v>
      </c>
      <c r="AR69" s="78">
        <v>6</v>
      </c>
      <c r="AT69" s="170">
        <v>4</v>
      </c>
      <c r="AU69" s="160">
        <v>5</v>
      </c>
      <c r="BD69" s="21">
        <v>65</v>
      </c>
      <c r="BE69" s="98" t="s">
        <v>39</v>
      </c>
      <c r="BF69" s="98" t="s">
        <v>39</v>
      </c>
      <c r="BG69" s="98" t="s">
        <v>26</v>
      </c>
      <c r="BH69" s="98" t="s">
        <v>41</v>
      </c>
      <c r="BI69" s="98" t="s">
        <v>163</v>
      </c>
      <c r="BJ69" s="98" t="s">
        <v>39</v>
      </c>
      <c r="BK69" s="37" t="s">
        <v>40</v>
      </c>
      <c r="BM69" s="97">
        <f t="shared" ref="BM69:BM124" si="39">VLOOKUP(BE69, $A$4:$I$29, 9, 0)</f>
        <v>10</v>
      </c>
      <c r="BN69" s="97">
        <f t="shared" ref="BN69:BN124" si="40">VLOOKUP(BF69, $A$4:$I$29, 9, 0)</f>
        <v>10</v>
      </c>
      <c r="BO69" s="97">
        <f t="shared" ref="BO69:BO124" si="41">VLOOKUP(BG69, $A$4:$I$29, 9, 0)</f>
        <v>8</v>
      </c>
      <c r="BP69" s="97">
        <f t="shared" ref="BP69:BP124" si="42">VLOOKUP(BH69, $A$4:$I$29, 9, 0)</f>
        <v>12</v>
      </c>
      <c r="BQ69" s="97">
        <f t="shared" ref="BQ69:BQ124" si="43">VLOOKUP(BI69, $A$4:$I$29, 9, 0)</f>
        <v>7</v>
      </c>
      <c r="BR69" s="97">
        <f t="shared" ref="BR69:BR124" si="44">VLOOKUP(BJ69, $A$4:$I$29, 9, 0)</f>
        <v>10</v>
      </c>
      <c r="BS69" s="97">
        <f t="shared" ref="BS69:BS124" si="45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74" t="s">
        <v>77</v>
      </c>
      <c r="CD69" s="75">
        <v>5</v>
      </c>
      <c r="CE69" s="76">
        <v>1</v>
      </c>
      <c r="CF69" s="76">
        <v>70</v>
      </c>
      <c r="CG69" s="76">
        <v>1</v>
      </c>
      <c r="CH69" s="76">
        <v>70</v>
      </c>
      <c r="CI69" s="76">
        <v>1</v>
      </c>
      <c r="CJ69" s="77">
        <v>1</v>
      </c>
      <c r="CK69" s="78">
        <v>6</v>
      </c>
    </row>
    <row r="70" spans="1:89" ht="16.5" customHeight="1">
      <c r="A70" s="171">
        <v>5</v>
      </c>
      <c r="B70" s="173">
        <v>0</v>
      </c>
      <c r="K70" s="22">
        <v>66</v>
      </c>
      <c r="L70" s="98" t="s">
        <v>26</v>
      </c>
      <c r="M70" s="98" t="s">
        <v>39</v>
      </c>
      <c r="N70" s="98" t="s">
        <v>40</v>
      </c>
      <c r="O70" s="98" t="s">
        <v>78</v>
      </c>
      <c r="P70" s="98" t="s">
        <v>38</v>
      </c>
      <c r="Q70" s="98" t="s">
        <v>26</v>
      </c>
      <c r="R70" s="37" t="s">
        <v>39</v>
      </c>
      <c r="T70" s="97">
        <f t="shared" si="32"/>
        <v>8</v>
      </c>
      <c r="U70" s="97">
        <f t="shared" si="33"/>
        <v>10</v>
      </c>
      <c r="V70" s="97">
        <f t="shared" si="34"/>
        <v>11</v>
      </c>
      <c r="W70" s="97">
        <f t="shared" si="35"/>
        <v>6</v>
      </c>
      <c r="X70" s="97">
        <f t="shared" si="36"/>
        <v>9</v>
      </c>
      <c r="Y70" s="97">
        <f t="shared" si="37"/>
        <v>8</v>
      </c>
      <c r="Z70" s="97">
        <f t="shared" si="38"/>
        <v>10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74" t="s">
        <v>162</v>
      </c>
      <c r="AK70" s="90">
        <v>50</v>
      </c>
      <c r="AL70" s="182">
        <v>50</v>
      </c>
      <c r="AM70" s="182">
        <v>50</v>
      </c>
      <c r="AN70" s="182">
        <v>50</v>
      </c>
      <c r="AO70" s="182">
        <v>50</v>
      </c>
      <c r="AP70" s="182">
        <v>50</v>
      </c>
      <c r="AQ70" s="92">
        <v>10</v>
      </c>
      <c r="AR70" s="78">
        <v>7</v>
      </c>
      <c r="AT70" s="171">
        <v>5</v>
      </c>
      <c r="AU70" s="173">
        <v>0</v>
      </c>
      <c r="BD70" s="22">
        <v>66</v>
      </c>
      <c r="BE70" s="98" t="s">
        <v>39</v>
      </c>
      <c r="BF70" s="98" t="s">
        <v>41</v>
      </c>
      <c r="BG70" s="98" t="s">
        <v>26</v>
      </c>
      <c r="BH70" s="98" t="s">
        <v>41</v>
      </c>
      <c r="BI70" s="98" t="s">
        <v>36</v>
      </c>
      <c r="BJ70" s="98" t="s">
        <v>26</v>
      </c>
      <c r="BK70" s="37" t="s">
        <v>40</v>
      </c>
      <c r="BM70" s="97">
        <f t="shared" si="39"/>
        <v>10</v>
      </c>
      <c r="BN70" s="97">
        <f t="shared" si="40"/>
        <v>12</v>
      </c>
      <c r="BO70" s="97">
        <f t="shared" si="41"/>
        <v>8</v>
      </c>
      <c r="BP70" s="97">
        <f t="shared" si="42"/>
        <v>12</v>
      </c>
      <c r="BQ70" s="97">
        <f t="shared" si="43"/>
        <v>5</v>
      </c>
      <c r="BR70" s="97">
        <f t="shared" si="44"/>
        <v>8</v>
      </c>
      <c r="BS70" s="97">
        <f t="shared" si="45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74" t="s">
        <v>162</v>
      </c>
      <c r="CD70" s="75">
        <v>1</v>
      </c>
      <c r="CE70" s="76">
        <v>70</v>
      </c>
      <c r="CF70" s="76">
        <v>1</v>
      </c>
      <c r="CG70" s="76">
        <v>1</v>
      </c>
      <c r="CH70" s="76">
        <v>1</v>
      </c>
      <c r="CI70" s="76">
        <v>70</v>
      </c>
      <c r="CJ70" s="77">
        <v>1</v>
      </c>
      <c r="CK70" s="78">
        <v>7</v>
      </c>
    </row>
    <row r="71" spans="1:89" ht="16.5" customHeight="1">
      <c r="A71" s="171">
        <v>6</v>
      </c>
      <c r="B71" s="173">
        <v>0</v>
      </c>
      <c r="K71" s="21">
        <v>67</v>
      </c>
      <c r="L71" s="98" t="s">
        <v>38</v>
      </c>
      <c r="M71" s="98" t="s">
        <v>201</v>
      </c>
      <c r="N71" s="98" t="s">
        <v>201</v>
      </c>
      <c r="O71" s="98" t="s">
        <v>201</v>
      </c>
      <c r="P71" s="98" t="s">
        <v>201</v>
      </c>
      <c r="Q71" s="98" t="s">
        <v>26</v>
      </c>
      <c r="R71" s="37" t="s">
        <v>36</v>
      </c>
      <c r="T71" s="97">
        <f t="shared" si="32"/>
        <v>9</v>
      </c>
      <c r="U71" s="97">
        <f t="shared" si="33"/>
        <v>25</v>
      </c>
      <c r="V71" s="97">
        <f t="shared" si="34"/>
        <v>25</v>
      </c>
      <c r="W71" s="97">
        <f t="shared" si="35"/>
        <v>25</v>
      </c>
      <c r="X71" s="97">
        <f t="shared" si="36"/>
        <v>25</v>
      </c>
      <c r="Y71" s="97">
        <f t="shared" si="37"/>
        <v>8</v>
      </c>
      <c r="Z71" s="97">
        <f t="shared" si="38"/>
        <v>5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74" t="s">
        <v>25</v>
      </c>
      <c r="AK71" s="90">
        <v>10</v>
      </c>
      <c r="AL71" s="182">
        <v>10</v>
      </c>
      <c r="AM71" s="182">
        <v>40</v>
      </c>
      <c r="AN71" s="182">
        <v>1</v>
      </c>
      <c r="AO71" s="182">
        <v>40</v>
      </c>
      <c r="AP71" s="182">
        <v>1</v>
      </c>
      <c r="AQ71" s="92">
        <v>10</v>
      </c>
      <c r="AR71" s="78">
        <v>8</v>
      </c>
      <c r="AT71" s="171">
        <v>6</v>
      </c>
      <c r="AU71" s="173">
        <v>0</v>
      </c>
      <c r="BD71" s="21">
        <v>67</v>
      </c>
      <c r="BE71" s="98" t="s">
        <v>36</v>
      </c>
      <c r="BF71" s="98" t="s">
        <v>39</v>
      </c>
      <c r="BG71" s="98" t="s">
        <v>26</v>
      </c>
      <c r="BH71" s="98" t="s">
        <v>38</v>
      </c>
      <c r="BI71" s="98" t="s">
        <v>36</v>
      </c>
      <c r="BJ71" s="98" t="s">
        <v>78</v>
      </c>
      <c r="BK71" s="37" t="s">
        <v>41</v>
      </c>
      <c r="BM71" s="97">
        <f t="shared" si="39"/>
        <v>5</v>
      </c>
      <c r="BN71" s="97">
        <f t="shared" si="40"/>
        <v>10</v>
      </c>
      <c r="BO71" s="97">
        <f t="shared" si="41"/>
        <v>8</v>
      </c>
      <c r="BP71" s="97">
        <f t="shared" si="42"/>
        <v>9</v>
      </c>
      <c r="BQ71" s="97">
        <f t="shared" si="43"/>
        <v>5</v>
      </c>
      <c r="BR71" s="97">
        <f t="shared" si="44"/>
        <v>6</v>
      </c>
      <c r="BS71" s="97">
        <f t="shared" si="45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74" t="s">
        <v>25</v>
      </c>
      <c r="CD71" s="75">
        <v>1</v>
      </c>
      <c r="CE71" s="76">
        <v>1</v>
      </c>
      <c r="CF71" s="76">
        <v>1</v>
      </c>
      <c r="CG71" s="76">
        <v>1</v>
      </c>
      <c r="CH71" s="76">
        <v>70</v>
      </c>
      <c r="CI71" s="76">
        <v>1</v>
      </c>
      <c r="CJ71" s="77">
        <v>1</v>
      </c>
      <c r="CK71" s="78">
        <v>8</v>
      </c>
    </row>
    <row r="72" spans="1:89" ht="16.5" customHeight="1" thickBot="1">
      <c r="A72" s="172">
        <v>7</v>
      </c>
      <c r="B72" s="174">
        <v>0</v>
      </c>
      <c r="K72" s="22">
        <v>68</v>
      </c>
      <c r="L72" s="98" t="s">
        <v>38</v>
      </c>
      <c r="M72" s="98" t="s">
        <v>41</v>
      </c>
      <c r="N72" s="98" t="s">
        <v>26</v>
      </c>
      <c r="O72" s="98" t="s">
        <v>40</v>
      </c>
      <c r="P72" s="98" t="s">
        <v>35</v>
      </c>
      <c r="Q72" s="98" t="s">
        <v>78</v>
      </c>
      <c r="R72" s="37" t="s">
        <v>36</v>
      </c>
      <c r="T72" s="97">
        <f t="shared" si="32"/>
        <v>9</v>
      </c>
      <c r="U72" s="97">
        <f t="shared" si="33"/>
        <v>12</v>
      </c>
      <c r="V72" s="97">
        <f t="shared" si="34"/>
        <v>8</v>
      </c>
      <c r="W72" s="97">
        <f t="shared" si="35"/>
        <v>11</v>
      </c>
      <c r="X72" s="97">
        <f t="shared" si="36"/>
        <v>4</v>
      </c>
      <c r="Y72" s="97">
        <f t="shared" si="37"/>
        <v>6</v>
      </c>
      <c r="Z72" s="97">
        <f t="shared" si="38"/>
        <v>5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74" t="s">
        <v>27</v>
      </c>
      <c r="AK72" s="90">
        <v>40</v>
      </c>
      <c r="AL72" s="182">
        <v>8</v>
      </c>
      <c r="AM72" s="182">
        <v>25</v>
      </c>
      <c r="AN72" s="182">
        <v>10</v>
      </c>
      <c r="AO72" s="182">
        <v>1</v>
      </c>
      <c r="AP72" s="182">
        <v>40</v>
      </c>
      <c r="AQ72" s="92">
        <v>10</v>
      </c>
      <c r="AR72" s="78">
        <v>9</v>
      </c>
      <c r="AT72" s="172">
        <v>7</v>
      </c>
      <c r="AU72" s="174">
        <v>0</v>
      </c>
      <c r="BD72" s="22">
        <v>68</v>
      </c>
      <c r="BE72" s="98" t="s">
        <v>36</v>
      </c>
      <c r="BF72" s="98" t="s">
        <v>39</v>
      </c>
      <c r="BG72" s="98" t="s">
        <v>40</v>
      </c>
      <c r="BH72" s="98" t="s">
        <v>175</v>
      </c>
      <c r="BI72" s="98" t="s">
        <v>175</v>
      </c>
      <c r="BJ72" s="98" t="s">
        <v>78</v>
      </c>
      <c r="BK72" s="37" t="s">
        <v>34</v>
      </c>
      <c r="BM72" s="97">
        <f t="shared" si="39"/>
        <v>5</v>
      </c>
      <c r="BN72" s="97">
        <f t="shared" si="40"/>
        <v>10</v>
      </c>
      <c r="BO72" s="97">
        <f t="shared" si="41"/>
        <v>11</v>
      </c>
      <c r="BP72" s="97">
        <f t="shared" si="42"/>
        <v>17</v>
      </c>
      <c r="BQ72" s="97">
        <f t="shared" si="43"/>
        <v>17</v>
      </c>
      <c r="BR72" s="97">
        <f t="shared" si="44"/>
        <v>6</v>
      </c>
      <c r="BS72" s="97">
        <f t="shared" si="45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74" t="s">
        <v>27</v>
      </c>
      <c r="CD72" s="75">
        <v>1</v>
      </c>
      <c r="CE72" s="76">
        <v>1</v>
      </c>
      <c r="CF72" s="76">
        <v>1</v>
      </c>
      <c r="CG72" s="76">
        <v>70</v>
      </c>
      <c r="CH72" s="76">
        <v>1</v>
      </c>
      <c r="CI72" s="76">
        <v>70</v>
      </c>
      <c r="CJ72" s="77">
        <v>1</v>
      </c>
      <c r="CK72" s="78">
        <v>9</v>
      </c>
    </row>
    <row r="73" spans="1:89" ht="16.5" customHeight="1">
      <c r="K73" s="21">
        <v>69</v>
      </c>
      <c r="L73" s="98" t="s">
        <v>41</v>
      </c>
      <c r="M73" s="98" t="s">
        <v>78</v>
      </c>
      <c r="N73" s="98" t="s">
        <v>26</v>
      </c>
      <c r="O73" s="98" t="s">
        <v>26</v>
      </c>
      <c r="P73" s="98" t="s">
        <v>40</v>
      </c>
      <c r="Q73" s="98" t="s">
        <v>26</v>
      </c>
      <c r="R73" s="37" t="s">
        <v>36</v>
      </c>
      <c r="T73" s="97">
        <f t="shared" si="32"/>
        <v>12</v>
      </c>
      <c r="U73" s="97">
        <f t="shared" si="33"/>
        <v>6</v>
      </c>
      <c r="V73" s="97">
        <f t="shared" si="34"/>
        <v>8</v>
      </c>
      <c r="W73" s="97">
        <f t="shared" si="35"/>
        <v>8</v>
      </c>
      <c r="X73" s="97">
        <f t="shared" si="36"/>
        <v>11</v>
      </c>
      <c r="Y73" s="97">
        <f t="shared" si="37"/>
        <v>8</v>
      </c>
      <c r="Z73" s="97">
        <f t="shared" si="38"/>
        <v>5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74" t="s">
        <v>28</v>
      </c>
      <c r="AK73" s="90">
        <v>10</v>
      </c>
      <c r="AL73" s="182">
        <v>30</v>
      </c>
      <c r="AM73" s="182">
        <v>30</v>
      </c>
      <c r="AN73" s="182">
        <v>10</v>
      </c>
      <c r="AO73" s="182">
        <v>40</v>
      </c>
      <c r="AP73" s="182">
        <v>1</v>
      </c>
      <c r="AQ73" s="92">
        <v>10</v>
      </c>
      <c r="AR73" s="78">
        <v>10</v>
      </c>
      <c r="BD73" s="21">
        <v>69</v>
      </c>
      <c r="BE73" s="98" t="s">
        <v>38</v>
      </c>
      <c r="BF73" s="98" t="s">
        <v>39</v>
      </c>
      <c r="BG73" s="98" t="s">
        <v>40</v>
      </c>
      <c r="BH73" s="98" t="s">
        <v>78</v>
      </c>
      <c r="BI73" s="98" t="s">
        <v>78</v>
      </c>
      <c r="BJ73" s="98" t="s">
        <v>41</v>
      </c>
      <c r="BK73" s="37" t="s">
        <v>34</v>
      </c>
      <c r="BM73" s="97">
        <f t="shared" si="39"/>
        <v>9</v>
      </c>
      <c r="BN73" s="97">
        <f t="shared" si="40"/>
        <v>10</v>
      </c>
      <c r="BO73" s="97">
        <f t="shared" si="41"/>
        <v>11</v>
      </c>
      <c r="BP73" s="97">
        <f t="shared" si="42"/>
        <v>6</v>
      </c>
      <c r="BQ73" s="97">
        <f t="shared" si="43"/>
        <v>6</v>
      </c>
      <c r="BR73" s="97">
        <f t="shared" si="44"/>
        <v>12</v>
      </c>
      <c r="BS73" s="97">
        <f t="shared" si="45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74" t="s">
        <v>28</v>
      </c>
      <c r="CD73" s="75">
        <v>1</v>
      </c>
      <c r="CE73" s="76">
        <v>1</v>
      </c>
      <c r="CF73" s="76">
        <v>5</v>
      </c>
      <c r="CG73" s="76">
        <v>1</v>
      </c>
      <c r="CH73" s="76">
        <v>1</v>
      </c>
      <c r="CI73" s="76">
        <v>1</v>
      </c>
      <c r="CJ73" s="77">
        <v>3</v>
      </c>
      <c r="CK73" s="78">
        <v>10</v>
      </c>
    </row>
    <row r="74" spans="1:89" ht="16.5" customHeight="1">
      <c r="K74" s="22">
        <v>70</v>
      </c>
      <c r="L74" s="98" t="s">
        <v>33</v>
      </c>
      <c r="M74" s="98" t="s">
        <v>175</v>
      </c>
      <c r="N74" s="98" t="s">
        <v>36</v>
      </c>
      <c r="O74" s="98" t="s">
        <v>78</v>
      </c>
      <c r="P74" s="98" t="s">
        <v>36</v>
      </c>
      <c r="Q74" s="98" t="s">
        <v>26</v>
      </c>
      <c r="R74" s="37" t="s">
        <v>78</v>
      </c>
      <c r="T74" s="97">
        <f t="shared" si="32"/>
        <v>2</v>
      </c>
      <c r="U74" s="97">
        <f t="shared" si="33"/>
        <v>17</v>
      </c>
      <c r="V74" s="97">
        <f t="shared" si="34"/>
        <v>5</v>
      </c>
      <c r="W74" s="97">
        <f t="shared" si="35"/>
        <v>6</v>
      </c>
      <c r="X74" s="97">
        <f t="shared" si="36"/>
        <v>5</v>
      </c>
      <c r="Y74" s="97">
        <f t="shared" si="37"/>
        <v>8</v>
      </c>
      <c r="Z74" s="97">
        <f t="shared" si="38"/>
        <v>6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74" t="s">
        <v>29</v>
      </c>
      <c r="AK74" s="90">
        <v>40</v>
      </c>
      <c r="AL74" s="182">
        <v>30</v>
      </c>
      <c r="AM74" s="182">
        <v>30</v>
      </c>
      <c r="AN74" s="182">
        <v>1</v>
      </c>
      <c r="AO74" s="182">
        <v>1</v>
      </c>
      <c r="AP74" s="182">
        <v>1</v>
      </c>
      <c r="AQ74" s="92">
        <v>10</v>
      </c>
      <c r="AR74" s="78">
        <v>11</v>
      </c>
      <c r="BD74" s="22">
        <v>70</v>
      </c>
      <c r="BE74" s="98" t="s">
        <v>41</v>
      </c>
      <c r="BF74" s="98" t="s">
        <v>206</v>
      </c>
      <c r="BG74" s="98" t="s">
        <v>40</v>
      </c>
      <c r="BH74" s="98" t="s">
        <v>78</v>
      </c>
      <c r="BI74" s="98" t="s">
        <v>36</v>
      </c>
      <c r="BJ74" s="98" t="s">
        <v>40</v>
      </c>
      <c r="BK74" s="37" t="s">
        <v>35</v>
      </c>
      <c r="BM74" s="97">
        <f t="shared" si="39"/>
        <v>12</v>
      </c>
      <c r="BN74" s="97">
        <f t="shared" si="40"/>
        <v>22</v>
      </c>
      <c r="BO74" s="97">
        <f t="shared" si="41"/>
        <v>11</v>
      </c>
      <c r="BP74" s="97">
        <f t="shared" si="42"/>
        <v>6</v>
      </c>
      <c r="BQ74" s="97">
        <f t="shared" si="43"/>
        <v>5</v>
      </c>
      <c r="BR74" s="97">
        <f t="shared" si="44"/>
        <v>11</v>
      </c>
      <c r="BS74" s="97">
        <f t="shared" si="45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74" t="s">
        <v>29</v>
      </c>
      <c r="CD74" s="75">
        <v>1</v>
      </c>
      <c r="CE74" s="76">
        <v>70</v>
      </c>
      <c r="CF74" s="76">
        <v>1</v>
      </c>
      <c r="CG74" s="76">
        <v>1</v>
      </c>
      <c r="CH74" s="76">
        <v>1</v>
      </c>
      <c r="CI74" s="76">
        <v>1</v>
      </c>
      <c r="CJ74" s="77">
        <v>1</v>
      </c>
      <c r="CK74" s="78">
        <v>11</v>
      </c>
    </row>
    <row r="75" spans="1:89" ht="16.5" customHeight="1">
      <c r="K75" s="21">
        <v>71</v>
      </c>
      <c r="L75" s="98" t="s">
        <v>36</v>
      </c>
      <c r="M75" s="98" t="s">
        <v>39</v>
      </c>
      <c r="N75" s="98" t="s">
        <v>163</v>
      </c>
      <c r="O75" s="98" t="s">
        <v>34</v>
      </c>
      <c r="P75" s="98" t="s">
        <v>40</v>
      </c>
      <c r="Q75" s="98" t="s">
        <v>34</v>
      </c>
      <c r="R75" s="37" t="s">
        <v>78</v>
      </c>
      <c r="T75" s="97">
        <f t="shared" si="32"/>
        <v>5</v>
      </c>
      <c r="U75" s="97">
        <f t="shared" si="33"/>
        <v>10</v>
      </c>
      <c r="V75" s="97">
        <f t="shared" si="34"/>
        <v>7</v>
      </c>
      <c r="W75" s="97">
        <f t="shared" si="35"/>
        <v>3</v>
      </c>
      <c r="X75" s="97">
        <f t="shared" si="36"/>
        <v>11</v>
      </c>
      <c r="Y75" s="97">
        <f t="shared" si="37"/>
        <v>3</v>
      </c>
      <c r="Z75" s="97">
        <f t="shared" si="38"/>
        <v>6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74" t="s">
        <v>30</v>
      </c>
      <c r="AK75" s="90">
        <v>5</v>
      </c>
      <c r="AL75" s="182">
        <v>40</v>
      </c>
      <c r="AM75" s="182">
        <v>20</v>
      </c>
      <c r="AN75" s="182">
        <v>1</v>
      </c>
      <c r="AO75" s="182">
        <v>1</v>
      </c>
      <c r="AP75" s="182">
        <v>1</v>
      </c>
      <c r="AQ75" s="92">
        <v>10</v>
      </c>
      <c r="AR75" s="78">
        <v>12</v>
      </c>
      <c r="BD75" s="21">
        <v>71</v>
      </c>
      <c r="BE75" s="98" t="s">
        <v>41</v>
      </c>
      <c r="BF75" s="98" t="s">
        <v>40</v>
      </c>
      <c r="BG75" s="98" t="s">
        <v>38</v>
      </c>
      <c r="BH75" s="98" t="s">
        <v>26</v>
      </c>
      <c r="BI75" s="98" t="s">
        <v>26</v>
      </c>
      <c r="BJ75" s="98" t="s">
        <v>26</v>
      </c>
      <c r="BK75" s="37" t="s">
        <v>35</v>
      </c>
      <c r="BM75" s="97">
        <f t="shared" si="39"/>
        <v>12</v>
      </c>
      <c r="BN75" s="97">
        <f t="shared" si="40"/>
        <v>11</v>
      </c>
      <c r="BO75" s="97">
        <f t="shared" si="41"/>
        <v>9</v>
      </c>
      <c r="BP75" s="97">
        <f t="shared" si="42"/>
        <v>8</v>
      </c>
      <c r="BQ75" s="97">
        <f t="shared" si="43"/>
        <v>8</v>
      </c>
      <c r="BR75" s="97">
        <f t="shared" si="44"/>
        <v>8</v>
      </c>
      <c r="BS75" s="97">
        <f t="shared" si="45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74" t="s">
        <v>30</v>
      </c>
      <c r="CD75" s="75">
        <v>70</v>
      </c>
      <c r="CE75" s="76">
        <v>1</v>
      </c>
      <c r="CF75" s="76">
        <v>1</v>
      </c>
      <c r="CG75" s="76">
        <v>1</v>
      </c>
      <c r="CH75" s="76">
        <v>1</v>
      </c>
      <c r="CI75" s="76">
        <v>1</v>
      </c>
      <c r="CJ75" s="77">
        <v>1</v>
      </c>
      <c r="CK75" s="78">
        <v>12</v>
      </c>
    </row>
    <row r="76" spans="1:89" ht="16.5" customHeight="1">
      <c r="K76" s="22">
        <v>72</v>
      </c>
      <c r="L76" s="98" t="s">
        <v>40</v>
      </c>
      <c r="M76" s="98" t="s">
        <v>36</v>
      </c>
      <c r="N76" s="98" t="s">
        <v>163</v>
      </c>
      <c r="O76" s="98" t="s">
        <v>36</v>
      </c>
      <c r="P76" s="98" t="s">
        <v>40</v>
      </c>
      <c r="Q76" s="98" t="s">
        <v>35</v>
      </c>
      <c r="R76" s="37" t="s">
        <v>78</v>
      </c>
      <c r="T76" s="97">
        <f t="shared" si="32"/>
        <v>11</v>
      </c>
      <c r="U76" s="97">
        <f t="shared" si="33"/>
        <v>5</v>
      </c>
      <c r="V76" s="97">
        <f t="shared" si="34"/>
        <v>7</v>
      </c>
      <c r="W76" s="97">
        <f t="shared" si="35"/>
        <v>5</v>
      </c>
      <c r="X76" s="97">
        <f t="shared" si="36"/>
        <v>11</v>
      </c>
      <c r="Y76" s="97">
        <f t="shared" si="37"/>
        <v>4</v>
      </c>
      <c r="Z76" s="97">
        <f t="shared" si="38"/>
        <v>6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74" t="s">
        <v>82</v>
      </c>
      <c r="AK76" s="90">
        <v>0</v>
      </c>
      <c r="AL76" s="182">
        <v>1</v>
      </c>
      <c r="AM76" s="182">
        <v>1</v>
      </c>
      <c r="AN76" s="182">
        <v>1</v>
      </c>
      <c r="AO76" s="182">
        <v>1</v>
      </c>
      <c r="AP76" s="182">
        <v>0</v>
      </c>
      <c r="AQ76" s="92">
        <v>0</v>
      </c>
      <c r="AR76" s="78">
        <v>13</v>
      </c>
      <c r="BD76" s="22">
        <v>72</v>
      </c>
      <c r="BE76" s="98" t="s">
        <v>38</v>
      </c>
      <c r="BF76" s="98" t="s">
        <v>177</v>
      </c>
      <c r="BG76" s="98" t="s">
        <v>36</v>
      </c>
      <c r="BH76" s="98" t="s">
        <v>78</v>
      </c>
      <c r="BI76" s="98" t="s">
        <v>36</v>
      </c>
      <c r="BJ76" s="98" t="s">
        <v>26</v>
      </c>
      <c r="BK76" s="37" t="s">
        <v>35</v>
      </c>
      <c r="BM76" s="97">
        <f t="shared" si="39"/>
        <v>9</v>
      </c>
      <c r="BN76" s="97">
        <f t="shared" si="40"/>
        <v>18</v>
      </c>
      <c r="BO76" s="97">
        <f t="shared" si="41"/>
        <v>5</v>
      </c>
      <c r="BP76" s="97">
        <f t="shared" si="42"/>
        <v>6</v>
      </c>
      <c r="BQ76" s="97">
        <f t="shared" si="43"/>
        <v>5</v>
      </c>
      <c r="BR76" s="97">
        <f t="shared" si="44"/>
        <v>8</v>
      </c>
      <c r="BS76" s="97">
        <f t="shared" si="45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74" t="s">
        <v>82</v>
      </c>
      <c r="CD76" s="75">
        <v>0</v>
      </c>
      <c r="CE76" s="76">
        <v>0</v>
      </c>
      <c r="CF76" s="76">
        <v>0</v>
      </c>
      <c r="CG76" s="76">
        <v>0</v>
      </c>
      <c r="CH76" s="76">
        <v>0</v>
      </c>
      <c r="CI76" s="76">
        <v>0</v>
      </c>
      <c r="CJ76" s="77">
        <v>0</v>
      </c>
      <c r="CK76" s="78">
        <v>13</v>
      </c>
    </row>
    <row r="77" spans="1:89" ht="16.5" customHeight="1">
      <c r="K77" s="21">
        <v>73</v>
      </c>
      <c r="L77" s="98" t="s">
        <v>40</v>
      </c>
      <c r="M77" s="98" t="s">
        <v>163</v>
      </c>
      <c r="N77" s="98" t="s">
        <v>163</v>
      </c>
      <c r="O77" s="98" t="s">
        <v>33</v>
      </c>
      <c r="P77" s="98" t="s">
        <v>203</v>
      </c>
      <c r="Q77" s="98" t="s">
        <v>26</v>
      </c>
      <c r="R77" s="37" t="s">
        <v>38</v>
      </c>
      <c r="T77" s="97">
        <f t="shared" si="32"/>
        <v>11</v>
      </c>
      <c r="U77" s="97">
        <f t="shared" si="33"/>
        <v>7</v>
      </c>
      <c r="V77" s="97">
        <f t="shared" si="34"/>
        <v>7</v>
      </c>
      <c r="W77" s="97">
        <f t="shared" si="35"/>
        <v>2</v>
      </c>
      <c r="X77" s="97">
        <f t="shared" si="36"/>
        <v>20</v>
      </c>
      <c r="Y77" s="97">
        <f t="shared" si="37"/>
        <v>8</v>
      </c>
      <c r="Z77" s="97">
        <f t="shared" si="38"/>
        <v>9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74" t="s">
        <v>83</v>
      </c>
      <c r="AK77" s="90">
        <v>0</v>
      </c>
      <c r="AL77" s="182">
        <v>4</v>
      </c>
      <c r="AM77" s="182">
        <v>4</v>
      </c>
      <c r="AN77" s="182">
        <v>2</v>
      </c>
      <c r="AO77" s="182">
        <v>2</v>
      </c>
      <c r="AP77" s="182">
        <v>0</v>
      </c>
      <c r="AQ77" s="92">
        <v>0</v>
      </c>
      <c r="AR77" s="78">
        <v>14</v>
      </c>
      <c r="BD77" s="21">
        <v>73</v>
      </c>
      <c r="BE77" s="98" t="s">
        <v>40</v>
      </c>
      <c r="BF77" s="98" t="s">
        <v>26</v>
      </c>
      <c r="BG77" s="98" t="s">
        <v>40</v>
      </c>
      <c r="BH77" s="98" t="s">
        <v>40</v>
      </c>
      <c r="BI77" s="98" t="s">
        <v>35</v>
      </c>
      <c r="BJ77" s="98" t="s">
        <v>35</v>
      </c>
      <c r="BK77" s="37" t="s">
        <v>39</v>
      </c>
      <c r="BM77" s="97">
        <f t="shared" si="39"/>
        <v>11</v>
      </c>
      <c r="BN77" s="97">
        <f t="shared" si="40"/>
        <v>8</v>
      </c>
      <c r="BO77" s="97">
        <f t="shared" si="41"/>
        <v>11</v>
      </c>
      <c r="BP77" s="97">
        <f t="shared" si="42"/>
        <v>11</v>
      </c>
      <c r="BQ77" s="97">
        <f t="shared" si="43"/>
        <v>4</v>
      </c>
      <c r="BR77" s="97">
        <f t="shared" si="44"/>
        <v>4</v>
      </c>
      <c r="BS77" s="97">
        <f t="shared" si="45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74" t="s">
        <v>83</v>
      </c>
      <c r="CD77" s="75">
        <v>0</v>
      </c>
      <c r="CE77" s="76">
        <v>1</v>
      </c>
      <c r="CF77" s="76">
        <v>1</v>
      </c>
      <c r="CG77" s="76">
        <v>1</v>
      </c>
      <c r="CH77" s="76">
        <v>1</v>
      </c>
      <c r="CI77" s="76">
        <v>0</v>
      </c>
      <c r="CJ77" s="77">
        <v>0</v>
      </c>
      <c r="CK77" s="78">
        <v>14</v>
      </c>
    </row>
    <row r="78" spans="1:89" ht="16.5" customHeight="1">
      <c r="K78" s="22">
        <v>74</v>
      </c>
      <c r="L78" s="98" t="s">
        <v>78</v>
      </c>
      <c r="M78" s="98" t="s">
        <v>26</v>
      </c>
      <c r="N78" s="98" t="s">
        <v>40</v>
      </c>
      <c r="O78" s="98" t="s">
        <v>78</v>
      </c>
      <c r="P78" s="98" t="s">
        <v>38</v>
      </c>
      <c r="Q78" s="98" t="s">
        <v>26</v>
      </c>
      <c r="R78" s="37" t="s">
        <v>35</v>
      </c>
      <c r="T78" s="97">
        <f t="shared" si="32"/>
        <v>6</v>
      </c>
      <c r="U78" s="97">
        <f t="shared" si="33"/>
        <v>8</v>
      </c>
      <c r="V78" s="97">
        <f t="shared" si="34"/>
        <v>11</v>
      </c>
      <c r="W78" s="97">
        <f t="shared" si="35"/>
        <v>6</v>
      </c>
      <c r="X78" s="97">
        <f t="shared" si="36"/>
        <v>9</v>
      </c>
      <c r="Y78" s="97">
        <f t="shared" si="37"/>
        <v>8</v>
      </c>
      <c r="Z78" s="97">
        <f t="shared" si="38"/>
        <v>4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74" t="s">
        <v>84</v>
      </c>
      <c r="AK78" s="90">
        <v>0</v>
      </c>
      <c r="AL78" s="182">
        <v>5</v>
      </c>
      <c r="AM78" s="182">
        <v>5</v>
      </c>
      <c r="AN78" s="182">
        <v>2</v>
      </c>
      <c r="AO78" s="182">
        <v>2</v>
      </c>
      <c r="AP78" s="182">
        <v>0</v>
      </c>
      <c r="AQ78" s="92">
        <v>0</v>
      </c>
      <c r="AR78" s="78">
        <v>15</v>
      </c>
      <c r="BD78" s="22">
        <v>74</v>
      </c>
      <c r="BE78" s="98" t="s">
        <v>78</v>
      </c>
      <c r="BF78" s="98" t="s">
        <v>190</v>
      </c>
      <c r="BG78" s="98" t="s">
        <v>40</v>
      </c>
      <c r="BH78" s="98" t="s">
        <v>40</v>
      </c>
      <c r="BI78" s="98" t="s">
        <v>35</v>
      </c>
      <c r="BJ78" s="98" t="s">
        <v>35</v>
      </c>
      <c r="BK78" s="37" t="s">
        <v>39</v>
      </c>
      <c r="BM78" s="97">
        <f t="shared" si="39"/>
        <v>6</v>
      </c>
      <c r="BN78" s="97">
        <f t="shared" si="40"/>
        <v>24</v>
      </c>
      <c r="BO78" s="97">
        <f t="shared" si="41"/>
        <v>11</v>
      </c>
      <c r="BP78" s="97">
        <f t="shared" si="42"/>
        <v>11</v>
      </c>
      <c r="BQ78" s="97">
        <f t="shared" si="43"/>
        <v>4</v>
      </c>
      <c r="BR78" s="97">
        <f t="shared" si="44"/>
        <v>4</v>
      </c>
      <c r="BS78" s="97">
        <f t="shared" si="45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74" t="s">
        <v>84</v>
      </c>
      <c r="CD78" s="75">
        <v>0</v>
      </c>
      <c r="CE78" s="76">
        <v>1</v>
      </c>
      <c r="CF78" s="76">
        <v>1</v>
      </c>
      <c r="CG78" s="76">
        <v>1</v>
      </c>
      <c r="CH78" s="76">
        <v>1</v>
      </c>
      <c r="CI78" s="76">
        <v>0</v>
      </c>
      <c r="CJ78" s="77">
        <v>0</v>
      </c>
      <c r="CK78" s="78">
        <v>15</v>
      </c>
    </row>
    <row r="79" spans="1:89" ht="16.5" customHeight="1">
      <c r="K79" s="21">
        <v>75</v>
      </c>
      <c r="L79" s="98" t="s">
        <v>26</v>
      </c>
      <c r="M79" s="98" t="s">
        <v>41</v>
      </c>
      <c r="N79" s="98" t="s">
        <v>78</v>
      </c>
      <c r="O79" s="98" t="s">
        <v>163</v>
      </c>
      <c r="P79" s="98" t="s">
        <v>38</v>
      </c>
      <c r="Q79" s="98" t="s">
        <v>78</v>
      </c>
      <c r="R79" s="37" t="s">
        <v>39</v>
      </c>
      <c r="T79" s="97">
        <f t="shared" si="32"/>
        <v>8</v>
      </c>
      <c r="U79" s="97">
        <f t="shared" si="33"/>
        <v>12</v>
      </c>
      <c r="V79" s="97">
        <f t="shared" si="34"/>
        <v>6</v>
      </c>
      <c r="W79" s="97">
        <f t="shared" si="35"/>
        <v>7</v>
      </c>
      <c r="X79" s="97">
        <f t="shared" si="36"/>
        <v>9</v>
      </c>
      <c r="Y79" s="97">
        <f t="shared" si="37"/>
        <v>6</v>
      </c>
      <c r="Z79" s="97">
        <f t="shared" si="38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74" t="s">
        <v>85</v>
      </c>
      <c r="AK79" s="90">
        <v>0</v>
      </c>
      <c r="AL79" s="182">
        <v>5</v>
      </c>
      <c r="AM79" s="182">
        <v>5</v>
      </c>
      <c r="AN79" s="182">
        <v>5</v>
      </c>
      <c r="AO79" s="182">
        <v>8</v>
      </c>
      <c r="AP79" s="182">
        <v>0</v>
      </c>
      <c r="AQ79" s="92">
        <v>0</v>
      </c>
      <c r="AR79" s="78">
        <v>16</v>
      </c>
      <c r="BD79" s="21">
        <v>75</v>
      </c>
      <c r="BE79" s="98" t="s">
        <v>41</v>
      </c>
      <c r="BF79" s="98" t="s">
        <v>190</v>
      </c>
      <c r="BG79" s="98" t="s">
        <v>26</v>
      </c>
      <c r="BH79" s="98" t="s">
        <v>206</v>
      </c>
      <c r="BI79" s="98" t="s">
        <v>204</v>
      </c>
      <c r="BJ79" s="98" t="s">
        <v>35</v>
      </c>
      <c r="BK79" s="37" t="s">
        <v>39</v>
      </c>
      <c r="BM79" s="97">
        <f t="shared" si="39"/>
        <v>12</v>
      </c>
      <c r="BN79" s="97">
        <f t="shared" si="40"/>
        <v>24</v>
      </c>
      <c r="BO79" s="97">
        <f t="shared" si="41"/>
        <v>8</v>
      </c>
      <c r="BP79" s="97">
        <f t="shared" si="42"/>
        <v>22</v>
      </c>
      <c r="BQ79" s="97">
        <f t="shared" si="43"/>
        <v>15</v>
      </c>
      <c r="BR79" s="97">
        <f t="shared" si="44"/>
        <v>4</v>
      </c>
      <c r="BS79" s="97">
        <f t="shared" si="45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74" t="s">
        <v>85</v>
      </c>
      <c r="CD79" s="75">
        <v>0</v>
      </c>
      <c r="CE79" s="76">
        <v>1</v>
      </c>
      <c r="CF79" s="76">
        <v>1</v>
      </c>
      <c r="CG79" s="76">
        <v>1</v>
      </c>
      <c r="CH79" s="76">
        <v>1</v>
      </c>
      <c r="CI79" s="76">
        <v>0</v>
      </c>
      <c r="CJ79" s="77">
        <v>0</v>
      </c>
      <c r="CK79" s="78">
        <v>16</v>
      </c>
    </row>
    <row r="80" spans="1:89" ht="16.5">
      <c r="K80" s="22">
        <v>76</v>
      </c>
      <c r="L80" s="98" t="s">
        <v>163</v>
      </c>
      <c r="M80" s="98" t="s">
        <v>41</v>
      </c>
      <c r="N80" s="98" t="s">
        <v>35</v>
      </c>
      <c r="O80" s="98" t="s">
        <v>203</v>
      </c>
      <c r="P80" s="98" t="s">
        <v>41</v>
      </c>
      <c r="Q80" s="98" t="s">
        <v>39</v>
      </c>
      <c r="R80" s="98" t="s">
        <v>39</v>
      </c>
      <c r="T80" s="97">
        <f t="shared" si="32"/>
        <v>7</v>
      </c>
      <c r="U80" s="97">
        <f t="shared" si="33"/>
        <v>12</v>
      </c>
      <c r="V80" s="97">
        <f t="shared" si="34"/>
        <v>4</v>
      </c>
      <c r="W80" s="97">
        <f t="shared" si="35"/>
        <v>20</v>
      </c>
      <c r="X80" s="97">
        <f t="shared" si="36"/>
        <v>12</v>
      </c>
      <c r="Y80" s="97">
        <f t="shared" si="37"/>
        <v>10</v>
      </c>
      <c r="Z80" s="97">
        <f t="shared" si="38"/>
        <v>10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74" t="s">
        <v>86</v>
      </c>
      <c r="AK80" s="90">
        <v>0</v>
      </c>
      <c r="AL80" s="182">
        <v>8</v>
      </c>
      <c r="AM80" s="182">
        <v>8</v>
      </c>
      <c r="AN80" s="182">
        <v>5</v>
      </c>
      <c r="AO80" s="182">
        <v>8</v>
      </c>
      <c r="AP80" s="182">
        <v>0</v>
      </c>
      <c r="AQ80" s="92">
        <v>0</v>
      </c>
      <c r="AR80" s="78">
        <v>17</v>
      </c>
      <c r="BD80" s="22">
        <v>76</v>
      </c>
      <c r="BE80" s="98" t="s">
        <v>41</v>
      </c>
      <c r="BF80" s="98" t="s">
        <v>163</v>
      </c>
      <c r="BG80" s="98" t="s">
        <v>38</v>
      </c>
      <c r="BH80" s="98" t="s">
        <v>41</v>
      </c>
      <c r="BI80" s="98" t="s">
        <v>78</v>
      </c>
      <c r="BJ80" s="98" t="s">
        <v>78</v>
      </c>
      <c r="BK80" s="98" t="s">
        <v>35</v>
      </c>
      <c r="BM80" s="97">
        <f t="shared" si="39"/>
        <v>12</v>
      </c>
      <c r="BN80" s="97">
        <f t="shared" si="40"/>
        <v>7</v>
      </c>
      <c r="BO80" s="97">
        <f t="shared" si="41"/>
        <v>9</v>
      </c>
      <c r="BP80" s="97">
        <f t="shared" si="42"/>
        <v>12</v>
      </c>
      <c r="BQ80" s="97">
        <f t="shared" si="43"/>
        <v>6</v>
      </c>
      <c r="BR80" s="97">
        <f t="shared" si="44"/>
        <v>6</v>
      </c>
      <c r="BS80" s="97">
        <f t="shared" si="45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74" t="s">
        <v>86</v>
      </c>
      <c r="CD80" s="75">
        <v>0</v>
      </c>
      <c r="CE80" s="76">
        <v>1</v>
      </c>
      <c r="CF80" s="76">
        <v>1</v>
      </c>
      <c r="CG80" s="76">
        <v>1</v>
      </c>
      <c r="CH80" s="76">
        <v>2</v>
      </c>
      <c r="CI80" s="76">
        <v>0</v>
      </c>
      <c r="CJ80" s="77">
        <v>0</v>
      </c>
      <c r="CK80" s="78">
        <v>17</v>
      </c>
    </row>
    <row r="81" spans="11:89" ht="16.5">
      <c r="K81" s="21">
        <v>77</v>
      </c>
      <c r="L81" s="98" t="s">
        <v>78</v>
      </c>
      <c r="M81" s="98" t="s">
        <v>177</v>
      </c>
      <c r="N81" s="98" t="s">
        <v>35</v>
      </c>
      <c r="O81" s="98" t="s">
        <v>38</v>
      </c>
      <c r="P81" s="98" t="s">
        <v>41</v>
      </c>
      <c r="Q81" s="98" t="s">
        <v>39</v>
      </c>
      <c r="R81" s="37" t="s">
        <v>36</v>
      </c>
      <c r="T81" s="97">
        <f t="shared" si="32"/>
        <v>6</v>
      </c>
      <c r="U81" s="97">
        <f t="shared" si="33"/>
        <v>18</v>
      </c>
      <c r="V81" s="97">
        <f t="shared" si="34"/>
        <v>4</v>
      </c>
      <c r="W81" s="97">
        <f t="shared" si="35"/>
        <v>9</v>
      </c>
      <c r="X81" s="97">
        <f t="shared" si="36"/>
        <v>12</v>
      </c>
      <c r="Y81" s="97">
        <f t="shared" si="37"/>
        <v>10</v>
      </c>
      <c r="Z81" s="97">
        <f t="shared" si="38"/>
        <v>5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74" t="s">
        <v>176</v>
      </c>
      <c r="AK81" s="90">
        <v>0</v>
      </c>
      <c r="AL81" s="182">
        <v>5</v>
      </c>
      <c r="AM81" s="182">
        <v>12</v>
      </c>
      <c r="AN81" s="182">
        <v>12</v>
      </c>
      <c r="AO81" s="182">
        <v>5</v>
      </c>
      <c r="AP81" s="182">
        <v>0</v>
      </c>
      <c r="AQ81" s="92">
        <v>0</v>
      </c>
      <c r="AR81" s="78">
        <v>18</v>
      </c>
      <c r="BD81" s="21">
        <v>77</v>
      </c>
      <c r="BE81" s="98" t="s">
        <v>39</v>
      </c>
      <c r="BF81" s="98" t="s">
        <v>163</v>
      </c>
      <c r="BG81" s="98" t="s">
        <v>38</v>
      </c>
      <c r="BH81" s="98" t="s">
        <v>41</v>
      </c>
      <c r="BI81" s="98" t="s">
        <v>78</v>
      </c>
      <c r="BJ81" s="98" t="s">
        <v>78</v>
      </c>
      <c r="BK81" s="37" t="s">
        <v>41</v>
      </c>
      <c r="BM81" s="97">
        <f t="shared" si="39"/>
        <v>10</v>
      </c>
      <c r="BN81" s="97">
        <f t="shared" si="40"/>
        <v>7</v>
      </c>
      <c r="BO81" s="97">
        <f t="shared" si="41"/>
        <v>9</v>
      </c>
      <c r="BP81" s="97">
        <f t="shared" si="42"/>
        <v>12</v>
      </c>
      <c r="BQ81" s="97">
        <f t="shared" si="43"/>
        <v>6</v>
      </c>
      <c r="BR81" s="97">
        <f t="shared" si="44"/>
        <v>6</v>
      </c>
      <c r="BS81" s="97">
        <f t="shared" si="45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74" t="s">
        <v>176</v>
      </c>
      <c r="CD81" s="75">
        <v>0</v>
      </c>
      <c r="CE81" s="76">
        <v>1</v>
      </c>
      <c r="CF81" s="76">
        <v>1</v>
      </c>
      <c r="CG81" s="76">
        <v>1</v>
      </c>
      <c r="CH81" s="76">
        <v>1</v>
      </c>
      <c r="CI81" s="76">
        <v>0</v>
      </c>
      <c r="CJ81" s="77">
        <v>0</v>
      </c>
      <c r="CK81" s="78">
        <v>18</v>
      </c>
    </row>
    <row r="82" spans="11:89" ht="16.5">
      <c r="K82" s="22">
        <v>78</v>
      </c>
      <c r="L82" s="98" t="s">
        <v>36</v>
      </c>
      <c r="M82" s="98" t="s">
        <v>78</v>
      </c>
      <c r="N82" s="98" t="s">
        <v>38</v>
      </c>
      <c r="O82" s="98" t="s">
        <v>78</v>
      </c>
      <c r="P82" s="98" t="s">
        <v>36</v>
      </c>
      <c r="Q82" s="98" t="s">
        <v>26</v>
      </c>
      <c r="R82" s="37" t="s">
        <v>39</v>
      </c>
      <c r="T82" s="97">
        <f t="shared" si="32"/>
        <v>5</v>
      </c>
      <c r="U82" s="97">
        <f t="shared" si="33"/>
        <v>6</v>
      </c>
      <c r="V82" s="97">
        <f t="shared" si="34"/>
        <v>9</v>
      </c>
      <c r="W82" s="97">
        <f t="shared" si="35"/>
        <v>6</v>
      </c>
      <c r="X82" s="97">
        <f t="shared" si="36"/>
        <v>5</v>
      </c>
      <c r="Y82" s="97">
        <f t="shared" si="37"/>
        <v>8</v>
      </c>
      <c r="Z82" s="97">
        <f t="shared" si="38"/>
        <v>10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74" t="s">
        <v>87</v>
      </c>
      <c r="AK82" s="90">
        <v>0</v>
      </c>
      <c r="AL82" s="182">
        <v>6</v>
      </c>
      <c r="AM82" s="182">
        <v>6</v>
      </c>
      <c r="AN82" s="182">
        <v>4</v>
      </c>
      <c r="AO82" s="182">
        <v>6</v>
      </c>
      <c r="AP82" s="182">
        <v>0</v>
      </c>
      <c r="AQ82" s="92">
        <v>0</v>
      </c>
      <c r="AR82" s="78">
        <v>19</v>
      </c>
      <c r="BD82" s="22">
        <v>78</v>
      </c>
      <c r="BE82" s="98" t="s">
        <v>40</v>
      </c>
      <c r="BF82" s="98" t="s">
        <v>34</v>
      </c>
      <c r="BG82" s="98" t="s">
        <v>38</v>
      </c>
      <c r="BH82" s="98" t="s">
        <v>26</v>
      </c>
      <c r="BI82" s="98" t="s">
        <v>163</v>
      </c>
      <c r="BJ82" s="98" t="s">
        <v>78</v>
      </c>
      <c r="BK82" s="37" t="s">
        <v>41</v>
      </c>
      <c r="BM82" s="97">
        <f t="shared" si="39"/>
        <v>11</v>
      </c>
      <c r="BN82" s="97">
        <f t="shared" si="40"/>
        <v>3</v>
      </c>
      <c r="BO82" s="97">
        <f t="shared" si="41"/>
        <v>9</v>
      </c>
      <c r="BP82" s="97">
        <f t="shared" si="42"/>
        <v>8</v>
      </c>
      <c r="BQ82" s="97">
        <f t="shared" si="43"/>
        <v>7</v>
      </c>
      <c r="BR82" s="97">
        <f t="shared" si="44"/>
        <v>6</v>
      </c>
      <c r="BS82" s="97">
        <f t="shared" si="45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74" t="s">
        <v>87</v>
      </c>
      <c r="CD82" s="75">
        <v>0</v>
      </c>
      <c r="CE82" s="76">
        <v>1</v>
      </c>
      <c r="CF82" s="76">
        <v>1</v>
      </c>
      <c r="CG82" s="76">
        <v>1</v>
      </c>
      <c r="CH82" s="76">
        <v>1</v>
      </c>
      <c r="CI82" s="76">
        <v>0</v>
      </c>
      <c r="CJ82" s="77">
        <v>0</v>
      </c>
      <c r="CK82" s="78">
        <v>19</v>
      </c>
    </row>
    <row r="83" spans="11:89" ht="16.5">
      <c r="K83" s="21">
        <v>79</v>
      </c>
      <c r="L83" s="98" t="s">
        <v>38</v>
      </c>
      <c r="M83" s="98" t="s">
        <v>78</v>
      </c>
      <c r="N83" s="98" t="s">
        <v>39</v>
      </c>
      <c r="O83" s="98" t="s">
        <v>205</v>
      </c>
      <c r="P83" s="98" t="s">
        <v>207</v>
      </c>
      <c r="Q83" s="98" t="s">
        <v>26</v>
      </c>
      <c r="R83" s="37" t="s">
        <v>39</v>
      </c>
      <c r="T83" s="97">
        <f t="shared" si="32"/>
        <v>9</v>
      </c>
      <c r="U83" s="97">
        <f t="shared" si="33"/>
        <v>6</v>
      </c>
      <c r="V83" s="97">
        <f t="shared" si="34"/>
        <v>10</v>
      </c>
      <c r="W83" s="97">
        <f t="shared" si="35"/>
        <v>21</v>
      </c>
      <c r="X83" s="97">
        <f t="shared" si="36"/>
        <v>16</v>
      </c>
      <c r="Y83" s="97">
        <f t="shared" si="37"/>
        <v>8</v>
      </c>
      <c r="Z83" s="97">
        <f t="shared" si="38"/>
        <v>10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74" t="s">
        <v>88</v>
      </c>
      <c r="AK83" s="90">
        <v>0</v>
      </c>
      <c r="AL83" s="182">
        <v>8</v>
      </c>
      <c r="AM83" s="182">
        <v>6</v>
      </c>
      <c r="AN83" s="182">
        <v>4</v>
      </c>
      <c r="AO83" s="182">
        <v>4</v>
      </c>
      <c r="AP83" s="182">
        <v>0</v>
      </c>
      <c r="AQ83" s="92">
        <v>0</v>
      </c>
      <c r="AR83" s="78">
        <v>20</v>
      </c>
      <c r="BD83" s="21">
        <v>79</v>
      </c>
      <c r="BE83" s="98" t="s">
        <v>78</v>
      </c>
      <c r="BF83" s="98" t="s">
        <v>34</v>
      </c>
      <c r="BG83" s="98" t="s">
        <v>36</v>
      </c>
      <c r="BH83" s="98" t="s">
        <v>207</v>
      </c>
      <c r="BI83" s="98" t="s">
        <v>163</v>
      </c>
      <c r="BJ83" s="98" t="s">
        <v>41</v>
      </c>
      <c r="BK83" s="37" t="s">
        <v>41</v>
      </c>
      <c r="BM83" s="97">
        <f t="shared" si="39"/>
        <v>6</v>
      </c>
      <c r="BN83" s="97">
        <f t="shared" si="40"/>
        <v>3</v>
      </c>
      <c r="BO83" s="97">
        <f t="shared" si="41"/>
        <v>5</v>
      </c>
      <c r="BP83" s="97">
        <f t="shared" si="42"/>
        <v>16</v>
      </c>
      <c r="BQ83" s="97">
        <f t="shared" si="43"/>
        <v>7</v>
      </c>
      <c r="BR83" s="97">
        <f t="shared" si="44"/>
        <v>12</v>
      </c>
      <c r="BS83" s="97">
        <f t="shared" si="45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74" t="s">
        <v>88</v>
      </c>
      <c r="CD83" s="75">
        <v>0</v>
      </c>
      <c r="CE83" s="76">
        <v>1</v>
      </c>
      <c r="CF83" s="76">
        <v>1</v>
      </c>
      <c r="CG83" s="76">
        <v>1</v>
      </c>
      <c r="CH83" s="76">
        <v>1</v>
      </c>
      <c r="CI83" s="76">
        <v>0</v>
      </c>
      <c r="CJ83" s="77">
        <v>0</v>
      </c>
      <c r="CK83" s="78">
        <v>20</v>
      </c>
    </row>
    <row r="84" spans="11:89" ht="16.5">
      <c r="K84" s="22">
        <v>80</v>
      </c>
      <c r="L84" s="98" t="s">
        <v>38</v>
      </c>
      <c r="M84" s="98" t="s">
        <v>175</v>
      </c>
      <c r="N84" s="98" t="s">
        <v>203</v>
      </c>
      <c r="O84" s="98" t="s">
        <v>39</v>
      </c>
      <c r="P84" s="98" t="s">
        <v>38</v>
      </c>
      <c r="Q84" s="98" t="s">
        <v>38</v>
      </c>
      <c r="R84" s="37" t="s">
        <v>39</v>
      </c>
      <c r="T84" s="97">
        <f t="shared" si="32"/>
        <v>9</v>
      </c>
      <c r="U84" s="97">
        <f t="shared" si="33"/>
        <v>17</v>
      </c>
      <c r="V84" s="97">
        <f t="shared" si="34"/>
        <v>20</v>
      </c>
      <c r="W84" s="97">
        <f t="shared" si="35"/>
        <v>10</v>
      </c>
      <c r="X84" s="97">
        <f t="shared" si="36"/>
        <v>9</v>
      </c>
      <c r="Y84" s="97">
        <f t="shared" si="37"/>
        <v>9</v>
      </c>
      <c r="Z84" s="97">
        <f t="shared" si="38"/>
        <v>10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74" t="s">
        <v>89</v>
      </c>
      <c r="AK84" s="90">
        <v>0</v>
      </c>
      <c r="AL84" s="182">
        <v>10</v>
      </c>
      <c r="AM84" s="182">
        <v>6</v>
      </c>
      <c r="AN84" s="182">
        <v>2</v>
      </c>
      <c r="AO84" s="182">
        <v>8</v>
      </c>
      <c r="AP84" s="182">
        <v>0</v>
      </c>
      <c r="AQ84" s="92">
        <v>0</v>
      </c>
      <c r="AR84" s="78">
        <v>21</v>
      </c>
      <c r="BD84" s="22">
        <v>80</v>
      </c>
      <c r="BE84" s="98" t="s">
        <v>78</v>
      </c>
      <c r="BF84" s="98" t="s">
        <v>38</v>
      </c>
      <c r="BG84" s="98" t="s">
        <v>40</v>
      </c>
      <c r="BH84" s="98" t="s">
        <v>36</v>
      </c>
      <c r="BI84" s="98" t="s">
        <v>177</v>
      </c>
      <c r="BJ84" s="98" t="s">
        <v>39</v>
      </c>
      <c r="BK84" s="37" t="s">
        <v>26</v>
      </c>
      <c r="BM84" s="97">
        <f t="shared" si="39"/>
        <v>6</v>
      </c>
      <c r="BN84" s="97">
        <f t="shared" si="40"/>
        <v>9</v>
      </c>
      <c r="BO84" s="97">
        <f t="shared" si="41"/>
        <v>11</v>
      </c>
      <c r="BP84" s="97">
        <f t="shared" si="42"/>
        <v>5</v>
      </c>
      <c r="BQ84" s="97">
        <f t="shared" si="43"/>
        <v>18</v>
      </c>
      <c r="BR84" s="97">
        <f t="shared" si="44"/>
        <v>10</v>
      </c>
      <c r="BS84" s="97">
        <f t="shared" si="45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74" t="s">
        <v>89</v>
      </c>
      <c r="CD84" s="75">
        <v>0</v>
      </c>
      <c r="CE84" s="76">
        <v>1</v>
      </c>
      <c r="CF84" s="76">
        <v>1</v>
      </c>
      <c r="CG84" s="76">
        <v>1</v>
      </c>
      <c r="CH84" s="76">
        <v>1</v>
      </c>
      <c r="CI84" s="76">
        <v>0</v>
      </c>
      <c r="CJ84" s="77">
        <v>0</v>
      </c>
      <c r="CK84" s="78">
        <v>21</v>
      </c>
    </row>
    <row r="85" spans="11:89" ht="16.5">
      <c r="K85" s="21">
        <v>81</v>
      </c>
      <c r="L85" s="98" t="s">
        <v>41</v>
      </c>
      <c r="M85" s="98" t="s">
        <v>26</v>
      </c>
      <c r="N85" s="98" t="s">
        <v>40</v>
      </c>
      <c r="O85" s="98" t="s">
        <v>39</v>
      </c>
      <c r="P85" s="98" t="s">
        <v>38</v>
      </c>
      <c r="Q85" s="98" t="s">
        <v>34</v>
      </c>
      <c r="R85" s="37" t="s">
        <v>34</v>
      </c>
      <c r="T85" s="97">
        <f t="shared" si="32"/>
        <v>12</v>
      </c>
      <c r="U85" s="97">
        <f t="shared" si="33"/>
        <v>8</v>
      </c>
      <c r="V85" s="97">
        <f t="shared" si="34"/>
        <v>11</v>
      </c>
      <c r="W85" s="97">
        <f t="shared" si="35"/>
        <v>10</v>
      </c>
      <c r="X85" s="97">
        <f t="shared" si="36"/>
        <v>9</v>
      </c>
      <c r="Y85" s="97">
        <f t="shared" si="37"/>
        <v>3</v>
      </c>
      <c r="Z85" s="97">
        <f t="shared" si="38"/>
        <v>3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74" t="s">
        <v>90</v>
      </c>
      <c r="AK85" s="90">
        <v>0</v>
      </c>
      <c r="AL85" s="182">
        <v>5</v>
      </c>
      <c r="AM85" s="182">
        <v>6</v>
      </c>
      <c r="AN85" s="182">
        <v>2</v>
      </c>
      <c r="AO85" s="182">
        <v>4</v>
      </c>
      <c r="AP85" s="182">
        <v>0</v>
      </c>
      <c r="AQ85" s="92">
        <v>0</v>
      </c>
      <c r="AR85" s="78">
        <v>22</v>
      </c>
      <c r="BD85" s="21">
        <v>81</v>
      </c>
      <c r="BE85" s="98" t="s">
        <v>40</v>
      </c>
      <c r="BF85" s="98" t="s">
        <v>38</v>
      </c>
      <c r="BG85" s="98" t="s">
        <v>34</v>
      </c>
      <c r="BH85" s="98" t="s">
        <v>78</v>
      </c>
      <c r="BI85" s="98" t="s">
        <v>40</v>
      </c>
      <c r="BJ85" s="98" t="s">
        <v>39</v>
      </c>
      <c r="BK85" s="37" t="s">
        <v>26</v>
      </c>
      <c r="BM85" s="97">
        <f t="shared" si="39"/>
        <v>11</v>
      </c>
      <c r="BN85" s="97">
        <f t="shared" si="40"/>
        <v>9</v>
      </c>
      <c r="BO85" s="97">
        <f t="shared" si="41"/>
        <v>3</v>
      </c>
      <c r="BP85" s="97">
        <f t="shared" si="42"/>
        <v>6</v>
      </c>
      <c r="BQ85" s="97">
        <f t="shared" si="43"/>
        <v>11</v>
      </c>
      <c r="BR85" s="97">
        <f t="shared" si="44"/>
        <v>10</v>
      </c>
      <c r="BS85" s="97">
        <f t="shared" si="45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74" t="s">
        <v>90</v>
      </c>
      <c r="CD85" s="75">
        <v>0</v>
      </c>
      <c r="CE85" s="76">
        <v>1</v>
      </c>
      <c r="CF85" s="76">
        <v>1</v>
      </c>
      <c r="CG85" s="76">
        <v>1</v>
      </c>
      <c r="CH85" s="76">
        <v>1</v>
      </c>
      <c r="CI85" s="76">
        <v>0</v>
      </c>
      <c r="CJ85" s="77">
        <v>0</v>
      </c>
      <c r="CK85" s="78">
        <v>22</v>
      </c>
    </row>
    <row r="86" spans="11:89" ht="17.25" thickBot="1">
      <c r="K86" s="22">
        <v>82</v>
      </c>
      <c r="L86" s="98" t="s">
        <v>41</v>
      </c>
      <c r="M86" s="98" t="s">
        <v>38</v>
      </c>
      <c r="N86" s="98" t="s">
        <v>33</v>
      </c>
      <c r="O86" s="98" t="s">
        <v>26</v>
      </c>
      <c r="P86" s="98" t="s">
        <v>26</v>
      </c>
      <c r="Q86" s="98" t="s">
        <v>34</v>
      </c>
      <c r="R86" s="37" t="s">
        <v>36</v>
      </c>
      <c r="T86" s="97">
        <f t="shared" si="32"/>
        <v>12</v>
      </c>
      <c r="U86" s="97">
        <f t="shared" si="33"/>
        <v>9</v>
      </c>
      <c r="V86" s="97">
        <f t="shared" si="34"/>
        <v>2</v>
      </c>
      <c r="W86" s="97">
        <f t="shared" si="35"/>
        <v>8</v>
      </c>
      <c r="X86" s="97">
        <f t="shared" si="36"/>
        <v>8</v>
      </c>
      <c r="Y86" s="97">
        <f t="shared" si="37"/>
        <v>3</v>
      </c>
      <c r="Z86" s="97">
        <f t="shared" si="38"/>
        <v>5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80" t="s">
        <v>91</v>
      </c>
      <c r="AK86" s="90">
        <v>0</v>
      </c>
      <c r="AL86" s="182">
        <v>4</v>
      </c>
      <c r="AM86" s="182">
        <v>6</v>
      </c>
      <c r="AN86" s="182">
        <v>2</v>
      </c>
      <c r="AO86" s="182">
        <v>4</v>
      </c>
      <c r="AP86" s="182">
        <v>0</v>
      </c>
      <c r="AQ86" s="92">
        <v>0</v>
      </c>
      <c r="AR86" s="178">
        <v>23</v>
      </c>
      <c r="BD86" s="22">
        <v>82</v>
      </c>
      <c r="BE86" s="98" t="s">
        <v>41</v>
      </c>
      <c r="BF86" s="98" t="s">
        <v>39</v>
      </c>
      <c r="BG86" s="98" t="s">
        <v>34</v>
      </c>
      <c r="BH86" s="98" t="s">
        <v>39</v>
      </c>
      <c r="BI86" s="98" t="s">
        <v>40</v>
      </c>
      <c r="BJ86" s="98" t="s">
        <v>26</v>
      </c>
      <c r="BK86" s="37" t="s">
        <v>26</v>
      </c>
      <c r="BM86" s="97">
        <f t="shared" si="39"/>
        <v>12</v>
      </c>
      <c r="BN86" s="97">
        <f t="shared" si="40"/>
        <v>10</v>
      </c>
      <c r="BO86" s="97">
        <f t="shared" si="41"/>
        <v>3</v>
      </c>
      <c r="BP86" s="97">
        <f t="shared" si="42"/>
        <v>10</v>
      </c>
      <c r="BQ86" s="97">
        <f t="shared" si="43"/>
        <v>11</v>
      </c>
      <c r="BR86" s="97">
        <f t="shared" si="44"/>
        <v>8</v>
      </c>
      <c r="BS86" s="97">
        <f t="shared" si="45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80" t="s">
        <v>91</v>
      </c>
      <c r="CD86" s="81">
        <v>0</v>
      </c>
      <c r="CE86" s="82">
        <v>1</v>
      </c>
      <c r="CF86" s="82">
        <v>1</v>
      </c>
      <c r="CG86" s="82">
        <v>1</v>
      </c>
      <c r="CH86" s="82">
        <v>1</v>
      </c>
      <c r="CI86" s="82">
        <v>0</v>
      </c>
      <c r="CJ86" s="83">
        <v>0</v>
      </c>
      <c r="CK86" s="178">
        <v>23</v>
      </c>
    </row>
    <row r="87" spans="11:89" ht="16.5">
      <c r="K87" s="21">
        <v>83</v>
      </c>
      <c r="L87" s="98" t="s">
        <v>38</v>
      </c>
      <c r="M87" s="98" t="s">
        <v>36</v>
      </c>
      <c r="N87" s="98" t="s">
        <v>33</v>
      </c>
      <c r="O87" s="98" t="s">
        <v>39</v>
      </c>
      <c r="P87" s="98" t="s">
        <v>163</v>
      </c>
      <c r="Q87" s="98" t="s">
        <v>78</v>
      </c>
      <c r="R87" s="37" t="s">
        <v>34</v>
      </c>
      <c r="T87" s="97">
        <f t="shared" si="32"/>
        <v>9</v>
      </c>
      <c r="U87" s="97">
        <f t="shared" si="33"/>
        <v>5</v>
      </c>
      <c r="V87" s="97">
        <f t="shared" si="34"/>
        <v>2</v>
      </c>
      <c r="W87" s="97">
        <f t="shared" si="35"/>
        <v>10</v>
      </c>
      <c r="X87" s="97">
        <f t="shared" si="36"/>
        <v>7</v>
      </c>
      <c r="Y87" s="97">
        <f t="shared" si="37"/>
        <v>6</v>
      </c>
      <c r="Z87" s="97">
        <f t="shared" si="38"/>
        <v>3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3</v>
      </c>
      <c r="AJ87" s="100" t="s">
        <v>190</v>
      </c>
      <c r="AK87" s="185">
        <v>0</v>
      </c>
      <c r="AL87" s="186">
        <v>5</v>
      </c>
      <c r="AM87" s="186">
        <v>5</v>
      </c>
      <c r="AN87" s="186">
        <v>5</v>
      </c>
      <c r="AO87" s="186">
        <v>5</v>
      </c>
      <c r="AP87" s="186">
        <v>0</v>
      </c>
      <c r="AQ87" s="187">
        <v>0</v>
      </c>
      <c r="AR87" s="79">
        <v>24</v>
      </c>
      <c r="BD87" s="21">
        <v>83</v>
      </c>
      <c r="BE87" s="98" t="s">
        <v>40</v>
      </c>
      <c r="BF87" s="98" t="s">
        <v>39</v>
      </c>
      <c r="BG87" s="98" t="s">
        <v>34</v>
      </c>
      <c r="BH87" s="98" t="s">
        <v>36</v>
      </c>
      <c r="BI87" s="98" t="s">
        <v>163</v>
      </c>
      <c r="BJ87" s="98" t="s">
        <v>41</v>
      </c>
      <c r="BK87" s="37" t="s">
        <v>39</v>
      </c>
      <c r="BM87" s="97">
        <f t="shared" si="39"/>
        <v>11</v>
      </c>
      <c r="BN87" s="97">
        <f t="shared" si="40"/>
        <v>10</v>
      </c>
      <c r="BO87" s="97">
        <f t="shared" si="41"/>
        <v>3</v>
      </c>
      <c r="BP87" s="97">
        <f t="shared" si="42"/>
        <v>5</v>
      </c>
      <c r="BQ87" s="97">
        <f t="shared" si="43"/>
        <v>7</v>
      </c>
      <c r="BR87" s="97">
        <f t="shared" si="44"/>
        <v>12</v>
      </c>
      <c r="BS87" s="97">
        <f t="shared" si="45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100" t="s">
        <v>190</v>
      </c>
      <c r="CD87" s="90">
        <v>0</v>
      </c>
      <c r="CE87" s="182">
        <v>0</v>
      </c>
      <c r="CF87" s="182">
        <v>0</v>
      </c>
      <c r="CG87" s="182">
        <v>0</v>
      </c>
      <c r="CH87" s="182">
        <v>0</v>
      </c>
      <c r="CI87" s="182">
        <v>0</v>
      </c>
      <c r="CJ87" s="92">
        <v>0</v>
      </c>
      <c r="CK87" s="79">
        <v>24</v>
      </c>
    </row>
    <row r="88" spans="11:89" ht="17.25" thickBot="1">
      <c r="K88" s="22">
        <v>84</v>
      </c>
      <c r="L88" s="98" t="s">
        <v>38</v>
      </c>
      <c r="M88" s="98" t="s">
        <v>195</v>
      </c>
      <c r="N88" s="98" t="s">
        <v>78</v>
      </c>
      <c r="O88" s="98" t="s">
        <v>39</v>
      </c>
      <c r="P88" s="98" t="s">
        <v>163</v>
      </c>
      <c r="Q88" s="98" t="s">
        <v>26</v>
      </c>
      <c r="R88" s="37" t="s">
        <v>163</v>
      </c>
      <c r="T88" s="97">
        <f t="shared" si="32"/>
        <v>9</v>
      </c>
      <c r="U88" s="97">
        <f t="shared" si="33"/>
        <v>19</v>
      </c>
      <c r="V88" s="97">
        <f t="shared" si="34"/>
        <v>6</v>
      </c>
      <c r="W88" s="97">
        <f t="shared" si="35"/>
        <v>10</v>
      </c>
      <c r="X88" s="97">
        <f t="shared" si="36"/>
        <v>7</v>
      </c>
      <c r="Y88" s="97">
        <f t="shared" si="37"/>
        <v>8</v>
      </c>
      <c r="Z88" s="97">
        <f t="shared" si="38"/>
        <v>7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101" t="s">
        <v>201</v>
      </c>
      <c r="AK88" s="93">
        <v>0</v>
      </c>
      <c r="AL88" s="94">
        <v>1</v>
      </c>
      <c r="AM88" s="94">
        <v>1</v>
      </c>
      <c r="AN88" s="94">
        <v>1</v>
      </c>
      <c r="AO88" s="94">
        <v>1</v>
      </c>
      <c r="AP88" s="94">
        <v>0</v>
      </c>
      <c r="AQ88" s="95">
        <v>0</v>
      </c>
      <c r="AR88" s="84">
        <v>25</v>
      </c>
      <c r="BD88" s="22">
        <v>84</v>
      </c>
      <c r="BE88" s="98" t="s">
        <v>40</v>
      </c>
      <c r="BF88" s="98" t="s">
        <v>78</v>
      </c>
      <c r="BG88" s="98" t="s">
        <v>36</v>
      </c>
      <c r="BH88" s="98" t="s">
        <v>39</v>
      </c>
      <c r="BI88" s="98" t="s">
        <v>34</v>
      </c>
      <c r="BJ88" s="98" t="s">
        <v>41</v>
      </c>
      <c r="BK88" s="37" t="s">
        <v>39</v>
      </c>
      <c r="BM88" s="97">
        <f t="shared" si="39"/>
        <v>11</v>
      </c>
      <c r="BN88" s="97">
        <f t="shared" si="40"/>
        <v>6</v>
      </c>
      <c r="BO88" s="97">
        <f t="shared" si="41"/>
        <v>5</v>
      </c>
      <c r="BP88" s="97">
        <f t="shared" si="42"/>
        <v>10</v>
      </c>
      <c r="BQ88" s="97">
        <f t="shared" si="43"/>
        <v>3</v>
      </c>
      <c r="BR88" s="97">
        <f t="shared" si="44"/>
        <v>12</v>
      </c>
      <c r="BS88" s="97">
        <f t="shared" si="45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101" t="s">
        <v>201</v>
      </c>
      <c r="CD88" s="93">
        <v>0</v>
      </c>
      <c r="CE88" s="94">
        <v>1</v>
      </c>
      <c r="CF88" s="94">
        <v>1</v>
      </c>
      <c r="CG88" s="94">
        <v>1</v>
      </c>
      <c r="CH88" s="94">
        <v>1</v>
      </c>
      <c r="CI88" s="94">
        <v>0</v>
      </c>
      <c r="CJ88" s="95">
        <v>0</v>
      </c>
      <c r="CK88" s="84">
        <v>25</v>
      </c>
    </row>
    <row r="89" spans="11:89">
      <c r="K89" s="21">
        <v>85</v>
      </c>
      <c r="L89" s="98" t="s">
        <v>36</v>
      </c>
      <c r="M89" s="98" t="s">
        <v>26</v>
      </c>
      <c r="N89" s="98" t="s">
        <v>38</v>
      </c>
      <c r="O89" s="98" t="s">
        <v>195</v>
      </c>
      <c r="P89" s="98" t="s">
        <v>40</v>
      </c>
      <c r="Q89" s="98" t="s">
        <v>26</v>
      </c>
      <c r="R89" s="37" t="s">
        <v>163</v>
      </c>
      <c r="T89" s="97">
        <f t="shared" si="32"/>
        <v>5</v>
      </c>
      <c r="U89" s="97">
        <f t="shared" si="33"/>
        <v>8</v>
      </c>
      <c r="V89" s="97">
        <f t="shared" si="34"/>
        <v>9</v>
      </c>
      <c r="W89" s="97">
        <f t="shared" si="35"/>
        <v>19</v>
      </c>
      <c r="X89" s="97">
        <f t="shared" si="36"/>
        <v>11</v>
      </c>
      <c r="Y89" s="97">
        <f t="shared" si="37"/>
        <v>8</v>
      </c>
      <c r="Z89" s="97">
        <f t="shared" si="38"/>
        <v>7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103"/>
      <c r="AK89" s="103"/>
      <c r="AL89" s="103"/>
      <c r="AM89" s="103"/>
      <c r="AN89" s="103"/>
      <c r="AO89" s="103"/>
      <c r="AP89" s="103"/>
      <c r="AQ89" s="103"/>
      <c r="AR89" s="103"/>
      <c r="BD89" s="21">
        <v>85</v>
      </c>
      <c r="BE89" s="98" t="s">
        <v>41</v>
      </c>
      <c r="BF89" s="98" t="s">
        <v>26</v>
      </c>
      <c r="BG89" s="98" t="s">
        <v>195</v>
      </c>
      <c r="BH89" s="98" t="s">
        <v>39</v>
      </c>
      <c r="BI89" s="98" t="s">
        <v>38</v>
      </c>
      <c r="BJ89" s="98" t="s">
        <v>26</v>
      </c>
      <c r="BK89" s="37" t="s">
        <v>39</v>
      </c>
      <c r="BM89" s="97">
        <f t="shared" si="39"/>
        <v>12</v>
      </c>
      <c r="BN89" s="97">
        <f t="shared" si="40"/>
        <v>8</v>
      </c>
      <c r="BO89" s="97">
        <f t="shared" si="41"/>
        <v>19</v>
      </c>
      <c r="BP89" s="97">
        <f t="shared" si="42"/>
        <v>10</v>
      </c>
      <c r="BQ89" s="97">
        <f t="shared" si="43"/>
        <v>9</v>
      </c>
      <c r="BR89" s="97">
        <f t="shared" si="44"/>
        <v>8</v>
      </c>
      <c r="BS89" s="97">
        <f t="shared" si="45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103"/>
      <c r="CD89" s="103"/>
      <c r="CE89" s="103"/>
      <c r="CF89" s="103"/>
      <c r="CG89" s="103"/>
      <c r="CH89" s="103"/>
      <c r="CI89" s="103"/>
      <c r="CJ89" s="103"/>
      <c r="CK89" s="103"/>
    </row>
    <row r="90" spans="11:89" ht="16.5" thickBot="1">
      <c r="K90" s="22">
        <v>86</v>
      </c>
      <c r="L90" s="98" t="s">
        <v>26</v>
      </c>
      <c r="M90" s="98" t="s">
        <v>26</v>
      </c>
      <c r="N90" s="98" t="s">
        <v>41</v>
      </c>
      <c r="O90" s="98" t="s">
        <v>26</v>
      </c>
      <c r="P90" s="98" t="s">
        <v>40</v>
      </c>
      <c r="Q90" s="98" t="s">
        <v>26</v>
      </c>
      <c r="R90" s="37" t="s">
        <v>78</v>
      </c>
      <c r="T90" s="97">
        <f t="shared" si="32"/>
        <v>8</v>
      </c>
      <c r="U90" s="97">
        <f t="shared" si="33"/>
        <v>8</v>
      </c>
      <c r="V90" s="97">
        <f t="shared" si="34"/>
        <v>12</v>
      </c>
      <c r="W90" s="97">
        <f t="shared" si="35"/>
        <v>8</v>
      </c>
      <c r="X90" s="97">
        <f t="shared" si="36"/>
        <v>11</v>
      </c>
      <c r="Y90" s="97">
        <f t="shared" si="37"/>
        <v>8</v>
      </c>
      <c r="Z90" s="97">
        <f t="shared" si="38"/>
        <v>6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  <c r="BD90" s="22">
        <v>86</v>
      </c>
      <c r="BE90" s="98" t="s">
        <v>41</v>
      </c>
      <c r="BF90" s="98" t="s">
        <v>41</v>
      </c>
      <c r="BG90" s="98" t="s">
        <v>26</v>
      </c>
      <c r="BH90" s="98" t="s">
        <v>39</v>
      </c>
      <c r="BI90" s="98" t="s">
        <v>36</v>
      </c>
      <c r="BJ90" s="98" t="s">
        <v>78</v>
      </c>
      <c r="BK90" s="37" t="s">
        <v>41</v>
      </c>
      <c r="BM90" s="97">
        <f t="shared" si="39"/>
        <v>12</v>
      </c>
      <c r="BN90" s="97">
        <f t="shared" si="40"/>
        <v>12</v>
      </c>
      <c r="BO90" s="97">
        <f t="shared" si="41"/>
        <v>8</v>
      </c>
      <c r="BP90" s="97">
        <f t="shared" si="42"/>
        <v>10</v>
      </c>
      <c r="BQ90" s="97">
        <f t="shared" si="43"/>
        <v>5</v>
      </c>
      <c r="BR90" s="97">
        <f t="shared" si="44"/>
        <v>6</v>
      </c>
      <c r="BS90" s="97">
        <f t="shared" si="45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103"/>
      <c r="CD90" s="219" t="s">
        <v>98</v>
      </c>
      <c r="CE90" s="219"/>
      <c r="CF90" s="219"/>
      <c r="CG90" s="219"/>
      <c r="CH90" s="219"/>
      <c r="CI90" s="219"/>
      <c r="CJ90" s="219"/>
      <c r="CK90" s="219"/>
    </row>
    <row r="91" spans="11:89" ht="17.25" thickBot="1">
      <c r="K91" s="21">
        <v>87</v>
      </c>
      <c r="L91" s="98" t="s">
        <v>26</v>
      </c>
      <c r="M91" s="98" t="s">
        <v>78</v>
      </c>
      <c r="N91" s="98" t="s">
        <v>40</v>
      </c>
      <c r="O91" s="98" t="s">
        <v>26</v>
      </c>
      <c r="P91" s="98" t="s">
        <v>36</v>
      </c>
      <c r="Q91" s="98" t="s">
        <v>41</v>
      </c>
      <c r="R91" s="37" t="s">
        <v>38</v>
      </c>
      <c r="T91" s="97">
        <f t="shared" si="32"/>
        <v>8</v>
      </c>
      <c r="U91" s="97">
        <f t="shared" si="33"/>
        <v>6</v>
      </c>
      <c r="V91" s="97">
        <f t="shared" si="34"/>
        <v>11</v>
      </c>
      <c r="W91" s="97">
        <f t="shared" si="35"/>
        <v>8</v>
      </c>
      <c r="X91" s="97">
        <f t="shared" si="36"/>
        <v>5</v>
      </c>
      <c r="Y91" s="97">
        <f t="shared" si="37"/>
        <v>12</v>
      </c>
      <c r="Z91" s="97">
        <f t="shared" si="38"/>
        <v>9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  <c r="BD91" s="21">
        <v>87</v>
      </c>
      <c r="BE91" s="98" t="s">
        <v>41</v>
      </c>
      <c r="BF91" s="98" t="s">
        <v>41</v>
      </c>
      <c r="BG91" s="98" t="s">
        <v>26</v>
      </c>
      <c r="BH91" s="98" t="s">
        <v>41</v>
      </c>
      <c r="BI91" s="98" t="s">
        <v>39</v>
      </c>
      <c r="BJ91" s="98" t="s">
        <v>26</v>
      </c>
      <c r="BK91" s="37" t="s">
        <v>78</v>
      </c>
      <c r="BM91" s="97">
        <f t="shared" si="39"/>
        <v>12</v>
      </c>
      <c r="BN91" s="97">
        <f t="shared" si="40"/>
        <v>12</v>
      </c>
      <c r="BO91" s="97">
        <f t="shared" si="41"/>
        <v>8</v>
      </c>
      <c r="BP91" s="97">
        <f t="shared" si="42"/>
        <v>12</v>
      </c>
      <c r="BQ91" s="97">
        <f t="shared" si="43"/>
        <v>10</v>
      </c>
      <c r="BR91" s="97">
        <f t="shared" si="44"/>
        <v>8</v>
      </c>
      <c r="BS91" s="97">
        <f t="shared" si="45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65" t="s">
        <v>53</v>
      </c>
      <c r="CD91" s="66" t="s">
        <v>13</v>
      </c>
      <c r="CE91" s="66" t="s">
        <v>14</v>
      </c>
      <c r="CF91" s="66" t="s">
        <v>15</v>
      </c>
      <c r="CG91" s="66" t="s">
        <v>16</v>
      </c>
      <c r="CH91" s="66" t="s">
        <v>17</v>
      </c>
      <c r="CI91" s="66" t="s">
        <v>59</v>
      </c>
      <c r="CJ91" s="67" t="s">
        <v>79</v>
      </c>
      <c r="CK91" s="68" t="s">
        <v>4</v>
      </c>
    </row>
    <row r="92" spans="11:89" ht="16.5">
      <c r="K92" s="22">
        <v>88</v>
      </c>
      <c r="L92" s="98" t="s">
        <v>36</v>
      </c>
      <c r="M92" s="98" t="s">
        <v>78</v>
      </c>
      <c r="N92" s="98" t="s">
        <v>26</v>
      </c>
      <c r="O92" s="98" t="s">
        <v>39</v>
      </c>
      <c r="P92" s="98" t="s">
        <v>163</v>
      </c>
      <c r="Q92" s="98" t="s">
        <v>26</v>
      </c>
      <c r="R92" s="37" t="s">
        <v>35</v>
      </c>
      <c r="T92" s="97">
        <f t="shared" si="32"/>
        <v>5</v>
      </c>
      <c r="U92" s="97">
        <f t="shared" si="33"/>
        <v>6</v>
      </c>
      <c r="V92" s="97">
        <f t="shared" si="34"/>
        <v>8</v>
      </c>
      <c r="W92" s="97">
        <f t="shared" si="35"/>
        <v>10</v>
      </c>
      <c r="X92" s="97">
        <f t="shared" si="36"/>
        <v>7</v>
      </c>
      <c r="Y92" s="97">
        <f t="shared" si="37"/>
        <v>8</v>
      </c>
      <c r="Z92" s="97">
        <f t="shared" si="38"/>
        <v>4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  <c r="BD92" s="22">
        <v>88</v>
      </c>
      <c r="BE92" s="98" t="s">
        <v>41</v>
      </c>
      <c r="BF92" s="98" t="s">
        <v>35</v>
      </c>
      <c r="BG92" s="98" t="s">
        <v>40</v>
      </c>
      <c r="BH92" s="98" t="s">
        <v>41</v>
      </c>
      <c r="BI92" s="98" t="s">
        <v>39</v>
      </c>
      <c r="BJ92" s="98" t="s">
        <v>26</v>
      </c>
      <c r="BK92" s="37" t="s">
        <v>78</v>
      </c>
      <c r="BM92" s="97">
        <f t="shared" si="39"/>
        <v>12</v>
      </c>
      <c r="BN92" s="97">
        <f t="shared" si="40"/>
        <v>4</v>
      </c>
      <c r="BO92" s="97">
        <f t="shared" si="41"/>
        <v>11</v>
      </c>
      <c r="BP92" s="97">
        <f t="shared" si="42"/>
        <v>12</v>
      </c>
      <c r="BQ92" s="97">
        <f t="shared" si="43"/>
        <v>10</v>
      </c>
      <c r="BR92" s="97">
        <f t="shared" si="44"/>
        <v>8</v>
      </c>
      <c r="BS92" s="97">
        <f t="shared" si="45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69" t="s">
        <v>81</v>
      </c>
      <c r="CD92" s="70">
        <v>0</v>
      </c>
      <c r="CE92" s="71">
        <v>0</v>
      </c>
      <c r="CF92" s="71">
        <v>0</v>
      </c>
      <c r="CG92" s="71">
        <v>0</v>
      </c>
      <c r="CH92" s="71">
        <v>0</v>
      </c>
      <c r="CI92" s="71">
        <v>0</v>
      </c>
      <c r="CJ92" s="72">
        <v>0</v>
      </c>
      <c r="CK92" s="73">
        <v>0</v>
      </c>
    </row>
    <row r="93" spans="11:89" ht="16.5">
      <c r="K93" s="21">
        <v>89</v>
      </c>
      <c r="L93" s="98" t="s">
        <v>36</v>
      </c>
      <c r="M93" s="98" t="s">
        <v>163</v>
      </c>
      <c r="N93" s="98" t="s">
        <v>26</v>
      </c>
      <c r="O93" s="98" t="s">
        <v>39</v>
      </c>
      <c r="P93" s="98" t="s">
        <v>40</v>
      </c>
      <c r="Q93" s="98" t="s">
        <v>26</v>
      </c>
      <c r="R93" s="37" t="s">
        <v>35</v>
      </c>
      <c r="T93" s="97">
        <f t="shared" si="32"/>
        <v>5</v>
      </c>
      <c r="U93" s="97">
        <f t="shared" si="33"/>
        <v>7</v>
      </c>
      <c r="V93" s="97">
        <f t="shared" si="34"/>
        <v>8</v>
      </c>
      <c r="W93" s="97">
        <f t="shared" si="35"/>
        <v>10</v>
      </c>
      <c r="X93" s="97">
        <f t="shared" si="36"/>
        <v>11</v>
      </c>
      <c r="Y93" s="97">
        <f t="shared" si="37"/>
        <v>8</v>
      </c>
      <c r="Z93" s="97">
        <f t="shared" si="38"/>
        <v>4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74" t="s">
        <v>20</v>
      </c>
      <c r="AK93" s="90">
        <v>0</v>
      </c>
      <c r="AL93" s="182">
        <v>0</v>
      </c>
      <c r="AM93" s="182">
        <v>0</v>
      </c>
      <c r="AN93" s="182">
        <v>0</v>
      </c>
      <c r="AO93" s="182">
        <v>0</v>
      </c>
      <c r="AP93" s="182">
        <v>0</v>
      </c>
      <c r="AQ93" s="92">
        <v>0</v>
      </c>
      <c r="AR93" s="78">
        <v>1</v>
      </c>
      <c r="BD93" s="21">
        <v>89</v>
      </c>
      <c r="BE93" s="98" t="s">
        <v>40</v>
      </c>
      <c r="BF93" s="98" t="s">
        <v>34</v>
      </c>
      <c r="BG93" s="98" t="s">
        <v>40</v>
      </c>
      <c r="BH93" s="98" t="s">
        <v>41</v>
      </c>
      <c r="BI93" s="98" t="s">
        <v>38</v>
      </c>
      <c r="BJ93" s="98" t="s">
        <v>26</v>
      </c>
      <c r="BK93" s="37" t="s">
        <v>78</v>
      </c>
      <c r="BM93" s="97">
        <f t="shared" si="39"/>
        <v>11</v>
      </c>
      <c r="BN93" s="97">
        <f t="shared" si="40"/>
        <v>3</v>
      </c>
      <c r="BO93" s="97">
        <f t="shared" si="41"/>
        <v>11</v>
      </c>
      <c r="BP93" s="97">
        <f t="shared" si="42"/>
        <v>12</v>
      </c>
      <c r="BQ93" s="97">
        <f t="shared" si="43"/>
        <v>9</v>
      </c>
      <c r="BR93" s="97">
        <f t="shared" si="44"/>
        <v>8</v>
      </c>
      <c r="BS93" s="97">
        <f t="shared" si="45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74" t="s">
        <v>20</v>
      </c>
      <c r="CD93" s="90">
        <v>0</v>
      </c>
      <c r="CE93" s="182">
        <v>0</v>
      </c>
      <c r="CF93" s="182">
        <v>0</v>
      </c>
      <c r="CG93" s="182">
        <v>0</v>
      </c>
      <c r="CH93" s="182">
        <v>0</v>
      </c>
      <c r="CI93" s="182">
        <v>0</v>
      </c>
      <c r="CJ93" s="92">
        <v>0</v>
      </c>
      <c r="CK93" s="78">
        <v>1</v>
      </c>
    </row>
    <row r="94" spans="11:89" ht="16.5">
      <c r="K94" s="22">
        <v>90</v>
      </c>
      <c r="L94" s="98" t="s">
        <v>26</v>
      </c>
      <c r="M94" s="98" t="s">
        <v>38</v>
      </c>
      <c r="N94" s="98" t="s">
        <v>36</v>
      </c>
      <c r="O94" s="98" t="s">
        <v>41</v>
      </c>
      <c r="P94" s="98" t="s">
        <v>40</v>
      </c>
      <c r="Q94" s="98" t="s">
        <v>26</v>
      </c>
      <c r="R94" s="37" t="s">
        <v>78</v>
      </c>
      <c r="T94" s="97">
        <f t="shared" si="32"/>
        <v>8</v>
      </c>
      <c r="U94" s="97">
        <f t="shared" si="33"/>
        <v>9</v>
      </c>
      <c r="V94" s="97">
        <f t="shared" si="34"/>
        <v>5</v>
      </c>
      <c r="W94" s="97">
        <f t="shared" si="35"/>
        <v>12</v>
      </c>
      <c r="X94" s="97">
        <f t="shared" si="36"/>
        <v>11</v>
      </c>
      <c r="Y94" s="97">
        <f t="shared" si="37"/>
        <v>8</v>
      </c>
      <c r="Z94" s="97">
        <f t="shared" si="38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74" t="s">
        <v>21</v>
      </c>
      <c r="AK94" s="90">
        <v>4</v>
      </c>
      <c r="AL94" s="182">
        <v>4</v>
      </c>
      <c r="AM94" s="182">
        <v>4</v>
      </c>
      <c r="AN94" s="182">
        <v>4</v>
      </c>
      <c r="AO94" s="182">
        <v>4</v>
      </c>
      <c r="AP94" s="182">
        <v>4</v>
      </c>
      <c r="AQ94" s="92">
        <v>3</v>
      </c>
      <c r="AR94" s="78">
        <v>2</v>
      </c>
      <c r="BD94" s="22">
        <v>90</v>
      </c>
      <c r="BE94" s="98" t="s">
        <v>26</v>
      </c>
      <c r="BF94" s="98" t="s">
        <v>34</v>
      </c>
      <c r="BG94" s="98" t="s">
        <v>36</v>
      </c>
      <c r="BH94" s="98" t="s">
        <v>78</v>
      </c>
      <c r="BI94" s="98" t="s">
        <v>38</v>
      </c>
      <c r="BJ94" s="98" t="s">
        <v>39</v>
      </c>
      <c r="BK94" s="37" t="s">
        <v>78</v>
      </c>
      <c r="BM94" s="97">
        <f t="shared" si="39"/>
        <v>8</v>
      </c>
      <c r="BN94" s="97">
        <f t="shared" si="40"/>
        <v>3</v>
      </c>
      <c r="BO94" s="97">
        <f t="shared" si="41"/>
        <v>5</v>
      </c>
      <c r="BP94" s="97">
        <f t="shared" si="42"/>
        <v>6</v>
      </c>
      <c r="BQ94" s="97">
        <f t="shared" si="43"/>
        <v>9</v>
      </c>
      <c r="BR94" s="97">
        <f t="shared" si="44"/>
        <v>10</v>
      </c>
      <c r="BS94" s="97">
        <f t="shared" si="45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74" t="s">
        <v>21</v>
      </c>
      <c r="CD94" s="75">
        <v>1</v>
      </c>
      <c r="CE94" s="76">
        <v>1</v>
      </c>
      <c r="CF94" s="76">
        <v>1</v>
      </c>
      <c r="CG94" s="76">
        <v>1</v>
      </c>
      <c r="CH94" s="76">
        <v>1</v>
      </c>
      <c r="CI94" s="76">
        <v>1</v>
      </c>
      <c r="CJ94" s="77">
        <v>0</v>
      </c>
      <c r="CK94" s="78">
        <v>2</v>
      </c>
    </row>
    <row r="95" spans="11:89" ht="16.5">
      <c r="K95" s="21">
        <v>91</v>
      </c>
      <c r="L95" s="98" t="s">
        <v>36</v>
      </c>
      <c r="M95" s="98" t="s">
        <v>78</v>
      </c>
      <c r="N95" s="98" t="s">
        <v>36</v>
      </c>
      <c r="O95" s="98" t="s">
        <v>34</v>
      </c>
      <c r="P95" s="98" t="s">
        <v>206</v>
      </c>
      <c r="Q95" s="98" t="s">
        <v>40</v>
      </c>
      <c r="R95" s="37" t="s">
        <v>163</v>
      </c>
      <c r="T95" s="97">
        <f t="shared" si="32"/>
        <v>5</v>
      </c>
      <c r="U95" s="97">
        <f t="shared" si="33"/>
        <v>6</v>
      </c>
      <c r="V95" s="97">
        <f t="shared" si="34"/>
        <v>5</v>
      </c>
      <c r="W95" s="97">
        <f t="shared" si="35"/>
        <v>3</v>
      </c>
      <c r="X95" s="97">
        <f t="shared" si="36"/>
        <v>22</v>
      </c>
      <c r="Y95" s="97">
        <f t="shared" si="37"/>
        <v>11</v>
      </c>
      <c r="Z95" s="97">
        <f t="shared" si="38"/>
        <v>7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74" t="s">
        <v>22</v>
      </c>
      <c r="AK95" s="90">
        <v>5</v>
      </c>
      <c r="AL95" s="182">
        <v>13</v>
      </c>
      <c r="AM95" s="182">
        <v>5</v>
      </c>
      <c r="AN95" s="182">
        <v>5</v>
      </c>
      <c r="AO95" s="182">
        <v>10</v>
      </c>
      <c r="AP95" s="182">
        <v>5</v>
      </c>
      <c r="AQ95" s="92">
        <v>10</v>
      </c>
      <c r="AR95" s="78">
        <v>3</v>
      </c>
      <c r="BD95" s="21">
        <v>91</v>
      </c>
      <c r="BE95" s="98" t="s">
        <v>40</v>
      </c>
      <c r="BF95" s="98" t="s">
        <v>26</v>
      </c>
      <c r="BG95" s="98" t="s">
        <v>40</v>
      </c>
      <c r="BH95" s="98" t="s">
        <v>78</v>
      </c>
      <c r="BI95" s="98" t="s">
        <v>203</v>
      </c>
      <c r="BJ95" s="98" t="s">
        <v>39</v>
      </c>
      <c r="BK95" s="37" t="s">
        <v>41</v>
      </c>
      <c r="BM95" s="97">
        <f t="shared" si="39"/>
        <v>11</v>
      </c>
      <c r="BN95" s="97">
        <f t="shared" si="40"/>
        <v>8</v>
      </c>
      <c r="BO95" s="97">
        <f t="shared" si="41"/>
        <v>11</v>
      </c>
      <c r="BP95" s="97">
        <f t="shared" si="42"/>
        <v>6</v>
      </c>
      <c r="BQ95" s="97">
        <f t="shared" si="43"/>
        <v>20</v>
      </c>
      <c r="BR95" s="97">
        <f t="shared" si="44"/>
        <v>10</v>
      </c>
      <c r="BS95" s="97">
        <f t="shared" si="45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74" t="s">
        <v>22</v>
      </c>
      <c r="CD95" s="75">
        <v>1</v>
      </c>
      <c r="CE95" s="76">
        <v>70</v>
      </c>
      <c r="CF95" s="76">
        <v>1</v>
      </c>
      <c r="CG95" s="76">
        <v>70</v>
      </c>
      <c r="CH95" s="76">
        <v>1</v>
      </c>
      <c r="CI95" s="76">
        <v>1</v>
      </c>
      <c r="CJ95" s="77">
        <v>0</v>
      </c>
      <c r="CK95" s="78">
        <v>3</v>
      </c>
    </row>
    <row r="96" spans="11:89" ht="16.5">
      <c r="K96" s="22">
        <v>92</v>
      </c>
      <c r="L96" s="98" t="s">
        <v>40</v>
      </c>
      <c r="M96" s="98" t="s">
        <v>39</v>
      </c>
      <c r="N96" s="98" t="s">
        <v>38</v>
      </c>
      <c r="O96" s="98" t="s">
        <v>34</v>
      </c>
      <c r="P96" s="98" t="s">
        <v>41</v>
      </c>
      <c r="Q96" s="98" t="s">
        <v>40</v>
      </c>
      <c r="R96" s="37" t="s">
        <v>163</v>
      </c>
      <c r="T96" s="97">
        <f t="shared" si="32"/>
        <v>11</v>
      </c>
      <c r="U96" s="97">
        <f t="shared" si="33"/>
        <v>10</v>
      </c>
      <c r="V96" s="97">
        <f t="shared" si="34"/>
        <v>9</v>
      </c>
      <c r="W96" s="97">
        <f t="shared" si="35"/>
        <v>3</v>
      </c>
      <c r="X96" s="97">
        <f t="shared" si="36"/>
        <v>12</v>
      </c>
      <c r="Y96" s="97">
        <f t="shared" si="37"/>
        <v>11</v>
      </c>
      <c r="Z96" s="97">
        <f t="shared" si="38"/>
        <v>7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74" t="s">
        <v>18</v>
      </c>
      <c r="AK96" s="90">
        <v>12</v>
      </c>
      <c r="AL96" s="182">
        <v>5</v>
      </c>
      <c r="AM96" s="182">
        <v>12</v>
      </c>
      <c r="AN96" s="182">
        <v>5</v>
      </c>
      <c r="AO96" s="182">
        <v>12</v>
      </c>
      <c r="AP96" s="182">
        <v>10</v>
      </c>
      <c r="AQ96" s="92">
        <v>10</v>
      </c>
      <c r="AR96" s="78">
        <v>4</v>
      </c>
      <c r="BD96" s="22">
        <v>92</v>
      </c>
      <c r="BE96" s="98" t="s">
        <v>78</v>
      </c>
      <c r="BF96" s="98" t="s">
        <v>78</v>
      </c>
      <c r="BG96" s="98" t="s">
        <v>40</v>
      </c>
      <c r="BH96" s="98" t="s">
        <v>78</v>
      </c>
      <c r="BI96" s="98" t="s">
        <v>40</v>
      </c>
      <c r="BJ96" s="98" t="s">
        <v>78</v>
      </c>
      <c r="BK96" s="37" t="s">
        <v>41</v>
      </c>
      <c r="BM96" s="97">
        <f t="shared" si="39"/>
        <v>6</v>
      </c>
      <c r="BN96" s="97">
        <f t="shared" si="40"/>
        <v>6</v>
      </c>
      <c r="BO96" s="97">
        <f t="shared" si="41"/>
        <v>11</v>
      </c>
      <c r="BP96" s="97">
        <f t="shared" si="42"/>
        <v>6</v>
      </c>
      <c r="BQ96" s="97">
        <f t="shared" si="43"/>
        <v>11</v>
      </c>
      <c r="BR96" s="97">
        <f t="shared" si="44"/>
        <v>6</v>
      </c>
      <c r="BS96" s="97">
        <f t="shared" si="45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74" t="s">
        <v>18</v>
      </c>
      <c r="CD96" s="75">
        <v>1</v>
      </c>
      <c r="CE96" s="76">
        <v>1</v>
      </c>
      <c r="CF96" s="76">
        <v>5</v>
      </c>
      <c r="CG96" s="76">
        <v>1</v>
      </c>
      <c r="CH96" s="76">
        <v>1</v>
      </c>
      <c r="CI96" s="76">
        <v>70</v>
      </c>
      <c r="CJ96" s="77">
        <v>1</v>
      </c>
      <c r="CK96" s="78">
        <v>4</v>
      </c>
    </row>
    <row r="97" spans="11:89" ht="16.5">
      <c r="K97" s="21">
        <v>93</v>
      </c>
      <c r="L97" s="98" t="s">
        <v>41</v>
      </c>
      <c r="M97" s="98" t="s">
        <v>39</v>
      </c>
      <c r="N97" s="98" t="s">
        <v>36</v>
      </c>
      <c r="O97" s="98" t="s">
        <v>34</v>
      </c>
      <c r="P97" s="98" t="s">
        <v>40</v>
      </c>
      <c r="Q97" s="98" t="s">
        <v>33</v>
      </c>
      <c r="R97" s="37" t="s">
        <v>38</v>
      </c>
      <c r="T97" s="97">
        <f t="shared" si="32"/>
        <v>12</v>
      </c>
      <c r="U97" s="97">
        <f t="shared" si="33"/>
        <v>10</v>
      </c>
      <c r="V97" s="97">
        <f t="shared" si="34"/>
        <v>5</v>
      </c>
      <c r="W97" s="97">
        <f t="shared" si="35"/>
        <v>3</v>
      </c>
      <c r="X97" s="97">
        <f t="shared" si="36"/>
        <v>11</v>
      </c>
      <c r="Y97" s="97">
        <f t="shared" si="37"/>
        <v>2</v>
      </c>
      <c r="Z97" s="97">
        <f t="shared" si="38"/>
        <v>9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74" t="s">
        <v>19</v>
      </c>
      <c r="AK97" s="90">
        <v>5</v>
      </c>
      <c r="AL97" s="182">
        <v>20</v>
      </c>
      <c r="AM97" s="182">
        <v>10</v>
      </c>
      <c r="AN97" s="182">
        <v>5</v>
      </c>
      <c r="AO97" s="182">
        <v>5</v>
      </c>
      <c r="AP97" s="182">
        <v>10</v>
      </c>
      <c r="AQ97" s="92">
        <v>10</v>
      </c>
      <c r="AR97" s="78">
        <v>5</v>
      </c>
      <c r="BD97" s="21">
        <v>93</v>
      </c>
      <c r="BE97" s="98" t="s">
        <v>26</v>
      </c>
      <c r="BF97" s="98" t="s">
        <v>36</v>
      </c>
      <c r="BG97" s="98" t="s">
        <v>41</v>
      </c>
      <c r="BH97" s="98" t="s">
        <v>41</v>
      </c>
      <c r="BI97" s="98" t="s">
        <v>38</v>
      </c>
      <c r="BJ97" s="98" t="s">
        <v>78</v>
      </c>
      <c r="BK97" s="37" t="s">
        <v>41</v>
      </c>
      <c r="BM97" s="97">
        <f t="shared" si="39"/>
        <v>8</v>
      </c>
      <c r="BN97" s="97">
        <f t="shared" si="40"/>
        <v>5</v>
      </c>
      <c r="BO97" s="97">
        <f t="shared" si="41"/>
        <v>12</v>
      </c>
      <c r="BP97" s="97">
        <f t="shared" si="42"/>
        <v>12</v>
      </c>
      <c r="BQ97" s="97">
        <f t="shared" si="43"/>
        <v>9</v>
      </c>
      <c r="BR97" s="97">
        <f t="shared" si="44"/>
        <v>6</v>
      </c>
      <c r="BS97" s="97">
        <f t="shared" si="45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74" t="s">
        <v>19</v>
      </c>
      <c r="CD97" s="75">
        <v>1</v>
      </c>
      <c r="CE97" s="76">
        <v>70</v>
      </c>
      <c r="CF97" s="76">
        <v>1</v>
      </c>
      <c r="CG97" s="76">
        <v>1</v>
      </c>
      <c r="CH97" s="76">
        <v>1</v>
      </c>
      <c r="CI97" s="76">
        <v>70</v>
      </c>
      <c r="CJ97" s="77">
        <v>1</v>
      </c>
      <c r="CK97" s="78">
        <v>5</v>
      </c>
    </row>
    <row r="98" spans="11:89" ht="16.5">
      <c r="K98" s="22">
        <v>94</v>
      </c>
      <c r="L98" s="98" t="s">
        <v>163</v>
      </c>
      <c r="M98" s="98" t="s">
        <v>39</v>
      </c>
      <c r="N98" s="98" t="s">
        <v>36</v>
      </c>
      <c r="O98" s="98" t="s">
        <v>41</v>
      </c>
      <c r="P98" s="98" t="s">
        <v>40</v>
      </c>
      <c r="Q98" s="98" t="s">
        <v>33</v>
      </c>
      <c r="R98" s="37" t="s">
        <v>38</v>
      </c>
      <c r="T98" s="97">
        <f t="shared" si="32"/>
        <v>7</v>
      </c>
      <c r="U98" s="97">
        <f t="shared" si="33"/>
        <v>10</v>
      </c>
      <c r="V98" s="97">
        <f t="shared" si="34"/>
        <v>5</v>
      </c>
      <c r="W98" s="97">
        <f t="shared" si="35"/>
        <v>12</v>
      </c>
      <c r="X98" s="97">
        <f t="shared" si="36"/>
        <v>11</v>
      </c>
      <c r="Y98" s="97">
        <f t="shared" si="37"/>
        <v>2</v>
      </c>
      <c r="Z98" s="97">
        <f t="shared" si="38"/>
        <v>9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74" t="s">
        <v>77</v>
      </c>
      <c r="AK98" s="90">
        <v>25</v>
      </c>
      <c r="AL98" s="182">
        <v>12</v>
      </c>
      <c r="AM98" s="182">
        <v>25</v>
      </c>
      <c r="AN98" s="182">
        <v>12</v>
      </c>
      <c r="AO98" s="182">
        <v>25</v>
      </c>
      <c r="AP98" s="182">
        <v>20</v>
      </c>
      <c r="AQ98" s="92">
        <v>10</v>
      </c>
      <c r="AR98" s="78">
        <v>6</v>
      </c>
      <c r="BD98" s="22">
        <v>94</v>
      </c>
      <c r="BE98" s="98" t="s">
        <v>38</v>
      </c>
      <c r="BF98" s="98" t="s">
        <v>100</v>
      </c>
      <c r="BG98" s="98" t="s">
        <v>40</v>
      </c>
      <c r="BH98" s="98" t="s">
        <v>41</v>
      </c>
      <c r="BI98" s="98" t="s">
        <v>38</v>
      </c>
      <c r="BJ98" s="98" t="s">
        <v>78</v>
      </c>
      <c r="BK98" s="37" t="s">
        <v>40</v>
      </c>
      <c r="BM98" s="97">
        <f t="shared" si="39"/>
        <v>9</v>
      </c>
      <c r="BN98" s="97">
        <f t="shared" si="40"/>
        <v>14</v>
      </c>
      <c r="BO98" s="97">
        <f t="shared" si="41"/>
        <v>11</v>
      </c>
      <c r="BP98" s="97">
        <f t="shared" si="42"/>
        <v>12</v>
      </c>
      <c r="BQ98" s="97">
        <f t="shared" si="43"/>
        <v>9</v>
      </c>
      <c r="BR98" s="97">
        <f t="shared" si="44"/>
        <v>6</v>
      </c>
      <c r="BS98" s="97">
        <f t="shared" si="45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74" t="s">
        <v>77</v>
      </c>
      <c r="CD98" s="75">
        <v>5</v>
      </c>
      <c r="CE98" s="76">
        <v>1</v>
      </c>
      <c r="CF98" s="76">
        <v>70</v>
      </c>
      <c r="CG98" s="76">
        <v>1</v>
      </c>
      <c r="CH98" s="76">
        <v>70</v>
      </c>
      <c r="CI98" s="76">
        <v>1</v>
      </c>
      <c r="CJ98" s="77">
        <v>1</v>
      </c>
      <c r="CK98" s="78">
        <v>6</v>
      </c>
    </row>
    <row r="99" spans="11:89" ht="16.5">
      <c r="K99" s="21">
        <v>95</v>
      </c>
      <c r="L99" s="98" t="s">
        <v>41</v>
      </c>
      <c r="M99" s="98" t="s">
        <v>78</v>
      </c>
      <c r="N99" s="98" t="s">
        <v>36</v>
      </c>
      <c r="O99" s="98" t="s">
        <v>41</v>
      </c>
      <c r="P99" s="98" t="s">
        <v>163</v>
      </c>
      <c r="Q99" s="98" t="s">
        <v>38</v>
      </c>
      <c r="R99" s="37" t="s">
        <v>38</v>
      </c>
      <c r="T99" s="97">
        <f t="shared" si="32"/>
        <v>12</v>
      </c>
      <c r="U99" s="97">
        <f t="shared" si="33"/>
        <v>6</v>
      </c>
      <c r="V99" s="97">
        <f t="shared" si="34"/>
        <v>5</v>
      </c>
      <c r="W99" s="97">
        <f t="shared" si="35"/>
        <v>12</v>
      </c>
      <c r="X99" s="97">
        <f t="shared" si="36"/>
        <v>7</v>
      </c>
      <c r="Y99" s="97">
        <f t="shared" si="37"/>
        <v>9</v>
      </c>
      <c r="Z99" s="97">
        <f t="shared" si="38"/>
        <v>9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74" t="s">
        <v>162</v>
      </c>
      <c r="AK99" s="90">
        <v>25</v>
      </c>
      <c r="AL99" s="182">
        <v>12</v>
      </c>
      <c r="AM99" s="182">
        <v>25</v>
      </c>
      <c r="AN99" s="182">
        <v>12</v>
      </c>
      <c r="AO99" s="182">
        <v>25</v>
      </c>
      <c r="AP99" s="182">
        <v>20</v>
      </c>
      <c r="AQ99" s="92">
        <v>10</v>
      </c>
      <c r="AR99" s="78">
        <v>7</v>
      </c>
      <c r="BD99" s="21">
        <v>95</v>
      </c>
      <c r="BE99" s="98" t="s">
        <v>38</v>
      </c>
      <c r="BF99" s="98" t="s">
        <v>78</v>
      </c>
      <c r="BG99" s="98" t="s">
        <v>40</v>
      </c>
      <c r="BH99" s="98" t="s">
        <v>177</v>
      </c>
      <c r="BI99" s="98" t="s">
        <v>38</v>
      </c>
      <c r="BJ99" s="98" t="s">
        <v>41</v>
      </c>
      <c r="BK99" s="37" t="s">
        <v>40</v>
      </c>
      <c r="BM99" s="97">
        <f t="shared" si="39"/>
        <v>9</v>
      </c>
      <c r="BN99" s="97">
        <f t="shared" si="40"/>
        <v>6</v>
      </c>
      <c r="BO99" s="97">
        <f t="shared" si="41"/>
        <v>11</v>
      </c>
      <c r="BP99" s="97">
        <f t="shared" si="42"/>
        <v>18</v>
      </c>
      <c r="BQ99" s="97">
        <f t="shared" si="43"/>
        <v>9</v>
      </c>
      <c r="BR99" s="97">
        <f t="shared" si="44"/>
        <v>12</v>
      </c>
      <c r="BS99" s="97">
        <f t="shared" si="45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74" t="s">
        <v>162</v>
      </c>
      <c r="CD99" s="75">
        <v>1</v>
      </c>
      <c r="CE99" s="76">
        <v>70</v>
      </c>
      <c r="CF99" s="76">
        <v>1</v>
      </c>
      <c r="CG99" s="76">
        <v>1</v>
      </c>
      <c r="CH99" s="76">
        <v>1</v>
      </c>
      <c r="CI99" s="76">
        <v>70</v>
      </c>
      <c r="CJ99" s="77">
        <v>1</v>
      </c>
      <c r="CK99" s="78">
        <v>7</v>
      </c>
    </row>
    <row r="100" spans="11:89" ht="16.5">
      <c r="K100" s="22">
        <v>96</v>
      </c>
      <c r="L100" s="98" t="s">
        <v>38</v>
      </c>
      <c r="M100" s="98" t="s">
        <v>175</v>
      </c>
      <c r="N100" s="98" t="s">
        <v>26</v>
      </c>
      <c r="O100" s="98" t="s">
        <v>40</v>
      </c>
      <c r="P100" s="98" t="s">
        <v>40</v>
      </c>
      <c r="Q100" s="98" t="s">
        <v>38</v>
      </c>
      <c r="R100" s="37" t="s">
        <v>40</v>
      </c>
      <c r="T100" s="97">
        <f t="shared" si="32"/>
        <v>9</v>
      </c>
      <c r="U100" s="97">
        <f t="shared" si="33"/>
        <v>17</v>
      </c>
      <c r="V100" s="97">
        <f t="shared" si="34"/>
        <v>8</v>
      </c>
      <c r="W100" s="97">
        <f t="shared" si="35"/>
        <v>11</v>
      </c>
      <c r="X100" s="97">
        <f t="shared" si="36"/>
        <v>11</v>
      </c>
      <c r="Y100" s="97">
        <f t="shared" si="37"/>
        <v>9</v>
      </c>
      <c r="Z100" s="97">
        <f t="shared" si="38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74" t="s">
        <v>25</v>
      </c>
      <c r="AK100" s="90">
        <v>10</v>
      </c>
      <c r="AL100" s="182">
        <v>10</v>
      </c>
      <c r="AM100" s="182">
        <v>40</v>
      </c>
      <c r="AN100" s="182">
        <v>1</v>
      </c>
      <c r="AO100" s="182">
        <v>40</v>
      </c>
      <c r="AP100" s="182">
        <v>1</v>
      </c>
      <c r="AQ100" s="92">
        <v>10</v>
      </c>
      <c r="AR100" s="78">
        <v>8</v>
      </c>
      <c r="BD100" s="22">
        <v>96</v>
      </c>
      <c r="BE100" s="98" t="s">
        <v>39</v>
      </c>
      <c r="BF100" s="98" t="s">
        <v>78</v>
      </c>
      <c r="BG100" s="98" t="s">
        <v>40</v>
      </c>
      <c r="BH100" s="98" t="s">
        <v>163</v>
      </c>
      <c r="BI100" s="98" t="s">
        <v>163</v>
      </c>
      <c r="BJ100" s="98" t="s">
        <v>36</v>
      </c>
      <c r="BK100" s="37" t="s">
        <v>40</v>
      </c>
      <c r="BM100" s="97">
        <f t="shared" si="39"/>
        <v>10</v>
      </c>
      <c r="BN100" s="97">
        <f t="shared" si="40"/>
        <v>6</v>
      </c>
      <c r="BO100" s="97">
        <f t="shared" si="41"/>
        <v>11</v>
      </c>
      <c r="BP100" s="97">
        <f t="shared" si="42"/>
        <v>7</v>
      </c>
      <c r="BQ100" s="97">
        <f t="shared" si="43"/>
        <v>7</v>
      </c>
      <c r="BR100" s="97">
        <f t="shared" si="44"/>
        <v>5</v>
      </c>
      <c r="BS100" s="97">
        <f t="shared" si="45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74" t="s">
        <v>25</v>
      </c>
      <c r="CD100" s="75">
        <v>1</v>
      </c>
      <c r="CE100" s="76">
        <v>1</v>
      </c>
      <c r="CF100" s="76">
        <v>1</v>
      </c>
      <c r="CG100" s="76">
        <v>1</v>
      </c>
      <c r="CH100" s="76">
        <v>70</v>
      </c>
      <c r="CI100" s="76">
        <v>1</v>
      </c>
      <c r="CJ100" s="77">
        <v>1</v>
      </c>
      <c r="CK100" s="78">
        <v>8</v>
      </c>
    </row>
    <row r="101" spans="11:89" ht="16.5">
      <c r="K101" s="21">
        <v>97</v>
      </c>
      <c r="L101" s="98" t="s">
        <v>40</v>
      </c>
      <c r="M101" s="98" t="s">
        <v>177</v>
      </c>
      <c r="N101" s="98" t="s">
        <v>26</v>
      </c>
      <c r="O101" s="98" t="s">
        <v>38</v>
      </c>
      <c r="P101" s="98" t="s">
        <v>78</v>
      </c>
      <c r="Q101" s="98" t="s">
        <v>41</v>
      </c>
      <c r="R101" s="37" t="s">
        <v>40</v>
      </c>
      <c r="T101" s="97">
        <f t="shared" si="32"/>
        <v>11</v>
      </c>
      <c r="U101" s="97">
        <f t="shared" si="33"/>
        <v>18</v>
      </c>
      <c r="V101" s="97">
        <f t="shared" si="34"/>
        <v>8</v>
      </c>
      <c r="W101" s="97">
        <f t="shared" si="35"/>
        <v>9</v>
      </c>
      <c r="X101" s="97">
        <f t="shared" si="36"/>
        <v>6</v>
      </c>
      <c r="Y101" s="97">
        <f t="shared" si="37"/>
        <v>12</v>
      </c>
      <c r="Z101" s="97">
        <f t="shared" si="38"/>
        <v>11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74" t="s">
        <v>27</v>
      </c>
      <c r="AK101" s="90">
        <v>40</v>
      </c>
      <c r="AL101" s="182">
        <v>8</v>
      </c>
      <c r="AM101" s="182">
        <v>25</v>
      </c>
      <c r="AN101" s="182">
        <v>10</v>
      </c>
      <c r="AO101" s="182">
        <v>1</v>
      </c>
      <c r="AP101" s="182">
        <v>40</v>
      </c>
      <c r="AQ101" s="92">
        <v>10</v>
      </c>
      <c r="AR101" s="78">
        <v>9</v>
      </c>
      <c r="BD101" s="21">
        <v>97</v>
      </c>
      <c r="BE101" s="98" t="s">
        <v>41</v>
      </c>
      <c r="BF101" s="98" t="s">
        <v>34</v>
      </c>
      <c r="BG101" s="98" t="s">
        <v>26</v>
      </c>
      <c r="BH101" s="98" t="s">
        <v>163</v>
      </c>
      <c r="BI101" s="98" t="s">
        <v>36</v>
      </c>
      <c r="BJ101" s="98" t="s">
        <v>36</v>
      </c>
      <c r="BK101" s="37" t="s">
        <v>41</v>
      </c>
      <c r="BM101" s="97">
        <f t="shared" si="39"/>
        <v>12</v>
      </c>
      <c r="BN101" s="97">
        <f t="shared" si="40"/>
        <v>3</v>
      </c>
      <c r="BO101" s="97">
        <f t="shared" si="41"/>
        <v>8</v>
      </c>
      <c r="BP101" s="97">
        <f t="shared" si="42"/>
        <v>7</v>
      </c>
      <c r="BQ101" s="97">
        <f t="shared" si="43"/>
        <v>5</v>
      </c>
      <c r="BR101" s="97">
        <f t="shared" si="44"/>
        <v>5</v>
      </c>
      <c r="BS101" s="97">
        <f t="shared" si="45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74" t="s">
        <v>27</v>
      </c>
      <c r="CD101" s="75">
        <v>1</v>
      </c>
      <c r="CE101" s="76">
        <v>1</v>
      </c>
      <c r="CF101" s="76">
        <v>1</v>
      </c>
      <c r="CG101" s="76">
        <v>70</v>
      </c>
      <c r="CH101" s="76">
        <v>1</v>
      </c>
      <c r="CI101" s="76">
        <v>70</v>
      </c>
      <c r="CJ101" s="77">
        <v>1</v>
      </c>
      <c r="CK101" s="78">
        <v>9</v>
      </c>
    </row>
    <row r="102" spans="11:89" ht="16.5">
      <c r="K102" s="22">
        <v>98</v>
      </c>
      <c r="L102" s="98" t="s">
        <v>40</v>
      </c>
      <c r="M102" s="98" t="s">
        <v>39</v>
      </c>
      <c r="N102" s="98" t="s">
        <v>195</v>
      </c>
      <c r="O102" s="98" t="s">
        <v>38</v>
      </c>
      <c r="P102" s="98" t="s">
        <v>38</v>
      </c>
      <c r="Q102" s="98" t="s">
        <v>41</v>
      </c>
      <c r="R102" s="37" t="s">
        <v>40</v>
      </c>
      <c r="T102" s="97">
        <f t="shared" si="32"/>
        <v>11</v>
      </c>
      <c r="U102" s="97">
        <f t="shared" si="33"/>
        <v>10</v>
      </c>
      <c r="V102" s="97">
        <f t="shared" si="34"/>
        <v>19</v>
      </c>
      <c r="W102" s="97">
        <f t="shared" si="35"/>
        <v>9</v>
      </c>
      <c r="X102" s="97">
        <f t="shared" si="36"/>
        <v>9</v>
      </c>
      <c r="Y102" s="97">
        <f t="shared" si="37"/>
        <v>12</v>
      </c>
      <c r="Z102" s="97">
        <f t="shared" si="38"/>
        <v>11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74" t="s">
        <v>28</v>
      </c>
      <c r="AK102" s="90">
        <v>10</v>
      </c>
      <c r="AL102" s="182">
        <v>30</v>
      </c>
      <c r="AM102" s="182">
        <v>30</v>
      </c>
      <c r="AN102" s="182">
        <v>10</v>
      </c>
      <c r="AO102" s="182">
        <v>40</v>
      </c>
      <c r="AP102" s="182">
        <v>1</v>
      </c>
      <c r="AQ102" s="92">
        <v>10</v>
      </c>
      <c r="AR102" s="78">
        <v>10</v>
      </c>
      <c r="BD102" s="22">
        <v>98</v>
      </c>
      <c r="BE102" s="98" t="s">
        <v>35</v>
      </c>
      <c r="BF102" s="98" t="s">
        <v>163</v>
      </c>
      <c r="BG102" s="98" t="s">
        <v>39</v>
      </c>
      <c r="BH102" s="98" t="s">
        <v>39</v>
      </c>
      <c r="BI102" s="98" t="s">
        <v>40</v>
      </c>
      <c r="BJ102" s="98" t="s">
        <v>41</v>
      </c>
      <c r="BK102" s="37" t="s">
        <v>36</v>
      </c>
      <c r="BM102" s="97">
        <f t="shared" si="39"/>
        <v>4</v>
      </c>
      <c r="BN102" s="97">
        <f t="shared" si="40"/>
        <v>7</v>
      </c>
      <c r="BO102" s="97">
        <f t="shared" si="41"/>
        <v>10</v>
      </c>
      <c r="BP102" s="97">
        <f t="shared" si="42"/>
        <v>10</v>
      </c>
      <c r="BQ102" s="97">
        <f t="shared" si="43"/>
        <v>11</v>
      </c>
      <c r="BR102" s="97">
        <f t="shared" si="44"/>
        <v>12</v>
      </c>
      <c r="BS102" s="97">
        <f t="shared" si="45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74" t="s">
        <v>28</v>
      </c>
      <c r="CD102" s="75">
        <v>1</v>
      </c>
      <c r="CE102" s="76">
        <v>1</v>
      </c>
      <c r="CF102" s="76">
        <v>5</v>
      </c>
      <c r="CG102" s="76">
        <v>1</v>
      </c>
      <c r="CH102" s="76">
        <v>1</v>
      </c>
      <c r="CI102" s="76">
        <v>1</v>
      </c>
      <c r="CJ102" s="77">
        <v>3</v>
      </c>
      <c r="CK102" s="78">
        <v>10</v>
      </c>
    </row>
    <row r="103" spans="11:89" ht="16.5">
      <c r="K103" s="21">
        <v>99</v>
      </c>
      <c r="L103" s="98" t="s">
        <v>38</v>
      </c>
      <c r="M103" s="98" t="s">
        <v>39</v>
      </c>
      <c r="N103" s="98" t="s">
        <v>206</v>
      </c>
      <c r="O103" s="98" t="s">
        <v>175</v>
      </c>
      <c r="P103" s="98" t="s">
        <v>163</v>
      </c>
      <c r="Q103" s="98" t="s">
        <v>38</v>
      </c>
      <c r="R103" s="37" t="s">
        <v>36</v>
      </c>
      <c r="T103" s="97">
        <f t="shared" si="32"/>
        <v>9</v>
      </c>
      <c r="U103" s="97">
        <f t="shared" si="33"/>
        <v>10</v>
      </c>
      <c r="V103" s="97">
        <f t="shared" si="34"/>
        <v>22</v>
      </c>
      <c r="W103" s="97">
        <f t="shared" si="35"/>
        <v>17</v>
      </c>
      <c r="X103" s="97">
        <f t="shared" si="36"/>
        <v>7</v>
      </c>
      <c r="Y103" s="97">
        <f t="shared" si="37"/>
        <v>9</v>
      </c>
      <c r="Z103" s="97">
        <f t="shared" si="38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74" t="s">
        <v>29</v>
      </c>
      <c r="AK103" s="90">
        <v>30</v>
      </c>
      <c r="AL103" s="182">
        <v>30</v>
      </c>
      <c r="AM103" s="182">
        <v>30</v>
      </c>
      <c r="AN103" s="182">
        <v>1</v>
      </c>
      <c r="AO103" s="182">
        <v>1</v>
      </c>
      <c r="AP103" s="182">
        <v>1</v>
      </c>
      <c r="AQ103" s="92">
        <v>10</v>
      </c>
      <c r="AR103" s="78">
        <v>11</v>
      </c>
      <c r="BD103" s="21">
        <v>99</v>
      </c>
      <c r="BE103" s="98" t="s">
        <v>40</v>
      </c>
      <c r="BF103" s="98" t="s">
        <v>177</v>
      </c>
      <c r="BG103" s="98" t="s">
        <v>38</v>
      </c>
      <c r="BH103" s="98" t="s">
        <v>39</v>
      </c>
      <c r="BI103" s="98" t="s">
        <v>40</v>
      </c>
      <c r="BJ103" s="98" t="s">
        <v>41</v>
      </c>
      <c r="BK103" s="37" t="s">
        <v>36</v>
      </c>
      <c r="BM103" s="97">
        <f t="shared" si="39"/>
        <v>11</v>
      </c>
      <c r="BN103" s="97">
        <f t="shared" si="40"/>
        <v>18</v>
      </c>
      <c r="BO103" s="97">
        <f t="shared" si="41"/>
        <v>9</v>
      </c>
      <c r="BP103" s="97">
        <f t="shared" si="42"/>
        <v>10</v>
      </c>
      <c r="BQ103" s="97">
        <f t="shared" si="43"/>
        <v>11</v>
      </c>
      <c r="BR103" s="97">
        <f t="shared" si="44"/>
        <v>12</v>
      </c>
      <c r="BS103" s="97">
        <f t="shared" si="45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74" t="s">
        <v>29</v>
      </c>
      <c r="CD103" s="75">
        <v>1</v>
      </c>
      <c r="CE103" s="76">
        <v>70</v>
      </c>
      <c r="CF103" s="76">
        <v>1</v>
      </c>
      <c r="CG103" s="76">
        <v>1</v>
      </c>
      <c r="CH103" s="76">
        <v>1</v>
      </c>
      <c r="CI103" s="76">
        <v>1</v>
      </c>
      <c r="CJ103" s="77">
        <v>1</v>
      </c>
      <c r="CK103" s="78">
        <v>11</v>
      </c>
    </row>
    <row r="104" spans="11:89" ht="16.5">
      <c r="K104" s="22">
        <v>100</v>
      </c>
      <c r="L104" s="98" t="s">
        <v>38</v>
      </c>
      <c r="M104" s="98" t="s">
        <v>39</v>
      </c>
      <c r="N104" s="98" t="s">
        <v>40</v>
      </c>
      <c r="O104" s="98" t="s">
        <v>78</v>
      </c>
      <c r="P104" s="98" t="s">
        <v>163</v>
      </c>
      <c r="Q104" s="98" t="s">
        <v>26</v>
      </c>
      <c r="R104" s="37" t="s">
        <v>36</v>
      </c>
      <c r="T104" s="97">
        <f t="shared" si="32"/>
        <v>9</v>
      </c>
      <c r="U104" s="97">
        <f t="shared" si="33"/>
        <v>10</v>
      </c>
      <c r="V104" s="97">
        <f t="shared" si="34"/>
        <v>11</v>
      </c>
      <c r="W104" s="97">
        <f t="shared" si="35"/>
        <v>6</v>
      </c>
      <c r="X104" s="97">
        <f t="shared" si="36"/>
        <v>7</v>
      </c>
      <c r="Y104" s="97">
        <f t="shared" si="37"/>
        <v>8</v>
      </c>
      <c r="Z104" s="97">
        <f t="shared" si="38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74" t="s">
        <v>30</v>
      </c>
      <c r="AK104" s="90">
        <v>5</v>
      </c>
      <c r="AL104" s="182">
        <v>30</v>
      </c>
      <c r="AM104" s="182">
        <v>20</v>
      </c>
      <c r="AN104" s="182">
        <v>1</v>
      </c>
      <c r="AO104" s="182">
        <v>1</v>
      </c>
      <c r="AP104" s="182">
        <v>1</v>
      </c>
      <c r="AQ104" s="92">
        <v>10</v>
      </c>
      <c r="AR104" s="78">
        <v>12</v>
      </c>
      <c r="BD104" s="22">
        <v>100</v>
      </c>
      <c r="BE104" s="98" t="s">
        <v>163</v>
      </c>
      <c r="BF104" s="98" t="s">
        <v>78</v>
      </c>
      <c r="BG104" s="98" t="s">
        <v>38</v>
      </c>
      <c r="BH104" s="98" t="s">
        <v>205</v>
      </c>
      <c r="BI104" s="98" t="s">
        <v>36</v>
      </c>
      <c r="BJ104" s="98" t="s">
        <v>78</v>
      </c>
      <c r="BK104" s="37" t="s">
        <v>36</v>
      </c>
      <c r="BM104" s="97">
        <f t="shared" si="39"/>
        <v>7</v>
      </c>
      <c r="BN104" s="97">
        <f t="shared" si="40"/>
        <v>6</v>
      </c>
      <c r="BO104" s="97">
        <f t="shared" si="41"/>
        <v>9</v>
      </c>
      <c r="BP104" s="97">
        <f t="shared" si="42"/>
        <v>21</v>
      </c>
      <c r="BQ104" s="97">
        <f t="shared" si="43"/>
        <v>5</v>
      </c>
      <c r="BR104" s="97">
        <f t="shared" si="44"/>
        <v>6</v>
      </c>
      <c r="BS104" s="97">
        <f t="shared" si="45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74" t="s">
        <v>30</v>
      </c>
      <c r="CD104" s="75">
        <v>70</v>
      </c>
      <c r="CE104" s="76">
        <v>1</v>
      </c>
      <c r="CF104" s="76">
        <v>1</v>
      </c>
      <c r="CG104" s="76">
        <v>1</v>
      </c>
      <c r="CH104" s="76">
        <v>1</v>
      </c>
      <c r="CI104" s="76">
        <v>1</v>
      </c>
      <c r="CJ104" s="77">
        <v>1</v>
      </c>
      <c r="CK104" s="78">
        <v>12</v>
      </c>
    </row>
    <row r="105" spans="11:89" ht="16.5">
      <c r="K105" s="21">
        <v>101</v>
      </c>
      <c r="L105" s="98" t="s">
        <v>40</v>
      </c>
      <c r="M105" s="98" t="s">
        <v>163</v>
      </c>
      <c r="N105" s="98" t="s">
        <v>26</v>
      </c>
      <c r="O105" s="98" t="s">
        <v>78</v>
      </c>
      <c r="P105" s="98" t="s">
        <v>38</v>
      </c>
      <c r="Q105" s="98" t="s">
        <v>39</v>
      </c>
      <c r="R105" s="37" t="s">
        <v>36</v>
      </c>
      <c r="T105" s="97">
        <f t="shared" si="32"/>
        <v>11</v>
      </c>
      <c r="U105" s="97">
        <f t="shared" si="33"/>
        <v>7</v>
      </c>
      <c r="V105" s="97">
        <f t="shared" si="34"/>
        <v>8</v>
      </c>
      <c r="W105" s="97">
        <f t="shared" si="35"/>
        <v>6</v>
      </c>
      <c r="X105" s="97">
        <f t="shared" si="36"/>
        <v>9</v>
      </c>
      <c r="Y105" s="97">
        <f t="shared" si="37"/>
        <v>10</v>
      </c>
      <c r="Z105" s="97">
        <f t="shared" si="38"/>
        <v>5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74" t="s">
        <v>82</v>
      </c>
      <c r="AK105" s="90">
        <v>0</v>
      </c>
      <c r="AL105" s="182">
        <v>1</v>
      </c>
      <c r="AM105" s="182">
        <v>1</v>
      </c>
      <c r="AN105" s="182">
        <v>1</v>
      </c>
      <c r="AO105" s="182">
        <v>1</v>
      </c>
      <c r="AP105" s="182">
        <v>0</v>
      </c>
      <c r="AQ105" s="92">
        <v>0</v>
      </c>
      <c r="AR105" s="78">
        <v>13</v>
      </c>
      <c r="BD105" s="21">
        <v>101</v>
      </c>
      <c r="BE105" s="98" t="s">
        <v>163</v>
      </c>
      <c r="BF105" s="98" t="s">
        <v>190</v>
      </c>
      <c r="BG105" s="98" t="s">
        <v>40</v>
      </c>
      <c r="BH105" s="98" t="s">
        <v>78</v>
      </c>
      <c r="BI105" s="98" t="s">
        <v>206</v>
      </c>
      <c r="BJ105" s="98" t="s">
        <v>78</v>
      </c>
      <c r="BK105" s="37" t="s">
        <v>40</v>
      </c>
      <c r="BM105" s="97">
        <f t="shared" si="39"/>
        <v>7</v>
      </c>
      <c r="BN105" s="97">
        <f t="shared" si="40"/>
        <v>24</v>
      </c>
      <c r="BO105" s="97">
        <f t="shared" si="41"/>
        <v>11</v>
      </c>
      <c r="BP105" s="97">
        <f t="shared" si="42"/>
        <v>6</v>
      </c>
      <c r="BQ105" s="97">
        <f t="shared" si="43"/>
        <v>22</v>
      </c>
      <c r="BR105" s="97">
        <f t="shared" si="44"/>
        <v>6</v>
      </c>
      <c r="BS105" s="97">
        <f t="shared" si="45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74" t="s">
        <v>82</v>
      </c>
      <c r="CD105" s="75">
        <v>0</v>
      </c>
      <c r="CE105" s="76">
        <v>0</v>
      </c>
      <c r="CF105" s="76">
        <v>0</v>
      </c>
      <c r="CG105" s="76">
        <v>0</v>
      </c>
      <c r="CH105" s="76">
        <v>0</v>
      </c>
      <c r="CI105" s="76">
        <v>0</v>
      </c>
      <c r="CJ105" s="77">
        <v>0</v>
      </c>
      <c r="CK105" s="78">
        <v>13</v>
      </c>
    </row>
    <row r="106" spans="11:89" ht="16.5">
      <c r="K106" s="22">
        <v>102</v>
      </c>
      <c r="L106" s="98" t="s">
        <v>39</v>
      </c>
      <c r="M106" s="98" t="s">
        <v>40</v>
      </c>
      <c r="N106" s="98" t="s">
        <v>34</v>
      </c>
      <c r="O106" s="98" t="s">
        <v>36</v>
      </c>
      <c r="P106" s="98" t="s">
        <v>38</v>
      </c>
      <c r="Q106" s="98" t="s">
        <v>26</v>
      </c>
      <c r="R106" s="37" t="s">
        <v>78</v>
      </c>
      <c r="T106" s="97">
        <f t="shared" si="32"/>
        <v>10</v>
      </c>
      <c r="U106" s="97">
        <f t="shared" si="33"/>
        <v>11</v>
      </c>
      <c r="V106" s="97">
        <f t="shared" si="34"/>
        <v>3</v>
      </c>
      <c r="W106" s="97">
        <f t="shared" si="35"/>
        <v>5</v>
      </c>
      <c r="X106" s="97">
        <f t="shared" si="36"/>
        <v>9</v>
      </c>
      <c r="Y106" s="97">
        <f t="shared" si="37"/>
        <v>8</v>
      </c>
      <c r="Z106" s="97">
        <f t="shared" si="38"/>
        <v>6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74" t="s">
        <v>83</v>
      </c>
      <c r="AK106" s="90">
        <v>0</v>
      </c>
      <c r="AL106" s="182">
        <v>1</v>
      </c>
      <c r="AM106" s="182">
        <v>1</v>
      </c>
      <c r="AN106" s="182">
        <v>1</v>
      </c>
      <c r="AO106" s="182">
        <v>1</v>
      </c>
      <c r="AP106" s="182">
        <v>0</v>
      </c>
      <c r="AQ106" s="92">
        <v>0</v>
      </c>
      <c r="AR106" s="78">
        <v>14</v>
      </c>
      <c r="BD106" s="22">
        <v>102</v>
      </c>
      <c r="BE106" s="98" t="s">
        <v>38</v>
      </c>
      <c r="BF106" s="98" t="s">
        <v>201</v>
      </c>
      <c r="BG106" s="98" t="s">
        <v>40</v>
      </c>
      <c r="BH106" s="98" t="s">
        <v>26</v>
      </c>
      <c r="BI106" s="98" t="s">
        <v>40</v>
      </c>
      <c r="BJ106" s="98" t="s">
        <v>39</v>
      </c>
      <c r="BK106" s="37" t="s">
        <v>40</v>
      </c>
      <c r="BM106" s="97">
        <f t="shared" si="39"/>
        <v>9</v>
      </c>
      <c r="BN106" s="97">
        <f t="shared" si="40"/>
        <v>25</v>
      </c>
      <c r="BO106" s="97">
        <f t="shared" si="41"/>
        <v>11</v>
      </c>
      <c r="BP106" s="97">
        <f t="shared" si="42"/>
        <v>8</v>
      </c>
      <c r="BQ106" s="97">
        <f t="shared" si="43"/>
        <v>11</v>
      </c>
      <c r="BR106" s="97">
        <f t="shared" si="44"/>
        <v>10</v>
      </c>
      <c r="BS106" s="97">
        <f t="shared" si="45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74" t="s">
        <v>83</v>
      </c>
      <c r="CD106" s="75">
        <v>0</v>
      </c>
      <c r="CE106" s="76">
        <v>1</v>
      </c>
      <c r="CF106" s="76">
        <v>1</v>
      </c>
      <c r="CG106" s="76">
        <v>1</v>
      </c>
      <c r="CH106" s="76">
        <v>1</v>
      </c>
      <c r="CI106" s="76">
        <v>0</v>
      </c>
      <c r="CJ106" s="77">
        <v>0</v>
      </c>
      <c r="CK106" s="78">
        <v>14</v>
      </c>
    </row>
    <row r="107" spans="11:89" ht="16.5">
      <c r="K107" s="21">
        <v>103</v>
      </c>
      <c r="L107" s="98" t="s">
        <v>78</v>
      </c>
      <c r="M107" s="98" t="s">
        <v>26</v>
      </c>
      <c r="N107" s="98" t="s">
        <v>34</v>
      </c>
      <c r="O107" s="98" t="s">
        <v>41</v>
      </c>
      <c r="P107" s="98" t="s">
        <v>38</v>
      </c>
      <c r="Q107" s="98" t="s">
        <v>26</v>
      </c>
      <c r="R107" s="37" t="s">
        <v>26</v>
      </c>
      <c r="T107" s="97">
        <f t="shared" si="32"/>
        <v>6</v>
      </c>
      <c r="U107" s="97">
        <f t="shared" si="33"/>
        <v>8</v>
      </c>
      <c r="V107" s="97">
        <f t="shared" si="34"/>
        <v>3</v>
      </c>
      <c r="W107" s="97">
        <f t="shared" si="35"/>
        <v>12</v>
      </c>
      <c r="X107" s="97">
        <f t="shared" si="36"/>
        <v>9</v>
      </c>
      <c r="Y107" s="97">
        <f t="shared" si="37"/>
        <v>8</v>
      </c>
      <c r="Z107" s="97">
        <f t="shared" si="38"/>
        <v>8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74" t="s">
        <v>84</v>
      </c>
      <c r="AK107" s="90">
        <v>0</v>
      </c>
      <c r="AL107" s="182">
        <v>1</v>
      </c>
      <c r="AM107" s="182">
        <v>1</v>
      </c>
      <c r="AN107" s="182">
        <v>1</v>
      </c>
      <c r="AO107" s="182">
        <v>1</v>
      </c>
      <c r="AP107" s="182">
        <v>0</v>
      </c>
      <c r="AQ107" s="92">
        <v>0</v>
      </c>
      <c r="AR107" s="78">
        <v>15</v>
      </c>
      <c r="BD107" s="21">
        <v>103</v>
      </c>
      <c r="BE107" s="98" t="s">
        <v>39</v>
      </c>
      <c r="BF107" s="98" t="s">
        <v>78</v>
      </c>
      <c r="BG107" s="98" t="s">
        <v>41</v>
      </c>
      <c r="BH107" s="98" t="s">
        <v>39</v>
      </c>
      <c r="BI107" s="98" t="s">
        <v>40</v>
      </c>
      <c r="BJ107" s="98" t="s">
        <v>39</v>
      </c>
      <c r="BK107" s="37" t="s">
        <v>34</v>
      </c>
      <c r="BM107" s="97">
        <f t="shared" si="39"/>
        <v>10</v>
      </c>
      <c r="BN107" s="97">
        <f t="shared" si="40"/>
        <v>6</v>
      </c>
      <c r="BO107" s="97">
        <f t="shared" si="41"/>
        <v>12</v>
      </c>
      <c r="BP107" s="97">
        <f t="shared" si="42"/>
        <v>10</v>
      </c>
      <c r="BQ107" s="97">
        <f t="shared" si="43"/>
        <v>11</v>
      </c>
      <c r="BR107" s="97">
        <f t="shared" si="44"/>
        <v>10</v>
      </c>
      <c r="BS107" s="97">
        <f t="shared" si="45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74" t="s">
        <v>84</v>
      </c>
      <c r="CD107" s="75">
        <v>0</v>
      </c>
      <c r="CE107" s="76">
        <v>1</v>
      </c>
      <c r="CF107" s="76">
        <v>1</v>
      </c>
      <c r="CG107" s="76">
        <v>1</v>
      </c>
      <c r="CH107" s="76">
        <v>1</v>
      </c>
      <c r="CI107" s="76">
        <v>0</v>
      </c>
      <c r="CJ107" s="77">
        <v>0</v>
      </c>
      <c r="CK107" s="78">
        <v>15</v>
      </c>
    </row>
    <row r="108" spans="11:89" ht="16.5">
      <c r="K108" s="22">
        <v>104</v>
      </c>
      <c r="L108" s="98" t="s">
        <v>41</v>
      </c>
      <c r="M108" s="98" t="s">
        <v>26</v>
      </c>
      <c r="N108" s="98" t="s">
        <v>34</v>
      </c>
      <c r="O108" s="98" t="s">
        <v>41</v>
      </c>
      <c r="P108" s="98" t="s">
        <v>40</v>
      </c>
      <c r="Q108" s="98" t="s">
        <v>26</v>
      </c>
      <c r="R108" s="37" t="s">
        <v>78</v>
      </c>
      <c r="T108" s="97">
        <f t="shared" si="32"/>
        <v>12</v>
      </c>
      <c r="U108" s="97">
        <f t="shared" si="33"/>
        <v>8</v>
      </c>
      <c r="V108" s="97">
        <f t="shared" si="34"/>
        <v>3</v>
      </c>
      <c r="W108" s="97">
        <f t="shared" si="35"/>
        <v>12</v>
      </c>
      <c r="X108" s="97">
        <f t="shared" si="36"/>
        <v>11</v>
      </c>
      <c r="Y108" s="97">
        <f t="shared" si="37"/>
        <v>8</v>
      </c>
      <c r="Z108" s="97">
        <f t="shared" si="38"/>
        <v>6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74" t="s">
        <v>85</v>
      </c>
      <c r="AK108" s="90">
        <v>0</v>
      </c>
      <c r="AL108" s="182">
        <v>1</v>
      </c>
      <c r="AM108" s="182">
        <v>1</v>
      </c>
      <c r="AN108" s="182">
        <v>1</v>
      </c>
      <c r="AO108" s="182">
        <v>1</v>
      </c>
      <c r="AP108" s="182">
        <v>0</v>
      </c>
      <c r="AQ108" s="92">
        <v>0</v>
      </c>
      <c r="AR108" s="78">
        <v>16</v>
      </c>
      <c r="BD108" s="22">
        <v>104</v>
      </c>
      <c r="BE108" s="98" t="s">
        <v>38</v>
      </c>
      <c r="BF108" s="98" t="s">
        <v>78</v>
      </c>
      <c r="BG108" s="98" t="s">
        <v>34</v>
      </c>
      <c r="BH108" s="98" t="s">
        <v>39</v>
      </c>
      <c r="BI108" s="98" t="s">
        <v>163</v>
      </c>
      <c r="BJ108" s="98" t="s">
        <v>41</v>
      </c>
      <c r="BK108" s="37" t="s">
        <v>34</v>
      </c>
      <c r="BM108" s="97">
        <f t="shared" si="39"/>
        <v>9</v>
      </c>
      <c r="BN108" s="97">
        <f t="shared" si="40"/>
        <v>6</v>
      </c>
      <c r="BO108" s="97">
        <f t="shared" si="41"/>
        <v>3</v>
      </c>
      <c r="BP108" s="97">
        <f t="shared" si="42"/>
        <v>10</v>
      </c>
      <c r="BQ108" s="97">
        <f t="shared" si="43"/>
        <v>7</v>
      </c>
      <c r="BR108" s="97">
        <f t="shared" si="44"/>
        <v>12</v>
      </c>
      <c r="BS108" s="97">
        <f t="shared" si="45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74" t="s">
        <v>85</v>
      </c>
      <c r="CD108" s="75">
        <v>0</v>
      </c>
      <c r="CE108" s="76">
        <v>1</v>
      </c>
      <c r="CF108" s="76">
        <v>1</v>
      </c>
      <c r="CG108" s="76">
        <v>1</v>
      </c>
      <c r="CH108" s="76">
        <v>1</v>
      </c>
      <c r="CI108" s="76">
        <v>0</v>
      </c>
      <c r="CJ108" s="77">
        <v>0</v>
      </c>
      <c r="CK108" s="78">
        <v>16</v>
      </c>
    </row>
    <row r="109" spans="11:89" ht="16.5">
      <c r="K109" s="21">
        <v>105</v>
      </c>
      <c r="L109" s="98" t="s">
        <v>38</v>
      </c>
      <c r="M109" s="98" t="s">
        <v>26</v>
      </c>
      <c r="N109" s="98" t="s">
        <v>36</v>
      </c>
      <c r="O109" s="98" t="s">
        <v>39</v>
      </c>
      <c r="P109" s="98" t="s">
        <v>163</v>
      </c>
      <c r="Q109" s="98" t="s">
        <v>36</v>
      </c>
      <c r="R109" s="37" t="s">
        <v>78</v>
      </c>
      <c r="T109" s="97">
        <f t="shared" si="32"/>
        <v>9</v>
      </c>
      <c r="U109" s="97">
        <f t="shared" si="33"/>
        <v>8</v>
      </c>
      <c r="V109" s="97">
        <f t="shared" si="34"/>
        <v>5</v>
      </c>
      <c r="W109" s="97">
        <f t="shared" si="35"/>
        <v>10</v>
      </c>
      <c r="X109" s="97">
        <f t="shared" si="36"/>
        <v>7</v>
      </c>
      <c r="Y109" s="97">
        <f t="shared" si="37"/>
        <v>5</v>
      </c>
      <c r="Z109" s="97">
        <f t="shared" si="38"/>
        <v>6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74" t="s">
        <v>86</v>
      </c>
      <c r="AK109" s="90">
        <v>0</v>
      </c>
      <c r="AL109" s="182">
        <v>5</v>
      </c>
      <c r="AM109" s="182">
        <v>5</v>
      </c>
      <c r="AN109" s="182">
        <v>5</v>
      </c>
      <c r="AO109" s="182">
        <v>5</v>
      </c>
      <c r="AP109" s="182">
        <v>0</v>
      </c>
      <c r="AQ109" s="92">
        <v>0</v>
      </c>
      <c r="AR109" s="78">
        <v>17</v>
      </c>
      <c r="BD109" s="21">
        <v>105</v>
      </c>
      <c r="BE109" s="98" t="s">
        <v>41</v>
      </c>
      <c r="BF109" s="98" t="s">
        <v>41</v>
      </c>
      <c r="BG109" s="98" t="s">
        <v>34</v>
      </c>
      <c r="BH109" s="98" t="s">
        <v>35</v>
      </c>
      <c r="BI109" s="98" t="s">
        <v>40</v>
      </c>
      <c r="BJ109" s="98" t="s">
        <v>41</v>
      </c>
      <c r="BK109" s="37" t="s">
        <v>41</v>
      </c>
      <c r="BM109" s="97">
        <f t="shared" si="39"/>
        <v>12</v>
      </c>
      <c r="BN109" s="97">
        <f t="shared" si="40"/>
        <v>12</v>
      </c>
      <c r="BO109" s="97">
        <f t="shared" si="41"/>
        <v>3</v>
      </c>
      <c r="BP109" s="97">
        <f t="shared" si="42"/>
        <v>4</v>
      </c>
      <c r="BQ109" s="97">
        <f t="shared" si="43"/>
        <v>11</v>
      </c>
      <c r="BR109" s="97">
        <f t="shared" si="44"/>
        <v>12</v>
      </c>
      <c r="BS109" s="97">
        <f t="shared" si="45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74" t="s">
        <v>86</v>
      </c>
      <c r="CD109" s="75">
        <v>0</v>
      </c>
      <c r="CE109" s="76">
        <v>1</v>
      </c>
      <c r="CF109" s="76">
        <v>1</v>
      </c>
      <c r="CG109" s="76">
        <v>1</v>
      </c>
      <c r="CH109" s="76">
        <v>2</v>
      </c>
      <c r="CI109" s="76">
        <v>0</v>
      </c>
      <c r="CJ109" s="77">
        <v>0</v>
      </c>
      <c r="CK109" s="78">
        <v>17</v>
      </c>
    </row>
    <row r="110" spans="11:89" ht="16.5">
      <c r="K110" s="22">
        <v>106</v>
      </c>
      <c r="L110" s="98" t="s">
        <v>36</v>
      </c>
      <c r="M110" s="98" t="s">
        <v>41</v>
      </c>
      <c r="N110" s="98" t="s">
        <v>36</v>
      </c>
      <c r="O110" s="98" t="s">
        <v>39</v>
      </c>
      <c r="P110" s="98" t="s">
        <v>163</v>
      </c>
      <c r="Q110" s="98" t="s">
        <v>26</v>
      </c>
      <c r="R110" s="37" t="s">
        <v>78</v>
      </c>
      <c r="T110" s="97">
        <f t="shared" si="32"/>
        <v>5</v>
      </c>
      <c r="U110" s="97">
        <f t="shared" si="33"/>
        <v>12</v>
      </c>
      <c r="V110" s="97">
        <f t="shared" si="34"/>
        <v>5</v>
      </c>
      <c r="W110" s="97">
        <f t="shared" si="35"/>
        <v>10</v>
      </c>
      <c r="X110" s="97">
        <f t="shared" si="36"/>
        <v>7</v>
      </c>
      <c r="Y110" s="97">
        <f t="shared" si="37"/>
        <v>8</v>
      </c>
      <c r="Z110" s="97">
        <f t="shared" si="38"/>
        <v>6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74" t="s">
        <v>176</v>
      </c>
      <c r="AK110" s="90">
        <v>0</v>
      </c>
      <c r="AL110" s="182">
        <v>5</v>
      </c>
      <c r="AM110" s="182">
        <v>5</v>
      </c>
      <c r="AN110" s="182">
        <v>5</v>
      </c>
      <c r="AO110" s="182">
        <v>5</v>
      </c>
      <c r="AP110" s="182">
        <v>0</v>
      </c>
      <c r="AQ110" s="92">
        <v>0</v>
      </c>
      <c r="AR110" s="78">
        <v>18</v>
      </c>
      <c r="BD110" s="22">
        <v>106</v>
      </c>
      <c r="BE110" s="98" t="s">
        <v>41</v>
      </c>
      <c r="BF110" s="98" t="s">
        <v>39</v>
      </c>
      <c r="BG110" s="98" t="s">
        <v>40</v>
      </c>
      <c r="BH110" s="98" t="s">
        <v>78</v>
      </c>
      <c r="BI110" s="98" t="s">
        <v>41</v>
      </c>
      <c r="BJ110" s="98" t="s">
        <v>26</v>
      </c>
      <c r="BK110" s="37" t="s">
        <v>41</v>
      </c>
      <c r="BM110" s="97">
        <f t="shared" si="39"/>
        <v>12</v>
      </c>
      <c r="BN110" s="97">
        <f t="shared" si="40"/>
        <v>10</v>
      </c>
      <c r="BO110" s="97">
        <f t="shared" si="41"/>
        <v>11</v>
      </c>
      <c r="BP110" s="97">
        <f t="shared" si="42"/>
        <v>6</v>
      </c>
      <c r="BQ110" s="97">
        <f t="shared" si="43"/>
        <v>12</v>
      </c>
      <c r="BR110" s="97">
        <f t="shared" si="44"/>
        <v>8</v>
      </c>
      <c r="BS110" s="97">
        <f t="shared" si="45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74" t="s">
        <v>176</v>
      </c>
      <c r="CD110" s="75">
        <v>0</v>
      </c>
      <c r="CE110" s="76">
        <v>1</v>
      </c>
      <c r="CF110" s="76">
        <v>1</v>
      </c>
      <c r="CG110" s="76">
        <v>1</v>
      </c>
      <c r="CH110" s="76">
        <v>1</v>
      </c>
      <c r="CI110" s="76">
        <v>0</v>
      </c>
      <c r="CJ110" s="77">
        <v>0</v>
      </c>
      <c r="CK110" s="78">
        <v>18</v>
      </c>
    </row>
    <row r="111" spans="11:89" ht="16.5">
      <c r="K111" s="21">
        <v>107</v>
      </c>
      <c r="L111" s="98" t="s">
        <v>36</v>
      </c>
      <c r="M111" s="98" t="s">
        <v>41</v>
      </c>
      <c r="N111" s="98" t="s">
        <v>78</v>
      </c>
      <c r="O111" s="98" t="s">
        <v>78</v>
      </c>
      <c r="P111" s="98" t="s">
        <v>40</v>
      </c>
      <c r="Q111" s="98" t="s">
        <v>26</v>
      </c>
      <c r="R111" s="37" t="s">
        <v>39</v>
      </c>
      <c r="T111" s="97">
        <f t="shared" si="32"/>
        <v>5</v>
      </c>
      <c r="U111" s="97">
        <f t="shared" si="33"/>
        <v>12</v>
      </c>
      <c r="V111" s="97">
        <f t="shared" si="34"/>
        <v>6</v>
      </c>
      <c r="W111" s="97">
        <f t="shared" si="35"/>
        <v>6</v>
      </c>
      <c r="X111" s="97">
        <f t="shared" si="36"/>
        <v>11</v>
      </c>
      <c r="Y111" s="97">
        <f t="shared" si="37"/>
        <v>8</v>
      </c>
      <c r="Z111" s="97">
        <f t="shared" si="38"/>
        <v>10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74" t="s">
        <v>87</v>
      </c>
      <c r="AK111" s="90">
        <v>0</v>
      </c>
      <c r="AL111" s="182">
        <v>6</v>
      </c>
      <c r="AM111" s="182">
        <v>6</v>
      </c>
      <c r="AN111" s="182">
        <v>2</v>
      </c>
      <c r="AO111" s="182">
        <v>2</v>
      </c>
      <c r="AP111" s="182">
        <v>0</v>
      </c>
      <c r="AQ111" s="92">
        <v>0</v>
      </c>
      <c r="AR111" s="78">
        <v>19</v>
      </c>
      <c r="BD111" s="21">
        <v>107</v>
      </c>
      <c r="BE111" s="98" t="s">
        <v>35</v>
      </c>
      <c r="BF111" s="98" t="s">
        <v>39</v>
      </c>
      <c r="BG111" s="98" t="s">
        <v>40</v>
      </c>
      <c r="BH111" s="98" t="s">
        <v>40</v>
      </c>
      <c r="BI111" s="98" t="s">
        <v>36</v>
      </c>
      <c r="BJ111" s="98" t="s">
        <v>26</v>
      </c>
      <c r="BK111" s="37" t="s">
        <v>41</v>
      </c>
      <c r="BM111" s="97">
        <f t="shared" si="39"/>
        <v>4</v>
      </c>
      <c r="BN111" s="97">
        <f t="shared" si="40"/>
        <v>10</v>
      </c>
      <c r="BO111" s="97">
        <f t="shared" si="41"/>
        <v>11</v>
      </c>
      <c r="BP111" s="97">
        <f t="shared" si="42"/>
        <v>11</v>
      </c>
      <c r="BQ111" s="97">
        <f t="shared" si="43"/>
        <v>5</v>
      </c>
      <c r="BR111" s="97">
        <f t="shared" si="44"/>
        <v>8</v>
      </c>
      <c r="BS111" s="97">
        <f t="shared" si="45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74" t="s">
        <v>87</v>
      </c>
      <c r="CD111" s="75">
        <v>0</v>
      </c>
      <c r="CE111" s="76">
        <v>1</v>
      </c>
      <c r="CF111" s="76">
        <v>1</v>
      </c>
      <c r="CG111" s="76">
        <v>1</v>
      </c>
      <c r="CH111" s="76">
        <v>1</v>
      </c>
      <c r="CI111" s="76">
        <v>0</v>
      </c>
      <c r="CJ111" s="77">
        <v>0</v>
      </c>
      <c r="CK111" s="78">
        <v>19</v>
      </c>
    </row>
    <row r="112" spans="11:89" ht="16.5">
      <c r="K112" s="22">
        <v>108</v>
      </c>
      <c r="L112" s="98" t="s">
        <v>40</v>
      </c>
      <c r="M112" s="98" t="s">
        <v>41</v>
      </c>
      <c r="N112" s="98" t="s">
        <v>78</v>
      </c>
      <c r="O112" s="98" t="s">
        <v>78</v>
      </c>
      <c r="P112" s="98" t="s">
        <v>40</v>
      </c>
      <c r="Q112" s="98" t="s">
        <v>35</v>
      </c>
      <c r="R112" s="37" t="s">
        <v>33</v>
      </c>
      <c r="T112" s="97">
        <f t="shared" si="32"/>
        <v>11</v>
      </c>
      <c r="U112" s="97">
        <f t="shared" si="33"/>
        <v>12</v>
      </c>
      <c r="V112" s="97">
        <f t="shared" si="34"/>
        <v>6</v>
      </c>
      <c r="W112" s="97">
        <f t="shared" si="35"/>
        <v>6</v>
      </c>
      <c r="X112" s="97">
        <f t="shared" si="36"/>
        <v>11</v>
      </c>
      <c r="Y112" s="97">
        <f t="shared" si="37"/>
        <v>4</v>
      </c>
      <c r="Z112" s="97">
        <f t="shared" si="38"/>
        <v>2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74" t="s">
        <v>88</v>
      </c>
      <c r="AK112" s="90">
        <v>0</v>
      </c>
      <c r="AL112" s="182">
        <v>4</v>
      </c>
      <c r="AM112" s="182">
        <v>6</v>
      </c>
      <c r="AN112" s="182">
        <v>2</v>
      </c>
      <c r="AO112" s="182">
        <v>2</v>
      </c>
      <c r="AP112" s="182">
        <v>0</v>
      </c>
      <c r="AQ112" s="92">
        <v>0</v>
      </c>
      <c r="AR112" s="78">
        <v>20</v>
      </c>
      <c r="BD112" s="22">
        <v>108</v>
      </c>
      <c r="BE112" s="98" t="s">
        <v>39</v>
      </c>
      <c r="BF112" s="98" t="s">
        <v>34</v>
      </c>
      <c r="BG112" s="98" t="s">
        <v>40</v>
      </c>
      <c r="BH112" s="98" t="s">
        <v>41</v>
      </c>
      <c r="BI112" s="98" t="s">
        <v>177</v>
      </c>
      <c r="BJ112" s="98" t="s">
        <v>41</v>
      </c>
      <c r="BK112" s="37" t="s">
        <v>40</v>
      </c>
      <c r="BM112" s="97">
        <f t="shared" si="39"/>
        <v>10</v>
      </c>
      <c r="BN112" s="97">
        <f t="shared" si="40"/>
        <v>3</v>
      </c>
      <c r="BO112" s="97">
        <f t="shared" si="41"/>
        <v>11</v>
      </c>
      <c r="BP112" s="97">
        <f t="shared" si="42"/>
        <v>12</v>
      </c>
      <c r="BQ112" s="97">
        <f t="shared" si="43"/>
        <v>18</v>
      </c>
      <c r="BR112" s="97">
        <f t="shared" si="44"/>
        <v>12</v>
      </c>
      <c r="BS112" s="97">
        <f t="shared" si="45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74" t="s">
        <v>88</v>
      </c>
      <c r="CD112" s="75">
        <v>0</v>
      </c>
      <c r="CE112" s="76">
        <v>1</v>
      </c>
      <c r="CF112" s="76">
        <v>1</v>
      </c>
      <c r="CG112" s="76">
        <v>1</v>
      </c>
      <c r="CH112" s="76">
        <v>1</v>
      </c>
      <c r="CI112" s="76">
        <v>0</v>
      </c>
      <c r="CJ112" s="77">
        <v>0</v>
      </c>
      <c r="CK112" s="78">
        <v>20</v>
      </c>
    </row>
    <row r="113" spans="11:89" ht="16.5">
      <c r="K113" s="21">
        <v>109</v>
      </c>
      <c r="L113" s="98" t="s">
        <v>35</v>
      </c>
      <c r="M113" s="98" t="s">
        <v>26</v>
      </c>
      <c r="N113" s="98" t="s">
        <v>78</v>
      </c>
      <c r="O113" s="98" t="s">
        <v>78</v>
      </c>
      <c r="P113" s="98" t="s">
        <v>163</v>
      </c>
      <c r="Q113" s="98" t="s">
        <v>26</v>
      </c>
      <c r="R113" s="98" t="s">
        <v>33</v>
      </c>
      <c r="T113" s="97">
        <f t="shared" si="32"/>
        <v>4</v>
      </c>
      <c r="U113" s="97">
        <f t="shared" si="33"/>
        <v>8</v>
      </c>
      <c r="V113" s="97">
        <f t="shared" si="34"/>
        <v>6</v>
      </c>
      <c r="W113" s="97">
        <f t="shared" si="35"/>
        <v>6</v>
      </c>
      <c r="X113" s="97">
        <f t="shared" si="36"/>
        <v>7</v>
      </c>
      <c r="Y113" s="97">
        <f t="shared" si="37"/>
        <v>8</v>
      </c>
      <c r="Z113" s="97">
        <f t="shared" si="38"/>
        <v>2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74" t="s">
        <v>89</v>
      </c>
      <c r="AK113" s="90">
        <v>0</v>
      </c>
      <c r="AL113" s="182">
        <v>5</v>
      </c>
      <c r="AM113" s="182">
        <v>3</v>
      </c>
      <c r="AN113" s="182">
        <v>1</v>
      </c>
      <c r="AO113" s="182">
        <v>4</v>
      </c>
      <c r="AP113" s="182">
        <v>0</v>
      </c>
      <c r="AQ113" s="92">
        <v>0</v>
      </c>
      <c r="AR113" s="78">
        <v>21</v>
      </c>
      <c r="BD113" s="21">
        <v>109</v>
      </c>
      <c r="BE113" s="98" t="s">
        <v>39</v>
      </c>
      <c r="BF113" s="98" t="s">
        <v>26</v>
      </c>
      <c r="BG113" s="98" t="s">
        <v>26</v>
      </c>
      <c r="BH113" s="98" t="s">
        <v>78</v>
      </c>
      <c r="BI113" s="98" t="s">
        <v>163</v>
      </c>
      <c r="BJ113" s="98" t="s">
        <v>41</v>
      </c>
      <c r="BK113" s="98" t="s">
        <v>40</v>
      </c>
      <c r="BM113" s="97">
        <f t="shared" si="39"/>
        <v>10</v>
      </c>
      <c r="BN113" s="97">
        <f t="shared" si="40"/>
        <v>8</v>
      </c>
      <c r="BO113" s="97">
        <f t="shared" si="41"/>
        <v>8</v>
      </c>
      <c r="BP113" s="97">
        <f t="shared" si="42"/>
        <v>6</v>
      </c>
      <c r="BQ113" s="97">
        <f t="shared" si="43"/>
        <v>7</v>
      </c>
      <c r="BR113" s="97">
        <f t="shared" si="44"/>
        <v>12</v>
      </c>
      <c r="BS113" s="97">
        <f t="shared" si="45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74" t="s">
        <v>89</v>
      </c>
      <c r="CD113" s="75">
        <v>0</v>
      </c>
      <c r="CE113" s="76">
        <v>1</v>
      </c>
      <c r="CF113" s="76">
        <v>1</v>
      </c>
      <c r="CG113" s="76">
        <v>1</v>
      </c>
      <c r="CH113" s="76">
        <v>1</v>
      </c>
      <c r="CI113" s="76">
        <v>0</v>
      </c>
      <c r="CJ113" s="77">
        <v>0</v>
      </c>
      <c r="CK113" s="78">
        <v>21</v>
      </c>
    </row>
    <row r="114" spans="11:89" ht="16.5">
      <c r="K114" s="22">
        <v>110</v>
      </c>
      <c r="L114" s="98" t="s">
        <v>26</v>
      </c>
      <c r="M114" s="98" t="s">
        <v>26</v>
      </c>
      <c r="N114" s="98" t="s">
        <v>38</v>
      </c>
      <c r="O114" s="98" t="s">
        <v>177</v>
      </c>
      <c r="P114" s="98" t="s">
        <v>36</v>
      </c>
      <c r="Q114" s="98" t="s">
        <v>26</v>
      </c>
      <c r="R114" s="37" t="s">
        <v>35</v>
      </c>
      <c r="T114" s="97">
        <f t="shared" si="32"/>
        <v>8</v>
      </c>
      <c r="U114" s="97">
        <f t="shared" si="33"/>
        <v>8</v>
      </c>
      <c r="V114" s="97">
        <f t="shared" si="34"/>
        <v>9</v>
      </c>
      <c r="W114" s="97">
        <f t="shared" si="35"/>
        <v>18</v>
      </c>
      <c r="X114" s="97">
        <f t="shared" si="36"/>
        <v>5</v>
      </c>
      <c r="Y114" s="97">
        <f t="shared" si="37"/>
        <v>8</v>
      </c>
      <c r="Z114" s="97">
        <f t="shared" si="38"/>
        <v>4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74" t="s">
        <v>90</v>
      </c>
      <c r="AK114" s="90">
        <v>0</v>
      </c>
      <c r="AL114" s="182">
        <v>2</v>
      </c>
      <c r="AM114" s="182">
        <v>2</v>
      </c>
      <c r="AN114" s="182">
        <v>2</v>
      </c>
      <c r="AO114" s="182">
        <v>2</v>
      </c>
      <c r="AP114" s="182">
        <v>0</v>
      </c>
      <c r="AQ114" s="92">
        <v>0</v>
      </c>
      <c r="AR114" s="78">
        <v>22</v>
      </c>
      <c r="BD114" s="22">
        <v>110</v>
      </c>
      <c r="BE114" s="98" t="s">
        <v>40</v>
      </c>
      <c r="BF114" s="98" t="s">
        <v>78</v>
      </c>
      <c r="BG114" s="98" t="s">
        <v>26</v>
      </c>
      <c r="BH114" s="98" t="s">
        <v>78</v>
      </c>
      <c r="BI114" s="98" t="s">
        <v>40</v>
      </c>
      <c r="BJ114" s="98" t="s">
        <v>39</v>
      </c>
      <c r="BK114" s="37" t="s">
        <v>40</v>
      </c>
      <c r="BM114" s="97">
        <f t="shared" si="39"/>
        <v>11</v>
      </c>
      <c r="BN114" s="97">
        <f t="shared" si="40"/>
        <v>6</v>
      </c>
      <c r="BO114" s="97">
        <f t="shared" si="41"/>
        <v>8</v>
      </c>
      <c r="BP114" s="97">
        <f t="shared" si="42"/>
        <v>6</v>
      </c>
      <c r="BQ114" s="97">
        <f t="shared" si="43"/>
        <v>11</v>
      </c>
      <c r="BR114" s="97">
        <f t="shared" si="44"/>
        <v>10</v>
      </c>
      <c r="BS114" s="97">
        <f t="shared" si="45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74" t="s">
        <v>90</v>
      </c>
      <c r="CD114" s="75">
        <v>0</v>
      </c>
      <c r="CE114" s="76">
        <v>1</v>
      </c>
      <c r="CF114" s="76">
        <v>1</v>
      </c>
      <c r="CG114" s="76">
        <v>1</v>
      </c>
      <c r="CH114" s="76">
        <v>1</v>
      </c>
      <c r="CI114" s="76">
        <v>0</v>
      </c>
      <c r="CJ114" s="77">
        <v>0</v>
      </c>
      <c r="CK114" s="78">
        <v>22</v>
      </c>
    </row>
    <row r="115" spans="11:89" ht="17.25" thickBot="1">
      <c r="K115" s="21">
        <v>111</v>
      </c>
      <c r="L115" s="98" t="s">
        <v>41</v>
      </c>
      <c r="M115" s="98" t="s">
        <v>26</v>
      </c>
      <c r="N115" s="98" t="s">
        <v>40</v>
      </c>
      <c r="O115" s="98" t="s">
        <v>163</v>
      </c>
      <c r="P115" s="98" t="s">
        <v>36</v>
      </c>
      <c r="Q115" s="98" t="s">
        <v>41</v>
      </c>
      <c r="R115" s="37" t="s">
        <v>39</v>
      </c>
      <c r="T115" s="97">
        <f t="shared" si="32"/>
        <v>12</v>
      </c>
      <c r="U115" s="97">
        <f t="shared" si="33"/>
        <v>8</v>
      </c>
      <c r="V115" s="97">
        <f t="shared" si="34"/>
        <v>11</v>
      </c>
      <c r="W115" s="97">
        <f t="shared" si="35"/>
        <v>7</v>
      </c>
      <c r="X115" s="97">
        <f t="shared" si="36"/>
        <v>5</v>
      </c>
      <c r="Y115" s="97">
        <f t="shared" si="37"/>
        <v>12</v>
      </c>
      <c r="Z115" s="97">
        <f t="shared" si="38"/>
        <v>10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80" t="s">
        <v>91</v>
      </c>
      <c r="AK115" s="90">
        <v>0</v>
      </c>
      <c r="AL115" s="182">
        <v>2</v>
      </c>
      <c r="AM115" s="182">
        <v>2</v>
      </c>
      <c r="AN115" s="182">
        <v>2</v>
      </c>
      <c r="AO115" s="182">
        <v>2</v>
      </c>
      <c r="AP115" s="182">
        <v>0</v>
      </c>
      <c r="AQ115" s="92">
        <v>0</v>
      </c>
      <c r="AR115" s="178">
        <v>23</v>
      </c>
      <c r="BD115" s="21">
        <v>111</v>
      </c>
      <c r="BE115" s="98" t="s">
        <v>163</v>
      </c>
      <c r="BF115" s="98" t="s">
        <v>39</v>
      </c>
      <c r="BG115" s="98" t="s">
        <v>206</v>
      </c>
      <c r="BH115" s="98" t="s">
        <v>38</v>
      </c>
      <c r="BI115" s="98" t="s">
        <v>163</v>
      </c>
      <c r="BJ115" s="98" t="s">
        <v>26</v>
      </c>
      <c r="BK115" s="37" t="s">
        <v>34</v>
      </c>
      <c r="BM115" s="97">
        <f t="shared" si="39"/>
        <v>7</v>
      </c>
      <c r="BN115" s="97">
        <f t="shared" si="40"/>
        <v>10</v>
      </c>
      <c r="BO115" s="97">
        <f t="shared" si="41"/>
        <v>22</v>
      </c>
      <c r="BP115" s="97">
        <f t="shared" si="42"/>
        <v>9</v>
      </c>
      <c r="BQ115" s="97">
        <f t="shared" si="43"/>
        <v>7</v>
      </c>
      <c r="BR115" s="97">
        <f t="shared" si="44"/>
        <v>8</v>
      </c>
      <c r="BS115" s="97">
        <f t="shared" si="45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80" t="s">
        <v>91</v>
      </c>
      <c r="CD115" s="81">
        <v>0</v>
      </c>
      <c r="CE115" s="82">
        <v>1</v>
      </c>
      <c r="CF115" s="82">
        <v>1</v>
      </c>
      <c r="CG115" s="82">
        <v>1</v>
      </c>
      <c r="CH115" s="82">
        <v>1</v>
      </c>
      <c r="CI115" s="82">
        <v>0</v>
      </c>
      <c r="CJ115" s="83">
        <v>0</v>
      </c>
      <c r="CK115" s="178">
        <v>23</v>
      </c>
    </row>
    <row r="116" spans="11:89" ht="16.5">
      <c r="K116" s="22">
        <v>112</v>
      </c>
      <c r="L116" s="98" t="s">
        <v>40</v>
      </c>
      <c r="M116" s="98" t="s">
        <v>38</v>
      </c>
      <c r="N116" s="98" t="s">
        <v>40</v>
      </c>
      <c r="O116" s="98" t="s">
        <v>163</v>
      </c>
      <c r="P116" s="98" t="s">
        <v>78</v>
      </c>
      <c r="Q116" s="98" t="s">
        <v>40</v>
      </c>
      <c r="R116" s="37" t="s">
        <v>39</v>
      </c>
      <c r="T116" s="97">
        <f t="shared" si="32"/>
        <v>11</v>
      </c>
      <c r="U116" s="97">
        <f t="shared" si="33"/>
        <v>9</v>
      </c>
      <c r="V116" s="97">
        <f t="shared" si="34"/>
        <v>11</v>
      </c>
      <c r="W116" s="97">
        <f t="shared" si="35"/>
        <v>7</v>
      </c>
      <c r="X116" s="97">
        <f t="shared" si="36"/>
        <v>6</v>
      </c>
      <c r="Y116" s="97">
        <f t="shared" si="37"/>
        <v>11</v>
      </c>
      <c r="Z116" s="97">
        <f t="shared" si="38"/>
        <v>10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100" t="s">
        <v>190</v>
      </c>
      <c r="AK116" s="185">
        <v>0</v>
      </c>
      <c r="AL116" s="186">
        <v>2</v>
      </c>
      <c r="AM116" s="186">
        <v>2</v>
      </c>
      <c r="AN116" s="186">
        <v>2</v>
      </c>
      <c r="AO116" s="186">
        <v>2</v>
      </c>
      <c r="AP116" s="186">
        <v>0</v>
      </c>
      <c r="AQ116" s="187">
        <v>0</v>
      </c>
      <c r="AR116" s="79">
        <v>24</v>
      </c>
      <c r="BD116" s="22">
        <v>112</v>
      </c>
      <c r="BE116" s="98" t="s">
        <v>41</v>
      </c>
      <c r="BF116" s="98" t="s">
        <v>39</v>
      </c>
      <c r="BG116" s="98" t="s">
        <v>40</v>
      </c>
      <c r="BH116" s="98" t="s">
        <v>202</v>
      </c>
      <c r="BI116" s="98" t="s">
        <v>163</v>
      </c>
      <c r="BJ116" s="98" t="s">
        <v>39</v>
      </c>
      <c r="BK116" s="37" t="s">
        <v>34</v>
      </c>
      <c r="BM116" s="97">
        <f t="shared" si="39"/>
        <v>12</v>
      </c>
      <c r="BN116" s="97">
        <f t="shared" si="40"/>
        <v>10</v>
      </c>
      <c r="BO116" s="97">
        <f t="shared" si="41"/>
        <v>11</v>
      </c>
      <c r="BP116" s="97">
        <f t="shared" si="42"/>
        <v>23</v>
      </c>
      <c r="BQ116" s="97">
        <f t="shared" si="43"/>
        <v>7</v>
      </c>
      <c r="BR116" s="97">
        <f t="shared" si="44"/>
        <v>10</v>
      </c>
      <c r="BS116" s="97">
        <f t="shared" si="45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100" t="s">
        <v>190</v>
      </c>
      <c r="CD116" s="90">
        <v>0</v>
      </c>
      <c r="CE116" s="182">
        <v>0</v>
      </c>
      <c r="CF116" s="182">
        <v>0</v>
      </c>
      <c r="CG116" s="182">
        <v>0</v>
      </c>
      <c r="CH116" s="182">
        <v>0</v>
      </c>
      <c r="CI116" s="182">
        <v>0</v>
      </c>
      <c r="CJ116" s="92">
        <v>0</v>
      </c>
      <c r="CK116" s="79">
        <v>24</v>
      </c>
    </row>
    <row r="117" spans="11:89" ht="17.25" thickBot="1">
      <c r="K117" s="21">
        <v>113</v>
      </c>
      <c r="L117" s="98" t="s">
        <v>163</v>
      </c>
      <c r="M117" s="98" t="s">
        <v>39</v>
      </c>
      <c r="N117" s="98" t="s">
        <v>40</v>
      </c>
      <c r="O117" s="98" t="s">
        <v>26</v>
      </c>
      <c r="P117" s="98" t="s">
        <v>40</v>
      </c>
      <c r="Q117" s="98" t="s">
        <v>40</v>
      </c>
      <c r="R117" s="37" t="s">
        <v>39</v>
      </c>
      <c r="T117" s="97">
        <f t="shared" si="32"/>
        <v>7</v>
      </c>
      <c r="U117" s="97">
        <f t="shared" si="33"/>
        <v>10</v>
      </c>
      <c r="V117" s="97">
        <f t="shared" si="34"/>
        <v>11</v>
      </c>
      <c r="W117" s="97">
        <f t="shared" si="35"/>
        <v>8</v>
      </c>
      <c r="X117" s="97">
        <f t="shared" si="36"/>
        <v>11</v>
      </c>
      <c r="Y117" s="97">
        <f t="shared" si="37"/>
        <v>11</v>
      </c>
      <c r="Z117" s="97">
        <f t="shared" si="38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101" t="s">
        <v>201</v>
      </c>
      <c r="AK117" s="93">
        <v>0</v>
      </c>
      <c r="AL117" s="94">
        <v>1</v>
      </c>
      <c r="AM117" s="94">
        <v>1</v>
      </c>
      <c r="AN117" s="94">
        <v>1</v>
      </c>
      <c r="AO117" s="94">
        <v>1</v>
      </c>
      <c r="AP117" s="94">
        <v>0</v>
      </c>
      <c r="AQ117" s="95">
        <v>0</v>
      </c>
      <c r="AR117" s="84">
        <v>25</v>
      </c>
      <c r="BD117" s="21">
        <v>113</v>
      </c>
      <c r="BE117" s="98" t="s">
        <v>41</v>
      </c>
      <c r="BF117" s="98" t="s">
        <v>34</v>
      </c>
      <c r="BG117" s="98" t="s">
        <v>26</v>
      </c>
      <c r="BH117" s="98" t="s">
        <v>40</v>
      </c>
      <c r="BI117" s="98" t="s">
        <v>163</v>
      </c>
      <c r="BJ117" s="98" t="s">
        <v>39</v>
      </c>
      <c r="BK117" s="37" t="s">
        <v>39</v>
      </c>
      <c r="BM117" s="97">
        <f t="shared" si="39"/>
        <v>12</v>
      </c>
      <c r="BN117" s="97">
        <f t="shared" si="40"/>
        <v>3</v>
      </c>
      <c r="BO117" s="97">
        <f t="shared" si="41"/>
        <v>8</v>
      </c>
      <c r="BP117" s="97">
        <f t="shared" si="42"/>
        <v>11</v>
      </c>
      <c r="BQ117" s="97">
        <f t="shared" si="43"/>
        <v>7</v>
      </c>
      <c r="BR117" s="97">
        <f t="shared" si="44"/>
        <v>10</v>
      </c>
      <c r="BS117" s="97">
        <f t="shared" si="45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101" t="s">
        <v>201</v>
      </c>
      <c r="CD117" s="93">
        <v>0</v>
      </c>
      <c r="CE117" s="94">
        <v>1</v>
      </c>
      <c r="CF117" s="94">
        <v>1</v>
      </c>
      <c r="CG117" s="94">
        <v>1</v>
      </c>
      <c r="CH117" s="94">
        <v>1</v>
      </c>
      <c r="CI117" s="94">
        <v>0</v>
      </c>
      <c r="CJ117" s="95">
        <v>0</v>
      </c>
      <c r="CK117" s="84">
        <v>25</v>
      </c>
    </row>
    <row r="118" spans="11:89">
      <c r="K118" s="22">
        <v>114</v>
      </c>
      <c r="L118" s="98" t="s">
        <v>35</v>
      </c>
      <c r="M118" s="98" t="s">
        <v>34</v>
      </c>
      <c r="N118" s="98" t="s">
        <v>35</v>
      </c>
      <c r="O118" s="98" t="s">
        <v>41</v>
      </c>
      <c r="P118" s="98" t="s">
        <v>40</v>
      </c>
      <c r="Q118" s="98" t="s">
        <v>39</v>
      </c>
      <c r="R118" s="37" t="s">
        <v>35</v>
      </c>
      <c r="T118" s="97">
        <f t="shared" si="32"/>
        <v>4</v>
      </c>
      <c r="U118" s="97">
        <f t="shared" si="33"/>
        <v>3</v>
      </c>
      <c r="V118" s="97">
        <f t="shared" si="34"/>
        <v>4</v>
      </c>
      <c r="W118" s="97">
        <f t="shared" si="35"/>
        <v>12</v>
      </c>
      <c r="X118" s="97">
        <f t="shared" si="36"/>
        <v>11</v>
      </c>
      <c r="Y118" s="97">
        <f t="shared" si="37"/>
        <v>10</v>
      </c>
      <c r="Z118" s="97">
        <f t="shared" si="38"/>
        <v>4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  <c r="BD118" s="22">
        <v>114</v>
      </c>
      <c r="BE118" s="98" t="s">
        <v>39</v>
      </c>
      <c r="BF118" s="98" t="s">
        <v>34</v>
      </c>
      <c r="BG118" s="98" t="s">
        <v>38</v>
      </c>
      <c r="BH118" s="98" t="s">
        <v>38</v>
      </c>
      <c r="BI118" s="98" t="s">
        <v>36</v>
      </c>
      <c r="BJ118" s="98" t="s">
        <v>26</v>
      </c>
      <c r="BK118" s="37" t="s">
        <v>39</v>
      </c>
      <c r="BM118" s="97">
        <f t="shared" si="39"/>
        <v>10</v>
      </c>
      <c r="BN118" s="97">
        <f t="shared" si="40"/>
        <v>3</v>
      </c>
      <c r="BO118" s="97">
        <f t="shared" si="41"/>
        <v>9</v>
      </c>
      <c r="BP118" s="97">
        <f t="shared" si="42"/>
        <v>9</v>
      </c>
      <c r="BQ118" s="97">
        <f t="shared" si="43"/>
        <v>5</v>
      </c>
      <c r="BR118" s="97">
        <f t="shared" si="44"/>
        <v>8</v>
      </c>
      <c r="BS118" s="97">
        <f t="shared" si="45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103"/>
      <c r="CD118" s="103"/>
      <c r="CE118" s="103"/>
      <c r="CF118" s="103"/>
      <c r="CG118" s="103"/>
      <c r="CH118" s="103"/>
      <c r="CI118" s="103"/>
      <c r="CJ118" s="103"/>
      <c r="CK118" s="103"/>
    </row>
    <row r="119" spans="11:89" ht="16.5" thickBot="1">
      <c r="K119" s="21">
        <v>115</v>
      </c>
      <c r="L119" s="98" t="s">
        <v>40</v>
      </c>
      <c r="M119" s="98" t="s">
        <v>34</v>
      </c>
      <c r="N119" s="98" t="s">
        <v>35</v>
      </c>
      <c r="O119" s="98" t="s">
        <v>41</v>
      </c>
      <c r="P119" s="98" t="s">
        <v>36</v>
      </c>
      <c r="Q119" s="98" t="s">
        <v>39</v>
      </c>
      <c r="R119" s="37" t="s">
        <v>35</v>
      </c>
      <c r="T119" s="97">
        <f t="shared" si="32"/>
        <v>11</v>
      </c>
      <c r="U119" s="97">
        <f t="shared" si="33"/>
        <v>3</v>
      </c>
      <c r="V119" s="97">
        <f t="shared" si="34"/>
        <v>4</v>
      </c>
      <c r="W119" s="97">
        <f t="shared" si="35"/>
        <v>12</v>
      </c>
      <c r="X119" s="97">
        <f t="shared" si="36"/>
        <v>5</v>
      </c>
      <c r="Y119" s="97">
        <f t="shared" si="37"/>
        <v>10</v>
      </c>
      <c r="Z119" s="97">
        <f t="shared" si="38"/>
        <v>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  <c r="BD119" s="21">
        <v>115</v>
      </c>
      <c r="BE119" s="98" t="s">
        <v>41</v>
      </c>
      <c r="BF119" s="98" t="s">
        <v>163</v>
      </c>
      <c r="BG119" s="98" t="s">
        <v>36</v>
      </c>
      <c r="BH119" s="98" t="s">
        <v>175</v>
      </c>
      <c r="BI119" s="98" t="s">
        <v>100</v>
      </c>
      <c r="BJ119" s="98" t="s">
        <v>26</v>
      </c>
      <c r="BK119" s="37" t="s">
        <v>41</v>
      </c>
      <c r="BM119" s="97">
        <f t="shared" si="39"/>
        <v>12</v>
      </c>
      <c r="BN119" s="97">
        <f t="shared" si="40"/>
        <v>7</v>
      </c>
      <c r="BO119" s="97">
        <f t="shared" si="41"/>
        <v>5</v>
      </c>
      <c r="BP119" s="97">
        <f t="shared" si="42"/>
        <v>17</v>
      </c>
      <c r="BQ119" s="97">
        <f t="shared" si="43"/>
        <v>14</v>
      </c>
      <c r="BR119" s="97">
        <f t="shared" si="44"/>
        <v>8</v>
      </c>
      <c r="BS119" s="97">
        <f t="shared" si="45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103"/>
      <c r="CD119" s="219" t="s">
        <v>178</v>
      </c>
      <c r="CE119" s="219"/>
      <c r="CF119" s="219"/>
      <c r="CG119" s="219"/>
      <c r="CH119" s="219"/>
      <c r="CI119" s="219"/>
      <c r="CJ119" s="219"/>
      <c r="CK119" s="219"/>
    </row>
    <row r="120" spans="11:89" ht="17.25" thickBot="1">
      <c r="K120" s="22">
        <v>116</v>
      </c>
      <c r="L120" s="98" t="s">
        <v>78</v>
      </c>
      <c r="M120" s="98" t="s">
        <v>34</v>
      </c>
      <c r="N120" s="98" t="s">
        <v>39</v>
      </c>
      <c r="O120" s="98" t="s">
        <v>41</v>
      </c>
      <c r="P120" s="98" t="s">
        <v>36</v>
      </c>
      <c r="Q120" s="98" t="s">
        <v>41</v>
      </c>
      <c r="R120" s="37" t="s">
        <v>35</v>
      </c>
      <c r="T120" s="97">
        <f t="shared" si="32"/>
        <v>6</v>
      </c>
      <c r="U120" s="97">
        <f t="shared" si="33"/>
        <v>3</v>
      </c>
      <c r="V120" s="97">
        <f t="shared" si="34"/>
        <v>10</v>
      </c>
      <c r="W120" s="97">
        <f t="shared" si="35"/>
        <v>12</v>
      </c>
      <c r="X120" s="97">
        <f t="shared" si="36"/>
        <v>5</v>
      </c>
      <c r="Y120" s="97">
        <f t="shared" si="37"/>
        <v>12</v>
      </c>
      <c r="Z120" s="97">
        <f t="shared" si="38"/>
        <v>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  <c r="BD120" s="22">
        <v>116</v>
      </c>
      <c r="BE120" s="98" t="s">
        <v>41</v>
      </c>
      <c r="BF120" s="98" t="s">
        <v>41</v>
      </c>
      <c r="BG120" s="98" t="s">
        <v>26</v>
      </c>
      <c r="BH120" s="98" t="s">
        <v>78</v>
      </c>
      <c r="BI120" s="98" t="s">
        <v>34</v>
      </c>
      <c r="BJ120" s="98" t="s">
        <v>39</v>
      </c>
      <c r="BK120" s="37" t="s">
        <v>41</v>
      </c>
      <c r="BM120" s="97">
        <f t="shared" si="39"/>
        <v>12</v>
      </c>
      <c r="BN120" s="97">
        <f t="shared" si="40"/>
        <v>12</v>
      </c>
      <c r="BO120" s="97">
        <f t="shared" si="41"/>
        <v>8</v>
      </c>
      <c r="BP120" s="97">
        <f t="shared" si="42"/>
        <v>6</v>
      </c>
      <c r="BQ120" s="97">
        <f t="shared" si="43"/>
        <v>3</v>
      </c>
      <c r="BR120" s="97">
        <f t="shared" si="44"/>
        <v>10</v>
      </c>
      <c r="BS120" s="97">
        <f t="shared" si="45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65" t="s">
        <v>53</v>
      </c>
      <c r="CD120" s="66" t="s">
        <v>13</v>
      </c>
      <c r="CE120" s="66" t="s">
        <v>14</v>
      </c>
      <c r="CF120" s="66" t="s">
        <v>15</v>
      </c>
      <c r="CG120" s="66" t="s">
        <v>16</v>
      </c>
      <c r="CH120" s="66" t="s">
        <v>17</v>
      </c>
      <c r="CI120" s="66" t="s">
        <v>59</v>
      </c>
      <c r="CJ120" s="67" t="s">
        <v>79</v>
      </c>
      <c r="CK120" s="68" t="s">
        <v>4</v>
      </c>
    </row>
    <row r="121" spans="11:89" ht="16.5">
      <c r="K121" s="21">
        <v>117</v>
      </c>
      <c r="L121" s="98" t="s">
        <v>78</v>
      </c>
      <c r="M121" s="98" t="s">
        <v>39</v>
      </c>
      <c r="N121" s="98" t="s">
        <v>202</v>
      </c>
      <c r="O121" s="98" t="s">
        <v>26</v>
      </c>
      <c r="P121" s="98" t="s">
        <v>36</v>
      </c>
      <c r="Q121" s="98" t="s">
        <v>39</v>
      </c>
      <c r="R121" s="37" t="s">
        <v>41</v>
      </c>
      <c r="T121" s="97">
        <f t="shared" si="32"/>
        <v>6</v>
      </c>
      <c r="U121" s="97">
        <f t="shared" si="33"/>
        <v>10</v>
      </c>
      <c r="V121" s="97">
        <f t="shared" si="34"/>
        <v>23</v>
      </c>
      <c r="W121" s="97">
        <f t="shared" si="35"/>
        <v>8</v>
      </c>
      <c r="X121" s="97">
        <f t="shared" si="36"/>
        <v>5</v>
      </c>
      <c r="Y121" s="97">
        <f t="shared" si="37"/>
        <v>10</v>
      </c>
      <c r="Z121" s="97">
        <f t="shared" si="38"/>
        <v>12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  <c r="BD121" s="21">
        <v>117</v>
      </c>
      <c r="BE121" s="98" t="s">
        <v>78</v>
      </c>
      <c r="BF121" s="98" t="s">
        <v>41</v>
      </c>
      <c r="BG121" s="98" t="s">
        <v>26</v>
      </c>
      <c r="BH121" s="98" t="s">
        <v>39</v>
      </c>
      <c r="BI121" s="98" t="s">
        <v>34</v>
      </c>
      <c r="BJ121" s="98" t="s">
        <v>39</v>
      </c>
      <c r="BK121" s="37" t="s">
        <v>41</v>
      </c>
      <c r="BM121" s="97">
        <f t="shared" si="39"/>
        <v>6</v>
      </c>
      <c r="BN121" s="97">
        <f t="shared" si="40"/>
        <v>12</v>
      </c>
      <c r="BO121" s="97">
        <f t="shared" si="41"/>
        <v>8</v>
      </c>
      <c r="BP121" s="97">
        <f t="shared" si="42"/>
        <v>10</v>
      </c>
      <c r="BQ121" s="97">
        <f t="shared" si="43"/>
        <v>3</v>
      </c>
      <c r="BR121" s="97">
        <f t="shared" si="44"/>
        <v>10</v>
      </c>
      <c r="BS121" s="97">
        <f t="shared" si="45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69" t="s">
        <v>81</v>
      </c>
      <c r="CD121" s="70">
        <v>0</v>
      </c>
      <c r="CE121" s="71">
        <v>0</v>
      </c>
      <c r="CF121" s="71">
        <v>0</v>
      </c>
      <c r="CG121" s="71">
        <v>0</v>
      </c>
      <c r="CH121" s="71">
        <v>0</v>
      </c>
      <c r="CI121" s="71">
        <v>0</v>
      </c>
      <c r="CJ121" s="72">
        <v>0</v>
      </c>
      <c r="CK121" s="73">
        <v>0</v>
      </c>
    </row>
    <row r="122" spans="11:89" ht="16.5">
      <c r="K122" s="22">
        <v>118</v>
      </c>
      <c r="L122" s="98" t="s">
        <v>26</v>
      </c>
      <c r="M122" s="98" t="s">
        <v>163</v>
      </c>
      <c r="N122" s="98" t="s">
        <v>41</v>
      </c>
      <c r="O122" s="98" t="s">
        <v>34</v>
      </c>
      <c r="P122" s="98" t="s">
        <v>78</v>
      </c>
      <c r="Q122" s="98" t="s">
        <v>35</v>
      </c>
      <c r="R122" s="37" t="s">
        <v>41</v>
      </c>
      <c r="T122" s="97">
        <f t="shared" si="32"/>
        <v>8</v>
      </c>
      <c r="U122" s="97">
        <f t="shared" si="33"/>
        <v>7</v>
      </c>
      <c r="V122" s="97">
        <f t="shared" si="34"/>
        <v>12</v>
      </c>
      <c r="W122" s="97">
        <f t="shared" si="35"/>
        <v>3</v>
      </c>
      <c r="X122" s="97">
        <f t="shared" si="36"/>
        <v>6</v>
      </c>
      <c r="Y122" s="97">
        <f t="shared" si="37"/>
        <v>4</v>
      </c>
      <c r="Z122" s="97">
        <f t="shared" si="38"/>
        <v>12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74" t="s">
        <v>20</v>
      </c>
      <c r="AK122" s="90">
        <v>0</v>
      </c>
      <c r="AL122" s="182">
        <v>0</v>
      </c>
      <c r="AM122" s="182">
        <v>0</v>
      </c>
      <c r="AN122" s="182">
        <v>0</v>
      </c>
      <c r="AO122" s="182">
        <v>0</v>
      </c>
      <c r="AP122" s="182">
        <v>0</v>
      </c>
      <c r="AQ122" s="92">
        <v>0</v>
      </c>
      <c r="AR122" s="78">
        <v>1</v>
      </c>
      <c r="BD122" s="22">
        <v>118</v>
      </c>
      <c r="BE122" s="98" t="s">
        <v>41</v>
      </c>
      <c r="BF122" s="98" t="s">
        <v>205</v>
      </c>
      <c r="BG122" s="98" t="s">
        <v>40</v>
      </c>
      <c r="BH122" s="98" t="s">
        <v>39</v>
      </c>
      <c r="BI122" s="98" t="s">
        <v>163</v>
      </c>
      <c r="BJ122" s="98" t="s">
        <v>39</v>
      </c>
      <c r="BK122" s="37" t="s">
        <v>38</v>
      </c>
      <c r="BM122" s="97">
        <f t="shared" si="39"/>
        <v>12</v>
      </c>
      <c r="BN122" s="97">
        <f t="shared" si="40"/>
        <v>21</v>
      </c>
      <c r="BO122" s="97">
        <f t="shared" si="41"/>
        <v>11</v>
      </c>
      <c r="BP122" s="97">
        <f t="shared" si="42"/>
        <v>10</v>
      </c>
      <c r="BQ122" s="97">
        <f t="shared" si="43"/>
        <v>7</v>
      </c>
      <c r="BR122" s="97">
        <f t="shared" si="44"/>
        <v>10</v>
      </c>
      <c r="BS122" s="97">
        <f t="shared" si="45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74" t="s">
        <v>20</v>
      </c>
      <c r="CD122" s="90">
        <v>0</v>
      </c>
      <c r="CE122" s="182">
        <v>0</v>
      </c>
      <c r="CF122" s="182">
        <v>0</v>
      </c>
      <c r="CG122" s="182">
        <v>0</v>
      </c>
      <c r="CH122" s="182">
        <v>0</v>
      </c>
      <c r="CI122" s="182">
        <v>0</v>
      </c>
      <c r="CJ122" s="92">
        <v>0</v>
      </c>
      <c r="CK122" s="78">
        <v>1</v>
      </c>
    </row>
    <row r="123" spans="11:89" ht="16.5">
      <c r="K123" s="21">
        <v>119</v>
      </c>
      <c r="L123" s="98" t="s">
        <v>40</v>
      </c>
      <c r="M123" s="98" t="s">
        <v>163</v>
      </c>
      <c r="N123" s="98" t="s">
        <v>35</v>
      </c>
      <c r="O123" s="98" t="s">
        <v>40</v>
      </c>
      <c r="P123" s="98" t="s">
        <v>41</v>
      </c>
      <c r="Q123" s="98" t="s">
        <v>26</v>
      </c>
      <c r="R123" s="37" t="s">
        <v>41</v>
      </c>
      <c r="T123" s="97">
        <f t="shared" si="32"/>
        <v>11</v>
      </c>
      <c r="U123" s="97">
        <f t="shared" si="33"/>
        <v>7</v>
      </c>
      <c r="V123" s="97">
        <f t="shared" si="34"/>
        <v>4</v>
      </c>
      <c r="W123" s="97">
        <f t="shared" si="35"/>
        <v>11</v>
      </c>
      <c r="X123" s="97">
        <f t="shared" si="36"/>
        <v>12</v>
      </c>
      <c r="Y123" s="97">
        <f t="shared" si="37"/>
        <v>8</v>
      </c>
      <c r="Z123" s="97">
        <f t="shared" si="38"/>
        <v>12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74" t="s">
        <v>21</v>
      </c>
      <c r="AK123" s="75">
        <v>1</v>
      </c>
      <c r="AL123" s="76">
        <v>1</v>
      </c>
      <c r="AM123" s="76">
        <v>1</v>
      </c>
      <c r="AN123" s="76">
        <v>1</v>
      </c>
      <c r="AO123" s="76">
        <v>1</v>
      </c>
      <c r="AP123" s="76">
        <v>1</v>
      </c>
      <c r="AQ123" s="77">
        <v>0</v>
      </c>
      <c r="AR123" s="78">
        <v>2</v>
      </c>
      <c r="BD123" s="21">
        <v>119</v>
      </c>
      <c r="BE123" s="98" t="s">
        <v>38</v>
      </c>
      <c r="BF123" s="98" t="s">
        <v>39</v>
      </c>
      <c r="BG123" s="98" t="s">
        <v>38</v>
      </c>
      <c r="BH123" s="98" t="s">
        <v>78</v>
      </c>
      <c r="BI123" s="98" t="s">
        <v>34</v>
      </c>
      <c r="BJ123" s="98" t="s">
        <v>26</v>
      </c>
      <c r="BK123" s="37" t="s">
        <v>38</v>
      </c>
      <c r="BM123" s="97">
        <f t="shared" si="39"/>
        <v>9</v>
      </c>
      <c r="BN123" s="97">
        <f t="shared" si="40"/>
        <v>10</v>
      </c>
      <c r="BO123" s="97">
        <f t="shared" si="41"/>
        <v>9</v>
      </c>
      <c r="BP123" s="97">
        <f t="shared" si="42"/>
        <v>6</v>
      </c>
      <c r="BQ123" s="97">
        <f t="shared" si="43"/>
        <v>3</v>
      </c>
      <c r="BR123" s="97">
        <f t="shared" si="44"/>
        <v>8</v>
      </c>
      <c r="BS123" s="97">
        <f t="shared" si="45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74" t="s">
        <v>21</v>
      </c>
      <c r="CD123" s="75">
        <v>1</v>
      </c>
      <c r="CE123" s="76">
        <v>1</v>
      </c>
      <c r="CF123" s="76">
        <v>1</v>
      </c>
      <c r="CG123" s="76">
        <v>1</v>
      </c>
      <c r="CH123" s="76">
        <v>1</v>
      </c>
      <c r="CI123" s="76">
        <v>1</v>
      </c>
      <c r="CJ123" s="77">
        <v>0</v>
      </c>
      <c r="CK123" s="78">
        <v>2</v>
      </c>
    </row>
    <row r="124" spans="11:89" ht="16.5">
      <c r="K124" s="22">
        <v>120</v>
      </c>
      <c r="L124" s="98" t="s">
        <v>40</v>
      </c>
      <c r="M124" s="98" t="s">
        <v>38</v>
      </c>
      <c r="N124" s="98" t="s">
        <v>36</v>
      </c>
      <c r="O124" s="98" t="s">
        <v>40</v>
      </c>
      <c r="P124" s="98" t="s">
        <v>41</v>
      </c>
      <c r="Q124" s="98" t="s">
        <v>26</v>
      </c>
      <c r="R124" s="37" t="s">
        <v>38</v>
      </c>
      <c r="T124" s="97">
        <f t="shared" si="32"/>
        <v>11</v>
      </c>
      <c r="U124" s="97">
        <f t="shared" si="33"/>
        <v>9</v>
      </c>
      <c r="V124" s="97">
        <f t="shared" si="34"/>
        <v>5</v>
      </c>
      <c r="W124" s="97">
        <f t="shared" si="35"/>
        <v>11</v>
      </c>
      <c r="X124" s="97">
        <f t="shared" si="36"/>
        <v>12</v>
      </c>
      <c r="Y124" s="97">
        <f t="shared" si="37"/>
        <v>8</v>
      </c>
      <c r="Z124" s="97">
        <f t="shared" si="38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  <c r="BD124" s="22">
        <v>120</v>
      </c>
      <c r="BE124" s="98" t="s">
        <v>38</v>
      </c>
      <c r="BF124" s="98" t="s">
        <v>41</v>
      </c>
      <c r="BG124" s="98" t="s">
        <v>26</v>
      </c>
      <c r="BH124" s="98" t="s">
        <v>78</v>
      </c>
      <c r="BI124" s="98" t="s">
        <v>163</v>
      </c>
      <c r="BJ124" s="98" t="s">
        <v>39</v>
      </c>
      <c r="BK124" s="37" t="s">
        <v>38</v>
      </c>
      <c r="BM124" s="97">
        <f t="shared" si="39"/>
        <v>9</v>
      </c>
      <c r="BN124" s="97">
        <f t="shared" si="40"/>
        <v>12</v>
      </c>
      <c r="BO124" s="97">
        <f t="shared" si="41"/>
        <v>8</v>
      </c>
      <c r="BP124" s="97">
        <f t="shared" si="42"/>
        <v>6</v>
      </c>
      <c r="BQ124" s="97">
        <f t="shared" si="43"/>
        <v>7</v>
      </c>
      <c r="BR124" s="97">
        <f t="shared" si="44"/>
        <v>10</v>
      </c>
      <c r="BS124" s="97">
        <f t="shared" si="45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74" t="s">
        <v>22</v>
      </c>
      <c r="CD124" s="75">
        <v>1</v>
      </c>
      <c r="CE124" s="76">
        <v>70</v>
      </c>
      <c r="CF124" s="76">
        <v>1</v>
      </c>
      <c r="CG124" s="76">
        <v>70</v>
      </c>
      <c r="CH124" s="76">
        <v>1</v>
      </c>
      <c r="CI124" s="76">
        <v>1</v>
      </c>
      <c r="CJ124" s="77">
        <v>0</v>
      </c>
      <c r="CK124" s="78">
        <v>3</v>
      </c>
    </row>
    <row r="125" spans="11:89" ht="16.5">
      <c r="AB125" s="85"/>
      <c r="AC125" s="85"/>
      <c r="AD125" s="85"/>
      <c r="AE125" s="85"/>
      <c r="AF125" s="85"/>
      <c r="AG125" s="85"/>
      <c r="AH125" s="85"/>
      <c r="AJ125" s="74" t="s">
        <v>18</v>
      </c>
      <c r="AK125" s="75">
        <v>1</v>
      </c>
      <c r="AL125" s="76">
        <v>1</v>
      </c>
      <c r="AM125" s="76">
        <v>5</v>
      </c>
      <c r="AN125" s="76">
        <v>1</v>
      </c>
      <c r="AO125" s="76">
        <v>1</v>
      </c>
      <c r="AP125" s="76">
        <v>70</v>
      </c>
      <c r="AQ125" s="77">
        <v>1</v>
      </c>
      <c r="AR125" s="78">
        <v>4</v>
      </c>
      <c r="BU125" s="85"/>
      <c r="BV125" s="85"/>
      <c r="BW125" s="85"/>
      <c r="BX125" s="85"/>
      <c r="BY125" s="85"/>
      <c r="BZ125" s="85"/>
      <c r="CA125" s="85"/>
      <c r="CC125" s="74" t="s">
        <v>18</v>
      </c>
      <c r="CD125" s="75">
        <v>1</v>
      </c>
      <c r="CE125" s="76">
        <v>1</v>
      </c>
      <c r="CF125" s="76">
        <v>5</v>
      </c>
      <c r="CG125" s="76">
        <v>1</v>
      </c>
      <c r="CH125" s="76">
        <v>1</v>
      </c>
      <c r="CI125" s="76">
        <v>70</v>
      </c>
      <c r="CJ125" s="77">
        <v>1</v>
      </c>
      <c r="CK125" s="78">
        <v>4</v>
      </c>
    </row>
    <row r="126" spans="11:89" ht="16.5"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  <c r="CC126" s="74" t="s">
        <v>19</v>
      </c>
      <c r="CD126" s="75">
        <v>1</v>
      </c>
      <c r="CE126" s="76">
        <v>70</v>
      </c>
      <c r="CF126" s="76">
        <v>1</v>
      </c>
      <c r="CG126" s="76">
        <v>1</v>
      </c>
      <c r="CH126" s="76">
        <v>1</v>
      </c>
      <c r="CI126" s="76">
        <v>70</v>
      </c>
      <c r="CJ126" s="77">
        <v>1</v>
      </c>
      <c r="CK126" s="78">
        <v>5</v>
      </c>
    </row>
    <row r="127" spans="11:89" ht="16.5"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  <c r="CC127" s="74" t="s">
        <v>77</v>
      </c>
      <c r="CD127" s="75">
        <v>5</v>
      </c>
      <c r="CE127" s="76">
        <v>1</v>
      </c>
      <c r="CF127" s="76">
        <v>70</v>
      </c>
      <c r="CG127" s="76">
        <v>1</v>
      </c>
      <c r="CH127" s="76">
        <v>70</v>
      </c>
      <c r="CI127" s="76">
        <v>1</v>
      </c>
      <c r="CJ127" s="77">
        <v>1</v>
      </c>
      <c r="CK127" s="78">
        <v>6</v>
      </c>
    </row>
    <row r="128" spans="11:89" ht="16.5"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  <c r="AS128" s="14"/>
      <c r="CC128" s="74" t="s">
        <v>162</v>
      </c>
      <c r="CD128" s="75">
        <v>1</v>
      </c>
      <c r="CE128" s="76">
        <v>70</v>
      </c>
      <c r="CF128" s="76">
        <v>1</v>
      </c>
      <c r="CG128" s="76">
        <v>1</v>
      </c>
      <c r="CH128" s="76">
        <v>1</v>
      </c>
      <c r="CI128" s="76">
        <v>70</v>
      </c>
      <c r="CJ128" s="77">
        <v>1</v>
      </c>
      <c r="CK128" s="78">
        <v>7</v>
      </c>
    </row>
    <row r="129" spans="36:89" ht="16.5">
      <c r="AJ129" s="74" t="s">
        <v>25</v>
      </c>
      <c r="AK129" s="75">
        <v>1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  <c r="AS129" s="14"/>
      <c r="CC129" s="74" t="s">
        <v>25</v>
      </c>
      <c r="CD129" s="75">
        <v>1</v>
      </c>
      <c r="CE129" s="76">
        <v>1</v>
      </c>
      <c r="CF129" s="76">
        <v>1</v>
      </c>
      <c r="CG129" s="76">
        <v>1</v>
      </c>
      <c r="CH129" s="76">
        <v>70</v>
      </c>
      <c r="CI129" s="76">
        <v>1</v>
      </c>
      <c r="CJ129" s="77">
        <v>1</v>
      </c>
      <c r="CK129" s="78">
        <v>8</v>
      </c>
    </row>
    <row r="130" spans="36:89" ht="16.5"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  <c r="AS130" s="14"/>
      <c r="CC130" s="74" t="s">
        <v>27</v>
      </c>
      <c r="CD130" s="75">
        <v>1</v>
      </c>
      <c r="CE130" s="76">
        <v>1</v>
      </c>
      <c r="CF130" s="76">
        <v>1</v>
      </c>
      <c r="CG130" s="76">
        <v>70</v>
      </c>
      <c r="CH130" s="76">
        <v>1</v>
      </c>
      <c r="CI130" s="76">
        <v>70</v>
      </c>
      <c r="CJ130" s="77">
        <v>1</v>
      </c>
      <c r="CK130" s="78">
        <v>9</v>
      </c>
    </row>
    <row r="131" spans="36:89" ht="16.5">
      <c r="AJ131" s="74" t="s">
        <v>28</v>
      </c>
      <c r="AK131" s="75">
        <v>1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  <c r="AS131" s="14"/>
      <c r="CC131" s="74" t="s">
        <v>28</v>
      </c>
      <c r="CD131" s="75">
        <v>1</v>
      </c>
      <c r="CE131" s="76">
        <v>1</v>
      </c>
      <c r="CF131" s="76">
        <v>5</v>
      </c>
      <c r="CG131" s="76">
        <v>1</v>
      </c>
      <c r="CH131" s="76">
        <v>1</v>
      </c>
      <c r="CI131" s="76">
        <v>1</v>
      </c>
      <c r="CJ131" s="77">
        <v>3</v>
      </c>
      <c r="CK131" s="78">
        <v>10</v>
      </c>
    </row>
    <row r="132" spans="36:89" ht="16.5"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  <c r="AS132" s="14"/>
      <c r="CC132" s="74" t="s">
        <v>29</v>
      </c>
      <c r="CD132" s="75">
        <v>1</v>
      </c>
      <c r="CE132" s="76">
        <v>70</v>
      </c>
      <c r="CF132" s="76">
        <v>1</v>
      </c>
      <c r="CG132" s="76">
        <v>1</v>
      </c>
      <c r="CH132" s="76">
        <v>1</v>
      </c>
      <c r="CI132" s="76">
        <v>1</v>
      </c>
      <c r="CJ132" s="77">
        <v>1</v>
      </c>
      <c r="CK132" s="78">
        <v>11</v>
      </c>
    </row>
    <row r="133" spans="36:89" ht="16.5"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  <c r="AS133" s="14"/>
      <c r="CC133" s="74" t="s">
        <v>30</v>
      </c>
      <c r="CD133" s="75">
        <v>70</v>
      </c>
      <c r="CE133" s="76">
        <v>1</v>
      </c>
      <c r="CF133" s="76">
        <v>1</v>
      </c>
      <c r="CG133" s="76">
        <v>1</v>
      </c>
      <c r="CH133" s="76">
        <v>1</v>
      </c>
      <c r="CI133" s="76">
        <v>1</v>
      </c>
      <c r="CJ133" s="77">
        <v>1</v>
      </c>
      <c r="CK133" s="78">
        <v>12</v>
      </c>
    </row>
    <row r="134" spans="36:89" ht="16.5">
      <c r="AJ134" s="74" t="s">
        <v>82</v>
      </c>
      <c r="AK134" s="75">
        <v>0</v>
      </c>
      <c r="AL134" s="76">
        <v>0</v>
      </c>
      <c r="AM134" s="76">
        <v>0</v>
      </c>
      <c r="AN134" s="76">
        <v>0</v>
      </c>
      <c r="AO134" s="76">
        <v>0</v>
      </c>
      <c r="AP134" s="76">
        <v>0</v>
      </c>
      <c r="AQ134" s="77">
        <v>0</v>
      </c>
      <c r="AR134" s="78">
        <v>13</v>
      </c>
      <c r="AS134" s="14"/>
      <c r="CC134" s="74" t="s">
        <v>82</v>
      </c>
      <c r="CD134" s="75">
        <v>0</v>
      </c>
      <c r="CE134" s="76">
        <v>0</v>
      </c>
      <c r="CF134" s="76">
        <v>0</v>
      </c>
      <c r="CG134" s="76">
        <v>0</v>
      </c>
      <c r="CH134" s="76">
        <v>0</v>
      </c>
      <c r="CI134" s="76">
        <v>0</v>
      </c>
      <c r="CJ134" s="77">
        <v>0</v>
      </c>
      <c r="CK134" s="78">
        <v>13</v>
      </c>
    </row>
    <row r="135" spans="36:89" ht="16.5">
      <c r="AJ135" s="74" t="s">
        <v>83</v>
      </c>
      <c r="AK135" s="75">
        <v>0</v>
      </c>
      <c r="AL135" s="76">
        <v>1</v>
      </c>
      <c r="AM135" s="76">
        <v>1</v>
      </c>
      <c r="AN135" s="76">
        <v>1</v>
      </c>
      <c r="AO135" s="76">
        <v>1</v>
      </c>
      <c r="AP135" s="76">
        <v>0</v>
      </c>
      <c r="AQ135" s="77">
        <v>0</v>
      </c>
      <c r="AR135" s="78">
        <v>14</v>
      </c>
      <c r="AS135" s="14"/>
      <c r="CC135" s="74" t="s">
        <v>83</v>
      </c>
      <c r="CD135" s="75">
        <v>0</v>
      </c>
      <c r="CE135" s="76">
        <v>1</v>
      </c>
      <c r="CF135" s="76">
        <v>1</v>
      </c>
      <c r="CG135" s="76">
        <v>1</v>
      </c>
      <c r="CH135" s="76">
        <v>1</v>
      </c>
      <c r="CI135" s="76">
        <v>0</v>
      </c>
      <c r="CJ135" s="77">
        <v>0</v>
      </c>
      <c r="CK135" s="78">
        <v>14</v>
      </c>
    </row>
    <row r="136" spans="36:89" ht="16.5">
      <c r="AJ136" s="74" t="s">
        <v>84</v>
      </c>
      <c r="AK136" s="75">
        <v>0</v>
      </c>
      <c r="AL136" s="76">
        <v>1</v>
      </c>
      <c r="AM136" s="76">
        <v>1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  <c r="AS136" s="14"/>
      <c r="CC136" s="74" t="s">
        <v>84</v>
      </c>
      <c r="CD136" s="75">
        <v>0</v>
      </c>
      <c r="CE136" s="76">
        <v>1</v>
      </c>
      <c r="CF136" s="76">
        <v>1</v>
      </c>
      <c r="CG136" s="76">
        <v>1</v>
      </c>
      <c r="CH136" s="76">
        <v>1</v>
      </c>
      <c r="CI136" s="76">
        <v>0</v>
      </c>
      <c r="CJ136" s="77">
        <v>0</v>
      </c>
      <c r="CK136" s="78">
        <v>15</v>
      </c>
    </row>
    <row r="137" spans="36:89" ht="16.5">
      <c r="AJ137" s="74" t="s">
        <v>85</v>
      </c>
      <c r="AK137" s="75">
        <v>0</v>
      </c>
      <c r="AL137" s="76">
        <v>1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  <c r="AS137" s="14"/>
      <c r="CC137" s="74" t="s">
        <v>85</v>
      </c>
      <c r="CD137" s="75">
        <v>0</v>
      </c>
      <c r="CE137" s="76">
        <v>1</v>
      </c>
      <c r="CF137" s="76">
        <v>1</v>
      </c>
      <c r="CG137" s="76">
        <v>1</v>
      </c>
      <c r="CH137" s="76">
        <v>1</v>
      </c>
      <c r="CI137" s="76">
        <v>0</v>
      </c>
      <c r="CJ137" s="77">
        <v>0</v>
      </c>
      <c r="CK137" s="78">
        <v>16</v>
      </c>
    </row>
    <row r="138" spans="36:89" ht="16.5">
      <c r="AJ138" s="74" t="s">
        <v>86</v>
      </c>
      <c r="AK138" s="75">
        <v>0</v>
      </c>
      <c r="AL138" s="76">
        <v>1</v>
      </c>
      <c r="AM138" s="76">
        <v>1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  <c r="AS138" s="14"/>
      <c r="CC138" s="74" t="s">
        <v>86</v>
      </c>
      <c r="CD138" s="75">
        <v>0</v>
      </c>
      <c r="CE138" s="76">
        <v>1</v>
      </c>
      <c r="CF138" s="76">
        <v>1</v>
      </c>
      <c r="CG138" s="76">
        <v>1</v>
      </c>
      <c r="CH138" s="76">
        <v>2</v>
      </c>
      <c r="CI138" s="76">
        <v>0</v>
      </c>
      <c r="CJ138" s="77">
        <v>0</v>
      </c>
      <c r="CK138" s="78">
        <v>17</v>
      </c>
    </row>
    <row r="139" spans="36:89" ht="16.5">
      <c r="AJ139" s="74" t="s">
        <v>176</v>
      </c>
      <c r="AK139" s="75">
        <v>0</v>
      </c>
      <c r="AL139" s="76">
        <v>1</v>
      </c>
      <c r="AM139" s="76">
        <v>1</v>
      </c>
      <c r="AN139" s="76">
        <v>1</v>
      </c>
      <c r="AO139" s="76">
        <v>1</v>
      </c>
      <c r="AP139" s="76">
        <v>0</v>
      </c>
      <c r="AQ139" s="77">
        <v>0</v>
      </c>
      <c r="AR139" s="78">
        <v>18</v>
      </c>
      <c r="AS139" s="14"/>
      <c r="CC139" s="74" t="s">
        <v>176</v>
      </c>
      <c r="CD139" s="75">
        <v>0</v>
      </c>
      <c r="CE139" s="76">
        <v>1</v>
      </c>
      <c r="CF139" s="76">
        <v>1</v>
      </c>
      <c r="CG139" s="76">
        <v>1</v>
      </c>
      <c r="CH139" s="76">
        <v>1</v>
      </c>
      <c r="CI139" s="76">
        <v>0</v>
      </c>
      <c r="CJ139" s="77">
        <v>0</v>
      </c>
      <c r="CK139" s="78">
        <v>18</v>
      </c>
    </row>
    <row r="140" spans="36:89" ht="16.5">
      <c r="AJ140" s="74" t="s">
        <v>87</v>
      </c>
      <c r="AK140" s="75">
        <v>0</v>
      </c>
      <c r="AL140" s="76">
        <v>1</v>
      </c>
      <c r="AM140" s="76">
        <v>1</v>
      </c>
      <c r="AN140" s="76">
        <v>1</v>
      </c>
      <c r="AO140" s="76">
        <v>1</v>
      </c>
      <c r="AP140" s="76">
        <v>0</v>
      </c>
      <c r="AQ140" s="77">
        <v>0</v>
      </c>
      <c r="AR140" s="78">
        <v>19</v>
      </c>
      <c r="AS140" s="14"/>
      <c r="CC140" s="74" t="s">
        <v>87</v>
      </c>
      <c r="CD140" s="75">
        <v>0</v>
      </c>
      <c r="CE140" s="76">
        <v>1</v>
      </c>
      <c r="CF140" s="76">
        <v>1</v>
      </c>
      <c r="CG140" s="76">
        <v>1</v>
      </c>
      <c r="CH140" s="76">
        <v>1</v>
      </c>
      <c r="CI140" s="76">
        <v>0</v>
      </c>
      <c r="CJ140" s="77">
        <v>0</v>
      </c>
      <c r="CK140" s="78">
        <v>19</v>
      </c>
    </row>
    <row r="141" spans="36:89" ht="16.5">
      <c r="AJ141" s="74" t="s">
        <v>88</v>
      </c>
      <c r="AK141" s="75">
        <v>0</v>
      </c>
      <c r="AL141" s="76">
        <v>1</v>
      </c>
      <c r="AM141" s="76">
        <v>1</v>
      </c>
      <c r="AN141" s="76">
        <v>1</v>
      </c>
      <c r="AO141" s="76">
        <v>1</v>
      </c>
      <c r="AP141" s="76">
        <v>0</v>
      </c>
      <c r="AQ141" s="77">
        <v>0</v>
      </c>
      <c r="AR141" s="78">
        <v>20</v>
      </c>
      <c r="AS141" s="14"/>
      <c r="CC141" s="74" t="s">
        <v>88</v>
      </c>
      <c r="CD141" s="75">
        <v>0</v>
      </c>
      <c r="CE141" s="76">
        <v>1</v>
      </c>
      <c r="CF141" s="76">
        <v>1</v>
      </c>
      <c r="CG141" s="76">
        <v>1</v>
      </c>
      <c r="CH141" s="76">
        <v>1</v>
      </c>
      <c r="CI141" s="76">
        <v>0</v>
      </c>
      <c r="CJ141" s="77">
        <v>0</v>
      </c>
      <c r="CK141" s="78">
        <v>20</v>
      </c>
    </row>
    <row r="142" spans="36:89" ht="16.5">
      <c r="AJ142" s="74" t="s">
        <v>89</v>
      </c>
      <c r="AK142" s="75">
        <v>0</v>
      </c>
      <c r="AL142" s="76">
        <v>1</v>
      </c>
      <c r="AM142" s="76">
        <v>1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  <c r="AS142" s="14"/>
      <c r="CC142" s="74" t="s">
        <v>89</v>
      </c>
      <c r="CD142" s="75">
        <v>0</v>
      </c>
      <c r="CE142" s="76">
        <v>1</v>
      </c>
      <c r="CF142" s="76">
        <v>1</v>
      </c>
      <c r="CG142" s="76">
        <v>1</v>
      </c>
      <c r="CH142" s="76">
        <v>1</v>
      </c>
      <c r="CI142" s="76">
        <v>0</v>
      </c>
      <c r="CJ142" s="77">
        <v>0</v>
      </c>
      <c r="CK142" s="78">
        <v>21</v>
      </c>
    </row>
    <row r="143" spans="36:89" ht="16.5">
      <c r="AJ143" s="74" t="s">
        <v>90</v>
      </c>
      <c r="AK143" s="75">
        <v>0</v>
      </c>
      <c r="AL143" s="76">
        <v>1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  <c r="AS143" s="14"/>
      <c r="CC143" s="74" t="s">
        <v>90</v>
      </c>
      <c r="CD143" s="75">
        <v>0</v>
      </c>
      <c r="CE143" s="76">
        <v>1</v>
      </c>
      <c r="CF143" s="76">
        <v>1</v>
      </c>
      <c r="CG143" s="76">
        <v>1</v>
      </c>
      <c r="CH143" s="76">
        <v>1</v>
      </c>
      <c r="CI143" s="76">
        <v>0</v>
      </c>
      <c r="CJ143" s="77">
        <v>0</v>
      </c>
      <c r="CK143" s="78">
        <v>22</v>
      </c>
    </row>
    <row r="144" spans="36:89" ht="17.25" thickBot="1"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  <c r="AS144" s="14"/>
      <c r="CC144" s="80" t="s">
        <v>91</v>
      </c>
      <c r="CD144" s="81">
        <v>0</v>
      </c>
      <c r="CE144" s="82">
        <v>1</v>
      </c>
      <c r="CF144" s="82">
        <v>1</v>
      </c>
      <c r="CG144" s="82">
        <v>1</v>
      </c>
      <c r="CH144" s="82">
        <v>1</v>
      </c>
      <c r="CI144" s="82">
        <v>0</v>
      </c>
      <c r="CJ144" s="83">
        <v>0</v>
      </c>
      <c r="CK144" s="178">
        <v>23</v>
      </c>
    </row>
    <row r="145" spans="36:89" ht="16.5">
      <c r="AJ145" s="100" t="s">
        <v>190</v>
      </c>
      <c r="AK145" s="90">
        <v>0</v>
      </c>
      <c r="AL145" s="182">
        <v>0</v>
      </c>
      <c r="AM145" s="182">
        <v>0</v>
      </c>
      <c r="AN145" s="182">
        <v>0</v>
      </c>
      <c r="AO145" s="182">
        <v>0</v>
      </c>
      <c r="AP145" s="182">
        <v>0</v>
      </c>
      <c r="AQ145" s="92">
        <v>0</v>
      </c>
      <c r="AR145" s="79">
        <v>24</v>
      </c>
      <c r="AS145" s="14"/>
      <c r="CC145" s="100" t="s">
        <v>190</v>
      </c>
      <c r="CD145" s="90">
        <v>0</v>
      </c>
      <c r="CE145" s="182">
        <v>0</v>
      </c>
      <c r="CF145" s="182">
        <v>0</v>
      </c>
      <c r="CG145" s="182">
        <v>0</v>
      </c>
      <c r="CH145" s="182">
        <v>0</v>
      </c>
      <c r="CI145" s="182">
        <v>0</v>
      </c>
      <c r="CJ145" s="92">
        <v>0</v>
      </c>
      <c r="CK145" s="79">
        <v>24</v>
      </c>
    </row>
    <row r="146" spans="36:89" ht="17.25" thickBot="1">
      <c r="AJ146" s="101" t="s">
        <v>201</v>
      </c>
      <c r="AK146" s="93">
        <v>0</v>
      </c>
      <c r="AL146" s="94">
        <v>1</v>
      </c>
      <c r="AM146" s="94">
        <v>1</v>
      </c>
      <c r="AN146" s="94">
        <v>1</v>
      </c>
      <c r="AO146" s="94">
        <v>1</v>
      </c>
      <c r="AP146" s="94">
        <v>0</v>
      </c>
      <c r="AQ146" s="95">
        <v>0</v>
      </c>
      <c r="AR146" s="84">
        <v>25</v>
      </c>
      <c r="AS146" s="14"/>
      <c r="CC146" s="101" t="s">
        <v>201</v>
      </c>
      <c r="CD146" s="93">
        <v>0</v>
      </c>
      <c r="CE146" s="94">
        <v>1</v>
      </c>
      <c r="CF146" s="94">
        <v>1</v>
      </c>
      <c r="CG146" s="94">
        <v>1</v>
      </c>
      <c r="CH146" s="94">
        <v>1</v>
      </c>
      <c r="CI146" s="94">
        <v>0</v>
      </c>
      <c r="CJ146" s="95">
        <v>0</v>
      </c>
      <c r="CK146" s="84">
        <v>25</v>
      </c>
    </row>
    <row r="147" spans="36:89">
      <c r="AN147" s="14"/>
      <c r="AO147" s="14"/>
      <c r="AP147" s="14"/>
      <c r="AQ147" s="14"/>
      <c r="AR147" s="14"/>
      <c r="AS147" s="14"/>
      <c r="CG147" s="14"/>
      <c r="CH147" s="14"/>
      <c r="CI147" s="14"/>
      <c r="CJ147" s="14"/>
      <c r="CK147" s="14"/>
    </row>
    <row r="148" spans="36:89">
      <c r="AN148" s="14"/>
      <c r="AO148" s="14"/>
      <c r="AP148" s="14"/>
      <c r="AQ148" s="14"/>
      <c r="AR148" s="14"/>
      <c r="AS148" s="14"/>
      <c r="CG148" s="14"/>
      <c r="CH148" s="14"/>
      <c r="CI148" s="14"/>
      <c r="CJ148" s="14"/>
      <c r="CK148" s="14"/>
    </row>
    <row r="149" spans="36:89">
      <c r="AN149" s="14"/>
      <c r="AO149" s="14"/>
      <c r="AP149" s="14"/>
      <c r="AQ149" s="14"/>
      <c r="AR149" s="14"/>
      <c r="AS149" s="14"/>
      <c r="CG149" s="14"/>
      <c r="CH149" s="14"/>
      <c r="CI149" s="14"/>
      <c r="CJ149" s="14"/>
      <c r="CK149" s="14"/>
    </row>
    <row r="150" spans="36:89">
      <c r="AN150" s="14"/>
      <c r="AO150" s="14"/>
      <c r="AP150" s="14"/>
      <c r="AQ150" s="14"/>
      <c r="AR150" s="14"/>
      <c r="AS150" s="14"/>
      <c r="CG150" s="14"/>
      <c r="CH150" s="14"/>
      <c r="CI150" s="14"/>
      <c r="CJ150" s="14"/>
      <c r="CK150" s="14"/>
    </row>
    <row r="151" spans="36:89">
      <c r="AN151" s="14"/>
      <c r="AO151" s="14"/>
      <c r="AP151" s="14"/>
      <c r="AQ151" s="14"/>
      <c r="AR151" s="14"/>
      <c r="AS151" s="14"/>
      <c r="CG151" s="14"/>
      <c r="CH151" s="14"/>
      <c r="CI151" s="14"/>
      <c r="CJ151" s="14"/>
      <c r="CK151" s="14"/>
    </row>
    <row r="152" spans="36:89">
      <c r="AN152" s="14"/>
      <c r="AO152" s="14"/>
      <c r="AP152" s="14"/>
      <c r="AQ152" s="14"/>
      <c r="AR152" s="14"/>
      <c r="AS152" s="14"/>
      <c r="CG152" s="14"/>
      <c r="CH152" s="14"/>
      <c r="CI152" s="14"/>
      <c r="CJ152" s="14"/>
      <c r="CK152" s="14"/>
    </row>
    <row r="153" spans="36:89">
      <c r="AN153" s="14"/>
      <c r="AO153" s="14"/>
      <c r="AP153" s="14"/>
      <c r="AQ153" s="14"/>
      <c r="AR153" s="14"/>
      <c r="AS153" s="14"/>
      <c r="CG153" s="14"/>
      <c r="CH153" s="14"/>
      <c r="CI153" s="14"/>
      <c r="CJ153" s="14"/>
      <c r="CK153" s="14"/>
    </row>
    <row r="154" spans="36:89">
      <c r="AN154" s="14"/>
      <c r="AO154" s="14"/>
      <c r="AP154" s="14"/>
      <c r="AQ154" s="14"/>
      <c r="AR154" s="14"/>
      <c r="AS154" s="14"/>
      <c r="CG154" s="14"/>
      <c r="CH154" s="14"/>
      <c r="CI154" s="14"/>
      <c r="CJ154" s="14"/>
      <c r="CK154" s="14"/>
    </row>
    <row r="155" spans="36:89">
      <c r="AN155" s="14"/>
      <c r="AO155" s="14"/>
      <c r="AP155" s="14"/>
      <c r="AQ155" s="14"/>
      <c r="AR155" s="14"/>
      <c r="AS155" s="14"/>
      <c r="CG155" s="14"/>
      <c r="CH155" s="14"/>
      <c r="CI155" s="14"/>
      <c r="CJ155" s="14"/>
      <c r="CK155" s="14"/>
    </row>
    <row r="156" spans="36:89">
      <c r="AN156" s="14"/>
      <c r="AO156" s="14"/>
      <c r="AP156" s="14"/>
      <c r="AQ156" s="14"/>
      <c r="AR156" s="14"/>
      <c r="AS156" s="14"/>
      <c r="CG156" s="14"/>
      <c r="CH156" s="14"/>
      <c r="CI156" s="14"/>
      <c r="CJ156" s="14"/>
      <c r="CK156" s="14"/>
    </row>
    <row r="157" spans="36:89">
      <c r="AN157" s="14"/>
      <c r="AO157" s="14"/>
      <c r="AP157" s="14"/>
      <c r="AQ157" s="14"/>
      <c r="AR157" s="14"/>
      <c r="AS157" s="14"/>
      <c r="CG157" s="14"/>
      <c r="CH157" s="14"/>
      <c r="CI157" s="14"/>
      <c r="CJ157" s="14"/>
      <c r="CK157" s="14"/>
    </row>
    <row r="158" spans="36:89">
      <c r="AN158" s="14"/>
      <c r="AO158" s="14"/>
      <c r="AP158" s="14"/>
      <c r="AQ158" s="14"/>
      <c r="AR158" s="14"/>
      <c r="AS158" s="14"/>
      <c r="CG158" s="14"/>
      <c r="CH158" s="14"/>
      <c r="CI158" s="14"/>
      <c r="CJ158" s="14"/>
      <c r="CK158" s="14"/>
    </row>
    <row r="159" spans="36:89">
      <c r="AN159" s="14"/>
      <c r="AO159" s="14"/>
      <c r="AP159" s="14"/>
      <c r="AQ159" s="14"/>
      <c r="AR159" s="14"/>
      <c r="AS159" s="14"/>
      <c r="CG159" s="14"/>
      <c r="CH159" s="14"/>
      <c r="CI159" s="14"/>
      <c r="CJ159" s="14"/>
      <c r="CK159" s="14"/>
    </row>
    <row r="160" spans="36:89">
      <c r="AN160" s="14"/>
      <c r="AO160" s="14"/>
      <c r="AP160" s="14"/>
      <c r="AQ160" s="14"/>
      <c r="AR160" s="14"/>
      <c r="AS160" s="14"/>
      <c r="CG160" s="14"/>
      <c r="CH160" s="14"/>
      <c r="CI160" s="14"/>
      <c r="CJ160" s="14"/>
      <c r="CK160" s="14"/>
    </row>
    <row r="161" spans="40:89">
      <c r="AN161" s="14"/>
      <c r="AO161" s="14"/>
      <c r="AP161" s="14"/>
      <c r="AQ161" s="14"/>
      <c r="AR161" s="14"/>
      <c r="AS161" s="14"/>
      <c r="CG161" s="14"/>
      <c r="CH161" s="14"/>
      <c r="CI161" s="14"/>
      <c r="CJ161" s="14"/>
      <c r="CK161" s="14"/>
    </row>
    <row r="162" spans="40:89">
      <c r="AN162" s="14"/>
      <c r="AO162" s="14"/>
      <c r="AP162" s="14"/>
      <c r="AQ162" s="14"/>
      <c r="AR162" s="14"/>
      <c r="AS162" s="14"/>
      <c r="CG162" s="14"/>
      <c r="CH162" s="14"/>
      <c r="CI162" s="14"/>
      <c r="CJ162" s="14"/>
      <c r="CK162" s="14"/>
    </row>
    <row r="163" spans="40:89">
      <c r="AN163" s="14"/>
      <c r="AO163" s="14"/>
      <c r="AP163" s="14"/>
      <c r="AQ163" s="14"/>
      <c r="AR163" s="14"/>
      <c r="AS163" s="14"/>
      <c r="CG163" s="14"/>
      <c r="CH163" s="14"/>
      <c r="CI163" s="14"/>
      <c r="CJ163" s="14"/>
      <c r="CK163" s="14"/>
    </row>
    <row r="164" spans="40:89">
      <c r="AN164" s="14"/>
      <c r="AO164" s="14"/>
      <c r="AP164" s="14"/>
      <c r="AQ164" s="14"/>
      <c r="AR164" s="14"/>
      <c r="AS164" s="14"/>
      <c r="CG164" s="14"/>
      <c r="CH164" s="14"/>
      <c r="CI164" s="14"/>
      <c r="CJ164" s="14"/>
      <c r="CK164" s="14"/>
    </row>
    <row r="165" spans="40:89">
      <c r="AN165" s="14"/>
      <c r="AO165" s="14"/>
      <c r="AP165" s="14"/>
      <c r="AQ165" s="14"/>
      <c r="AR165" s="14"/>
      <c r="AS165" s="14"/>
      <c r="CG165" s="14"/>
      <c r="CH165" s="14"/>
      <c r="CI165" s="14"/>
      <c r="CJ165" s="14"/>
      <c r="CK165" s="14"/>
    </row>
    <row r="166" spans="40:89">
      <c r="AN166" s="14"/>
      <c r="AO166" s="14"/>
      <c r="AP166" s="14"/>
      <c r="AQ166" s="14"/>
      <c r="AR166" s="14"/>
      <c r="AS166" s="14"/>
      <c r="CG166" s="14"/>
      <c r="CH166" s="14"/>
      <c r="CI166" s="14"/>
      <c r="CJ166" s="14"/>
      <c r="CK166" s="14"/>
    </row>
    <row r="167" spans="40:89">
      <c r="AN167" s="14"/>
      <c r="AO167" s="14"/>
      <c r="AP167" s="14"/>
      <c r="AQ167" s="14"/>
      <c r="AR167" s="14"/>
      <c r="AS167" s="14"/>
      <c r="CG167" s="14"/>
      <c r="CH167" s="14"/>
      <c r="CI167" s="14"/>
      <c r="CJ167" s="14"/>
      <c r="CK167" s="14"/>
    </row>
    <row r="168" spans="40:89">
      <c r="AN168" s="14"/>
      <c r="AO168" s="14"/>
      <c r="AP168" s="14"/>
      <c r="AQ168" s="14"/>
      <c r="AR168" s="14"/>
      <c r="AS168" s="14"/>
      <c r="CG168" s="14"/>
      <c r="CH168" s="14"/>
      <c r="CI168" s="14"/>
      <c r="CJ168" s="14"/>
      <c r="CK168" s="14"/>
    </row>
    <row r="169" spans="40:89">
      <c r="AN169" s="14"/>
      <c r="AO169" s="14"/>
      <c r="AP169" s="14"/>
      <c r="AQ169" s="14"/>
      <c r="AR169" s="14"/>
      <c r="AS169" s="14"/>
      <c r="CG169" s="14"/>
      <c r="CH169" s="14"/>
      <c r="CI169" s="14"/>
      <c r="CJ169" s="14"/>
      <c r="CK169" s="14"/>
    </row>
    <row r="170" spans="40:89">
      <c r="AN170" s="14"/>
      <c r="AO170" s="14"/>
      <c r="AP170" s="14"/>
      <c r="AQ170" s="14"/>
      <c r="AR170" s="14"/>
      <c r="AS170" s="14"/>
      <c r="CG170" s="14"/>
      <c r="CH170" s="14"/>
      <c r="CI170" s="14"/>
      <c r="CJ170" s="14"/>
      <c r="CK170" s="14"/>
    </row>
    <row r="171" spans="40:89">
      <c r="AN171" s="14"/>
      <c r="AO171" s="14"/>
      <c r="AP171" s="14"/>
      <c r="AQ171" s="14"/>
      <c r="AR171" s="14"/>
      <c r="AS171" s="14"/>
      <c r="CG171" s="14"/>
      <c r="CH171" s="14"/>
      <c r="CI171" s="14"/>
      <c r="CJ171" s="14"/>
      <c r="CK171" s="14"/>
    </row>
    <row r="172" spans="40:89">
      <c r="AN172" s="14"/>
      <c r="AO172" s="14"/>
      <c r="AP172" s="14"/>
      <c r="AQ172" s="14"/>
      <c r="AR172" s="14"/>
      <c r="AS172" s="14"/>
      <c r="CG172" s="14"/>
      <c r="CH172" s="14"/>
      <c r="CI172" s="14"/>
      <c r="CJ172" s="14"/>
      <c r="CK172" s="14"/>
    </row>
    <row r="173" spans="40:89">
      <c r="AN173" s="14"/>
      <c r="AO173" s="14"/>
      <c r="AP173" s="14"/>
      <c r="AQ173" s="14"/>
      <c r="AR173" s="14"/>
      <c r="AS173" s="14"/>
      <c r="CG173" s="14"/>
      <c r="CH173" s="14"/>
      <c r="CI173" s="14"/>
      <c r="CJ173" s="14"/>
      <c r="CK173" s="14"/>
    </row>
    <row r="174" spans="40:89">
      <c r="AN174" s="14"/>
      <c r="AO174" s="14"/>
      <c r="AP174" s="14"/>
      <c r="AQ174" s="14"/>
      <c r="AR174" s="14"/>
      <c r="AS174" s="14"/>
      <c r="CG174" s="14"/>
      <c r="CH174" s="14"/>
      <c r="CI174" s="14"/>
      <c r="CJ174" s="14"/>
      <c r="CK174" s="14"/>
    </row>
    <row r="175" spans="40:89">
      <c r="AN175" s="14"/>
      <c r="AO175" s="14"/>
      <c r="AP175" s="14"/>
      <c r="AQ175" s="14"/>
      <c r="AR175" s="14"/>
      <c r="AS175" s="14"/>
      <c r="CG175" s="14"/>
      <c r="CH175" s="14"/>
      <c r="CI175" s="14"/>
      <c r="CJ175" s="14"/>
      <c r="CK175" s="14"/>
    </row>
    <row r="176" spans="40:89">
      <c r="AN176" s="14"/>
      <c r="AO176" s="14"/>
      <c r="AP176" s="14"/>
      <c r="AQ176" s="14"/>
      <c r="AR176" s="14"/>
      <c r="AS176" s="14"/>
      <c r="CG176" s="14"/>
      <c r="CH176" s="14"/>
      <c r="CI176" s="14"/>
      <c r="CJ176" s="14"/>
      <c r="CK176" s="14"/>
    </row>
    <row r="177" spans="40:89">
      <c r="AN177" s="14"/>
      <c r="AO177" s="14"/>
      <c r="AP177" s="14"/>
      <c r="AQ177" s="14"/>
      <c r="AR177" s="14"/>
      <c r="AS177" s="14"/>
      <c r="CG177" s="14"/>
      <c r="CH177" s="14"/>
      <c r="CI177" s="14"/>
      <c r="CJ177" s="14"/>
      <c r="CK177" s="14"/>
    </row>
    <row r="178" spans="40:89">
      <c r="AN178" s="14"/>
      <c r="AO178" s="14"/>
      <c r="AP178" s="14"/>
      <c r="AQ178" s="14"/>
      <c r="AR178" s="14"/>
      <c r="AS178" s="14"/>
      <c r="CG178" s="14"/>
      <c r="CH178" s="14"/>
      <c r="CI178" s="14"/>
      <c r="CJ178" s="14"/>
      <c r="CK178" s="14"/>
    </row>
    <row r="179" spans="40:89">
      <c r="AN179" s="14"/>
      <c r="AO179" s="14"/>
      <c r="AP179" s="14"/>
      <c r="AQ179" s="14"/>
      <c r="AR179" s="14"/>
      <c r="AS179" s="14"/>
      <c r="CG179" s="14"/>
      <c r="CH179" s="14"/>
      <c r="CI179" s="14"/>
      <c r="CJ179" s="14"/>
      <c r="CK179" s="14"/>
    </row>
    <row r="180" spans="40:89">
      <c r="AN180" s="14"/>
      <c r="AO180" s="14"/>
      <c r="AP180" s="14"/>
      <c r="AQ180" s="14"/>
      <c r="AR180" s="14"/>
      <c r="AS180" s="14"/>
      <c r="CG180" s="14"/>
      <c r="CH180" s="14"/>
      <c r="CI180" s="14"/>
      <c r="CJ180" s="14"/>
      <c r="CK180" s="14"/>
    </row>
    <row r="181" spans="40:89">
      <c r="AN181" s="14"/>
      <c r="AO181" s="14"/>
      <c r="AP181" s="14"/>
      <c r="AQ181" s="14"/>
      <c r="AR181" s="14"/>
      <c r="AS181" s="14"/>
      <c r="CG181" s="14"/>
      <c r="CH181" s="14"/>
      <c r="CI181" s="14"/>
      <c r="CJ181" s="14"/>
      <c r="CK181" s="14"/>
    </row>
    <row r="182" spans="40:89">
      <c r="AN182" s="14"/>
      <c r="AO182" s="14"/>
      <c r="AP182" s="14"/>
      <c r="AQ182" s="14"/>
      <c r="AR182" s="14"/>
      <c r="AS182" s="14"/>
      <c r="CG182" s="14"/>
      <c r="CH182" s="14"/>
      <c r="CI182" s="14"/>
      <c r="CJ182" s="14"/>
      <c r="CK182" s="14"/>
    </row>
    <row r="183" spans="40:89">
      <c r="AN183" s="14"/>
      <c r="AO183" s="14"/>
      <c r="AP183" s="14"/>
      <c r="AQ183" s="14"/>
      <c r="AR183" s="14"/>
      <c r="AS183" s="14"/>
      <c r="CG183" s="14"/>
      <c r="CH183" s="14"/>
      <c r="CI183" s="14"/>
      <c r="CJ183" s="14"/>
      <c r="CK183" s="14"/>
    </row>
    <row r="184" spans="40:89">
      <c r="AN184" s="14"/>
      <c r="AO184" s="14"/>
      <c r="AP184" s="14"/>
      <c r="AQ184" s="14"/>
      <c r="AR184" s="14"/>
      <c r="AS184" s="14"/>
      <c r="CG184" s="14"/>
      <c r="CH184" s="14"/>
      <c r="CI184" s="14"/>
      <c r="CJ184" s="14"/>
      <c r="CK184" s="14"/>
    </row>
    <row r="185" spans="40:89">
      <c r="AN185" s="14"/>
      <c r="AO185" s="14"/>
      <c r="AP185" s="14"/>
      <c r="AQ185" s="14"/>
      <c r="AR185" s="14"/>
      <c r="AS185" s="14"/>
      <c r="CG185" s="14"/>
      <c r="CH185" s="14"/>
      <c r="CI185" s="14"/>
      <c r="CJ185" s="14"/>
      <c r="CK185" s="14"/>
    </row>
    <row r="186" spans="40:89">
      <c r="AN186" s="14"/>
      <c r="AO186" s="14"/>
      <c r="AP186" s="14"/>
      <c r="AQ186" s="14"/>
      <c r="AR186" s="14"/>
      <c r="AS186" s="14"/>
      <c r="CG186" s="14"/>
      <c r="CH186" s="14"/>
      <c r="CI186" s="14"/>
      <c r="CJ186" s="14"/>
      <c r="CK186" s="14"/>
    </row>
    <row r="187" spans="40:89">
      <c r="AN187" s="14"/>
      <c r="AO187" s="14"/>
      <c r="AP187" s="14"/>
      <c r="AQ187" s="14"/>
      <c r="AR187" s="14"/>
      <c r="AS187" s="14"/>
      <c r="CG187" s="14"/>
      <c r="CH187" s="14"/>
      <c r="CI187" s="14"/>
      <c r="CJ187" s="14"/>
      <c r="CK187" s="14"/>
    </row>
    <row r="188" spans="40:89">
      <c r="AN188" s="14"/>
      <c r="AO188" s="14"/>
      <c r="AP188" s="14"/>
      <c r="AQ188" s="14"/>
      <c r="AR188" s="14"/>
      <c r="AS188" s="14"/>
      <c r="CG188" s="14"/>
      <c r="CH188" s="14"/>
      <c r="CI188" s="14"/>
      <c r="CJ188" s="14"/>
      <c r="CK188" s="14"/>
    </row>
    <row r="189" spans="40:89">
      <c r="AN189" s="14"/>
      <c r="AO189" s="14"/>
      <c r="AP189" s="14"/>
      <c r="AQ189" s="14"/>
      <c r="AR189" s="14"/>
      <c r="AS189" s="14"/>
      <c r="CG189" s="14"/>
      <c r="CH189" s="14"/>
      <c r="CI189" s="14"/>
      <c r="CJ189" s="14"/>
      <c r="CK189" s="14"/>
    </row>
    <row r="190" spans="40:89">
      <c r="AN190" s="14"/>
      <c r="AO190" s="14"/>
      <c r="AP190" s="14"/>
      <c r="AQ190" s="14"/>
      <c r="AR190" s="14"/>
      <c r="AS190" s="14"/>
      <c r="CG190" s="14"/>
      <c r="CH190" s="14"/>
      <c r="CI190" s="14"/>
      <c r="CJ190" s="14"/>
      <c r="CK190" s="14"/>
    </row>
    <row r="191" spans="40:89">
      <c r="AN191" s="14"/>
      <c r="AO191" s="14"/>
      <c r="AP191" s="14"/>
      <c r="AQ191" s="14"/>
      <c r="AR191" s="14"/>
      <c r="AS191" s="14"/>
      <c r="CG191" s="14"/>
      <c r="CH191" s="14"/>
      <c r="CI191" s="14"/>
      <c r="CJ191" s="14"/>
      <c r="CK191" s="14"/>
    </row>
    <row r="192" spans="40:89">
      <c r="AN192" s="14"/>
      <c r="AO192" s="14"/>
      <c r="AP192" s="14"/>
      <c r="AQ192" s="14"/>
      <c r="AR192" s="14"/>
      <c r="AS192" s="14"/>
      <c r="CG192" s="14"/>
      <c r="CH192" s="14"/>
      <c r="CI192" s="14"/>
      <c r="CJ192" s="14"/>
      <c r="CK192" s="14"/>
    </row>
    <row r="193" spans="40:89">
      <c r="AN193" s="14"/>
      <c r="AO193" s="14"/>
      <c r="AP193" s="14"/>
      <c r="AQ193" s="14"/>
      <c r="AR193" s="14"/>
      <c r="AS193" s="14"/>
      <c r="CG193" s="14"/>
      <c r="CH193" s="14"/>
      <c r="CI193" s="14"/>
      <c r="CJ193" s="14"/>
      <c r="CK193" s="14"/>
    </row>
    <row r="194" spans="40:89">
      <c r="AN194" s="14"/>
      <c r="AO194" s="14"/>
      <c r="AP194" s="14"/>
      <c r="AQ194" s="14"/>
      <c r="AR194" s="14"/>
      <c r="AS194" s="14"/>
      <c r="CG194" s="14"/>
      <c r="CH194" s="14"/>
      <c r="CI194" s="14"/>
      <c r="CJ194" s="14"/>
      <c r="CK194" s="14"/>
    </row>
    <row r="195" spans="40:89">
      <c r="AN195" s="14"/>
      <c r="AO195" s="14"/>
      <c r="AP195" s="14"/>
      <c r="AQ195" s="14"/>
      <c r="AR195" s="14"/>
      <c r="AS195" s="14"/>
      <c r="CG195" s="14"/>
      <c r="CH195" s="14"/>
      <c r="CI195" s="14"/>
      <c r="CJ195" s="14"/>
      <c r="CK195" s="14"/>
    </row>
    <row r="196" spans="40:89">
      <c r="AN196" s="14"/>
      <c r="AO196" s="14"/>
      <c r="AP196" s="14"/>
      <c r="AQ196" s="14"/>
      <c r="AR196" s="14"/>
      <c r="AS196" s="14"/>
      <c r="CG196" s="14"/>
      <c r="CH196" s="14"/>
      <c r="CI196" s="14"/>
      <c r="CJ196" s="14"/>
      <c r="CK196" s="14"/>
    </row>
    <row r="197" spans="40:89">
      <c r="AN197" s="14"/>
      <c r="AO197" s="14"/>
      <c r="AP197" s="14"/>
      <c r="AQ197" s="14"/>
      <c r="AR197" s="14"/>
      <c r="AS197" s="14"/>
      <c r="CG197" s="14"/>
      <c r="CH197" s="14"/>
      <c r="CI197" s="14"/>
      <c r="CJ197" s="14"/>
      <c r="CK197" s="14"/>
    </row>
    <row r="198" spans="40:89">
      <c r="AN198" s="14"/>
      <c r="AO198" s="14"/>
      <c r="AP198" s="14"/>
      <c r="AQ198" s="14"/>
      <c r="AR198" s="14"/>
      <c r="AS198" s="14"/>
      <c r="CG198" s="14"/>
      <c r="CH198" s="14"/>
      <c r="CI198" s="14"/>
      <c r="CJ198" s="14"/>
      <c r="CK198" s="14"/>
    </row>
    <row r="199" spans="40:89">
      <c r="AN199" s="14"/>
      <c r="AO199" s="14"/>
      <c r="AP199" s="14"/>
      <c r="AQ199" s="14"/>
      <c r="AR199" s="14"/>
      <c r="AS199" s="14"/>
      <c r="CG199" s="14"/>
      <c r="CH199" s="14"/>
      <c r="CI199" s="14"/>
      <c r="CJ199" s="14"/>
      <c r="CK199" s="14"/>
    </row>
    <row r="200" spans="40:89">
      <c r="AN200" s="14"/>
      <c r="AO200" s="14"/>
      <c r="AP200" s="14"/>
      <c r="AQ200" s="14"/>
      <c r="AR200" s="14"/>
      <c r="AS200" s="14"/>
      <c r="CG200" s="14"/>
      <c r="CH200" s="14"/>
      <c r="CI200" s="14"/>
      <c r="CJ200" s="14"/>
      <c r="CK200" s="14"/>
    </row>
    <row r="201" spans="40:89">
      <c r="AN201" s="14"/>
      <c r="AO201" s="14"/>
      <c r="AP201" s="14"/>
      <c r="AQ201" s="14"/>
      <c r="AR201" s="14"/>
      <c r="AS201" s="14"/>
      <c r="CG201" s="14"/>
      <c r="CH201" s="14"/>
      <c r="CI201" s="14"/>
      <c r="CJ201" s="14"/>
      <c r="CK201" s="14"/>
    </row>
    <row r="202" spans="40:89">
      <c r="AN202" s="14"/>
      <c r="AO202" s="14"/>
      <c r="AP202" s="14"/>
      <c r="AQ202" s="14"/>
      <c r="AR202" s="14"/>
      <c r="AS202" s="14"/>
      <c r="CG202" s="14"/>
      <c r="CH202" s="14"/>
      <c r="CI202" s="14"/>
      <c r="CJ202" s="14"/>
      <c r="CK202" s="14"/>
    </row>
    <row r="203" spans="40:89">
      <c r="AN203" s="14"/>
      <c r="AO203" s="14"/>
      <c r="AP203" s="14"/>
      <c r="AQ203" s="14"/>
      <c r="AR203" s="14"/>
      <c r="AS203" s="14"/>
      <c r="CG203" s="14"/>
      <c r="CH203" s="14"/>
      <c r="CI203" s="14"/>
      <c r="CJ203" s="14"/>
      <c r="CK203" s="14"/>
    </row>
    <row r="204" spans="40:89">
      <c r="AN204" s="14"/>
      <c r="AO204" s="14"/>
      <c r="AP204" s="14"/>
      <c r="AQ204" s="14"/>
      <c r="AR204" s="14"/>
      <c r="AS204" s="14"/>
      <c r="CG204" s="14"/>
      <c r="CH204" s="14"/>
      <c r="CI204" s="14"/>
      <c r="CJ204" s="14"/>
      <c r="CK204" s="14"/>
    </row>
    <row r="205" spans="40:89">
      <c r="AN205" s="14"/>
      <c r="AO205" s="14"/>
      <c r="AP205" s="14"/>
      <c r="AQ205" s="14"/>
      <c r="AR205" s="14"/>
      <c r="AS205" s="14"/>
      <c r="CG205" s="14"/>
      <c r="CH205" s="14"/>
      <c r="CI205" s="14"/>
      <c r="CJ205" s="14"/>
      <c r="CK205" s="14"/>
    </row>
    <row r="206" spans="40:89">
      <c r="AN206" s="14"/>
      <c r="AO206" s="14"/>
      <c r="AP206" s="14"/>
      <c r="AQ206" s="14"/>
      <c r="AR206" s="14"/>
      <c r="AS206" s="14"/>
      <c r="CG206" s="14"/>
      <c r="CH206" s="14"/>
      <c r="CI206" s="14"/>
      <c r="CJ206" s="14"/>
      <c r="CK206" s="14"/>
    </row>
    <row r="207" spans="40:89">
      <c r="AN207" s="14"/>
      <c r="AO207" s="14"/>
      <c r="AP207" s="14"/>
      <c r="AQ207" s="14"/>
      <c r="AR207" s="14"/>
      <c r="AS207" s="14"/>
      <c r="CG207" s="14"/>
      <c r="CH207" s="14"/>
      <c r="CI207" s="14"/>
      <c r="CJ207" s="14"/>
      <c r="CK207" s="14"/>
    </row>
    <row r="208" spans="40:89">
      <c r="AN208" s="14"/>
      <c r="AO208" s="14"/>
      <c r="AP208" s="14"/>
      <c r="AQ208" s="14"/>
      <c r="AR208" s="14"/>
      <c r="AS208" s="14"/>
      <c r="CG208" s="14"/>
      <c r="CH208" s="14"/>
      <c r="CI208" s="14"/>
      <c r="CJ208" s="14"/>
      <c r="CK208" s="14"/>
    </row>
    <row r="209" spans="40:89">
      <c r="AN209" s="14"/>
      <c r="AO209" s="14"/>
      <c r="AP209" s="14"/>
      <c r="AQ209" s="14"/>
      <c r="AR209" s="14"/>
      <c r="AS209" s="14"/>
      <c r="CG209" s="14"/>
      <c r="CH209" s="14"/>
      <c r="CI209" s="14"/>
      <c r="CJ209" s="14"/>
      <c r="CK209" s="14"/>
    </row>
    <row r="210" spans="40:89">
      <c r="AN210" s="14"/>
      <c r="AO210" s="14"/>
      <c r="AP210" s="14"/>
      <c r="AQ210" s="14"/>
      <c r="AR210" s="14"/>
      <c r="AS210" s="14"/>
      <c r="CG210" s="14"/>
      <c r="CH210" s="14"/>
      <c r="CI210" s="14"/>
      <c r="CJ210" s="14"/>
      <c r="CK210" s="14"/>
    </row>
    <row r="211" spans="40:89">
      <c r="AN211" s="14"/>
      <c r="AO211" s="14"/>
      <c r="AP211" s="14"/>
      <c r="AQ211" s="14"/>
      <c r="AR211" s="14"/>
      <c r="AS211" s="14"/>
      <c r="CG211" s="14"/>
      <c r="CH211" s="14"/>
      <c r="CI211" s="14"/>
      <c r="CJ211" s="14"/>
      <c r="CK211" s="14"/>
    </row>
    <row r="212" spans="40:89">
      <c r="AN212" s="14"/>
      <c r="AO212" s="14"/>
      <c r="AP212" s="14"/>
      <c r="AQ212" s="14"/>
      <c r="AR212" s="14"/>
      <c r="AS212" s="14"/>
      <c r="CG212" s="14"/>
      <c r="CH212" s="14"/>
      <c r="CI212" s="14"/>
      <c r="CJ212" s="14"/>
      <c r="CK212" s="14"/>
    </row>
    <row r="213" spans="40:89">
      <c r="AN213" s="14"/>
      <c r="AO213" s="14"/>
      <c r="AP213" s="14"/>
      <c r="AQ213" s="14"/>
      <c r="AR213" s="14"/>
      <c r="AS213" s="14"/>
      <c r="CG213" s="14"/>
      <c r="CH213" s="14"/>
      <c r="CI213" s="14"/>
      <c r="CJ213" s="14"/>
      <c r="CK213" s="14"/>
    </row>
    <row r="214" spans="40:89">
      <c r="AN214" s="14"/>
      <c r="AO214" s="14"/>
      <c r="AP214" s="14"/>
      <c r="AQ214" s="14"/>
      <c r="AR214" s="14"/>
      <c r="AS214" s="14"/>
      <c r="CG214" s="14"/>
      <c r="CH214" s="14"/>
      <c r="CI214" s="14"/>
      <c r="CJ214" s="14"/>
      <c r="CK214" s="14"/>
    </row>
    <row r="215" spans="40:89">
      <c r="AN215" s="14"/>
      <c r="AO215" s="14"/>
      <c r="AP215" s="14"/>
      <c r="AQ215" s="14"/>
      <c r="AR215" s="14"/>
      <c r="AS215" s="14"/>
      <c r="CG215" s="14"/>
      <c r="CH215" s="14"/>
      <c r="CI215" s="14"/>
      <c r="CJ215" s="14"/>
      <c r="CK215" s="14"/>
    </row>
    <row r="216" spans="40:89">
      <c r="AN216" s="14"/>
      <c r="AO216" s="14"/>
      <c r="AP216" s="14"/>
      <c r="AQ216" s="14"/>
      <c r="AR216" s="14"/>
      <c r="AS216" s="14"/>
      <c r="CG216" s="14"/>
      <c r="CH216" s="14"/>
      <c r="CI216" s="14"/>
      <c r="CJ216" s="14"/>
      <c r="CK216" s="14"/>
    </row>
    <row r="217" spans="40:89">
      <c r="AN217" s="14"/>
      <c r="AO217" s="14"/>
      <c r="AP217" s="14"/>
      <c r="AQ217" s="14"/>
      <c r="AR217" s="14"/>
      <c r="AS217" s="14"/>
      <c r="CG217" s="14"/>
      <c r="CH217" s="14"/>
      <c r="CI217" s="14"/>
      <c r="CJ217" s="14"/>
      <c r="CK217" s="14"/>
    </row>
    <row r="218" spans="40:89">
      <c r="AN218" s="14"/>
      <c r="AO218" s="14"/>
      <c r="AP218" s="14"/>
      <c r="AQ218" s="14"/>
      <c r="AR218" s="14"/>
      <c r="AS218" s="14"/>
      <c r="CG218" s="14"/>
      <c r="CH218" s="14"/>
      <c r="CI218" s="14"/>
      <c r="CJ218" s="14"/>
      <c r="CK218" s="14"/>
    </row>
    <row r="219" spans="40:89">
      <c r="AN219" s="14"/>
      <c r="AO219" s="14"/>
      <c r="AP219" s="14"/>
      <c r="AQ219" s="14"/>
      <c r="AR219" s="14"/>
      <c r="AS219" s="14"/>
      <c r="CG219" s="14"/>
      <c r="CH219" s="14"/>
      <c r="CI219" s="14"/>
      <c r="CJ219" s="14"/>
      <c r="CK219" s="14"/>
    </row>
    <row r="220" spans="40:89">
      <c r="AN220" s="14"/>
      <c r="AO220" s="14"/>
      <c r="AP220" s="14"/>
      <c r="AQ220" s="14"/>
      <c r="AR220" s="14"/>
      <c r="AS220" s="14"/>
      <c r="CG220" s="14"/>
      <c r="CH220" s="14"/>
      <c r="CI220" s="14"/>
      <c r="CJ220" s="14"/>
      <c r="CK220" s="14"/>
    </row>
    <row r="221" spans="40:89">
      <c r="AN221" s="14"/>
      <c r="AO221" s="14"/>
      <c r="AP221" s="14"/>
      <c r="AQ221" s="14"/>
      <c r="AR221" s="14"/>
      <c r="AS221" s="14"/>
      <c r="CG221" s="14"/>
      <c r="CH221" s="14"/>
      <c r="CI221" s="14"/>
      <c r="CJ221" s="14"/>
      <c r="CK221" s="14"/>
    </row>
    <row r="222" spans="40:89">
      <c r="AN222" s="14"/>
      <c r="AO222" s="14"/>
      <c r="AP222" s="14"/>
      <c r="AQ222" s="14"/>
      <c r="AR222" s="14"/>
      <c r="AS222" s="14"/>
      <c r="CG222" s="14"/>
      <c r="CH222" s="14"/>
      <c r="CI222" s="14"/>
      <c r="CJ222" s="14"/>
      <c r="CK222" s="14"/>
    </row>
    <row r="223" spans="40:89">
      <c r="AN223" s="14"/>
      <c r="AO223" s="14"/>
      <c r="AP223" s="14"/>
      <c r="AQ223" s="14"/>
      <c r="AR223" s="14"/>
      <c r="AS223" s="14"/>
      <c r="CG223" s="14"/>
      <c r="CH223" s="14"/>
      <c r="CI223" s="14"/>
      <c r="CJ223" s="14"/>
      <c r="CK223" s="14"/>
    </row>
    <row r="224" spans="40:89">
      <c r="AN224" s="14"/>
      <c r="AO224" s="14"/>
      <c r="AP224" s="14"/>
      <c r="AQ224" s="14"/>
      <c r="AR224" s="14"/>
      <c r="AS224" s="14"/>
      <c r="CG224" s="14"/>
      <c r="CH224" s="14"/>
      <c r="CI224" s="14"/>
      <c r="CJ224" s="14"/>
      <c r="CK224" s="14"/>
    </row>
    <row r="225" spans="40:89">
      <c r="AN225" s="14"/>
      <c r="AO225" s="14"/>
      <c r="AP225" s="14"/>
      <c r="AQ225" s="14"/>
      <c r="AR225" s="14"/>
      <c r="AS225" s="14"/>
      <c r="CG225" s="14"/>
      <c r="CH225" s="14"/>
      <c r="CI225" s="14"/>
      <c r="CJ225" s="14"/>
      <c r="CK225" s="14"/>
    </row>
    <row r="226" spans="40:89">
      <c r="AN226" s="14"/>
      <c r="AO226" s="14"/>
      <c r="AP226" s="14"/>
      <c r="AQ226" s="14"/>
      <c r="AR226" s="14"/>
      <c r="AS226" s="14"/>
      <c r="CG226" s="14"/>
      <c r="CH226" s="14"/>
      <c r="CI226" s="14"/>
      <c r="CJ226" s="14"/>
      <c r="CK226" s="14"/>
    </row>
    <row r="227" spans="40:89">
      <c r="AN227" s="14"/>
      <c r="AO227" s="14"/>
      <c r="AP227" s="14"/>
      <c r="AQ227" s="14"/>
      <c r="AR227" s="14"/>
      <c r="AS227" s="14"/>
      <c r="CG227" s="14"/>
      <c r="CH227" s="14"/>
      <c r="CI227" s="14"/>
      <c r="CJ227" s="14"/>
      <c r="CK227" s="14"/>
    </row>
    <row r="228" spans="40:89">
      <c r="AN228" s="14"/>
      <c r="AO228" s="14"/>
      <c r="AP228" s="14"/>
      <c r="AQ228" s="14"/>
      <c r="AR228" s="14"/>
      <c r="AS228" s="14"/>
      <c r="CG228" s="14"/>
      <c r="CH228" s="14"/>
      <c r="CI228" s="14"/>
      <c r="CJ228" s="14"/>
      <c r="CK228" s="14"/>
    </row>
    <row r="229" spans="40:89">
      <c r="AN229" s="14"/>
      <c r="AO229" s="14"/>
      <c r="AP229" s="14"/>
      <c r="AQ229" s="14"/>
      <c r="AR229" s="14"/>
      <c r="AS229" s="14"/>
      <c r="CG229" s="14"/>
      <c r="CH229" s="14"/>
      <c r="CI229" s="14"/>
      <c r="CJ229" s="14"/>
      <c r="CK229" s="14"/>
    </row>
    <row r="230" spans="40:89">
      <c r="AN230" s="14"/>
      <c r="AO230" s="14"/>
      <c r="AP230" s="14"/>
      <c r="AQ230" s="14"/>
      <c r="AR230" s="14"/>
      <c r="AS230" s="14"/>
      <c r="CG230" s="14"/>
      <c r="CH230" s="14"/>
      <c r="CI230" s="14"/>
      <c r="CJ230" s="14"/>
      <c r="CK230" s="14"/>
    </row>
    <row r="231" spans="40:89">
      <c r="AN231" s="14"/>
      <c r="AO231" s="14"/>
      <c r="AP231" s="14"/>
      <c r="AQ231" s="14"/>
      <c r="AR231" s="14"/>
      <c r="AS231" s="14"/>
      <c r="CG231" s="14"/>
      <c r="CH231" s="14"/>
      <c r="CI231" s="14"/>
      <c r="CJ231" s="14"/>
      <c r="CK231" s="14"/>
    </row>
    <row r="232" spans="40:89">
      <c r="AN232" s="14"/>
      <c r="AO232" s="14"/>
      <c r="AP232" s="14"/>
      <c r="AQ232" s="14"/>
      <c r="AR232" s="14"/>
      <c r="AS232" s="14"/>
      <c r="CG232" s="14"/>
      <c r="CH232" s="14"/>
      <c r="CI232" s="14"/>
      <c r="CJ232" s="14"/>
      <c r="CK232" s="14"/>
    </row>
    <row r="233" spans="40:89">
      <c r="AN233" s="14"/>
      <c r="AO233" s="14"/>
      <c r="AP233" s="14"/>
      <c r="AQ233" s="14"/>
      <c r="AR233" s="14"/>
      <c r="AS233" s="14"/>
      <c r="CG233" s="14"/>
      <c r="CH233" s="14"/>
      <c r="CI233" s="14"/>
      <c r="CJ233" s="14"/>
      <c r="CK233" s="14"/>
    </row>
    <row r="234" spans="40:89">
      <c r="AN234" s="14"/>
      <c r="AO234" s="14"/>
      <c r="AP234" s="14"/>
      <c r="AQ234" s="14"/>
      <c r="AR234" s="14"/>
      <c r="AS234" s="14"/>
      <c r="CG234" s="14"/>
      <c r="CH234" s="14"/>
      <c r="CI234" s="14"/>
      <c r="CJ234" s="14"/>
      <c r="CK234" s="14"/>
    </row>
    <row r="235" spans="40:89">
      <c r="AN235" s="14"/>
      <c r="AO235" s="14"/>
      <c r="AP235" s="14"/>
      <c r="AQ235" s="14"/>
      <c r="AR235" s="14"/>
      <c r="AS235" s="14"/>
      <c r="CG235" s="14"/>
      <c r="CH235" s="14"/>
      <c r="CI235" s="14"/>
      <c r="CJ235" s="14"/>
      <c r="CK235" s="14"/>
    </row>
    <row r="236" spans="40:89">
      <c r="AN236" s="14"/>
      <c r="AO236" s="14"/>
      <c r="AP236" s="14"/>
      <c r="AQ236" s="14"/>
      <c r="AR236" s="14"/>
      <c r="AS236" s="14"/>
      <c r="CG236" s="14"/>
      <c r="CH236" s="14"/>
      <c r="CI236" s="14"/>
      <c r="CJ236" s="14"/>
      <c r="CK236" s="14"/>
    </row>
    <row r="237" spans="40:89">
      <c r="AN237" s="14"/>
      <c r="AO237" s="14"/>
      <c r="AP237" s="14"/>
      <c r="AQ237" s="14"/>
      <c r="AR237" s="14"/>
      <c r="AS237" s="14"/>
      <c r="CG237" s="14"/>
      <c r="CH237" s="14"/>
      <c r="CI237" s="14"/>
      <c r="CJ237" s="14"/>
      <c r="CK237" s="14"/>
    </row>
    <row r="238" spans="40:89">
      <c r="AN238" s="14"/>
      <c r="AO238" s="14"/>
      <c r="AP238" s="14"/>
      <c r="AQ238" s="14"/>
      <c r="AR238" s="14"/>
      <c r="AS238" s="14"/>
      <c r="CG238" s="14"/>
      <c r="CH238" s="14"/>
      <c r="CI238" s="14"/>
      <c r="CJ238" s="14"/>
      <c r="CK238" s="14"/>
    </row>
    <row r="239" spans="40:89">
      <c r="AN239" s="14"/>
      <c r="AO239" s="14"/>
      <c r="AP239" s="14"/>
      <c r="AQ239" s="14"/>
      <c r="AR239" s="14"/>
      <c r="AS239" s="14"/>
      <c r="CG239" s="14"/>
      <c r="CH239" s="14"/>
      <c r="CI239" s="14"/>
      <c r="CJ239" s="14"/>
      <c r="CK239" s="14"/>
    </row>
    <row r="240" spans="40:89">
      <c r="AN240" s="14"/>
      <c r="AO240" s="14"/>
      <c r="AP240" s="14"/>
      <c r="AQ240" s="14"/>
      <c r="AR240" s="14"/>
      <c r="AS240" s="14"/>
      <c r="CG240" s="14"/>
      <c r="CH240" s="14"/>
      <c r="CI240" s="14"/>
      <c r="CJ240" s="14"/>
      <c r="CK240" s="14"/>
    </row>
    <row r="241" spans="40:89">
      <c r="AN241" s="14"/>
      <c r="AO241" s="14"/>
      <c r="AP241" s="14"/>
      <c r="AQ241" s="14"/>
      <c r="AR241" s="14"/>
      <c r="AS241" s="14"/>
      <c r="CG241" s="14"/>
      <c r="CH241" s="14"/>
      <c r="CI241" s="14"/>
      <c r="CJ241" s="14"/>
      <c r="CK241" s="14"/>
    </row>
    <row r="242" spans="40:89">
      <c r="AN242" s="14"/>
      <c r="AO242" s="14"/>
      <c r="AP242" s="14"/>
      <c r="AQ242" s="14"/>
      <c r="AR242" s="14"/>
      <c r="AS242" s="14"/>
      <c r="CG242" s="14"/>
      <c r="CH242" s="14"/>
      <c r="CI242" s="14"/>
      <c r="CJ242" s="14"/>
      <c r="CK242" s="14"/>
    </row>
    <row r="243" spans="40:89">
      <c r="AN243" s="14"/>
      <c r="AO243" s="14"/>
      <c r="AP243" s="14"/>
      <c r="AQ243" s="14"/>
      <c r="AR243" s="14"/>
      <c r="AS243" s="14"/>
      <c r="CG243" s="14"/>
      <c r="CH243" s="14"/>
      <c r="CI243" s="14"/>
      <c r="CJ243" s="14"/>
      <c r="CK243" s="14"/>
    </row>
    <row r="244" spans="40:89">
      <c r="AN244" s="14"/>
      <c r="AO244" s="14"/>
      <c r="AP244" s="14"/>
      <c r="AQ244" s="14"/>
      <c r="AR244" s="14"/>
      <c r="AS244" s="14"/>
      <c r="CG244" s="14"/>
      <c r="CH244" s="14"/>
      <c r="CI244" s="14"/>
      <c r="CJ244" s="14"/>
      <c r="CK244" s="14"/>
    </row>
    <row r="245" spans="40:89">
      <c r="AN245" s="14"/>
      <c r="AO245" s="14"/>
      <c r="AP245" s="14"/>
      <c r="AQ245" s="14"/>
      <c r="AR245" s="14"/>
      <c r="AS245" s="14"/>
      <c r="CG245" s="14"/>
      <c r="CH245" s="14"/>
      <c r="CI245" s="14"/>
      <c r="CJ245" s="14"/>
      <c r="CK245" s="14"/>
    </row>
    <row r="246" spans="40:89">
      <c r="AN246" s="14"/>
      <c r="AO246" s="14"/>
      <c r="AP246" s="14"/>
      <c r="AQ246" s="14"/>
      <c r="AR246" s="14"/>
      <c r="AS246" s="14"/>
      <c r="CG246" s="14"/>
      <c r="CH246" s="14"/>
      <c r="CI246" s="14"/>
      <c r="CJ246" s="14"/>
      <c r="CK246" s="14"/>
    </row>
    <row r="247" spans="40:89">
      <c r="AN247" s="14"/>
      <c r="AO247" s="14"/>
      <c r="AP247" s="14"/>
      <c r="AQ247" s="14"/>
      <c r="AR247" s="14"/>
      <c r="AS247" s="14"/>
      <c r="CG247" s="14"/>
      <c r="CH247" s="14"/>
      <c r="CI247" s="14"/>
      <c r="CJ247" s="14"/>
      <c r="CK247" s="14"/>
    </row>
    <row r="248" spans="40:89">
      <c r="AN248" s="14"/>
      <c r="AO248" s="14"/>
      <c r="AP248" s="14"/>
      <c r="AQ248" s="14"/>
      <c r="AR248" s="14"/>
      <c r="AS248" s="14"/>
      <c r="CG248" s="14"/>
      <c r="CH248" s="14"/>
      <c r="CI248" s="14"/>
      <c r="CJ248" s="14"/>
      <c r="CK248" s="14"/>
    </row>
    <row r="249" spans="40:89">
      <c r="AN249" s="14"/>
      <c r="AO249" s="14"/>
      <c r="AP249" s="14"/>
      <c r="AQ249" s="14"/>
      <c r="AR249" s="14"/>
      <c r="AS249" s="14"/>
      <c r="CG249" s="14"/>
      <c r="CH249" s="14"/>
      <c r="CI249" s="14"/>
      <c r="CJ249" s="14"/>
      <c r="CK249" s="14"/>
    </row>
    <row r="250" spans="40:89">
      <c r="AN250" s="14"/>
      <c r="AO250" s="14"/>
      <c r="AP250" s="14"/>
      <c r="AQ250" s="14"/>
      <c r="AR250" s="14"/>
      <c r="AS250" s="14"/>
      <c r="CG250" s="14"/>
      <c r="CH250" s="14"/>
      <c r="CI250" s="14"/>
      <c r="CJ250" s="14"/>
      <c r="CK250" s="14"/>
    </row>
    <row r="251" spans="40:89">
      <c r="AN251" s="14"/>
      <c r="AO251" s="14"/>
      <c r="AP251" s="14"/>
      <c r="AQ251" s="14"/>
      <c r="AR251" s="14"/>
      <c r="AS251" s="14"/>
      <c r="CG251" s="14"/>
      <c r="CH251" s="14"/>
      <c r="CI251" s="14"/>
      <c r="CJ251" s="14"/>
      <c r="CK251" s="14"/>
    </row>
    <row r="252" spans="40:89">
      <c r="AN252" s="14"/>
      <c r="AO252" s="14"/>
      <c r="AP252" s="14"/>
      <c r="AQ252" s="14"/>
      <c r="AR252" s="14"/>
      <c r="AS252" s="14"/>
      <c r="CG252" s="14"/>
      <c r="CH252" s="14"/>
      <c r="CI252" s="14"/>
      <c r="CJ252" s="14"/>
      <c r="CK252" s="14"/>
    </row>
    <row r="253" spans="40:89">
      <c r="AN253" s="14"/>
      <c r="AO253" s="14"/>
      <c r="AP253" s="14"/>
      <c r="AQ253" s="14"/>
      <c r="AR253" s="14"/>
      <c r="AS253" s="14"/>
      <c r="CG253" s="14"/>
      <c r="CH253" s="14"/>
      <c r="CI253" s="14"/>
      <c r="CJ253" s="14"/>
      <c r="CK253" s="14"/>
    </row>
    <row r="254" spans="40:89">
      <c r="AN254" s="14"/>
      <c r="AO254" s="14"/>
      <c r="AP254" s="14"/>
      <c r="AQ254" s="14"/>
      <c r="AR254" s="14"/>
      <c r="AS254" s="14"/>
      <c r="CG254" s="14"/>
      <c r="CH254" s="14"/>
      <c r="CI254" s="14"/>
      <c r="CJ254" s="14"/>
      <c r="CK254" s="14"/>
    </row>
    <row r="255" spans="40:89">
      <c r="AN255" s="14"/>
      <c r="AO255" s="14"/>
      <c r="AP255" s="14"/>
      <c r="AQ255" s="14"/>
      <c r="AR255" s="14"/>
      <c r="AS255" s="14"/>
      <c r="CG255" s="14"/>
      <c r="CH255" s="14"/>
      <c r="CI255" s="14"/>
      <c r="CJ255" s="14"/>
      <c r="CK255" s="14"/>
    </row>
    <row r="256" spans="40:89">
      <c r="AN256" s="14"/>
      <c r="AO256" s="14"/>
      <c r="AP256" s="14"/>
      <c r="AQ256" s="14"/>
      <c r="AR256" s="14"/>
      <c r="AS256" s="14"/>
      <c r="CG256" s="14"/>
      <c r="CH256" s="14"/>
      <c r="CI256" s="14"/>
      <c r="CJ256" s="14"/>
      <c r="CK256" s="14"/>
    </row>
    <row r="257" spans="40:89">
      <c r="AN257" s="14"/>
      <c r="AO257" s="14"/>
      <c r="AP257" s="14"/>
      <c r="AQ257" s="14"/>
      <c r="AR257" s="14"/>
      <c r="AS257" s="14"/>
      <c r="CG257" s="14"/>
      <c r="CH257" s="14"/>
      <c r="CI257" s="14"/>
      <c r="CJ257" s="14"/>
      <c r="CK257" s="14"/>
    </row>
    <row r="258" spans="40:89">
      <c r="AN258" s="14"/>
      <c r="AO258" s="14"/>
      <c r="AP258" s="14"/>
      <c r="AQ258" s="14"/>
      <c r="AR258" s="14"/>
      <c r="AS258" s="14"/>
      <c r="CG258" s="14"/>
      <c r="CH258" s="14"/>
      <c r="CI258" s="14"/>
      <c r="CJ258" s="14"/>
      <c r="CK258" s="14"/>
    </row>
    <row r="259" spans="40:89">
      <c r="AN259" s="14"/>
      <c r="AO259" s="14"/>
      <c r="AP259" s="14"/>
      <c r="AQ259" s="14"/>
      <c r="AR259" s="14"/>
      <c r="AS259" s="14"/>
      <c r="CG259" s="14"/>
      <c r="CH259" s="14"/>
      <c r="CI259" s="14"/>
      <c r="CJ259" s="14"/>
      <c r="CK259" s="14"/>
    </row>
    <row r="260" spans="40:89">
      <c r="AN260" s="14"/>
      <c r="AO260" s="14"/>
      <c r="AP260" s="14"/>
      <c r="AQ260" s="14"/>
      <c r="AR260" s="14"/>
      <c r="AS260" s="14"/>
      <c r="CG260" s="14"/>
      <c r="CH260" s="14"/>
      <c r="CI260" s="14"/>
      <c r="CJ260" s="14"/>
      <c r="CK260" s="14"/>
    </row>
    <row r="261" spans="40:89">
      <c r="AN261" s="14"/>
      <c r="AO261" s="14"/>
      <c r="AP261" s="14"/>
      <c r="AQ261" s="14"/>
      <c r="AR261" s="14"/>
      <c r="AS261" s="14"/>
      <c r="CG261" s="14"/>
      <c r="CH261" s="14"/>
      <c r="CI261" s="14"/>
      <c r="CJ261" s="14"/>
      <c r="CK261" s="14"/>
    </row>
    <row r="262" spans="40:89">
      <c r="AN262" s="14"/>
      <c r="AO262" s="14"/>
      <c r="AP262" s="14"/>
      <c r="AQ262" s="14"/>
      <c r="AR262" s="14"/>
      <c r="AS262" s="14"/>
      <c r="CG262" s="14"/>
      <c r="CH262" s="14"/>
      <c r="CI262" s="14"/>
      <c r="CJ262" s="14"/>
      <c r="CK262" s="14"/>
    </row>
    <row r="263" spans="40:89">
      <c r="AN263" s="14"/>
      <c r="AO263" s="14"/>
      <c r="AP263" s="14"/>
      <c r="AQ263" s="14"/>
      <c r="AR263" s="14"/>
      <c r="AS263" s="14"/>
      <c r="CG263" s="14"/>
      <c r="CH263" s="14"/>
      <c r="CI263" s="14"/>
      <c r="CJ263" s="14"/>
      <c r="CK263" s="14"/>
    </row>
    <row r="264" spans="40:89">
      <c r="AN264" s="14"/>
      <c r="AO264" s="14"/>
      <c r="AP264" s="14"/>
      <c r="AQ264" s="14"/>
      <c r="AR264" s="14"/>
      <c r="AS264" s="14"/>
      <c r="CG264" s="14"/>
      <c r="CH264" s="14"/>
      <c r="CI264" s="14"/>
      <c r="CJ264" s="14"/>
      <c r="CK264" s="14"/>
    </row>
    <row r="265" spans="40:89">
      <c r="AN265" s="14"/>
      <c r="AO265" s="14"/>
      <c r="AP265" s="14"/>
      <c r="AQ265" s="14"/>
      <c r="AR265" s="14"/>
      <c r="AS265" s="14"/>
      <c r="CG265" s="14"/>
      <c r="CH265" s="14"/>
      <c r="CI265" s="14"/>
      <c r="CJ265" s="14"/>
      <c r="CK265" s="14"/>
    </row>
    <row r="266" spans="40:89">
      <c r="AN266" s="14"/>
      <c r="AO266" s="14"/>
      <c r="AP266" s="14"/>
      <c r="AQ266" s="14"/>
      <c r="AR266" s="14"/>
      <c r="AS266" s="14"/>
      <c r="CG266" s="14"/>
      <c r="CH266" s="14"/>
      <c r="CI266" s="14"/>
      <c r="CJ266" s="14"/>
      <c r="CK266" s="14"/>
    </row>
    <row r="267" spans="40:89">
      <c r="AN267" s="14"/>
      <c r="AO267" s="14"/>
      <c r="AP267" s="14"/>
      <c r="AQ267" s="14"/>
      <c r="AR267" s="14"/>
      <c r="AS267" s="14"/>
      <c r="CG267" s="14"/>
      <c r="CH267" s="14"/>
      <c r="CI267" s="14"/>
      <c r="CJ267" s="14"/>
      <c r="CK267" s="14"/>
    </row>
    <row r="268" spans="40:89">
      <c r="AN268" s="14"/>
      <c r="AO268" s="14"/>
      <c r="AP268" s="14"/>
      <c r="AQ268" s="14"/>
      <c r="AR268" s="14"/>
      <c r="AS268" s="14"/>
      <c r="CG268" s="14"/>
      <c r="CH268" s="14"/>
      <c r="CI268" s="14"/>
      <c r="CJ268" s="14"/>
      <c r="CK268" s="14"/>
    </row>
    <row r="269" spans="40:89">
      <c r="AN269" s="14"/>
      <c r="AO269" s="14"/>
      <c r="AP269" s="14"/>
      <c r="AQ269" s="14"/>
      <c r="AR269" s="14"/>
      <c r="AS269" s="14"/>
      <c r="CG269" s="14"/>
      <c r="CH269" s="14"/>
      <c r="CI269" s="14"/>
      <c r="CJ269" s="14"/>
      <c r="CK269" s="14"/>
    </row>
    <row r="270" spans="40:89">
      <c r="AN270" s="14"/>
      <c r="AO270" s="14"/>
      <c r="AP270" s="14"/>
      <c r="AQ270" s="14"/>
      <c r="AR270" s="14"/>
      <c r="AS270" s="14"/>
      <c r="CG270" s="14"/>
      <c r="CH270" s="14"/>
      <c r="CI270" s="14"/>
      <c r="CJ270" s="14"/>
      <c r="CK270" s="14"/>
    </row>
    <row r="271" spans="40:89">
      <c r="AN271" s="14"/>
      <c r="AO271" s="14"/>
      <c r="AP271" s="14"/>
      <c r="AQ271" s="14"/>
      <c r="AR271" s="14"/>
      <c r="AS271" s="14"/>
      <c r="CG271" s="14"/>
      <c r="CH271" s="14"/>
      <c r="CI271" s="14"/>
      <c r="CJ271" s="14"/>
      <c r="CK271" s="14"/>
    </row>
    <row r="272" spans="40:89">
      <c r="AN272" s="14"/>
      <c r="AO272" s="14"/>
      <c r="AP272" s="14"/>
      <c r="AQ272" s="14"/>
      <c r="AR272" s="14"/>
      <c r="AS272" s="14"/>
      <c r="CG272" s="14"/>
      <c r="CH272" s="14"/>
      <c r="CI272" s="14"/>
      <c r="CJ272" s="14"/>
      <c r="CK272" s="14"/>
    </row>
    <row r="273" spans="40:89">
      <c r="AN273" s="14"/>
      <c r="AO273" s="14"/>
      <c r="AP273" s="14"/>
      <c r="AQ273" s="14"/>
      <c r="AR273" s="14"/>
      <c r="AS273" s="14"/>
      <c r="CG273" s="14"/>
      <c r="CH273" s="14"/>
      <c r="CI273" s="14"/>
      <c r="CJ273" s="14"/>
      <c r="CK273" s="14"/>
    </row>
    <row r="274" spans="40:89">
      <c r="AN274" s="14"/>
      <c r="AO274" s="14"/>
      <c r="AP274" s="14"/>
      <c r="AQ274" s="14"/>
      <c r="AR274" s="14"/>
      <c r="AS274" s="14"/>
      <c r="CG274" s="14"/>
      <c r="CH274" s="14"/>
      <c r="CI274" s="14"/>
      <c r="CJ274" s="14"/>
      <c r="CK274" s="14"/>
    </row>
    <row r="275" spans="40:89">
      <c r="AN275" s="14"/>
      <c r="AO275" s="14"/>
      <c r="AP275" s="14"/>
      <c r="AQ275" s="14"/>
      <c r="AR275" s="14"/>
      <c r="AS275" s="14"/>
      <c r="CG275" s="14"/>
      <c r="CH275" s="14"/>
      <c r="CI275" s="14"/>
      <c r="CJ275" s="14"/>
      <c r="CK275" s="14"/>
    </row>
    <row r="276" spans="40:89">
      <c r="AN276" s="14"/>
      <c r="AO276" s="14"/>
      <c r="AP276" s="14"/>
      <c r="AQ276" s="14"/>
      <c r="AR276" s="14"/>
      <c r="AS276" s="14"/>
      <c r="CG276" s="14"/>
      <c r="CH276" s="14"/>
      <c r="CI276" s="14"/>
      <c r="CJ276" s="14"/>
      <c r="CK276" s="14"/>
    </row>
    <row r="277" spans="40:89">
      <c r="AN277" s="14"/>
      <c r="AO277" s="14"/>
      <c r="AP277" s="14"/>
      <c r="AQ277" s="14"/>
      <c r="AR277" s="14"/>
      <c r="AS277" s="14"/>
      <c r="CG277" s="14"/>
      <c r="CH277" s="14"/>
      <c r="CI277" s="14"/>
      <c r="CJ277" s="14"/>
      <c r="CK277" s="14"/>
    </row>
    <row r="278" spans="40:89">
      <c r="AN278" s="14"/>
      <c r="AO278" s="14"/>
      <c r="AP278" s="14"/>
      <c r="AQ278" s="14"/>
      <c r="AR278" s="14"/>
      <c r="AS278" s="14"/>
      <c r="CG278" s="14"/>
      <c r="CH278" s="14"/>
      <c r="CI278" s="14"/>
      <c r="CJ278" s="14"/>
      <c r="CK278" s="14"/>
    </row>
    <row r="279" spans="40:89">
      <c r="AN279" s="14"/>
      <c r="AO279" s="14"/>
      <c r="AP279" s="14"/>
      <c r="AQ279" s="14"/>
      <c r="AR279" s="14"/>
      <c r="AS279" s="14"/>
      <c r="CG279" s="14"/>
      <c r="CH279" s="14"/>
      <c r="CI279" s="14"/>
      <c r="CJ279" s="14"/>
      <c r="CK279" s="14"/>
    </row>
    <row r="280" spans="40:89">
      <c r="AN280" s="14"/>
      <c r="AO280" s="14"/>
      <c r="AP280" s="14"/>
      <c r="AQ280" s="14"/>
      <c r="AR280" s="14"/>
      <c r="AS280" s="14"/>
      <c r="CG280" s="14"/>
      <c r="CH280" s="14"/>
      <c r="CI280" s="14"/>
      <c r="CJ280" s="14"/>
      <c r="CK280" s="14"/>
    </row>
    <row r="281" spans="40:89">
      <c r="AN281" s="14"/>
      <c r="AO281" s="14"/>
      <c r="AP281" s="14"/>
      <c r="AQ281" s="14"/>
      <c r="AR281" s="14"/>
      <c r="AS281" s="14"/>
      <c r="CG281" s="14"/>
      <c r="CH281" s="14"/>
      <c r="CI281" s="14"/>
      <c r="CJ281" s="14"/>
      <c r="CK281" s="14"/>
    </row>
    <row r="282" spans="40:89">
      <c r="AN282" s="14"/>
      <c r="AO282" s="14"/>
      <c r="AP282" s="14"/>
      <c r="AQ282" s="14"/>
      <c r="AR282" s="14"/>
      <c r="AS282" s="14"/>
      <c r="CG282" s="14"/>
      <c r="CH282" s="14"/>
      <c r="CI282" s="14"/>
      <c r="CJ282" s="14"/>
      <c r="CK282" s="14"/>
    </row>
    <row r="283" spans="40:89">
      <c r="AN283" s="14"/>
      <c r="AO283" s="14"/>
      <c r="AP283" s="14"/>
      <c r="AQ283" s="14"/>
      <c r="AR283" s="14"/>
      <c r="AS283" s="14"/>
      <c r="CG283" s="14"/>
      <c r="CH283" s="14"/>
      <c r="CI283" s="14"/>
      <c r="CJ283" s="14"/>
      <c r="CK283" s="14"/>
    </row>
    <row r="284" spans="40:89">
      <c r="AN284" s="14"/>
      <c r="AO284" s="14"/>
      <c r="AP284" s="14"/>
      <c r="AQ284" s="14"/>
      <c r="AR284" s="14"/>
      <c r="AS284" s="14"/>
      <c r="CG284" s="14"/>
      <c r="CH284" s="14"/>
      <c r="CI284" s="14"/>
      <c r="CJ284" s="14"/>
      <c r="CK284" s="14"/>
    </row>
    <row r="285" spans="40:89">
      <c r="AN285" s="14"/>
      <c r="AO285" s="14"/>
      <c r="AP285" s="14"/>
      <c r="AQ285" s="14"/>
      <c r="AR285" s="14"/>
      <c r="AS285" s="14"/>
      <c r="CG285" s="14"/>
      <c r="CH285" s="14"/>
      <c r="CI285" s="14"/>
      <c r="CJ285" s="14"/>
      <c r="CK285" s="14"/>
    </row>
    <row r="286" spans="40:89">
      <c r="AN286" s="14"/>
      <c r="AO286" s="14"/>
      <c r="AP286" s="14"/>
      <c r="AQ286" s="14"/>
      <c r="AR286" s="14"/>
      <c r="AS286" s="14"/>
      <c r="CG286" s="14"/>
      <c r="CH286" s="14"/>
      <c r="CI286" s="14"/>
      <c r="CJ286" s="14"/>
      <c r="CK286" s="14"/>
    </row>
    <row r="287" spans="40:89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</row>
    <row r="288" spans="40:89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</row>
    <row r="289" spans="1:89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</row>
    <row r="290" spans="1:89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</row>
    <row r="291" spans="1:89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</row>
    <row r="292" spans="1:89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</row>
    <row r="293" spans="1:89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</row>
    <row r="294" spans="1:89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</row>
    <row r="295" spans="1:89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</row>
    <row r="296" spans="1:89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</row>
    <row r="297" spans="1:89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</row>
    <row r="298" spans="1:89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</row>
    <row r="299" spans="1:89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</row>
    <row r="300" spans="1:89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</row>
    <row r="301" spans="1:89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</row>
    <row r="302" spans="1:89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</row>
    <row r="303" spans="1:89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</row>
    <row r="304" spans="1:89" s="32" customFormat="1">
      <c r="A304" s="1"/>
      <c r="B304" s="1"/>
      <c r="C304" s="1"/>
      <c r="D304" s="1"/>
      <c r="E304" s="1"/>
      <c r="F304" s="1"/>
      <c r="G304" s="1"/>
      <c r="H304" s="1"/>
      <c r="I304" s="1"/>
      <c r="J304" s="86"/>
      <c r="K304" s="1"/>
      <c r="L304" s="106"/>
      <c r="M304" s="106"/>
      <c r="N304" s="106"/>
      <c r="O304" s="106"/>
      <c r="P304" s="106"/>
      <c r="Q304" s="106"/>
      <c r="R304" s="106"/>
      <c r="S304" s="1"/>
      <c r="T304" s="1"/>
      <c r="U304" s="106"/>
      <c r="V304" s="106"/>
      <c r="W304" s="106"/>
      <c r="X304" s="106"/>
      <c r="Y304" s="106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86"/>
      <c r="BD304" s="1"/>
      <c r="BE304" s="110"/>
      <c r="BF304" s="110"/>
      <c r="BG304" s="110"/>
      <c r="BH304" s="110"/>
      <c r="BI304" s="110"/>
      <c r="BJ304" s="110"/>
      <c r="BK304" s="110"/>
      <c r="BL304" s="1"/>
      <c r="BM304" s="1"/>
      <c r="BN304" s="110"/>
      <c r="BO304" s="110"/>
      <c r="BP304" s="110"/>
      <c r="BQ304" s="110"/>
      <c r="BR304" s="110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</row>
    <row r="305" spans="1:55">
      <c r="J305" s="89"/>
      <c r="BC305" s="89"/>
    </row>
    <row r="306" spans="1:55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</row>
    <row r="322" spans="36:89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</row>
    <row r="404" spans="35:80">
      <c r="AI404" s="85"/>
      <c r="CB404" s="85"/>
    </row>
    <row r="405" spans="35:80">
      <c r="AI405" s="85"/>
      <c r="CB405" s="85"/>
    </row>
  </sheetData>
  <mergeCells count="22">
    <mergeCell ref="BM1:BS1"/>
    <mergeCell ref="BU1:CA1"/>
    <mergeCell ref="BD2:BK2"/>
    <mergeCell ref="BM2:BS2"/>
    <mergeCell ref="BU2:CA2"/>
    <mergeCell ref="T1:Z1"/>
    <mergeCell ref="T2:Z2"/>
    <mergeCell ref="AJ2:AR2"/>
    <mergeCell ref="AB1:AH1"/>
    <mergeCell ref="AB2:AH2"/>
    <mergeCell ref="AK90:AR90"/>
    <mergeCell ref="AK119:AR119"/>
    <mergeCell ref="AK61:AR61"/>
    <mergeCell ref="CD119:CK119"/>
    <mergeCell ref="K2:R2"/>
    <mergeCell ref="AK3:AR3"/>
    <mergeCell ref="AK32:AR32"/>
    <mergeCell ref="CC2:CK2"/>
    <mergeCell ref="CD3:CK3"/>
    <mergeCell ref="CD32:CK32"/>
    <mergeCell ref="CD61:CK61"/>
    <mergeCell ref="CD90:CK90"/>
  </mergeCells>
  <phoneticPr fontId="20" type="noConversion"/>
  <conditionalFormatting sqref="L4:R39 L41:R304">
    <cfRule type="containsText" dxfId="674" priority="325" operator="containsText" text="M1">
      <formula>NOT(ISERROR(SEARCH("M1",L4)))</formula>
    </cfRule>
  </conditionalFormatting>
  <conditionalFormatting sqref="L4:R39 L41:R304">
    <cfRule type="containsText" dxfId="673" priority="326" operator="containsText" text="M2">
      <formula>NOT(ISERROR(SEARCH("M2",L4)))</formula>
    </cfRule>
  </conditionalFormatting>
  <conditionalFormatting sqref="L4:R39 L41:R304">
    <cfRule type="containsText" dxfId="672" priority="327" operator="containsText" text="M3">
      <formula>NOT(ISERROR(SEARCH("M3",L4)))</formula>
    </cfRule>
  </conditionalFormatting>
  <conditionalFormatting sqref="L4:R39 L41:R304">
    <cfRule type="containsText" dxfId="671" priority="328" operator="containsText" text="M4">
      <formula>NOT(ISERROR(SEARCH("M4",L4)))</formula>
    </cfRule>
  </conditionalFormatting>
  <conditionalFormatting sqref="L4:R39 L41:R304">
    <cfRule type="containsText" dxfId="670" priority="329" operator="containsText" text="M5">
      <formula>NOT(ISERROR(SEARCH("M5",L4)))</formula>
    </cfRule>
  </conditionalFormatting>
  <conditionalFormatting sqref="L4:R39 L41:R304">
    <cfRule type="containsText" dxfId="669" priority="330" operator="containsText" text="M6">
      <formula>NOT(ISERROR(SEARCH("M6",L4)))</formula>
    </cfRule>
  </conditionalFormatting>
  <conditionalFormatting sqref="L4:R39 L41:R304">
    <cfRule type="containsText" dxfId="668" priority="331" operator="containsText" text="A">
      <formula>NOT(ISERROR(SEARCH("A",L4)))</formula>
    </cfRule>
  </conditionalFormatting>
  <conditionalFormatting sqref="L4:R39 L41:R304">
    <cfRule type="containsText" dxfId="667" priority="332" operator="containsText" text="K">
      <formula>NOT(ISERROR(SEARCH("K",L4)))</formula>
    </cfRule>
  </conditionalFormatting>
  <conditionalFormatting sqref="L4:R39 L41:R304">
    <cfRule type="containsText" dxfId="666" priority="333" operator="containsText" text="Q">
      <formula>NOT(ISERROR(SEARCH("Q",L4)))</formula>
    </cfRule>
  </conditionalFormatting>
  <conditionalFormatting sqref="L4:R39 L41:R304">
    <cfRule type="containsText" dxfId="665" priority="334" operator="containsText" text="J">
      <formula>NOT(ISERROR(SEARCH("J",L4)))</formula>
    </cfRule>
  </conditionalFormatting>
  <conditionalFormatting sqref="L4:R39 L41:R304">
    <cfRule type="containsText" dxfId="664" priority="335" operator="containsText" text="TE">
      <formula>NOT(ISERROR(SEARCH("TE",L4)))</formula>
    </cfRule>
  </conditionalFormatting>
  <conditionalFormatting sqref="L4:R39 L41:R304">
    <cfRule type="containsText" dxfId="663" priority="336" operator="containsText" text="MY">
      <formula>NOT(ISERROR(SEARCH("MY",L4)))</formula>
    </cfRule>
  </conditionalFormatting>
  <conditionalFormatting sqref="BE125:BK304">
    <cfRule type="containsText" dxfId="662" priority="337" operator="containsText" text="M1">
      <formula>NOT(ISERROR(SEARCH("M1",BE125)))</formula>
    </cfRule>
  </conditionalFormatting>
  <conditionalFormatting sqref="BE125:BK304">
    <cfRule type="containsText" dxfId="661" priority="338" operator="containsText" text="M2">
      <formula>NOT(ISERROR(SEARCH("M2",BE125)))</formula>
    </cfRule>
  </conditionalFormatting>
  <conditionalFormatting sqref="BE125:BK304">
    <cfRule type="containsText" dxfId="660" priority="339" operator="containsText" text="M3">
      <formula>NOT(ISERROR(SEARCH("M3",BE125)))</formula>
    </cfRule>
  </conditionalFormatting>
  <conditionalFormatting sqref="BE125:BK304">
    <cfRule type="containsText" dxfId="659" priority="340" operator="containsText" text="M4">
      <formula>NOT(ISERROR(SEARCH("M4",BE125)))</formula>
    </cfRule>
  </conditionalFormatting>
  <conditionalFormatting sqref="BE125:BK304">
    <cfRule type="containsText" dxfId="658" priority="341" operator="containsText" text="M5">
      <formula>NOT(ISERROR(SEARCH("M5",BE125)))</formula>
    </cfRule>
  </conditionalFormatting>
  <conditionalFormatting sqref="BE125:BK304">
    <cfRule type="containsText" dxfId="657" priority="342" operator="containsText" text="M6">
      <formula>NOT(ISERROR(SEARCH("M6",BE125)))</formula>
    </cfRule>
  </conditionalFormatting>
  <conditionalFormatting sqref="BE125:BK304">
    <cfRule type="containsText" dxfId="656" priority="343" operator="containsText" text="A">
      <formula>NOT(ISERROR(SEARCH("A",BE125)))</formula>
    </cfRule>
  </conditionalFormatting>
  <conditionalFormatting sqref="BE125:BK304">
    <cfRule type="containsText" dxfId="655" priority="344" operator="containsText" text="K">
      <formula>NOT(ISERROR(SEARCH("K",BE125)))</formula>
    </cfRule>
  </conditionalFormatting>
  <conditionalFormatting sqref="BE125:BK304">
    <cfRule type="containsText" dxfId="654" priority="345" operator="containsText" text="Q">
      <formula>NOT(ISERROR(SEARCH("Q",BE125)))</formula>
    </cfRule>
  </conditionalFormatting>
  <conditionalFormatting sqref="BE125:BK304">
    <cfRule type="containsText" dxfId="653" priority="346" operator="containsText" text="J">
      <formula>NOT(ISERROR(SEARCH("J",BE125)))</formula>
    </cfRule>
  </conditionalFormatting>
  <conditionalFormatting sqref="BE125:BK304">
    <cfRule type="containsText" dxfId="652" priority="347" operator="containsText" text="TE">
      <formula>NOT(ISERROR(SEARCH("TE",BE125)))</formula>
    </cfRule>
  </conditionalFormatting>
  <conditionalFormatting sqref="BE125:BK304">
    <cfRule type="containsText" dxfId="651" priority="348" operator="containsText" text="MY">
      <formula>NOT(ISERROR(SEARCH("MY",BE125)))</formula>
    </cfRule>
  </conditionalFormatting>
  <conditionalFormatting sqref="A4:A29">
    <cfRule type="containsText" dxfId="650" priority="349" operator="containsText" text="M1">
      <formula>NOT(ISERROR(SEARCH("M1",A4)))</formula>
    </cfRule>
  </conditionalFormatting>
  <conditionalFormatting sqref="A4:A29">
    <cfRule type="containsText" dxfId="649" priority="350" operator="containsText" text="M2">
      <formula>NOT(ISERROR(SEARCH("M2",A4)))</formula>
    </cfRule>
  </conditionalFormatting>
  <conditionalFormatting sqref="A4:A29">
    <cfRule type="containsText" dxfId="648" priority="351" operator="containsText" text="M3">
      <formula>NOT(ISERROR(SEARCH("M3",A4)))</formula>
    </cfRule>
  </conditionalFormatting>
  <conditionalFormatting sqref="A4:A29">
    <cfRule type="containsText" dxfId="647" priority="352" operator="containsText" text="M4">
      <formula>NOT(ISERROR(SEARCH("M4",A4)))</formula>
    </cfRule>
  </conditionalFormatting>
  <conditionalFormatting sqref="A4:A29">
    <cfRule type="containsText" dxfId="646" priority="353" operator="containsText" text="M5">
      <formula>NOT(ISERROR(SEARCH("M5",A4)))</formula>
    </cfRule>
  </conditionalFormatting>
  <conditionalFormatting sqref="A4:A29">
    <cfRule type="containsText" dxfId="645" priority="354" operator="containsText" text="M6">
      <formula>NOT(ISERROR(SEARCH("M6",A4)))</formula>
    </cfRule>
  </conditionalFormatting>
  <conditionalFormatting sqref="A4:A29">
    <cfRule type="containsText" dxfId="644" priority="355" operator="containsText" text="A">
      <formula>NOT(ISERROR(SEARCH("A",A4)))</formula>
    </cfRule>
  </conditionalFormatting>
  <conditionalFormatting sqref="A4:A29">
    <cfRule type="containsText" dxfId="643" priority="356" operator="containsText" text="K">
      <formula>NOT(ISERROR(SEARCH("K",A4)))</formula>
    </cfRule>
  </conditionalFormatting>
  <conditionalFormatting sqref="A4:A29">
    <cfRule type="containsText" dxfId="642" priority="357" operator="containsText" text="Q">
      <formula>NOT(ISERROR(SEARCH("Q",A4)))</formula>
    </cfRule>
  </conditionalFormatting>
  <conditionalFormatting sqref="A4:A29">
    <cfRule type="containsText" dxfId="641" priority="358" operator="containsText" text="J">
      <formula>NOT(ISERROR(SEARCH("J",A4)))</formula>
    </cfRule>
  </conditionalFormatting>
  <conditionalFormatting sqref="A4:A29">
    <cfRule type="containsText" dxfId="640" priority="359" operator="containsText" text="TE">
      <formula>NOT(ISERROR(SEARCH("TE",A4)))</formula>
    </cfRule>
  </conditionalFormatting>
  <conditionalFormatting sqref="A4:A29">
    <cfRule type="containsText" dxfId="639" priority="360" operator="containsText" text="MY">
      <formula>NOT(ISERROR(SEARCH("MY",A4)))</formula>
    </cfRule>
  </conditionalFormatting>
  <conditionalFormatting sqref="AT4:AT29">
    <cfRule type="containsText" dxfId="638" priority="385" operator="containsText" text="M1">
      <formula>NOT(ISERROR(SEARCH("M1",AT4)))</formula>
    </cfRule>
  </conditionalFormatting>
  <conditionalFormatting sqref="AT4:AT29">
    <cfRule type="containsText" dxfId="637" priority="386" operator="containsText" text="M2">
      <formula>NOT(ISERROR(SEARCH("M2",AT4)))</formula>
    </cfRule>
  </conditionalFormatting>
  <conditionalFormatting sqref="AT4:AT29">
    <cfRule type="containsText" dxfId="636" priority="387" operator="containsText" text="M3">
      <formula>NOT(ISERROR(SEARCH("M3",AT4)))</formula>
    </cfRule>
  </conditionalFormatting>
  <conditionalFormatting sqref="AT4:AT29">
    <cfRule type="containsText" dxfId="635" priority="388" operator="containsText" text="M4">
      <formula>NOT(ISERROR(SEARCH("M4",AT4)))</formula>
    </cfRule>
  </conditionalFormatting>
  <conditionalFormatting sqref="AT4:AT29">
    <cfRule type="containsText" dxfId="634" priority="389" operator="containsText" text="M5">
      <formula>NOT(ISERROR(SEARCH("M5",AT4)))</formula>
    </cfRule>
  </conditionalFormatting>
  <conditionalFormatting sqref="AT4:AT29">
    <cfRule type="containsText" dxfId="633" priority="390" operator="containsText" text="M6">
      <formula>NOT(ISERROR(SEARCH("M6",AT4)))</formula>
    </cfRule>
  </conditionalFormatting>
  <conditionalFormatting sqref="AT4:AT29">
    <cfRule type="containsText" dxfId="632" priority="391" operator="containsText" text="A">
      <formula>NOT(ISERROR(SEARCH("A",AT4)))</formula>
    </cfRule>
  </conditionalFormatting>
  <conditionalFormatting sqref="AT4:AT29">
    <cfRule type="containsText" dxfId="631" priority="392" operator="containsText" text="K">
      <formula>NOT(ISERROR(SEARCH("K",AT4)))</formula>
    </cfRule>
  </conditionalFormatting>
  <conditionalFormatting sqref="AT4:AT29">
    <cfRule type="containsText" dxfId="630" priority="393" operator="containsText" text="Q">
      <formula>NOT(ISERROR(SEARCH("Q",AT4)))</formula>
    </cfRule>
  </conditionalFormatting>
  <conditionalFormatting sqref="AT4:AT29">
    <cfRule type="containsText" dxfId="629" priority="394" operator="containsText" text="J">
      <formula>NOT(ISERROR(SEARCH("J",AT4)))</formula>
    </cfRule>
  </conditionalFormatting>
  <conditionalFormatting sqref="AT4:AT29">
    <cfRule type="containsText" dxfId="628" priority="395" operator="containsText" text="TE">
      <formula>NOT(ISERROR(SEARCH("TE",AT4)))</formula>
    </cfRule>
  </conditionalFormatting>
  <conditionalFormatting sqref="AT4:AT29">
    <cfRule type="containsText" dxfId="627" priority="396" operator="containsText" text="MY">
      <formula>NOT(ISERROR(SEARCH("MY",AT4)))</formula>
    </cfRule>
  </conditionalFormatting>
  <conditionalFormatting sqref="L40">
    <cfRule type="containsText" dxfId="626" priority="313" operator="containsText" text="M1">
      <formula>NOT(ISERROR(SEARCH("M1",L40)))</formula>
    </cfRule>
  </conditionalFormatting>
  <conditionalFormatting sqref="L40">
    <cfRule type="containsText" dxfId="625" priority="314" operator="containsText" text="M2">
      <formula>NOT(ISERROR(SEARCH("M2",L40)))</formula>
    </cfRule>
  </conditionalFormatting>
  <conditionalFormatting sqref="L40">
    <cfRule type="containsText" dxfId="624" priority="315" operator="containsText" text="M3">
      <formula>NOT(ISERROR(SEARCH("M3",L40)))</formula>
    </cfRule>
  </conditionalFormatting>
  <conditionalFormatting sqref="L40">
    <cfRule type="containsText" dxfId="623" priority="316" operator="containsText" text="M4">
      <formula>NOT(ISERROR(SEARCH("M4",L40)))</formula>
    </cfRule>
  </conditionalFormatting>
  <conditionalFormatting sqref="L40">
    <cfRule type="containsText" dxfId="622" priority="317" operator="containsText" text="M5">
      <formula>NOT(ISERROR(SEARCH("M5",L40)))</formula>
    </cfRule>
  </conditionalFormatting>
  <conditionalFormatting sqref="L40">
    <cfRule type="containsText" dxfId="621" priority="318" operator="containsText" text="M6">
      <formula>NOT(ISERROR(SEARCH("M6",L40)))</formula>
    </cfRule>
  </conditionalFormatting>
  <conditionalFormatting sqref="L40">
    <cfRule type="containsText" dxfId="620" priority="319" operator="containsText" text="A">
      <formula>NOT(ISERROR(SEARCH("A",L40)))</formula>
    </cfRule>
  </conditionalFormatting>
  <conditionalFormatting sqref="L40">
    <cfRule type="containsText" dxfId="619" priority="320" operator="containsText" text="K">
      <formula>NOT(ISERROR(SEARCH("K",L40)))</formula>
    </cfRule>
  </conditionalFormatting>
  <conditionalFormatting sqref="L40">
    <cfRule type="containsText" dxfId="618" priority="321" operator="containsText" text="Q">
      <formula>NOT(ISERROR(SEARCH("Q",L40)))</formula>
    </cfRule>
  </conditionalFormatting>
  <conditionalFormatting sqref="L40">
    <cfRule type="containsText" dxfId="617" priority="322" operator="containsText" text="J">
      <formula>NOT(ISERROR(SEARCH("J",L40)))</formula>
    </cfRule>
  </conditionalFormatting>
  <conditionalFormatting sqref="L40">
    <cfRule type="containsText" dxfId="616" priority="323" operator="containsText" text="TE">
      <formula>NOT(ISERROR(SEARCH("TE",L40)))</formula>
    </cfRule>
  </conditionalFormatting>
  <conditionalFormatting sqref="L40">
    <cfRule type="containsText" dxfId="615" priority="324" operator="containsText" text="MY">
      <formula>NOT(ISERROR(SEARCH("MY",L40)))</formula>
    </cfRule>
  </conditionalFormatting>
  <conditionalFormatting sqref="M40">
    <cfRule type="containsText" dxfId="614" priority="301" operator="containsText" text="M1">
      <formula>NOT(ISERROR(SEARCH("M1",M40)))</formula>
    </cfRule>
  </conditionalFormatting>
  <conditionalFormatting sqref="M40">
    <cfRule type="containsText" dxfId="613" priority="302" operator="containsText" text="M2">
      <formula>NOT(ISERROR(SEARCH("M2",M40)))</formula>
    </cfRule>
  </conditionalFormatting>
  <conditionalFormatting sqref="M40">
    <cfRule type="containsText" dxfId="612" priority="303" operator="containsText" text="M3">
      <formula>NOT(ISERROR(SEARCH("M3",M40)))</formula>
    </cfRule>
  </conditionalFormatting>
  <conditionalFormatting sqref="M40">
    <cfRule type="containsText" dxfId="611" priority="304" operator="containsText" text="M4">
      <formula>NOT(ISERROR(SEARCH("M4",M40)))</formula>
    </cfRule>
  </conditionalFormatting>
  <conditionalFormatting sqref="M40">
    <cfRule type="containsText" dxfId="610" priority="305" operator="containsText" text="M5">
      <formula>NOT(ISERROR(SEARCH("M5",M40)))</formula>
    </cfRule>
  </conditionalFormatting>
  <conditionalFormatting sqref="M40">
    <cfRule type="containsText" dxfId="609" priority="306" operator="containsText" text="M6">
      <formula>NOT(ISERROR(SEARCH("M6",M40)))</formula>
    </cfRule>
  </conditionalFormatting>
  <conditionalFormatting sqref="M40">
    <cfRule type="containsText" dxfId="608" priority="307" operator="containsText" text="A">
      <formula>NOT(ISERROR(SEARCH("A",M40)))</formula>
    </cfRule>
  </conditionalFormatting>
  <conditionalFormatting sqref="M40">
    <cfRule type="containsText" dxfId="607" priority="308" operator="containsText" text="K">
      <formula>NOT(ISERROR(SEARCH("K",M40)))</formula>
    </cfRule>
  </conditionalFormatting>
  <conditionalFormatting sqref="M40">
    <cfRule type="containsText" dxfId="606" priority="309" operator="containsText" text="Q">
      <formula>NOT(ISERROR(SEARCH("Q",M40)))</formula>
    </cfRule>
  </conditionalFormatting>
  <conditionalFormatting sqref="M40">
    <cfRule type="containsText" dxfId="605" priority="310" operator="containsText" text="J">
      <formula>NOT(ISERROR(SEARCH("J",M40)))</formula>
    </cfRule>
  </conditionalFormatting>
  <conditionalFormatting sqref="M40">
    <cfRule type="containsText" dxfId="604" priority="311" operator="containsText" text="TE">
      <formula>NOT(ISERROR(SEARCH("TE",M40)))</formula>
    </cfRule>
  </conditionalFormatting>
  <conditionalFormatting sqref="M40">
    <cfRule type="containsText" dxfId="603" priority="312" operator="containsText" text="MY">
      <formula>NOT(ISERROR(SEARCH("MY",M40)))</formula>
    </cfRule>
  </conditionalFormatting>
  <conditionalFormatting sqref="N40">
    <cfRule type="containsText" dxfId="602" priority="289" operator="containsText" text="M1">
      <formula>NOT(ISERROR(SEARCH("M1",N40)))</formula>
    </cfRule>
  </conditionalFormatting>
  <conditionalFormatting sqref="N40">
    <cfRule type="containsText" dxfId="601" priority="290" operator="containsText" text="M2">
      <formula>NOT(ISERROR(SEARCH("M2",N40)))</formula>
    </cfRule>
  </conditionalFormatting>
  <conditionalFormatting sqref="N40">
    <cfRule type="containsText" dxfId="600" priority="291" operator="containsText" text="M3">
      <formula>NOT(ISERROR(SEARCH("M3",N40)))</formula>
    </cfRule>
  </conditionalFormatting>
  <conditionalFormatting sqref="N40">
    <cfRule type="containsText" dxfId="599" priority="292" operator="containsText" text="M4">
      <formula>NOT(ISERROR(SEARCH("M4",N40)))</formula>
    </cfRule>
  </conditionalFormatting>
  <conditionalFormatting sqref="N40">
    <cfRule type="containsText" dxfId="598" priority="293" operator="containsText" text="M5">
      <formula>NOT(ISERROR(SEARCH("M5",N40)))</formula>
    </cfRule>
  </conditionalFormatting>
  <conditionalFormatting sqref="N40">
    <cfRule type="containsText" dxfId="597" priority="294" operator="containsText" text="M6">
      <formula>NOT(ISERROR(SEARCH("M6",N40)))</formula>
    </cfRule>
  </conditionalFormatting>
  <conditionalFormatting sqref="N40">
    <cfRule type="containsText" dxfId="596" priority="295" operator="containsText" text="A">
      <formula>NOT(ISERROR(SEARCH("A",N40)))</formula>
    </cfRule>
  </conditionalFormatting>
  <conditionalFormatting sqref="N40">
    <cfRule type="containsText" dxfId="595" priority="296" operator="containsText" text="K">
      <formula>NOT(ISERROR(SEARCH("K",N40)))</formula>
    </cfRule>
  </conditionalFormatting>
  <conditionalFormatting sqref="N40">
    <cfRule type="containsText" dxfId="594" priority="297" operator="containsText" text="Q">
      <formula>NOT(ISERROR(SEARCH("Q",N40)))</formula>
    </cfRule>
  </conditionalFormatting>
  <conditionalFormatting sqref="N40">
    <cfRule type="containsText" dxfId="593" priority="298" operator="containsText" text="J">
      <formula>NOT(ISERROR(SEARCH("J",N40)))</formula>
    </cfRule>
  </conditionalFormatting>
  <conditionalFormatting sqref="N40">
    <cfRule type="containsText" dxfId="592" priority="299" operator="containsText" text="TE">
      <formula>NOT(ISERROR(SEARCH("TE",N40)))</formula>
    </cfRule>
  </conditionalFormatting>
  <conditionalFormatting sqref="N40">
    <cfRule type="containsText" dxfId="591" priority="300" operator="containsText" text="MY">
      <formula>NOT(ISERROR(SEARCH("MY",N40)))</formula>
    </cfRule>
  </conditionalFormatting>
  <conditionalFormatting sqref="O40">
    <cfRule type="containsText" dxfId="590" priority="277" operator="containsText" text="M1">
      <formula>NOT(ISERROR(SEARCH("M1",O40)))</formula>
    </cfRule>
  </conditionalFormatting>
  <conditionalFormatting sqref="O40">
    <cfRule type="containsText" dxfId="589" priority="278" operator="containsText" text="M2">
      <formula>NOT(ISERROR(SEARCH("M2",O40)))</formula>
    </cfRule>
  </conditionalFormatting>
  <conditionalFormatting sqref="O40">
    <cfRule type="containsText" dxfId="588" priority="279" operator="containsText" text="M3">
      <formula>NOT(ISERROR(SEARCH("M3",O40)))</formula>
    </cfRule>
  </conditionalFormatting>
  <conditionalFormatting sqref="O40">
    <cfRule type="containsText" dxfId="587" priority="280" operator="containsText" text="M4">
      <formula>NOT(ISERROR(SEARCH("M4",O40)))</formula>
    </cfRule>
  </conditionalFormatting>
  <conditionalFormatting sqref="O40">
    <cfRule type="containsText" dxfId="586" priority="281" operator="containsText" text="M5">
      <formula>NOT(ISERROR(SEARCH("M5",O40)))</formula>
    </cfRule>
  </conditionalFormatting>
  <conditionalFormatting sqref="O40">
    <cfRule type="containsText" dxfId="585" priority="282" operator="containsText" text="M6">
      <formula>NOT(ISERROR(SEARCH("M6",O40)))</formula>
    </cfRule>
  </conditionalFormatting>
  <conditionalFormatting sqref="O40">
    <cfRule type="containsText" dxfId="584" priority="283" operator="containsText" text="A">
      <formula>NOT(ISERROR(SEARCH("A",O40)))</formula>
    </cfRule>
  </conditionalFormatting>
  <conditionalFormatting sqref="O40">
    <cfRule type="containsText" dxfId="583" priority="284" operator="containsText" text="K">
      <formula>NOT(ISERROR(SEARCH("K",O40)))</formula>
    </cfRule>
  </conditionalFormatting>
  <conditionalFormatting sqref="O40">
    <cfRule type="containsText" dxfId="582" priority="285" operator="containsText" text="Q">
      <formula>NOT(ISERROR(SEARCH("Q",O40)))</formula>
    </cfRule>
  </conditionalFormatting>
  <conditionalFormatting sqref="O40">
    <cfRule type="containsText" dxfId="581" priority="286" operator="containsText" text="J">
      <formula>NOT(ISERROR(SEARCH("J",O40)))</formula>
    </cfRule>
  </conditionalFormatting>
  <conditionalFormatting sqref="O40">
    <cfRule type="containsText" dxfId="580" priority="287" operator="containsText" text="TE">
      <formula>NOT(ISERROR(SEARCH("TE",O40)))</formula>
    </cfRule>
  </conditionalFormatting>
  <conditionalFormatting sqref="O40">
    <cfRule type="containsText" dxfId="579" priority="288" operator="containsText" text="MY">
      <formula>NOT(ISERROR(SEARCH("MY",O40)))</formula>
    </cfRule>
  </conditionalFormatting>
  <conditionalFormatting sqref="P40">
    <cfRule type="containsText" dxfId="578" priority="265" operator="containsText" text="M1">
      <formula>NOT(ISERROR(SEARCH("M1",P40)))</formula>
    </cfRule>
  </conditionalFormatting>
  <conditionalFormatting sqref="P40">
    <cfRule type="containsText" dxfId="577" priority="266" operator="containsText" text="M2">
      <formula>NOT(ISERROR(SEARCH("M2",P40)))</formula>
    </cfRule>
  </conditionalFormatting>
  <conditionalFormatting sqref="P40">
    <cfRule type="containsText" dxfId="576" priority="267" operator="containsText" text="M3">
      <formula>NOT(ISERROR(SEARCH("M3",P40)))</formula>
    </cfRule>
  </conditionalFormatting>
  <conditionalFormatting sqref="P40">
    <cfRule type="containsText" dxfId="575" priority="268" operator="containsText" text="M4">
      <formula>NOT(ISERROR(SEARCH("M4",P40)))</formula>
    </cfRule>
  </conditionalFormatting>
  <conditionalFormatting sqref="P40">
    <cfRule type="containsText" dxfId="574" priority="269" operator="containsText" text="M5">
      <formula>NOT(ISERROR(SEARCH("M5",P40)))</formula>
    </cfRule>
  </conditionalFormatting>
  <conditionalFormatting sqref="P40">
    <cfRule type="containsText" dxfId="573" priority="270" operator="containsText" text="M6">
      <formula>NOT(ISERROR(SEARCH("M6",P40)))</formula>
    </cfRule>
  </conditionalFormatting>
  <conditionalFormatting sqref="P40">
    <cfRule type="containsText" dxfId="572" priority="271" operator="containsText" text="A">
      <formula>NOT(ISERROR(SEARCH("A",P40)))</formula>
    </cfRule>
  </conditionalFormatting>
  <conditionalFormatting sqref="P40">
    <cfRule type="containsText" dxfId="571" priority="272" operator="containsText" text="K">
      <formula>NOT(ISERROR(SEARCH("K",P40)))</formula>
    </cfRule>
  </conditionalFormatting>
  <conditionalFormatting sqref="P40">
    <cfRule type="containsText" dxfId="570" priority="273" operator="containsText" text="Q">
      <formula>NOT(ISERROR(SEARCH("Q",P40)))</formula>
    </cfRule>
  </conditionalFormatting>
  <conditionalFormatting sqref="P40">
    <cfRule type="containsText" dxfId="569" priority="274" operator="containsText" text="J">
      <formula>NOT(ISERROR(SEARCH("J",P40)))</formula>
    </cfRule>
  </conditionalFormatting>
  <conditionalFormatting sqref="P40">
    <cfRule type="containsText" dxfId="568" priority="275" operator="containsText" text="TE">
      <formula>NOT(ISERROR(SEARCH("TE",P40)))</formula>
    </cfRule>
  </conditionalFormatting>
  <conditionalFormatting sqref="P40">
    <cfRule type="containsText" dxfId="567" priority="276" operator="containsText" text="MY">
      <formula>NOT(ISERROR(SEARCH("MY",P40)))</formula>
    </cfRule>
  </conditionalFormatting>
  <conditionalFormatting sqref="Q40">
    <cfRule type="containsText" dxfId="566" priority="253" operator="containsText" text="M1">
      <formula>NOT(ISERROR(SEARCH("M1",Q40)))</formula>
    </cfRule>
  </conditionalFormatting>
  <conditionalFormatting sqref="Q40">
    <cfRule type="containsText" dxfId="565" priority="254" operator="containsText" text="M2">
      <formula>NOT(ISERROR(SEARCH("M2",Q40)))</formula>
    </cfRule>
  </conditionalFormatting>
  <conditionalFormatting sqref="Q40">
    <cfRule type="containsText" dxfId="564" priority="255" operator="containsText" text="M3">
      <formula>NOT(ISERROR(SEARCH("M3",Q40)))</formula>
    </cfRule>
  </conditionalFormatting>
  <conditionalFormatting sqref="Q40">
    <cfRule type="containsText" dxfId="563" priority="256" operator="containsText" text="M4">
      <formula>NOT(ISERROR(SEARCH("M4",Q40)))</formula>
    </cfRule>
  </conditionalFormatting>
  <conditionalFormatting sqref="Q40">
    <cfRule type="containsText" dxfId="562" priority="257" operator="containsText" text="M5">
      <formula>NOT(ISERROR(SEARCH("M5",Q40)))</formula>
    </cfRule>
  </conditionalFormatting>
  <conditionalFormatting sqref="Q40">
    <cfRule type="containsText" dxfId="561" priority="258" operator="containsText" text="M6">
      <formula>NOT(ISERROR(SEARCH("M6",Q40)))</formula>
    </cfRule>
  </conditionalFormatting>
  <conditionalFormatting sqref="Q40">
    <cfRule type="containsText" dxfId="560" priority="259" operator="containsText" text="A">
      <formula>NOT(ISERROR(SEARCH("A",Q40)))</formula>
    </cfRule>
  </conditionalFormatting>
  <conditionalFormatting sqref="Q40">
    <cfRule type="containsText" dxfId="559" priority="260" operator="containsText" text="K">
      <formula>NOT(ISERROR(SEARCH("K",Q40)))</formula>
    </cfRule>
  </conditionalFormatting>
  <conditionalFormatting sqref="Q40">
    <cfRule type="containsText" dxfId="558" priority="261" operator="containsText" text="Q">
      <formula>NOT(ISERROR(SEARCH("Q",Q40)))</formula>
    </cfRule>
  </conditionalFormatting>
  <conditionalFormatting sqref="Q40">
    <cfRule type="containsText" dxfId="557" priority="262" operator="containsText" text="J">
      <formula>NOT(ISERROR(SEARCH("J",Q40)))</formula>
    </cfRule>
  </conditionalFormatting>
  <conditionalFormatting sqref="Q40">
    <cfRule type="containsText" dxfId="556" priority="263" operator="containsText" text="TE">
      <formula>NOT(ISERROR(SEARCH("TE",Q40)))</formula>
    </cfRule>
  </conditionalFormatting>
  <conditionalFormatting sqref="Q40">
    <cfRule type="containsText" dxfId="555" priority="264" operator="containsText" text="MY">
      <formula>NOT(ISERROR(SEARCH("MY",Q40)))</formula>
    </cfRule>
  </conditionalFormatting>
  <conditionalFormatting sqref="R40">
    <cfRule type="containsText" dxfId="554" priority="241" operator="containsText" text="M1">
      <formula>NOT(ISERROR(SEARCH("M1",R40)))</formula>
    </cfRule>
  </conditionalFormatting>
  <conditionalFormatting sqref="R40">
    <cfRule type="containsText" dxfId="553" priority="242" operator="containsText" text="M2">
      <formula>NOT(ISERROR(SEARCH("M2",R40)))</formula>
    </cfRule>
  </conditionalFormatting>
  <conditionalFormatting sqref="R40">
    <cfRule type="containsText" dxfId="552" priority="243" operator="containsText" text="M3">
      <formula>NOT(ISERROR(SEARCH("M3",R40)))</formula>
    </cfRule>
  </conditionalFormatting>
  <conditionalFormatting sqref="R40">
    <cfRule type="containsText" dxfId="551" priority="244" operator="containsText" text="M4">
      <formula>NOT(ISERROR(SEARCH("M4",R40)))</formula>
    </cfRule>
  </conditionalFormatting>
  <conditionalFormatting sqref="R40">
    <cfRule type="containsText" dxfId="550" priority="245" operator="containsText" text="M5">
      <formula>NOT(ISERROR(SEARCH("M5",R40)))</formula>
    </cfRule>
  </conditionalFormatting>
  <conditionalFormatting sqref="R40">
    <cfRule type="containsText" dxfId="549" priority="246" operator="containsText" text="M6">
      <formula>NOT(ISERROR(SEARCH("M6",R40)))</formula>
    </cfRule>
  </conditionalFormatting>
  <conditionalFormatting sqref="R40">
    <cfRule type="containsText" dxfId="548" priority="247" operator="containsText" text="A">
      <formula>NOT(ISERROR(SEARCH("A",R40)))</formula>
    </cfRule>
  </conditionalFormatting>
  <conditionalFormatting sqref="R40">
    <cfRule type="containsText" dxfId="547" priority="248" operator="containsText" text="K">
      <formula>NOT(ISERROR(SEARCH("K",R40)))</formula>
    </cfRule>
  </conditionalFormatting>
  <conditionalFormatting sqref="R40">
    <cfRule type="containsText" dxfId="546" priority="249" operator="containsText" text="Q">
      <formula>NOT(ISERROR(SEARCH("Q",R40)))</formula>
    </cfRule>
  </conditionalFormatting>
  <conditionalFormatting sqref="R40">
    <cfRule type="containsText" dxfId="545" priority="250" operator="containsText" text="J">
      <formula>NOT(ISERROR(SEARCH("J",R40)))</formula>
    </cfRule>
  </conditionalFormatting>
  <conditionalFormatting sqref="R40">
    <cfRule type="containsText" dxfId="544" priority="251" operator="containsText" text="TE">
      <formula>NOT(ISERROR(SEARCH("TE",R40)))</formula>
    </cfRule>
  </conditionalFormatting>
  <conditionalFormatting sqref="R40">
    <cfRule type="containsText" dxfId="543" priority="252" operator="containsText" text="MY">
      <formula>NOT(ISERROR(SEARCH("MY",R40)))</formula>
    </cfRule>
  </conditionalFormatting>
  <conditionalFormatting sqref="BE40">
    <cfRule type="containsText" dxfId="542" priority="73" operator="containsText" text="M1">
      <formula>NOT(ISERROR(SEARCH("M1",BE40)))</formula>
    </cfRule>
  </conditionalFormatting>
  <conditionalFormatting sqref="BE40">
    <cfRule type="containsText" dxfId="541" priority="74" operator="containsText" text="M2">
      <formula>NOT(ISERROR(SEARCH("M2",BE40)))</formula>
    </cfRule>
  </conditionalFormatting>
  <conditionalFormatting sqref="BE40">
    <cfRule type="containsText" dxfId="540" priority="75" operator="containsText" text="M3">
      <formula>NOT(ISERROR(SEARCH("M3",BE40)))</formula>
    </cfRule>
  </conditionalFormatting>
  <conditionalFormatting sqref="BE40">
    <cfRule type="containsText" dxfId="539" priority="76" operator="containsText" text="M4">
      <formula>NOT(ISERROR(SEARCH("M4",BE40)))</formula>
    </cfRule>
  </conditionalFormatting>
  <conditionalFormatting sqref="BE40">
    <cfRule type="containsText" dxfId="538" priority="77" operator="containsText" text="M5">
      <formula>NOT(ISERROR(SEARCH("M5",BE40)))</formula>
    </cfRule>
  </conditionalFormatting>
  <conditionalFormatting sqref="BE40">
    <cfRule type="containsText" dxfId="537" priority="78" operator="containsText" text="M6">
      <formula>NOT(ISERROR(SEARCH("M6",BE40)))</formula>
    </cfRule>
  </conditionalFormatting>
  <conditionalFormatting sqref="BE40">
    <cfRule type="containsText" dxfId="536" priority="79" operator="containsText" text="A">
      <formula>NOT(ISERROR(SEARCH("A",BE40)))</formula>
    </cfRule>
  </conditionalFormatting>
  <conditionalFormatting sqref="BE40">
    <cfRule type="containsText" dxfId="535" priority="80" operator="containsText" text="K">
      <formula>NOT(ISERROR(SEARCH("K",BE40)))</formula>
    </cfRule>
  </conditionalFormatting>
  <conditionalFormatting sqref="BE40">
    <cfRule type="containsText" dxfId="534" priority="81" operator="containsText" text="Q">
      <formula>NOT(ISERROR(SEARCH("Q",BE40)))</formula>
    </cfRule>
  </conditionalFormatting>
  <conditionalFormatting sqref="BE40">
    <cfRule type="containsText" dxfId="533" priority="82" operator="containsText" text="J">
      <formula>NOT(ISERROR(SEARCH("J",BE40)))</formula>
    </cfRule>
  </conditionalFormatting>
  <conditionalFormatting sqref="BE40">
    <cfRule type="containsText" dxfId="532" priority="83" operator="containsText" text="TE">
      <formula>NOT(ISERROR(SEARCH("TE",BE40)))</formula>
    </cfRule>
  </conditionalFormatting>
  <conditionalFormatting sqref="BE40">
    <cfRule type="containsText" dxfId="531" priority="84" operator="containsText" text="MY">
      <formula>NOT(ISERROR(SEARCH("MY",BE40)))</formula>
    </cfRule>
  </conditionalFormatting>
  <conditionalFormatting sqref="BF40">
    <cfRule type="containsText" dxfId="530" priority="61" operator="containsText" text="M1">
      <formula>NOT(ISERROR(SEARCH("M1",BF40)))</formula>
    </cfRule>
  </conditionalFormatting>
  <conditionalFormatting sqref="BF40">
    <cfRule type="containsText" dxfId="529" priority="62" operator="containsText" text="M2">
      <formula>NOT(ISERROR(SEARCH("M2",BF40)))</formula>
    </cfRule>
  </conditionalFormatting>
  <conditionalFormatting sqref="BF40">
    <cfRule type="containsText" dxfId="528" priority="63" operator="containsText" text="M3">
      <formula>NOT(ISERROR(SEARCH("M3",BF40)))</formula>
    </cfRule>
  </conditionalFormatting>
  <conditionalFormatting sqref="BF40">
    <cfRule type="containsText" dxfId="527" priority="64" operator="containsText" text="M4">
      <formula>NOT(ISERROR(SEARCH("M4",BF40)))</formula>
    </cfRule>
  </conditionalFormatting>
  <conditionalFormatting sqref="BF40">
    <cfRule type="containsText" dxfId="526" priority="65" operator="containsText" text="M5">
      <formula>NOT(ISERROR(SEARCH("M5",BF40)))</formula>
    </cfRule>
  </conditionalFormatting>
  <conditionalFormatting sqref="BF40">
    <cfRule type="containsText" dxfId="525" priority="66" operator="containsText" text="M6">
      <formula>NOT(ISERROR(SEARCH("M6",BF40)))</formula>
    </cfRule>
  </conditionalFormatting>
  <conditionalFormatting sqref="BF40">
    <cfRule type="containsText" dxfId="524" priority="67" operator="containsText" text="A">
      <formula>NOT(ISERROR(SEARCH("A",BF40)))</formula>
    </cfRule>
  </conditionalFormatting>
  <conditionalFormatting sqref="BF40">
    <cfRule type="containsText" dxfId="523" priority="68" operator="containsText" text="K">
      <formula>NOT(ISERROR(SEARCH("K",BF40)))</formula>
    </cfRule>
  </conditionalFormatting>
  <conditionalFormatting sqref="BF40">
    <cfRule type="containsText" dxfId="522" priority="69" operator="containsText" text="Q">
      <formula>NOT(ISERROR(SEARCH("Q",BF40)))</formula>
    </cfRule>
  </conditionalFormatting>
  <conditionalFormatting sqref="BF40">
    <cfRule type="containsText" dxfId="521" priority="70" operator="containsText" text="J">
      <formula>NOT(ISERROR(SEARCH("J",BF40)))</formula>
    </cfRule>
  </conditionalFormatting>
  <conditionalFormatting sqref="BF40">
    <cfRule type="containsText" dxfId="520" priority="71" operator="containsText" text="TE">
      <formula>NOT(ISERROR(SEARCH("TE",BF40)))</formula>
    </cfRule>
  </conditionalFormatting>
  <conditionalFormatting sqref="BF40">
    <cfRule type="containsText" dxfId="519" priority="72" operator="containsText" text="MY">
      <formula>NOT(ISERROR(SEARCH("MY",BF40)))</formula>
    </cfRule>
  </conditionalFormatting>
  <conditionalFormatting sqref="BG40">
    <cfRule type="containsText" dxfId="518" priority="49" operator="containsText" text="M1">
      <formula>NOT(ISERROR(SEARCH("M1",BG40)))</formula>
    </cfRule>
  </conditionalFormatting>
  <conditionalFormatting sqref="BG40">
    <cfRule type="containsText" dxfId="517" priority="50" operator="containsText" text="M2">
      <formula>NOT(ISERROR(SEARCH("M2",BG40)))</formula>
    </cfRule>
  </conditionalFormatting>
  <conditionalFormatting sqref="BG40">
    <cfRule type="containsText" dxfId="516" priority="51" operator="containsText" text="M3">
      <formula>NOT(ISERROR(SEARCH("M3",BG40)))</formula>
    </cfRule>
  </conditionalFormatting>
  <conditionalFormatting sqref="BG40">
    <cfRule type="containsText" dxfId="515" priority="52" operator="containsText" text="M4">
      <formula>NOT(ISERROR(SEARCH("M4",BG40)))</formula>
    </cfRule>
  </conditionalFormatting>
  <conditionalFormatting sqref="BG40">
    <cfRule type="containsText" dxfId="514" priority="53" operator="containsText" text="M5">
      <formula>NOT(ISERROR(SEARCH("M5",BG40)))</formula>
    </cfRule>
  </conditionalFormatting>
  <conditionalFormatting sqref="BG40">
    <cfRule type="containsText" dxfId="513" priority="54" operator="containsText" text="M6">
      <formula>NOT(ISERROR(SEARCH("M6",BG40)))</formula>
    </cfRule>
  </conditionalFormatting>
  <conditionalFormatting sqref="BG40">
    <cfRule type="containsText" dxfId="512" priority="55" operator="containsText" text="A">
      <formula>NOT(ISERROR(SEARCH("A",BG40)))</formula>
    </cfRule>
  </conditionalFormatting>
  <conditionalFormatting sqref="BG40">
    <cfRule type="containsText" dxfId="511" priority="56" operator="containsText" text="K">
      <formula>NOT(ISERROR(SEARCH("K",BG40)))</formula>
    </cfRule>
  </conditionalFormatting>
  <conditionalFormatting sqref="BG40">
    <cfRule type="containsText" dxfId="510" priority="57" operator="containsText" text="Q">
      <formula>NOT(ISERROR(SEARCH("Q",BG40)))</formula>
    </cfRule>
  </conditionalFormatting>
  <conditionalFormatting sqref="BG40">
    <cfRule type="containsText" dxfId="509" priority="58" operator="containsText" text="J">
      <formula>NOT(ISERROR(SEARCH("J",BG40)))</formula>
    </cfRule>
  </conditionalFormatting>
  <conditionalFormatting sqref="BG40">
    <cfRule type="containsText" dxfId="508" priority="59" operator="containsText" text="TE">
      <formula>NOT(ISERROR(SEARCH("TE",BG40)))</formula>
    </cfRule>
  </conditionalFormatting>
  <conditionalFormatting sqref="BG40">
    <cfRule type="containsText" dxfId="507" priority="60" operator="containsText" text="MY">
      <formula>NOT(ISERROR(SEARCH("MY",BG40)))</formula>
    </cfRule>
  </conditionalFormatting>
  <conditionalFormatting sqref="BH40">
    <cfRule type="containsText" dxfId="506" priority="37" operator="containsText" text="M1">
      <formula>NOT(ISERROR(SEARCH("M1",BH40)))</formula>
    </cfRule>
  </conditionalFormatting>
  <conditionalFormatting sqref="BH40">
    <cfRule type="containsText" dxfId="505" priority="38" operator="containsText" text="M2">
      <formula>NOT(ISERROR(SEARCH("M2",BH40)))</formula>
    </cfRule>
  </conditionalFormatting>
  <conditionalFormatting sqref="BH40">
    <cfRule type="containsText" dxfId="504" priority="39" operator="containsText" text="M3">
      <formula>NOT(ISERROR(SEARCH("M3",BH40)))</formula>
    </cfRule>
  </conditionalFormatting>
  <conditionalFormatting sqref="BH40">
    <cfRule type="containsText" dxfId="503" priority="40" operator="containsText" text="M4">
      <formula>NOT(ISERROR(SEARCH("M4",BH40)))</formula>
    </cfRule>
  </conditionalFormatting>
  <conditionalFormatting sqref="BH40">
    <cfRule type="containsText" dxfId="502" priority="41" operator="containsText" text="M5">
      <formula>NOT(ISERROR(SEARCH("M5",BH40)))</formula>
    </cfRule>
  </conditionalFormatting>
  <conditionalFormatting sqref="BH40">
    <cfRule type="containsText" dxfId="501" priority="42" operator="containsText" text="M6">
      <formula>NOT(ISERROR(SEARCH("M6",BH40)))</formula>
    </cfRule>
  </conditionalFormatting>
  <conditionalFormatting sqref="BH40">
    <cfRule type="containsText" dxfId="500" priority="43" operator="containsText" text="A">
      <formula>NOT(ISERROR(SEARCH("A",BH40)))</formula>
    </cfRule>
  </conditionalFormatting>
  <conditionalFormatting sqref="BH40">
    <cfRule type="containsText" dxfId="499" priority="44" operator="containsText" text="K">
      <formula>NOT(ISERROR(SEARCH("K",BH40)))</formula>
    </cfRule>
  </conditionalFormatting>
  <conditionalFormatting sqref="BH40">
    <cfRule type="containsText" dxfId="498" priority="45" operator="containsText" text="Q">
      <formula>NOT(ISERROR(SEARCH("Q",BH40)))</formula>
    </cfRule>
  </conditionalFormatting>
  <conditionalFormatting sqref="BH40">
    <cfRule type="containsText" dxfId="497" priority="46" operator="containsText" text="J">
      <formula>NOT(ISERROR(SEARCH("J",BH40)))</formula>
    </cfRule>
  </conditionalFormatting>
  <conditionalFormatting sqref="BH40">
    <cfRule type="containsText" dxfId="496" priority="47" operator="containsText" text="TE">
      <formula>NOT(ISERROR(SEARCH("TE",BH40)))</formula>
    </cfRule>
  </conditionalFormatting>
  <conditionalFormatting sqref="BH40">
    <cfRule type="containsText" dxfId="495" priority="48" operator="containsText" text="MY">
      <formula>NOT(ISERROR(SEARCH("MY",BH40)))</formula>
    </cfRule>
  </conditionalFormatting>
  <conditionalFormatting sqref="BI40">
    <cfRule type="containsText" dxfId="494" priority="25" operator="containsText" text="M1">
      <formula>NOT(ISERROR(SEARCH("M1",BI40)))</formula>
    </cfRule>
  </conditionalFormatting>
  <conditionalFormatting sqref="BI40">
    <cfRule type="containsText" dxfId="493" priority="26" operator="containsText" text="M2">
      <formula>NOT(ISERROR(SEARCH("M2",BI40)))</formula>
    </cfRule>
  </conditionalFormatting>
  <conditionalFormatting sqref="BI40">
    <cfRule type="containsText" dxfId="492" priority="27" operator="containsText" text="M3">
      <formula>NOT(ISERROR(SEARCH("M3",BI40)))</formula>
    </cfRule>
  </conditionalFormatting>
  <conditionalFormatting sqref="BI40">
    <cfRule type="containsText" dxfId="491" priority="28" operator="containsText" text="M4">
      <formula>NOT(ISERROR(SEARCH("M4",BI40)))</formula>
    </cfRule>
  </conditionalFormatting>
  <conditionalFormatting sqref="BI40">
    <cfRule type="containsText" dxfId="490" priority="29" operator="containsText" text="M5">
      <formula>NOT(ISERROR(SEARCH("M5",BI40)))</formula>
    </cfRule>
  </conditionalFormatting>
  <conditionalFormatting sqref="BI40">
    <cfRule type="containsText" dxfId="489" priority="30" operator="containsText" text="M6">
      <formula>NOT(ISERROR(SEARCH("M6",BI40)))</formula>
    </cfRule>
  </conditionalFormatting>
  <conditionalFormatting sqref="BI40">
    <cfRule type="containsText" dxfId="488" priority="31" operator="containsText" text="A">
      <formula>NOT(ISERROR(SEARCH("A",BI40)))</formula>
    </cfRule>
  </conditionalFormatting>
  <conditionalFormatting sqref="BI40">
    <cfRule type="containsText" dxfId="487" priority="32" operator="containsText" text="K">
      <formula>NOT(ISERROR(SEARCH("K",BI40)))</formula>
    </cfRule>
  </conditionalFormatting>
  <conditionalFormatting sqref="BI40">
    <cfRule type="containsText" dxfId="486" priority="33" operator="containsText" text="Q">
      <formula>NOT(ISERROR(SEARCH("Q",BI40)))</formula>
    </cfRule>
  </conditionalFormatting>
  <conditionalFormatting sqref="BI40">
    <cfRule type="containsText" dxfId="485" priority="34" operator="containsText" text="J">
      <formula>NOT(ISERROR(SEARCH("J",BI40)))</formula>
    </cfRule>
  </conditionalFormatting>
  <conditionalFormatting sqref="BI40">
    <cfRule type="containsText" dxfId="484" priority="35" operator="containsText" text="TE">
      <formula>NOT(ISERROR(SEARCH("TE",BI40)))</formula>
    </cfRule>
  </conditionalFormatting>
  <conditionalFormatting sqref="BI40">
    <cfRule type="containsText" dxfId="483" priority="36" operator="containsText" text="MY">
      <formula>NOT(ISERROR(SEARCH("MY",BI40)))</formula>
    </cfRule>
  </conditionalFormatting>
  <conditionalFormatting sqref="BJ40">
    <cfRule type="containsText" dxfId="482" priority="13" operator="containsText" text="M1">
      <formula>NOT(ISERROR(SEARCH("M1",BJ40)))</formula>
    </cfRule>
  </conditionalFormatting>
  <conditionalFormatting sqref="BJ40">
    <cfRule type="containsText" dxfId="481" priority="14" operator="containsText" text="M2">
      <formula>NOT(ISERROR(SEARCH("M2",BJ40)))</formula>
    </cfRule>
  </conditionalFormatting>
  <conditionalFormatting sqref="BJ40">
    <cfRule type="containsText" dxfId="480" priority="15" operator="containsText" text="M3">
      <formula>NOT(ISERROR(SEARCH("M3",BJ40)))</formula>
    </cfRule>
  </conditionalFormatting>
  <conditionalFormatting sqref="BJ40">
    <cfRule type="containsText" dxfId="479" priority="16" operator="containsText" text="M4">
      <formula>NOT(ISERROR(SEARCH("M4",BJ40)))</formula>
    </cfRule>
  </conditionalFormatting>
  <conditionalFormatting sqref="BJ40">
    <cfRule type="containsText" dxfId="478" priority="17" operator="containsText" text="M5">
      <formula>NOT(ISERROR(SEARCH("M5",BJ40)))</formula>
    </cfRule>
  </conditionalFormatting>
  <conditionalFormatting sqref="BJ40">
    <cfRule type="containsText" dxfId="477" priority="18" operator="containsText" text="M6">
      <formula>NOT(ISERROR(SEARCH("M6",BJ40)))</formula>
    </cfRule>
  </conditionalFormatting>
  <conditionalFormatting sqref="BJ40">
    <cfRule type="containsText" dxfId="476" priority="19" operator="containsText" text="A">
      <formula>NOT(ISERROR(SEARCH("A",BJ40)))</formula>
    </cfRule>
  </conditionalFormatting>
  <conditionalFormatting sqref="BJ40">
    <cfRule type="containsText" dxfId="475" priority="20" operator="containsText" text="K">
      <formula>NOT(ISERROR(SEARCH("K",BJ40)))</formula>
    </cfRule>
  </conditionalFormatting>
  <conditionalFormatting sqref="BJ40">
    <cfRule type="containsText" dxfId="474" priority="21" operator="containsText" text="Q">
      <formula>NOT(ISERROR(SEARCH("Q",BJ40)))</formula>
    </cfRule>
  </conditionalFormatting>
  <conditionalFormatting sqref="BJ40">
    <cfRule type="containsText" dxfId="473" priority="22" operator="containsText" text="J">
      <formula>NOT(ISERROR(SEARCH("J",BJ40)))</formula>
    </cfRule>
  </conditionalFormatting>
  <conditionalFormatting sqref="BJ40">
    <cfRule type="containsText" dxfId="472" priority="23" operator="containsText" text="TE">
      <formula>NOT(ISERROR(SEARCH("TE",BJ40)))</formula>
    </cfRule>
  </conditionalFormatting>
  <conditionalFormatting sqref="BJ40">
    <cfRule type="containsText" dxfId="471" priority="24" operator="containsText" text="MY">
      <formula>NOT(ISERROR(SEARCH("MY",BJ40)))</formula>
    </cfRule>
  </conditionalFormatting>
  <conditionalFormatting sqref="BK40">
    <cfRule type="containsText" dxfId="470" priority="1" operator="containsText" text="M1">
      <formula>NOT(ISERROR(SEARCH("M1",BK40)))</formula>
    </cfRule>
  </conditionalFormatting>
  <conditionalFormatting sqref="BK40">
    <cfRule type="containsText" dxfId="469" priority="2" operator="containsText" text="M2">
      <formula>NOT(ISERROR(SEARCH("M2",BK40)))</formula>
    </cfRule>
  </conditionalFormatting>
  <conditionalFormatting sqref="BK40">
    <cfRule type="containsText" dxfId="468" priority="3" operator="containsText" text="M3">
      <formula>NOT(ISERROR(SEARCH("M3",BK40)))</formula>
    </cfRule>
  </conditionalFormatting>
  <conditionalFormatting sqref="BK40">
    <cfRule type="containsText" dxfId="467" priority="4" operator="containsText" text="M4">
      <formula>NOT(ISERROR(SEARCH("M4",BK40)))</formula>
    </cfRule>
  </conditionalFormatting>
  <conditionalFormatting sqref="BK40">
    <cfRule type="containsText" dxfId="466" priority="5" operator="containsText" text="M5">
      <formula>NOT(ISERROR(SEARCH("M5",BK40)))</formula>
    </cfRule>
  </conditionalFormatting>
  <conditionalFormatting sqref="BK40">
    <cfRule type="containsText" dxfId="465" priority="6" operator="containsText" text="M6">
      <formula>NOT(ISERROR(SEARCH("M6",BK40)))</formula>
    </cfRule>
  </conditionalFormatting>
  <conditionalFormatting sqref="BK40">
    <cfRule type="containsText" dxfId="464" priority="7" operator="containsText" text="A">
      <formula>NOT(ISERROR(SEARCH("A",BK40)))</formula>
    </cfRule>
  </conditionalFormatting>
  <conditionalFormatting sqref="BK40">
    <cfRule type="containsText" dxfId="463" priority="8" operator="containsText" text="K">
      <formula>NOT(ISERROR(SEARCH("K",BK40)))</formula>
    </cfRule>
  </conditionalFormatting>
  <conditionalFormatting sqref="BK40">
    <cfRule type="containsText" dxfId="462" priority="9" operator="containsText" text="Q">
      <formula>NOT(ISERROR(SEARCH("Q",BK40)))</formula>
    </cfRule>
  </conditionalFormatting>
  <conditionalFormatting sqref="BK40">
    <cfRule type="containsText" dxfId="461" priority="10" operator="containsText" text="J">
      <formula>NOT(ISERROR(SEARCH("J",BK40)))</formula>
    </cfRule>
  </conditionalFormatting>
  <conditionalFormatting sqref="BK40">
    <cfRule type="containsText" dxfId="460" priority="11" operator="containsText" text="TE">
      <formula>NOT(ISERROR(SEARCH("TE",BK40)))</formula>
    </cfRule>
  </conditionalFormatting>
  <conditionalFormatting sqref="BK40">
    <cfRule type="containsText" dxfId="459" priority="12" operator="containsText" text="MY">
      <formula>NOT(ISERROR(SEARCH("MY",BK40)))</formula>
    </cfRule>
  </conditionalFormatting>
  <conditionalFormatting sqref="BE4:BK39 BE41:BK124">
    <cfRule type="containsText" dxfId="458" priority="85" operator="containsText" text="M1">
      <formula>NOT(ISERROR(SEARCH("M1",BE4)))</formula>
    </cfRule>
  </conditionalFormatting>
  <conditionalFormatting sqref="BE4:BK39 BE41:BK124">
    <cfRule type="containsText" dxfId="457" priority="86" operator="containsText" text="M2">
      <formula>NOT(ISERROR(SEARCH("M2",BE4)))</formula>
    </cfRule>
  </conditionalFormatting>
  <conditionalFormatting sqref="BE4:BK39 BE41:BK124">
    <cfRule type="containsText" dxfId="456" priority="87" operator="containsText" text="M3">
      <formula>NOT(ISERROR(SEARCH("M3",BE4)))</formula>
    </cfRule>
  </conditionalFormatting>
  <conditionalFormatting sqref="BE4:BK39 BE41:BK124">
    <cfRule type="containsText" dxfId="455" priority="88" operator="containsText" text="M4">
      <formula>NOT(ISERROR(SEARCH("M4",BE4)))</formula>
    </cfRule>
  </conditionalFormatting>
  <conditionalFormatting sqref="BE4:BK39 BE41:BK124">
    <cfRule type="containsText" dxfId="454" priority="89" operator="containsText" text="M5">
      <formula>NOT(ISERROR(SEARCH("M5",BE4)))</formula>
    </cfRule>
  </conditionalFormatting>
  <conditionalFormatting sqref="BE4:BK39 BE41:BK124">
    <cfRule type="containsText" dxfId="453" priority="90" operator="containsText" text="M6">
      <formula>NOT(ISERROR(SEARCH("M6",BE4)))</formula>
    </cfRule>
  </conditionalFormatting>
  <conditionalFormatting sqref="BE4:BK39 BE41:BK124">
    <cfRule type="containsText" dxfId="452" priority="91" operator="containsText" text="A">
      <formula>NOT(ISERROR(SEARCH("A",BE4)))</formula>
    </cfRule>
  </conditionalFormatting>
  <conditionalFormatting sqref="BE4:BK39 BE41:BK124">
    <cfRule type="containsText" dxfId="451" priority="92" operator="containsText" text="K">
      <formula>NOT(ISERROR(SEARCH("K",BE4)))</formula>
    </cfRule>
  </conditionalFormatting>
  <conditionalFormatting sqref="BE4:BK39 BE41:BK124">
    <cfRule type="containsText" dxfId="450" priority="93" operator="containsText" text="Q">
      <formula>NOT(ISERROR(SEARCH("Q",BE4)))</formula>
    </cfRule>
  </conditionalFormatting>
  <conditionalFormatting sqref="BE4:BK39 BE41:BK124">
    <cfRule type="containsText" dxfId="449" priority="94" operator="containsText" text="J">
      <formula>NOT(ISERROR(SEARCH("J",BE4)))</formula>
    </cfRule>
  </conditionalFormatting>
  <conditionalFormatting sqref="BE4:BK39 BE41:BK124">
    <cfRule type="containsText" dxfId="448" priority="95" operator="containsText" text="TE">
      <formula>NOT(ISERROR(SEARCH("TE",BE4)))</formula>
    </cfRule>
  </conditionalFormatting>
  <conditionalFormatting sqref="BE4:BK39 BE41:BK124">
    <cfRule type="containsText" dxfId="447" priority="96" operator="containsText" text="MY">
      <formula>NOT(ISERROR(SEARCH("MY",BE4)))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250D-8639-4645-9B94-751D32EC75D6}">
  <sheetPr codeName="工作表7">
    <tabColor theme="3" tint="0.59999389629810485"/>
  </sheetPr>
  <dimension ref="A1:ED322"/>
  <sheetViews>
    <sheetView tabSelected="1" topLeftCell="AT1" workbookViewId="0">
      <selection activeCell="S50" sqref="S50"/>
    </sheetView>
  </sheetViews>
  <sheetFormatPr defaultColWidth="9" defaultRowHeight="15.75"/>
  <cols>
    <col min="1" max="1" width="17.875" style="1" bestFit="1" customWidth="1"/>
    <col min="2" max="6" width="6.7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86" customWidth="1"/>
    <col min="11" max="11" width="9.25" style="1" bestFit="1" customWidth="1"/>
    <col min="12" max="12" width="6.125" style="110" bestFit="1" customWidth="1"/>
    <col min="13" max="14" width="7.5" style="110" bestFit="1" customWidth="1"/>
    <col min="15" max="15" width="7.5" style="110" customWidth="1"/>
    <col min="16" max="16" width="7.5" style="110" bestFit="1" customWidth="1"/>
    <col min="17" max="17" width="4.625" style="110" bestFit="1" customWidth="1"/>
    <col min="18" max="18" width="4.625" style="110" customWidth="1"/>
    <col min="19" max="19" width="8.875" style="1" customWidth="1"/>
    <col min="20" max="20" width="4.75" style="1" customWidth="1"/>
    <col min="21" max="25" width="4.75" style="110" customWidth="1"/>
    <col min="26" max="26" width="4.625" style="1" customWidth="1"/>
    <col min="27" max="27" width="8.875" style="1" customWidth="1"/>
    <col min="28" max="28" width="6.875" style="1" bestFit="1" customWidth="1"/>
    <col min="29" max="34" width="5.5" style="1" bestFit="1" customWidth="1"/>
    <col min="35" max="45" width="9" style="1"/>
    <col min="46" max="46" width="17.875" style="1" bestFit="1" customWidth="1"/>
    <col min="47" max="51" width="6.75" style="1" bestFit="1" customWidth="1"/>
    <col min="52" max="52" width="4.25" style="1" bestFit="1" customWidth="1"/>
    <col min="53" max="53" width="5.5" style="1" customWidth="1"/>
    <col min="54" max="54" width="4.75" style="1" customWidth="1"/>
    <col min="55" max="55" width="8.875" style="86" customWidth="1"/>
    <col min="56" max="56" width="9.25" style="1" bestFit="1" customWidth="1"/>
    <col min="57" max="57" width="6.125" style="110" bestFit="1" customWidth="1"/>
    <col min="58" max="59" width="7.5" style="110" bestFit="1" customWidth="1"/>
    <col min="60" max="60" width="7.5" style="110" customWidth="1"/>
    <col min="61" max="61" width="7.5" style="110" bestFit="1" customWidth="1"/>
    <col min="62" max="62" width="4.625" style="110" bestFit="1" customWidth="1"/>
    <col min="63" max="63" width="4.625" style="110" customWidth="1"/>
    <col min="64" max="64" width="8.875" style="1" customWidth="1"/>
    <col min="65" max="65" width="4.75" style="1" customWidth="1"/>
    <col min="66" max="70" width="4.75" style="110" customWidth="1"/>
    <col min="71" max="71" width="4.625" style="1" customWidth="1"/>
    <col min="72" max="72" width="8.875" style="1" customWidth="1"/>
    <col min="73" max="73" width="6.875" style="1" bestFit="1" customWidth="1"/>
    <col min="74" max="79" width="5.5" style="1" bestFit="1" customWidth="1"/>
    <col min="80" max="90" width="9" style="1"/>
    <col min="91" max="91" width="17.875" style="1" bestFit="1" customWidth="1"/>
    <col min="92" max="96" width="6.75" style="1" bestFit="1" customWidth="1"/>
    <col min="97" max="97" width="4.25" style="1" bestFit="1" customWidth="1"/>
    <col min="98" max="98" width="5.5" style="1" customWidth="1"/>
    <col min="99" max="99" width="4.75" style="1" customWidth="1"/>
    <col min="100" max="100" width="8.875" style="86" customWidth="1"/>
    <col min="101" max="101" width="9.25" style="1" bestFit="1" customWidth="1"/>
    <col min="102" max="102" width="6.125" style="148" bestFit="1" customWidth="1"/>
    <col min="103" max="104" width="7.5" style="148" bestFit="1" customWidth="1"/>
    <col min="105" max="105" width="7.5" style="148" customWidth="1"/>
    <col min="106" max="106" width="7.5" style="148" bestFit="1" customWidth="1"/>
    <col min="107" max="107" width="4.625" style="148" bestFit="1" customWidth="1"/>
    <col min="108" max="108" width="4.625" style="148" customWidth="1"/>
    <col min="109" max="109" width="8.875" style="1" customWidth="1"/>
    <col min="110" max="110" width="4.75" style="1" customWidth="1"/>
    <col min="111" max="115" width="4.75" style="148" customWidth="1"/>
    <col min="116" max="116" width="4.625" style="1" customWidth="1"/>
    <col min="117" max="117" width="8.875" style="1" customWidth="1"/>
    <col min="118" max="118" width="6.875" style="1" bestFit="1" customWidth="1"/>
    <col min="119" max="124" width="5.5" style="1" bestFit="1" customWidth="1"/>
    <col min="125" max="16384" width="9" style="1"/>
  </cols>
  <sheetData>
    <row r="1" spans="1:134" ht="16.5">
      <c r="K1" s="3"/>
      <c r="T1" s="222" t="s">
        <v>120</v>
      </c>
      <c r="U1" s="222"/>
      <c r="V1" s="222"/>
      <c r="W1" s="222"/>
      <c r="X1" s="222"/>
      <c r="Y1" s="222"/>
      <c r="Z1" s="222"/>
      <c r="AB1" s="224"/>
      <c r="AC1" s="224"/>
      <c r="AD1" s="224"/>
      <c r="AE1" s="224"/>
      <c r="AF1" s="224"/>
      <c r="AG1" s="224"/>
      <c r="AH1" s="224"/>
      <c r="BD1" s="3"/>
      <c r="BM1" s="222" t="s">
        <v>180</v>
      </c>
      <c r="BN1" s="222"/>
      <c r="BO1" s="222"/>
      <c r="BP1" s="222"/>
      <c r="BQ1" s="222"/>
      <c r="BR1" s="222"/>
      <c r="BS1" s="222"/>
      <c r="BU1" s="224"/>
      <c r="BV1" s="224"/>
      <c r="BW1" s="224"/>
      <c r="BX1" s="224"/>
      <c r="BY1" s="224"/>
      <c r="BZ1" s="224"/>
      <c r="CA1" s="224"/>
      <c r="CW1" s="3"/>
      <c r="DF1" s="222" t="s">
        <v>209</v>
      </c>
      <c r="DG1" s="222"/>
      <c r="DH1" s="222"/>
      <c r="DI1" s="222"/>
      <c r="DJ1" s="222"/>
      <c r="DK1" s="222"/>
      <c r="DL1" s="222"/>
      <c r="DN1" s="224"/>
      <c r="DO1" s="224"/>
      <c r="DP1" s="224"/>
      <c r="DQ1" s="224"/>
      <c r="DR1" s="224"/>
      <c r="DS1" s="224"/>
      <c r="DT1" s="224"/>
    </row>
    <row r="2" spans="1:134" s="14" customFormat="1" ht="15.95" customHeight="1">
      <c r="J2" s="87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225" t="s">
        <v>181</v>
      </c>
      <c r="AC2" s="225"/>
      <c r="AD2" s="225"/>
      <c r="AE2" s="225"/>
      <c r="AF2" s="225"/>
      <c r="AG2" s="225"/>
      <c r="AH2" s="225"/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  <c r="BC2" s="87"/>
      <c r="BD2" s="220" t="s">
        <v>119</v>
      </c>
      <c r="BE2" s="220"/>
      <c r="BF2" s="220"/>
      <c r="BG2" s="220"/>
      <c r="BH2" s="220"/>
      <c r="BI2" s="220"/>
      <c r="BJ2" s="220"/>
      <c r="BK2" s="220"/>
      <c r="BM2" s="223" t="s">
        <v>4</v>
      </c>
      <c r="BN2" s="223"/>
      <c r="BO2" s="223"/>
      <c r="BP2" s="223"/>
      <c r="BQ2" s="223"/>
      <c r="BR2" s="223"/>
      <c r="BS2" s="223"/>
      <c r="BU2" s="225" t="s">
        <v>181</v>
      </c>
      <c r="BV2" s="225"/>
      <c r="BW2" s="225"/>
      <c r="BX2" s="225"/>
      <c r="BY2" s="225"/>
      <c r="BZ2" s="225"/>
      <c r="CA2" s="225"/>
      <c r="CC2" s="221" t="s">
        <v>179</v>
      </c>
      <c r="CD2" s="221"/>
      <c r="CE2" s="221"/>
      <c r="CF2" s="221"/>
      <c r="CG2" s="221"/>
      <c r="CH2" s="221"/>
      <c r="CI2" s="221"/>
      <c r="CJ2" s="221"/>
      <c r="CK2" s="221"/>
      <c r="CV2" s="87"/>
      <c r="CW2" s="220" t="s">
        <v>119</v>
      </c>
      <c r="CX2" s="220"/>
      <c r="CY2" s="220"/>
      <c r="CZ2" s="220"/>
      <c r="DA2" s="220"/>
      <c r="DB2" s="220"/>
      <c r="DC2" s="220"/>
      <c r="DD2" s="220"/>
      <c r="DF2" s="223" t="s">
        <v>4</v>
      </c>
      <c r="DG2" s="223"/>
      <c r="DH2" s="223"/>
      <c r="DI2" s="223"/>
      <c r="DJ2" s="223"/>
      <c r="DK2" s="223"/>
      <c r="DL2" s="223"/>
      <c r="DN2" s="225" t="s">
        <v>181</v>
      </c>
      <c r="DO2" s="225"/>
      <c r="DP2" s="225"/>
      <c r="DQ2" s="225"/>
      <c r="DR2" s="225"/>
      <c r="DS2" s="225"/>
      <c r="DT2" s="225"/>
      <c r="DV2" s="221" t="s">
        <v>179</v>
      </c>
      <c r="DW2" s="221"/>
      <c r="DX2" s="221"/>
      <c r="DY2" s="221"/>
      <c r="DZ2" s="221"/>
      <c r="EA2" s="221"/>
      <c r="EB2" s="221"/>
      <c r="EC2" s="221"/>
      <c r="ED2" s="221"/>
    </row>
    <row r="3" spans="1:134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10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  <c r="AT3" s="19" t="s">
        <v>3</v>
      </c>
      <c r="AU3" s="20" t="s">
        <v>6</v>
      </c>
      <c r="AV3" s="20" t="s">
        <v>7</v>
      </c>
      <c r="AW3" s="20" t="s">
        <v>8</v>
      </c>
      <c r="AX3" s="20" t="s">
        <v>9</v>
      </c>
      <c r="AY3" s="20" t="s">
        <v>10</v>
      </c>
      <c r="AZ3" s="20" t="s">
        <v>31</v>
      </c>
      <c r="BA3" s="20" t="s">
        <v>80</v>
      </c>
      <c r="BB3" s="19" t="s">
        <v>11</v>
      </c>
      <c r="BD3" s="23" t="s">
        <v>12</v>
      </c>
      <c r="BE3" s="23" t="s">
        <v>13</v>
      </c>
      <c r="BF3" s="23" t="s">
        <v>14</v>
      </c>
      <c r="BG3" s="23" t="s">
        <v>15</v>
      </c>
      <c r="BH3" s="23" t="s">
        <v>16</v>
      </c>
      <c r="BI3" s="23" t="s">
        <v>17</v>
      </c>
      <c r="BJ3" s="23" t="s">
        <v>24</v>
      </c>
      <c r="BK3" s="23" t="s">
        <v>79</v>
      </c>
      <c r="BL3" s="110"/>
      <c r="BM3" s="23" t="s">
        <v>13</v>
      </c>
      <c r="BN3" s="23" t="s">
        <v>14</v>
      </c>
      <c r="BO3" s="23" t="s">
        <v>15</v>
      </c>
      <c r="BP3" s="23" t="s">
        <v>16</v>
      </c>
      <c r="BQ3" s="23" t="s">
        <v>17</v>
      </c>
      <c r="BR3" s="23" t="s">
        <v>24</v>
      </c>
      <c r="BS3" s="23" t="s">
        <v>79</v>
      </c>
      <c r="BU3" s="99" t="s">
        <v>42</v>
      </c>
      <c r="BV3" s="99" t="s">
        <v>43</v>
      </c>
      <c r="BW3" s="99" t="s">
        <v>44</v>
      </c>
      <c r="BX3" s="99" t="s">
        <v>45</v>
      </c>
      <c r="BY3" s="99" t="s">
        <v>46</v>
      </c>
      <c r="BZ3" s="99" t="s">
        <v>24</v>
      </c>
      <c r="CA3" s="99" t="s">
        <v>79</v>
      </c>
      <c r="CC3" s="103"/>
      <c r="CD3" s="219" t="s">
        <v>95</v>
      </c>
      <c r="CE3" s="219"/>
      <c r="CF3" s="219"/>
      <c r="CG3" s="219"/>
      <c r="CH3" s="219"/>
      <c r="CI3" s="219"/>
      <c r="CJ3" s="219"/>
      <c r="CK3" s="219"/>
      <c r="CM3" s="19" t="s">
        <v>3</v>
      </c>
      <c r="CN3" s="20" t="s">
        <v>6</v>
      </c>
      <c r="CO3" s="20" t="s">
        <v>7</v>
      </c>
      <c r="CP3" s="20" t="s">
        <v>8</v>
      </c>
      <c r="CQ3" s="20" t="s">
        <v>9</v>
      </c>
      <c r="CR3" s="20" t="s">
        <v>10</v>
      </c>
      <c r="CS3" s="20" t="s">
        <v>31</v>
      </c>
      <c r="CT3" s="20" t="s">
        <v>80</v>
      </c>
      <c r="CU3" s="19" t="s">
        <v>11</v>
      </c>
      <c r="CW3" s="23" t="s">
        <v>12</v>
      </c>
      <c r="CX3" s="23" t="s">
        <v>13</v>
      </c>
      <c r="CY3" s="23" t="s">
        <v>14</v>
      </c>
      <c r="CZ3" s="23" t="s">
        <v>15</v>
      </c>
      <c r="DA3" s="23" t="s">
        <v>16</v>
      </c>
      <c r="DB3" s="23" t="s">
        <v>17</v>
      </c>
      <c r="DC3" s="23" t="s">
        <v>24</v>
      </c>
      <c r="DD3" s="23" t="s">
        <v>79</v>
      </c>
      <c r="DE3" s="148"/>
      <c r="DF3" s="23" t="s">
        <v>13</v>
      </c>
      <c r="DG3" s="23" t="s">
        <v>14</v>
      </c>
      <c r="DH3" s="23" t="s">
        <v>15</v>
      </c>
      <c r="DI3" s="23" t="s">
        <v>16</v>
      </c>
      <c r="DJ3" s="23" t="s">
        <v>17</v>
      </c>
      <c r="DK3" s="23" t="s">
        <v>24</v>
      </c>
      <c r="DL3" s="23" t="s">
        <v>79</v>
      </c>
      <c r="DN3" s="99" t="s">
        <v>42</v>
      </c>
      <c r="DO3" s="99" t="s">
        <v>43</v>
      </c>
      <c r="DP3" s="99" t="s">
        <v>44</v>
      </c>
      <c r="DQ3" s="99" t="s">
        <v>45</v>
      </c>
      <c r="DR3" s="99" t="s">
        <v>46</v>
      </c>
      <c r="DS3" s="99" t="s">
        <v>24</v>
      </c>
      <c r="DT3" s="99" t="s">
        <v>79</v>
      </c>
      <c r="DV3" s="103"/>
      <c r="DW3" s="219" t="s">
        <v>95</v>
      </c>
      <c r="DX3" s="219"/>
      <c r="DY3" s="219"/>
      <c r="DZ3" s="219"/>
      <c r="EA3" s="219"/>
      <c r="EB3" s="219"/>
      <c r="EC3" s="219"/>
      <c r="ED3" s="219"/>
    </row>
    <row r="4" spans="1:134" ht="15.95" customHeight="1" thickBot="1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88"/>
      <c r="K4" s="22">
        <v>0</v>
      </c>
      <c r="L4" s="98" t="s">
        <v>163</v>
      </c>
      <c r="M4" s="98" t="s">
        <v>163</v>
      </c>
      <c r="N4" s="98" t="s">
        <v>38</v>
      </c>
      <c r="O4" s="98" t="s">
        <v>78</v>
      </c>
      <c r="P4" s="98" t="s">
        <v>36</v>
      </c>
      <c r="Q4" s="98" t="s">
        <v>26</v>
      </c>
      <c r="R4" s="37" t="s">
        <v>26</v>
      </c>
      <c r="T4" s="97">
        <f>VLOOKUP(L4, $A$4:$I$29, 9, 0)</f>
        <v>7</v>
      </c>
      <c r="U4" s="97">
        <f t="shared" ref="U4:Z4" si="1">VLOOKUP(M4, $A$4:$I$29, 9, 0)</f>
        <v>7</v>
      </c>
      <c r="V4" s="97">
        <f t="shared" si="1"/>
        <v>9</v>
      </c>
      <c r="W4" s="97">
        <f t="shared" si="1"/>
        <v>6</v>
      </c>
      <c r="X4" s="97">
        <f t="shared" si="1"/>
        <v>5</v>
      </c>
      <c r="Y4" s="97">
        <f t="shared" si="1"/>
        <v>8</v>
      </c>
      <c r="Z4" s="97">
        <f t="shared" si="1"/>
        <v>8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  <c r="AT4" s="7" t="s">
        <v>81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88"/>
      <c r="BD4" s="22">
        <v>0</v>
      </c>
      <c r="BE4" s="98" t="s">
        <v>163</v>
      </c>
      <c r="BF4" s="98" t="s">
        <v>163</v>
      </c>
      <c r="BG4" s="98" t="s">
        <v>38</v>
      </c>
      <c r="BH4" s="98" t="s">
        <v>78</v>
      </c>
      <c r="BI4" s="98" t="s">
        <v>36</v>
      </c>
      <c r="BJ4" s="98" t="s">
        <v>26</v>
      </c>
      <c r="BK4" s="37" t="s">
        <v>26</v>
      </c>
      <c r="BM4" s="97">
        <f>VLOOKUP(BE4, $A$4:$I$29, 9, 0)</f>
        <v>7</v>
      </c>
      <c r="BN4" s="97">
        <f t="shared" ref="BN4:BS4" si="3">VLOOKUP(BF4, $A$4:$I$29, 9, 0)</f>
        <v>7</v>
      </c>
      <c r="BO4" s="97">
        <f t="shared" si="3"/>
        <v>9</v>
      </c>
      <c r="BP4" s="97">
        <f t="shared" si="3"/>
        <v>6</v>
      </c>
      <c r="BQ4" s="97">
        <f t="shared" si="3"/>
        <v>5</v>
      </c>
      <c r="BR4" s="97">
        <f t="shared" si="3"/>
        <v>8</v>
      </c>
      <c r="BS4" s="97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65" t="s">
        <v>53</v>
      </c>
      <c r="CD4" s="66" t="s">
        <v>13</v>
      </c>
      <c r="CE4" s="66" t="s">
        <v>14</v>
      </c>
      <c r="CF4" s="66" t="s">
        <v>15</v>
      </c>
      <c r="CG4" s="66" t="s">
        <v>16</v>
      </c>
      <c r="CH4" s="66" t="s">
        <v>17</v>
      </c>
      <c r="CI4" s="66" t="s">
        <v>59</v>
      </c>
      <c r="CJ4" s="67" t="s">
        <v>79</v>
      </c>
      <c r="CK4" s="68" t="s">
        <v>4</v>
      </c>
      <c r="CM4" s="7" t="s">
        <v>81</v>
      </c>
      <c r="CN4" s="15">
        <f>COUNTIF(CX$4:CX$304,$A4)</f>
        <v>0</v>
      </c>
      <c r="CO4" s="15">
        <f t="shared" ref="CO4:CO28" si="4">COUNTIF(CY$4:CY$304,$A4)</f>
        <v>0</v>
      </c>
      <c r="CP4" s="15">
        <f t="shared" ref="CP4:CP28" si="5">COUNTIF(CZ$4:CZ$304,$A4)</f>
        <v>0</v>
      </c>
      <c r="CQ4" s="15">
        <f t="shared" ref="CQ4:CQ28" si="6">COUNTIF(DA$4:DA$304,$A4)</f>
        <v>0</v>
      </c>
      <c r="CR4" s="15">
        <f t="shared" ref="CR4:CR28" si="7">COUNTIF(DB$4:DB$304,$A4)</f>
        <v>0</v>
      </c>
      <c r="CS4" s="15">
        <f t="shared" ref="CS4:CS28" si="8">COUNTIF(DC$4:DC$304,$A4)</f>
        <v>0</v>
      </c>
      <c r="CT4" s="15">
        <f t="shared" ref="CT4:CT28" si="9">COUNTIF(DD$4:DD$304,$A4)</f>
        <v>0</v>
      </c>
      <c r="CU4" s="7">
        <v>0</v>
      </c>
      <c r="CV4" s="88"/>
      <c r="CW4" s="22">
        <v>0</v>
      </c>
      <c r="CX4" s="98" t="s">
        <v>163</v>
      </c>
      <c r="CY4" s="98" t="s">
        <v>163</v>
      </c>
      <c r="CZ4" s="98" t="s">
        <v>38</v>
      </c>
      <c r="DA4" s="98" t="s">
        <v>78</v>
      </c>
      <c r="DB4" s="98" t="s">
        <v>36</v>
      </c>
      <c r="DC4" s="98" t="s">
        <v>26</v>
      </c>
      <c r="DD4" s="37" t="s">
        <v>26</v>
      </c>
      <c r="DF4" s="97">
        <f>VLOOKUP(CX4, $A$4:$I$29, 9, 0)</f>
        <v>7</v>
      </c>
      <c r="DG4" s="97">
        <f t="shared" ref="DG4:DG67" si="10">VLOOKUP(CY4, $A$4:$I$29, 9, 0)</f>
        <v>7</v>
      </c>
      <c r="DH4" s="97">
        <f t="shared" ref="DH4:DH67" si="11">VLOOKUP(CZ4, $A$4:$I$29, 9, 0)</f>
        <v>9</v>
      </c>
      <c r="DI4" s="97">
        <f t="shared" ref="DI4:DI67" si="12">VLOOKUP(DA4, $A$4:$I$29, 9, 0)</f>
        <v>6</v>
      </c>
      <c r="DJ4" s="97">
        <f t="shared" ref="DJ4:DJ67" si="13">VLOOKUP(DB4, $A$4:$I$29, 9, 0)</f>
        <v>5</v>
      </c>
      <c r="DK4" s="97">
        <f t="shared" ref="DK4:DK67" si="14">VLOOKUP(DC4, $A$4:$I$29, 9, 0)</f>
        <v>8</v>
      </c>
      <c r="DL4" s="97">
        <f t="shared" ref="DL4:DL67" si="15">VLOOKUP(DD4, $A$4:$I$29, 9, 0)</f>
        <v>8</v>
      </c>
      <c r="DN4" s="25">
        <v>1</v>
      </c>
      <c r="DO4" s="25">
        <v>1</v>
      </c>
      <c r="DP4" s="25">
        <v>1</v>
      </c>
      <c r="DQ4" s="25">
        <v>1</v>
      </c>
      <c r="DR4" s="25">
        <v>1</v>
      </c>
      <c r="DS4" s="25">
        <v>1</v>
      </c>
      <c r="DT4" s="7">
        <v>1</v>
      </c>
      <c r="DV4" s="65" t="s">
        <v>53</v>
      </c>
      <c r="DW4" s="66" t="s">
        <v>13</v>
      </c>
      <c r="DX4" s="66" t="s">
        <v>14</v>
      </c>
      <c r="DY4" s="66" t="s">
        <v>15</v>
      </c>
      <c r="DZ4" s="66" t="s">
        <v>16</v>
      </c>
      <c r="EA4" s="66" t="s">
        <v>17</v>
      </c>
      <c r="EB4" s="66" t="s">
        <v>59</v>
      </c>
      <c r="EC4" s="67" t="s">
        <v>79</v>
      </c>
      <c r="ED4" s="68" t="s">
        <v>4</v>
      </c>
    </row>
    <row r="5" spans="1:134" ht="15.95" customHeight="1">
      <c r="A5" s="7" t="s">
        <v>20</v>
      </c>
      <c r="B5" s="15">
        <f t="shared" ref="B5:B29" si="16">COUNTIF(L$4:L$304,$A5)</f>
        <v>0</v>
      </c>
      <c r="C5" s="15">
        <f t="shared" ref="C5:C29" si="17">COUNTIF(M$4:M$304,$A5)</f>
        <v>0</v>
      </c>
      <c r="D5" s="15">
        <f t="shared" ref="D5:D29" si="18">COUNTIF(N$4:N$304,$A5)</f>
        <v>0</v>
      </c>
      <c r="E5" s="15">
        <f t="shared" ref="E5:E29" si="19">COUNTIF(O$4:O$304,$A5)</f>
        <v>0</v>
      </c>
      <c r="F5" s="15">
        <f t="shared" ref="F5:F29" si="20">COUNTIF(P$4:P$304,$A5)</f>
        <v>0</v>
      </c>
      <c r="G5" s="15">
        <f t="shared" ref="G5:G29" si="21">COUNTIF(Q$4:Q$304,$A5)</f>
        <v>0</v>
      </c>
      <c r="H5" s="15">
        <f t="shared" ref="H5:H29" si="22">COUNTIF(R$4:R$304,$A5)</f>
        <v>0</v>
      </c>
      <c r="I5" s="7">
        <v>1</v>
      </c>
      <c r="J5" s="88"/>
      <c r="K5" s="21">
        <v>1</v>
      </c>
      <c r="L5" s="98" t="s">
        <v>38</v>
      </c>
      <c r="M5" s="98" t="s">
        <v>40</v>
      </c>
      <c r="N5" s="98" t="s">
        <v>38</v>
      </c>
      <c r="O5" s="98" t="s">
        <v>26</v>
      </c>
      <c r="P5" s="98" t="s">
        <v>207</v>
      </c>
      <c r="Q5" s="98" t="s">
        <v>38</v>
      </c>
      <c r="R5" s="37" t="s">
        <v>26</v>
      </c>
      <c r="T5" s="97">
        <f t="shared" ref="T5:T68" si="23">VLOOKUP(L5, $A$4:$I$29, 9, 0)</f>
        <v>9</v>
      </c>
      <c r="U5" s="97">
        <f t="shared" ref="U5:U68" si="24">VLOOKUP(M5, $A$4:$I$29, 9, 0)</f>
        <v>11</v>
      </c>
      <c r="V5" s="97">
        <f t="shared" ref="V5:V68" si="25">VLOOKUP(N5, $A$4:$I$29, 9, 0)</f>
        <v>9</v>
      </c>
      <c r="W5" s="97">
        <f t="shared" ref="W5:W68" si="26">VLOOKUP(O5, $A$4:$I$29, 9, 0)</f>
        <v>8</v>
      </c>
      <c r="X5" s="97">
        <f t="shared" ref="X5:X68" si="27">VLOOKUP(P5, $A$4:$I$29, 9, 0)</f>
        <v>16</v>
      </c>
      <c r="Y5" s="97">
        <f t="shared" ref="Y5:Y68" si="28">VLOOKUP(Q5, $A$4:$I$29, 9, 0)</f>
        <v>9</v>
      </c>
      <c r="Z5" s="97">
        <f t="shared" ref="Z5:Z68" si="29">VLOOKUP(R5, $A$4:$I$29, 9, 0)</f>
        <v>8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73">
        <v>0</v>
      </c>
      <c r="AT5" s="7" t="s">
        <v>20</v>
      </c>
      <c r="AU5" s="15">
        <f t="shared" ref="AU5:AU29" si="30">COUNTIF(BE$4:BE$304,$A5)</f>
        <v>0</v>
      </c>
      <c r="AV5" s="15">
        <f t="shared" ref="AV5:AV29" si="31">COUNTIF(BF$4:BF$304,$A5)</f>
        <v>0</v>
      </c>
      <c r="AW5" s="15">
        <f t="shared" ref="AW5:AW29" si="32">COUNTIF(BG$4:BG$304,$A5)</f>
        <v>0</v>
      </c>
      <c r="AX5" s="15">
        <f t="shared" ref="AX5:AX29" si="33">COUNTIF(BH$4:BH$304,$A5)</f>
        <v>0</v>
      </c>
      <c r="AY5" s="15">
        <f t="shared" ref="AY5:AY29" si="34">COUNTIF(BI$4:BI$304,$A5)</f>
        <v>0</v>
      </c>
      <c r="AZ5" s="15">
        <f t="shared" ref="AZ5:AZ29" si="35">COUNTIF(BJ$4:BJ$304,$A5)</f>
        <v>0</v>
      </c>
      <c r="BA5" s="15">
        <f t="shared" ref="BA5:BA29" si="36">COUNTIF(BK$4:BK$304,$A5)</f>
        <v>0</v>
      </c>
      <c r="BB5" s="7">
        <v>1</v>
      </c>
      <c r="BC5" s="88"/>
      <c r="BD5" s="21">
        <v>1</v>
      </c>
      <c r="BE5" s="98" t="s">
        <v>38</v>
      </c>
      <c r="BF5" s="98" t="s">
        <v>40</v>
      </c>
      <c r="BG5" s="98" t="s">
        <v>38</v>
      </c>
      <c r="BH5" s="98" t="s">
        <v>26</v>
      </c>
      <c r="BI5" s="98" t="s">
        <v>207</v>
      </c>
      <c r="BJ5" s="98" t="s">
        <v>38</v>
      </c>
      <c r="BK5" s="37" t="s">
        <v>26</v>
      </c>
      <c r="BM5" s="97">
        <f t="shared" ref="BM5:BM68" si="37">VLOOKUP(BE5, $A$4:$I$29, 9, 0)</f>
        <v>9</v>
      </c>
      <c r="BN5" s="97">
        <f t="shared" ref="BN5:BN68" si="38">VLOOKUP(BF5, $A$4:$I$29, 9, 0)</f>
        <v>11</v>
      </c>
      <c r="BO5" s="97">
        <f t="shared" ref="BO5:BO68" si="39">VLOOKUP(BG5, $A$4:$I$29, 9, 0)</f>
        <v>9</v>
      </c>
      <c r="BP5" s="97">
        <f t="shared" ref="BP5:BP68" si="40">VLOOKUP(BH5, $A$4:$I$29, 9, 0)</f>
        <v>8</v>
      </c>
      <c r="BQ5" s="97">
        <f t="shared" ref="BQ5:BQ68" si="41">VLOOKUP(BI5, $A$4:$I$29, 9, 0)</f>
        <v>16</v>
      </c>
      <c r="BR5" s="97">
        <f t="shared" ref="BR5:BR68" si="42">VLOOKUP(BJ5, $A$4:$I$29, 9, 0)</f>
        <v>9</v>
      </c>
      <c r="BS5" s="97">
        <f t="shared" ref="BS5:BS68" si="43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69" t="s">
        <v>81</v>
      </c>
      <c r="CD5" s="70">
        <v>0</v>
      </c>
      <c r="CE5" s="71">
        <v>0</v>
      </c>
      <c r="CF5" s="71">
        <v>0</v>
      </c>
      <c r="CG5" s="71">
        <v>0</v>
      </c>
      <c r="CH5" s="71">
        <v>0</v>
      </c>
      <c r="CI5" s="71">
        <v>0</v>
      </c>
      <c r="CJ5" s="72">
        <v>0</v>
      </c>
      <c r="CK5" s="73">
        <v>0</v>
      </c>
      <c r="CM5" s="7" t="s">
        <v>20</v>
      </c>
      <c r="CN5" s="15">
        <f t="shared" ref="CN5:CN28" si="44">COUNTIF(CX$4:CX$304,$A5)</f>
        <v>0</v>
      </c>
      <c r="CO5" s="15">
        <f t="shared" si="4"/>
        <v>0</v>
      </c>
      <c r="CP5" s="15">
        <f t="shared" si="5"/>
        <v>0</v>
      </c>
      <c r="CQ5" s="15">
        <f t="shared" si="6"/>
        <v>0</v>
      </c>
      <c r="CR5" s="15">
        <f t="shared" si="7"/>
        <v>0</v>
      </c>
      <c r="CS5" s="15">
        <f t="shared" si="8"/>
        <v>0</v>
      </c>
      <c r="CT5" s="15">
        <f t="shared" si="9"/>
        <v>0</v>
      </c>
      <c r="CU5" s="7">
        <v>1</v>
      </c>
      <c r="CV5" s="88"/>
      <c r="CW5" s="21">
        <v>1</v>
      </c>
      <c r="CX5" s="98" t="s">
        <v>38</v>
      </c>
      <c r="CY5" s="98" t="s">
        <v>40</v>
      </c>
      <c r="CZ5" s="98" t="s">
        <v>38</v>
      </c>
      <c r="DA5" s="98" t="s">
        <v>26</v>
      </c>
      <c r="DB5" s="98" t="s">
        <v>207</v>
      </c>
      <c r="DC5" s="98" t="s">
        <v>38</v>
      </c>
      <c r="DD5" s="37" t="s">
        <v>26</v>
      </c>
      <c r="DF5" s="97">
        <f t="shared" ref="DF5:DF68" si="45">VLOOKUP(CX5, $A$4:$I$29, 9, 0)</f>
        <v>9</v>
      </c>
      <c r="DG5" s="97">
        <f t="shared" si="10"/>
        <v>11</v>
      </c>
      <c r="DH5" s="97">
        <f t="shared" si="11"/>
        <v>9</v>
      </c>
      <c r="DI5" s="97">
        <f t="shared" si="12"/>
        <v>8</v>
      </c>
      <c r="DJ5" s="97">
        <f t="shared" si="13"/>
        <v>16</v>
      </c>
      <c r="DK5" s="97">
        <f t="shared" si="14"/>
        <v>9</v>
      </c>
      <c r="DL5" s="97">
        <f t="shared" si="15"/>
        <v>8</v>
      </c>
      <c r="DN5" s="25">
        <v>1</v>
      </c>
      <c r="DO5" s="25">
        <v>1</v>
      </c>
      <c r="DP5" s="25">
        <v>1</v>
      </c>
      <c r="DQ5" s="25">
        <v>1</v>
      </c>
      <c r="DR5" s="25">
        <v>1</v>
      </c>
      <c r="DS5" s="25">
        <v>1</v>
      </c>
      <c r="DT5" s="7">
        <v>1</v>
      </c>
      <c r="DV5" s="69" t="s">
        <v>81</v>
      </c>
      <c r="DW5" s="70">
        <v>0</v>
      </c>
      <c r="DX5" s="71">
        <v>0</v>
      </c>
      <c r="DY5" s="71">
        <v>0</v>
      </c>
      <c r="DZ5" s="71">
        <v>0</v>
      </c>
      <c r="EA5" s="71">
        <v>0</v>
      </c>
      <c r="EB5" s="71">
        <v>0</v>
      </c>
      <c r="EC5" s="72">
        <v>0</v>
      </c>
      <c r="ED5" s="73">
        <v>0</v>
      </c>
    </row>
    <row r="6" spans="1:134" ht="15.95" customHeight="1">
      <c r="A6" s="7" t="s">
        <v>21</v>
      </c>
      <c r="B6" s="15">
        <f t="shared" si="16"/>
        <v>2</v>
      </c>
      <c r="C6" s="15">
        <f t="shared" si="17"/>
        <v>2</v>
      </c>
      <c r="D6" s="15">
        <f t="shared" si="18"/>
        <v>2</v>
      </c>
      <c r="E6" s="15">
        <f t="shared" si="19"/>
        <v>4</v>
      </c>
      <c r="F6" s="15">
        <f t="shared" si="20"/>
        <v>2</v>
      </c>
      <c r="G6" s="15">
        <f t="shared" si="21"/>
        <v>4</v>
      </c>
      <c r="H6" s="15">
        <f t="shared" si="22"/>
        <v>6</v>
      </c>
      <c r="I6" s="7">
        <v>2</v>
      </c>
      <c r="K6" s="22">
        <v>2</v>
      </c>
      <c r="L6" s="98" t="s">
        <v>40</v>
      </c>
      <c r="M6" s="98" t="s">
        <v>41</v>
      </c>
      <c r="N6" s="98" t="s">
        <v>34</v>
      </c>
      <c r="O6" s="98" t="s">
        <v>26</v>
      </c>
      <c r="P6" s="98" t="s">
        <v>78</v>
      </c>
      <c r="Q6" s="98" t="s">
        <v>78</v>
      </c>
      <c r="R6" s="37" t="s">
        <v>26</v>
      </c>
      <c r="T6" s="97">
        <f t="shared" si="23"/>
        <v>11</v>
      </c>
      <c r="U6" s="97">
        <f t="shared" si="24"/>
        <v>12</v>
      </c>
      <c r="V6" s="97">
        <f t="shared" si="25"/>
        <v>3</v>
      </c>
      <c r="W6" s="97">
        <f t="shared" si="26"/>
        <v>8</v>
      </c>
      <c r="X6" s="97">
        <f t="shared" si="27"/>
        <v>6</v>
      </c>
      <c r="Y6" s="97">
        <f t="shared" si="28"/>
        <v>6</v>
      </c>
      <c r="Z6" s="97">
        <f t="shared" si="29"/>
        <v>8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5</v>
      </c>
      <c r="AL6" s="91">
        <v>3</v>
      </c>
      <c r="AM6" s="91">
        <v>3</v>
      </c>
      <c r="AN6" s="91">
        <v>5</v>
      </c>
      <c r="AO6" s="91">
        <v>5</v>
      </c>
      <c r="AP6" s="91">
        <v>5</v>
      </c>
      <c r="AQ6" s="92">
        <v>0</v>
      </c>
      <c r="AR6" s="78">
        <v>1</v>
      </c>
      <c r="AT6" s="7" t="s">
        <v>21</v>
      </c>
      <c r="AU6" s="15">
        <f t="shared" si="30"/>
        <v>0</v>
      </c>
      <c r="AV6" s="15">
        <f t="shared" si="31"/>
        <v>0</v>
      </c>
      <c r="AW6" s="15">
        <f t="shared" si="32"/>
        <v>0</v>
      </c>
      <c r="AX6" s="15">
        <f t="shared" si="33"/>
        <v>0</v>
      </c>
      <c r="AY6" s="15">
        <f t="shared" si="34"/>
        <v>0</v>
      </c>
      <c r="AZ6" s="15">
        <f t="shared" si="35"/>
        <v>0</v>
      </c>
      <c r="BA6" s="15">
        <f t="shared" si="36"/>
        <v>0</v>
      </c>
      <c r="BB6" s="7">
        <v>2</v>
      </c>
      <c r="BD6" s="22">
        <v>2</v>
      </c>
      <c r="BE6" s="98" t="s">
        <v>40</v>
      </c>
      <c r="BF6" s="98" t="s">
        <v>41</v>
      </c>
      <c r="BG6" s="98" t="s">
        <v>34</v>
      </c>
      <c r="BH6" s="98" t="s">
        <v>26</v>
      </c>
      <c r="BI6" s="98" t="s">
        <v>78</v>
      </c>
      <c r="BJ6" s="98" t="s">
        <v>78</v>
      </c>
      <c r="BK6" s="37" t="s">
        <v>26</v>
      </c>
      <c r="BM6" s="97">
        <f t="shared" si="37"/>
        <v>11</v>
      </c>
      <c r="BN6" s="97">
        <f t="shared" si="38"/>
        <v>12</v>
      </c>
      <c r="BO6" s="97">
        <f t="shared" si="39"/>
        <v>3</v>
      </c>
      <c r="BP6" s="97">
        <f t="shared" si="40"/>
        <v>8</v>
      </c>
      <c r="BQ6" s="97">
        <f t="shared" si="41"/>
        <v>6</v>
      </c>
      <c r="BR6" s="97">
        <f t="shared" si="42"/>
        <v>6</v>
      </c>
      <c r="BS6" s="97">
        <f t="shared" si="43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100" t="s">
        <v>20</v>
      </c>
      <c r="CD6" s="90">
        <v>5</v>
      </c>
      <c r="CE6" s="91">
        <v>3</v>
      </c>
      <c r="CF6" s="91">
        <v>3</v>
      </c>
      <c r="CG6" s="91">
        <v>5</v>
      </c>
      <c r="CH6" s="91">
        <v>5</v>
      </c>
      <c r="CI6" s="91">
        <v>5</v>
      </c>
      <c r="CJ6" s="92">
        <v>0</v>
      </c>
      <c r="CK6" s="78">
        <v>1</v>
      </c>
      <c r="CM6" s="7" t="s">
        <v>21</v>
      </c>
      <c r="CN6" s="15">
        <f t="shared" si="44"/>
        <v>1</v>
      </c>
      <c r="CO6" s="15">
        <f t="shared" si="4"/>
        <v>0</v>
      </c>
      <c r="CP6" s="15">
        <f t="shared" si="5"/>
        <v>1</v>
      </c>
      <c r="CQ6" s="15">
        <f t="shared" si="6"/>
        <v>1</v>
      </c>
      <c r="CR6" s="15">
        <f t="shared" si="7"/>
        <v>0</v>
      </c>
      <c r="CS6" s="15">
        <f t="shared" si="8"/>
        <v>1</v>
      </c>
      <c r="CT6" s="15">
        <f t="shared" si="9"/>
        <v>1</v>
      </c>
      <c r="CU6" s="7">
        <v>2</v>
      </c>
      <c r="CW6" s="22">
        <v>2</v>
      </c>
      <c r="CX6" s="98" t="s">
        <v>40</v>
      </c>
      <c r="CY6" s="98" t="s">
        <v>41</v>
      </c>
      <c r="CZ6" s="98" t="s">
        <v>34</v>
      </c>
      <c r="DA6" s="98" t="s">
        <v>26</v>
      </c>
      <c r="DB6" s="98" t="s">
        <v>78</v>
      </c>
      <c r="DC6" s="98" t="s">
        <v>78</v>
      </c>
      <c r="DD6" s="37" t="s">
        <v>26</v>
      </c>
      <c r="DF6" s="97">
        <f t="shared" si="45"/>
        <v>11</v>
      </c>
      <c r="DG6" s="97">
        <f t="shared" si="10"/>
        <v>12</v>
      </c>
      <c r="DH6" s="97">
        <f t="shared" si="11"/>
        <v>3</v>
      </c>
      <c r="DI6" s="97">
        <f t="shared" si="12"/>
        <v>8</v>
      </c>
      <c r="DJ6" s="97">
        <f t="shared" si="13"/>
        <v>6</v>
      </c>
      <c r="DK6" s="97">
        <f t="shared" si="14"/>
        <v>6</v>
      </c>
      <c r="DL6" s="97">
        <f t="shared" si="15"/>
        <v>8</v>
      </c>
      <c r="DN6" s="25">
        <v>1</v>
      </c>
      <c r="DO6" s="25">
        <v>1</v>
      </c>
      <c r="DP6" s="25">
        <v>1</v>
      </c>
      <c r="DQ6" s="25">
        <v>1</v>
      </c>
      <c r="DR6" s="25">
        <v>1</v>
      </c>
      <c r="DS6" s="25">
        <v>1</v>
      </c>
      <c r="DT6" s="7">
        <v>1</v>
      </c>
      <c r="DV6" s="100" t="s">
        <v>20</v>
      </c>
      <c r="DW6" s="90">
        <v>5</v>
      </c>
      <c r="DX6" s="91">
        <v>3</v>
      </c>
      <c r="DY6" s="91">
        <v>3</v>
      </c>
      <c r="DZ6" s="91">
        <v>5</v>
      </c>
      <c r="EA6" s="91">
        <v>5</v>
      </c>
      <c r="EB6" s="91">
        <v>5</v>
      </c>
      <c r="EC6" s="92">
        <v>0</v>
      </c>
      <c r="ED6" s="78">
        <v>1</v>
      </c>
    </row>
    <row r="7" spans="1:134" ht="15.95" customHeight="1">
      <c r="A7" s="26" t="s">
        <v>22</v>
      </c>
      <c r="B7" s="15">
        <f t="shared" si="16"/>
        <v>3</v>
      </c>
      <c r="C7" s="15">
        <f t="shared" si="17"/>
        <v>10</v>
      </c>
      <c r="D7" s="15">
        <f t="shared" si="18"/>
        <v>7</v>
      </c>
      <c r="E7" s="15">
        <f t="shared" si="19"/>
        <v>3</v>
      </c>
      <c r="F7" s="15">
        <f t="shared" si="20"/>
        <v>8</v>
      </c>
      <c r="G7" s="15">
        <f t="shared" si="21"/>
        <v>0</v>
      </c>
      <c r="H7" s="15">
        <f t="shared" si="22"/>
        <v>12</v>
      </c>
      <c r="I7" s="7">
        <v>3</v>
      </c>
      <c r="K7" s="21">
        <v>3</v>
      </c>
      <c r="L7" s="98" t="s">
        <v>41</v>
      </c>
      <c r="M7" s="98" t="s">
        <v>99</v>
      </c>
      <c r="N7" s="98" t="s">
        <v>163</v>
      </c>
      <c r="O7" s="98" t="s">
        <v>26</v>
      </c>
      <c r="P7" s="98" t="s">
        <v>78</v>
      </c>
      <c r="Q7" s="98" t="s">
        <v>41</v>
      </c>
      <c r="R7" s="37" t="s">
        <v>26</v>
      </c>
      <c r="T7" s="97">
        <f t="shared" si="23"/>
        <v>12</v>
      </c>
      <c r="U7" s="97">
        <f t="shared" si="24"/>
        <v>13</v>
      </c>
      <c r="V7" s="97">
        <f t="shared" si="25"/>
        <v>7</v>
      </c>
      <c r="W7" s="97">
        <f t="shared" si="26"/>
        <v>8</v>
      </c>
      <c r="X7" s="97">
        <f t="shared" si="27"/>
        <v>6</v>
      </c>
      <c r="Y7" s="97">
        <f t="shared" si="28"/>
        <v>12</v>
      </c>
      <c r="Z7" s="97">
        <f t="shared" si="29"/>
        <v>8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40</v>
      </c>
      <c r="AL7" s="91">
        <v>40</v>
      </c>
      <c r="AM7" s="91">
        <v>20</v>
      </c>
      <c r="AN7" s="91">
        <v>40</v>
      </c>
      <c r="AO7" s="91">
        <v>40</v>
      </c>
      <c r="AP7" s="91">
        <v>1</v>
      </c>
      <c r="AQ7" s="92">
        <v>1</v>
      </c>
      <c r="AR7" s="78">
        <v>2</v>
      </c>
      <c r="AT7" s="26" t="s">
        <v>22</v>
      </c>
      <c r="AU7" s="15">
        <f t="shared" si="30"/>
        <v>1</v>
      </c>
      <c r="AV7" s="15">
        <f t="shared" si="31"/>
        <v>12</v>
      </c>
      <c r="AW7" s="15">
        <f t="shared" si="32"/>
        <v>7</v>
      </c>
      <c r="AX7" s="15">
        <f t="shared" si="33"/>
        <v>3</v>
      </c>
      <c r="AY7" s="15">
        <f t="shared" si="34"/>
        <v>9</v>
      </c>
      <c r="AZ7" s="15">
        <f t="shared" si="35"/>
        <v>0</v>
      </c>
      <c r="BA7" s="15">
        <f t="shared" si="36"/>
        <v>12</v>
      </c>
      <c r="BB7" s="7">
        <v>3</v>
      </c>
      <c r="BD7" s="21">
        <v>3</v>
      </c>
      <c r="BE7" s="98" t="s">
        <v>41</v>
      </c>
      <c r="BF7" s="98" t="s">
        <v>39</v>
      </c>
      <c r="BG7" s="98" t="s">
        <v>26</v>
      </c>
      <c r="BH7" s="98" t="s">
        <v>26</v>
      </c>
      <c r="BI7" s="98" t="s">
        <v>78</v>
      </c>
      <c r="BJ7" s="98" t="s">
        <v>41</v>
      </c>
      <c r="BK7" s="37" t="s">
        <v>26</v>
      </c>
      <c r="BM7" s="97">
        <f t="shared" si="37"/>
        <v>12</v>
      </c>
      <c r="BN7" s="97">
        <f t="shared" si="38"/>
        <v>10</v>
      </c>
      <c r="BO7" s="97">
        <f t="shared" si="39"/>
        <v>8</v>
      </c>
      <c r="BP7" s="97">
        <f t="shared" si="40"/>
        <v>8</v>
      </c>
      <c r="BQ7" s="97">
        <f t="shared" si="41"/>
        <v>6</v>
      </c>
      <c r="BR7" s="97">
        <f t="shared" si="42"/>
        <v>12</v>
      </c>
      <c r="BS7" s="97">
        <f t="shared" si="43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100" t="s">
        <v>21</v>
      </c>
      <c r="CD7" s="90">
        <v>40</v>
      </c>
      <c r="CE7" s="91">
        <v>40</v>
      </c>
      <c r="CF7" s="91">
        <v>20</v>
      </c>
      <c r="CG7" s="91">
        <v>40</v>
      </c>
      <c r="CH7" s="91">
        <v>40</v>
      </c>
      <c r="CI7" s="91">
        <v>1</v>
      </c>
      <c r="CJ7" s="92">
        <v>1</v>
      </c>
      <c r="CK7" s="78">
        <v>2</v>
      </c>
      <c r="CM7" s="26" t="s">
        <v>22</v>
      </c>
      <c r="CN7" s="15">
        <f t="shared" si="44"/>
        <v>1</v>
      </c>
      <c r="CO7" s="15">
        <f t="shared" si="4"/>
        <v>12</v>
      </c>
      <c r="CP7" s="15">
        <f t="shared" si="5"/>
        <v>7</v>
      </c>
      <c r="CQ7" s="15">
        <f t="shared" si="6"/>
        <v>3</v>
      </c>
      <c r="CR7" s="15">
        <f t="shared" si="7"/>
        <v>9</v>
      </c>
      <c r="CS7" s="15">
        <f t="shared" si="8"/>
        <v>0</v>
      </c>
      <c r="CT7" s="15">
        <f t="shared" si="9"/>
        <v>12</v>
      </c>
      <c r="CU7" s="7">
        <v>3</v>
      </c>
      <c r="CW7" s="21">
        <v>3</v>
      </c>
      <c r="CX7" s="98" t="s">
        <v>41</v>
      </c>
      <c r="CY7" s="98" t="s">
        <v>39</v>
      </c>
      <c r="CZ7" s="98" t="s">
        <v>26</v>
      </c>
      <c r="DA7" s="98" t="s">
        <v>26</v>
      </c>
      <c r="DB7" s="98" t="s">
        <v>78</v>
      </c>
      <c r="DC7" s="98" t="s">
        <v>41</v>
      </c>
      <c r="DD7" s="37" t="s">
        <v>26</v>
      </c>
      <c r="DF7" s="97">
        <f t="shared" si="45"/>
        <v>12</v>
      </c>
      <c r="DG7" s="97">
        <f t="shared" si="10"/>
        <v>10</v>
      </c>
      <c r="DH7" s="97">
        <f t="shared" si="11"/>
        <v>8</v>
      </c>
      <c r="DI7" s="97">
        <f t="shared" si="12"/>
        <v>8</v>
      </c>
      <c r="DJ7" s="97">
        <f t="shared" si="13"/>
        <v>6</v>
      </c>
      <c r="DK7" s="97">
        <f t="shared" si="14"/>
        <v>12</v>
      </c>
      <c r="DL7" s="97">
        <f t="shared" si="15"/>
        <v>8</v>
      </c>
      <c r="DN7" s="25">
        <v>1</v>
      </c>
      <c r="DO7" s="25">
        <v>1</v>
      </c>
      <c r="DP7" s="25">
        <v>1</v>
      </c>
      <c r="DQ7" s="25">
        <v>1</v>
      </c>
      <c r="DR7" s="25">
        <v>1</v>
      </c>
      <c r="DS7" s="25">
        <v>1</v>
      </c>
      <c r="DT7" s="7">
        <v>1</v>
      </c>
      <c r="DV7" s="100" t="s">
        <v>21</v>
      </c>
      <c r="DW7" s="90">
        <v>40</v>
      </c>
      <c r="DX7" s="91">
        <v>40</v>
      </c>
      <c r="DY7" s="91">
        <v>20</v>
      </c>
      <c r="DZ7" s="91">
        <v>40</v>
      </c>
      <c r="EA7" s="91">
        <v>40</v>
      </c>
      <c r="EB7" s="91">
        <v>1</v>
      </c>
      <c r="EC7" s="92">
        <v>1</v>
      </c>
      <c r="ED7" s="78">
        <v>2</v>
      </c>
    </row>
    <row r="8" spans="1:134" ht="15.95" customHeight="1">
      <c r="A8" s="27" t="s">
        <v>18</v>
      </c>
      <c r="B8" s="15">
        <f t="shared" si="16"/>
        <v>3</v>
      </c>
      <c r="C8" s="15">
        <f t="shared" si="17"/>
        <v>3</v>
      </c>
      <c r="D8" s="15">
        <f t="shared" si="18"/>
        <v>3</v>
      </c>
      <c r="E8" s="15">
        <f t="shared" si="19"/>
        <v>8</v>
      </c>
      <c r="F8" s="15">
        <f t="shared" si="20"/>
        <v>3</v>
      </c>
      <c r="G8" s="15">
        <f t="shared" si="21"/>
        <v>3</v>
      </c>
      <c r="H8" s="15">
        <f t="shared" si="22"/>
        <v>14</v>
      </c>
      <c r="I8" s="7">
        <v>4</v>
      </c>
      <c r="K8" s="22">
        <v>4</v>
      </c>
      <c r="L8" s="98" t="s">
        <v>38</v>
      </c>
      <c r="M8" s="98" t="s">
        <v>41</v>
      </c>
      <c r="N8" s="98" t="s">
        <v>204</v>
      </c>
      <c r="O8" s="98" t="s">
        <v>39</v>
      </c>
      <c r="P8" s="98" t="s">
        <v>38</v>
      </c>
      <c r="Q8" s="98" t="s">
        <v>41</v>
      </c>
      <c r="R8" s="37" t="s">
        <v>34</v>
      </c>
      <c r="T8" s="97">
        <f t="shared" si="23"/>
        <v>9</v>
      </c>
      <c r="U8" s="97">
        <f t="shared" si="24"/>
        <v>12</v>
      </c>
      <c r="V8" s="97">
        <f t="shared" si="25"/>
        <v>15</v>
      </c>
      <c r="W8" s="97">
        <f t="shared" si="26"/>
        <v>10</v>
      </c>
      <c r="X8" s="97">
        <f t="shared" si="27"/>
        <v>9</v>
      </c>
      <c r="Y8" s="97">
        <f t="shared" si="28"/>
        <v>12</v>
      </c>
      <c r="Z8" s="97">
        <f t="shared" si="29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100" t="s">
        <v>22</v>
      </c>
      <c r="AK8" s="90">
        <v>10</v>
      </c>
      <c r="AL8" s="91">
        <v>32</v>
      </c>
      <c r="AM8" s="91">
        <v>40</v>
      </c>
      <c r="AN8" s="91">
        <v>40</v>
      </c>
      <c r="AO8" s="91">
        <v>1</v>
      </c>
      <c r="AP8" s="91">
        <v>1</v>
      </c>
      <c r="AQ8" s="92">
        <v>1</v>
      </c>
      <c r="AR8" s="78">
        <v>3</v>
      </c>
      <c r="AT8" s="27" t="s">
        <v>18</v>
      </c>
      <c r="AU8" s="15">
        <f t="shared" si="30"/>
        <v>3</v>
      </c>
      <c r="AV8" s="15">
        <f t="shared" si="31"/>
        <v>1</v>
      </c>
      <c r="AW8" s="15">
        <f t="shared" si="32"/>
        <v>3</v>
      </c>
      <c r="AX8" s="15">
        <f t="shared" si="33"/>
        <v>8</v>
      </c>
      <c r="AY8" s="15">
        <f t="shared" si="34"/>
        <v>3</v>
      </c>
      <c r="AZ8" s="15">
        <f t="shared" si="35"/>
        <v>3</v>
      </c>
      <c r="BA8" s="15">
        <f t="shared" si="36"/>
        <v>14</v>
      </c>
      <c r="BB8" s="7">
        <v>4</v>
      </c>
      <c r="BD8" s="22">
        <v>4</v>
      </c>
      <c r="BE8" s="98" t="s">
        <v>38</v>
      </c>
      <c r="BF8" s="98" t="s">
        <v>41</v>
      </c>
      <c r="BG8" s="98" t="s">
        <v>204</v>
      </c>
      <c r="BH8" s="98" t="s">
        <v>39</v>
      </c>
      <c r="BI8" s="98" t="s">
        <v>38</v>
      </c>
      <c r="BJ8" s="98" t="s">
        <v>41</v>
      </c>
      <c r="BK8" s="37" t="s">
        <v>34</v>
      </c>
      <c r="BM8" s="97">
        <f t="shared" si="37"/>
        <v>9</v>
      </c>
      <c r="BN8" s="97">
        <f t="shared" si="38"/>
        <v>12</v>
      </c>
      <c r="BO8" s="97">
        <f t="shared" si="39"/>
        <v>15</v>
      </c>
      <c r="BP8" s="97">
        <f t="shared" si="40"/>
        <v>10</v>
      </c>
      <c r="BQ8" s="97">
        <f t="shared" si="41"/>
        <v>9</v>
      </c>
      <c r="BR8" s="97">
        <f t="shared" si="42"/>
        <v>12</v>
      </c>
      <c r="BS8" s="97">
        <f t="shared" si="43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100" t="s">
        <v>22</v>
      </c>
      <c r="CD8" s="90">
        <v>10</v>
      </c>
      <c r="CE8" s="91">
        <v>32</v>
      </c>
      <c r="CF8" s="91">
        <v>40</v>
      </c>
      <c r="CG8" s="91">
        <v>40</v>
      </c>
      <c r="CH8" s="91">
        <v>1</v>
      </c>
      <c r="CI8" s="91">
        <v>1</v>
      </c>
      <c r="CJ8" s="92">
        <v>1</v>
      </c>
      <c r="CK8" s="78">
        <v>3</v>
      </c>
      <c r="CM8" s="27" t="s">
        <v>18</v>
      </c>
      <c r="CN8" s="15">
        <f t="shared" si="44"/>
        <v>3</v>
      </c>
      <c r="CO8" s="15">
        <f t="shared" si="4"/>
        <v>1</v>
      </c>
      <c r="CP8" s="15">
        <f t="shared" si="5"/>
        <v>3</v>
      </c>
      <c r="CQ8" s="15">
        <f t="shared" si="6"/>
        <v>8</v>
      </c>
      <c r="CR8" s="15">
        <f t="shared" si="7"/>
        <v>3</v>
      </c>
      <c r="CS8" s="15">
        <f t="shared" si="8"/>
        <v>3</v>
      </c>
      <c r="CT8" s="15">
        <f t="shared" si="9"/>
        <v>14</v>
      </c>
      <c r="CU8" s="7">
        <v>4</v>
      </c>
      <c r="CW8" s="22">
        <v>4</v>
      </c>
      <c r="CX8" s="98" t="s">
        <v>38</v>
      </c>
      <c r="CY8" s="98" t="s">
        <v>41</v>
      </c>
      <c r="CZ8" s="98" t="s">
        <v>204</v>
      </c>
      <c r="DA8" s="98" t="s">
        <v>39</v>
      </c>
      <c r="DB8" s="98" t="s">
        <v>38</v>
      </c>
      <c r="DC8" s="98" t="s">
        <v>41</v>
      </c>
      <c r="DD8" s="37" t="s">
        <v>34</v>
      </c>
      <c r="DF8" s="97">
        <f t="shared" si="45"/>
        <v>9</v>
      </c>
      <c r="DG8" s="97">
        <f t="shared" si="10"/>
        <v>12</v>
      </c>
      <c r="DH8" s="97">
        <f t="shared" si="11"/>
        <v>15</v>
      </c>
      <c r="DI8" s="97">
        <f t="shared" si="12"/>
        <v>10</v>
      </c>
      <c r="DJ8" s="97">
        <f t="shared" si="13"/>
        <v>9</v>
      </c>
      <c r="DK8" s="97">
        <f t="shared" si="14"/>
        <v>12</v>
      </c>
      <c r="DL8" s="97">
        <f t="shared" si="15"/>
        <v>3</v>
      </c>
      <c r="DN8" s="25">
        <v>1</v>
      </c>
      <c r="DO8" s="25">
        <v>1</v>
      </c>
      <c r="DP8" s="25">
        <v>1</v>
      </c>
      <c r="DQ8" s="25">
        <v>1</v>
      </c>
      <c r="DR8" s="25">
        <v>1</v>
      </c>
      <c r="DS8" s="25">
        <v>1</v>
      </c>
      <c r="DT8" s="7">
        <v>1</v>
      </c>
      <c r="DV8" s="100" t="s">
        <v>22</v>
      </c>
      <c r="DW8" s="90">
        <v>10</v>
      </c>
      <c r="DX8" s="91">
        <v>32</v>
      </c>
      <c r="DY8" s="91">
        <v>40</v>
      </c>
      <c r="DZ8" s="91">
        <v>40</v>
      </c>
      <c r="EA8" s="91">
        <v>1</v>
      </c>
      <c r="EB8" s="91">
        <v>1</v>
      </c>
      <c r="EC8" s="92">
        <v>1</v>
      </c>
      <c r="ED8" s="78">
        <v>3</v>
      </c>
    </row>
    <row r="9" spans="1:134" ht="15.95" customHeight="1">
      <c r="A9" s="28" t="s">
        <v>19</v>
      </c>
      <c r="B9" s="15">
        <f t="shared" si="16"/>
        <v>8</v>
      </c>
      <c r="C9" s="15">
        <f t="shared" si="17"/>
        <v>6</v>
      </c>
      <c r="D9" s="15">
        <f t="shared" si="18"/>
        <v>14</v>
      </c>
      <c r="E9" s="15">
        <f t="shared" si="19"/>
        <v>3</v>
      </c>
      <c r="F9" s="15">
        <f t="shared" si="20"/>
        <v>15</v>
      </c>
      <c r="G9" s="15">
        <f t="shared" si="21"/>
        <v>5</v>
      </c>
      <c r="H9" s="15">
        <f t="shared" si="22"/>
        <v>10</v>
      </c>
      <c r="I9" s="7">
        <v>5</v>
      </c>
      <c r="K9" s="21">
        <v>5</v>
      </c>
      <c r="L9" s="98" t="s">
        <v>40</v>
      </c>
      <c r="M9" s="98" t="s">
        <v>34</v>
      </c>
      <c r="N9" s="98" t="s">
        <v>35</v>
      </c>
      <c r="O9" s="98" t="s">
        <v>39</v>
      </c>
      <c r="P9" s="98" t="s">
        <v>38</v>
      </c>
      <c r="Q9" s="98" t="s">
        <v>78</v>
      </c>
      <c r="R9" s="37" t="s">
        <v>34</v>
      </c>
      <c r="T9" s="97">
        <f t="shared" si="23"/>
        <v>11</v>
      </c>
      <c r="U9" s="97">
        <f t="shared" si="24"/>
        <v>3</v>
      </c>
      <c r="V9" s="97">
        <f t="shared" si="25"/>
        <v>4</v>
      </c>
      <c r="W9" s="97">
        <f t="shared" si="26"/>
        <v>10</v>
      </c>
      <c r="X9" s="97">
        <f t="shared" si="27"/>
        <v>9</v>
      </c>
      <c r="Y9" s="97">
        <f t="shared" si="28"/>
        <v>6</v>
      </c>
      <c r="Z9" s="97">
        <f t="shared" si="29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40</v>
      </c>
      <c r="AL9" s="91">
        <v>13</v>
      </c>
      <c r="AM9" s="91">
        <v>15</v>
      </c>
      <c r="AN9" s="91">
        <v>1</v>
      </c>
      <c r="AO9" s="91">
        <v>1</v>
      </c>
      <c r="AP9" s="91">
        <v>40</v>
      </c>
      <c r="AQ9" s="92">
        <v>1</v>
      </c>
      <c r="AR9" s="78">
        <v>4</v>
      </c>
      <c r="AT9" s="28" t="s">
        <v>19</v>
      </c>
      <c r="AU9" s="15">
        <f t="shared" si="30"/>
        <v>8</v>
      </c>
      <c r="AV9" s="15">
        <f t="shared" si="31"/>
        <v>1</v>
      </c>
      <c r="AW9" s="15">
        <f t="shared" si="32"/>
        <v>16</v>
      </c>
      <c r="AX9" s="15">
        <f t="shared" si="33"/>
        <v>3</v>
      </c>
      <c r="AY9" s="15">
        <f t="shared" si="34"/>
        <v>15</v>
      </c>
      <c r="AZ9" s="15">
        <f t="shared" si="35"/>
        <v>5</v>
      </c>
      <c r="BA9" s="15">
        <f t="shared" si="36"/>
        <v>10</v>
      </c>
      <c r="BB9" s="7">
        <v>5</v>
      </c>
      <c r="BD9" s="21">
        <v>5</v>
      </c>
      <c r="BE9" s="98" t="s">
        <v>40</v>
      </c>
      <c r="BF9" s="98" t="s">
        <v>34</v>
      </c>
      <c r="BG9" s="98" t="s">
        <v>35</v>
      </c>
      <c r="BH9" s="98" t="s">
        <v>39</v>
      </c>
      <c r="BI9" s="98" t="s">
        <v>38</v>
      </c>
      <c r="BJ9" s="98" t="s">
        <v>78</v>
      </c>
      <c r="BK9" s="37" t="s">
        <v>34</v>
      </c>
      <c r="BM9" s="97">
        <f t="shared" si="37"/>
        <v>11</v>
      </c>
      <c r="BN9" s="97">
        <f t="shared" si="38"/>
        <v>3</v>
      </c>
      <c r="BO9" s="97">
        <f t="shared" si="39"/>
        <v>4</v>
      </c>
      <c r="BP9" s="97">
        <f t="shared" si="40"/>
        <v>10</v>
      </c>
      <c r="BQ9" s="97">
        <f t="shared" si="41"/>
        <v>9</v>
      </c>
      <c r="BR9" s="97">
        <f t="shared" si="42"/>
        <v>6</v>
      </c>
      <c r="BS9" s="97">
        <f t="shared" si="43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100" t="s">
        <v>18</v>
      </c>
      <c r="CD9" s="90">
        <v>40</v>
      </c>
      <c r="CE9" s="91">
        <v>13</v>
      </c>
      <c r="CF9" s="91">
        <v>15</v>
      </c>
      <c r="CG9" s="91">
        <v>1</v>
      </c>
      <c r="CH9" s="91">
        <v>1</v>
      </c>
      <c r="CI9" s="91">
        <v>40</v>
      </c>
      <c r="CJ9" s="92">
        <v>1</v>
      </c>
      <c r="CK9" s="78">
        <v>4</v>
      </c>
      <c r="CM9" s="28" t="s">
        <v>19</v>
      </c>
      <c r="CN9" s="15">
        <f t="shared" si="44"/>
        <v>8</v>
      </c>
      <c r="CO9" s="15">
        <f t="shared" si="4"/>
        <v>1</v>
      </c>
      <c r="CP9" s="15">
        <f t="shared" si="5"/>
        <v>16</v>
      </c>
      <c r="CQ9" s="15">
        <f t="shared" si="6"/>
        <v>3</v>
      </c>
      <c r="CR9" s="15">
        <f t="shared" si="7"/>
        <v>15</v>
      </c>
      <c r="CS9" s="15">
        <f t="shared" si="8"/>
        <v>5</v>
      </c>
      <c r="CT9" s="15">
        <f t="shared" si="9"/>
        <v>10</v>
      </c>
      <c r="CU9" s="7">
        <v>5</v>
      </c>
      <c r="CW9" s="21">
        <v>5</v>
      </c>
      <c r="CX9" s="98" t="s">
        <v>40</v>
      </c>
      <c r="CY9" s="98" t="s">
        <v>34</v>
      </c>
      <c r="CZ9" s="98" t="s">
        <v>35</v>
      </c>
      <c r="DA9" s="98" t="s">
        <v>39</v>
      </c>
      <c r="DB9" s="98" t="s">
        <v>38</v>
      </c>
      <c r="DC9" s="98" t="s">
        <v>78</v>
      </c>
      <c r="DD9" s="37" t="s">
        <v>34</v>
      </c>
      <c r="DF9" s="97">
        <f t="shared" si="45"/>
        <v>11</v>
      </c>
      <c r="DG9" s="97">
        <f t="shared" si="10"/>
        <v>3</v>
      </c>
      <c r="DH9" s="97">
        <f t="shared" si="11"/>
        <v>4</v>
      </c>
      <c r="DI9" s="97">
        <f t="shared" si="12"/>
        <v>10</v>
      </c>
      <c r="DJ9" s="97">
        <f t="shared" si="13"/>
        <v>9</v>
      </c>
      <c r="DK9" s="97">
        <f t="shared" si="14"/>
        <v>6</v>
      </c>
      <c r="DL9" s="97">
        <f t="shared" si="15"/>
        <v>3</v>
      </c>
      <c r="DN9" s="25">
        <v>1</v>
      </c>
      <c r="DO9" s="25">
        <v>1</v>
      </c>
      <c r="DP9" s="25">
        <v>1</v>
      </c>
      <c r="DQ9" s="25">
        <v>1</v>
      </c>
      <c r="DR9" s="25">
        <v>1</v>
      </c>
      <c r="DS9" s="25">
        <v>1</v>
      </c>
      <c r="DT9" s="7">
        <v>1</v>
      </c>
      <c r="DV9" s="100" t="s">
        <v>18</v>
      </c>
      <c r="DW9" s="90">
        <v>40</v>
      </c>
      <c r="DX9" s="91">
        <v>13</v>
      </c>
      <c r="DY9" s="91">
        <v>15</v>
      </c>
      <c r="DZ9" s="91">
        <v>1</v>
      </c>
      <c r="EA9" s="91">
        <v>1</v>
      </c>
      <c r="EB9" s="91">
        <v>40</v>
      </c>
      <c r="EC9" s="92">
        <v>1</v>
      </c>
      <c r="ED9" s="78">
        <v>4</v>
      </c>
    </row>
    <row r="10" spans="1:134" ht="15.95" customHeight="1">
      <c r="A10" s="29" t="s">
        <v>77</v>
      </c>
      <c r="B10" s="15">
        <f t="shared" si="16"/>
        <v>8</v>
      </c>
      <c r="C10" s="15">
        <f t="shared" si="17"/>
        <v>12</v>
      </c>
      <c r="D10" s="15">
        <f t="shared" si="18"/>
        <v>5</v>
      </c>
      <c r="E10" s="15">
        <f t="shared" si="19"/>
        <v>24</v>
      </c>
      <c r="F10" s="15">
        <f t="shared" si="20"/>
        <v>6</v>
      </c>
      <c r="G10" s="15">
        <f t="shared" si="21"/>
        <v>27</v>
      </c>
      <c r="H10" s="15">
        <f t="shared" si="22"/>
        <v>14</v>
      </c>
      <c r="I10" s="7">
        <v>6</v>
      </c>
      <c r="K10" s="22">
        <v>6</v>
      </c>
      <c r="L10" s="98" t="s">
        <v>38</v>
      </c>
      <c r="M10" s="98" t="s">
        <v>34</v>
      </c>
      <c r="N10" s="98" t="s">
        <v>26</v>
      </c>
      <c r="O10" s="98" t="s">
        <v>39</v>
      </c>
      <c r="P10" s="98" t="s">
        <v>163</v>
      </c>
      <c r="Q10" s="98" t="s">
        <v>78</v>
      </c>
      <c r="R10" s="37" t="s">
        <v>34</v>
      </c>
      <c r="T10" s="97">
        <f t="shared" si="23"/>
        <v>9</v>
      </c>
      <c r="U10" s="97">
        <f t="shared" si="24"/>
        <v>3</v>
      </c>
      <c r="V10" s="97">
        <f t="shared" si="25"/>
        <v>8</v>
      </c>
      <c r="W10" s="97">
        <f t="shared" si="26"/>
        <v>10</v>
      </c>
      <c r="X10" s="97">
        <f t="shared" si="27"/>
        <v>7</v>
      </c>
      <c r="Y10" s="97">
        <f t="shared" si="28"/>
        <v>6</v>
      </c>
      <c r="Z10" s="97">
        <f t="shared" si="29"/>
        <v>3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91">
        <v>40</v>
      </c>
      <c r="AM10" s="91">
        <v>40</v>
      </c>
      <c r="AN10" s="91">
        <v>40</v>
      </c>
      <c r="AO10" s="91">
        <v>8</v>
      </c>
      <c r="AP10" s="91">
        <v>40</v>
      </c>
      <c r="AQ10" s="92">
        <v>1</v>
      </c>
      <c r="AR10" s="78">
        <v>5</v>
      </c>
      <c r="AT10" s="29" t="s">
        <v>77</v>
      </c>
      <c r="AU10" s="15">
        <f t="shared" si="30"/>
        <v>8</v>
      </c>
      <c r="AV10" s="15">
        <f t="shared" si="31"/>
        <v>17</v>
      </c>
      <c r="AW10" s="15">
        <f t="shared" si="32"/>
        <v>1</v>
      </c>
      <c r="AX10" s="15">
        <f t="shared" si="33"/>
        <v>26</v>
      </c>
      <c r="AY10" s="15">
        <f t="shared" si="34"/>
        <v>6</v>
      </c>
      <c r="AZ10" s="15">
        <f t="shared" si="35"/>
        <v>27</v>
      </c>
      <c r="BA10" s="15">
        <f t="shared" si="36"/>
        <v>14</v>
      </c>
      <c r="BB10" s="7">
        <v>6</v>
      </c>
      <c r="BD10" s="22">
        <v>6</v>
      </c>
      <c r="BE10" s="98" t="s">
        <v>38</v>
      </c>
      <c r="BF10" s="98" t="s">
        <v>34</v>
      </c>
      <c r="BG10" s="98" t="s">
        <v>26</v>
      </c>
      <c r="BH10" s="98" t="s">
        <v>39</v>
      </c>
      <c r="BI10" s="98" t="s">
        <v>163</v>
      </c>
      <c r="BJ10" s="98" t="s">
        <v>78</v>
      </c>
      <c r="BK10" s="37" t="s">
        <v>34</v>
      </c>
      <c r="BM10" s="97">
        <f t="shared" si="37"/>
        <v>9</v>
      </c>
      <c r="BN10" s="97">
        <f t="shared" si="38"/>
        <v>3</v>
      </c>
      <c r="BO10" s="97">
        <f t="shared" si="39"/>
        <v>8</v>
      </c>
      <c r="BP10" s="97">
        <f t="shared" si="40"/>
        <v>10</v>
      </c>
      <c r="BQ10" s="97">
        <f t="shared" si="41"/>
        <v>7</v>
      </c>
      <c r="BR10" s="97">
        <f t="shared" si="42"/>
        <v>6</v>
      </c>
      <c r="BS10" s="97">
        <f t="shared" si="43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100" t="s">
        <v>19</v>
      </c>
      <c r="CD10" s="90">
        <v>10</v>
      </c>
      <c r="CE10" s="91">
        <v>40</v>
      </c>
      <c r="CF10" s="91">
        <v>40</v>
      </c>
      <c r="CG10" s="91">
        <v>40</v>
      </c>
      <c r="CH10" s="91">
        <v>8</v>
      </c>
      <c r="CI10" s="91">
        <v>40</v>
      </c>
      <c r="CJ10" s="92">
        <v>1</v>
      </c>
      <c r="CK10" s="78">
        <v>5</v>
      </c>
      <c r="CM10" s="29" t="s">
        <v>77</v>
      </c>
      <c r="CN10" s="15">
        <f t="shared" si="44"/>
        <v>8</v>
      </c>
      <c r="CO10" s="15">
        <f t="shared" si="4"/>
        <v>17</v>
      </c>
      <c r="CP10" s="15">
        <f t="shared" si="5"/>
        <v>1</v>
      </c>
      <c r="CQ10" s="15">
        <f t="shared" si="6"/>
        <v>26</v>
      </c>
      <c r="CR10" s="15">
        <f t="shared" si="7"/>
        <v>6</v>
      </c>
      <c r="CS10" s="15">
        <f t="shared" si="8"/>
        <v>27</v>
      </c>
      <c r="CT10" s="15">
        <f t="shared" si="9"/>
        <v>13</v>
      </c>
      <c r="CU10" s="7">
        <v>6</v>
      </c>
      <c r="CW10" s="22">
        <v>6</v>
      </c>
      <c r="CX10" s="98" t="s">
        <v>38</v>
      </c>
      <c r="CY10" s="98" t="s">
        <v>34</v>
      </c>
      <c r="CZ10" s="98" t="s">
        <v>26</v>
      </c>
      <c r="DA10" s="98" t="s">
        <v>39</v>
      </c>
      <c r="DB10" s="98" t="s">
        <v>163</v>
      </c>
      <c r="DC10" s="98" t="s">
        <v>78</v>
      </c>
      <c r="DD10" s="37" t="s">
        <v>34</v>
      </c>
      <c r="DF10" s="97">
        <f t="shared" si="45"/>
        <v>9</v>
      </c>
      <c r="DG10" s="97">
        <f t="shared" si="10"/>
        <v>3</v>
      </c>
      <c r="DH10" s="97">
        <f t="shared" si="11"/>
        <v>8</v>
      </c>
      <c r="DI10" s="97">
        <f t="shared" si="12"/>
        <v>10</v>
      </c>
      <c r="DJ10" s="97">
        <f t="shared" si="13"/>
        <v>7</v>
      </c>
      <c r="DK10" s="97">
        <f t="shared" si="14"/>
        <v>6</v>
      </c>
      <c r="DL10" s="97">
        <f t="shared" si="15"/>
        <v>3</v>
      </c>
      <c r="DN10" s="25">
        <v>1</v>
      </c>
      <c r="DO10" s="25">
        <v>1</v>
      </c>
      <c r="DP10" s="25">
        <v>1</v>
      </c>
      <c r="DQ10" s="25">
        <v>1</v>
      </c>
      <c r="DR10" s="25">
        <v>1</v>
      </c>
      <c r="DS10" s="25">
        <v>1</v>
      </c>
      <c r="DT10" s="7">
        <v>1</v>
      </c>
      <c r="DV10" s="100" t="s">
        <v>19</v>
      </c>
      <c r="DW10" s="90">
        <v>10</v>
      </c>
      <c r="DX10" s="91">
        <v>40</v>
      </c>
      <c r="DY10" s="91">
        <v>40</v>
      </c>
      <c r="DZ10" s="91">
        <v>40</v>
      </c>
      <c r="EA10" s="91">
        <v>8</v>
      </c>
      <c r="EB10" s="91">
        <v>40</v>
      </c>
      <c r="EC10" s="92">
        <v>1</v>
      </c>
      <c r="ED10" s="78">
        <v>5</v>
      </c>
    </row>
    <row r="11" spans="1:134" ht="15.95" customHeight="1">
      <c r="A11" s="29" t="s">
        <v>162</v>
      </c>
      <c r="B11" s="15">
        <f t="shared" si="16"/>
        <v>13</v>
      </c>
      <c r="C11" s="15">
        <f t="shared" si="17"/>
        <v>10</v>
      </c>
      <c r="D11" s="15">
        <f t="shared" si="18"/>
        <v>10</v>
      </c>
      <c r="E11" s="15">
        <f t="shared" si="19"/>
        <v>3</v>
      </c>
      <c r="F11" s="15">
        <f t="shared" si="20"/>
        <v>27</v>
      </c>
      <c r="G11" s="15">
        <f t="shared" si="21"/>
        <v>3</v>
      </c>
      <c r="H11" s="15">
        <f t="shared" si="22"/>
        <v>5</v>
      </c>
      <c r="I11" s="7">
        <v>7</v>
      </c>
      <c r="K11" s="21">
        <v>7</v>
      </c>
      <c r="L11" s="98" t="s">
        <v>41</v>
      </c>
      <c r="M11" s="98" t="s">
        <v>163</v>
      </c>
      <c r="N11" s="98" t="s">
        <v>38</v>
      </c>
      <c r="O11" s="98" t="s">
        <v>41</v>
      </c>
      <c r="P11" s="98" t="s">
        <v>40</v>
      </c>
      <c r="Q11" s="98" t="s">
        <v>78</v>
      </c>
      <c r="R11" s="37" t="s">
        <v>34</v>
      </c>
      <c r="T11" s="97">
        <f t="shared" si="23"/>
        <v>12</v>
      </c>
      <c r="U11" s="97">
        <f t="shared" si="24"/>
        <v>7</v>
      </c>
      <c r="V11" s="97">
        <f t="shared" si="25"/>
        <v>9</v>
      </c>
      <c r="W11" s="97">
        <f t="shared" si="26"/>
        <v>12</v>
      </c>
      <c r="X11" s="97">
        <f t="shared" si="27"/>
        <v>11</v>
      </c>
      <c r="Y11" s="97">
        <f t="shared" si="28"/>
        <v>6</v>
      </c>
      <c r="Z11" s="97">
        <f t="shared" si="29"/>
        <v>3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40</v>
      </c>
      <c r="AL11" s="91">
        <v>8</v>
      </c>
      <c r="AM11" s="91">
        <v>20</v>
      </c>
      <c r="AN11" s="91">
        <v>1</v>
      </c>
      <c r="AO11" s="91">
        <v>40</v>
      </c>
      <c r="AP11" s="91">
        <v>1</v>
      </c>
      <c r="AQ11" s="92">
        <v>1</v>
      </c>
      <c r="AR11" s="78">
        <v>6</v>
      </c>
      <c r="AT11" s="29" t="s">
        <v>162</v>
      </c>
      <c r="AU11" s="15">
        <f t="shared" si="30"/>
        <v>13</v>
      </c>
      <c r="AV11" s="15">
        <f t="shared" si="31"/>
        <v>10</v>
      </c>
      <c r="AW11" s="15">
        <f t="shared" si="32"/>
        <v>1</v>
      </c>
      <c r="AX11" s="15">
        <f t="shared" si="33"/>
        <v>3</v>
      </c>
      <c r="AY11" s="15">
        <f t="shared" si="34"/>
        <v>28</v>
      </c>
      <c r="AZ11" s="15">
        <f t="shared" si="35"/>
        <v>3</v>
      </c>
      <c r="BA11" s="15">
        <f t="shared" si="36"/>
        <v>7</v>
      </c>
      <c r="BB11" s="7">
        <v>7</v>
      </c>
      <c r="BD11" s="21">
        <v>7</v>
      </c>
      <c r="BE11" s="98" t="s">
        <v>41</v>
      </c>
      <c r="BF11" s="98" t="s">
        <v>163</v>
      </c>
      <c r="BG11" s="98" t="s">
        <v>38</v>
      </c>
      <c r="BH11" s="98" t="s">
        <v>41</v>
      </c>
      <c r="BI11" s="98" t="s">
        <v>40</v>
      </c>
      <c r="BJ11" s="98" t="s">
        <v>78</v>
      </c>
      <c r="BK11" s="37" t="s">
        <v>34</v>
      </c>
      <c r="BM11" s="97">
        <f t="shared" si="37"/>
        <v>12</v>
      </c>
      <c r="BN11" s="97">
        <f t="shared" si="38"/>
        <v>7</v>
      </c>
      <c r="BO11" s="97">
        <f t="shared" si="39"/>
        <v>9</v>
      </c>
      <c r="BP11" s="97">
        <f t="shared" si="40"/>
        <v>12</v>
      </c>
      <c r="BQ11" s="97">
        <f t="shared" si="41"/>
        <v>11</v>
      </c>
      <c r="BR11" s="97">
        <f t="shared" si="42"/>
        <v>6</v>
      </c>
      <c r="BS11" s="97">
        <f t="shared" si="43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100" t="s">
        <v>77</v>
      </c>
      <c r="CD11" s="90">
        <v>40</v>
      </c>
      <c r="CE11" s="91">
        <v>8</v>
      </c>
      <c r="CF11" s="91">
        <v>20</v>
      </c>
      <c r="CG11" s="91">
        <v>1</v>
      </c>
      <c r="CH11" s="91">
        <v>40</v>
      </c>
      <c r="CI11" s="91">
        <v>1</v>
      </c>
      <c r="CJ11" s="92">
        <v>1</v>
      </c>
      <c r="CK11" s="78">
        <v>6</v>
      </c>
      <c r="CM11" s="29" t="s">
        <v>162</v>
      </c>
      <c r="CN11" s="15">
        <f t="shared" si="44"/>
        <v>13</v>
      </c>
      <c r="CO11" s="15">
        <f t="shared" si="4"/>
        <v>10</v>
      </c>
      <c r="CP11" s="15">
        <f t="shared" si="5"/>
        <v>1</v>
      </c>
      <c r="CQ11" s="15">
        <f t="shared" si="6"/>
        <v>3</v>
      </c>
      <c r="CR11" s="15">
        <f t="shared" si="7"/>
        <v>28</v>
      </c>
      <c r="CS11" s="15">
        <f t="shared" si="8"/>
        <v>2</v>
      </c>
      <c r="CT11" s="15">
        <f t="shared" si="9"/>
        <v>8</v>
      </c>
      <c r="CU11" s="7">
        <v>7</v>
      </c>
      <c r="CW11" s="21">
        <v>7</v>
      </c>
      <c r="CX11" s="98" t="s">
        <v>41</v>
      </c>
      <c r="CY11" s="98" t="s">
        <v>163</v>
      </c>
      <c r="CZ11" s="98" t="s">
        <v>38</v>
      </c>
      <c r="DA11" s="98" t="s">
        <v>41</v>
      </c>
      <c r="DB11" s="98" t="s">
        <v>40</v>
      </c>
      <c r="DC11" s="98" t="s">
        <v>78</v>
      </c>
      <c r="DD11" s="37" t="s">
        <v>34</v>
      </c>
      <c r="DF11" s="97">
        <f t="shared" si="45"/>
        <v>12</v>
      </c>
      <c r="DG11" s="97">
        <f t="shared" si="10"/>
        <v>7</v>
      </c>
      <c r="DH11" s="97">
        <f t="shared" si="11"/>
        <v>9</v>
      </c>
      <c r="DI11" s="97">
        <f t="shared" si="12"/>
        <v>12</v>
      </c>
      <c r="DJ11" s="97">
        <f t="shared" si="13"/>
        <v>11</v>
      </c>
      <c r="DK11" s="97">
        <f t="shared" si="14"/>
        <v>6</v>
      </c>
      <c r="DL11" s="97">
        <f t="shared" si="15"/>
        <v>3</v>
      </c>
      <c r="DN11" s="25">
        <v>1</v>
      </c>
      <c r="DO11" s="25">
        <v>1</v>
      </c>
      <c r="DP11" s="25">
        <v>1</v>
      </c>
      <c r="DQ11" s="25">
        <v>1</v>
      </c>
      <c r="DR11" s="25">
        <v>1</v>
      </c>
      <c r="DS11" s="25">
        <v>1</v>
      </c>
      <c r="DT11" s="7">
        <v>1</v>
      </c>
      <c r="DV11" s="100" t="s">
        <v>77</v>
      </c>
      <c r="DW11" s="90">
        <v>40</v>
      </c>
      <c r="DX11" s="91">
        <v>8</v>
      </c>
      <c r="DY11" s="91">
        <v>20</v>
      </c>
      <c r="DZ11" s="91">
        <v>1</v>
      </c>
      <c r="EA11" s="91">
        <v>40</v>
      </c>
      <c r="EB11" s="91">
        <v>1</v>
      </c>
      <c r="EC11" s="92">
        <v>1</v>
      </c>
      <c r="ED11" s="78">
        <v>6</v>
      </c>
    </row>
    <row r="12" spans="1:134" ht="15.95" customHeight="1">
      <c r="A12" s="26" t="s">
        <v>25</v>
      </c>
      <c r="B12" s="15">
        <f t="shared" si="16"/>
        <v>8</v>
      </c>
      <c r="C12" s="15">
        <f t="shared" si="17"/>
        <v>12</v>
      </c>
      <c r="D12" s="15">
        <f t="shared" si="18"/>
        <v>11</v>
      </c>
      <c r="E12" s="15">
        <f t="shared" si="19"/>
        <v>10</v>
      </c>
      <c r="F12" s="15">
        <f t="shared" si="20"/>
        <v>2</v>
      </c>
      <c r="G12" s="15">
        <f t="shared" si="21"/>
        <v>27</v>
      </c>
      <c r="H12" s="15">
        <f t="shared" si="22"/>
        <v>8</v>
      </c>
      <c r="I12" s="7">
        <v>8</v>
      </c>
      <c r="K12" s="22">
        <v>8</v>
      </c>
      <c r="L12" s="98" t="s">
        <v>78</v>
      </c>
      <c r="M12" s="98" t="s">
        <v>163</v>
      </c>
      <c r="N12" s="98" t="s">
        <v>38</v>
      </c>
      <c r="O12" s="98" t="s">
        <v>78</v>
      </c>
      <c r="P12" s="98" t="s">
        <v>40</v>
      </c>
      <c r="Q12" s="98" t="s">
        <v>163</v>
      </c>
      <c r="R12" s="37" t="s">
        <v>35</v>
      </c>
      <c r="T12" s="97">
        <f t="shared" si="23"/>
        <v>6</v>
      </c>
      <c r="U12" s="97">
        <f t="shared" si="24"/>
        <v>7</v>
      </c>
      <c r="V12" s="97">
        <f t="shared" si="25"/>
        <v>9</v>
      </c>
      <c r="W12" s="97">
        <f t="shared" si="26"/>
        <v>6</v>
      </c>
      <c r="X12" s="97">
        <f t="shared" si="27"/>
        <v>11</v>
      </c>
      <c r="Y12" s="97">
        <f t="shared" si="28"/>
        <v>7</v>
      </c>
      <c r="Z12" s="97">
        <f t="shared" si="29"/>
        <v>4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100" t="s">
        <v>162</v>
      </c>
      <c r="AK12" s="90">
        <v>10</v>
      </c>
      <c r="AL12" s="91">
        <v>40</v>
      </c>
      <c r="AM12" s="91">
        <v>40</v>
      </c>
      <c r="AN12" s="91">
        <v>40</v>
      </c>
      <c r="AO12" s="91">
        <v>8</v>
      </c>
      <c r="AP12" s="91">
        <v>40</v>
      </c>
      <c r="AQ12" s="92">
        <v>1</v>
      </c>
      <c r="AR12" s="78">
        <v>7</v>
      </c>
      <c r="AT12" s="26" t="s">
        <v>25</v>
      </c>
      <c r="AU12" s="15">
        <f t="shared" si="30"/>
        <v>2</v>
      </c>
      <c r="AV12" s="15">
        <f t="shared" si="31"/>
        <v>12</v>
      </c>
      <c r="AW12" s="15">
        <f t="shared" si="32"/>
        <v>21</v>
      </c>
      <c r="AX12" s="15">
        <f t="shared" si="33"/>
        <v>10</v>
      </c>
      <c r="AY12" s="15">
        <f t="shared" si="34"/>
        <v>3</v>
      </c>
      <c r="AZ12" s="15">
        <f t="shared" si="35"/>
        <v>29</v>
      </c>
      <c r="BA12" s="15">
        <f t="shared" si="36"/>
        <v>11</v>
      </c>
      <c r="BB12" s="7">
        <v>8</v>
      </c>
      <c r="BD12" s="22">
        <v>8</v>
      </c>
      <c r="BE12" s="98" t="s">
        <v>78</v>
      </c>
      <c r="BF12" s="98" t="s">
        <v>163</v>
      </c>
      <c r="BG12" s="98" t="s">
        <v>38</v>
      </c>
      <c r="BH12" s="98" t="s">
        <v>78</v>
      </c>
      <c r="BI12" s="98" t="s">
        <v>40</v>
      </c>
      <c r="BJ12" s="98" t="s">
        <v>163</v>
      </c>
      <c r="BK12" s="37" t="s">
        <v>35</v>
      </c>
      <c r="BM12" s="97">
        <f t="shared" si="37"/>
        <v>6</v>
      </c>
      <c r="BN12" s="97">
        <f t="shared" si="38"/>
        <v>7</v>
      </c>
      <c r="BO12" s="97">
        <f t="shared" si="39"/>
        <v>9</v>
      </c>
      <c r="BP12" s="97">
        <f t="shared" si="40"/>
        <v>6</v>
      </c>
      <c r="BQ12" s="97">
        <f t="shared" si="41"/>
        <v>11</v>
      </c>
      <c r="BR12" s="97">
        <f t="shared" si="42"/>
        <v>7</v>
      </c>
      <c r="BS12" s="97">
        <f t="shared" si="43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100" t="s">
        <v>162</v>
      </c>
      <c r="CD12" s="90">
        <v>10</v>
      </c>
      <c r="CE12" s="91">
        <v>40</v>
      </c>
      <c r="CF12" s="91">
        <v>40</v>
      </c>
      <c r="CG12" s="91">
        <v>40</v>
      </c>
      <c r="CH12" s="91">
        <v>8</v>
      </c>
      <c r="CI12" s="91">
        <v>40</v>
      </c>
      <c r="CJ12" s="92">
        <v>1</v>
      </c>
      <c r="CK12" s="78">
        <v>7</v>
      </c>
      <c r="CM12" s="26" t="s">
        <v>25</v>
      </c>
      <c r="CN12" s="15">
        <f t="shared" si="44"/>
        <v>2</v>
      </c>
      <c r="CO12" s="15">
        <f t="shared" si="4"/>
        <v>12</v>
      </c>
      <c r="CP12" s="15">
        <f t="shared" si="5"/>
        <v>21</v>
      </c>
      <c r="CQ12" s="15">
        <f t="shared" si="6"/>
        <v>9</v>
      </c>
      <c r="CR12" s="15">
        <f t="shared" si="7"/>
        <v>3</v>
      </c>
      <c r="CS12" s="15">
        <f t="shared" si="8"/>
        <v>29</v>
      </c>
      <c r="CT12" s="15">
        <f t="shared" si="9"/>
        <v>11</v>
      </c>
      <c r="CU12" s="7">
        <v>8</v>
      </c>
      <c r="CW12" s="22">
        <v>8</v>
      </c>
      <c r="CX12" s="98" t="s">
        <v>78</v>
      </c>
      <c r="CY12" s="98" t="s">
        <v>163</v>
      </c>
      <c r="CZ12" s="98" t="s">
        <v>33</v>
      </c>
      <c r="DA12" s="98" t="s">
        <v>78</v>
      </c>
      <c r="DB12" s="98" t="s">
        <v>40</v>
      </c>
      <c r="DC12" s="98" t="s">
        <v>163</v>
      </c>
      <c r="DD12" s="37" t="s">
        <v>35</v>
      </c>
      <c r="DF12" s="97">
        <f t="shared" si="45"/>
        <v>6</v>
      </c>
      <c r="DG12" s="97">
        <f t="shared" si="10"/>
        <v>7</v>
      </c>
      <c r="DH12" s="97">
        <f t="shared" si="11"/>
        <v>2</v>
      </c>
      <c r="DI12" s="97">
        <f t="shared" si="12"/>
        <v>6</v>
      </c>
      <c r="DJ12" s="97">
        <f t="shared" si="13"/>
        <v>11</v>
      </c>
      <c r="DK12" s="97">
        <f t="shared" si="14"/>
        <v>7</v>
      </c>
      <c r="DL12" s="97">
        <f t="shared" si="15"/>
        <v>4</v>
      </c>
      <c r="DN12" s="25">
        <v>1</v>
      </c>
      <c r="DO12" s="25">
        <v>1</v>
      </c>
      <c r="DP12" s="25">
        <v>1</v>
      </c>
      <c r="DQ12" s="25">
        <v>1</v>
      </c>
      <c r="DR12" s="25">
        <v>1</v>
      </c>
      <c r="DS12" s="25">
        <v>1</v>
      </c>
      <c r="DT12" s="7">
        <v>1</v>
      </c>
      <c r="DV12" s="100" t="s">
        <v>162</v>
      </c>
      <c r="DW12" s="90">
        <v>10</v>
      </c>
      <c r="DX12" s="91">
        <v>40</v>
      </c>
      <c r="DY12" s="91">
        <v>40</v>
      </c>
      <c r="DZ12" s="91">
        <v>40</v>
      </c>
      <c r="EA12" s="91">
        <v>8</v>
      </c>
      <c r="EB12" s="91">
        <v>40</v>
      </c>
      <c r="EC12" s="92">
        <v>1</v>
      </c>
      <c r="ED12" s="78">
        <v>7</v>
      </c>
    </row>
    <row r="13" spans="1:134" ht="15.95" customHeight="1">
      <c r="A13" s="27" t="s">
        <v>27</v>
      </c>
      <c r="B13" s="15">
        <f t="shared" si="16"/>
        <v>17</v>
      </c>
      <c r="C13" s="15">
        <f t="shared" si="17"/>
        <v>2</v>
      </c>
      <c r="D13" s="15">
        <f t="shared" si="18"/>
        <v>18</v>
      </c>
      <c r="E13" s="15">
        <f t="shared" si="19"/>
        <v>3</v>
      </c>
      <c r="F13" s="15">
        <f t="shared" si="20"/>
        <v>16</v>
      </c>
      <c r="G13" s="15">
        <f t="shared" si="21"/>
        <v>6</v>
      </c>
      <c r="H13" s="15">
        <f t="shared" si="22"/>
        <v>7</v>
      </c>
      <c r="I13" s="7">
        <v>9</v>
      </c>
      <c r="K13" s="21">
        <v>9</v>
      </c>
      <c r="L13" s="98" t="s">
        <v>26</v>
      </c>
      <c r="M13" s="98" t="s">
        <v>175</v>
      </c>
      <c r="N13" s="98" t="s">
        <v>35</v>
      </c>
      <c r="O13" s="98" t="s">
        <v>39</v>
      </c>
      <c r="P13" s="98" t="s">
        <v>163</v>
      </c>
      <c r="Q13" s="98" t="s">
        <v>78</v>
      </c>
      <c r="R13" s="37" t="s">
        <v>35</v>
      </c>
      <c r="T13" s="97">
        <f t="shared" si="23"/>
        <v>8</v>
      </c>
      <c r="U13" s="97">
        <f t="shared" si="24"/>
        <v>17</v>
      </c>
      <c r="V13" s="97">
        <f t="shared" si="25"/>
        <v>4</v>
      </c>
      <c r="W13" s="97">
        <f t="shared" si="26"/>
        <v>10</v>
      </c>
      <c r="X13" s="97">
        <f t="shared" si="27"/>
        <v>7</v>
      </c>
      <c r="Y13" s="97">
        <f t="shared" si="28"/>
        <v>6</v>
      </c>
      <c r="Z13" s="97">
        <f t="shared" si="29"/>
        <v>4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91">
        <v>10</v>
      </c>
      <c r="AM13" s="91">
        <v>40</v>
      </c>
      <c r="AN13" s="91">
        <v>1</v>
      </c>
      <c r="AO13" s="91">
        <v>40</v>
      </c>
      <c r="AP13" s="91">
        <v>1</v>
      </c>
      <c r="AQ13" s="92">
        <v>1</v>
      </c>
      <c r="AR13" s="78">
        <v>8</v>
      </c>
      <c r="AT13" s="27" t="s">
        <v>27</v>
      </c>
      <c r="AU13" s="15">
        <f t="shared" si="30"/>
        <v>19</v>
      </c>
      <c r="AV13" s="15">
        <f t="shared" si="31"/>
        <v>2</v>
      </c>
      <c r="AW13" s="15">
        <f t="shared" si="32"/>
        <v>19</v>
      </c>
      <c r="AX13" s="15">
        <f t="shared" si="33"/>
        <v>4</v>
      </c>
      <c r="AY13" s="15">
        <f t="shared" si="34"/>
        <v>16</v>
      </c>
      <c r="AZ13" s="15">
        <f t="shared" si="35"/>
        <v>7</v>
      </c>
      <c r="BA13" s="15">
        <f t="shared" si="36"/>
        <v>7</v>
      </c>
      <c r="BB13" s="7">
        <v>9</v>
      </c>
      <c r="BD13" s="21">
        <v>9</v>
      </c>
      <c r="BE13" s="98" t="s">
        <v>40</v>
      </c>
      <c r="BF13" s="98" t="s">
        <v>175</v>
      </c>
      <c r="BG13" s="98" t="s">
        <v>35</v>
      </c>
      <c r="BH13" s="98" t="s">
        <v>39</v>
      </c>
      <c r="BI13" s="98" t="s">
        <v>163</v>
      </c>
      <c r="BJ13" s="98" t="s">
        <v>78</v>
      </c>
      <c r="BK13" s="37" t="s">
        <v>35</v>
      </c>
      <c r="BM13" s="97">
        <f t="shared" si="37"/>
        <v>11</v>
      </c>
      <c r="BN13" s="97">
        <f t="shared" si="38"/>
        <v>17</v>
      </c>
      <c r="BO13" s="97">
        <f t="shared" si="39"/>
        <v>4</v>
      </c>
      <c r="BP13" s="97">
        <f t="shared" si="40"/>
        <v>10</v>
      </c>
      <c r="BQ13" s="97">
        <f t="shared" si="41"/>
        <v>7</v>
      </c>
      <c r="BR13" s="97">
        <f t="shared" si="42"/>
        <v>6</v>
      </c>
      <c r="BS13" s="97">
        <f t="shared" si="43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100" t="s">
        <v>25</v>
      </c>
      <c r="CD13" s="90">
        <v>10</v>
      </c>
      <c r="CE13" s="91">
        <v>10</v>
      </c>
      <c r="CF13" s="91">
        <v>40</v>
      </c>
      <c r="CG13" s="91">
        <v>1</v>
      </c>
      <c r="CH13" s="91">
        <v>40</v>
      </c>
      <c r="CI13" s="91">
        <v>1</v>
      </c>
      <c r="CJ13" s="92">
        <v>1</v>
      </c>
      <c r="CK13" s="78">
        <v>8</v>
      </c>
      <c r="CM13" s="27" t="s">
        <v>27</v>
      </c>
      <c r="CN13" s="15">
        <f t="shared" si="44"/>
        <v>19</v>
      </c>
      <c r="CO13" s="15">
        <f t="shared" si="4"/>
        <v>2</v>
      </c>
      <c r="CP13" s="15">
        <f t="shared" si="5"/>
        <v>18</v>
      </c>
      <c r="CQ13" s="15">
        <f t="shared" si="6"/>
        <v>4</v>
      </c>
      <c r="CR13" s="15">
        <f t="shared" si="7"/>
        <v>16</v>
      </c>
      <c r="CS13" s="15">
        <f t="shared" si="8"/>
        <v>7</v>
      </c>
      <c r="CT13" s="15">
        <f t="shared" si="9"/>
        <v>7</v>
      </c>
      <c r="CU13" s="7">
        <v>9</v>
      </c>
      <c r="CW13" s="21">
        <v>9</v>
      </c>
      <c r="CX13" s="98" t="s">
        <v>40</v>
      </c>
      <c r="CY13" s="98" t="s">
        <v>175</v>
      </c>
      <c r="CZ13" s="98" t="s">
        <v>35</v>
      </c>
      <c r="DA13" s="98" t="s">
        <v>39</v>
      </c>
      <c r="DB13" s="98" t="s">
        <v>163</v>
      </c>
      <c r="DC13" s="98" t="s">
        <v>78</v>
      </c>
      <c r="DD13" s="37" t="s">
        <v>35</v>
      </c>
      <c r="DF13" s="97">
        <f t="shared" si="45"/>
        <v>11</v>
      </c>
      <c r="DG13" s="97">
        <f t="shared" si="10"/>
        <v>17</v>
      </c>
      <c r="DH13" s="97">
        <f t="shared" si="11"/>
        <v>4</v>
      </c>
      <c r="DI13" s="97">
        <f t="shared" si="12"/>
        <v>10</v>
      </c>
      <c r="DJ13" s="97">
        <f t="shared" si="13"/>
        <v>7</v>
      </c>
      <c r="DK13" s="97">
        <f t="shared" si="14"/>
        <v>6</v>
      </c>
      <c r="DL13" s="97">
        <f t="shared" si="15"/>
        <v>4</v>
      </c>
      <c r="DN13" s="25">
        <v>1</v>
      </c>
      <c r="DO13" s="25">
        <v>1</v>
      </c>
      <c r="DP13" s="25">
        <v>1</v>
      </c>
      <c r="DQ13" s="25">
        <v>1</v>
      </c>
      <c r="DR13" s="25">
        <v>1</v>
      </c>
      <c r="DS13" s="25">
        <v>1</v>
      </c>
      <c r="DT13" s="7">
        <v>1</v>
      </c>
      <c r="DV13" s="100" t="s">
        <v>25</v>
      </c>
      <c r="DW13" s="90">
        <v>10</v>
      </c>
      <c r="DX13" s="91">
        <v>10</v>
      </c>
      <c r="DY13" s="91">
        <v>40</v>
      </c>
      <c r="DZ13" s="91">
        <v>1</v>
      </c>
      <c r="EA13" s="91">
        <v>40</v>
      </c>
      <c r="EB13" s="91">
        <v>1</v>
      </c>
      <c r="EC13" s="92">
        <v>1</v>
      </c>
      <c r="ED13" s="78">
        <v>8</v>
      </c>
    </row>
    <row r="14" spans="1:134" ht="15.95" customHeight="1">
      <c r="A14" s="28" t="s">
        <v>28</v>
      </c>
      <c r="B14" s="15">
        <f t="shared" si="16"/>
        <v>14</v>
      </c>
      <c r="C14" s="15">
        <f t="shared" si="17"/>
        <v>23</v>
      </c>
      <c r="D14" s="15">
        <f t="shared" si="18"/>
        <v>2</v>
      </c>
      <c r="E14" s="15">
        <f t="shared" si="19"/>
        <v>24</v>
      </c>
      <c r="F14" s="15">
        <f t="shared" si="20"/>
        <v>7</v>
      </c>
      <c r="G14" s="15">
        <f t="shared" si="21"/>
        <v>22</v>
      </c>
      <c r="H14" s="15">
        <f t="shared" si="22"/>
        <v>11</v>
      </c>
      <c r="I14" s="7">
        <v>10</v>
      </c>
      <c r="K14" s="22">
        <v>10</v>
      </c>
      <c r="L14" s="98" t="s">
        <v>26</v>
      </c>
      <c r="M14" s="98" t="s">
        <v>78</v>
      </c>
      <c r="N14" s="98" t="s">
        <v>40</v>
      </c>
      <c r="O14" s="98" t="s">
        <v>175</v>
      </c>
      <c r="P14" s="98" t="s">
        <v>163</v>
      </c>
      <c r="Q14" s="98" t="s">
        <v>78</v>
      </c>
      <c r="R14" s="37" t="s">
        <v>35</v>
      </c>
      <c r="T14" s="97">
        <f t="shared" si="23"/>
        <v>8</v>
      </c>
      <c r="U14" s="97">
        <f t="shared" si="24"/>
        <v>6</v>
      </c>
      <c r="V14" s="97">
        <f t="shared" si="25"/>
        <v>11</v>
      </c>
      <c r="W14" s="97">
        <f t="shared" si="26"/>
        <v>17</v>
      </c>
      <c r="X14" s="97">
        <f t="shared" si="27"/>
        <v>7</v>
      </c>
      <c r="Y14" s="97">
        <f t="shared" si="28"/>
        <v>6</v>
      </c>
      <c r="Z14" s="97">
        <f t="shared" si="29"/>
        <v>4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91">
        <v>8</v>
      </c>
      <c r="AM14" s="91">
        <v>25</v>
      </c>
      <c r="AN14" s="91">
        <v>10</v>
      </c>
      <c r="AO14" s="91">
        <v>1</v>
      </c>
      <c r="AP14" s="91">
        <v>40</v>
      </c>
      <c r="AQ14" s="92">
        <v>1</v>
      </c>
      <c r="AR14" s="78">
        <v>9</v>
      </c>
      <c r="AT14" s="28" t="s">
        <v>28</v>
      </c>
      <c r="AU14" s="15">
        <f t="shared" si="30"/>
        <v>14</v>
      </c>
      <c r="AV14" s="15">
        <f t="shared" si="31"/>
        <v>27</v>
      </c>
      <c r="AW14" s="15">
        <f t="shared" si="32"/>
        <v>2</v>
      </c>
      <c r="AX14" s="15">
        <f t="shared" si="33"/>
        <v>25</v>
      </c>
      <c r="AY14" s="15">
        <f t="shared" si="34"/>
        <v>7</v>
      </c>
      <c r="AZ14" s="15">
        <f t="shared" si="35"/>
        <v>24</v>
      </c>
      <c r="BA14" s="15">
        <f t="shared" si="36"/>
        <v>12</v>
      </c>
      <c r="BB14" s="7">
        <v>10</v>
      </c>
      <c r="BD14" s="22">
        <v>10</v>
      </c>
      <c r="BE14" s="98" t="s">
        <v>40</v>
      </c>
      <c r="BF14" s="98" t="s">
        <v>78</v>
      </c>
      <c r="BG14" s="98" t="s">
        <v>40</v>
      </c>
      <c r="BH14" s="98" t="s">
        <v>175</v>
      </c>
      <c r="BI14" s="98" t="s">
        <v>163</v>
      </c>
      <c r="BJ14" s="98" t="s">
        <v>78</v>
      </c>
      <c r="BK14" s="37" t="s">
        <v>35</v>
      </c>
      <c r="BM14" s="97">
        <f t="shared" si="37"/>
        <v>11</v>
      </c>
      <c r="BN14" s="97">
        <f t="shared" si="38"/>
        <v>6</v>
      </c>
      <c r="BO14" s="97">
        <f t="shared" si="39"/>
        <v>11</v>
      </c>
      <c r="BP14" s="97">
        <f t="shared" si="40"/>
        <v>17</v>
      </c>
      <c r="BQ14" s="97">
        <f t="shared" si="41"/>
        <v>7</v>
      </c>
      <c r="BR14" s="97">
        <f t="shared" si="42"/>
        <v>6</v>
      </c>
      <c r="BS14" s="97">
        <f t="shared" si="43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100" t="s">
        <v>27</v>
      </c>
      <c r="CD14" s="90">
        <v>40</v>
      </c>
      <c r="CE14" s="91">
        <v>8</v>
      </c>
      <c r="CF14" s="91">
        <v>25</v>
      </c>
      <c r="CG14" s="91">
        <v>10</v>
      </c>
      <c r="CH14" s="91">
        <v>1</v>
      </c>
      <c r="CI14" s="91">
        <v>40</v>
      </c>
      <c r="CJ14" s="92">
        <v>1</v>
      </c>
      <c r="CK14" s="78">
        <v>9</v>
      </c>
      <c r="CM14" s="28" t="s">
        <v>28</v>
      </c>
      <c r="CN14" s="15">
        <f t="shared" si="44"/>
        <v>14</v>
      </c>
      <c r="CO14" s="15">
        <f t="shared" si="4"/>
        <v>27</v>
      </c>
      <c r="CP14" s="15">
        <f t="shared" si="5"/>
        <v>2</v>
      </c>
      <c r="CQ14" s="15">
        <f t="shared" si="6"/>
        <v>25</v>
      </c>
      <c r="CR14" s="15">
        <f t="shared" si="7"/>
        <v>7</v>
      </c>
      <c r="CS14" s="15">
        <f t="shared" si="8"/>
        <v>24</v>
      </c>
      <c r="CT14" s="15">
        <f t="shared" si="9"/>
        <v>12</v>
      </c>
      <c r="CU14" s="7">
        <v>10</v>
      </c>
      <c r="CW14" s="22">
        <v>10</v>
      </c>
      <c r="CX14" s="98" t="s">
        <v>40</v>
      </c>
      <c r="CY14" s="98" t="s">
        <v>78</v>
      </c>
      <c r="CZ14" s="98" t="s">
        <v>40</v>
      </c>
      <c r="DA14" s="98" t="s">
        <v>175</v>
      </c>
      <c r="DB14" s="98" t="s">
        <v>163</v>
      </c>
      <c r="DC14" s="98" t="s">
        <v>78</v>
      </c>
      <c r="DD14" s="37" t="s">
        <v>35</v>
      </c>
      <c r="DF14" s="97">
        <f t="shared" si="45"/>
        <v>11</v>
      </c>
      <c r="DG14" s="97">
        <f t="shared" si="10"/>
        <v>6</v>
      </c>
      <c r="DH14" s="97">
        <f t="shared" si="11"/>
        <v>11</v>
      </c>
      <c r="DI14" s="97">
        <f t="shared" si="12"/>
        <v>17</v>
      </c>
      <c r="DJ14" s="97">
        <f t="shared" si="13"/>
        <v>7</v>
      </c>
      <c r="DK14" s="97">
        <f t="shared" si="14"/>
        <v>6</v>
      </c>
      <c r="DL14" s="97">
        <f t="shared" si="15"/>
        <v>4</v>
      </c>
      <c r="DN14" s="25">
        <v>1</v>
      </c>
      <c r="DO14" s="25">
        <v>1</v>
      </c>
      <c r="DP14" s="25">
        <v>1</v>
      </c>
      <c r="DQ14" s="25">
        <v>1</v>
      </c>
      <c r="DR14" s="25">
        <v>1</v>
      </c>
      <c r="DS14" s="25">
        <v>1</v>
      </c>
      <c r="DT14" s="7">
        <v>1</v>
      </c>
      <c r="DV14" s="100" t="s">
        <v>27</v>
      </c>
      <c r="DW14" s="90">
        <v>40</v>
      </c>
      <c r="DX14" s="91">
        <v>8</v>
      </c>
      <c r="DY14" s="91">
        <v>25</v>
      </c>
      <c r="DZ14" s="91">
        <v>10</v>
      </c>
      <c r="EA14" s="91">
        <v>1</v>
      </c>
      <c r="EB14" s="91">
        <v>40</v>
      </c>
      <c r="EC14" s="92">
        <v>1</v>
      </c>
      <c r="ED14" s="78">
        <v>9</v>
      </c>
    </row>
    <row r="15" spans="1:134" ht="15.95" customHeight="1">
      <c r="A15" s="29" t="s">
        <v>29</v>
      </c>
      <c r="B15" s="15">
        <f t="shared" si="16"/>
        <v>17</v>
      </c>
      <c r="C15" s="15">
        <f t="shared" si="17"/>
        <v>5</v>
      </c>
      <c r="D15" s="15">
        <f t="shared" si="18"/>
        <v>29</v>
      </c>
      <c r="E15" s="15">
        <f t="shared" si="19"/>
        <v>6</v>
      </c>
      <c r="F15" s="15">
        <f t="shared" si="20"/>
        <v>19</v>
      </c>
      <c r="G15" s="15">
        <f t="shared" si="21"/>
        <v>2</v>
      </c>
      <c r="H15" s="15">
        <f t="shared" si="22"/>
        <v>15</v>
      </c>
      <c r="I15" s="7">
        <v>11</v>
      </c>
      <c r="K15" s="21">
        <v>11</v>
      </c>
      <c r="L15" s="98" t="s">
        <v>41</v>
      </c>
      <c r="M15" s="98" t="s">
        <v>78</v>
      </c>
      <c r="N15" s="98" t="s">
        <v>40</v>
      </c>
      <c r="O15" s="98" t="s">
        <v>195</v>
      </c>
      <c r="P15" s="98" t="s">
        <v>38</v>
      </c>
      <c r="Q15" s="98" t="s">
        <v>163</v>
      </c>
      <c r="R15" s="37" t="s">
        <v>35</v>
      </c>
      <c r="T15" s="97">
        <f t="shared" si="23"/>
        <v>12</v>
      </c>
      <c r="U15" s="97">
        <f t="shared" si="24"/>
        <v>6</v>
      </c>
      <c r="V15" s="97">
        <f t="shared" si="25"/>
        <v>11</v>
      </c>
      <c r="W15" s="97">
        <f t="shared" si="26"/>
        <v>19</v>
      </c>
      <c r="X15" s="97">
        <f t="shared" si="27"/>
        <v>9</v>
      </c>
      <c r="Y15" s="97">
        <f t="shared" si="28"/>
        <v>7</v>
      </c>
      <c r="Z15" s="97">
        <f t="shared" si="29"/>
        <v>4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91">
        <v>40</v>
      </c>
      <c r="AM15" s="91">
        <v>40</v>
      </c>
      <c r="AN15" s="91">
        <v>10</v>
      </c>
      <c r="AO15" s="91">
        <v>40</v>
      </c>
      <c r="AP15" s="91">
        <v>1</v>
      </c>
      <c r="AQ15" s="92">
        <v>1</v>
      </c>
      <c r="AR15" s="78">
        <v>10</v>
      </c>
      <c r="AT15" s="29" t="s">
        <v>29</v>
      </c>
      <c r="AU15" s="15">
        <f t="shared" si="30"/>
        <v>23</v>
      </c>
      <c r="AV15" s="15">
        <f t="shared" si="31"/>
        <v>5</v>
      </c>
      <c r="AW15" s="15">
        <f t="shared" si="32"/>
        <v>35</v>
      </c>
      <c r="AX15" s="15">
        <f t="shared" si="33"/>
        <v>6</v>
      </c>
      <c r="AY15" s="15">
        <f t="shared" si="34"/>
        <v>20</v>
      </c>
      <c r="AZ15" s="15">
        <f t="shared" si="35"/>
        <v>2</v>
      </c>
      <c r="BA15" s="15">
        <f t="shared" si="36"/>
        <v>15</v>
      </c>
      <c r="BB15" s="7">
        <v>11</v>
      </c>
      <c r="BD15" s="21">
        <v>11</v>
      </c>
      <c r="BE15" s="98" t="s">
        <v>41</v>
      </c>
      <c r="BF15" s="98" t="s">
        <v>78</v>
      </c>
      <c r="BG15" s="98" t="s">
        <v>40</v>
      </c>
      <c r="BH15" s="98" t="s">
        <v>195</v>
      </c>
      <c r="BI15" s="98" t="s">
        <v>38</v>
      </c>
      <c r="BJ15" s="98" t="s">
        <v>163</v>
      </c>
      <c r="BK15" s="37" t="s">
        <v>35</v>
      </c>
      <c r="BM15" s="97">
        <f t="shared" si="37"/>
        <v>12</v>
      </c>
      <c r="BN15" s="97">
        <f t="shared" si="38"/>
        <v>6</v>
      </c>
      <c r="BO15" s="97">
        <f t="shared" si="39"/>
        <v>11</v>
      </c>
      <c r="BP15" s="97">
        <f t="shared" si="40"/>
        <v>19</v>
      </c>
      <c r="BQ15" s="97">
        <f t="shared" si="41"/>
        <v>9</v>
      </c>
      <c r="BR15" s="97">
        <f t="shared" si="42"/>
        <v>7</v>
      </c>
      <c r="BS15" s="97">
        <f t="shared" si="43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100" t="s">
        <v>28</v>
      </c>
      <c r="CD15" s="90">
        <v>10</v>
      </c>
      <c r="CE15" s="91">
        <v>40</v>
      </c>
      <c r="CF15" s="91">
        <v>40</v>
      </c>
      <c r="CG15" s="91">
        <v>10</v>
      </c>
      <c r="CH15" s="91">
        <v>40</v>
      </c>
      <c r="CI15" s="91">
        <v>1</v>
      </c>
      <c r="CJ15" s="92">
        <v>1</v>
      </c>
      <c r="CK15" s="78">
        <v>10</v>
      </c>
      <c r="CM15" s="29" t="s">
        <v>29</v>
      </c>
      <c r="CN15" s="15">
        <f t="shared" si="44"/>
        <v>23</v>
      </c>
      <c r="CO15" s="15">
        <f t="shared" si="4"/>
        <v>5</v>
      </c>
      <c r="CP15" s="15">
        <f t="shared" si="5"/>
        <v>35</v>
      </c>
      <c r="CQ15" s="15">
        <f t="shared" si="6"/>
        <v>6</v>
      </c>
      <c r="CR15" s="15">
        <f t="shared" si="7"/>
        <v>20</v>
      </c>
      <c r="CS15" s="15">
        <f t="shared" si="8"/>
        <v>2</v>
      </c>
      <c r="CT15" s="15">
        <f t="shared" si="9"/>
        <v>15</v>
      </c>
      <c r="CU15" s="7">
        <v>11</v>
      </c>
      <c r="CW15" s="21">
        <v>11</v>
      </c>
      <c r="CX15" s="98" t="s">
        <v>33</v>
      </c>
      <c r="CY15" s="98" t="s">
        <v>78</v>
      </c>
      <c r="CZ15" s="98" t="s">
        <v>40</v>
      </c>
      <c r="DA15" s="98" t="s">
        <v>195</v>
      </c>
      <c r="DB15" s="98" t="s">
        <v>38</v>
      </c>
      <c r="DC15" s="98" t="s">
        <v>33</v>
      </c>
      <c r="DD15" s="37" t="s">
        <v>35</v>
      </c>
      <c r="DF15" s="97">
        <f t="shared" si="45"/>
        <v>2</v>
      </c>
      <c r="DG15" s="97">
        <f t="shared" si="10"/>
        <v>6</v>
      </c>
      <c r="DH15" s="97">
        <f t="shared" si="11"/>
        <v>11</v>
      </c>
      <c r="DI15" s="97">
        <f t="shared" si="12"/>
        <v>19</v>
      </c>
      <c r="DJ15" s="97">
        <f t="shared" si="13"/>
        <v>9</v>
      </c>
      <c r="DK15" s="97">
        <f t="shared" si="14"/>
        <v>2</v>
      </c>
      <c r="DL15" s="97">
        <f t="shared" si="15"/>
        <v>4</v>
      </c>
      <c r="DN15" s="25">
        <v>1</v>
      </c>
      <c r="DO15" s="25">
        <v>1</v>
      </c>
      <c r="DP15" s="25">
        <v>1</v>
      </c>
      <c r="DQ15" s="25">
        <v>1</v>
      </c>
      <c r="DR15" s="25">
        <v>1</v>
      </c>
      <c r="DS15" s="25">
        <v>1</v>
      </c>
      <c r="DT15" s="7">
        <v>1</v>
      </c>
      <c r="DV15" s="100" t="s">
        <v>28</v>
      </c>
      <c r="DW15" s="90">
        <v>10</v>
      </c>
      <c r="DX15" s="91">
        <v>40</v>
      </c>
      <c r="DY15" s="91">
        <v>40</v>
      </c>
      <c r="DZ15" s="91">
        <v>10</v>
      </c>
      <c r="EA15" s="91">
        <v>40</v>
      </c>
      <c r="EB15" s="91">
        <v>1</v>
      </c>
      <c r="EC15" s="92">
        <v>1</v>
      </c>
      <c r="ED15" s="78">
        <v>10</v>
      </c>
    </row>
    <row r="16" spans="1:134" ht="15.95" customHeight="1">
      <c r="A16" s="30" t="s">
        <v>30</v>
      </c>
      <c r="B16" s="15">
        <f t="shared" si="16"/>
        <v>26</v>
      </c>
      <c r="C16" s="15">
        <f t="shared" si="17"/>
        <v>15</v>
      </c>
      <c r="D16" s="15">
        <f t="shared" si="18"/>
        <v>5</v>
      </c>
      <c r="E16" s="15">
        <f t="shared" si="19"/>
        <v>17</v>
      </c>
      <c r="F16" s="15">
        <f t="shared" si="20"/>
        <v>5</v>
      </c>
      <c r="G16" s="15">
        <f t="shared" si="21"/>
        <v>20</v>
      </c>
      <c r="H16" s="15">
        <f t="shared" si="22"/>
        <v>16</v>
      </c>
      <c r="I16" s="7">
        <v>12</v>
      </c>
      <c r="K16" s="22">
        <v>12</v>
      </c>
      <c r="L16" s="98" t="s">
        <v>41</v>
      </c>
      <c r="M16" s="98" t="s">
        <v>39</v>
      </c>
      <c r="N16" s="98" t="s">
        <v>100</v>
      </c>
      <c r="O16" s="98" t="s">
        <v>26</v>
      </c>
      <c r="P16" s="98" t="s">
        <v>38</v>
      </c>
      <c r="Q16" s="98" t="s">
        <v>163</v>
      </c>
      <c r="R16" s="37" t="s">
        <v>36</v>
      </c>
      <c r="T16" s="97">
        <f t="shared" si="23"/>
        <v>12</v>
      </c>
      <c r="U16" s="97">
        <f t="shared" si="24"/>
        <v>10</v>
      </c>
      <c r="V16" s="97">
        <f t="shared" si="25"/>
        <v>14</v>
      </c>
      <c r="W16" s="97">
        <f t="shared" si="26"/>
        <v>8</v>
      </c>
      <c r="X16" s="97">
        <f t="shared" si="27"/>
        <v>9</v>
      </c>
      <c r="Y16" s="97">
        <f t="shared" si="28"/>
        <v>7</v>
      </c>
      <c r="Z16" s="97">
        <f t="shared" si="29"/>
        <v>5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100" t="s">
        <v>29</v>
      </c>
      <c r="AK16" s="90">
        <v>40</v>
      </c>
      <c r="AL16" s="91">
        <v>40</v>
      </c>
      <c r="AM16" s="91">
        <v>40</v>
      </c>
      <c r="AN16" s="91">
        <v>1</v>
      </c>
      <c r="AO16" s="91">
        <v>1</v>
      </c>
      <c r="AP16" s="91">
        <v>1</v>
      </c>
      <c r="AQ16" s="92">
        <v>1</v>
      </c>
      <c r="AR16" s="78">
        <v>11</v>
      </c>
      <c r="AT16" s="30" t="s">
        <v>30</v>
      </c>
      <c r="AU16" s="15">
        <f t="shared" si="30"/>
        <v>30</v>
      </c>
      <c r="AV16" s="15">
        <f t="shared" si="31"/>
        <v>16</v>
      </c>
      <c r="AW16" s="15">
        <f t="shared" si="32"/>
        <v>5</v>
      </c>
      <c r="AX16" s="15">
        <f t="shared" si="33"/>
        <v>19</v>
      </c>
      <c r="AY16" s="15">
        <f t="shared" si="34"/>
        <v>5</v>
      </c>
      <c r="AZ16" s="15">
        <f t="shared" si="35"/>
        <v>21</v>
      </c>
      <c r="BA16" s="15">
        <f t="shared" si="36"/>
        <v>19</v>
      </c>
      <c r="BB16" s="7">
        <v>12</v>
      </c>
      <c r="BD16" s="22">
        <v>12</v>
      </c>
      <c r="BE16" s="98" t="s">
        <v>41</v>
      </c>
      <c r="BF16" s="98" t="s">
        <v>39</v>
      </c>
      <c r="BG16" s="98" t="s">
        <v>100</v>
      </c>
      <c r="BH16" s="98" t="s">
        <v>26</v>
      </c>
      <c r="BI16" s="98" t="s">
        <v>38</v>
      </c>
      <c r="BJ16" s="98" t="s">
        <v>163</v>
      </c>
      <c r="BK16" s="37" t="s">
        <v>36</v>
      </c>
      <c r="BM16" s="97">
        <f t="shared" si="37"/>
        <v>12</v>
      </c>
      <c r="BN16" s="97">
        <f t="shared" si="38"/>
        <v>10</v>
      </c>
      <c r="BO16" s="97">
        <f t="shared" si="39"/>
        <v>14</v>
      </c>
      <c r="BP16" s="97">
        <f t="shared" si="40"/>
        <v>8</v>
      </c>
      <c r="BQ16" s="97">
        <f t="shared" si="41"/>
        <v>9</v>
      </c>
      <c r="BR16" s="97">
        <f t="shared" si="42"/>
        <v>7</v>
      </c>
      <c r="BS16" s="97">
        <f t="shared" si="43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100" t="s">
        <v>29</v>
      </c>
      <c r="CD16" s="90">
        <v>40</v>
      </c>
      <c r="CE16" s="91">
        <v>40</v>
      </c>
      <c r="CF16" s="91">
        <v>40</v>
      </c>
      <c r="CG16" s="91">
        <v>1</v>
      </c>
      <c r="CH16" s="91">
        <v>1</v>
      </c>
      <c r="CI16" s="91">
        <v>1</v>
      </c>
      <c r="CJ16" s="92">
        <v>1</v>
      </c>
      <c r="CK16" s="78">
        <v>11</v>
      </c>
      <c r="CM16" s="30" t="s">
        <v>30</v>
      </c>
      <c r="CN16" s="15">
        <f t="shared" si="44"/>
        <v>29</v>
      </c>
      <c r="CO16" s="15">
        <f t="shared" si="4"/>
        <v>16</v>
      </c>
      <c r="CP16" s="15">
        <f t="shared" si="5"/>
        <v>5</v>
      </c>
      <c r="CQ16" s="15">
        <f t="shared" si="6"/>
        <v>19</v>
      </c>
      <c r="CR16" s="15">
        <f t="shared" si="7"/>
        <v>5</v>
      </c>
      <c r="CS16" s="15">
        <f t="shared" si="8"/>
        <v>21</v>
      </c>
      <c r="CT16" s="15">
        <f t="shared" si="9"/>
        <v>18</v>
      </c>
      <c r="CU16" s="7">
        <v>12</v>
      </c>
      <c r="CW16" s="22">
        <v>12</v>
      </c>
      <c r="CX16" s="98" t="s">
        <v>41</v>
      </c>
      <c r="CY16" s="98" t="s">
        <v>39</v>
      </c>
      <c r="CZ16" s="98" t="s">
        <v>100</v>
      </c>
      <c r="DA16" s="98" t="s">
        <v>33</v>
      </c>
      <c r="DB16" s="98" t="s">
        <v>38</v>
      </c>
      <c r="DC16" s="98" t="s">
        <v>163</v>
      </c>
      <c r="DD16" s="37" t="s">
        <v>36</v>
      </c>
      <c r="DF16" s="97">
        <f t="shared" si="45"/>
        <v>12</v>
      </c>
      <c r="DG16" s="97">
        <f t="shared" si="10"/>
        <v>10</v>
      </c>
      <c r="DH16" s="97">
        <f t="shared" si="11"/>
        <v>14</v>
      </c>
      <c r="DI16" s="97">
        <f t="shared" si="12"/>
        <v>2</v>
      </c>
      <c r="DJ16" s="97">
        <f t="shared" si="13"/>
        <v>9</v>
      </c>
      <c r="DK16" s="97">
        <f t="shared" si="14"/>
        <v>7</v>
      </c>
      <c r="DL16" s="97">
        <f t="shared" si="15"/>
        <v>5</v>
      </c>
      <c r="DN16" s="25">
        <v>1</v>
      </c>
      <c r="DO16" s="25">
        <v>1</v>
      </c>
      <c r="DP16" s="25">
        <v>1</v>
      </c>
      <c r="DQ16" s="25">
        <v>1</v>
      </c>
      <c r="DR16" s="25">
        <v>1</v>
      </c>
      <c r="DS16" s="25">
        <v>1</v>
      </c>
      <c r="DT16" s="7">
        <v>1</v>
      </c>
      <c r="DV16" s="100" t="s">
        <v>29</v>
      </c>
      <c r="DW16" s="90">
        <v>40</v>
      </c>
      <c r="DX16" s="91">
        <v>40</v>
      </c>
      <c r="DY16" s="91">
        <v>40</v>
      </c>
      <c r="DZ16" s="91">
        <v>1</v>
      </c>
      <c r="EA16" s="91">
        <v>1</v>
      </c>
      <c r="EB16" s="91">
        <v>1</v>
      </c>
      <c r="EC16" s="92">
        <v>1</v>
      </c>
      <c r="ED16" s="78">
        <v>11</v>
      </c>
    </row>
    <row r="17" spans="1:134" ht="15.95" customHeight="1">
      <c r="A17" s="30" t="s">
        <v>82</v>
      </c>
      <c r="B17" s="15">
        <f t="shared" si="16"/>
        <v>0</v>
      </c>
      <c r="C17" s="15">
        <f t="shared" si="17"/>
        <v>1</v>
      </c>
      <c r="D17" s="15">
        <f t="shared" si="18"/>
        <v>0</v>
      </c>
      <c r="E17" s="15">
        <f t="shared" si="19"/>
        <v>0</v>
      </c>
      <c r="F17" s="15">
        <f t="shared" si="20"/>
        <v>0</v>
      </c>
      <c r="G17" s="15">
        <f t="shared" si="21"/>
        <v>0</v>
      </c>
      <c r="H17" s="15">
        <f t="shared" si="22"/>
        <v>0</v>
      </c>
      <c r="I17" s="7">
        <v>13</v>
      </c>
      <c r="K17" s="21">
        <v>13</v>
      </c>
      <c r="L17" s="98" t="s">
        <v>38</v>
      </c>
      <c r="M17" s="98" t="s">
        <v>39</v>
      </c>
      <c r="N17" s="98" t="s">
        <v>205</v>
      </c>
      <c r="O17" s="98" t="s">
        <v>26</v>
      </c>
      <c r="P17" s="98" t="s">
        <v>163</v>
      </c>
      <c r="Q17" s="98" t="s">
        <v>78</v>
      </c>
      <c r="R17" s="37" t="s">
        <v>36</v>
      </c>
      <c r="T17" s="97">
        <f t="shared" si="23"/>
        <v>9</v>
      </c>
      <c r="U17" s="97">
        <f t="shared" si="24"/>
        <v>10</v>
      </c>
      <c r="V17" s="97">
        <f t="shared" si="25"/>
        <v>21</v>
      </c>
      <c r="W17" s="97">
        <f t="shared" si="26"/>
        <v>8</v>
      </c>
      <c r="X17" s="97">
        <f t="shared" si="27"/>
        <v>7</v>
      </c>
      <c r="Y17" s="97">
        <f t="shared" si="28"/>
        <v>6</v>
      </c>
      <c r="Z17" s="97">
        <f t="shared" si="29"/>
        <v>5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91">
        <v>40</v>
      </c>
      <c r="AM17" s="91">
        <v>20</v>
      </c>
      <c r="AN17" s="91">
        <v>1</v>
      </c>
      <c r="AO17" s="91">
        <v>1</v>
      </c>
      <c r="AP17" s="91">
        <v>1</v>
      </c>
      <c r="AQ17" s="92">
        <v>1</v>
      </c>
      <c r="AR17" s="78">
        <v>12</v>
      </c>
      <c r="AT17" s="30" t="s">
        <v>82</v>
      </c>
      <c r="AU17" s="15">
        <f t="shared" si="30"/>
        <v>0</v>
      </c>
      <c r="AV17" s="15">
        <f t="shared" si="31"/>
        <v>0</v>
      </c>
      <c r="AW17" s="15">
        <f t="shared" si="32"/>
        <v>0</v>
      </c>
      <c r="AX17" s="15">
        <f t="shared" si="33"/>
        <v>0</v>
      </c>
      <c r="AY17" s="15">
        <f t="shared" si="34"/>
        <v>0</v>
      </c>
      <c r="AZ17" s="15">
        <f t="shared" si="35"/>
        <v>0</v>
      </c>
      <c r="BA17" s="15">
        <f t="shared" si="36"/>
        <v>0</v>
      </c>
      <c r="BB17" s="7">
        <v>13</v>
      </c>
      <c r="BD17" s="21">
        <v>13</v>
      </c>
      <c r="BE17" s="98" t="s">
        <v>38</v>
      </c>
      <c r="BF17" s="98" t="s">
        <v>39</v>
      </c>
      <c r="BG17" s="98" t="s">
        <v>205</v>
      </c>
      <c r="BH17" s="98" t="s">
        <v>26</v>
      </c>
      <c r="BI17" s="98" t="s">
        <v>163</v>
      </c>
      <c r="BJ17" s="98" t="s">
        <v>78</v>
      </c>
      <c r="BK17" s="37" t="s">
        <v>36</v>
      </c>
      <c r="BM17" s="97">
        <f t="shared" si="37"/>
        <v>9</v>
      </c>
      <c r="BN17" s="97">
        <f t="shared" si="38"/>
        <v>10</v>
      </c>
      <c r="BO17" s="97">
        <f t="shared" si="39"/>
        <v>21</v>
      </c>
      <c r="BP17" s="97">
        <f t="shared" si="40"/>
        <v>8</v>
      </c>
      <c r="BQ17" s="97">
        <f t="shared" si="41"/>
        <v>7</v>
      </c>
      <c r="BR17" s="97">
        <f t="shared" si="42"/>
        <v>6</v>
      </c>
      <c r="BS17" s="97">
        <f t="shared" si="43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100" t="s">
        <v>30</v>
      </c>
      <c r="CD17" s="90">
        <v>5</v>
      </c>
      <c r="CE17" s="91">
        <v>40</v>
      </c>
      <c r="CF17" s="91">
        <v>20</v>
      </c>
      <c r="CG17" s="91">
        <v>1</v>
      </c>
      <c r="CH17" s="91">
        <v>1</v>
      </c>
      <c r="CI17" s="91">
        <v>1</v>
      </c>
      <c r="CJ17" s="92">
        <v>1</v>
      </c>
      <c r="CK17" s="78">
        <v>12</v>
      </c>
      <c r="CM17" s="30" t="s">
        <v>82</v>
      </c>
      <c r="CN17" s="15">
        <f t="shared" si="44"/>
        <v>0</v>
      </c>
      <c r="CO17" s="15">
        <f t="shared" si="4"/>
        <v>0</v>
      </c>
      <c r="CP17" s="15">
        <f t="shared" si="5"/>
        <v>0</v>
      </c>
      <c r="CQ17" s="15">
        <f t="shared" si="6"/>
        <v>0</v>
      </c>
      <c r="CR17" s="15">
        <f t="shared" si="7"/>
        <v>0</v>
      </c>
      <c r="CS17" s="15">
        <f t="shared" si="8"/>
        <v>0</v>
      </c>
      <c r="CT17" s="15">
        <f t="shared" si="9"/>
        <v>0</v>
      </c>
      <c r="CU17" s="7">
        <v>13</v>
      </c>
      <c r="CW17" s="21">
        <v>13</v>
      </c>
      <c r="CX17" s="98" t="s">
        <v>38</v>
      </c>
      <c r="CY17" s="98" t="s">
        <v>39</v>
      </c>
      <c r="CZ17" s="98" t="s">
        <v>205</v>
      </c>
      <c r="DA17" s="98" t="s">
        <v>26</v>
      </c>
      <c r="DB17" s="98" t="s">
        <v>163</v>
      </c>
      <c r="DC17" s="98" t="s">
        <v>78</v>
      </c>
      <c r="DD17" s="37" t="s">
        <v>36</v>
      </c>
      <c r="DF17" s="97">
        <f t="shared" si="45"/>
        <v>9</v>
      </c>
      <c r="DG17" s="97">
        <f t="shared" si="10"/>
        <v>10</v>
      </c>
      <c r="DH17" s="97">
        <f t="shared" si="11"/>
        <v>21</v>
      </c>
      <c r="DI17" s="97">
        <f t="shared" si="12"/>
        <v>8</v>
      </c>
      <c r="DJ17" s="97">
        <f t="shared" si="13"/>
        <v>7</v>
      </c>
      <c r="DK17" s="97">
        <f t="shared" si="14"/>
        <v>6</v>
      </c>
      <c r="DL17" s="97">
        <f t="shared" si="15"/>
        <v>5</v>
      </c>
      <c r="DN17" s="25">
        <v>1</v>
      </c>
      <c r="DO17" s="25">
        <v>1</v>
      </c>
      <c r="DP17" s="25">
        <v>1</v>
      </c>
      <c r="DQ17" s="25">
        <v>1</v>
      </c>
      <c r="DR17" s="25">
        <v>1</v>
      </c>
      <c r="DS17" s="25">
        <v>1</v>
      </c>
      <c r="DT17" s="7">
        <v>1</v>
      </c>
      <c r="DV17" s="100" t="s">
        <v>30</v>
      </c>
      <c r="DW17" s="90">
        <v>5</v>
      </c>
      <c r="DX17" s="91">
        <v>40</v>
      </c>
      <c r="DY17" s="91">
        <v>20</v>
      </c>
      <c r="DZ17" s="91">
        <v>1</v>
      </c>
      <c r="EA17" s="91">
        <v>1</v>
      </c>
      <c r="EB17" s="91">
        <v>1</v>
      </c>
      <c r="EC17" s="92">
        <v>1</v>
      </c>
      <c r="ED17" s="78">
        <v>12</v>
      </c>
    </row>
    <row r="18" spans="1:134" s="102" customFormat="1" ht="15.95" customHeight="1">
      <c r="A18" s="30" t="s">
        <v>83</v>
      </c>
      <c r="B18" s="15">
        <f t="shared" si="16"/>
        <v>0</v>
      </c>
      <c r="C18" s="15">
        <f t="shared" si="17"/>
        <v>1</v>
      </c>
      <c r="D18" s="15">
        <f t="shared" si="18"/>
        <v>1</v>
      </c>
      <c r="E18" s="15">
        <f t="shared" si="19"/>
        <v>1</v>
      </c>
      <c r="F18" s="15">
        <f t="shared" si="20"/>
        <v>1</v>
      </c>
      <c r="G18" s="15">
        <f t="shared" si="21"/>
        <v>0</v>
      </c>
      <c r="H18" s="15">
        <f t="shared" si="22"/>
        <v>0</v>
      </c>
      <c r="I18" s="7">
        <v>14</v>
      </c>
      <c r="J18" s="86"/>
      <c r="K18" s="22">
        <v>14</v>
      </c>
      <c r="L18" s="98" t="s">
        <v>163</v>
      </c>
      <c r="M18" s="98" t="s">
        <v>177</v>
      </c>
      <c r="N18" s="98" t="s">
        <v>39</v>
      </c>
      <c r="O18" s="98" t="s">
        <v>163</v>
      </c>
      <c r="P18" s="98" t="s">
        <v>163</v>
      </c>
      <c r="Q18" s="98" t="s">
        <v>39</v>
      </c>
      <c r="R18" s="37" t="s">
        <v>36</v>
      </c>
      <c r="S18" s="110"/>
      <c r="T18" s="97">
        <f t="shared" si="23"/>
        <v>7</v>
      </c>
      <c r="U18" s="97">
        <f t="shared" si="24"/>
        <v>18</v>
      </c>
      <c r="V18" s="97">
        <f t="shared" si="25"/>
        <v>10</v>
      </c>
      <c r="W18" s="97">
        <f t="shared" si="26"/>
        <v>7</v>
      </c>
      <c r="X18" s="97">
        <f t="shared" si="27"/>
        <v>7</v>
      </c>
      <c r="Y18" s="97">
        <f t="shared" si="28"/>
        <v>10</v>
      </c>
      <c r="Z18" s="97">
        <f t="shared" si="29"/>
        <v>5</v>
      </c>
      <c r="AA18" s="110"/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91">
        <v>12</v>
      </c>
      <c r="AM18" s="91">
        <v>3</v>
      </c>
      <c r="AN18" s="91">
        <v>5</v>
      </c>
      <c r="AO18" s="91">
        <v>3</v>
      </c>
      <c r="AP18" s="91">
        <v>0</v>
      </c>
      <c r="AQ18" s="92">
        <v>0</v>
      </c>
      <c r="AR18" s="78">
        <v>13</v>
      </c>
      <c r="AT18" s="30" t="s">
        <v>83</v>
      </c>
      <c r="AU18" s="15">
        <f t="shared" si="30"/>
        <v>0</v>
      </c>
      <c r="AV18" s="15">
        <f t="shared" si="31"/>
        <v>2</v>
      </c>
      <c r="AW18" s="15">
        <f t="shared" si="32"/>
        <v>1</v>
      </c>
      <c r="AX18" s="15">
        <f t="shared" si="33"/>
        <v>1</v>
      </c>
      <c r="AY18" s="15">
        <f t="shared" si="34"/>
        <v>1</v>
      </c>
      <c r="AZ18" s="15">
        <f t="shared" si="35"/>
        <v>0</v>
      </c>
      <c r="BA18" s="15">
        <f t="shared" si="36"/>
        <v>0</v>
      </c>
      <c r="BB18" s="7">
        <v>14</v>
      </c>
      <c r="BC18" s="86"/>
      <c r="BD18" s="22">
        <v>14</v>
      </c>
      <c r="BE18" s="98" t="s">
        <v>163</v>
      </c>
      <c r="BF18" s="98" t="s">
        <v>177</v>
      </c>
      <c r="BG18" s="98" t="s">
        <v>39</v>
      </c>
      <c r="BH18" s="98" t="s">
        <v>163</v>
      </c>
      <c r="BI18" s="98" t="s">
        <v>163</v>
      </c>
      <c r="BJ18" s="98" t="s">
        <v>39</v>
      </c>
      <c r="BK18" s="37" t="s">
        <v>36</v>
      </c>
      <c r="BL18" s="110"/>
      <c r="BM18" s="97">
        <f t="shared" si="37"/>
        <v>7</v>
      </c>
      <c r="BN18" s="97">
        <f t="shared" si="38"/>
        <v>18</v>
      </c>
      <c r="BO18" s="97">
        <f t="shared" si="39"/>
        <v>10</v>
      </c>
      <c r="BP18" s="97">
        <f t="shared" si="40"/>
        <v>7</v>
      </c>
      <c r="BQ18" s="97">
        <f t="shared" si="41"/>
        <v>7</v>
      </c>
      <c r="BR18" s="97">
        <f t="shared" si="42"/>
        <v>10</v>
      </c>
      <c r="BS18" s="97">
        <f t="shared" si="43"/>
        <v>5</v>
      </c>
      <c r="BT18" s="110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110"/>
      <c r="CC18" s="100" t="s">
        <v>82</v>
      </c>
      <c r="CD18" s="90">
        <v>0</v>
      </c>
      <c r="CE18" s="91">
        <v>12</v>
      </c>
      <c r="CF18" s="91">
        <v>3</v>
      </c>
      <c r="CG18" s="91">
        <v>5</v>
      </c>
      <c r="CH18" s="91">
        <v>3</v>
      </c>
      <c r="CI18" s="91">
        <v>0</v>
      </c>
      <c r="CJ18" s="92">
        <v>0</v>
      </c>
      <c r="CK18" s="78">
        <v>13</v>
      </c>
      <c r="CM18" s="30" t="s">
        <v>83</v>
      </c>
      <c r="CN18" s="15">
        <f t="shared" si="44"/>
        <v>0</v>
      </c>
      <c r="CO18" s="15">
        <f t="shared" si="4"/>
        <v>2</v>
      </c>
      <c r="CP18" s="15">
        <f t="shared" si="5"/>
        <v>1</v>
      </c>
      <c r="CQ18" s="15">
        <f t="shared" si="6"/>
        <v>1</v>
      </c>
      <c r="CR18" s="15">
        <f t="shared" si="7"/>
        <v>1</v>
      </c>
      <c r="CS18" s="15">
        <f t="shared" si="8"/>
        <v>0</v>
      </c>
      <c r="CT18" s="15">
        <f t="shared" si="9"/>
        <v>0</v>
      </c>
      <c r="CU18" s="7">
        <v>14</v>
      </c>
      <c r="CV18" s="86"/>
      <c r="CW18" s="22">
        <v>14</v>
      </c>
      <c r="CX18" s="98" t="s">
        <v>163</v>
      </c>
      <c r="CY18" s="98" t="s">
        <v>177</v>
      </c>
      <c r="CZ18" s="98" t="s">
        <v>39</v>
      </c>
      <c r="DA18" s="98" t="s">
        <v>163</v>
      </c>
      <c r="DB18" s="98" t="s">
        <v>163</v>
      </c>
      <c r="DC18" s="98" t="s">
        <v>39</v>
      </c>
      <c r="DD18" s="37" t="s">
        <v>36</v>
      </c>
      <c r="DE18" s="148"/>
      <c r="DF18" s="97">
        <f t="shared" si="45"/>
        <v>7</v>
      </c>
      <c r="DG18" s="97">
        <f t="shared" si="10"/>
        <v>18</v>
      </c>
      <c r="DH18" s="97">
        <f t="shared" si="11"/>
        <v>10</v>
      </c>
      <c r="DI18" s="97">
        <f t="shared" si="12"/>
        <v>7</v>
      </c>
      <c r="DJ18" s="97">
        <f t="shared" si="13"/>
        <v>7</v>
      </c>
      <c r="DK18" s="97">
        <f t="shared" si="14"/>
        <v>10</v>
      </c>
      <c r="DL18" s="97">
        <f t="shared" si="15"/>
        <v>5</v>
      </c>
      <c r="DM18" s="148"/>
      <c r="DN18" s="25">
        <v>1</v>
      </c>
      <c r="DO18" s="25">
        <v>1</v>
      </c>
      <c r="DP18" s="25">
        <v>1</v>
      </c>
      <c r="DQ18" s="25">
        <v>1</v>
      </c>
      <c r="DR18" s="25">
        <v>1</v>
      </c>
      <c r="DS18" s="25">
        <v>1</v>
      </c>
      <c r="DT18" s="7">
        <v>1</v>
      </c>
      <c r="DU18" s="148"/>
      <c r="DV18" s="100" t="s">
        <v>82</v>
      </c>
      <c r="DW18" s="90">
        <v>0</v>
      </c>
      <c r="DX18" s="91">
        <v>12</v>
      </c>
      <c r="DY18" s="91">
        <v>3</v>
      </c>
      <c r="DZ18" s="91">
        <v>5</v>
      </c>
      <c r="EA18" s="91">
        <v>3</v>
      </c>
      <c r="EB18" s="91">
        <v>0</v>
      </c>
      <c r="EC18" s="92">
        <v>0</v>
      </c>
      <c r="ED18" s="78">
        <v>13</v>
      </c>
    </row>
    <row r="19" spans="1:134" ht="15.95" customHeight="1">
      <c r="A19" s="30" t="s">
        <v>84</v>
      </c>
      <c r="B19" s="15">
        <f t="shared" si="16"/>
        <v>0</v>
      </c>
      <c r="C19" s="15">
        <f t="shared" si="17"/>
        <v>1</v>
      </c>
      <c r="D19" s="15">
        <f t="shared" si="18"/>
        <v>1</v>
      </c>
      <c r="E19" s="15">
        <f t="shared" si="19"/>
        <v>1</v>
      </c>
      <c r="F19" s="15">
        <f t="shared" si="20"/>
        <v>1</v>
      </c>
      <c r="G19" s="15">
        <f t="shared" si="21"/>
        <v>0</v>
      </c>
      <c r="H19" s="15">
        <f t="shared" si="22"/>
        <v>0</v>
      </c>
      <c r="I19" s="7">
        <v>15</v>
      </c>
      <c r="J19" s="107"/>
      <c r="K19" s="21">
        <v>15</v>
      </c>
      <c r="L19" s="98" t="s">
        <v>26</v>
      </c>
      <c r="M19" s="98" t="s">
        <v>163</v>
      </c>
      <c r="N19" s="98" t="s">
        <v>36</v>
      </c>
      <c r="O19" s="98" t="s">
        <v>177</v>
      </c>
      <c r="P19" s="98" t="s">
        <v>195</v>
      </c>
      <c r="Q19" s="98" t="s">
        <v>78</v>
      </c>
      <c r="R19" s="37" t="s">
        <v>36</v>
      </c>
      <c r="T19" s="97">
        <f t="shared" si="23"/>
        <v>8</v>
      </c>
      <c r="U19" s="97">
        <f t="shared" si="24"/>
        <v>7</v>
      </c>
      <c r="V19" s="97">
        <f t="shared" si="25"/>
        <v>5</v>
      </c>
      <c r="W19" s="97">
        <f t="shared" si="26"/>
        <v>18</v>
      </c>
      <c r="X19" s="97">
        <f t="shared" si="27"/>
        <v>19</v>
      </c>
      <c r="Y19" s="97">
        <f t="shared" si="28"/>
        <v>6</v>
      </c>
      <c r="Z19" s="97">
        <f t="shared" si="29"/>
        <v>5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91">
        <v>8</v>
      </c>
      <c r="AM19" s="91">
        <v>15</v>
      </c>
      <c r="AN19" s="91">
        <v>2</v>
      </c>
      <c r="AO19" s="91">
        <v>2</v>
      </c>
      <c r="AP19" s="91">
        <v>0</v>
      </c>
      <c r="AQ19" s="92">
        <v>0</v>
      </c>
      <c r="AR19" s="78">
        <v>14</v>
      </c>
      <c r="AT19" s="30" t="s">
        <v>84</v>
      </c>
      <c r="AU19" s="15">
        <f t="shared" si="30"/>
        <v>0</v>
      </c>
      <c r="AV19" s="15">
        <f t="shared" si="31"/>
        <v>0</v>
      </c>
      <c r="AW19" s="15">
        <f t="shared" si="32"/>
        <v>1</v>
      </c>
      <c r="AX19" s="15">
        <f t="shared" si="33"/>
        <v>1</v>
      </c>
      <c r="AY19" s="15">
        <f t="shared" si="34"/>
        <v>1</v>
      </c>
      <c r="AZ19" s="15">
        <f t="shared" si="35"/>
        <v>0</v>
      </c>
      <c r="BA19" s="15">
        <f t="shared" si="36"/>
        <v>0</v>
      </c>
      <c r="BB19" s="7">
        <v>15</v>
      </c>
      <c r="BC19" s="107"/>
      <c r="BD19" s="21">
        <v>15</v>
      </c>
      <c r="BE19" s="98" t="s">
        <v>40</v>
      </c>
      <c r="BF19" s="98" t="s">
        <v>163</v>
      </c>
      <c r="BG19" s="98" t="s">
        <v>36</v>
      </c>
      <c r="BH19" s="98" t="s">
        <v>177</v>
      </c>
      <c r="BI19" s="98" t="s">
        <v>195</v>
      </c>
      <c r="BJ19" s="98" t="s">
        <v>78</v>
      </c>
      <c r="BK19" s="37" t="s">
        <v>36</v>
      </c>
      <c r="BM19" s="97">
        <f t="shared" si="37"/>
        <v>11</v>
      </c>
      <c r="BN19" s="97">
        <f t="shared" si="38"/>
        <v>7</v>
      </c>
      <c r="BO19" s="97">
        <f t="shared" si="39"/>
        <v>5</v>
      </c>
      <c r="BP19" s="97">
        <f t="shared" si="40"/>
        <v>18</v>
      </c>
      <c r="BQ19" s="97">
        <f t="shared" si="41"/>
        <v>19</v>
      </c>
      <c r="BR19" s="97">
        <f t="shared" si="42"/>
        <v>6</v>
      </c>
      <c r="BS19" s="97">
        <f t="shared" si="43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100" t="s">
        <v>83</v>
      </c>
      <c r="CD19" s="90">
        <v>0</v>
      </c>
      <c r="CE19" s="91">
        <v>8</v>
      </c>
      <c r="CF19" s="91">
        <v>15</v>
      </c>
      <c r="CG19" s="91">
        <v>2</v>
      </c>
      <c r="CH19" s="91">
        <v>2</v>
      </c>
      <c r="CI19" s="91">
        <v>0</v>
      </c>
      <c r="CJ19" s="92">
        <v>0</v>
      </c>
      <c r="CK19" s="78">
        <v>14</v>
      </c>
      <c r="CM19" s="30" t="s">
        <v>84</v>
      </c>
      <c r="CN19" s="15">
        <f t="shared" si="44"/>
        <v>0</v>
      </c>
      <c r="CO19" s="15">
        <f t="shared" si="4"/>
        <v>0</v>
      </c>
      <c r="CP19" s="15">
        <f t="shared" si="5"/>
        <v>1</v>
      </c>
      <c r="CQ19" s="15">
        <f t="shared" si="6"/>
        <v>1</v>
      </c>
      <c r="CR19" s="15">
        <f t="shared" si="7"/>
        <v>1</v>
      </c>
      <c r="CS19" s="15">
        <f t="shared" si="8"/>
        <v>0</v>
      </c>
      <c r="CT19" s="15">
        <f t="shared" si="9"/>
        <v>0</v>
      </c>
      <c r="CU19" s="7">
        <v>15</v>
      </c>
      <c r="CV19" s="107"/>
      <c r="CW19" s="21">
        <v>15</v>
      </c>
      <c r="CX19" s="98" t="s">
        <v>40</v>
      </c>
      <c r="CY19" s="98" t="s">
        <v>163</v>
      </c>
      <c r="CZ19" s="98" t="s">
        <v>36</v>
      </c>
      <c r="DA19" s="98" t="s">
        <v>177</v>
      </c>
      <c r="DB19" s="98" t="s">
        <v>195</v>
      </c>
      <c r="DC19" s="98" t="s">
        <v>78</v>
      </c>
      <c r="DD19" s="37" t="s">
        <v>36</v>
      </c>
      <c r="DF19" s="97">
        <f t="shared" si="45"/>
        <v>11</v>
      </c>
      <c r="DG19" s="97">
        <f t="shared" si="10"/>
        <v>7</v>
      </c>
      <c r="DH19" s="97">
        <f t="shared" si="11"/>
        <v>5</v>
      </c>
      <c r="DI19" s="97">
        <f t="shared" si="12"/>
        <v>18</v>
      </c>
      <c r="DJ19" s="97">
        <f t="shared" si="13"/>
        <v>19</v>
      </c>
      <c r="DK19" s="97">
        <f t="shared" si="14"/>
        <v>6</v>
      </c>
      <c r="DL19" s="97">
        <f t="shared" si="15"/>
        <v>5</v>
      </c>
      <c r="DN19" s="25">
        <v>1</v>
      </c>
      <c r="DO19" s="25">
        <v>1</v>
      </c>
      <c r="DP19" s="25">
        <v>1</v>
      </c>
      <c r="DQ19" s="25">
        <v>1</v>
      </c>
      <c r="DR19" s="25">
        <v>1</v>
      </c>
      <c r="DS19" s="25">
        <v>1</v>
      </c>
      <c r="DT19" s="7">
        <v>1</v>
      </c>
      <c r="DV19" s="100" t="s">
        <v>83</v>
      </c>
      <c r="DW19" s="90">
        <v>0</v>
      </c>
      <c r="DX19" s="91">
        <v>8</v>
      </c>
      <c r="DY19" s="91">
        <v>15</v>
      </c>
      <c r="DZ19" s="91">
        <v>2</v>
      </c>
      <c r="EA19" s="91">
        <v>2</v>
      </c>
      <c r="EB19" s="91">
        <v>0</v>
      </c>
      <c r="EC19" s="92">
        <v>0</v>
      </c>
      <c r="ED19" s="78">
        <v>14</v>
      </c>
    </row>
    <row r="20" spans="1:134" ht="15.95" customHeight="1">
      <c r="A20" s="30" t="s">
        <v>85</v>
      </c>
      <c r="B20" s="15">
        <f t="shared" si="16"/>
        <v>0</v>
      </c>
      <c r="C20" s="15">
        <f t="shared" si="17"/>
        <v>1</v>
      </c>
      <c r="D20" s="15">
        <f t="shared" si="18"/>
        <v>1</v>
      </c>
      <c r="E20" s="15">
        <f t="shared" si="19"/>
        <v>1</v>
      </c>
      <c r="F20" s="15">
        <f t="shared" si="20"/>
        <v>1</v>
      </c>
      <c r="G20" s="15">
        <f t="shared" si="21"/>
        <v>0</v>
      </c>
      <c r="H20" s="15">
        <f t="shared" si="22"/>
        <v>0</v>
      </c>
      <c r="I20" s="7">
        <v>16</v>
      </c>
      <c r="K20" s="22">
        <v>16</v>
      </c>
      <c r="L20" s="98" t="s">
        <v>41</v>
      </c>
      <c r="M20" s="98" t="s">
        <v>78</v>
      </c>
      <c r="N20" s="98" t="s">
        <v>36</v>
      </c>
      <c r="O20" s="98" t="s">
        <v>39</v>
      </c>
      <c r="P20" s="98" t="s">
        <v>39</v>
      </c>
      <c r="Q20" s="98" t="s">
        <v>78</v>
      </c>
      <c r="R20" s="37" t="s">
        <v>26</v>
      </c>
      <c r="T20" s="97">
        <f t="shared" si="23"/>
        <v>12</v>
      </c>
      <c r="U20" s="97">
        <f t="shared" si="24"/>
        <v>6</v>
      </c>
      <c r="V20" s="97">
        <f t="shared" si="25"/>
        <v>5</v>
      </c>
      <c r="W20" s="97">
        <f t="shared" si="26"/>
        <v>10</v>
      </c>
      <c r="X20" s="97">
        <f t="shared" si="27"/>
        <v>10</v>
      </c>
      <c r="Y20" s="97">
        <f t="shared" si="28"/>
        <v>6</v>
      </c>
      <c r="Z20" s="97">
        <f t="shared" si="29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100" t="s">
        <v>84</v>
      </c>
      <c r="AK20" s="90">
        <v>0</v>
      </c>
      <c r="AL20" s="91">
        <v>2</v>
      </c>
      <c r="AM20" s="91">
        <v>7</v>
      </c>
      <c r="AN20" s="91">
        <v>1</v>
      </c>
      <c r="AO20" s="91">
        <v>2</v>
      </c>
      <c r="AP20" s="91">
        <v>0</v>
      </c>
      <c r="AQ20" s="92">
        <v>0</v>
      </c>
      <c r="AR20" s="78">
        <v>15</v>
      </c>
      <c r="AT20" s="30" t="s">
        <v>85</v>
      </c>
      <c r="AU20" s="15">
        <f t="shared" si="30"/>
        <v>0</v>
      </c>
      <c r="AV20" s="15">
        <f t="shared" si="31"/>
        <v>1</v>
      </c>
      <c r="AW20" s="15">
        <f t="shared" si="32"/>
        <v>2</v>
      </c>
      <c r="AX20" s="15">
        <f t="shared" si="33"/>
        <v>1</v>
      </c>
      <c r="AY20" s="15">
        <f t="shared" si="34"/>
        <v>1</v>
      </c>
      <c r="AZ20" s="15">
        <f t="shared" si="35"/>
        <v>0</v>
      </c>
      <c r="BA20" s="15">
        <f t="shared" si="36"/>
        <v>0</v>
      </c>
      <c r="BB20" s="7">
        <v>16</v>
      </c>
      <c r="BD20" s="22">
        <v>16</v>
      </c>
      <c r="BE20" s="98" t="s">
        <v>41</v>
      </c>
      <c r="BF20" s="98" t="s">
        <v>78</v>
      </c>
      <c r="BG20" s="98" t="s">
        <v>36</v>
      </c>
      <c r="BH20" s="98" t="s">
        <v>39</v>
      </c>
      <c r="BI20" s="98" t="s">
        <v>39</v>
      </c>
      <c r="BJ20" s="98" t="s">
        <v>78</v>
      </c>
      <c r="BK20" s="37" t="s">
        <v>26</v>
      </c>
      <c r="BM20" s="97">
        <f t="shared" si="37"/>
        <v>12</v>
      </c>
      <c r="BN20" s="97">
        <f t="shared" si="38"/>
        <v>6</v>
      </c>
      <c r="BO20" s="97">
        <f t="shared" si="39"/>
        <v>5</v>
      </c>
      <c r="BP20" s="97">
        <f t="shared" si="40"/>
        <v>10</v>
      </c>
      <c r="BQ20" s="97">
        <f t="shared" si="41"/>
        <v>10</v>
      </c>
      <c r="BR20" s="97">
        <f t="shared" si="42"/>
        <v>6</v>
      </c>
      <c r="BS20" s="97">
        <f t="shared" si="43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100" t="s">
        <v>84</v>
      </c>
      <c r="CD20" s="90">
        <v>0</v>
      </c>
      <c r="CE20" s="91">
        <v>2</v>
      </c>
      <c r="CF20" s="91">
        <v>7</v>
      </c>
      <c r="CG20" s="91">
        <v>1</v>
      </c>
      <c r="CH20" s="91">
        <v>2</v>
      </c>
      <c r="CI20" s="91">
        <v>0</v>
      </c>
      <c r="CJ20" s="92">
        <v>0</v>
      </c>
      <c r="CK20" s="78">
        <v>15</v>
      </c>
      <c r="CM20" s="30" t="s">
        <v>85</v>
      </c>
      <c r="CN20" s="15">
        <f t="shared" si="44"/>
        <v>0</v>
      </c>
      <c r="CO20" s="15">
        <f t="shared" si="4"/>
        <v>1</v>
      </c>
      <c r="CP20" s="15">
        <f t="shared" si="5"/>
        <v>2</v>
      </c>
      <c r="CQ20" s="15">
        <f t="shared" si="6"/>
        <v>1</v>
      </c>
      <c r="CR20" s="15">
        <f t="shared" si="7"/>
        <v>1</v>
      </c>
      <c r="CS20" s="15">
        <f t="shared" si="8"/>
        <v>0</v>
      </c>
      <c r="CT20" s="15">
        <f t="shared" si="9"/>
        <v>0</v>
      </c>
      <c r="CU20" s="7">
        <v>16</v>
      </c>
      <c r="CW20" s="22">
        <v>16</v>
      </c>
      <c r="CX20" s="98" t="s">
        <v>41</v>
      </c>
      <c r="CY20" s="98" t="s">
        <v>78</v>
      </c>
      <c r="CZ20" s="98" t="s">
        <v>36</v>
      </c>
      <c r="DA20" s="98" t="s">
        <v>39</v>
      </c>
      <c r="DB20" s="98" t="s">
        <v>39</v>
      </c>
      <c r="DC20" s="98" t="s">
        <v>78</v>
      </c>
      <c r="DD20" s="37" t="s">
        <v>26</v>
      </c>
      <c r="DF20" s="97">
        <f t="shared" si="45"/>
        <v>12</v>
      </c>
      <c r="DG20" s="97">
        <f t="shared" si="10"/>
        <v>6</v>
      </c>
      <c r="DH20" s="97">
        <f t="shared" si="11"/>
        <v>5</v>
      </c>
      <c r="DI20" s="97">
        <f t="shared" si="12"/>
        <v>10</v>
      </c>
      <c r="DJ20" s="97">
        <f t="shared" si="13"/>
        <v>10</v>
      </c>
      <c r="DK20" s="97">
        <f t="shared" si="14"/>
        <v>6</v>
      </c>
      <c r="DL20" s="97">
        <f t="shared" si="15"/>
        <v>8</v>
      </c>
      <c r="DN20" s="25">
        <v>1</v>
      </c>
      <c r="DO20" s="25">
        <v>1</v>
      </c>
      <c r="DP20" s="25">
        <v>1</v>
      </c>
      <c r="DQ20" s="25">
        <v>1</v>
      </c>
      <c r="DR20" s="25">
        <v>1</v>
      </c>
      <c r="DS20" s="25">
        <v>1</v>
      </c>
      <c r="DT20" s="7">
        <v>1</v>
      </c>
      <c r="DV20" s="100" t="s">
        <v>84</v>
      </c>
      <c r="DW20" s="90">
        <v>0</v>
      </c>
      <c r="DX20" s="91">
        <v>2</v>
      </c>
      <c r="DY20" s="91">
        <v>7</v>
      </c>
      <c r="DZ20" s="91">
        <v>1</v>
      </c>
      <c r="EA20" s="91">
        <v>2</v>
      </c>
      <c r="EB20" s="91">
        <v>0</v>
      </c>
      <c r="EC20" s="92">
        <v>0</v>
      </c>
      <c r="ED20" s="78">
        <v>15</v>
      </c>
    </row>
    <row r="21" spans="1:134" ht="15.95" customHeight="1">
      <c r="A21" s="30" t="s">
        <v>86</v>
      </c>
      <c r="B21" s="15">
        <f t="shared" si="16"/>
        <v>0</v>
      </c>
      <c r="C21" s="15">
        <f t="shared" si="17"/>
        <v>3</v>
      </c>
      <c r="D21" s="15">
        <f t="shared" si="18"/>
        <v>3</v>
      </c>
      <c r="E21" s="15">
        <f t="shared" si="19"/>
        <v>4</v>
      </c>
      <c r="F21" s="15">
        <f t="shared" si="20"/>
        <v>1</v>
      </c>
      <c r="G21" s="15">
        <f t="shared" si="21"/>
        <v>0</v>
      </c>
      <c r="H21" s="15">
        <f t="shared" si="22"/>
        <v>0</v>
      </c>
      <c r="I21" s="7">
        <v>17</v>
      </c>
      <c r="K21" s="21">
        <v>17</v>
      </c>
      <c r="L21" s="98" t="s">
        <v>78</v>
      </c>
      <c r="M21" s="98" t="s">
        <v>78</v>
      </c>
      <c r="N21" s="98" t="s">
        <v>175</v>
      </c>
      <c r="O21" s="98" t="s">
        <v>100</v>
      </c>
      <c r="P21" s="98" t="s">
        <v>163</v>
      </c>
      <c r="Q21" s="98" t="s">
        <v>78</v>
      </c>
      <c r="R21" s="37" t="s">
        <v>26</v>
      </c>
      <c r="T21" s="97">
        <f t="shared" si="23"/>
        <v>6</v>
      </c>
      <c r="U21" s="97">
        <f t="shared" si="24"/>
        <v>6</v>
      </c>
      <c r="V21" s="97">
        <f t="shared" si="25"/>
        <v>17</v>
      </c>
      <c r="W21" s="97">
        <f t="shared" si="26"/>
        <v>14</v>
      </c>
      <c r="X21" s="97">
        <f t="shared" si="27"/>
        <v>7</v>
      </c>
      <c r="Y21" s="97">
        <f t="shared" si="28"/>
        <v>6</v>
      </c>
      <c r="Z21" s="97">
        <f t="shared" si="29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91">
        <v>5</v>
      </c>
      <c r="AM21" s="91">
        <v>5</v>
      </c>
      <c r="AN21" s="91">
        <v>5</v>
      </c>
      <c r="AO21" s="91">
        <v>2</v>
      </c>
      <c r="AP21" s="91">
        <v>0</v>
      </c>
      <c r="AQ21" s="92">
        <v>0</v>
      </c>
      <c r="AR21" s="78">
        <v>16</v>
      </c>
      <c r="AT21" s="30" t="s">
        <v>86</v>
      </c>
      <c r="AU21" s="15">
        <f t="shared" si="30"/>
        <v>0</v>
      </c>
      <c r="AV21" s="15">
        <f t="shared" si="31"/>
        <v>3</v>
      </c>
      <c r="AW21" s="15">
        <f t="shared" si="32"/>
        <v>0</v>
      </c>
      <c r="AX21" s="15">
        <f t="shared" si="33"/>
        <v>4</v>
      </c>
      <c r="AY21" s="15">
        <f t="shared" si="34"/>
        <v>1</v>
      </c>
      <c r="AZ21" s="15">
        <f t="shared" si="35"/>
        <v>0</v>
      </c>
      <c r="BA21" s="15">
        <f t="shared" si="36"/>
        <v>0</v>
      </c>
      <c r="BB21" s="7">
        <v>17</v>
      </c>
      <c r="BD21" s="21">
        <v>17</v>
      </c>
      <c r="BE21" s="98" t="s">
        <v>78</v>
      </c>
      <c r="BF21" s="98" t="s">
        <v>78</v>
      </c>
      <c r="BG21" s="98" t="s">
        <v>207</v>
      </c>
      <c r="BH21" s="98" t="s">
        <v>100</v>
      </c>
      <c r="BI21" s="98" t="s">
        <v>163</v>
      </c>
      <c r="BJ21" s="98" t="s">
        <v>78</v>
      </c>
      <c r="BK21" s="37" t="s">
        <v>26</v>
      </c>
      <c r="BM21" s="97">
        <f t="shared" si="37"/>
        <v>6</v>
      </c>
      <c r="BN21" s="97">
        <f t="shared" si="38"/>
        <v>6</v>
      </c>
      <c r="BO21" s="97">
        <f t="shared" si="39"/>
        <v>16</v>
      </c>
      <c r="BP21" s="97">
        <f t="shared" si="40"/>
        <v>14</v>
      </c>
      <c r="BQ21" s="97">
        <f t="shared" si="41"/>
        <v>7</v>
      </c>
      <c r="BR21" s="97">
        <f t="shared" si="42"/>
        <v>6</v>
      </c>
      <c r="BS21" s="97">
        <f t="shared" si="43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100" t="s">
        <v>85</v>
      </c>
      <c r="CD21" s="90">
        <v>0</v>
      </c>
      <c r="CE21" s="91">
        <v>5</v>
      </c>
      <c r="CF21" s="91">
        <v>5</v>
      </c>
      <c r="CG21" s="91">
        <v>5</v>
      </c>
      <c r="CH21" s="91">
        <v>2</v>
      </c>
      <c r="CI21" s="91">
        <v>0</v>
      </c>
      <c r="CJ21" s="92">
        <v>0</v>
      </c>
      <c r="CK21" s="78">
        <v>16</v>
      </c>
      <c r="CM21" s="30" t="s">
        <v>86</v>
      </c>
      <c r="CN21" s="15">
        <f t="shared" si="44"/>
        <v>0</v>
      </c>
      <c r="CO21" s="15">
        <f t="shared" si="4"/>
        <v>3</v>
      </c>
      <c r="CP21" s="15">
        <f t="shared" si="5"/>
        <v>0</v>
      </c>
      <c r="CQ21" s="15">
        <f t="shared" si="6"/>
        <v>4</v>
      </c>
      <c r="CR21" s="15">
        <f t="shared" si="7"/>
        <v>1</v>
      </c>
      <c r="CS21" s="15">
        <f t="shared" si="8"/>
        <v>0</v>
      </c>
      <c r="CT21" s="15">
        <f t="shared" si="9"/>
        <v>0</v>
      </c>
      <c r="CU21" s="7">
        <v>17</v>
      </c>
      <c r="CW21" s="21">
        <v>17</v>
      </c>
      <c r="CX21" s="98" t="s">
        <v>78</v>
      </c>
      <c r="CY21" s="98" t="s">
        <v>78</v>
      </c>
      <c r="CZ21" s="98" t="s">
        <v>207</v>
      </c>
      <c r="DA21" s="98" t="s">
        <v>100</v>
      </c>
      <c r="DB21" s="98" t="s">
        <v>163</v>
      </c>
      <c r="DC21" s="98" t="s">
        <v>78</v>
      </c>
      <c r="DD21" s="37" t="s">
        <v>26</v>
      </c>
      <c r="DF21" s="97">
        <f t="shared" si="45"/>
        <v>6</v>
      </c>
      <c r="DG21" s="97">
        <f t="shared" si="10"/>
        <v>6</v>
      </c>
      <c r="DH21" s="97">
        <f t="shared" si="11"/>
        <v>16</v>
      </c>
      <c r="DI21" s="97">
        <f t="shared" si="12"/>
        <v>14</v>
      </c>
      <c r="DJ21" s="97">
        <f t="shared" si="13"/>
        <v>7</v>
      </c>
      <c r="DK21" s="97">
        <f t="shared" si="14"/>
        <v>6</v>
      </c>
      <c r="DL21" s="97">
        <f t="shared" si="15"/>
        <v>8</v>
      </c>
      <c r="DN21" s="25">
        <v>1</v>
      </c>
      <c r="DO21" s="25">
        <v>1</v>
      </c>
      <c r="DP21" s="25">
        <v>1</v>
      </c>
      <c r="DQ21" s="25">
        <v>1</v>
      </c>
      <c r="DR21" s="25">
        <v>1</v>
      </c>
      <c r="DS21" s="25">
        <v>1</v>
      </c>
      <c r="DT21" s="7">
        <v>1</v>
      </c>
      <c r="DV21" s="100" t="s">
        <v>85</v>
      </c>
      <c r="DW21" s="90">
        <v>0</v>
      </c>
      <c r="DX21" s="91">
        <v>5</v>
      </c>
      <c r="DY21" s="91">
        <v>5</v>
      </c>
      <c r="DZ21" s="91">
        <v>5</v>
      </c>
      <c r="EA21" s="91">
        <v>2</v>
      </c>
      <c r="EB21" s="91">
        <v>0</v>
      </c>
      <c r="EC21" s="92">
        <v>0</v>
      </c>
      <c r="ED21" s="78">
        <v>16</v>
      </c>
    </row>
    <row r="22" spans="1:134" ht="15.95" customHeight="1">
      <c r="A22" s="30" t="s">
        <v>176</v>
      </c>
      <c r="B22" s="15">
        <f t="shared" si="16"/>
        <v>0</v>
      </c>
      <c r="C22" s="15">
        <f t="shared" si="17"/>
        <v>3</v>
      </c>
      <c r="D22" s="15">
        <f t="shared" si="18"/>
        <v>2</v>
      </c>
      <c r="E22" s="15">
        <f t="shared" si="19"/>
        <v>2</v>
      </c>
      <c r="F22" s="15">
        <f t="shared" si="20"/>
        <v>2</v>
      </c>
      <c r="G22" s="15">
        <f t="shared" si="21"/>
        <v>0</v>
      </c>
      <c r="H22" s="15">
        <f t="shared" si="22"/>
        <v>0</v>
      </c>
      <c r="I22" s="7">
        <v>18</v>
      </c>
      <c r="K22" s="22">
        <v>18</v>
      </c>
      <c r="L22" s="98" t="s">
        <v>41</v>
      </c>
      <c r="M22" s="98" t="s">
        <v>202</v>
      </c>
      <c r="N22" s="98" t="s">
        <v>38</v>
      </c>
      <c r="O22" s="98" t="s">
        <v>35</v>
      </c>
      <c r="P22" s="98" t="s">
        <v>38</v>
      </c>
      <c r="Q22" s="98" t="s">
        <v>36</v>
      </c>
      <c r="R22" s="98" t="s">
        <v>26</v>
      </c>
      <c r="T22" s="97">
        <f t="shared" si="23"/>
        <v>12</v>
      </c>
      <c r="U22" s="97">
        <f t="shared" si="24"/>
        <v>23</v>
      </c>
      <c r="V22" s="97">
        <f t="shared" si="25"/>
        <v>9</v>
      </c>
      <c r="W22" s="97">
        <f t="shared" si="26"/>
        <v>4</v>
      </c>
      <c r="X22" s="97">
        <f t="shared" si="27"/>
        <v>9</v>
      </c>
      <c r="Y22" s="97">
        <f t="shared" si="28"/>
        <v>5</v>
      </c>
      <c r="Z22" s="97">
        <f t="shared" si="29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91">
        <v>2</v>
      </c>
      <c r="AM22" s="91">
        <v>2</v>
      </c>
      <c r="AN22" s="91">
        <v>1</v>
      </c>
      <c r="AO22" s="91">
        <v>3</v>
      </c>
      <c r="AP22" s="91">
        <v>0</v>
      </c>
      <c r="AQ22" s="92">
        <v>0</v>
      </c>
      <c r="AR22" s="78">
        <v>17</v>
      </c>
      <c r="AT22" s="30" t="s">
        <v>176</v>
      </c>
      <c r="AU22" s="15">
        <f t="shared" si="30"/>
        <v>0</v>
      </c>
      <c r="AV22" s="15">
        <f t="shared" si="31"/>
        <v>3</v>
      </c>
      <c r="AW22" s="15">
        <f t="shared" si="32"/>
        <v>1</v>
      </c>
      <c r="AX22" s="15">
        <f t="shared" si="33"/>
        <v>2</v>
      </c>
      <c r="AY22" s="15">
        <f t="shared" si="34"/>
        <v>2</v>
      </c>
      <c r="AZ22" s="15">
        <f t="shared" si="35"/>
        <v>0</v>
      </c>
      <c r="BA22" s="15">
        <f t="shared" si="36"/>
        <v>0</v>
      </c>
      <c r="BB22" s="7">
        <v>18</v>
      </c>
      <c r="BD22" s="22">
        <v>18</v>
      </c>
      <c r="BE22" s="98" t="s">
        <v>41</v>
      </c>
      <c r="BF22" s="98" t="s">
        <v>202</v>
      </c>
      <c r="BG22" s="98" t="s">
        <v>38</v>
      </c>
      <c r="BH22" s="98" t="s">
        <v>35</v>
      </c>
      <c r="BI22" s="98" t="s">
        <v>38</v>
      </c>
      <c r="BJ22" s="98" t="s">
        <v>36</v>
      </c>
      <c r="BK22" s="98" t="s">
        <v>26</v>
      </c>
      <c r="BM22" s="97">
        <f t="shared" si="37"/>
        <v>12</v>
      </c>
      <c r="BN22" s="97">
        <f t="shared" si="38"/>
        <v>23</v>
      </c>
      <c r="BO22" s="97">
        <f t="shared" si="39"/>
        <v>9</v>
      </c>
      <c r="BP22" s="97">
        <f t="shared" si="40"/>
        <v>4</v>
      </c>
      <c r="BQ22" s="97">
        <f t="shared" si="41"/>
        <v>9</v>
      </c>
      <c r="BR22" s="97">
        <f t="shared" si="42"/>
        <v>5</v>
      </c>
      <c r="BS22" s="97">
        <f t="shared" si="43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100" t="s">
        <v>86</v>
      </c>
      <c r="CD22" s="90">
        <v>0</v>
      </c>
      <c r="CE22" s="91">
        <v>2</v>
      </c>
      <c r="CF22" s="91">
        <v>2</v>
      </c>
      <c r="CG22" s="91">
        <v>1</v>
      </c>
      <c r="CH22" s="91">
        <v>3</v>
      </c>
      <c r="CI22" s="91">
        <v>0</v>
      </c>
      <c r="CJ22" s="92">
        <v>0</v>
      </c>
      <c r="CK22" s="78">
        <v>17</v>
      </c>
      <c r="CM22" s="30" t="s">
        <v>176</v>
      </c>
      <c r="CN22" s="15">
        <f t="shared" si="44"/>
        <v>0</v>
      </c>
      <c r="CO22" s="15">
        <f t="shared" si="4"/>
        <v>3</v>
      </c>
      <c r="CP22" s="15">
        <f t="shared" si="5"/>
        <v>1</v>
      </c>
      <c r="CQ22" s="15">
        <f t="shared" si="6"/>
        <v>2</v>
      </c>
      <c r="CR22" s="15">
        <f t="shared" si="7"/>
        <v>2</v>
      </c>
      <c r="CS22" s="15">
        <f t="shared" si="8"/>
        <v>0</v>
      </c>
      <c r="CT22" s="15">
        <f t="shared" si="9"/>
        <v>0</v>
      </c>
      <c r="CU22" s="7">
        <v>18</v>
      </c>
      <c r="CW22" s="22">
        <v>18</v>
      </c>
      <c r="CX22" s="98" t="s">
        <v>41</v>
      </c>
      <c r="CY22" s="98" t="s">
        <v>202</v>
      </c>
      <c r="CZ22" s="98" t="s">
        <v>38</v>
      </c>
      <c r="DA22" s="98" t="s">
        <v>35</v>
      </c>
      <c r="DB22" s="98" t="s">
        <v>38</v>
      </c>
      <c r="DC22" s="98" t="s">
        <v>36</v>
      </c>
      <c r="DD22" s="98" t="s">
        <v>26</v>
      </c>
      <c r="DF22" s="97">
        <f t="shared" si="45"/>
        <v>12</v>
      </c>
      <c r="DG22" s="97">
        <f t="shared" si="10"/>
        <v>23</v>
      </c>
      <c r="DH22" s="97">
        <f t="shared" si="11"/>
        <v>9</v>
      </c>
      <c r="DI22" s="97">
        <f t="shared" si="12"/>
        <v>4</v>
      </c>
      <c r="DJ22" s="97">
        <f t="shared" si="13"/>
        <v>9</v>
      </c>
      <c r="DK22" s="97">
        <f t="shared" si="14"/>
        <v>5</v>
      </c>
      <c r="DL22" s="97">
        <f t="shared" si="15"/>
        <v>8</v>
      </c>
      <c r="DN22" s="25">
        <v>1</v>
      </c>
      <c r="DO22" s="25">
        <v>1</v>
      </c>
      <c r="DP22" s="25">
        <v>1</v>
      </c>
      <c r="DQ22" s="25">
        <v>1</v>
      </c>
      <c r="DR22" s="25">
        <v>1</v>
      </c>
      <c r="DS22" s="25">
        <v>1</v>
      </c>
      <c r="DT22" s="7">
        <v>1</v>
      </c>
      <c r="DV22" s="100" t="s">
        <v>86</v>
      </c>
      <c r="DW22" s="90">
        <v>0</v>
      </c>
      <c r="DX22" s="91">
        <v>2</v>
      </c>
      <c r="DY22" s="91">
        <v>2</v>
      </c>
      <c r="DZ22" s="91">
        <v>1</v>
      </c>
      <c r="EA22" s="91">
        <v>3</v>
      </c>
      <c r="EB22" s="91">
        <v>0</v>
      </c>
      <c r="EC22" s="92">
        <v>0</v>
      </c>
      <c r="ED22" s="78">
        <v>17</v>
      </c>
    </row>
    <row r="23" spans="1:134" ht="15.95" customHeight="1">
      <c r="A23" s="30" t="s">
        <v>87</v>
      </c>
      <c r="B23" s="15">
        <f t="shared" si="16"/>
        <v>0</v>
      </c>
      <c r="C23" s="15">
        <f t="shared" si="17"/>
        <v>1</v>
      </c>
      <c r="D23" s="15">
        <f t="shared" si="18"/>
        <v>1</v>
      </c>
      <c r="E23" s="15">
        <f t="shared" si="19"/>
        <v>1</v>
      </c>
      <c r="F23" s="15">
        <f t="shared" si="20"/>
        <v>1</v>
      </c>
      <c r="G23" s="15">
        <f t="shared" si="21"/>
        <v>0</v>
      </c>
      <c r="H23" s="15">
        <f t="shared" si="22"/>
        <v>0</v>
      </c>
      <c r="I23" s="7">
        <v>19</v>
      </c>
      <c r="K23" s="21">
        <v>19</v>
      </c>
      <c r="L23" s="98" t="s">
        <v>163</v>
      </c>
      <c r="M23" s="98" t="s">
        <v>33</v>
      </c>
      <c r="N23" s="98" t="s">
        <v>26</v>
      </c>
      <c r="O23" s="98" t="s">
        <v>35</v>
      </c>
      <c r="P23" s="98" t="s">
        <v>39</v>
      </c>
      <c r="Q23" s="98" t="s">
        <v>41</v>
      </c>
      <c r="R23" s="37" t="s">
        <v>26</v>
      </c>
      <c r="T23" s="97">
        <f t="shared" si="23"/>
        <v>7</v>
      </c>
      <c r="U23" s="97">
        <f t="shared" si="24"/>
        <v>2</v>
      </c>
      <c r="V23" s="97">
        <f t="shared" si="25"/>
        <v>8</v>
      </c>
      <c r="W23" s="97">
        <f t="shared" si="26"/>
        <v>4</v>
      </c>
      <c r="X23" s="97">
        <f t="shared" si="27"/>
        <v>10</v>
      </c>
      <c r="Y23" s="97">
        <f t="shared" si="28"/>
        <v>12</v>
      </c>
      <c r="Z23" s="97">
        <f t="shared" si="29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91">
        <v>2</v>
      </c>
      <c r="AM23" s="91">
        <v>2</v>
      </c>
      <c r="AN23" s="91">
        <v>1</v>
      </c>
      <c r="AO23" s="91">
        <v>3</v>
      </c>
      <c r="AP23" s="91">
        <v>0</v>
      </c>
      <c r="AQ23" s="92">
        <v>0</v>
      </c>
      <c r="AR23" s="78">
        <v>18</v>
      </c>
      <c r="AT23" s="30" t="s">
        <v>87</v>
      </c>
      <c r="AU23" s="15">
        <f t="shared" si="30"/>
        <v>0</v>
      </c>
      <c r="AV23" s="15">
        <f t="shared" si="31"/>
        <v>1</v>
      </c>
      <c r="AW23" s="15">
        <f t="shared" si="32"/>
        <v>2</v>
      </c>
      <c r="AX23" s="15">
        <f t="shared" si="33"/>
        <v>1</v>
      </c>
      <c r="AY23" s="15">
        <f t="shared" si="34"/>
        <v>1</v>
      </c>
      <c r="AZ23" s="15">
        <f t="shared" si="35"/>
        <v>0</v>
      </c>
      <c r="BA23" s="15">
        <f t="shared" si="36"/>
        <v>0</v>
      </c>
      <c r="BB23" s="7">
        <v>19</v>
      </c>
      <c r="BD23" s="21">
        <v>19</v>
      </c>
      <c r="BE23" s="98" t="s">
        <v>163</v>
      </c>
      <c r="BF23" s="98" t="s">
        <v>39</v>
      </c>
      <c r="BG23" s="98" t="s">
        <v>26</v>
      </c>
      <c r="BH23" s="98" t="s">
        <v>35</v>
      </c>
      <c r="BI23" s="98" t="s">
        <v>39</v>
      </c>
      <c r="BJ23" s="98" t="s">
        <v>41</v>
      </c>
      <c r="BK23" s="37" t="s">
        <v>26</v>
      </c>
      <c r="BM23" s="97">
        <f t="shared" si="37"/>
        <v>7</v>
      </c>
      <c r="BN23" s="97">
        <f t="shared" si="38"/>
        <v>10</v>
      </c>
      <c r="BO23" s="97">
        <f t="shared" si="39"/>
        <v>8</v>
      </c>
      <c r="BP23" s="97">
        <f t="shared" si="40"/>
        <v>4</v>
      </c>
      <c r="BQ23" s="97">
        <f t="shared" si="41"/>
        <v>10</v>
      </c>
      <c r="BR23" s="97">
        <f t="shared" si="42"/>
        <v>12</v>
      </c>
      <c r="BS23" s="97">
        <f t="shared" si="43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100" t="s">
        <v>176</v>
      </c>
      <c r="CD23" s="90">
        <v>0</v>
      </c>
      <c r="CE23" s="91">
        <v>2</v>
      </c>
      <c r="CF23" s="91">
        <v>2</v>
      </c>
      <c r="CG23" s="91">
        <v>1</v>
      </c>
      <c r="CH23" s="91">
        <v>3</v>
      </c>
      <c r="CI23" s="91">
        <v>0</v>
      </c>
      <c r="CJ23" s="92">
        <v>0</v>
      </c>
      <c r="CK23" s="78">
        <v>18</v>
      </c>
      <c r="CM23" s="30" t="s">
        <v>87</v>
      </c>
      <c r="CN23" s="15">
        <f t="shared" si="44"/>
        <v>0</v>
      </c>
      <c r="CO23" s="15">
        <f t="shared" si="4"/>
        <v>1</v>
      </c>
      <c r="CP23" s="15">
        <f t="shared" si="5"/>
        <v>2</v>
      </c>
      <c r="CQ23" s="15">
        <f t="shared" si="6"/>
        <v>1</v>
      </c>
      <c r="CR23" s="15">
        <f t="shared" si="7"/>
        <v>1</v>
      </c>
      <c r="CS23" s="15">
        <f t="shared" si="8"/>
        <v>0</v>
      </c>
      <c r="CT23" s="15">
        <f t="shared" si="9"/>
        <v>0</v>
      </c>
      <c r="CU23" s="7">
        <v>19</v>
      </c>
      <c r="CW23" s="21">
        <v>19</v>
      </c>
      <c r="CX23" s="98" t="s">
        <v>163</v>
      </c>
      <c r="CY23" s="98" t="s">
        <v>39</v>
      </c>
      <c r="CZ23" s="98" t="s">
        <v>26</v>
      </c>
      <c r="DA23" s="98" t="s">
        <v>35</v>
      </c>
      <c r="DB23" s="98" t="s">
        <v>39</v>
      </c>
      <c r="DC23" s="98" t="s">
        <v>41</v>
      </c>
      <c r="DD23" s="37" t="s">
        <v>26</v>
      </c>
      <c r="DF23" s="97">
        <f t="shared" si="45"/>
        <v>7</v>
      </c>
      <c r="DG23" s="97">
        <f t="shared" si="10"/>
        <v>10</v>
      </c>
      <c r="DH23" s="97">
        <f t="shared" si="11"/>
        <v>8</v>
      </c>
      <c r="DI23" s="97">
        <f t="shared" si="12"/>
        <v>4</v>
      </c>
      <c r="DJ23" s="97">
        <f t="shared" si="13"/>
        <v>10</v>
      </c>
      <c r="DK23" s="97">
        <f t="shared" si="14"/>
        <v>12</v>
      </c>
      <c r="DL23" s="97">
        <f t="shared" si="15"/>
        <v>8</v>
      </c>
      <c r="DN23" s="25">
        <v>1</v>
      </c>
      <c r="DO23" s="25">
        <v>1</v>
      </c>
      <c r="DP23" s="25">
        <v>1</v>
      </c>
      <c r="DQ23" s="25">
        <v>1</v>
      </c>
      <c r="DR23" s="25">
        <v>1</v>
      </c>
      <c r="DS23" s="25">
        <v>1</v>
      </c>
      <c r="DT23" s="7">
        <v>1</v>
      </c>
      <c r="DV23" s="100" t="s">
        <v>176</v>
      </c>
      <c r="DW23" s="90">
        <v>0</v>
      </c>
      <c r="DX23" s="91">
        <v>2</v>
      </c>
      <c r="DY23" s="91">
        <v>2</v>
      </c>
      <c r="DZ23" s="91">
        <v>1</v>
      </c>
      <c r="EA23" s="91">
        <v>3</v>
      </c>
      <c r="EB23" s="91">
        <v>0</v>
      </c>
      <c r="EC23" s="92">
        <v>0</v>
      </c>
      <c r="ED23" s="78">
        <v>18</v>
      </c>
    </row>
    <row r="24" spans="1:134" ht="15.95" customHeight="1">
      <c r="A24" s="30" t="s">
        <v>88</v>
      </c>
      <c r="B24" s="15">
        <f t="shared" si="16"/>
        <v>0</v>
      </c>
      <c r="C24" s="15">
        <f t="shared" si="17"/>
        <v>1</v>
      </c>
      <c r="D24" s="15">
        <f t="shared" si="18"/>
        <v>1</v>
      </c>
      <c r="E24" s="15">
        <f t="shared" si="19"/>
        <v>1</v>
      </c>
      <c r="F24" s="15">
        <f t="shared" si="20"/>
        <v>1</v>
      </c>
      <c r="G24" s="15">
        <f t="shared" si="21"/>
        <v>0</v>
      </c>
      <c r="H24" s="15">
        <f t="shared" si="22"/>
        <v>0</v>
      </c>
      <c r="I24" s="7">
        <v>20</v>
      </c>
      <c r="K24" s="22">
        <v>20</v>
      </c>
      <c r="L24" s="98" t="s">
        <v>34</v>
      </c>
      <c r="M24" s="98" t="s">
        <v>39</v>
      </c>
      <c r="N24" s="98" t="s">
        <v>195</v>
      </c>
      <c r="O24" s="98" t="s">
        <v>39</v>
      </c>
      <c r="P24" s="98" t="s">
        <v>38</v>
      </c>
      <c r="Q24" s="98" t="s">
        <v>41</v>
      </c>
      <c r="R24" s="37" t="s">
        <v>39</v>
      </c>
      <c r="T24" s="97">
        <f t="shared" si="23"/>
        <v>3</v>
      </c>
      <c r="U24" s="97">
        <f t="shared" si="24"/>
        <v>10</v>
      </c>
      <c r="V24" s="97">
        <f t="shared" si="25"/>
        <v>19</v>
      </c>
      <c r="W24" s="97">
        <f t="shared" si="26"/>
        <v>10</v>
      </c>
      <c r="X24" s="97">
        <f t="shared" si="27"/>
        <v>9</v>
      </c>
      <c r="Y24" s="97">
        <f t="shared" si="28"/>
        <v>12</v>
      </c>
      <c r="Z24" s="97">
        <f t="shared" si="29"/>
        <v>10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100" t="s">
        <v>87</v>
      </c>
      <c r="AK24" s="90">
        <v>0</v>
      </c>
      <c r="AL24" s="91">
        <v>5</v>
      </c>
      <c r="AM24" s="91">
        <v>6</v>
      </c>
      <c r="AN24" s="91">
        <v>1</v>
      </c>
      <c r="AO24" s="91">
        <v>3</v>
      </c>
      <c r="AP24" s="91">
        <v>0</v>
      </c>
      <c r="AQ24" s="92">
        <v>0</v>
      </c>
      <c r="AR24" s="78">
        <v>19</v>
      </c>
      <c r="AT24" s="30" t="s">
        <v>88</v>
      </c>
      <c r="AU24" s="15">
        <f t="shared" si="30"/>
        <v>0</v>
      </c>
      <c r="AV24" s="15">
        <f t="shared" si="31"/>
        <v>1</v>
      </c>
      <c r="AW24" s="15">
        <f t="shared" si="32"/>
        <v>1</v>
      </c>
      <c r="AX24" s="15">
        <f t="shared" si="33"/>
        <v>1</v>
      </c>
      <c r="AY24" s="15">
        <f t="shared" si="34"/>
        <v>1</v>
      </c>
      <c r="AZ24" s="15">
        <f t="shared" si="35"/>
        <v>0</v>
      </c>
      <c r="BA24" s="15">
        <f t="shared" si="36"/>
        <v>0</v>
      </c>
      <c r="BB24" s="7">
        <v>20</v>
      </c>
      <c r="BD24" s="22">
        <v>20</v>
      </c>
      <c r="BE24" s="98" t="s">
        <v>34</v>
      </c>
      <c r="BF24" s="98" t="s">
        <v>39</v>
      </c>
      <c r="BG24" s="98" t="s">
        <v>195</v>
      </c>
      <c r="BH24" s="98" t="s">
        <v>39</v>
      </c>
      <c r="BI24" s="98" t="s">
        <v>38</v>
      </c>
      <c r="BJ24" s="98" t="s">
        <v>41</v>
      </c>
      <c r="BK24" s="37" t="s">
        <v>39</v>
      </c>
      <c r="BM24" s="97">
        <f t="shared" si="37"/>
        <v>3</v>
      </c>
      <c r="BN24" s="97">
        <f t="shared" si="38"/>
        <v>10</v>
      </c>
      <c r="BO24" s="97">
        <f t="shared" si="39"/>
        <v>19</v>
      </c>
      <c r="BP24" s="97">
        <f t="shared" si="40"/>
        <v>10</v>
      </c>
      <c r="BQ24" s="97">
        <f t="shared" si="41"/>
        <v>9</v>
      </c>
      <c r="BR24" s="97">
        <f t="shared" si="42"/>
        <v>12</v>
      </c>
      <c r="BS24" s="97">
        <f t="shared" si="43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100" t="s">
        <v>87</v>
      </c>
      <c r="CD24" s="90">
        <v>0</v>
      </c>
      <c r="CE24" s="91">
        <v>5</v>
      </c>
      <c r="CF24" s="91">
        <v>6</v>
      </c>
      <c r="CG24" s="91">
        <v>1</v>
      </c>
      <c r="CH24" s="91">
        <v>3</v>
      </c>
      <c r="CI24" s="91">
        <v>0</v>
      </c>
      <c r="CJ24" s="92">
        <v>0</v>
      </c>
      <c r="CK24" s="78">
        <v>19</v>
      </c>
      <c r="CM24" s="30" t="s">
        <v>88</v>
      </c>
      <c r="CN24" s="15">
        <f t="shared" si="44"/>
        <v>0</v>
      </c>
      <c r="CO24" s="15">
        <f t="shared" si="4"/>
        <v>1</v>
      </c>
      <c r="CP24" s="15">
        <f t="shared" si="5"/>
        <v>1</v>
      </c>
      <c r="CQ24" s="15">
        <f t="shared" si="6"/>
        <v>1</v>
      </c>
      <c r="CR24" s="15">
        <f t="shared" si="7"/>
        <v>1</v>
      </c>
      <c r="CS24" s="15">
        <f t="shared" si="8"/>
        <v>0</v>
      </c>
      <c r="CT24" s="15">
        <f t="shared" si="9"/>
        <v>0</v>
      </c>
      <c r="CU24" s="7">
        <v>20</v>
      </c>
      <c r="CW24" s="22">
        <v>20</v>
      </c>
      <c r="CX24" s="98" t="s">
        <v>34</v>
      </c>
      <c r="CY24" s="98" t="s">
        <v>39</v>
      </c>
      <c r="CZ24" s="98" t="s">
        <v>195</v>
      </c>
      <c r="DA24" s="98" t="s">
        <v>39</v>
      </c>
      <c r="DB24" s="98" t="s">
        <v>38</v>
      </c>
      <c r="DC24" s="98" t="s">
        <v>41</v>
      </c>
      <c r="DD24" s="37" t="s">
        <v>39</v>
      </c>
      <c r="DF24" s="97">
        <f t="shared" si="45"/>
        <v>3</v>
      </c>
      <c r="DG24" s="97">
        <f t="shared" si="10"/>
        <v>10</v>
      </c>
      <c r="DH24" s="97">
        <f t="shared" si="11"/>
        <v>19</v>
      </c>
      <c r="DI24" s="97">
        <f t="shared" si="12"/>
        <v>10</v>
      </c>
      <c r="DJ24" s="97">
        <f t="shared" si="13"/>
        <v>9</v>
      </c>
      <c r="DK24" s="97">
        <f t="shared" si="14"/>
        <v>12</v>
      </c>
      <c r="DL24" s="97">
        <f t="shared" si="15"/>
        <v>10</v>
      </c>
      <c r="DN24" s="25">
        <v>1</v>
      </c>
      <c r="DO24" s="25">
        <v>1</v>
      </c>
      <c r="DP24" s="25">
        <v>1</v>
      </c>
      <c r="DQ24" s="25">
        <v>1</v>
      </c>
      <c r="DR24" s="25">
        <v>1</v>
      </c>
      <c r="DS24" s="25">
        <v>1</v>
      </c>
      <c r="DT24" s="7">
        <v>1</v>
      </c>
      <c r="DV24" s="100" t="s">
        <v>87</v>
      </c>
      <c r="DW24" s="90">
        <v>0</v>
      </c>
      <c r="DX24" s="91">
        <v>5</v>
      </c>
      <c r="DY24" s="91">
        <v>6</v>
      </c>
      <c r="DZ24" s="91">
        <v>1</v>
      </c>
      <c r="EA24" s="91">
        <v>3</v>
      </c>
      <c r="EB24" s="91">
        <v>0</v>
      </c>
      <c r="EC24" s="92">
        <v>0</v>
      </c>
      <c r="ED24" s="78">
        <v>19</v>
      </c>
    </row>
    <row r="25" spans="1:134" ht="16.5" customHeight="1">
      <c r="A25" s="30" t="s">
        <v>89</v>
      </c>
      <c r="B25" s="15">
        <f t="shared" si="16"/>
        <v>0</v>
      </c>
      <c r="C25" s="15">
        <f t="shared" si="17"/>
        <v>1</v>
      </c>
      <c r="D25" s="15">
        <f t="shared" si="18"/>
        <v>1</v>
      </c>
      <c r="E25" s="15">
        <f t="shared" si="19"/>
        <v>1</v>
      </c>
      <c r="F25" s="15">
        <f t="shared" si="20"/>
        <v>0</v>
      </c>
      <c r="G25" s="15">
        <f t="shared" si="21"/>
        <v>0</v>
      </c>
      <c r="H25" s="15">
        <f t="shared" si="22"/>
        <v>0</v>
      </c>
      <c r="I25" s="7">
        <v>21</v>
      </c>
      <c r="K25" s="21">
        <v>21</v>
      </c>
      <c r="L25" s="98" t="s">
        <v>39</v>
      </c>
      <c r="M25" s="98" t="s">
        <v>39</v>
      </c>
      <c r="N25" s="98" t="s">
        <v>36</v>
      </c>
      <c r="O25" s="98" t="s">
        <v>33</v>
      </c>
      <c r="P25" s="98" t="s">
        <v>163</v>
      </c>
      <c r="Q25" s="98" t="s">
        <v>41</v>
      </c>
      <c r="R25" s="37" t="s">
        <v>39</v>
      </c>
      <c r="T25" s="97">
        <f t="shared" si="23"/>
        <v>10</v>
      </c>
      <c r="U25" s="97">
        <f t="shared" si="24"/>
        <v>10</v>
      </c>
      <c r="V25" s="97">
        <f t="shared" si="25"/>
        <v>5</v>
      </c>
      <c r="W25" s="97">
        <f t="shared" si="26"/>
        <v>2</v>
      </c>
      <c r="X25" s="97">
        <f t="shared" si="27"/>
        <v>7</v>
      </c>
      <c r="Y25" s="97">
        <f t="shared" si="28"/>
        <v>12</v>
      </c>
      <c r="Z25" s="97">
        <f t="shared" si="29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91">
        <v>2</v>
      </c>
      <c r="AM25" s="91">
        <v>6</v>
      </c>
      <c r="AN25" s="91">
        <v>2</v>
      </c>
      <c r="AO25" s="91">
        <v>2</v>
      </c>
      <c r="AP25" s="91">
        <v>0</v>
      </c>
      <c r="AQ25" s="92">
        <v>0</v>
      </c>
      <c r="AR25" s="78">
        <v>20</v>
      </c>
      <c r="AT25" s="30" t="s">
        <v>89</v>
      </c>
      <c r="AU25" s="15">
        <f t="shared" si="30"/>
        <v>0</v>
      </c>
      <c r="AV25" s="15">
        <f t="shared" si="31"/>
        <v>1</v>
      </c>
      <c r="AW25" s="15">
        <f t="shared" si="32"/>
        <v>1</v>
      </c>
      <c r="AX25" s="15">
        <f t="shared" si="33"/>
        <v>1</v>
      </c>
      <c r="AY25" s="15">
        <f t="shared" si="34"/>
        <v>0</v>
      </c>
      <c r="AZ25" s="15">
        <f t="shared" si="35"/>
        <v>0</v>
      </c>
      <c r="BA25" s="15">
        <f t="shared" si="36"/>
        <v>0</v>
      </c>
      <c r="BB25" s="7">
        <v>21</v>
      </c>
      <c r="BD25" s="21">
        <v>21</v>
      </c>
      <c r="BE25" s="98" t="s">
        <v>39</v>
      </c>
      <c r="BF25" s="98" t="s">
        <v>39</v>
      </c>
      <c r="BG25" s="98" t="s">
        <v>36</v>
      </c>
      <c r="BH25" s="98" t="s">
        <v>41</v>
      </c>
      <c r="BI25" s="98" t="s">
        <v>163</v>
      </c>
      <c r="BJ25" s="98" t="s">
        <v>41</v>
      </c>
      <c r="BK25" s="37" t="s">
        <v>39</v>
      </c>
      <c r="BM25" s="97">
        <f t="shared" si="37"/>
        <v>10</v>
      </c>
      <c r="BN25" s="97">
        <f t="shared" si="38"/>
        <v>10</v>
      </c>
      <c r="BO25" s="97">
        <f t="shared" si="39"/>
        <v>5</v>
      </c>
      <c r="BP25" s="97">
        <f t="shared" si="40"/>
        <v>12</v>
      </c>
      <c r="BQ25" s="97">
        <f t="shared" si="41"/>
        <v>7</v>
      </c>
      <c r="BR25" s="97">
        <f t="shared" si="42"/>
        <v>12</v>
      </c>
      <c r="BS25" s="97">
        <f t="shared" si="43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100" t="s">
        <v>88</v>
      </c>
      <c r="CD25" s="90">
        <v>0</v>
      </c>
      <c r="CE25" s="91">
        <v>2</v>
      </c>
      <c r="CF25" s="91">
        <v>6</v>
      </c>
      <c r="CG25" s="91">
        <v>2</v>
      </c>
      <c r="CH25" s="91">
        <v>2</v>
      </c>
      <c r="CI25" s="91">
        <v>0</v>
      </c>
      <c r="CJ25" s="92">
        <v>0</v>
      </c>
      <c r="CK25" s="78">
        <v>20</v>
      </c>
      <c r="CM25" s="30" t="s">
        <v>89</v>
      </c>
      <c r="CN25" s="15">
        <f t="shared" si="44"/>
        <v>0</v>
      </c>
      <c r="CO25" s="15">
        <f t="shared" si="4"/>
        <v>1</v>
      </c>
      <c r="CP25" s="15">
        <f t="shared" si="5"/>
        <v>1</v>
      </c>
      <c r="CQ25" s="15">
        <f t="shared" si="6"/>
        <v>1</v>
      </c>
      <c r="CR25" s="15">
        <f t="shared" si="7"/>
        <v>0</v>
      </c>
      <c r="CS25" s="15">
        <f t="shared" si="8"/>
        <v>0</v>
      </c>
      <c r="CT25" s="15">
        <f t="shared" si="9"/>
        <v>0</v>
      </c>
      <c r="CU25" s="7">
        <v>21</v>
      </c>
      <c r="CW25" s="21">
        <v>21</v>
      </c>
      <c r="CX25" s="98" t="s">
        <v>39</v>
      </c>
      <c r="CY25" s="98" t="s">
        <v>39</v>
      </c>
      <c r="CZ25" s="98" t="s">
        <v>36</v>
      </c>
      <c r="DA25" s="98" t="s">
        <v>41</v>
      </c>
      <c r="DB25" s="98" t="s">
        <v>163</v>
      </c>
      <c r="DC25" s="98" t="s">
        <v>41</v>
      </c>
      <c r="DD25" s="37" t="s">
        <v>39</v>
      </c>
      <c r="DF25" s="97">
        <f t="shared" si="45"/>
        <v>10</v>
      </c>
      <c r="DG25" s="97">
        <f t="shared" si="10"/>
        <v>10</v>
      </c>
      <c r="DH25" s="97">
        <f t="shared" si="11"/>
        <v>5</v>
      </c>
      <c r="DI25" s="97">
        <f t="shared" si="12"/>
        <v>12</v>
      </c>
      <c r="DJ25" s="97">
        <f t="shared" si="13"/>
        <v>7</v>
      </c>
      <c r="DK25" s="97">
        <f t="shared" si="14"/>
        <v>12</v>
      </c>
      <c r="DL25" s="97">
        <f t="shared" si="15"/>
        <v>10</v>
      </c>
      <c r="DN25" s="25">
        <v>1</v>
      </c>
      <c r="DO25" s="25">
        <v>1</v>
      </c>
      <c r="DP25" s="25">
        <v>1</v>
      </c>
      <c r="DQ25" s="25">
        <v>1</v>
      </c>
      <c r="DR25" s="25">
        <v>1</v>
      </c>
      <c r="DS25" s="25">
        <v>1</v>
      </c>
      <c r="DT25" s="7">
        <v>1</v>
      </c>
      <c r="DV25" s="100" t="s">
        <v>88</v>
      </c>
      <c r="DW25" s="90">
        <v>0</v>
      </c>
      <c r="DX25" s="91">
        <v>2</v>
      </c>
      <c r="DY25" s="91">
        <v>6</v>
      </c>
      <c r="DZ25" s="91">
        <v>2</v>
      </c>
      <c r="EA25" s="91">
        <v>2</v>
      </c>
      <c r="EB25" s="91">
        <v>0</v>
      </c>
      <c r="EC25" s="92">
        <v>0</v>
      </c>
      <c r="ED25" s="78">
        <v>20</v>
      </c>
    </row>
    <row r="26" spans="1:134" ht="16.5" customHeight="1">
      <c r="A26" s="30" t="s">
        <v>90</v>
      </c>
      <c r="B26" s="15">
        <f t="shared" si="16"/>
        <v>0</v>
      </c>
      <c r="C26" s="15">
        <f t="shared" si="17"/>
        <v>1</v>
      </c>
      <c r="D26" s="15">
        <f t="shared" si="18"/>
        <v>1</v>
      </c>
      <c r="E26" s="15">
        <f t="shared" si="19"/>
        <v>1</v>
      </c>
      <c r="F26" s="15">
        <f t="shared" si="20"/>
        <v>1</v>
      </c>
      <c r="G26" s="15">
        <f t="shared" si="21"/>
        <v>0</v>
      </c>
      <c r="H26" s="15">
        <f t="shared" si="22"/>
        <v>0</v>
      </c>
      <c r="I26" s="7">
        <v>22</v>
      </c>
      <c r="K26" s="22">
        <v>22</v>
      </c>
      <c r="L26" s="98" t="s">
        <v>39</v>
      </c>
      <c r="M26" s="98" t="s">
        <v>41</v>
      </c>
      <c r="N26" s="98" t="s">
        <v>175</v>
      </c>
      <c r="O26" s="98" t="s">
        <v>33</v>
      </c>
      <c r="P26" s="98" t="s">
        <v>41</v>
      </c>
      <c r="Q26" s="98" t="s">
        <v>36</v>
      </c>
      <c r="R26" s="37" t="s">
        <v>39</v>
      </c>
      <c r="T26" s="97">
        <f t="shared" si="23"/>
        <v>10</v>
      </c>
      <c r="U26" s="97">
        <f t="shared" si="24"/>
        <v>12</v>
      </c>
      <c r="V26" s="97">
        <f t="shared" si="25"/>
        <v>17</v>
      </c>
      <c r="W26" s="97">
        <f t="shared" si="26"/>
        <v>2</v>
      </c>
      <c r="X26" s="97">
        <f t="shared" si="27"/>
        <v>12</v>
      </c>
      <c r="Y26" s="97">
        <f t="shared" si="28"/>
        <v>5</v>
      </c>
      <c r="Z26" s="97">
        <f t="shared" si="29"/>
        <v>10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91">
        <v>10</v>
      </c>
      <c r="AM26" s="91">
        <v>6</v>
      </c>
      <c r="AN26" s="91">
        <v>1</v>
      </c>
      <c r="AO26" s="91">
        <v>4</v>
      </c>
      <c r="AP26" s="91">
        <v>0</v>
      </c>
      <c r="AQ26" s="92">
        <v>0</v>
      </c>
      <c r="AR26" s="78">
        <v>21</v>
      </c>
      <c r="AT26" s="30" t="s">
        <v>90</v>
      </c>
      <c r="AU26" s="15">
        <f t="shared" si="30"/>
        <v>0</v>
      </c>
      <c r="AV26" s="15">
        <f t="shared" si="31"/>
        <v>1</v>
      </c>
      <c r="AW26" s="15">
        <f t="shared" si="32"/>
        <v>1</v>
      </c>
      <c r="AX26" s="15">
        <f t="shared" si="33"/>
        <v>1</v>
      </c>
      <c r="AY26" s="15">
        <f t="shared" si="34"/>
        <v>1</v>
      </c>
      <c r="AZ26" s="15">
        <f t="shared" si="35"/>
        <v>0</v>
      </c>
      <c r="BA26" s="15">
        <f t="shared" si="36"/>
        <v>0</v>
      </c>
      <c r="BB26" s="7">
        <v>22</v>
      </c>
      <c r="BD26" s="22">
        <v>22</v>
      </c>
      <c r="BE26" s="98" t="s">
        <v>39</v>
      </c>
      <c r="BF26" s="98" t="s">
        <v>41</v>
      </c>
      <c r="BG26" s="98" t="s">
        <v>36</v>
      </c>
      <c r="BH26" s="98" t="s">
        <v>41</v>
      </c>
      <c r="BI26" s="98" t="s">
        <v>41</v>
      </c>
      <c r="BJ26" s="98" t="s">
        <v>36</v>
      </c>
      <c r="BK26" s="37" t="s">
        <v>39</v>
      </c>
      <c r="BM26" s="97">
        <f t="shared" si="37"/>
        <v>10</v>
      </c>
      <c r="BN26" s="97">
        <f t="shared" si="38"/>
        <v>12</v>
      </c>
      <c r="BO26" s="97">
        <f t="shared" si="39"/>
        <v>5</v>
      </c>
      <c r="BP26" s="97">
        <f t="shared" si="40"/>
        <v>12</v>
      </c>
      <c r="BQ26" s="97">
        <f t="shared" si="41"/>
        <v>12</v>
      </c>
      <c r="BR26" s="97">
        <f t="shared" si="42"/>
        <v>5</v>
      </c>
      <c r="BS26" s="97">
        <f t="shared" si="43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100" t="s">
        <v>89</v>
      </c>
      <c r="CD26" s="90">
        <v>0</v>
      </c>
      <c r="CE26" s="91">
        <v>10</v>
      </c>
      <c r="CF26" s="91">
        <v>6</v>
      </c>
      <c r="CG26" s="91">
        <v>1</v>
      </c>
      <c r="CH26" s="91">
        <v>4</v>
      </c>
      <c r="CI26" s="91">
        <v>0</v>
      </c>
      <c r="CJ26" s="92">
        <v>0</v>
      </c>
      <c r="CK26" s="78">
        <v>21</v>
      </c>
      <c r="CM26" s="30" t="s">
        <v>90</v>
      </c>
      <c r="CN26" s="15">
        <f t="shared" si="44"/>
        <v>0</v>
      </c>
      <c r="CO26" s="15">
        <f t="shared" si="4"/>
        <v>1</v>
      </c>
      <c r="CP26" s="15">
        <f t="shared" si="5"/>
        <v>1</v>
      </c>
      <c r="CQ26" s="15">
        <f t="shared" si="6"/>
        <v>1</v>
      </c>
      <c r="CR26" s="15">
        <f t="shared" si="7"/>
        <v>1</v>
      </c>
      <c r="CS26" s="15">
        <f t="shared" si="8"/>
        <v>0</v>
      </c>
      <c r="CT26" s="15">
        <f t="shared" si="9"/>
        <v>0</v>
      </c>
      <c r="CU26" s="7">
        <v>22</v>
      </c>
      <c r="CW26" s="22">
        <v>22</v>
      </c>
      <c r="CX26" s="98" t="s">
        <v>39</v>
      </c>
      <c r="CY26" s="98" t="s">
        <v>41</v>
      </c>
      <c r="CZ26" s="98" t="s">
        <v>36</v>
      </c>
      <c r="DA26" s="98" t="s">
        <v>41</v>
      </c>
      <c r="DB26" s="98" t="s">
        <v>41</v>
      </c>
      <c r="DC26" s="98" t="s">
        <v>36</v>
      </c>
      <c r="DD26" s="37" t="s">
        <v>39</v>
      </c>
      <c r="DF26" s="97">
        <f t="shared" si="45"/>
        <v>10</v>
      </c>
      <c r="DG26" s="97">
        <f t="shared" si="10"/>
        <v>12</v>
      </c>
      <c r="DH26" s="97">
        <f t="shared" si="11"/>
        <v>5</v>
      </c>
      <c r="DI26" s="97">
        <f t="shared" si="12"/>
        <v>12</v>
      </c>
      <c r="DJ26" s="97">
        <f t="shared" si="13"/>
        <v>12</v>
      </c>
      <c r="DK26" s="97">
        <f t="shared" si="14"/>
        <v>5</v>
      </c>
      <c r="DL26" s="97">
        <f t="shared" si="15"/>
        <v>10</v>
      </c>
      <c r="DN26" s="25">
        <v>1</v>
      </c>
      <c r="DO26" s="25">
        <v>1</v>
      </c>
      <c r="DP26" s="25">
        <v>1</v>
      </c>
      <c r="DQ26" s="25">
        <v>1</v>
      </c>
      <c r="DR26" s="25">
        <v>1</v>
      </c>
      <c r="DS26" s="25">
        <v>1</v>
      </c>
      <c r="DT26" s="7">
        <v>1</v>
      </c>
      <c r="DV26" s="100" t="s">
        <v>89</v>
      </c>
      <c r="DW26" s="90">
        <v>0</v>
      </c>
      <c r="DX26" s="91">
        <v>10</v>
      </c>
      <c r="DY26" s="91">
        <v>6</v>
      </c>
      <c r="DZ26" s="91">
        <v>1</v>
      </c>
      <c r="EA26" s="91">
        <v>4</v>
      </c>
      <c r="EB26" s="91">
        <v>0</v>
      </c>
      <c r="EC26" s="92">
        <v>0</v>
      </c>
      <c r="ED26" s="78">
        <v>21</v>
      </c>
    </row>
    <row r="27" spans="1:134" ht="16.5" customHeight="1">
      <c r="A27" s="30" t="s">
        <v>91</v>
      </c>
      <c r="B27" s="15">
        <f t="shared" si="16"/>
        <v>0</v>
      </c>
      <c r="C27" s="15">
        <f t="shared" si="17"/>
        <v>1</v>
      </c>
      <c r="D27" s="15">
        <f t="shared" si="18"/>
        <v>1</v>
      </c>
      <c r="E27" s="15">
        <f t="shared" si="19"/>
        <v>1</v>
      </c>
      <c r="F27" s="15">
        <f t="shared" si="20"/>
        <v>0</v>
      </c>
      <c r="G27" s="15">
        <f t="shared" si="21"/>
        <v>0</v>
      </c>
      <c r="H27" s="15">
        <f t="shared" si="22"/>
        <v>0</v>
      </c>
      <c r="I27" s="7">
        <v>23</v>
      </c>
      <c r="K27" s="21">
        <v>23</v>
      </c>
      <c r="L27" s="98" t="s">
        <v>36</v>
      </c>
      <c r="M27" s="98" t="s">
        <v>41</v>
      </c>
      <c r="N27" s="98" t="s">
        <v>175</v>
      </c>
      <c r="O27" s="98" t="s">
        <v>41</v>
      </c>
      <c r="P27" s="98" t="s">
        <v>36</v>
      </c>
      <c r="Q27" s="98" t="s">
        <v>36</v>
      </c>
      <c r="R27" s="37" t="s">
        <v>39</v>
      </c>
      <c r="T27" s="97">
        <f t="shared" si="23"/>
        <v>5</v>
      </c>
      <c r="U27" s="97">
        <f t="shared" si="24"/>
        <v>12</v>
      </c>
      <c r="V27" s="97">
        <f t="shared" si="25"/>
        <v>17</v>
      </c>
      <c r="W27" s="97">
        <f t="shared" si="26"/>
        <v>12</v>
      </c>
      <c r="X27" s="97">
        <f t="shared" si="27"/>
        <v>5</v>
      </c>
      <c r="Y27" s="97">
        <f t="shared" si="28"/>
        <v>5</v>
      </c>
      <c r="Z27" s="97">
        <f t="shared" si="29"/>
        <v>10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91">
        <v>5</v>
      </c>
      <c r="AM27" s="91">
        <v>6</v>
      </c>
      <c r="AN27" s="91">
        <v>1</v>
      </c>
      <c r="AO27" s="91">
        <v>2</v>
      </c>
      <c r="AP27" s="91">
        <v>0</v>
      </c>
      <c r="AQ27" s="92">
        <v>0</v>
      </c>
      <c r="AR27" s="78">
        <v>22</v>
      </c>
      <c r="AT27" s="30" t="s">
        <v>91</v>
      </c>
      <c r="AU27" s="15">
        <f t="shared" si="30"/>
        <v>0</v>
      </c>
      <c r="AV27" s="15">
        <f t="shared" si="31"/>
        <v>1</v>
      </c>
      <c r="AW27" s="15">
        <f t="shared" si="32"/>
        <v>1</v>
      </c>
      <c r="AX27" s="15">
        <f t="shared" si="33"/>
        <v>1</v>
      </c>
      <c r="AY27" s="15">
        <f t="shared" si="34"/>
        <v>0</v>
      </c>
      <c r="AZ27" s="15">
        <f t="shared" si="35"/>
        <v>0</v>
      </c>
      <c r="BA27" s="15">
        <f t="shared" si="36"/>
        <v>0</v>
      </c>
      <c r="BB27" s="7">
        <v>23</v>
      </c>
      <c r="BD27" s="21">
        <v>23</v>
      </c>
      <c r="BE27" s="98" t="s">
        <v>36</v>
      </c>
      <c r="BF27" s="98" t="s">
        <v>41</v>
      </c>
      <c r="BG27" s="98" t="s">
        <v>36</v>
      </c>
      <c r="BH27" s="98" t="s">
        <v>41</v>
      </c>
      <c r="BI27" s="98" t="s">
        <v>36</v>
      </c>
      <c r="BJ27" s="98" t="s">
        <v>36</v>
      </c>
      <c r="BK27" s="37" t="s">
        <v>39</v>
      </c>
      <c r="BM27" s="97">
        <f t="shared" si="37"/>
        <v>5</v>
      </c>
      <c r="BN27" s="97">
        <f t="shared" si="38"/>
        <v>12</v>
      </c>
      <c r="BO27" s="97">
        <f t="shared" si="39"/>
        <v>5</v>
      </c>
      <c r="BP27" s="97">
        <f t="shared" si="40"/>
        <v>12</v>
      </c>
      <c r="BQ27" s="97">
        <f t="shared" si="41"/>
        <v>5</v>
      </c>
      <c r="BR27" s="97">
        <f t="shared" si="42"/>
        <v>5</v>
      </c>
      <c r="BS27" s="97">
        <f t="shared" si="43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100" t="s">
        <v>90</v>
      </c>
      <c r="CD27" s="90">
        <v>0</v>
      </c>
      <c r="CE27" s="91">
        <v>5</v>
      </c>
      <c r="CF27" s="91">
        <v>6</v>
      </c>
      <c r="CG27" s="91">
        <v>1</v>
      </c>
      <c r="CH27" s="91">
        <v>2</v>
      </c>
      <c r="CI27" s="91">
        <v>0</v>
      </c>
      <c r="CJ27" s="92">
        <v>0</v>
      </c>
      <c r="CK27" s="78">
        <v>22</v>
      </c>
      <c r="CM27" s="30" t="s">
        <v>91</v>
      </c>
      <c r="CN27" s="15">
        <f t="shared" si="44"/>
        <v>0</v>
      </c>
      <c r="CO27" s="15">
        <f t="shared" si="4"/>
        <v>1</v>
      </c>
      <c r="CP27" s="15">
        <f t="shared" si="5"/>
        <v>1</v>
      </c>
      <c r="CQ27" s="15">
        <f t="shared" si="6"/>
        <v>1</v>
      </c>
      <c r="CR27" s="15">
        <f t="shared" si="7"/>
        <v>0</v>
      </c>
      <c r="CS27" s="15">
        <f t="shared" si="8"/>
        <v>0</v>
      </c>
      <c r="CT27" s="15">
        <f t="shared" si="9"/>
        <v>0</v>
      </c>
      <c r="CU27" s="7">
        <v>23</v>
      </c>
      <c r="CW27" s="21">
        <v>23</v>
      </c>
      <c r="CX27" s="98" t="s">
        <v>36</v>
      </c>
      <c r="CY27" s="98" t="s">
        <v>41</v>
      </c>
      <c r="CZ27" s="98" t="s">
        <v>36</v>
      </c>
      <c r="DA27" s="98" t="s">
        <v>41</v>
      </c>
      <c r="DB27" s="98" t="s">
        <v>36</v>
      </c>
      <c r="DC27" s="98" t="s">
        <v>36</v>
      </c>
      <c r="DD27" s="37" t="s">
        <v>39</v>
      </c>
      <c r="DF27" s="97">
        <f t="shared" si="45"/>
        <v>5</v>
      </c>
      <c r="DG27" s="97">
        <f t="shared" si="10"/>
        <v>12</v>
      </c>
      <c r="DH27" s="97">
        <f t="shared" si="11"/>
        <v>5</v>
      </c>
      <c r="DI27" s="97">
        <f t="shared" si="12"/>
        <v>12</v>
      </c>
      <c r="DJ27" s="97">
        <f t="shared" si="13"/>
        <v>5</v>
      </c>
      <c r="DK27" s="97">
        <f t="shared" si="14"/>
        <v>5</v>
      </c>
      <c r="DL27" s="97">
        <f t="shared" si="15"/>
        <v>10</v>
      </c>
      <c r="DN27" s="25">
        <v>1</v>
      </c>
      <c r="DO27" s="25">
        <v>1</v>
      </c>
      <c r="DP27" s="25">
        <v>1</v>
      </c>
      <c r="DQ27" s="25">
        <v>1</v>
      </c>
      <c r="DR27" s="25">
        <v>1</v>
      </c>
      <c r="DS27" s="25">
        <v>1</v>
      </c>
      <c r="DT27" s="7">
        <v>1</v>
      </c>
      <c r="DV27" s="100" t="s">
        <v>90</v>
      </c>
      <c r="DW27" s="90">
        <v>0</v>
      </c>
      <c r="DX27" s="91">
        <v>5</v>
      </c>
      <c r="DY27" s="91">
        <v>6</v>
      </c>
      <c r="DZ27" s="91">
        <v>1</v>
      </c>
      <c r="EA27" s="91">
        <v>2</v>
      </c>
      <c r="EB27" s="91">
        <v>0</v>
      </c>
      <c r="EC27" s="92">
        <v>0</v>
      </c>
      <c r="ED27" s="78">
        <v>22</v>
      </c>
    </row>
    <row r="28" spans="1:134" ht="16.5" customHeight="1" thickBot="1">
      <c r="A28" s="30" t="s">
        <v>92</v>
      </c>
      <c r="B28" s="15">
        <f t="shared" si="16"/>
        <v>2</v>
      </c>
      <c r="C28" s="15">
        <f t="shared" si="17"/>
        <v>5</v>
      </c>
      <c r="D28" s="15">
        <f t="shared" si="18"/>
        <v>2</v>
      </c>
      <c r="E28" s="15">
        <f t="shared" si="19"/>
        <v>2</v>
      </c>
      <c r="F28" s="15">
        <f t="shared" si="20"/>
        <v>2</v>
      </c>
      <c r="G28" s="15">
        <f t="shared" si="21"/>
        <v>2</v>
      </c>
      <c r="H28" s="15">
        <f t="shared" si="22"/>
        <v>3</v>
      </c>
      <c r="I28" s="7">
        <v>24</v>
      </c>
      <c r="K28" s="22">
        <v>24</v>
      </c>
      <c r="L28" s="98" t="s">
        <v>36</v>
      </c>
      <c r="M28" s="98" t="s">
        <v>41</v>
      </c>
      <c r="N28" s="98" t="s">
        <v>33</v>
      </c>
      <c r="O28" s="98" t="s">
        <v>78</v>
      </c>
      <c r="P28" s="98" t="s">
        <v>35</v>
      </c>
      <c r="Q28" s="98" t="s">
        <v>26</v>
      </c>
      <c r="R28" s="37" t="s">
        <v>41</v>
      </c>
      <c r="T28" s="97">
        <f t="shared" si="23"/>
        <v>5</v>
      </c>
      <c r="U28" s="97">
        <f t="shared" si="24"/>
        <v>12</v>
      </c>
      <c r="V28" s="97">
        <f t="shared" si="25"/>
        <v>2</v>
      </c>
      <c r="W28" s="97">
        <f t="shared" si="26"/>
        <v>6</v>
      </c>
      <c r="X28" s="97">
        <f t="shared" si="27"/>
        <v>4</v>
      </c>
      <c r="Y28" s="97">
        <f t="shared" si="28"/>
        <v>8</v>
      </c>
      <c r="Z28" s="97">
        <f t="shared" si="29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101" t="s">
        <v>91</v>
      </c>
      <c r="AK28" s="93">
        <v>0</v>
      </c>
      <c r="AL28" s="94">
        <v>2</v>
      </c>
      <c r="AM28" s="94">
        <v>6</v>
      </c>
      <c r="AN28" s="94">
        <v>1</v>
      </c>
      <c r="AO28" s="94">
        <v>2</v>
      </c>
      <c r="AP28" s="94">
        <v>0</v>
      </c>
      <c r="AQ28" s="95">
        <v>0</v>
      </c>
      <c r="AR28" s="178">
        <v>23</v>
      </c>
      <c r="AT28" s="30" t="s">
        <v>92</v>
      </c>
      <c r="AU28" s="15">
        <f t="shared" si="30"/>
        <v>0</v>
      </c>
      <c r="AV28" s="15">
        <f t="shared" si="31"/>
        <v>3</v>
      </c>
      <c r="AW28" s="15">
        <f t="shared" si="32"/>
        <v>0</v>
      </c>
      <c r="AX28" s="15">
        <f t="shared" si="33"/>
        <v>0</v>
      </c>
      <c r="AY28" s="15">
        <f t="shared" si="34"/>
        <v>0</v>
      </c>
      <c r="AZ28" s="15">
        <f t="shared" si="35"/>
        <v>0</v>
      </c>
      <c r="BA28" s="15">
        <f t="shared" si="36"/>
        <v>0</v>
      </c>
      <c r="BB28" s="7">
        <v>24</v>
      </c>
      <c r="BD28" s="22">
        <v>24</v>
      </c>
      <c r="BE28" s="98" t="s">
        <v>36</v>
      </c>
      <c r="BF28" s="98" t="s">
        <v>41</v>
      </c>
      <c r="BG28" s="98" t="s">
        <v>40</v>
      </c>
      <c r="BH28" s="98" t="s">
        <v>78</v>
      </c>
      <c r="BI28" s="98" t="s">
        <v>35</v>
      </c>
      <c r="BJ28" s="98" t="s">
        <v>26</v>
      </c>
      <c r="BK28" s="37" t="s">
        <v>41</v>
      </c>
      <c r="BM28" s="97">
        <f t="shared" si="37"/>
        <v>5</v>
      </c>
      <c r="BN28" s="97">
        <f t="shared" si="38"/>
        <v>12</v>
      </c>
      <c r="BO28" s="97">
        <f t="shared" si="39"/>
        <v>11</v>
      </c>
      <c r="BP28" s="97">
        <f t="shared" si="40"/>
        <v>6</v>
      </c>
      <c r="BQ28" s="97">
        <f t="shared" si="41"/>
        <v>4</v>
      </c>
      <c r="BR28" s="97">
        <f t="shared" si="42"/>
        <v>8</v>
      </c>
      <c r="BS28" s="97">
        <f t="shared" si="43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101" t="s">
        <v>91</v>
      </c>
      <c r="CD28" s="93">
        <v>0</v>
      </c>
      <c r="CE28" s="94">
        <v>2</v>
      </c>
      <c r="CF28" s="94">
        <v>6</v>
      </c>
      <c r="CG28" s="94">
        <v>1</v>
      </c>
      <c r="CH28" s="94">
        <v>2</v>
      </c>
      <c r="CI28" s="94">
        <v>0</v>
      </c>
      <c r="CJ28" s="95">
        <v>0</v>
      </c>
      <c r="CK28" s="178">
        <v>23</v>
      </c>
      <c r="CM28" s="30" t="s">
        <v>92</v>
      </c>
      <c r="CN28" s="15">
        <f t="shared" si="44"/>
        <v>0</v>
      </c>
      <c r="CO28" s="15">
        <f t="shared" si="4"/>
        <v>3</v>
      </c>
      <c r="CP28" s="15">
        <f t="shared" si="5"/>
        <v>0</v>
      </c>
      <c r="CQ28" s="15">
        <f t="shared" si="6"/>
        <v>0</v>
      </c>
      <c r="CR28" s="15">
        <f t="shared" si="7"/>
        <v>0</v>
      </c>
      <c r="CS28" s="15">
        <f t="shared" si="8"/>
        <v>0</v>
      </c>
      <c r="CT28" s="15">
        <f t="shared" si="9"/>
        <v>0</v>
      </c>
      <c r="CU28" s="7">
        <v>24</v>
      </c>
      <c r="CW28" s="22">
        <v>24</v>
      </c>
      <c r="CX28" s="98" t="s">
        <v>36</v>
      </c>
      <c r="CY28" s="98" t="s">
        <v>41</v>
      </c>
      <c r="CZ28" s="98" t="s">
        <v>40</v>
      </c>
      <c r="DA28" s="98" t="s">
        <v>78</v>
      </c>
      <c r="DB28" s="98" t="s">
        <v>35</v>
      </c>
      <c r="DC28" s="98" t="s">
        <v>26</v>
      </c>
      <c r="DD28" s="37" t="s">
        <v>33</v>
      </c>
      <c r="DF28" s="97">
        <f t="shared" si="45"/>
        <v>5</v>
      </c>
      <c r="DG28" s="97">
        <f t="shared" si="10"/>
        <v>12</v>
      </c>
      <c r="DH28" s="97">
        <f t="shared" si="11"/>
        <v>11</v>
      </c>
      <c r="DI28" s="97">
        <f t="shared" si="12"/>
        <v>6</v>
      </c>
      <c r="DJ28" s="97">
        <f t="shared" si="13"/>
        <v>4</v>
      </c>
      <c r="DK28" s="97">
        <f t="shared" si="14"/>
        <v>8</v>
      </c>
      <c r="DL28" s="97">
        <f t="shared" si="15"/>
        <v>2</v>
      </c>
      <c r="DN28" s="25">
        <v>1</v>
      </c>
      <c r="DO28" s="25">
        <v>1</v>
      </c>
      <c r="DP28" s="25">
        <v>1</v>
      </c>
      <c r="DQ28" s="25">
        <v>1</v>
      </c>
      <c r="DR28" s="25">
        <v>1</v>
      </c>
      <c r="DS28" s="25">
        <v>1</v>
      </c>
      <c r="DT28" s="7">
        <v>1</v>
      </c>
      <c r="DV28" s="101" t="s">
        <v>91</v>
      </c>
      <c r="DW28" s="93">
        <v>0</v>
      </c>
      <c r="DX28" s="94">
        <v>2</v>
      </c>
      <c r="DY28" s="94">
        <v>6</v>
      </c>
      <c r="DZ28" s="94">
        <v>1</v>
      </c>
      <c r="EA28" s="94">
        <v>2</v>
      </c>
      <c r="EB28" s="94">
        <v>0</v>
      </c>
      <c r="EC28" s="95">
        <v>0</v>
      </c>
      <c r="ED28" s="178">
        <v>23</v>
      </c>
    </row>
    <row r="29" spans="1:134" ht="16.5" customHeight="1">
      <c r="A29" s="30" t="s">
        <v>93</v>
      </c>
      <c r="B29" s="15">
        <f t="shared" si="16"/>
        <v>0</v>
      </c>
      <c r="C29" s="15">
        <f t="shared" si="17"/>
        <v>1</v>
      </c>
      <c r="D29" s="15">
        <f t="shared" si="18"/>
        <v>0</v>
      </c>
      <c r="E29" s="15">
        <f t="shared" si="19"/>
        <v>0</v>
      </c>
      <c r="F29" s="15">
        <f t="shared" si="20"/>
        <v>0</v>
      </c>
      <c r="G29" s="15">
        <f t="shared" si="21"/>
        <v>0</v>
      </c>
      <c r="H29" s="15">
        <f t="shared" si="22"/>
        <v>0</v>
      </c>
      <c r="I29" s="7">
        <v>25</v>
      </c>
      <c r="K29" s="21">
        <v>25</v>
      </c>
      <c r="L29" s="98" t="s">
        <v>163</v>
      </c>
      <c r="M29" s="98" t="s">
        <v>163</v>
      </c>
      <c r="N29" s="98" t="s">
        <v>40</v>
      </c>
      <c r="O29" s="98" t="s">
        <v>78</v>
      </c>
      <c r="P29" s="98" t="s">
        <v>41</v>
      </c>
      <c r="Q29" s="98" t="s">
        <v>78</v>
      </c>
      <c r="R29" s="37" t="s">
        <v>41</v>
      </c>
      <c r="T29" s="97">
        <f t="shared" si="23"/>
        <v>7</v>
      </c>
      <c r="U29" s="97">
        <f t="shared" si="24"/>
        <v>7</v>
      </c>
      <c r="V29" s="97">
        <f t="shared" si="25"/>
        <v>11</v>
      </c>
      <c r="W29" s="97">
        <f t="shared" si="26"/>
        <v>6</v>
      </c>
      <c r="X29" s="97">
        <f t="shared" si="27"/>
        <v>12</v>
      </c>
      <c r="Y29" s="97">
        <f t="shared" si="28"/>
        <v>6</v>
      </c>
      <c r="Z29" s="97">
        <f t="shared" si="29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  <c r="AT29" s="30" t="s">
        <v>93</v>
      </c>
      <c r="AU29" s="15">
        <f t="shared" si="30"/>
        <v>0</v>
      </c>
      <c r="AV29" s="15">
        <f t="shared" si="31"/>
        <v>1</v>
      </c>
      <c r="AW29" s="15">
        <f t="shared" si="32"/>
        <v>0</v>
      </c>
      <c r="AX29" s="15">
        <f t="shared" si="33"/>
        <v>0</v>
      </c>
      <c r="AY29" s="15">
        <f t="shared" si="34"/>
        <v>0</v>
      </c>
      <c r="AZ29" s="15">
        <f t="shared" si="35"/>
        <v>0</v>
      </c>
      <c r="BA29" s="15">
        <f t="shared" si="36"/>
        <v>0</v>
      </c>
      <c r="BB29" s="7">
        <v>25</v>
      </c>
      <c r="BD29" s="21">
        <v>25</v>
      </c>
      <c r="BE29" s="98" t="s">
        <v>163</v>
      </c>
      <c r="BF29" s="98" t="s">
        <v>163</v>
      </c>
      <c r="BG29" s="98" t="s">
        <v>40</v>
      </c>
      <c r="BH29" s="98" t="s">
        <v>78</v>
      </c>
      <c r="BI29" s="98" t="s">
        <v>41</v>
      </c>
      <c r="BJ29" s="98" t="s">
        <v>78</v>
      </c>
      <c r="BK29" s="37" t="s">
        <v>41</v>
      </c>
      <c r="BM29" s="97">
        <f t="shared" si="37"/>
        <v>7</v>
      </c>
      <c r="BN29" s="97">
        <f t="shared" si="38"/>
        <v>7</v>
      </c>
      <c r="BO29" s="97">
        <f t="shared" si="39"/>
        <v>11</v>
      </c>
      <c r="BP29" s="97">
        <f t="shared" si="40"/>
        <v>6</v>
      </c>
      <c r="BQ29" s="97">
        <f t="shared" si="41"/>
        <v>12</v>
      </c>
      <c r="BR29" s="97">
        <f t="shared" si="42"/>
        <v>6</v>
      </c>
      <c r="BS29" s="97">
        <f t="shared" si="43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84" t="s">
        <v>190</v>
      </c>
      <c r="CD29" s="185">
        <v>0</v>
      </c>
      <c r="CE29" s="186">
        <v>10</v>
      </c>
      <c r="CF29" s="186">
        <v>10</v>
      </c>
      <c r="CG29" s="186">
        <v>10</v>
      </c>
      <c r="CH29" s="186">
        <v>10</v>
      </c>
      <c r="CI29" s="186">
        <v>0</v>
      </c>
      <c r="CJ29" s="187">
        <v>0</v>
      </c>
      <c r="CK29" s="183">
        <v>24</v>
      </c>
      <c r="CM29" s="30" t="s">
        <v>93</v>
      </c>
      <c r="CN29" s="15">
        <f t="shared" ref="CN29:CT29" si="46">COUNTIF(CX$4:CX$304,$A29)</f>
        <v>0</v>
      </c>
      <c r="CO29" s="15">
        <f t="shared" si="46"/>
        <v>1</v>
      </c>
      <c r="CP29" s="15">
        <f t="shared" si="46"/>
        <v>0</v>
      </c>
      <c r="CQ29" s="15">
        <f t="shared" si="46"/>
        <v>0</v>
      </c>
      <c r="CR29" s="15">
        <f t="shared" si="46"/>
        <v>0</v>
      </c>
      <c r="CS29" s="15">
        <f t="shared" si="46"/>
        <v>0</v>
      </c>
      <c r="CT29" s="15">
        <f t="shared" si="46"/>
        <v>0</v>
      </c>
      <c r="CU29" s="7">
        <v>25</v>
      </c>
      <c r="CW29" s="21">
        <v>25</v>
      </c>
      <c r="CX29" s="98" t="s">
        <v>163</v>
      </c>
      <c r="CY29" s="98" t="s">
        <v>163</v>
      </c>
      <c r="CZ29" s="98" t="s">
        <v>40</v>
      </c>
      <c r="DA29" s="98" t="s">
        <v>78</v>
      </c>
      <c r="DB29" s="98" t="s">
        <v>41</v>
      </c>
      <c r="DC29" s="98" t="s">
        <v>78</v>
      </c>
      <c r="DD29" s="37" t="s">
        <v>41</v>
      </c>
      <c r="DF29" s="97">
        <f t="shared" si="45"/>
        <v>7</v>
      </c>
      <c r="DG29" s="97">
        <f t="shared" si="10"/>
        <v>7</v>
      </c>
      <c r="DH29" s="97">
        <f t="shared" si="11"/>
        <v>11</v>
      </c>
      <c r="DI29" s="97">
        <f t="shared" si="12"/>
        <v>6</v>
      </c>
      <c r="DJ29" s="97">
        <f t="shared" si="13"/>
        <v>12</v>
      </c>
      <c r="DK29" s="97">
        <f t="shared" si="14"/>
        <v>6</v>
      </c>
      <c r="DL29" s="97">
        <f t="shared" si="15"/>
        <v>12</v>
      </c>
      <c r="DN29" s="25">
        <v>1</v>
      </c>
      <c r="DO29" s="25">
        <v>1</v>
      </c>
      <c r="DP29" s="25">
        <v>1</v>
      </c>
      <c r="DQ29" s="25">
        <v>1</v>
      </c>
      <c r="DR29" s="25">
        <v>1</v>
      </c>
      <c r="DS29" s="25">
        <v>1</v>
      </c>
      <c r="DT29" s="7">
        <v>1</v>
      </c>
      <c r="DV29" s="184" t="s">
        <v>190</v>
      </c>
      <c r="DW29" s="185">
        <v>0</v>
      </c>
      <c r="DX29" s="186">
        <v>10</v>
      </c>
      <c r="DY29" s="186">
        <v>10</v>
      </c>
      <c r="DZ29" s="186">
        <v>10</v>
      </c>
      <c r="EA29" s="186">
        <v>10</v>
      </c>
      <c r="EB29" s="186">
        <v>0</v>
      </c>
      <c r="EC29" s="187">
        <v>0</v>
      </c>
      <c r="ED29" s="183">
        <v>24</v>
      </c>
    </row>
    <row r="30" spans="1:134" ht="16.5" customHeight="1" thickBot="1">
      <c r="A30" s="110"/>
      <c r="I30" s="18"/>
      <c r="K30" s="22">
        <v>26</v>
      </c>
      <c r="L30" s="98" t="s">
        <v>40</v>
      </c>
      <c r="M30" s="98" t="s">
        <v>163</v>
      </c>
      <c r="N30" s="98" t="s">
        <v>163</v>
      </c>
      <c r="O30" s="98" t="s">
        <v>39</v>
      </c>
      <c r="P30" s="98" t="s">
        <v>39</v>
      </c>
      <c r="Q30" s="98" t="s">
        <v>39</v>
      </c>
      <c r="R30" s="37" t="s">
        <v>41</v>
      </c>
      <c r="T30" s="97">
        <f t="shared" si="23"/>
        <v>11</v>
      </c>
      <c r="U30" s="97">
        <f t="shared" si="24"/>
        <v>7</v>
      </c>
      <c r="V30" s="97">
        <f t="shared" si="25"/>
        <v>7</v>
      </c>
      <c r="W30" s="97">
        <f t="shared" si="26"/>
        <v>10</v>
      </c>
      <c r="X30" s="97">
        <f t="shared" si="27"/>
        <v>10</v>
      </c>
      <c r="Y30" s="97">
        <f t="shared" si="28"/>
        <v>10</v>
      </c>
      <c r="Z30" s="97">
        <f t="shared" si="29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  <c r="AT30" s="110"/>
      <c r="BB30" s="18"/>
      <c r="BD30" s="22">
        <v>26</v>
      </c>
      <c r="BE30" s="98" t="s">
        <v>40</v>
      </c>
      <c r="BF30" s="98" t="s">
        <v>163</v>
      </c>
      <c r="BG30" s="98" t="s">
        <v>163</v>
      </c>
      <c r="BH30" s="98" t="s">
        <v>39</v>
      </c>
      <c r="BI30" s="98" t="s">
        <v>39</v>
      </c>
      <c r="BJ30" s="98" t="s">
        <v>39</v>
      </c>
      <c r="BK30" s="37" t="s">
        <v>41</v>
      </c>
      <c r="BM30" s="97">
        <f t="shared" si="37"/>
        <v>11</v>
      </c>
      <c r="BN30" s="97">
        <f t="shared" si="38"/>
        <v>7</v>
      </c>
      <c r="BO30" s="97">
        <f t="shared" si="39"/>
        <v>7</v>
      </c>
      <c r="BP30" s="97">
        <f t="shared" si="40"/>
        <v>10</v>
      </c>
      <c r="BQ30" s="97">
        <f t="shared" si="41"/>
        <v>10</v>
      </c>
      <c r="BR30" s="97">
        <f t="shared" si="42"/>
        <v>10</v>
      </c>
      <c r="BS30" s="97">
        <f t="shared" si="43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101" t="s">
        <v>201</v>
      </c>
      <c r="CD30" s="93">
        <v>0</v>
      </c>
      <c r="CE30" s="94">
        <v>1</v>
      </c>
      <c r="CF30" s="94">
        <v>1</v>
      </c>
      <c r="CG30" s="94">
        <v>1</v>
      </c>
      <c r="CH30" s="94">
        <v>1</v>
      </c>
      <c r="CI30" s="94">
        <v>0</v>
      </c>
      <c r="CJ30" s="95">
        <v>0</v>
      </c>
      <c r="CK30" s="84">
        <v>25</v>
      </c>
      <c r="CM30" s="148"/>
      <c r="CU30" s="18"/>
      <c r="CW30" s="22">
        <v>26</v>
      </c>
      <c r="CX30" s="98" t="s">
        <v>40</v>
      </c>
      <c r="CY30" s="98" t="s">
        <v>163</v>
      </c>
      <c r="CZ30" s="98" t="s">
        <v>163</v>
      </c>
      <c r="DA30" s="98" t="s">
        <v>39</v>
      </c>
      <c r="DB30" s="98" t="s">
        <v>39</v>
      </c>
      <c r="DC30" s="98" t="s">
        <v>39</v>
      </c>
      <c r="DD30" s="37" t="s">
        <v>41</v>
      </c>
      <c r="DF30" s="97">
        <f t="shared" si="45"/>
        <v>11</v>
      </c>
      <c r="DG30" s="97">
        <f t="shared" si="10"/>
        <v>7</v>
      </c>
      <c r="DH30" s="97">
        <f t="shared" si="11"/>
        <v>7</v>
      </c>
      <c r="DI30" s="97">
        <f t="shared" si="12"/>
        <v>10</v>
      </c>
      <c r="DJ30" s="97">
        <f t="shared" si="13"/>
        <v>10</v>
      </c>
      <c r="DK30" s="97">
        <f t="shared" si="14"/>
        <v>10</v>
      </c>
      <c r="DL30" s="97">
        <f t="shared" si="15"/>
        <v>12</v>
      </c>
      <c r="DN30" s="25">
        <v>1</v>
      </c>
      <c r="DO30" s="25">
        <v>1</v>
      </c>
      <c r="DP30" s="25">
        <v>1</v>
      </c>
      <c r="DQ30" s="25">
        <v>1</v>
      </c>
      <c r="DR30" s="25">
        <v>1</v>
      </c>
      <c r="DS30" s="25">
        <v>1</v>
      </c>
      <c r="DT30" s="7">
        <v>1</v>
      </c>
      <c r="DV30" s="101" t="s">
        <v>201</v>
      </c>
      <c r="DW30" s="93">
        <v>0</v>
      </c>
      <c r="DX30" s="94">
        <v>1</v>
      </c>
      <c r="DY30" s="94">
        <v>1</v>
      </c>
      <c r="DZ30" s="94">
        <v>1</v>
      </c>
      <c r="EA30" s="94">
        <v>1</v>
      </c>
      <c r="EB30" s="94">
        <v>0</v>
      </c>
      <c r="EC30" s="95">
        <v>0</v>
      </c>
      <c r="ED30" s="84">
        <v>25</v>
      </c>
    </row>
    <row r="31" spans="1:134" ht="16.5" customHeight="1">
      <c r="A31" s="147"/>
      <c r="B31" s="147"/>
      <c r="C31" s="147"/>
      <c r="D31" s="147"/>
      <c r="E31" s="147"/>
      <c r="F31" s="96"/>
      <c r="I31" s="18"/>
      <c r="K31" s="21">
        <v>27</v>
      </c>
      <c r="L31" s="98" t="s">
        <v>40</v>
      </c>
      <c r="M31" s="98" t="s">
        <v>26</v>
      </c>
      <c r="N31" s="98" t="s">
        <v>35</v>
      </c>
      <c r="O31" s="98" t="s">
        <v>33</v>
      </c>
      <c r="P31" s="98" t="s">
        <v>39</v>
      </c>
      <c r="Q31" s="98" t="s">
        <v>78</v>
      </c>
      <c r="R31" s="37" t="s">
        <v>41</v>
      </c>
      <c r="T31" s="97">
        <f t="shared" si="23"/>
        <v>11</v>
      </c>
      <c r="U31" s="97">
        <f t="shared" si="24"/>
        <v>8</v>
      </c>
      <c r="V31" s="97">
        <f t="shared" si="25"/>
        <v>4</v>
      </c>
      <c r="W31" s="97">
        <f t="shared" si="26"/>
        <v>2</v>
      </c>
      <c r="X31" s="97">
        <f t="shared" si="27"/>
        <v>10</v>
      </c>
      <c r="Y31" s="97">
        <f t="shared" si="28"/>
        <v>6</v>
      </c>
      <c r="Z31" s="97">
        <f t="shared" si="29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  <c r="AT31" s="147"/>
      <c r="AU31" s="147"/>
      <c r="AV31" s="147"/>
      <c r="AW31" s="147"/>
      <c r="AX31" s="147"/>
      <c r="AY31" s="96"/>
      <c r="AZ31" s="96"/>
      <c r="BB31" s="18"/>
      <c r="BD31" s="21">
        <v>27</v>
      </c>
      <c r="BE31" s="98" t="s">
        <v>40</v>
      </c>
      <c r="BF31" s="98" t="s">
        <v>26</v>
      </c>
      <c r="BG31" s="98" t="s">
        <v>35</v>
      </c>
      <c r="BH31" s="98" t="s">
        <v>39</v>
      </c>
      <c r="BI31" s="98" t="s">
        <v>39</v>
      </c>
      <c r="BJ31" s="98" t="s">
        <v>78</v>
      </c>
      <c r="BK31" s="37" t="s">
        <v>41</v>
      </c>
      <c r="BM31" s="97">
        <f t="shared" si="37"/>
        <v>11</v>
      </c>
      <c r="BN31" s="97">
        <f t="shared" si="38"/>
        <v>8</v>
      </c>
      <c r="BO31" s="97">
        <f t="shared" si="39"/>
        <v>4</v>
      </c>
      <c r="BP31" s="97">
        <f t="shared" si="40"/>
        <v>10</v>
      </c>
      <c r="BQ31" s="97">
        <f t="shared" si="41"/>
        <v>10</v>
      </c>
      <c r="BR31" s="97">
        <f t="shared" si="42"/>
        <v>6</v>
      </c>
      <c r="BS31" s="97">
        <f t="shared" si="43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103"/>
      <c r="CD31" s="103"/>
      <c r="CE31" s="103"/>
      <c r="CF31" s="103"/>
      <c r="CG31" s="103"/>
      <c r="CH31" s="103"/>
      <c r="CI31" s="103"/>
      <c r="CJ31" s="103"/>
      <c r="CK31" s="103"/>
      <c r="CM31" s="147"/>
      <c r="CN31" s="147"/>
      <c r="CO31" s="147"/>
      <c r="CP31" s="147"/>
      <c r="CQ31" s="147"/>
      <c r="CR31" s="96"/>
      <c r="CS31" s="96"/>
      <c r="CU31" s="18"/>
      <c r="CW31" s="21">
        <v>27</v>
      </c>
      <c r="CX31" s="98" t="s">
        <v>40</v>
      </c>
      <c r="CY31" s="98" t="s">
        <v>26</v>
      </c>
      <c r="CZ31" s="98" t="s">
        <v>35</v>
      </c>
      <c r="DA31" s="98" t="s">
        <v>39</v>
      </c>
      <c r="DB31" s="98" t="s">
        <v>39</v>
      </c>
      <c r="DC31" s="98" t="s">
        <v>78</v>
      </c>
      <c r="DD31" s="37" t="s">
        <v>41</v>
      </c>
      <c r="DF31" s="97">
        <f t="shared" si="45"/>
        <v>11</v>
      </c>
      <c r="DG31" s="97">
        <f t="shared" si="10"/>
        <v>8</v>
      </c>
      <c r="DH31" s="97">
        <f t="shared" si="11"/>
        <v>4</v>
      </c>
      <c r="DI31" s="97">
        <f t="shared" si="12"/>
        <v>10</v>
      </c>
      <c r="DJ31" s="97">
        <f t="shared" si="13"/>
        <v>10</v>
      </c>
      <c r="DK31" s="97">
        <f t="shared" si="14"/>
        <v>6</v>
      </c>
      <c r="DL31" s="97">
        <f t="shared" si="15"/>
        <v>12</v>
      </c>
      <c r="DN31" s="25">
        <v>1</v>
      </c>
      <c r="DO31" s="25">
        <v>1</v>
      </c>
      <c r="DP31" s="25">
        <v>1</v>
      </c>
      <c r="DQ31" s="25">
        <v>1</v>
      </c>
      <c r="DR31" s="25">
        <v>1</v>
      </c>
      <c r="DS31" s="25">
        <v>1</v>
      </c>
      <c r="DT31" s="7">
        <v>1</v>
      </c>
      <c r="DV31" s="103"/>
      <c r="DW31" s="103"/>
      <c r="DX31" s="103"/>
      <c r="DY31" s="103"/>
      <c r="DZ31" s="103"/>
      <c r="EA31" s="103"/>
      <c r="EB31" s="103"/>
      <c r="EC31" s="103"/>
      <c r="ED31" s="103"/>
    </row>
    <row r="32" spans="1:134" ht="16.5" customHeight="1" thickBot="1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I32" s="18"/>
      <c r="K32" s="22">
        <v>28</v>
      </c>
      <c r="L32" s="98" t="s">
        <v>39</v>
      </c>
      <c r="M32" s="98" t="s">
        <v>26</v>
      </c>
      <c r="N32" s="98" t="s">
        <v>207</v>
      </c>
      <c r="O32" s="98" t="s">
        <v>204</v>
      </c>
      <c r="P32" s="98" t="s">
        <v>163</v>
      </c>
      <c r="Q32" s="98" t="s">
        <v>26</v>
      </c>
      <c r="R32" s="37" t="s">
        <v>40</v>
      </c>
      <c r="T32" s="97">
        <f t="shared" si="23"/>
        <v>10</v>
      </c>
      <c r="U32" s="97">
        <f t="shared" si="24"/>
        <v>8</v>
      </c>
      <c r="V32" s="97">
        <f t="shared" si="25"/>
        <v>16</v>
      </c>
      <c r="W32" s="97">
        <f t="shared" si="26"/>
        <v>15</v>
      </c>
      <c r="X32" s="97">
        <f t="shared" si="27"/>
        <v>7</v>
      </c>
      <c r="Y32" s="97">
        <f t="shared" si="28"/>
        <v>8</v>
      </c>
      <c r="Z32" s="97">
        <f t="shared" si="29"/>
        <v>11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  <c r="AT32" s="7" t="s">
        <v>118</v>
      </c>
      <c r="AU32" s="20" t="s">
        <v>13</v>
      </c>
      <c r="AV32" s="20" t="s">
        <v>7</v>
      </c>
      <c r="AW32" s="20" t="s">
        <v>8</v>
      </c>
      <c r="AX32" s="20" t="s">
        <v>9</v>
      </c>
      <c r="AY32" s="20" t="s">
        <v>10</v>
      </c>
      <c r="AZ32" s="20" t="s">
        <v>59</v>
      </c>
      <c r="BB32" s="18"/>
      <c r="BD32" s="22">
        <v>28</v>
      </c>
      <c r="BE32" s="98" t="s">
        <v>39</v>
      </c>
      <c r="BF32" s="98" t="s">
        <v>26</v>
      </c>
      <c r="BG32" s="98" t="s">
        <v>207</v>
      </c>
      <c r="BH32" s="98" t="s">
        <v>204</v>
      </c>
      <c r="BI32" s="98" t="s">
        <v>163</v>
      </c>
      <c r="BJ32" s="98" t="s">
        <v>26</v>
      </c>
      <c r="BK32" s="37" t="s">
        <v>40</v>
      </c>
      <c r="BM32" s="97">
        <f t="shared" si="37"/>
        <v>10</v>
      </c>
      <c r="BN32" s="97">
        <f t="shared" si="38"/>
        <v>8</v>
      </c>
      <c r="BO32" s="97">
        <f t="shared" si="39"/>
        <v>16</v>
      </c>
      <c r="BP32" s="97">
        <f t="shared" si="40"/>
        <v>15</v>
      </c>
      <c r="BQ32" s="97">
        <f t="shared" si="41"/>
        <v>7</v>
      </c>
      <c r="BR32" s="97">
        <f t="shared" si="42"/>
        <v>8</v>
      </c>
      <c r="BS32" s="97">
        <f t="shared" si="43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103"/>
      <c r="CD32" s="219" t="s">
        <v>96</v>
      </c>
      <c r="CE32" s="219"/>
      <c r="CF32" s="219"/>
      <c r="CG32" s="219"/>
      <c r="CH32" s="219"/>
      <c r="CI32" s="219"/>
      <c r="CJ32" s="219"/>
      <c r="CK32" s="219"/>
      <c r="CM32" s="7" t="s">
        <v>118</v>
      </c>
      <c r="CN32" s="20" t="s">
        <v>13</v>
      </c>
      <c r="CO32" s="20" t="s">
        <v>7</v>
      </c>
      <c r="CP32" s="20" t="s">
        <v>8</v>
      </c>
      <c r="CQ32" s="20" t="s">
        <v>9</v>
      </c>
      <c r="CR32" s="20" t="s">
        <v>10</v>
      </c>
      <c r="CS32" s="20" t="s">
        <v>59</v>
      </c>
      <c r="CU32" s="18"/>
      <c r="CW32" s="22">
        <v>28</v>
      </c>
      <c r="CX32" s="98" t="s">
        <v>39</v>
      </c>
      <c r="CY32" s="98" t="s">
        <v>26</v>
      </c>
      <c r="CZ32" s="98" t="s">
        <v>207</v>
      </c>
      <c r="DA32" s="98" t="s">
        <v>204</v>
      </c>
      <c r="DB32" s="98" t="s">
        <v>163</v>
      </c>
      <c r="DC32" s="98" t="s">
        <v>26</v>
      </c>
      <c r="DD32" s="37" t="s">
        <v>40</v>
      </c>
      <c r="DF32" s="97">
        <f t="shared" si="45"/>
        <v>10</v>
      </c>
      <c r="DG32" s="97">
        <f t="shared" si="10"/>
        <v>8</v>
      </c>
      <c r="DH32" s="97">
        <f t="shared" si="11"/>
        <v>16</v>
      </c>
      <c r="DI32" s="97">
        <f t="shared" si="12"/>
        <v>15</v>
      </c>
      <c r="DJ32" s="97">
        <f t="shared" si="13"/>
        <v>7</v>
      </c>
      <c r="DK32" s="97">
        <f t="shared" si="14"/>
        <v>8</v>
      </c>
      <c r="DL32" s="97">
        <f t="shared" si="15"/>
        <v>11</v>
      </c>
      <c r="DN32" s="25">
        <v>1</v>
      </c>
      <c r="DO32" s="25">
        <v>1</v>
      </c>
      <c r="DP32" s="25">
        <v>1</v>
      </c>
      <c r="DQ32" s="25">
        <v>1</v>
      </c>
      <c r="DR32" s="25">
        <v>1</v>
      </c>
      <c r="DS32" s="25">
        <v>1</v>
      </c>
      <c r="DT32" s="7">
        <v>1</v>
      </c>
      <c r="DV32" s="103"/>
      <c r="DW32" s="219" t="s">
        <v>96</v>
      </c>
      <c r="DX32" s="219"/>
      <c r="DY32" s="219"/>
      <c r="DZ32" s="219"/>
      <c r="EA32" s="219"/>
      <c r="EB32" s="219"/>
      <c r="EC32" s="219"/>
      <c r="ED32" s="219"/>
    </row>
    <row r="33" spans="1:134" ht="16.5" customHeight="1" thickBot="1">
      <c r="A33" s="7" t="s">
        <v>103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I33" s="18"/>
      <c r="K33" s="21">
        <v>29</v>
      </c>
      <c r="L33" s="98" t="s">
        <v>39</v>
      </c>
      <c r="M33" s="98" t="s">
        <v>26</v>
      </c>
      <c r="N33" s="98" t="s">
        <v>36</v>
      </c>
      <c r="O33" s="98" t="s">
        <v>39</v>
      </c>
      <c r="P33" s="98" t="s">
        <v>163</v>
      </c>
      <c r="Q33" s="98" t="s">
        <v>39</v>
      </c>
      <c r="R33" s="37" t="s">
        <v>40</v>
      </c>
      <c r="T33" s="97">
        <f t="shared" si="23"/>
        <v>10</v>
      </c>
      <c r="U33" s="97">
        <f t="shared" si="24"/>
        <v>8</v>
      </c>
      <c r="V33" s="97">
        <f t="shared" si="25"/>
        <v>5</v>
      </c>
      <c r="W33" s="97">
        <f t="shared" si="26"/>
        <v>10</v>
      </c>
      <c r="X33" s="97">
        <f t="shared" si="27"/>
        <v>7</v>
      </c>
      <c r="Y33" s="97">
        <f t="shared" si="28"/>
        <v>10</v>
      </c>
      <c r="Z33" s="97">
        <f t="shared" si="29"/>
        <v>11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  <c r="AT33" s="7" t="s">
        <v>103</v>
      </c>
      <c r="AU33" s="13">
        <v>0</v>
      </c>
      <c r="AV33" s="13">
        <v>105</v>
      </c>
      <c r="AW33" s="13">
        <v>45</v>
      </c>
      <c r="AX33" s="13">
        <v>175</v>
      </c>
      <c r="AY33" s="13">
        <v>135</v>
      </c>
      <c r="AZ33" s="13">
        <v>0</v>
      </c>
      <c r="BB33" s="18"/>
      <c r="BD33" s="21">
        <v>29</v>
      </c>
      <c r="BE33" s="98" t="s">
        <v>39</v>
      </c>
      <c r="BF33" s="98" t="s">
        <v>26</v>
      </c>
      <c r="BG33" s="98" t="s">
        <v>36</v>
      </c>
      <c r="BH33" s="98" t="s">
        <v>39</v>
      </c>
      <c r="BI33" s="98" t="s">
        <v>163</v>
      </c>
      <c r="BJ33" s="98" t="s">
        <v>39</v>
      </c>
      <c r="BK33" s="37" t="s">
        <v>40</v>
      </c>
      <c r="BM33" s="97">
        <f t="shared" si="37"/>
        <v>10</v>
      </c>
      <c r="BN33" s="97">
        <f t="shared" si="38"/>
        <v>8</v>
      </c>
      <c r="BO33" s="97">
        <f t="shared" si="39"/>
        <v>5</v>
      </c>
      <c r="BP33" s="97">
        <f t="shared" si="40"/>
        <v>10</v>
      </c>
      <c r="BQ33" s="97">
        <f t="shared" si="41"/>
        <v>7</v>
      </c>
      <c r="BR33" s="97">
        <f t="shared" si="42"/>
        <v>10</v>
      </c>
      <c r="BS33" s="97">
        <f t="shared" si="43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65" t="s">
        <v>53</v>
      </c>
      <c r="CD33" s="66" t="s">
        <v>13</v>
      </c>
      <c r="CE33" s="66" t="s">
        <v>14</v>
      </c>
      <c r="CF33" s="66" t="s">
        <v>15</v>
      </c>
      <c r="CG33" s="66" t="s">
        <v>16</v>
      </c>
      <c r="CH33" s="66" t="s">
        <v>17</v>
      </c>
      <c r="CI33" s="66" t="s">
        <v>59</v>
      </c>
      <c r="CJ33" s="67" t="s">
        <v>79</v>
      </c>
      <c r="CK33" s="68" t="s">
        <v>4</v>
      </c>
      <c r="CM33" s="7" t="s">
        <v>103</v>
      </c>
      <c r="CN33" s="13">
        <v>0</v>
      </c>
      <c r="CO33" s="13">
        <v>105</v>
      </c>
      <c r="CP33" s="13">
        <v>45</v>
      </c>
      <c r="CQ33" s="13">
        <v>175</v>
      </c>
      <c r="CR33" s="13">
        <v>135</v>
      </c>
      <c r="CS33" s="13">
        <v>0</v>
      </c>
      <c r="CU33" s="18"/>
      <c r="CW33" s="21">
        <v>29</v>
      </c>
      <c r="CX33" s="98" t="s">
        <v>39</v>
      </c>
      <c r="CY33" s="98" t="s">
        <v>26</v>
      </c>
      <c r="CZ33" s="98" t="s">
        <v>36</v>
      </c>
      <c r="DA33" s="98" t="s">
        <v>39</v>
      </c>
      <c r="DB33" s="98" t="s">
        <v>163</v>
      </c>
      <c r="DC33" s="98" t="s">
        <v>39</v>
      </c>
      <c r="DD33" s="37" t="s">
        <v>40</v>
      </c>
      <c r="DF33" s="97">
        <f t="shared" si="45"/>
        <v>10</v>
      </c>
      <c r="DG33" s="97">
        <f t="shared" si="10"/>
        <v>8</v>
      </c>
      <c r="DH33" s="97">
        <f t="shared" si="11"/>
        <v>5</v>
      </c>
      <c r="DI33" s="97">
        <f t="shared" si="12"/>
        <v>10</v>
      </c>
      <c r="DJ33" s="97">
        <f t="shared" si="13"/>
        <v>7</v>
      </c>
      <c r="DK33" s="97">
        <f t="shared" si="14"/>
        <v>10</v>
      </c>
      <c r="DL33" s="97">
        <f t="shared" si="15"/>
        <v>11</v>
      </c>
      <c r="DN33" s="25">
        <v>1</v>
      </c>
      <c r="DO33" s="25">
        <v>1</v>
      </c>
      <c r="DP33" s="25">
        <v>1</v>
      </c>
      <c r="DQ33" s="25">
        <v>1</v>
      </c>
      <c r="DR33" s="25">
        <v>1</v>
      </c>
      <c r="DS33" s="25">
        <v>1</v>
      </c>
      <c r="DT33" s="7">
        <v>1</v>
      </c>
      <c r="DV33" s="65" t="s">
        <v>53</v>
      </c>
      <c r="DW33" s="66" t="s">
        <v>13</v>
      </c>
      <c r="DX33" s="66" t="s">
        <v>14</v>
      </c>
      <c r="DY33" s="66" t="s">
        <v>15</v>
      </c>
      <c r="DZ33" s="66" t="s">
        <v>16</v>
      </c>
      <c r="EA33" s="66" t="s">
        <v>17</v>
      </c>
      <c r="EB33" s="66" t="s">
        <v>59</v>
      </c>
      <c r="EC33" s="67" t="s">
        <v>79</v>
      </c>
      <c r="ED33" s="68" t="s">
        <v>4</v>
      </c>
    </row>
    <row r="34" spans="1:134" ht="16.5" customHeight="1">
      <c r="A34" s="7" t="s">
        <v>106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K34" s="22">
        <v>30</v>
      </c>
      <c r="L34" s="98" t="s">
        <v>36</v>
      </c>
      <c r="M34" s="98" t="s">
        <v>40</v>
      </c>
      <c r="N34" s="98" t="s">
        <v>33</v>
      </c>
      <c r="O34" s="98" t="s">
        <v>38</v>
      </c>
      <c r="P34" s="98" t="s">
        <v>38</v>
      </c>
      <c r="Q34" s="98" t="s">
        <v>39</v>
      </c>
      <c r="R34" s="98" t="s">
        <v>40</v>
      </c>
      <c r="T34" s="97">
        <f t="shared" si="23"/>
        <v>5</v>
      </c>
      <c r="U34" s="97">
        <f t="shared" si="24"/>
        <v>11</v>
      </c>
      <c r="V34" s="97">
        <f t="shared" si="25"/>
        <v>2</v>
      </c>
      <c r="W34" s="97">
        <f t="shared" si="26"/>
        <v>9</v>
      </c>
      <c r="X34" s="97">
        <f t="shared" si="27"/>
        <v>9</v>
      </c>
      <c r="Y34" s="97">
        <f t="shared" si="28"/>
        <v>10</v>
      </c>
      <c r="Z34" s="97">
        <f t="shared" si="29"/>
        <v>11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  <c r="AT34" s="7" t="s">
        <v>106</v>
      </c>
      <c r="AU34" s="13">
        <v>0</v>
      </c>
      <c r="AV34" s="13">
        <v>105</v>
      </c>
      <c r="AW34" s="13">
        <v>45</v>
      </c>
      <c r="AX34" s="13">
        <v>175</v>
      </c>
      <c r="AY34" s="13">
        <v>135</v>
      </c>
      <c r="AZ34" s="13">
        <v>0</v>
      </c>
      <c r="BD34" s="22">
        <v>30</v>
      </c>
      <c r="BE34" s="98" t="s">
        <v>36</v>
      </c>
      <c r="BF34" s="98" t="s">
        <v>40</v>
      </c>
      <c r="BG34" s="98" t="s">
        <v>40</v>
      </c>
      <c r="BH34" s="98" t="s">
        <v>38</v>
      </c>
      <c r="BI34" s="98" t="s">
        <v>38</v>
      </c>
      <c r="BJ34" s="98" t="s">
        <v>39</v>
      </c>
      <c r="BK34" s="98" t="s">
        <v>40</v>
      </c>
      <c r="BM34" s="97">
        <f t="shared" si="37"/>
        <v>5</v>
      </c>
      <c r="BN34" s="97">
        <f t="shared" si="38"/>
        <v>11</v>
      </c>
      <c r="BO34" s="97">
        <f t="shared" si="39"/>
        <v>11</v>
      </c>
      <c r="BP34" s="97">
        <f t="shared" si="40"/>
        <v>9</v>
      </c>
      <c r="BQ34" s="97">
        <f t="shared" si="41"/>
        <v>9</v>
      </c>
      <c r="BR34" s="97">
        <f t="shared" si="42"/>
        <v>10</v>
      </c>
      <c r="BS34" s="97">
        <f t="shared" si="43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69" t="s">
        <v>81</v>
      </c>
      <c r="CD34" s="70">
        <v>0</v>
      </c>
      <c r="CE34" s="71">
        <v>0</v>
      </c>
      <c r="CF34" s="71">
        <v>0</v>
      </c>
      <c r="CG34" s="71">
        <v>0</v>
      </c>
      <c r="CH34" s="71">
        <v>0</v>
      </c>
      <c r="CI34" s="71">
        <v>0</v>
      </c>
      <c r="CJ34" s="72">
        <v>0</v>
      </c>
      <c r="CK34" s="73">
        <v>0</v>
      </c>
      <c r="CM34" s="7" t="s">
        <v>106</v>
      </c>
      <c r="CN34" s="13">
        <v>0</v>
      </c>
      <c r="CO34" s="13">
        <v>105</v>
      </c>
      <c r="CP34" s="13">
        <v>45</v>
      </c>
      <c r="CQ34" s="13">
        <v>175</v>
      </c>
      <c r="CR34" s="13">
        <v>135</v>
      </c>
      <c r="CS34" s="13">
        <v>0</v>
      </c>
      <c r="CW34" s="22">
        <v>30</v>
      </c>
      <c r="CX34" s="98" t="s">
        <v>36</v>
      </c>
      <c r="CY34" s="98" t="s">
        <v>40</v>
      </c>
      <c r="CZ34" s="98" t="s">
        <v>40</v>
      </c>
      <c r="DA34" s="98" t="s">
        <v>38</v>
      </c>
      <c r="DB34" s="98" t="s">
        <v>38</v>
      </c>
      <c r="DC34" s="98" t="s">
        <v>39</v>
      </c>
      <c r="DD34" s="98" t="s">
        <v>40</v>
      </c>
      <c r="DF34" s="97">
        <f t="shared" si="45"/>
        <v>5</v>
      </c>
      <c r="DG34" s="97">
        <f t="shared" si="10"/>
        <v>11</v>
      </c>
      <c r="DH34" s="97">
        <f t="shared" si="11"/>
        <v>11</v>
      </c>
      <c r="DI34" s="97">
        <f t="shared" si="12"/>
        <v>9</v>
      </c>
      <c r="DJ34" s="97">
        <f t="shared" si="13"/>
        <v>9</v>
      </c>
      <c r="DK34" s="97">
        <f t="shared" si="14"/>
        <v>10</v>
      </c>
      <c r="DL34" s="97">
        <f t="shared" si="15"/>
        <v>11</v>
      </c>
      <c r="DN34" s="25">
        <v>1</v>
      </c>
      <c r="DO34" s="25">
        <v>1</v>
      </c>
      <c r="DP34" s="25">
        <v>1</v>
      </c>
      <c r="DQ34" s="25">
        <v>1</v>
      </c>
      <c r="DR34" s="25">
        <v>1</v>
      </c>
      <c r="DS34" s="25">
        <v>1</v>
      </c>
      <c r="DT34" s="7">
        <v>1</v>
      </c>
      <c r="DV34" s="69" t="s">
        <v>81</v>
      </c>
      <c r="DW34" s="70">
        <v>0</v>
      </c>
      <c r="DX34" s="71">
        <v>0</v>
      </c>
      <c r="DY34" s="71">
        <v>0</v>
      </c>
      <c r="DZ34" s="71">
        <v>0</v>
      </c>
      <c r="EA34" s="71">
        <v>0</v>
      </c>
      <c r="EB34" s="71">
        <v>0</v>
      </c>
      <c r="EC34" s="72">
        <v>0</v>
      </c>
      <c r="ED34" s="73">
        <v>0</v>
      </c>
    </row>
    <row r="35" spans="1:134" ht="16.5" customHeight="1">
      <c r="A35" s="7" t="s">
        <v>104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K35" s="21">
        <v>31</v>
      </c>
      <c r="L35" s="98" t="s">
        <v>163</v>
      </c>
      <c r="M35" s="98" t="s">
        <v>39</v>
      </c>
      <c r="N35" s="98" t="s">
        <v>40</v>
      </c>
      <c r="O35" s="98" t="s">
        <v>203</v>
      </c>
      <c r="P35" s="98" t="s">
        <v>41</v>
      </c>
      <c r="Q35" s="98" t="s">
        <v>41</v>
      </c>
      <c r="R35" s="37" t="s">
        <v>40</v>
      </c>
      <c r="T35" s="97">
        <f t="shared" si="23"/>
        <v>7</v>
      </c>
      <c r="U35" s="97">
        <f t="shared" si="24"/>
        <v>10</v>
      </c>
      <c r="V35" s="97">
        <f t="shared" si="25"/>
        <v>11</v>
      </c>
      <c r="W35" s="97">
        <f t="shared" si="26"/>
        <v>20</v>
      </c>
      <c r="X35" s="97">
        <f t="shared" si="27"/>
        <v>12</v>
      </c>
      <c r="Y35" s="97">
        <f t="shared" si="28"/>
        <v>12</v>
      </c>
      <c r="Z35" s="97">
        <f t="shared" si="29"/>
        <v>11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75">
        <v>5</v>
      </c>
      <c r="AL35" s="76">
        <v>5</v>
      </c>
      <c r="AM35" s="76">
        <v>5</v>
      </c>
      <c r="AN35" s="76">
        <v>5</v>
      </c>
      <c r="AO35" s="76">
        <v>5</v>
      </c>
      <c r="AP35" s="76">
        <v>5</v>
      </c>
      <c r="AQ35" s="77">
        <v>0</v>
      </c>
      <c r="AR35" s="78">
        <v>1</v>
      </c>
      <c r="AT35" s="7" t="s">
        <v>104</v>
      </c>
      <c r="AU35" s="13">
        <v>0</v>
      </c>
      <c r="AV35" s="13">
        <v>675</v>
      </c>
      <c r="AW35" s="13">
        <v>195</v>
      </c>
      <c r="AX35" s="13">
        <v>475</v>
      </c>
      <c r="AY35" s="13">
        <v>1075</v>
      </c>
      <c r="AZ35" s="13">
        <v>0</v>
      </c>
      <c r="BD35" s="21">
        <v>31</v>
      </c>
      <c r="BE35" s="98" t="s">
        <v>163</v>
      </c>
      <c r="BF35" s="98" t="s">
        <v>39</v>
      </c>
      <c r="BG35" s="98" t="s">
        <v>40</v>
      </c>
      <c r="BH35" s="98" t="s">
        <v>203</v>
      </c>
      <c r="BI35" s="98" t="s">
        <v>41</v>
      </c>
      <c r="BJ35" s="98" t="s">
        <v>41</v>
      </c>
      <c r="BK35" s="37" t="s">
        <v>40</v>
      </c>
      <c r="BM35" s="97">
        <f t="shared" si="37"/>
        <v>7</v>
      </c>
      <c r="BN35" s="97">
        <f t="shared" si="38"/>
        <v>10</v>
      </c>
      <c r="BO35" s="97">
        <f t="shared" si="39"/>
        <v>11</v>
      </c>
      <c r="BP35" s="97">
        <f t="shared" si="40"/>
        <v>20</v>
      </c>
      <c r="BQ35" s="97">
        <f t="shared" si="41"/>
        <v>12</v>
      </c>
      <c r="BR35" s="97">
        <f t="shared" si="42"/>
        <v>12</v>
      </c>
      <c r="BS35" s="97">
        <f t="shared" si="43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74" t="s">
        <v>20</v>
      </c>
      <c r="CD35" s="75">
        <v>5</v>
      </c>
      <c r="CE35" s="76">
        <v>5</v>
      </c>
      <c r="CF35" s="76">
        <v>5</v>
      </c>
      <c r="CG35" s="76">
        <v>5</v>
      </c>
      <c r="CH35" s="76">
        <v>5</v>
      </c>
      <c r="CI35" s="76">
        <v>5</v>
      </c>
      <c r="CJ35" s="77">
        <v>0</v>
      </c>
      <c r="CK35" s="78">
        <v>1</v>
      </c>
      <c r="CM35" s="7" t="s">
        <v>104</v>
      </c>
      <c r="CN35" s="13">
        <v>0</v>
      </c>
      <c r="CO35" s="13">
        <v>675</v>
      </c>
      <c r="CP35" s="13">
        <v>195</v>
      </c>
      <c r="CQ35" s="13">
        <v>475</v>
      </c>
      <c r="CR35" s="13">
        <v>1075</v>
      </c>
      <c r="CS35" s="13">
        <v>0</v>
      </c>
      <c r="CW35" s="21">
        <v>31</v>
      </c>
      <c r="CX35" s="98" t="s">
        <v>163</v>
      </c>
      <c r="CY35" s="98" t="s">
        <v>39</v>
      </c>
      <c r="CZ35" s="98" t="s">
        <v>40</v>
      </c>
      <c r="DA35" s="98" t="s">
        <v>203</v>
      </c>
      <c r="DB35" s="98" t="s">
        <v>41</v>
      </c>
      <c r="DC35" s="98" t="s">
        <v>41</v>
      </c>
      <c r="DD35" s="37" t="s">
        <v>40</v>
      </c>
      <c r="DF35" s="97">
        <f t="shared" si="45"/>
        <v>7</v>
      </c>
      <c r="DG35" s="97">
        <f t="shared" si="10"/>
        <v>10</v>
      </c>
      <c r="DH35" s="97">
        <f t="shared" si="11"/>
        <v>11</v>
      </c>
      <c r="DI35" s="97">
        <f t="shared" si="12"/>
        <v>20</v>
      </c>
      <c r="DJ35" s="97">
        <f t="shared" si="13"/>
        <v>12</v>
      </c>
      <c r="DK35" s="97">
        <f t="shared" si="14"/>
        <v>12</v>
      </c>
      <c r="DL35" s="97">
        <f t="shared" si="15"/>
        <v>11</v>
      </c>
      <c r="DN35" s="25">
        <v>1</v>
      </c>
      <c r="DO35" s="25">
        <v>1</v>
      </c>
      <c r="DP35" s="25">
        <v>1</v>
      </c>
      <c r="DQ35" s="25">
        <v>1</v>
      </c>
      <c r="DR35" s="25">
        <v>1</v>
      </c>
      <c r="DS35" s="25">
        <v>1</v>
      </c>
      <c r="DT35" s="7">
        <v>1</v>
      </c>
      <c r="DV35" s="74" t="s">
        <v>20</v>
      </c>
      <c r="DW35" s="75">
        <v>5</v>
      </c>
      <c r="DX35" s="76">
        <v>5</v>
      </c>
      <c r="DY35" s="76">
        <v>5</v>
      </c>
      <c r="DZ35" s="76">
        <v>5</v>
      </c>
      <c r="EA35" s="76">
        <v>5</v>
      </c>
      <c r="EB35" s="76">
        <v>5</v>
      </c>
      <c r="EC35" s="77">
        <v>0</v>
      </c>
      <c r="ED35" s="78">
        <v>1</v>
      </c>
    </row>
    <row r="36" spans="1:134" ht="16.5" customHeight="1">
      <c r="A36" s="7" t="s">
        <v>107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K36" s="22">
        <v>32</v>
      </c>
      <c r="L36" s="98" t="s">
        <v>163</v>
      </c>
      <c r="M36" s="98" t="s">
        <v>39</v>
      </c>
      <c r="N36" s="98" t="s">
        <v>163</v>
      </c>
      <c r="O36" s="98" t="s">
        <v>26</v>
      </c>
      <c r="P36" s="98" t="s">
        <v>41</v>
      </c>
      <c r="Q36" s="98" t="s">
        <v>40</v>
      </c>
      <c r="R36" s="37" t="s">
        <v>78</v>
      </c>
      <c r="T36" s="97">
        <f t="shared" si="23"/>
        <v>7</v>
      </c>
      <c r="U36" s="97">
        <f t="shared" si="24"/>
        <v>10</v>
      </c>
      <c r="V36" s="97">
        <f t="shared" si="25"/>
        <v>7</v>
      </c>
      <c r="W36" s="97">
        <f t="shared" si="26"/>
        <v>8</v>
      </c>
      <c r="X36" s="97">
        <f t="shared" si="27"/>
        <v>12</v>
      </c>
      <c r="Y36" s="97">
        <f t="shared" si="28"/>
        <v>11</v>
      </c>
      <c r="Z36" s="97">
        <f t="shared" si="29"/>
        <v>6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74" t="s">
        <v>21</v>
      </c>
      <c r="AK36" s="75">
        <v>15</v>
      </c>
      <c r="AL36" s="76">
        <v>42</v>
      </c>
      <c r="AM36" s="76">
        <v>20</v>
      </c>
      <c r="AN36" s="76">
        <v>10</v>
      </c>
      <c r="AO36" s="76">
        <v>40</v>
      </c>
      <c r="AP36" s="76">
        <v>5</v>
      </c>
      <c r="AQ36" s="77">
        <v>1</v>
      </c>
      <c r="AR36" s="78">
        <v>2</v>
      </c>
      <c r="AT36" s="7" t="s">
        <v>107</v>
      </c>
      <c r="AU36" s="13">
        <v>0</v>
      </c>
      <c r="AV36" s="13">
        <v>675</v>
      </c>
      <c r="AW36" s="13">
        <v>195</v>
      </c>
      <c r="AX36" s="13">
        <v>475</v>
      </c>
      <c r="AY36" s="13">
        <v>1075</v>
      </c>
      <c r="AZ36" s="13">
        <v>0</v>
      </c>
      <c r="BD36" s="22">
        <v>32</v>
      </c>
      <c r="BE36" s="98" t="s">
        <v>163</v>
      </c>
      <c r="BF36" s="98" t="s">
        <v>39</v>
      </c>
      <c r="BG36" s="98" t="s">
        <v>26</v>
      </c>
      <c r="BH36" s="98" t="s">
        <v>26</v>
      </c>
      <c r="BI36" s="98" t="s">
        <v>41</v>
      </c>
      <c r="BJ36" s="98" t="s">
        <v>40</v>
      </c>
      <c r="BK36" s="37" t="s">
        <v>78</v>
      </c>
      <c r="BM36" s="97">
        <f t="shared" si="37"/>
        <v>7</v>
      </c>
      <c r="BN36" s="97">
        <f t="shared" si="38"/>
        <v>10</v>
      </c>
      <c r="BO36" s="97">
        <f t="shared" si="39"/>
        <v>8</v>
      </c>
      <c r="BP36" s="97">
        <f t="shared" si="40"/>
        <v>8</v>
      </c>
      <c r="BQ36" s="97">
        <f t="shared" si="41"/>
        <v>12</v>
      </c>
      <c r="BR36" s="97">
        <f t="shared" si="42"/>
        <v>11</v>
      </c>
      <c r="BS36" s="97">
        <f t="shared" si="43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74" t="s">
        <v>21</v>
      </c>
      <c r="CD36" s="75">
        <v>15</v>
      </c>
      <c r="CE36" s="76">
        <v>42</v>
      </c>
      <c r="CF36" s="76">
        <v>20</v>
      </c>
      <c r="CG36" s="76">
        <v>10</v>
      </c>
      <c r="CH36" s="76">
        <v>40</v>
      </c>
      <c r="CI36" s="76">
        <v>5</v>
      </c>
      <c r="CJ36" s="77">
        <v>1</v>
      </c>
      <c r="CK36" s="78">
        <v>2</v>
      </c>
      <c r="CM36" s="7" t="s">
        <v>107</v>
      </c>
      <c r="CN36" s="13">
        <v>0</v>
      </c>
      <c r="CO36" s="13">
        <v>675</v>
      </c>
      <c r="CP36" s="13">
        <v>195</v>
      </c>
      <c r="CQ36" s="13">
        <v>475</v>
      </c>
      <c r="CR36" s="13">
        <v>1075</v>
      </c>
      <c r="CS36" s="13">
        <v>0</v>
      </c>
      <c r="CW36" s="22">
        <v>32</v>
      </c>
      <c r="CX36" s="98" t="s">
        <v>163</v>
      </c>
      <c r="CY36" s="98" t="s">
        <v>39</v>
      </c>
      <c r="CZ36" s="98" t="s">
        <v>26</v>
      </c>
      <c r="DA36" s="98" t="s">
        <v>26</v>
      </c>
      <c r="DB36" s="98" t="s">
        <v>41</v>
      </c>
      <c r="DC36" s="98" t="s">
        <v>40</v>
      </c>
      <c r="DD36" s="37" t="s">
        <v>163</v>
      </c>
      <c r="DF36" s="97">
        <f t="shared" si="45"/>
        <v>7</v>
      </c>
      <c r="DG36" s="97">
        <f t="shared" si="10"/>
        <v>10</v>
      </c>
      <c r="DH36" s="97">
        <f t="shared" si="11"/>
        <v>8</v>
      </c>
      <c r="DI36" s="97">
        <f t="shared" si="12"/>
        <v>8</v>
      </c>
      <c r="DJ36" s="97">
        <f t="shared" si="13"/>
        <v>12</v>
      </c>
      <c r="DK36" s="97">
        <f t="shared" si="14"/>
        <v>11</v>
      </c>
      <c r="DL36" s="97">
        <f t="shared" si="15"/>
        <v>7</v>
      </c>
      <c r="DN36" s="25">
        <v>1</v>
      </c>
      <c r="DO36" s="25">
        <v>1</v>
      </c>
      <c r="DP36" s="25">
        <v>1</v>
      </c>
      <c r="DQ36" s="25">
        <v>1</v>
      </c>
      <c r="DR36" s="25">
        <v>1</v>
      </c>
      <c r="DS36" s="25">
        <v>1</v>
      </c>
      <c r="DT36" s="7">
        <v>1</v>
      </c>
      <c r="DV36" s="74" t="s">
        <v>21</v>
      </c>
      <c r="DW36" s="75">
        <v>15</v>
      </c>
      <c r="DX36" s="76">
        <v>42</v>
      </c>
      <c r="DY36" s="76">
        <v>20</v>
      </c>
      <c r="DZ36" s="76">
        <v>10</v>
      </c>
      <c r="EA36" s="76">
        <v>40</v>
      </c>
      <c r="EB36" s="76">
        <v>5</v>
      </c>
      <c r="EC36" s="77">
        <v>1</v>
      </c>
      <c r="ED36" s="78">
        <v>2</v>
      </c>
    </row>
    <row r="37" spans="1:134" ht="16.5" customHeight="1">
      <c r="A37" s="7" t="s">
        <v>105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K37" s="21">
        <v>33</v>
      </c>
      <c r="L37" s="98" t="s">
        <v>40</v>
      </c>
      <c r="M37" s="98" t="s">
        <v>39</v>
      </c>
      <c r="N37" s="98" t="s">
        <v>40</v>
      </c>
      <c r="O37" s="98" t="s">
        <v>39</v>
      </c>
      <c r="P37" s="98" t="s">
        <v>38</v>
      </c>
      <c r="Q37" s="98" t="s">
        <v>26</v>
      </c>
      <c r="R37" s="37" t="s">
        <v>78</v>
      </c>
      <c r="T37" s="97">
        <f t="shared" si="23"/>
        <v>11</v>
      </c>
      <c r="U37" s="97">
        <f t="shared" si="24"/>
        <v>10</v>
      </c>
      <c r="V37" s="97">
        <f t="shared" si="25"/>
        <v>11</v>
      </c>
      <c r="W37" s="97">
        <f t="shared" si="26"/>
        <v>10</v>
      </c>
      <c r="X37" s="97">
        <f t="shared" si="27"/>
        <v>9</v>
      </c>
      <c r="Y37" s="97">
        <f t="shared" si="28"/>
        <v>8</v>
      </c>
      <c r="Z37" s="97">
        <f t="shared" si="29"/>
        <v>6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75">
        <v>40</v>
      </c>
      <c r="AL37" s="76">
        <v>15</v>
      </c>
      <c r="AM37" s="76">
        <v>40</v>
      </c>
      <c r="AN37" s="76">
        <v>42</v>
      </c>
      <c r="AO37" s="76">
        <v>40</v>
      </c>
      <c r="AP37" s="76">
        <v>5</v>
      </c>
      <c r="AQ37" s="77">
        <v>1</v>
      </c>
      <c r="AR37" s="78">
        <v>3</v>
      </c>
      <c r="AT37" s="7" t="s">
        <v>105</v>
      </c>
      <c r="AU37" s="13">
        <v>0</v>
      </c>
      <c r="AV37" s="13">
        <v>463</v>
      </c>
      <c r="AW37" s="13">
        <v>303</v>
      </c>
      <c r="AX37" s="13">
        <v>330</v>
      </c>
      <c r="AY37" s="13">
        <v>727</v>
      </c>
      <c r="AZ37" s="13">
        <v>0</v>
      </c>
      <c r="BD37" s="21">
        <v>33</v>
      </c>
      <c r="BE37" s="98" t="s">
        <v>40</v>
      </c>
      <c r="BF37" s="98" t="s">
        <v>39</v>
      </c>
      <c r="BG37" s="98" t="s">
        <v>40</v>
      </c>
      <c r="BH37" s="98" t="s">
        <v>39</v>
      </c>
      <c r="BI37" s="98" t="s">
        <v>38</v>
      </c>
      <c r="BJ37" s="98" t="s">
        <v>26</v>
      </c>
      <c r="BK37" s="37" t="s">
        <v>78</v>
      </c>
      <c r="BM37" s="97">
        <f t="shared" si="37"/>
        <v>11</v>
      </c>
      <c r="BN37" s="97">
        <f t="shared" si="38"/>
        <v>10</v>
      </c>
      <c r="BO37" s="97">
        <f t="shared" si="39"/>
        <v>11</v>
      </c>
      <c r="BP37" s="97">
        <f t="shared" si="40"/>
        <v>10</v>
      </c>
      <c r="BQ37" s="97">
        <f t="shared" si="41"/>
        <v>9</v>
      </c>
      <c r="BR37" s="97">
        <f t="shared" si="42"/>
        <v>8</v>
      </c>
      <c r="BS37" s="97">
        <f t="shared" si="43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74" t="s">
        <v>22</v>
      </c>
      <c r="CD37" s="75">
        <v>40</v>
      </c>
      <c r="CE37" s="76">
        <v>15</v>
      </c>
      <c r="CF37" s="76">
        <v>40</v>
      </c>
      <c r="CG37" s="76">
        <v>42</v>
      </c>
      <c r="CH37" s="76">
        <v>40</v>
      </c>
      <c r="CI37" s="76">
        <v>5</v>
      </c>
      <c r="CJ37" s="77">
        <v>1</v>
      </c>
      <c r="CK37" s="78">
        <v>3</v>
      </c>
      <c r="CM37" s="7" t="s">
        <v>105</v>
      </c>
      <c r="CN37" s="13">
        <v>0</v>
      </c>
      <c r="CO37" s="13">
        <v>463</v>
      </c>
      <c r="CP37" s="13">
        <v>303</v>
      </c>
      <c r="CQ37" s="13">
        <v>330</v>
      </c>
      <c r="CR37" s="13">
        <v>727</v>
      </c>
      <c r="CS37" s="13">
        <v>0</v>
      </c>
      <c r="CW37" s="21">
        <v>33</v>
      </c>
      <c r="CX37" s="98" t="s">
        <v>40</v>
      </c>
      <c r="CY37" s="98" t="s">
        <v>39</v>
      </c>
      <c r="CZ37" s="98" t="s">
        <v>40</v>
      </c>
      <c r="DA37" s="98" t="s">
        <v>39</v>
      </c>
      <c r="DB37" s="98" t="s">
        <v>38</v>
      </c>
      <c r="DC37" s="98" t="s">
        <v>26</v>
      </c>
      <c r="DD37" s="37" t="s">
        <v>78</v>
      </c>
      <c r="DF37" s="97">
        <f t="shared" si="45"/>
        <v>11</v>
      </c>
      <c r="DG37" s="97">
        <f t="shared" si="10"/>
        <v>10</v>
      </c>
      <c r="DH37" s="97">
        <f t="shared" si="11"/>
        <v>11</v>
      </c>
      <c r="DI37" s="97">
        <f t="shared" si="12"/>
        <v>10</v>
      </c>
      <c r="DJ37" s="97">
        <f t="shared" si="13"/>
        <v>9</v>
      </c>
      <c r="DK37" s="97">
        <f t="shared" si="14"/>
        <v>8</v>
      </c>
      <c r="DL37" s="97">
        <f t="shared" si="15"/>
        <v>6</v>
      </c>
      <c r="DN37" s="25">
        <v>1</v>
      </c>
      <c r="DO37" s="25">
        <v>1</v>
      </c>
      <c r="DP37" s="25">
        <v>1</v>
      </c>
      <c r="DQ37" s="25">
        <v>1</v>
      </c>
      <c r="DR37" s="25">
        <v>1</v>
      </c>
      <c r="DS37" s="25">
        <v>1</v>
      </c>
      <c r="DT37" s="7">
        <v>1</v>
      </c>
      <c r="DV37" s="74" t="s">
        <v>22</v>
      </c>
      <c r="DW37" s="75">
        <v>40</v>
      </c>
      <c r="DX37" s="76">
        <v>15</v>
      </c>
      <c r="DY37" s="76">
        <v>40</v>
      </c>
      <c r="DZ37" s="76">
        <v>42</v>
      </c>
      <c r="EA37" s="76">
        <v>40</v>
      </c>
      <c r="EB37" s="76">
        <v>5</v>
      </c>
      <c r="EC37" s="77">
        <v>1</v>
      </c>
      <c r="ED37" s="78">
        <v>3</v>
      </c>
    </row>
    <row r="38" spans="1:134" ht="16.5" customHeight="1">
      <c r="A38" s="7" t="s">
        <v>108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K38" s="22">
        <v>34</v>
      </c>
      <c r="L38" s="98" t="s">
        <v>38</v>
      </c>
      <c r="M38" s="98" t="s">
        <v>36</v>
      </c>
      <c r="N38" s="98" t="s">
        <v>36</v>
      </c>
      <c r="O38" s="98" t="s">
        <v>41</v>
      </c>
      <c r="P38" s="98" t="s">
        <v>38</v>
      </c>
      <c r="Q38" s="98" t="s">
        <v>26</v>
      </c>
      <c r="R38" s="37" t="s">
        <v>78</v>
      </c>
      <c r="T38" s="97">
        <f t="shared" si="23"/>
        <v>9</v>
      </c>
      <c r="U38" s="97">
        <f t="shared" si="24"/>
        <v>5</v>
      </c>
      <c r="V38" s="97">
        <f t="shared" si="25"/>
        <v>5</v>
      </c>
      <c r="W38" s="97">
        <f t="shared" si="26"/>
        <v>12</v>
      </c>
      <c r="X38" s="97">
        <f t="shared" si="27"/>
        <v>9</v>
      </c>
      <c r="Y38" s="97">
        <f t="shared" si="28"/>
        <v>8</v>
      </c>
      <c r="Z38" s="97">
        <f t="shared" si="29"/>
        <v>6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75">
        <v>15</v>
      </c>
      <c r="AL38" s="76">
        <v>40</v>
      </c>
      <c r="AM38" s="76">
        <v>20</v>
      </c>
      <c r="AN38" s="76">
        <v>10</v>
      </c>
      <c r="AO38" s="76">
        <v>5</v>
      </c>
      <c r="AP38" s="76">
        <v>40</v>
      </c>
      <c r="AQ38" s="77">
        <v>1</v>
      </c>
      <c r="AR38" s="78">
        <v>4</v>
      </c>
      <c r="AT38" s="7" t="s">
        <v>108</v>
      </c>
      <c r="AU38" s="13">
        <v>0</v>
      </c>
      <c r="AV38" s="13">
        <v>463</v>
      </c>
      <c r="AW38" s="13">
        <v>303</v>
      </c>
      <c r="AX38" s="13">
        <v>330</v>
      </c>
      <c r="AY38" s="13">
        <v>727</v>
      </c>
      <c r="AZ38" s="13">
        <v>0</v>
      </c>
      <c r="BD38" s="22">
        <v>34</v>
      </c>
      <c r="BE38" s="98" t="s">
        <v>38</v>
      </c>
      <c r="BF38" s="98" t="s">
        <v>78</v>
      </c>
      <c r="BG38" s="98" t="s">
        <v>36</v>
      </c>
      <c r="BH38" s="98" t="s">
        <v>41</v>
      </c>
      <c r="BI38" s="98" t="s">
        <v>38</v>
      </c>
      <c r="BJ38" s="98" t="s">
        <v>26</v>
      </c>
      <c r="BK38" s="37" t="s">
        <v>78</v>
      </c>
      <c r="BM38" s="97">
        <f t="shared" si="37"/>
        <v>9</v>
      </c>
      <c r="BN38" s="97">
        <f t="shared" si="38"/>
        <v>6</v>
      </c>
      <c r="BO38" s="97">
        <f t="shared" si="39"/>
        <v>5</v>
      </c>
      <c r="BP38" s="97">
        <f t="shared" si="40"/>
        <v>12</v>
      </c>
      <c r="BQ38" s="97">
        <f t="shared" si="41"/>
        <v>9</v>
      </c>
      <c r="BR38" s="97">
        <f t="shared" si="42"/>
        <v>8</v>
      </c>
      <c r="BS38" s="97">
        <f t="shared" si="43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74" t="s">
        <v>18</v>
      </c>
      <c r="CD38" s="75">
        <v>15</v>
      </c>
      <c r="CE38" s="76">
        <v>40</v>
      </c>
      <c r="CF38" s="76">
        <v>20</v>
      </c>
      <c r="CG38" s="76">
        <v>10</v>
      </c>
      <c r="CH38" s="76">
        <v>5</v>
      </c>
      <c r="CI38" s="76">
        <v>40</v>
      </c>
      <c r="CJ38" s="77">
        <v>1</v>
      </c>
      <c r="CK38" s="78">
        <v>4</v>
      </c>
      <c r="CM38" s="7" t="s">
        <v>108</v>
      </c>
      <c r="CN38" s="13">
        <v>0</v>
      </c>
      <c r="CO38" s="13">
        <v>463</v>
      </c>
      <c r="CP38" s="13">
        <v>303</v>
      </c>
      <c r="CQ38" s="13">
        <v>330</v>
      </c>
      <c r="CR38" s="13">
        <v>727</v>
      </c>
      <c r="CS38" s="13">
        <v>0</v>
      </c>
      <c r="CW38" s="22">
        <v>34</v>
      </c>
      <c r="CX38" s="98" t="s">
        <v>38</v>
      </c>
      <c r="CY38" s="98" t="s">
        <v>78</v>
      </c>
      <c r="CZ38" s="98" t="s">
        <v>36</v>
      </c>
      <c r="DA38" s="98" t="s">
        <v>41</v>
      </c>
      <c r="DB38" s="98" t="s">
        <v>38</v>
      </c>
      <c r="DC38" s="98" t="s">
        <v>26</v>
      </c>
      <c r="DD38" s="37" t="s">
        <v>78</v>
      </c>
      <c r="DF38" s="97">
        <f t="shared" si="45"/>
        <v>9</v>
      </c>
      <c r="DG38" s="97">
        <f t="shared" si="10"/>
        <v>6</v>
      </c>
      <c r="DH38" s="97">
        <f t="shared" si="11"/>
        <v>5</v>
      </c>
      <c r="DI38" s="97">
        <f t="shared" si="12"/>
        <v>12</v>
      </c>
      <c r="DJ38" s="97">
        <f t="shared" si="13"/>
        <v>9</v>
      </c>
      <c r="DK38" s="97">
        <f t="shared" si="14"/>
        <v>8</v>
      </c>
      <c r="DL38" s="97">
        <f t="shared" si="15"/>
        <v>6</v>
      </c>
      <c r="DN38" s="25">
        <v>1</v>
      </c>
      <c r="DO38" s="25">
        <v>1</v>
      </c>
      <c r="DP38" s="25">
        <v>1</v>
      </c>
      <c r="DQ38" s="25">
        <v>1</v>
      </c>
      <c r="DR38" s="25">
        <v>1</v>
      </c>
      <c r="DS38" s="25">
        <v>1</v>
      </c>
      <c r="DT38" s="7">
        <v>1</v>
      </c>
      <c r="DV38" s="74" t="s">
        <v>18</v>
      </c>
      <c r="DW38" s="75">
        <v>15</v>
      </c>
      <c r="DX38" s="76">
        <v>40</v>
      </c>
      <c r="DY38" s="76">
        <v>20</v>
      </c>
      <c r="DZ38" s="76">
        <v>10</v>
      </c>
      <c r="EA38" s="76">
        <v>5</v>
      </c>
      <c r="EB38" s="76">
        <v>40</v>
      </c>
      <c r="EC38" s="77">
        <v>1</v>
      </c>
      <c r="ED38" s="78">
        <v>4</v>
      </c>
    </row>
    <row r="39" spans="1:134" ht="16.5" customHeight="1">
      <c r="A39" s="7" t="s">
        <v>109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K39" s="21">
        <v>35</v>
      </c>
      <c r="L39" s="98" t="s">
        <v>78</v>
      </c>
      <c r="M39" s="98" t="s">
        <v>203</v>
      </c>
      <c r="N39" s="98" t="s">
        <v>36</v>
      </c>
      <c r="O39" s="98" t="s">
        <v>78</v>
      </c>
      <c r="P39" s="98" t="s">
        <v>163</v>
      </c>
      <c r="Q39" s="98" t="s">
        <v>26</v>
      </c>
      <c r="R39" s="37" t="s">
        <v>78</v>
      </c>
      <c r="T39" s="97">
        <f t="shared" si="23"/>
        <v>6</v>
      </c>
      <c r="U39" s="97">
        <f t="shared" si="24"/>
        <v>20</v>
      </c>
      <c r="V39" s="97">
        <f t="shared" si="25"/>
        <v>5</v>
      </c>
      <c r="W39" s="97">
        <f t="shared" si="26"/>
        <v>6</v>
      </c>
      <c r="X39" s="97">
        <f t="shared" si="27"/>
        <v>7</v>
      </c>
      <c r="Y39" s="97">
        <f t="shared" si="28"/>
        <v>8</v>
      </c>
      <c r="Z39" s="97">
        <f t="shared" si="29"/>
        <v>6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75">
        <v>40</v>
      </c>
      <c r="AL39" s="76">
        <v>15</v>
      </c>
      <c r="AM39" s="76">
        <v>40</v>
      </c>
      <c r="AN39" s="76">
        <v>10</v>
      </c>
      <c r="AO39" s="76">
        <v>5</v>
      </c>
      <c r="AP39" s="76">
        <v>40</v>
      </c>
      <c r="AQ39" s="77">
        <v>1</v>
      </c>
      <c r="AR39" s="78">
        <v>5</v>
      </c>
      <c r="AT39" s="7" t="s">
        <v>109</v>
      </c>
      <c r="AU39" s="13">
        <v>0</v>
      </c>
      <c r="AV39" s="13">
        <v>463</v>
      </c>
      <c r="AW39" s="13">
        <v>303</v>
      </c>
      <c r="AX39" s="13">
        <v>330</v>
      </c>
      <c r="AY39" s="13">
        <v>727</v>
      </c>
      <c r="AZ39" s="13">
        <v>0</v>
      </c>
      <c r="BD39" s="21">
        <v>35</v>
      </c>
      <c r="BE39" s="98" t="s">
        <v>78</v>
      </c>
      <c r="BF39" s="98" t="s">
        <v>203</v>
      </c>
      <c r="BG39" s="98" t="s">
        <v>36</v>
      </c>
      <c r="BH39" s="98" t="s">
        <v>78</v>
      </c>
      <c r="BI39" s="98" t="s">
        <v>163</v>
      </c>
      <c r="BJ39" s="98" t="s">
        <v>26</v>
      </c>
      <c r="BK39" s="37" t="s">
        <v>78</v>
      </c>
      <c r="BM39" s="97">
        <f t="shared" si="37"/>
        <v>6</v>
      </c>
      <c r="BN39" s="97">
        <f t="shared" si="38"/>
        <v>20</v>
      </c>
      <c r="BO39" s="97">
        <f t="shared" si="39"/>
        <v>5</v>
      </c>
      <c r="BP39" s="97">
        <f t="shared" si="40"/>
        <v>6</v>
      </c>
      <c r="BQ39" s="97">
        <f t="shared" si="41"/>
        <v>7</v>
      </c>
      <c r="BR39" s="97">
        <f t="shared" si="42"/>
        <v>8</v>
      </c>
      <c r="BS39" s="97">
        <f t="shared" si="43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74" t="s">
        <v>19</v>
      </c>
      <c r="CD39" s="75">
        <v>40</v>
      </c>
      <c r="CE39" s="76">
        <v>15</v>
      </c>
      <c r="CF39" s="76">
        <v>40</v>
      </c>
      <c r="CG39" s="76">
        <v>10</v>
      </c>
      <c r="CH39" s="76">
        <v>5</v>
      </c>
      <c r="CI39" s="76">
        <v>40</v>
      </c>
      <c r="CJ39" s="77">
        <v>1</v>
      </c>
      <c r="CK39" s="78">
        <v>5</v>
      </c>
      <c r="CM39" s="7" t="s">
        <v>109</v>
      </c>
      <c r="CN39" s="13">
        <v>0</v>
      </c>
      <c r="CO39" s="13">
        <v>463</v>
      </c>
      <c r="CP39" s="13">
        <v>303</v>
      </c>
      <c r="CQ39" s="13">
        <v>330</v>
      </c>
      <c r="CR39" s="13">
        <v>727</v>
      </c>
      <c r="CS39" s="13">
        <v>0</v>
      </c>
      <c r="CW39" s="21">
        <v>35</v>
      </c>
      <c r="CX39" s="98" t="s">
        <v>78</v>
      </c>
      <c r="CY39" s="98" t="s">
        <v>203</v>
      </c>
      <c r="CZ39" s="98" t="s">
        <v>36</v>
      </c>
      <c r="DA39" s="98" t="s">
        <v>78</v>
      </c>
      <c r="DB39" s="98" t="s">
        <v>163</v>
      </c>
      <c r="DC39" s="98" t="s">
        <v>26</v>
      </c>
      <c r="DD39" s="37" t="s">
        <v>78</v>
      </c>
      <c r="DF39" s="97">
        <f t="shared" si="45"/>
        <v>6</v>
      </c>
      <c r="DG39" s="97">
        <f t="shared" si="10"/>
        <v>20</v>
      </c>
      <c r="DH39" s="97">
        <f t="shared" si="11"/>
        <v>5</v>
      </c>
      <c r="DI39" s="97">
        <f t="shared" si="12"/>
        <v>6</v>
      </c>
      <c r="DJ39" s="97">
        <f t="shared" si="13"/>
        <v>7</v>
      </c>
      <c r="DK39" s="97">
        <f t="shared" si="14"/>
        <v>8</v>
      </c>
      <c r="DL39" s="97">
        <f t="shared" si="15"/>
        <v>6</v>
      </c>
      <c r="DN39" s="25">
        <v>1</v>
      </c>
      <c r="DO39" s="25">
        <v>1</v>
      </c>
      <c r="DP39" s="25">
        <v>1</v>
      </c>
      <c r="DQ39" s="25">
        <v>1</v>
      </c>
      <c r="DR39" s="25">
        <v>1</v>
      </c>
      <c r="DS39" s="25">
        <v>1</v>
      </c>
      <c r="DT39" s="7">
        <v>1</v>
      </c>
      <c r="DV39" s="74" t="s">
        <v>19</v>
      </c>
      <c r="DW39" s="75">
        <v>40</v>
      </c>
      <c r="DX39" s="76">
        <v>15</v>
      </c>
      <c r="DY39" s="76">
        <v>40</v>
      </c>
      <c r="DZ39" s="76">
        <v>10</v>
      </c>
      <c r="EA39" s="76">
        <v>5</v>
      </c>
      <c r="EB39" s="76">
        <v>40</v>
      </c>
      <c r="EC39" s="77">
        <v>1</v>
      </c>
      <c r="ED39" s="78">
        <v>5</v>
      </c>
    </row>
    <row r="40" spans="1:134" ht="16.5" customHeight="1">
      <c r="A40" s="7" t="s">
        <v>110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K40" s="22">
        <v>36</v>
      </c>
      <c r="L40" s="30" t="s">
        <v>41</v>
      </c>
      <c r="M40" s="30" t="s">
        <v>41</v>
      </c>
      <c r="N40" s="30" t="s">
        <v>78</v>
      </c>
      <c r="O40" s="30" t="s">
        <v>78</v>
      </c>
      <c r="P40" s="30" t="s">
        <v>36</v>
      </c>
      <c r="Q40" s="30" t="s">
        <v>38</v>
      </c>
      <c r="R40" s="30" t="s">
        <v>163</v>
      </c>
      <c r="T40" s="97">
        <f t="shared" si="23"/>
        <v>12</v>
      </c>
      <c r="U40" s="97">
        <f t="shared" si="24"/>
        <v>12</v>
      </c>
      <c r="V40" s="97">
        <f t="shared" si="25"/>
        <v>6</v>
      </c>
      <c r="W40" s="97">
        <f t="shared" si="26"/>
        <v>6</v>
      </c>
      <c r="X40" s="97">
        <f t="shared" si="27"/>
        <v>5</v>
      </c>
      <c r="Y40" s="97">
        <f t="shared" si="28"/>
        <v>9</v>
      </c>
      <c r="Z40" s="97">
        <f t="shared" si="29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74" t="s">
        <v>77</v>
      </c>
      <c r="AK40" s="75">
        <v>15</v>
      </c>
      <c r="AL40" s="76">
        <v>40</v>
      </c>
      <c r="AM40" s="76">
        <v>20</v>
      </c>
      <c r="AN40" s="76">
        <v>10</v>
      </c>
      <c r="AO40" s="76">
        <v>40</v>
      </c>
      <c r="AP40" s="76">
        <v>5</v>
      </c>
      <c r="AQ40" s="77">
        <v>1</v>
      </c>
      <c r="AR40" s="78">
        <v>6</v>
      </c>
      <c r="AT40" s="7" t="s">
        <v>110</v>
      </c>
      <c r="AU40" s="13">
        <v>0</v>
      </c>
      <c r="AV40" s="13">
        <v>910</v>
      </c>
      <c r="AW40" s="13">
        <v>610</v>
      </c>
      <c r="AX40" s="13">
        <v>1373</v>
      </c>
      <c r="AY40" s="13">
        <v>973</v>
      </c>
      <c r="AZ40" s="13">
        <v>0</v>
      </c>
      <c r="BD40" s="22">
        <v>36</v>
      </c>
      <c r="BE40" s="30" t="s">
        <v>41</v>
      </c>
      <c r="BF40" s="30" t="s">
        <v>41</v>
      </c>
      <c r="BG40" s="30" t="s">
        <v>40</v>
      </c>
      <c r="BH40" s="30" t="s">
        <v>78</v>
      </c>
      <c r="BI40" s="30" t="s">
        <v>36</v>
      </c>
      <c r="BJ40" s="30" t="s">
        <v>38</v>
      </c>
      <c r="BK40" s="30" t="s">
        <v>163</v>
      </c>
      <c r="BM40" s="97">
        <f t="shared" si="37"/>
        <v>12</v>
      </c>
      <c r="BN40" s="97">
        <f t="shared" si="38"/>
        <v>12</v>
      </c>
      <c r="BO40" s="97">
        <f t="shared" si="39"/>
        <v>11</v>
      </c>
      <c r="BP40" s="97">
        <f t="shared" si="40"/>
        <v>6</v>
      </c>
      <c r="BQ40" s="97">
        <f t="shared" si="41"/>
        <v>5</v>
      </c>
      <c r="BR40" s="97">
        <f t="shared" si="42"/>
        <v>9</v>
      </c>
      <c r="BS40" s="97">
        <f t="shared" si="43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74" t="s">
        <v>77</v>
      </c>
      <c r="CD40" s="75">
        <v>15</v>
      </c>
      <c r="CE40" s="76">
        <v>40</v>
      </c>
      <c r="CF40" s="76">
        <v>20</v>
      </c>
      <c r="CG40" s="76">
        <v>10</v>
      </c>
      <c r="CH40" s="76">
        <v>40</v>
      </c>
      <c r="CI40" s="76">
        <v>5</v>
      </c>
      <c r="CJ40" s="77">
        <v>1</v>
      </c>
      <c r="CK40" s="78">
        <v>6</v>
      </c>
      <c r="CM40" s="7" t="s">
        <v>110</v>
      </c>
      <c r="CN40" s="13">
        <v>0</v>
      </c>
      <c r="CO40" s="13">
        <v>910</v>
      </c>
      <c r="CP40" s="13">
        <v>610</v>
      </c>
      <c r="CQ40" s="13">
        <v>1373</v>
      </c>
      <c r="CR40" s="13">
        <v>973</v>
      </c>
      <c r="CS40" s="13">
        <v>0</v>
      </c>
      <c r="CW40" s="22">
        <v>36</v>
      </c>
      <c r="CX40" s="30" t="s">
        <v>41</v>
      </c>
      <c r="CY40" s="30" t="s">
        <v>41</v>
      </c>
      <c r="CZ40" s="30" t="s">
        <v>40</v>
      </c>
      <c r="DA40" s="30" t="s">
        <v>78</v>
      </c>
      <c r="DB40" s="30" t="s">
        <v>36</v>
      </c>
      <c r="DC40" s="30" t="s">
        <v>38</v>
      </c>
      <c r="DD40" s="30" t="s">
        <v>163</v>
      </c>
      <c r="DF40" s="97">
        <f t="shared" si="45"/>
        <v>12</v>
      </c>
      <c r="DG40" s="97">
        <f t="shared" si="10"/>
        <v>12</v>
      </c>
      <c r="DH40" s="97">
        <f t="shared" si="11"/>
        <v>11</v>
      </c>
      <c r="DI40" s="97">
        <f t="shared" si="12"/>
        <v>6</v>
      </c>
      <c r="DJ40" s="97">
        <f t="shared" si="13"/>
        <v>5</v>
      </c>
      <c r="DK40" s="97">
        <f t="shared" si="14"/>
        <v>9</v>
      </c>
      <c r="DL40" s="97">
        <f t="shared" si="15"/>
        <v>7</v>
      </c>
      <c r="DN40" s="25">
        <v>1</v>
      </c>
      <c r="DO40" s="25">
        <v>1</v>
      </c>
      <c r="DP40" s="25">
        <v>1</v>
      </c>
      <c r="DQ40" s="25">
        <v>1</v>
      </c>
      <c r="DR40" s="25">
        <v>1</v>
      </c>
      <c r="DS40" s="25">
        <v>1</v>
      </c>
      <c r="DT40" s="7">
        <v>1</v>
      </c>
      <c r="DV40" s="74" t="s">
        <v>77</v>
      </c>
      <c r="DW40" s="75">
        <v>15</v>
      </c>
      <c r="DX40" s="76">
        <v>40</v>
      </c>
      <c r="DY40" s="76">
        <v>20</v>
      </c>
      <c r="DZ40" s="76">
        <v>10</v>
      </c>
      <c r="EA40" s="76">
        <v>40</v>
      </c>
      <c r="EB40" s="76">
        <v>5</v>
      </c>
      <c r="EC40" s="77">
        <v>1</v>
      </c>
      <c r="ED40" s="78">
        <v>6</v>
      </c>
    </row>
    <row r="41" spans="1:134" ht="16.5" customHeight="1">
      <c r="A41" s="7" t="s">
        <v>111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K41" s="21">
        <v>37</v>
      </c>
      <c r="L41" s="98" t="s">
        <v>163</v>
      </c>
      <c r="M41" s="98" t="s">
        <v>41</v>
      </c>
      <c r="N41" s="98" t="s">
        <v>78</v>
      </c>
      <c r="O41" s="98" t="s">
        <v>78</v>
      </c>
      <c r="P41" s="98" t="s">
        <v>40</v>
      </c>
      <c r="Q41" s="98" t="s">
        <v>38</v>
      </c>
      <c r="R41" s="37" t="s">
        <v>163</v>
      </c>
      <c r="T41" s="97">
        <f t="shared" si="23"/>
        <v>7</v>
      </c>
      <c r="U41" s="97">
        <f t="shared" si="24"/>
        <v>12</v>
      </c>
      <c r="V41" s="97">
        <f t="shared" si="25"/>
        <v>6</v>
      </c>
      <c r="W41" s="97">
        <f t="shared" si="26"/>
        <v>6</v>
      </c>
      <c r="X41" s="97">
        <f t="shared" si="27"/>
        <v>11</v>
      </c>
      <c r="Y41" s="97">
        <f t="shared" si="28"/>
        <v>9</v>
      </c>
      <c r="Z41" s="97">
        <f t="shared" si="29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75">
        <v>40</v>
      </c>
      <c r="AL41" s="76">
        <v>15</v>
      </c>
      <c r="AM41" s="76">
        <v>40</v>
      </c>
      <c r="AN41" s="76">
        <v>10</v>
      </c>
      <c r="AO41" s="76">
        <v>5</v>
      </c>
      <c r="AP41" s="76">
        <v>40</v>
      </c>
      <c r="AQ41" s="77">
        <v>1</v>
      </c>
      <c r="AR41" s="78">
        <v>7</v>
      </c>
      <c r="AT41" s="7" t="s">
        <v>111</v>
      </c>
      <c r="AU41" s="13">
        <v>0</v>
      </c>
      <c r="AV41" s="13">
        <v>910</v>
      </c>
      <c r="AW41" s="13">
        <v>610</v>
      </c>
      <c r="AX41" s="13">
        <v>1373</v>
      </c>
      <c r="AY41" s="13">
        <v>973</v>
      </c>
      <c r="AZ41" s="13">
        <v>0</v>
      </c>
      <c r="BD41" s="21">
        <v>37</v>
      </c>
      <c r="BE41" s="98" t="s">
        <v>163</v>
      </c>
      <c r="BF41" s="98" t="s">
        <v>41</v>
      </c>
      <c r="BG41" s="98" t="s">
        <v>40</v>
      </c>
      <c r="BH41" s="98" t="s">
        <v>78</v>
      </c>
      <c r="BI41" s="98" t="s">
        <v>40</v>
      </c>
      <c r="BJ41" s="98" t="s">
        <v>38</v>
      </c>
      <c r="BK41" s="37" t="s">
        <v>163</v>
      </c>
      <c r="BM41" s="97">
        <f t="shared" si="37"/>
        <v>7</v>
      </c>
      <c r="BN41" s="97">
        <f t="shared" si="38"/>
        <v>12</v>
      </c>
      <c r="BO41" s="97">
        <f t="shared" si="39"/>
        <v>11</v>
      </c>
      <c r="BP41" s="97">
        <f t="shared" si="40"/>
        <v>6</v>
      </c>
      <c r="BQ41" s="97">
        <f t="shared" si="41"/>
        <v>11</v>
      </c>
      <c r="BR41" s="97">
        <f t="shared" si="42"/>
        <v>9</v>
      </c>
      <c r="BS41" s="97">
        <f t="shared" si="43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74" t="s">
        <v>162</v>
      </c>
      <c r="CD41" s="75">
        <v>40</v>
      </c>
      <c r="CE41" s="76">
        <v>15</v>
      </c>
      <c r="CF41" s="76">
        <v>40</v>
      </c>
      <c r="CG41" s="76">
        <v>10</v>
      </c>
      <c r="CH41" s="76">
        <v>5</v>
      </c>
      <c r="CI41" s="76">
        <v>40</v>
      </c>
      <c r="CJ41" s="77">
        <v>1</v>
      </c>
      <c r="CK41" s="78">
        <v>7</v>
      </c>
      <c r="CM41" s="7" t="s">
        <v>111</v>
      </c>
      <c r="CN41" s="13">
        <v>0</v>
      </c>
      <c r="CO41" s="13">
        <v>910</v>
      </c>
      <c r="CP41" s="13">
        <v>610</v>
      </c>
      <c r="CQ41" s="13">
        <v>1373</v>
      </c>
      <c r="CR41" s="13">
        <v>973</v>
      </c>
      <c r="CS41" s="13">
        <v>0</v>
      </c>
      <c r="CW41" s="21">
        <v>37</v>
      </c>
      <c r="CX41" s="98" t="s">
        <v>163</v>
      </c>
      <c r="CY41" s="98" t="s">
        <v>41</v>
      </c>
      <c r="CZ41" s="98" t="s">
        <v>40</v>
      </c>
      <c r="DA41" s="98" t="s">
        <v>78</v>
      </c>
      <c r="DB41" s="98" t="s">
        <v>40</v>
      </c>
      <c r="DC41" s="98" t="s">
        <v>38</v>
      </c>
      <c r="DD41" s="37" t="s">
        <v>163</v>
      </c>
      <c r="DF41" s="97">
        <f t="shared" si="45"/>
        <v>7</v>
      </c>
      <c r="DG41" s="97">
        <f t="shared" si="10"/>
        <v>12</v>
      </c>
      <c r="DH41" s="97">
        <f t="shared" si="11"/>
        <v>11</v>
      </c>
      <c r="DI41" s="97">
        <f t="shared" si="12"/>
        <v>6</v>
      </c>
      <c r="DJ41" s="97">
        <f t="shared" si="13"/>
        <v>11</v>
      </c>
      <c r="DK41" s="97">
        <f t="shared" si="14"/>
        <v>9</v>
      </c>
      <c r="DL41" s="97">
        <f t="shared" si="15"/>
        <v>7</v>
      </c>
      <c r="DN41" s="25">
        <v>1</v>
      </c>
      <c r="DO41" s="25">
        <v>1</v>
      </c>
      <c r="DP41" s="25">
        <v>1</v>
      </c>
      <c r="DQ41" s="25">
        <v>1</v>
      </c>
      <c r="DR41" s="25">
        <v>1</v>
      </c>
      <c r="DS41" s="25">
        <v>1</v>
      </c>
      <c r="DT41" s="7">
        <v>1</v>
      </c>
      <c r="DV41" s="74" t="s">
        <v>162</v>
      </c>
      <c r="DW41" s="75">
        <v>40</v>
      </c>
      <c r="DX41" s="76">
        <v>15</v>
      </c>
      <c r="DY41" s="76">
        <v>40</v>
      </c>
      <c r="DZ41" s="76">
        <v>10</v>
      </c>
      <c r="EA41" s="76">
        <v>5</v>
      </c>
      <c r="EB41" s="76">
        <v>40</v>
      </c>
      <c r="EC41" s="77">
        <v>1</v>
      </c>
      <c r="ED41" s="78">
        <v>7</v>
      </c>
    </row>
    <row r="42" spans="1:134" ht="16.5" customHeight="1">
      <c r="A42" s="7" t="s">
        <v>112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K42" s="22">
        <v>38</v>
      </c>
      <c r="L42" s="98" t="s">
        <v>163</v>
      </c>
      <c r="M42" s="98" t="s">
        <v>41</v>
      </c>
      <c r="N42" s="98" t="s">
        <v>36</v>
      </c>
      <c r="O42" s="98" t="s">
        <v>39</v>
      </c>
      <c r="P42" s="98" t="s">
        <v>33</v>
      </c>
      <c r="Q42" s="98" t="s">
        <v>26</v>
      </c>
      <c r="R42" s="37" t="s">
        <v>163</v>
      </c>
      <c r="T42" s="97">
        <f t="shared" si="23"/>
        <v>7</v>
      </c>
      <c r="U42" s="97">
        <f t="shared" si="24"/>
        <v>12</v>
      </c>
      <c r="V42" s="97">
        <f t="shared" si="25"/>
        <v>5</v>
      </c>
      <c r="W42" s="97">
        <f t="shared" si="26"/>
        <v>10</v>
      </c>
      <c r="X42" s="97">
        <f t="shared" si="27"/>
        <v>2</v>
      </c>
      <c r="Y42" s="97">
        <f t="shared" si="28"/>
        <v>8</v>
      </c>
      <c r="Z42" s="97">
        <f t="shared" si="29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75">
        <v>40</v>
      </c>
      <c r="AL42" s="76">
        <v>15</v>
      </c>
      <c r="AM42" s="76">
        <v>40</v>
      </c>
      <c r="AN42" s="76">
        <v>10</v>
      </c>
      <c r="AO42" s="76">
        <v>10</v>
      </c>
      <c r="AP42" s="76">
        <v>5</v>
      </c>
      <c r="AQ42" s="77">
        <v>1</v>
      </c>
      <c r="AR42" s="78">
        <v>7</v>
      </c>
      <c r="AT42" s="7" t="s">
        <v>112</v>
      </c>
      <c r="AU42" s="13">
        <v>0</v>
      </c>
      <c r="AV42" s="13">
        <v>910</v>
      </c>
      <c r="AW42" s="13">
        <v>610</v>
      </c>
      <c r="AX42" s="13">
        <v>1373</v>
      </c>
      <c r="AY42" s="13">
        <v>973</v>
      </c>
      <c r="AZ42" s="13">
        <v>0</v>
      </c>
      <c r="BD42" s="22">
        <v>38</v>
      </c>
      <c r="BE42" s="98" t="s">
        <v>163</v>
      </c>
      <c r="BF42" s="98" t="s">
        <v>41</v>
      </c>
      <c r="BG42" s="98" t="s">
        <v>36</v>
      </c>
      <c r="BH42" s="98" t="s">
        <v>39</v>
      </c>
      <c r="BI42" s="98" t="s">
        <v>40</v>
      </c>
      <c r="BJ42" s="98" t="s">
        <v>26</v>
      </c>
      <c r="BK42" s="37" t="s">
        <v>163</v>
      </c>
      <c r="BM42" s="97">
        <f t="shared" si="37"/>
        <v>7</v>
      </c>
      <c r="BN42" s="97">
        <f t="shared" si="38"/>
        <v>12</v>
      </c>
      <c r="BO42" s="97">
        <f t="shared" si="39"/>
        <v>5</v>
      </c>
      <c r="BP42" s="97">
        <f t="shared" si="40"/>
        <v>10</v>
      </c>
      <c r="BQ42" s="97">
        <f t="shared" si="41"/>
        <v>11</v>
      </c>
      <c r="BR42" s="97">
        <f t="shared" si="42"/>
        <v>8</v>
      </c>
      <c r="BS42" s="97">
        <f t="shared" si="43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74" t="s">
        <v>25</v>
      </c>
      <c r="CD42" s="75">
        <v>40</v>
      </c>
      <c r="CE42" s="76">
        <v>15</v>
      </c>
      <c r="CF42" s="76">
        <v>40</v>
      </c>
      <c r="CG42" s="76">
        <v>10</v>
      </c>
      <c r="CH42" s="76">
        <v>10</v>
      </c>
      <c r="CI42" s="76">
        <v>5</v>
      </c>
      <c r="CJ42" s="77">
        <v>1</v>
      </c>
      <c r="CK42" s="78">
        <v>7</v>
      </c>
      <c r="CM42" s="7" t="s">
        <v>112</v>
      </c>
      <c r="CN42" s="13">
        <v>0</v>
      </c>
      <c r="CO42" s="13">
        <v>910</v>
      </c>
      <c r="CP42" s="13">
        <v>610</v>
      </c>
      <c r="CQ42" s="13">
        <v>1373</v>
      </c>
      <c r="CR42" s="13">
        <v>973</v>
      </c>
      <c r="CS42" s="13">
        <v>0</v>
      </c>
      <c r="CW42" s="22">
        <v>38</v>
      </c>
      <c r="CX42" s="98" t="s">
        <v>163</v>
      </c>
      <c r="CY42" s="98" t="s">
        <v>41</v>
      </c>
      <c r="CZ42" s="98" t="s">
        <v>36</v>
      </c>
      <c r="DA42" s="98" t="s">
        <v>39</v>
      </c>
      <c r="DB42" s="98" t="s">
        <v>40</v>
      </c>
      <c r="DC42" s="98" t="s">
        <v>26</v>
      </c>
      <c r="DD42" s="37" t="s">
        <v>163</v>
      </c>
      <c r="DF42" s="97">
        <f t="shared" si="45"/>
        <v>7</v>
      </c>
      <c r="DG42" s="97">
        <f t="shared" si="10"/>
        <v>12</v>
      </c>
      <c r="DH42" s="97">
        <f t="shared" si="11"/>
        <v>5</v>
      </c>
      <c r="DI42" s="97">
        <f t="shared" si="12"/>
        <v>10</v>
      </c>
      <c r="DJ42" s="97">
        <f t="shared" si="13"/>
        <v>11</v>
      </c>
      <c r="DK42" s="97">
        <f t="shared" si="14"/>
        <v>8</v>
      </c>
      <c r="DL42" s="97">
        <f t="shared" si="15"/>
        <v>7</v>
      </c>
      <c r="DN42" s="25">
        <v>1</v>
      </c>
      <c r="DO42" s="25">
        <v>1</v>
      </c>
      <c r="DP42" s="25">
        <v>1</v>
      </c>
      <c r="DQ42" s="25">
        <v>1</v>
      </c>
      <c r="DR42" s="25">
        <v>1</v>
      </c>
      <c r="DS42" s="25">
        <v>1</v>
      </c>
      <c r="DT42" s="7">
        <v>1</v>
      </c>
      <c r="DV42" s="74" t="s">
        <v>25</v>
      </c>
      <c r="DW42" s="75">
        <v>40</v>
      </c>
      <c r="DX42" s="76">
        <v>15</v>
      </c>
      <c r="DY42" s="76">
        <v>40</v>
      </c>
      <c r="DZ42" s="76">
        <v>10</v>
      </c>
      <c r="EA42" s="76">
        <v>10</v>
      </c>
      <c r="EB42" s="76">
        <v>5</v>
      </c>
      <c r="EC42" s="77">
        <v>1</v>
      </c>
      <c r="ED42" s="78">
        <v>7</v>
      </c>
    </row>
    <row r="43" spans="1:134" ht="16.5" customHeight="1">
      <c r="A43" s="7" t="s">
        <v>113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K43" s="21">
        <v>39</v>
      </c>
      <c r="L43" s="98" t="s">
        <v>40</v>
      </c>
      <c r="M43" s="98" t="s">
        <v>195</v>
      </c>
      <c r="N43" s="98" t="s">
        <v>41</v>
      </c>
      <c r="O43" s="98" t="s">
        <v>78</v>
      </c>
      <c r="P43" s="98" t="s">
        <v>36</v>
      </c>
      <c r="Q43" s="98" t="s">
        <v>26</v>
      </c>
      <c r="R43" s="37" t="s">
        <v>163</v>
      </c>
      <c r="T43" s="97">
        <f t="shared" si="23"/>
        <v>11</v>
      </c>
      <c r="U43" s="97">
        <f t="shared" si="24"/>
        <v>19</v>
      </c>
      <c r="V43" s="97">
        <f t="shared" si="25"/>
        <v>12</v>
      </c>
      <c r="W43" s="97">
        <f t="shared" si="26"/>
        <v>6</v>
      </c>
      <c r="X43" s="97">
        <f t="shared" si="27"/>
        <v>5</v>
      </c>
      <c r="Y43" s="97">
        <f t="shared" si="28"/>
        <v>8</v>
      </c>
      <c r="Z43" s="97">
        <f t="shared" si="29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75">
        <v>15</v>
      </c>
      <c r="AL43" s="76">
        <v>40</v>
      </c>
      <c r="AM43" s="76">
        <v>20</v>
      </c>
      <c r="AN43" s="76">
        <v>40</v>
      </c>
      <c r="AO43" s="76">
        <v>40</v>
      </c>
      <c r="AP43" s="76">
        <v>40</v>
      </c>
      <c r="AQ43" s="77">
        <v>1</v>
      </c>
      <c r="AR43" s="78">
        <v>8</v>
      </c>
      <c r="AT43" s="7" t="s">
        <v>113</v>
      </c>
      <c r="AU43" s="13">
        <v>0</v>
      </c>
      <c r="AV43" s="13">
        <v>747</v>
      </c>
      <c r="AW43" s="13">
        <v>1092</v>
      </c>
      <c r="AX43" s="13">
        <v>780</v>
      </c>
      <c r="AY43" s="13">
        <v>520</v>
      </c>
      <c r="AZ43" s="13">
        <v>0</v>
      </c>
      <c r="BD43" s="21">
        <v>39</v>
      </c>
      <c r="BE43" s="98" t="s">
        <v>40</v>
      </c>
      <c r="BF43" s="98" t="s">
        <v>195</v>
      </c>
      <c r="BG43" s="98" t="s">
        <v>41</v>
      </c>
      <c r="BH43" s="98" t="s">
        <v>78</v>
      </c>
      <c r="BI43" s="98" t="s">
        <v>36</v>
      </c>
      <c r="BJ43" s="98" t="s">
        <v>26</v>
      </c>
      <c r="BK43" s="37" t="s">
        <v>163</v>
      </c>
      <c r="BM43" s="97">
        <f t="shared" si="37"/>
        <v>11</v>
      </c>
      <c r="BN43" s="97">
        <f t="shared" si="38"/>
        <v>19</v>
      </c>
      <c r="BO43" s="97">
        <f t="shared" si="39"/>
        <v>12</v>
      </c>
      <c r="BP43" s="97">
        <f t="shared" si="40"/>
        <v>6</v>
      </c>
      <c r="BQ43" s="97">
        <f t="shared" si="41"/>
        <v>5</v>
      </c>
      <c r="BR43" s="97">
        <f t="shared" si="42"/>
        <v>8</v>
      </c>
      <c r="BS43" s="97">
        <f t="shared" si="43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74" t="s">
        <v>27</v>
      </c>
      <c r="CD43" s="75">
        <v>15</v>
      </c>
      <c r="CE43" s="76">
        <v>40</v>
      </c>
      <c r="CF43" s="76">
        <v>20</v>
      </c>
      <c r="CG43" s="76">
        <v>40</v>
      </c>
      <c r="CH43" s="76">
        <v>40</v>
      </c>
      <c r="CI43" s="76">
        <v>40</v>
      </c>
      <c r="CJ43" s="77">
        <v>1</v>
      </c>
      <c r="CK43" s="78">
        <v>8</v>
      </c>
      <c r="CM43" s="7" t="s">
        <v>113</v>
      </c>
      <c r="CN43" s="13">
        <v>0</v>
      </c>
      <c r="CO43" s="13">
        <v>747</v>
      </c>
      <c r="CP43" s="13">
        <v>1092</v>
      </c>
      <c r="CQ43" s="13">
        <v>780</v>
      </c>
      <c r="CR43" s="13">
        <v>520</v>
      </c>
      <c r="CS43" s="13">
        <v>0</v>
      </c>
      <c r="CW43" s="21">
        <v>39</v>
      </c>
      <c r="CX43" s="98" t="s">
        <v>40</v>
      </c>
      <c r="CY43" s="98" t="s">
        <v>195</v>
      </c>
      <c r="CZ43" s="98" t="s">
        <v>41</v>
      </c>
      <c r="DA43" s="98" t="s">
        <v>78</v>
      </c>
      <c r="DB43" s="98" t="s">
        <v>36</v>
      </c>
      <c r="DC43" s="98" t="s">
        <v>26</v>
      </c>
      <c r="DD43" s="37" t="s">
        <v>163</v>
      </c>
      <c r="DF43" s="97">
        <f t="shared" si="45"/>
        <v>11</v>
      </c>
      <c r="DG43" s="97">
        <f t="shared" si="10"/>
        <v>19</v>
      </c>
      <c r="DH43" s="97">
        <f t="shared" si="11"/>
        <v>12</v>
      </c>
      <c r="DI43" s="97">
        <f t="shared" si="12"/>
        <v>6</v>
      </c>
      <c r="DJ43" s="97">
        <f t="shared" si="13"/>
        <v>5</v>
      </c>
      <c r="DK43" s="97">
        <f t="shared" si="14"/>
        <v>8</v>
      </c>
      <c r="DL43" s="97">
        <f t="shared" si="15"/>
        <v>7</v>
      </c>
      <c r="DN43" s="25">
        <v>1</v>
      </c>
      <c r="DO43" s="25">
        <v>1</v>
      </c>
      <c r="DP43" s="25">
        <v>1</v>
      </c>
      <c r="DQ43" s="25">
        <v>1</v>
      </c>
      <c r="DR43" s="25">
        <v>1</v>
      </c>
      <c r="DS43" s="25">
        <v>1</v>
      </c>
      <c r="DT43" s="7">
        <v>1</v>
      </c>
      <c r="DV43" s="74" t="s">
        <v>27</v>
      </c>
      <c r="DW43" s="75">
        <v>15</v>
      </c>
      <c r="DX43" s="76">
        <v>40</v>
      </c>
      <c r="DY43" s="76">
        <v>20</v>
      </c>
      <c r="DZ43" s="76">
        <v>40</v>
      </c>
      <c r="EA43" s="76">
        <v>40</v>
      </c>
      <c r="EB43" s="76">
        <v>40</v>
      </c>
      <c r="EC43" s="77">
        <v>1</v>
      </c>
      <c r="ED43" s="78">
        <v>8</v>
      </c>
    </row>
    <row r="44" spans="1:134" ht="16.5" customHeight="1">
      <c r="A44" s="7" t="s">
        <v>114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K44" s="22">
        <v>40</v>
      </c>
      <c r="L44" s="98" t="s">
        <v>41</v>
      </c>
      <c r="M44" s="98" t="s">
        <v>26</v>
      </c>
      <c r="N44" s="98" t="s">
        <v>40</v>
      </c>
      <c r="O44" s="98" t="s">
        <v>41</v>
      </c>
      <c r="P44" s="98" t="s">
        <v>36</v>
      </c>
      <c r="Q44" s="98" t="s">
        <v>39</v>
      </c>
      <c r="R44" s="37" t="s">
        <v>78</v>
      </c>
      <c r="T44" s="97">
        <f t="shared" si="23"/>
        <v>12</v>
      </c>
      <c r="U44" s="97">
        <f t="shared" si="24"/>
        <v>8</v>
      </c>
      <c r="V44" s="97">
        <f t="shared" si="25"/>
        <v>11</v>
      </c>
      <c r="W44" s="97">
        <f t="shared" si="26"/>
        <v>12</v>
      </c>
      <c r="X44" s="97">
        <f t="shared" si="27"/>
        <v>5</v>
      </c>
      <c r="Y44" s="97">
        <f t="shared" si="28"/>
        <v>10</v>
      </c>
      <c r="Z44" s="97">
        <f t="shared" si="29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74" t="s">
        <v>28</v>
      </c>
      <c r="AK44" s="75">
        <v>40</v>
      </c>
      <c r="AL44" s="76">
        <v>15</v>
      </c>
      <c r="AM44" s="76">
        <v>40</v>
      </c>
      <c r="AN44" s="76">
        <v>10</v>
      </c>
      <c r="AO44" s="76">
        <v>5</v>
      </c>
      <c r="AP44" s="76">
        <v>5</v>
      </c>
      <c r="AQ44" s="77">
        <v>1</v>
      </c>
      <c r="AR44" s="78">
        <v>9</v>
      </c>
      <c r="AT44" s="7" t="s">
        <v>114</v>
      </c>
      <c r="AU44" s="13">
        <v>0</v>
      </c>
      <c r="AV44" s="13">
        <v>747</v>
      </c>
      <c r="AW44" s="13">
        <v>1092</v>
      </c>
      <c r="AX44" s="13">
        <v>780</v>
      </c>
      <c r="AY44" s="13">
        <v>520</v>
      </c>
      <c r="AZ44" s="13">
        <v>0</v>
      </c>
      <c r="BD44" s="22">
        <v>40</v>
      </c>
      <c r="BE44" s="98" t="s">
        <v>41</v>
      </c>
      <c r="BF44" s="98" t="s">
        <v>26</v>
      </c>
      <c r="BG44" s="98" t="s">
        <v>40</v>
      </c>
      <c r="BH44" s="98" t="s">
        <v>41</v>
      </c>
      <c r="BI44" s="98" t="s">
        <v>36</v>
      </c>
      <c r="BJ44" s="98" t="s">
        <v>39</v>
      </c>
      <c r="BK44" s="37" t="s">
        <v>78</v>
      </c>
      <c r="BM44" s="97">
        <f t="shared" si="37"/>
        <v>12</v>
      </c>
      <c r="BN44" s="97">
        <f t="shared" si="38"/>
        <v>8</v>
      </c>
      <c r="BO44" s="97">
        <f t="shared" si="39"/>
        <v>11</v>
      </c>
      <c r="BP44" s="97">
        <f t="shared" si="40"/>
        <v>12</v>
      </c>
      <c r="BQ44" s="97">
        <f t="shared" si="41"/>
        <v>5</v>
      </c>
      <c r="BR44" s="97">
        <f t="shared" si="42"/>
        <v>10</v>
      </c>
      <c r="BS44" s="97">
        <f t="shared" si="43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74" t="s">
        <v>28</v>
      </c>
      <c r="CD44" s="75">
        <v>40</v>
      </c>
      <c r="CE44" s="76">
        <v>15</v>
      </c>
      <c r="CF44" s="76">
        <v>40</v>
      </c>
      <c r="CG44" s="76">
        <v>10</v>
      </c>
      <c r="CH44" s="76">
        <v>5</v>
      </c>
      <c r="CI44" s="76">
        <v>5</v>
      </c>
      <c r="CJ44" s="77">
        <v>1</v>
      </c>
      <c r="CK44" s="78">
        <v>9</v>
      </c>
      <c r="CM44" s="7" t="s">
        <v>114</v>
      </c>
      <c r="CN44" s="13">
        <v>0</v>
      </c>
      <c r="CO44" s="13">
        <v>747</v>
      </c>
      <c r="CP44" s="13">
        <v>1092</v>
      </c>
      <c r="CQ44" s="13">
        <v>780</v>
      </c>
      <c r="CR44" s="13">
        <v>520</v>
      </c>
      <c r="CS44" s="13">
        <v>0</v>
      </c>
      <c r="CW44" s="22">
        <v>40</v>
      </c>
      <c r="CX44" s="98" t="s">
        <v>41</v>
      </c>
      <c r="CY44" s="98" t="s">
        <v>26</v>
      </c>
      <c r="CZ44" s="98" t="s">
        <v>40</v>
      </c>
      <c r="DA44" s="98" t="s">
        <v>41</v>
      </c>
      <c r="DB44" s="98" t="s">
        <v>36</v>
      </c>
      <c r="DC44" s="98" t="s">
        <v>39</v>
      </c>
      <c r="DD44" s="37" t="s">
        <v>78</v>
      </c>
      <c r="DF44" s="97">
        <f t="shared" si="45"/>
        <v>12</v>
      </c>
      <c r="DG44" s="97">
        <f t="shared" si="10"/>
        <v>8</v>
      </c>
      <c r="DH44" s="97">
        <f t="shared" si="11"/>
        <v>11</v>
      </c>
      <c r="DI44" s="97">
        <f t="shared" si="12"/>
        <v>12</v>
      </c>
      <c r="DJ44" s="97">
        <f t="shared" si="13"/>
        <v>5</v>
      </c>
      <c r="DK44" s="97">
        <f t="shared" si="14"/>
        <v>10</v>
      </c>
      <c r="DL44" s="97">
        <f t="shared" si="15"/>
        <v>6</v>
      </c>
      <c r="DN44" s="25">
        <v>1</v>
      </c>
      <c r="DO44" s="25">
        <v>1</v>
      </c>
      <c r="DP44" s="25">
        <v>1</v>
      </c>
      <c r="DQ44" s="25">
        <v>1</v>
      </c>
      <c r="DR44" s="25">
        <v>1</v>
      </c>
      <c r="DS44" s="25">
        <v>1</v>
      </c>
      <c r="DT44" s="7">
        <v>1</v>
      </c>
      <c r="DV44" s="74" t="s">
        <v>28</v>
      </c>
      <c r="DW44" s="75">
        <v>40</v>
      </c>
      <c r="DX44" s="76">
        <v>15</v>
      </c>
      <c r="DY44" s="76">
        <v>40</v>
      </c>
      <c r="DZ44" s="76">
        <v>10</v>
      </c>
      <c r="EA44" s="76">
        <v>5</v>
      </c>
      <c r="EB44" s="76">
        <v>5</v>
      </c>
      <c r="EC44" s="77">
        <v>1</v>
      </c>
      <c r="ED44" s="78">
        <v>9</v>
      </c>
    </row>
    <row r="45" spans="1:134" ht="16.5" customHeight="1">
      <c r="A45" s="7" t="s">
        <v>115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K45" s="21">
        <v>41</v>
      </c>
      <c r="L45" s="98" t="s">
        <v>36</v>
      </c>
      <c r="M45" s="98" t="s">
        <v>26</v>
      </c>
      <c r="N45" s="98" t="s">
        <v>40</v>
      </c>
      <c r="O45" s="98" t="s">
        <v>41</v>
      </c>
      <c r="P45" s="98" t="s">
        <v>78</v>
      </c>
      <c r="Q45" s="98" t="s">
        <v>39</v>
      </c>
      <c r="R45" s="37" t="s">
        <v>78</v>
      </c>
      <c r="T45" s="97">
        <f t="shared" si="23"/>
        <v>5</v>
      </c>
      <c r="U45" s="97">
        <f t="shared" si="24"/>
        <v>8</v>
      </c>
      <c r="V45" s="97">
        <f t="shared" si="25"/>
        <v>11</v>
      </c>
      <c r="W45" s="97">
        <f t="shared" si="26"/>
        <v>12</v>
      </c>
      <c r="X45" s="97">
        <f t="shared" si="27"/>
        <v>6</v>
      </c>
      <c r="Y45" s="97">
        <f t="shared" si="28"/>
        <v>10</v>
      </c>
      <c r="Z45" s="97">
        <f t="shared" si="29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75">
        <v>15</v>
      </c>
      <c r="AL45" s="76">
        <v>40</v>
      </c>
      <c r="AM45" s="76">
        <v>35</v>
      </c>
      <c r="AN45" s="76">
        <v>10</v>
      </c>
      <c r="AO45" s="76">
        <v>5</v>
      </c>
      <c r="AP45" s="76">
        <v>5</v>
      </c>
      <c r="AQ45" s="77">
        <v>1</v>
      </c>
      <c r="AR45" s="78">
        <v>10</v>
      </c>
      <c r="AT45" s="7" t="s">
        <v>115</v>
      </c>
      <c r="AU45" s="13">
        <v>0</v>
      </c>
      <c r="AV45" s="13">
        <v>747</v>
      </c>
      <c r="AW45" s="13">
        <v>1092</v>
      </c>
      <c r="AX45" s="13">
        <v>780</v>
      </c>
      <c r="AY45" s="13">
        <v>520</v>
      </c>
      <c r="AZ45" s="13">
        <v>0</v>
      </c>
      <c r="BD45" s="21">
        <v>41</v>
      </c>
      <c r="BE45" s="98" t="s">
        <v>36</v>
      </c>
      <c r="BF45" s="98" t="s">
        <v>26</v>
      </c>
      <c r="BG45" s="98" t="s">
        <v>40</v>
      </c>
      <c r="BH45" s="98" t="s">
        <v>41</v>
      </c>
      <c r="BI45" s="98" t="s">
        <v>78</v>
      </c>
      <c r="BJ45" s="98" t="s">
        <v>39</v>
      </c>
      <c r="BK45" s="37" t="s">
        <v>78</v>
      </c>
      <c r="BM45" s="97">
        <f t="shared" si="37"/>
        <v>5</v>
      </c>
      <c r="BN45" s="97">
        <f t="shared" si="38"/>
        <v>8</v>
      </c>
      <c r="BO45" s="97">
        <f t="shared" si="39"/>
        <v>11</v>
      </c>
      <c r="BP45" s="97">
        <f t="shared" si="40"/>
        <v>12</v>
      </c>
      <c r="BQ45" s="97">
        <f t="shared" si="41"/>
        <v>6</v>
      </c>
      <c r="BR45" s="97">
        <f t="shared" si="42"/>
        <v>10</v>
      </c>
      <c r="BS45" s="97">
        <f t="shared" si="43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74" t="s">
        <v>29</v>
      </c>
      <c r="CD45" s="75">
        <v>15</v>
      </c>
      <c r="CE45" s="76">
        <v>40</v>
      </c>
      <c r="CF45" s="76">
        <v>35</v>
      </c>
      <c r="CG45" s="76">
        <v>10</v>
      </c>
      <c r="CH45" s="76">
        <v>5</v>
      </c>
      <c r="CI45" s="76">
        <v>5</v>
      </c>
      <c r="CJ45" s="77">
        <v>1</v>
      </c>
      <c r="CK45" s="78">
        <v>10</v>
      </c>
      <c r="CM45" s="7" t="s">
        <v>115</v>
      </c>
      <c r="CN45" s="13">
        <v>0</v>
      </c>
      <c r="CO45" s="13">
        <v>747</v>
      </c>
      <c r="CP45" s="13">
        <v>1092</v>
      </c>
      <c r="CQ45" s="13">
        <v>780</v>
      </c>
      <c r="CR45" s="13">
        <v>520</v>
      </c>
      <c r="CS45" s="13">
        <v>0</v>
      </c>
      <c r="CW45" s="21">
        <v>41</v>
      </c>
      <c r="CX45" s="98" t="s">
        <v>36</v>
      </c>
      <c r="CY45" s="98" t="s">
        <v>26</v>
      </c>
      <c r="CZ45" s="98" t="s">
        <v>40</v>
      </c>
      <c r="DA45" s="98" t="s">
        <v>41</v>
      </c>
      <c r="DB45" s="98" t="s">
        <v>78</v>
      </c>
      <c r="DC45" s="98" t="s">
        <v>39</v>
      </c>
      <c r="DD45" s="37" t="s">
        <v>78</v>
      </c>
      <c r="DF45" s="97">
        <f t="shared" si="45"/>
        <v>5</v>
      </c>
      <c r="DG45" s="97">
        <f t="shared" si="10"/>
        <v>8</v>
      </c>
      <c r="DH45" s="97">
        <f t="shared" si="11"/>
        <v>11</v>
      </c>
      <c r="DI45" s="97">
        <f t="shared" si="12"/>
        <v>12</v>
      </c>
      <c r="DJ45" s="97">
        <f t="shared" si="13"/>
        <v>6</v>
      </c>
      <c r="DK45" s="97">
        <f t="shared" si="14"/>
        <v>10</v>
      </c>
      <c r="DL45" s="97">
        <f t="shared" si="15"/>
        <v>6</v>
      </c>
      <c r="DN45" s="25">
        <v>1</v>
      </c>
      <c r="DO45" s="25">
        <v>1</v>
      </c>
      <c r="DP45" s="25">
        <v>1</v>
      </c>
      <c r="DQ45" s="25">
        <v>1</v>
      </c>
      <c r="DR45" s="25">
        <v>1</v>
      </c>
      <c r="DS45" s="25">
        <v>1</v>
      </c>
      <c r="DT45" s="7">
        <v>1</v>
      </c>
      <c r="DV45" s="74" t="s">
        <v>29</v>
      </c>
      <c r="DW45" s="75">
        <v>15</v>
      </c>
      <c r="DX45" s="76">
        <v>40</v>
      </c>
      <c r="DY45" s="76">
        <v>35</v>
      </c>
      <c r="DZ45" s="76">
        <v>10</v>
      </c>
      <c r="EA45" s="76">
        <v>5</v>
      </c>
      <c r="EB45" s="76">
        <v>5</v>
      </c>
      <c r="EC45" s="77">
        <v>1</v>
      </c>
      <c r="ED45" s="78">
        <v>10</v>
      </c>
    </row>
    <row r="46" spans="1:134" ht="16.5" customHeight="1">
      <c r="A46" s="7" t="s">
        <v>116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K46" s="22">
        <v>42</v>
      </c>
      <c r="L46" s="98" t="s">
        <v>39</v>
      </c>
      <c r="M46" s="98" t="s">
        <v>34</v>
      </c>
      <c r="N46" s="98" t="s">
        <v>177</v>
      </c>
      <c r="O46" s="98" t="s">
        <v>41</v>
      </c>
      <c r="P46" s="98" t="s">
        <v>34</v>
      </c>
      <c r="Q46" s="98" t="s">
        <v>26</v>
      </c>
      <c r="R46" s="37" t="s">
        <v>78</v>
      </c>
      <c r="T46" s="97">
        <f t="shared" si="23"/>
        <v>10</v>
      </c>
      <c r="U46" s="97">
        <f t="shared" si="24"/>
        <v>3</v>
      </c>
      <c r="V46" s="97">
        <f t="shared" si="25"/>
        <v>18</v>
      </c>
      <c r="W46" s="97">
        <f t="shared" si="26"/>
        <v>12</v>
      </c>
      <c r="X46" s="97">
        <f t="shared" si="27"/>
        <v>3</v>
      </c>
      <c r="Y46" s="97">
        <f t="shared" si="28"/>
        <v>8</v>
      </c>
      <c r="Z46" s="97">
        <f t="shared" si="29"/>
        <v>6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75">
        <v>40</v>
      </c>
      <c r="AL46" s="76">
        <v>15</v>
      </c>
      <c r="AM46" s="76">
        <v>15</v>
      </c>
      <c r="AN46" s="76">
        <v>10</v>
      </c>
      <c r="AO46" s="76">
        <v>5</v>
      </c>
      <c r="AP46" s="76">
        <v>5</v>
      </c>
      <c r="AQ46" s="77">
        <v>1</v>
      </c>
      <c r="AR46" s="79">
        <v>11</v>
      </c>
      <c r="AT46" s="7" t="s">
        <v>116</v>
      </c>
      <c r="AU46" s="13">
        <v>0</v>
      </c>
      <c r="AV46" s="13">
        <v>747</v>
      </c>
      <c r="AW46" s="13">
        <v>1092</v>
      </c>
      <c r="AX46" s="13">
        <v>780</v>
      </c>
      <c r="AY46" s="13">
        <v>520</v>
      </c>
      <c r="AZ46" s="13">
        <v>0</v>
      </c>
      <c r="BD46" s="22">
        <v>42</v>
      </c>
      <c r="BE46" s="98" t="s">
        <v>39</v>
      </c>
      <c r="BF46" s="98" t="s">
        <v>34</v>
      </c>
      <c r="BG46" s="98" t="s">
        <v>177</v>
      </c>
      <c r="BH46" s="98" t="s">
        <v>41</v>
      </c>
      <c r="BI46" s="98" t="s">
        <v>34</v>
      </c>
      <c r="BJ46" s="98" t="s">
        <v>26</v>
      </c>
      <c r="BK46" s="37" t="s">
        <v>78</v>
      </c>
      <c r="BM46" s="97">
        <f t="shared" si="37"/>
        <v>10</v>
      </c>
      <c r="BN46" s="97">
        <f t="shared" si="38"/>
        <v>3</v>
      </c>
      <c r="BO46" s="97">
        <f t="shared" si="39"/>
        <v>18</v>
      </c>
      <c r="BP46" s="97">
        <f t="shared" si="40"/>
        <v>12</v>
      </c>
      <c r="BQ46" s="97">
        <f t="shared" si="41"/>
        <v>3</v>
      </c>
      <c r="BR46" s="97">
        <f t="shared" si="42"/>
        <v>8</v>
      </c>
      <c r="BS46" s="97">
        <f t="shared" si="43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74" t="s">
        <v>30</v>
      </c>
      <c r="CD46" s="75">
        <v>40</v>
      </c>
      <c r="CE46" s="76">
        <v>15</v>
      </c>
      <c r="CF46" s="76">
        <v>15</v>
      </c>
      <c r="CG46" s="76">
        <v>10</v>
      </c>
      <c r="CH46" s="76">
        <v>5</v>
      </c>
      <c r="CI46" s="76">
        <v>5</v>
      </c>
      <c r="CJ46" s="77">
        <v>1</v>
      </c>
      <c r="CK46" s="79">
        <v>11</v>
      </c>
      <c r="CM46" s="7" t="s">
        <v>116</v>
      </c>
      <c r="CN46" s="13">
        <v>0</v>
      </c>
      <c r="CO46" s="13">
        <v>747</v>
      </c>
      <c r="CP46" s="13">
        <v>1092</v>
      </c>
      <c r="CQ46" s="13">
        <v>780</v>
      </c>
      <c r="CR46" s="13">
        <v>520</v>
      </c>
      <c r="CS46" s="13">
        <v>0</v>
      </c>
      <c r="CW46" s="22">
        <v>42</v>
      </c>
      <c r="CX46" s="98" t="s">
        <v>39</v>
      </c>
      <c r="CY46" s="98" t="s">
        <v>34</v>
      </c>
      <c r="CZ46" s="98" t="s">
        <v>177</v>
      </c>
      <c r="DA46" s="98" t="s">
        <v>41</v>
      </c>
      <c r="DB46" s="98" t="s">
        <v>34</v>
      </c>
      <c r="DC46" s="98" t="s">
        <v>26</v>
      </c>
      <c r="DD46" s="37" t="s">
        <v>78</v>
      </c>
      <c r="DF46" s="97">
        <f t="shared" si="45"/>
        <v>10</v>
      </c>
      <c r="DG46" s="97">
        <f t="shared" si="10"/>
        <v>3</v>
      </c>
      <c r="DH46" s="97">
        <f t="shared" si="11"/>
        <v>18</v>
      </c>
      <c r="DI46" s="97">
        <f t="shared" si="12"/>
        <v>12</v>
      </c>
      <c r="DJ46" s="97">
        <f t="shared" si="13"/>
        <v>3</v>
      </c>
      <c r="DK46" s="97">
        <f t="shared" si="14"/>
        <v>8</v>
      </c>
      <c r="DL46" s="97">
        <f t="shared" si="15"/>
        <v>6</v>
      </c>
      <c r="DN46" s="25">
        <v>1</v>
      </c>
      <c r="DO46" s="25">
        <v>1</v>
      </c>
      <c r="DP46" s="25">
        <v>1</v>
      </c>
      <c r="DQ46" s="25">
        <v>1</v>
      </c>
      <c r="DR46" s="25">
        <v>1</v>
      </c>
      <c r="DS46" s="25">
        <v>1</v>
      </c>
      <c r="DT46" s="7">
        <v>1</v>
      </c>
      <c r="DV46" s="74" t="s">
        <v>30</v>
      </c>
      <c r="DW46" s="75">
        <v>40</v>
      </c>
      <c r="DX46" s="76">
        <v>15</v>
      </c>
      <c r="DY46" s="76">
        <v>15</v>
      </c>
      <c r="DZ46" s="76">
        <v>10</v>
      </c>
      <c r="EA46" s="76">
        <v>5</v>
      </c>
      <c r="EB46" s="76">
        <v>5</v>
      </c>
      <c r="EC46" s="77">
        <v>1</v>
      </c>
      <c r="ED46" s="79">
        <v>11</v>
      </c>
    </row>
    <row r="47" spans="1:134" ht="16.5" customHeight="1">
      <c r="A47" s="7" t="s">
        <v>117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K47" s="21">
        <v>43</v>
      </c>
      <c r="L47" s="98" t="s">
        <v>41</v>
      </c>
      <c r="M47" s="98" t="s">
        <v>34</v>
      </c>
      <c r="N47" s="98" t="s">
        <v>163</v>
      </c>
      <c r="O47" s="98" t="s">
        <v>39</v>
      </c>
      <c r="P47" s="98" t="s">
        <v>163</v>
      </c>
      <c r="Q47" s="98" t="s">
        <v>26</v>
      </c>
      <c r="R47" s="37" t="s">
        <v>34</v>
      </c>
      <c r="T47" s="97">
        <f t="shared" si="23"/>
        <v>12</v>
      </c>
      <c r="U47" s="97">
        <f t="shared" si="24"/>
        <v>3</v>
      </c>
      <c r="V47" s="97">
        <f t="shared" si="25"/>
        <v>7</v>
      </c>
      <c r="W47" s="97">
        <f t="shared" si="26"/>
        <v>10</v>
      </c>
      <c r="X47" s="97">
        <f t="shared" si="27"/>
        <v>7</v>
      </c>
      <c r="Y47" s="97">
        <f t="shared" si="28"/>
        <v>8</v>
      </c>
      <c r="Z47" s="97">
        <f t="shared" si="29"/>
        <v>3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74" t="s">
        <v>82</v>
      </c>
      <c r="AK47" s="75">
        <v>0</v>
      </c>
      <c r="AL47" s="76">
        <v>2</v>
      </c>
      <c r="AM47" s="76">
        <v>5</v>
      </c>
      <c r="AN47" s="76">
        <v>2</v>
      </c>
      <c r="AO47" s="76">
        <v>4</v>
      </c>
      <c r="AP47" s="76">
        <v>0</v>
      </c>
      <c r="AQ47" s="77">
        <v>0</v>
      </c>
      <c r="AR47" s="78">
        <v>12</v>
      </c>
      <c r="AT47" s="7" t="s">
        <v>117</v>
      </c>
      <c r="AU47" s="13">
        <v>1</v>
      </c>
      <c r="AV47" s="13">
        <v>1340</v>
      </c>
      <c r="AW47" s="13">
        <v>2410</v>
      </c>
      <c r="AX47" s="13">
        <v>470</v>
      </c>
      <c r="AY47" s="13">
        <v>400</v>
      </c>
      <c r="AZ47" s="13">
        <v>1</v>
      </c>
      <c r="BD47" s="21">
        <v>43</v>
      </c>
      <c r="BE47" s="98" t="s">
        <v>41</v>
      </c>
      <c r="BF47" s="98" t="s">
        <v>34</v>
      </c>
      <c r="BG47" s="98" t="s">
        <v>26</v>
      </c>
      <c r="BH47" s="98" t="s">
        <v>39</v>
      </c>
      <c r="BI47" s="98" t="s">
        <v>163</v>
      </c>
      <c r="BJ47" s="98" t="s">
        <v>26</v>
      </c>
      <c r="BK47" s="37" t="s">
        <v>34</v>
      </c>
      <c r="BM47" s="97">
        <f t="shared" si="37"/>
        <v>12</v>
      </c>
      <c r="BN47" s="97">
        <f t="shared" si="38"/>
        <v>3</v>
      </c>
      <c r="BO47" s="97">
        <f t="shared" si="39"/>
        <v>8</v>
      </c>
      <c r="BP47" s="97">
        <f t="shared" si="40"/>
        <v>10</v>
      </c>
      <c r="BQ47" s="97">
        <f t="shared" si="41"/>
        <v>7</v>
      </c>
      <c r="BR47" s="97">
        <f t="shared" si="42"/>
        <v>8</v>
      </c>
      <c r="BS47" s="97">
        <f t="shared" si="43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74" t="s">
        <v>82</v>
      </c>
      <c r="CD47" s="75">
        <v>0</v>
      </c>
      <c r="CE47" s="76">
        <v>2</v>
      </c>
      <c r="CF47" s="76">
        <v>5</v>
      </c>
      <c r="CG47" s="76">
        <v>2</v>
      </c>
      <c r="CH47" s="76">
        <v>4</v>
      </c>
      <c r="CI47" s="76">
        <v>0</v>
      </c>
      <c r="CJ47" s="77">
        <v>0</v>
      </c>
      <c r="CK47" s="78">
        <v>12</v>
      </c>
      <c r="CM47" s="7" t="s">
        <v>117</v>
      </c>
      <c r="CN47" s="13">
        <v>1</v>
      </c>
      <c r="CO47" s="13">
        <v>1340</v>
      </c>
      <c r="CP47" s="13">
        <v>2410</v>
      </c>
      <c r="CQ47" s="13">
        <v>470</v>
      </c>
      <c r="CR47" s="13">
        <v>400</v>
      </c>
      <c r="CS47" s="13">
        <v>1</v>
      </c>
      <c r="CW47" s="21">
        <v>43</v>
      </c>
      <c r="CX47" s="98" t="s">
        <v>41</v>
      </c>
      <c r="CY47" s="98" t="s">
        <v>34</v>
      </c>
      <c r="CZ47" s="98" t="s">
        <v>26</v>
      </c>
      <c r="DA47" s="98" t="s">
        <v>39</v>
      </c>
      <c r="DB47" s="98" t="s">
        <v>163</v>
      </c>
      <c r="DC47" s="98" t="s">
        <v>26</v>
      </c>
      <c r="DD47" s="37" t="s">
        <v>34</v>
      </c>
      <c r="DF47" s="97">
        <f t="shared" si="45"/>
        <v>12</v>
      </c>
      <c r="DG47" s="97">
        <f t="shared" si="10"/>
        <v>3</v>
      </c>
      <c r="DH47" s="97">
        <f t="shared" si="11"/>
        <v>8</v>
      </c>
      <c r="DI47" s="97">
        <f t="shared" si="12"/>
        <v>10</v>
      </c>
      <c r="DJ47" s="97">
        <f t="shared" si="13"/>
        <v>7</v>
      </c>
      <c r="DK47" s="97">
        <f t="shared" si="14"/>
        <v>8</v>
      </c>
      <c r="DL47" s="97">
        <f t="shared" si="15"/>
        <v>3</v>
      </c>
      <c r="DN47" s="25">
        <v>1</v>
      </c>
      <c r="DO47" s="25">
        <v>1</v>
      </c>
      <c r="DP47" s="25">
        <v>1</v>
      </c>
      <c r="DQ47" s="25">
        <v>1</v>
      </c>
      <c r="DR47" s="25">
        <v>1</v>
      </c>
      <c r="DS47" s="25">
        <v>1</v>
      </c>
      <c r="DT47" s="7">
        <v>1</v>
      </c>
      <c r="DV47" s="74" t="s">
        <v>82</v>
      </c>
      <c r="DW47" s="75">
        <v>0</v>
      </c>
      <c r="DX47" s="76">
        <v>2</v>
      </c>
      <c r="DY47" s="76">
        <v>5</v>
      </c>
      <c r="DZ47" s="76">
        <v>2</v>
      </c>
      <c r="EA47" s="76">
        <v>4</v>
      </c>
      <c r="EB47" s="76">
        <v>0</v>
      </c>
      <c r="EC47" s="77">
        <v>0</v>
      </c>
      <c r="ED47" s="78">
        <v>12</v>
      </c>
    </row>
    <row r="48" spans="1:134" ht="16.5" customHeight="1" thickBot="1">
      <c r="A48" s="96"/>
      <c r="B48" s="96"/>
      <c r="C48" s="96"/>
      <c r="D48" s="96"/>
      <c r="E48" s="96"/>
      <c r="F48" s="96"/>
      <c r="G48" s="96"/>
      <c r="K48" s="22">
        <v>44</v>
      </c>
      <c r="L48" s="98" t="s">
        <v>38</v>
      </c>
      <c r="M48" s="98" t="s">
        <v>207</v>
      </c>
      <c r="N48" s="98" t="s">
        <v>38</v>
      </c>
      <c r="O48" s="98" t="s">
        <v>39</v>
      </c>
      <c r="P48" s="98" t="s">
        <v>163</v>
      </c>
      <c r="Q48" s="98" t="s">
        <v>38</v>
      </c>
      <c r="R48" s="37" t="s">
        <v>34</v>
      </c>
      <c r="T48" s="97">
        <f t="shared" si="23"/>
        <v>9</v>
      </c>
      <c r="U48" s="97">
        <f t="shared" si="24"/>
        <v>16</v>
      </c>
      <c r="V48" s="97">
        <f t="shared" si="25"/>
        <v>9</v>
      </c>
      <c r="W48" s="97">
        <f t="shared" si="26"/>
        <v>10</v>
      </c>
      <c r="X48" s="97">
        <f t="shared" si="27"/>
        <v>7</v>
      </c>
      <c r="Y48" s="97">
        <f t="shared" si="28"/>
        <v>9</v>
      </c>
      <c r="Z48" s="97">
        <f t="shared" si="29"/>
        <v>3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75">
        <v>0</v>
      </c>
      <c r="AL48" s="76">
        <v>2</v>
      </c>
      <c r="AM48" s="76">
        <v>2</v>
      </c>
      <c r="AN48" s="76">
        <v>2</v>
      </c>
      <c r="AO48" s="76">
        <v>2</v>
      </c>
      <c r="AP48" s="76">
        <v>0</v>
      </c>
      <c r="AQ48" s="77">
        <v>0</v>
      </c>
      <c r="AR48" s="78">
        <v>13</v>
      </c>
      <c r="AT48" s="96"/>
      <c r="AU48" s="96"/>
      <c r="AV48" s="96"/>
      <c r="AW48" s="96"/>
      <c r="AX48" s="96"/>
      <c r="AY48" s="96"/>
      <c r="BD48" s="22">
        <v>44</v>
      </c>
      <c r="BE48" s="98" t="s">
        <v>38</v>
      </c>
      <c r="BF48" s="98" t="s">
        <v>207</v>
      </c>
      <c r="BG48" s="98" t="s">
        <v>38</v>
      </c>
      <c r="BH48" s="98" t="s">
        <v>39</v>
      </c>
      <c r="BI48" s="98" t="s">
        <v>163</v>
      </c>
      <c r="BJ48" s="98" t="s">
        <v>38</v>
      </c>
      <c r="BK48" s="37" t="s">
        <v>34</v>
      </c>
      <c r="BM48" s="97">
        <f t="shared" si="37"/>
        <v>9</v>
      </c>
      <c r="BN48" s="97">
        <f t="shared" si="38"/>
        <v>16</v>
      </c>
      <c r="BO48" s="97">
        <f t="shared" si="39"/>
        <v>9</v>
      </c>
      <c r="BP48" s="97">
        <f t="shared" si="40"/>
        <v>10</v>
      </c>
      <c r="BQ48" s="97">
        <f t="shared" si="41"/>
        <v>7</v>
      </c>
      <c r="BR48" s="97">
        <f t="shared" si="42"/>
        <v>9</v>
      </c>
      <c r="BS48" s="97">
        <f t="shared" si="43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74" t="s">
        <v>83</v>
      </c>
      <c r="CD48" s="75">
        <v>0</v>
      </c>
      <c r="CE48" s="76">
        <v>2</v>
      </c>
      <c r="CF48" s="76">
        <v>2</v>
      </c>
      <c r="CG48" s="76">
        <v>2</v>
      </c>
      <c r="CH48" s="76">
        <v>2</v>
      </c>
      <c r="CI48" s="76">
        <v>0</v>
      </c>
      <c r="CJ48" s="77">
        <v>0</v>
      </c>
      <c r="CK48" s="78">
        <v>13</v>
      </c>
      <c r="CM48" s="96"/>
      <c r="CN48" s="96"/>
      <c r="CO48" s="96"/>
      <c r="CP48" s="96"/>
      <c r="CQ48" s="96"/>
      <c r="CR48" s="96"/>
      <c r="CW48" s="22">
        <v>44</v>
      </c>
      <c r="CX48" s="98" t="s">
        <v>38</v>
      </c>
      <c r="CY48" s="98" t="s">
        <v>207</v>
      </c>
      <c r="CZ48" s="98" t="s">
        <v>38</v>
      </c>
      <c r="DA48" s="98" t="s">
        <v>39</v>
      </c>
      <c r="DB48" s="98" t="s">
        <v>163</v>
      </c>
      <c r="DC48" s="98" t="s">
        <v>38</v>
      </c>
      <c r="DD48" s="37" t="s">
        <v>34</v>
      </c>
      <c r="DF48" s="97">
        <f t="shared" si="45"/>
        <v>9</v>
      </c>
      <c r="DG48" s="97">
        <f t="shared" si="10"/>
        <v>16</v>
      </c>
      <c r="DH48" s="97">
        <f t="shared" si="11"/>
        <v>9</v>
      </c>
      <c r="DI48" s="97">
        <f t="shared" si="12"/>
        <v>10</v>
      </c>
      <c r="DJ48" s="97">
        <f t="shared" si="13"/>
        <v>7</v>
      </c>
      <c r="DK48" s="97">
        <f t="shared" si="14"/>
        <v>9</v>
      </c>
      <c r="DL48" s="97">
        <f t="shared" si="15"/>
        <v>3</v>
      </c>
      <c r="DN48" s="25">
        <v>1</v>
      </c>
      <c r="DO48" s="25">
        <v>1</v>
      </c>
      <c r="DP48" s="25">
        <v>1</v>
      </c>
      <c r="DQ48" s="25">
        <v>1</v>
      </c>
      <c r="DR48" s="25">
        <v>1</v>
      </c>
      <c r="DS48" s="25">
        <v>1</v>
      </c>
      <c r="DT48" s="7">
        <v>1</v>
      </c>
      <c r="DV48" s="74" t="s">
        <v>83</v>
      </c>
      <c r="DW48" s="75">
        <v>0</v>
      </c>
      <c r="DX48" s="76">
        <v>2</v>
      </c>
      <c r="DY48" s="76">
        <v>2</v>
      </c>
      <c r="DZ48" s="76">
        <v>2</v>
      </c>
      <c r="EA48" s="76">
        <v>2</v>
      </c>
      <c r="EB48" s="76">
        <v>0</v>
      </c>
      <c r="EC48" s="77">
        <v>0</v>
      </c>
      <c r="ED48" s="78">
        <v>13</v>
      </c>
    </row>
    <row r="49" spans="1:134" ht="16.5" customHeight="1" thickBot="1">
      <c r="A49" s="149" t="s">
        <v>182</v>
      </c>
      <c r="B49" s="154" t="s">
        <v>183</v>
      </c>
      <c r="K49" s="21">
        <v>45</v>
      </c>
      <c r="L49" s="98" t="s">
        <v>38</v>
      </c>
      <c r="M49" s="98" t="s">
        <v>39</v>
      </c>
      <c r="N49" s="98" t="s">
        <v>203</v>
      </c>
      <c r="O49" s="98" t="s">
        <v>34</v>
      </c>
      <c r="P49" s="98" t="s">
        <v>40</v>
      </c>
      <c r="Q49" s="98" t="s">
        <v>38</v>
      </c>
      <c r="R49" s="37" t="s">
        <v>36</v>
      </c>
      <c r="T49" s="97">
        <f t="shared" si="23"/>
        <v>9</v>
      </c>
      <c r="U49" s="97">
        <f t="shared" si="24"/>
        <v>10</v>
      </c>
      <c r="V49" s="97">
        <f t="shared" si="25"/>
        <v>20</v>
      </c>
      <c r="W49" s="97">
        <f t="shared" si="26"/>
        <v>3</v>
      </c>
      <c r="X49" s="97">
        <f t="shared" si="27"/>
        <v>11</v>
      </c>
      <c r="Y49" s="97">
        <f t="shared" si="28"/>
        <v>9</v>
      </c>
      <c r="Z49" s="97">
        <f t="shared" si="29"/>
        <v>5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74" t="s">
        <v>84</v>
      </c>
      <c r="AK49" s="75">
        <v>0</v>
      </c>
      <c r="AL49" s="76">
        <v>4</v>
      </c>
      <c r="AM49" s="76">
        <v>5</v>
      </c>
      <c r="AN49" s="76">
        <v>2</v>
      </c>
      <c r="AO49" s="76">
        <v>2</v>
      </c>
      <c r="AP49" s="76">
        <v>0</v>
      </c>
      <c r="AQ49" s="77">
        <v>0</v>
      </c>
      <c r="AR49" s="78">
        <v>14</v>
      </c>
      <c r="AT49" s="149" t="s">
        <v>182</v>
      </c>
      <c r="AU49" s="154" t="s">
        <v>183</v>
      </c>
      <c r="BD49" s="21">
        <v>45</v>
      </c>
      <c r="BE49" s="98" t="s">
        <v>38</v>
      </c>
      <c r="BF49" s="98" t="s">
        <v>39</v>
      </c>
      <c r="BG49" s="98" t="s">
        <v>203</v>
      </c>
      <c r="BH49" s="98" t="s">
        <v>34</v>
      </c>
      <c r="BI49" s="98" t="s">
        <v>40</v>
      </c>
      <c r="BJ49" s="98" t="s">
        <v>38</v>
      </c>
      <c r="BK49" s="37" t="s">
        <v>36</v>
      </c>
      <c r="BM49" s="97">
        <f t="shared" si="37"/>
        <v>9</v>
      </c>
      <c r="BN49" s="97">
        <f t="shared" si="38"/>
        <v>10</v>
      </c>
      <c r="BO49" s="97">
        <f t="shared" si="39"/>
        <v>20</v>
      </c>
      <c r="BP49" s="97">
        <f t="shared" si="40"/>
        <v>3</v>
      </c>
      <c r="BQ49" s="97">
        <f t="shared" si="41"/>
        <v>11</v>
      </c>
      <c r="BR49" s="97">
        <f t="shared" si="42"/>
        <v>9</v>
      </c>
      <c r="BS49" s="97">
        <f t="shared" si="43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74" t="s">
        <v>84</v>
      </c>
      <c r="CD49" s="75">
        <v>0</v>
      </c>
      <c r="CE49" s="76">
        <v>4</v>
      </c>
      <c r="CF49" s="76">
        <v>5</v>
      </c>
      <c r="CG49" s="76">
        <v>2</v>
      </c>
      <c r="CH49" s="76">
        <v>2</v>
      </c>
      <c r="CI49" s="76">
        <v>0</v>
      </c>
      <c r="CJ49" s="77">
        <v>0</v>
      </c>
      <c r="CK49" s="78">
        <v>14</v>
      </c>
      <c r="CM49" s="149" t="s">
        <v>182</v>
      </c>
      <c r="CN49" s="154" t="s">
        <v>183</v>
      </c>
      <c r="CW49" s="21">
        <v>45</v>
      </c>
      <c r="CX49" s="98" t="s">
        <v>38</v>
      </c>
      <c r="CY49" s="98" t="s">
        <v>39</v>
      </c>
      <c r="CZ49" s="98" t="s">
        <v>203</v>
      </c>
      <c r="DA49" s="98" t="s">
        <v>34</v>
      </c>
      <c r="DB49" s="98" t="s">
        <v>40</v>
      </c>
      <c r="DC49" s="98" t="s">
        <v>38</v>
      </c>
      <c r="DD49" s="37" t="s">
        <v>36</v>
      </c>
      <c r="DF49" s="97">
        <f t="shared" si="45"/>
        <v>9</v>
      </c>
      <c r="DG49" s="97">
        <f t="shared" si="10"/>
        <v>10</v>
      </c>
      <c r="DH49" s="97">
        <f t="shared" si="11"/>
        <v>20</v>
      </c>
      <c r="DI49" s="97">
        <f t="shared" si="12"/>
        <v>3</v>
      </c>
      <c r="DJ49" s="97">
        <f t="shared" si="13"/>
        <v>11</v>
      </c>
      <c r="DK49" s="97">
        <f t="shared" si="14"/>
        <v>9</v>
      </c>
      <c r="DL49" s="97">
        <f t="shared" si="15"/>
        <v>5</v>
      </c>
      <c r="DN49" s="25">
        <v>1</v>
      </c>
      <c r="DO49" s="25">
        <v>1</v>
      </c>
      <c r="DP49" s="25">
        <v>1</v>
      </c>
      <c r="DQ49" s="25">
        <v>1</v>
      </c>
      <c r="DR49" s="25">
        <v>1</v>
      </c>
      <c r="DS49" s="25">
        <v>1</v>
      </c>
      <c r="DT49" s="7">
        <v>1</v>
      </c>
      <c r="DV49" s="74" t="s">
        <v>84</v>
      </c>
      <c r="DW49" s="75">
        <v>0</v>
      </c>
      <c r="DX49" s="76">
        <v>4</v>
      </c>
      <c r="DY49" s="76">
        <v>5</v>
      </c>
      <c r="DZ49" s="76">
        <v>2</v>
      </c>
      <c r="EA49" s="76">
        <v>2</v>
      </c>
      <c r="EB49" s="76">
        <v>0</v>
      </c>
      <c r="EC49" s="77">
        <v>0</v>
      </c>
      <c r="ED49" s="78">
        <v>14</v>
      </c>
    </row>
    <row r="50" spans="1:134" ht="16.5" customHeight="1">
      <c r="A50" s="151" t="s">
        <v>81</v>
      </c>
      <c r="B50" s="152">
        <v>0</v>
      </c>
      <c r="K50" s="22">
        <v>46</v>
      </c>
      <c r="L50" s="98" t="s">
        <v>40</v>
      </c>
      <c r="M50" s="98" t="s">
        <v>26</v>
      </c>
      <c r="N50" s="98" t="s">
        <v>34</v>
      </c>
      <c r="O50" s="98" t="s">
        <v>34</v>
      </c>
      <c r="P50" s="98" t="s">
        <v>40</v>
      </c>
      <c r="Q50" s="98" t="s">
        <v>78</v>
      </c>
      <c r="R50" s="37" t="s">
        <v>36</v>
      </c>
      <c r="T50" s="97">
        <f t="shared" si="23"/>
        <v>11</v>
      </c>
      <c r="U50" s="97">
        <f t="shared" si="24"/>
        <v>8</v>
      </c>
      <c r="V50" s="97">
        <f t="shared" si="25"/>
        <v>3</v>
      </c>
      <c r="W50" s="97">
        <f t="shared" si="26"/>
        <v>3</v>
      </c>
      <c r="X50" s="97">
        <f t="shared" si="27"/>
        <v>11</v>
      </c>
      <c r="Y50" s="97">
        <f t="shared" si="28"/>
        <v>6</v>
      </c>
      <c r="Z50" s="97">
        <f t="shared" si="29"/>
        <v>5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75">
        <v>0</v>
      </c>
      <c r="AL50" s="76">
        <v>2</v>
      </c>
      <c r="AM50" s="76">
        <v>2</v>
      </c>
      <c r="AN50" s="76">
        <v>2</v>
      </c>
      <c r="AO50" s="76">
        <v>2</v>
      </c>
      <c r="AP50" s="76">
        <v>0</v>
      </c>
      <c r="AQ50" s="77">
        <v>0</v>
      </c>
      <c r="AR50" s="78">
        <v>15</v>
      </c>
      <c r="AT50" s="151" t="s">
        <v>81</v>
      </c>
      <c r="AU50" s="152">
        <v>0</v>
      </c>
      <c r="BD50" s="22">
        <v>46</v>
      </c>
      <c r="BE50" s="98" t="s">
        <v>40</v>
      </c>
      <c r="BF50" s="98" t="s">
        <v>26</v>
      </c>
      <c r="BG50" s="98" t="s">
        <v>34</v>
      </c>
      <c r="BH50" s="98" t="s">
        <v>34</v>
      </c>
      <c r="BI50" s="98" t="s">
        <v>40</v>
      </c>
      <c r="BJ50" s="98" t="s">
        <v>78</v>
      </c>
      <c r="BK50" s="37" t="s">
        <v>36</v>
      </c>
      <c r="BM50" s="97">
        <f t="shared" si="37"/>
        <v>11</v>
      </c>
      <c r="BN50" s="97">
        <f t="shared" si="38"/>
        <v>8</v>
      </c>
      <c r="BO50" s="97">
        <f t="shared" si="39"/>
        <v>3</v>
      </c>
      <c r="BP50" s="97">
        <f t="shared" si="40"/>
        <v>3</v>
      </c>
      <c r="BQ50" s="97">
        <f t="shared" si="41"/>
        <v>11</v>
      </c>
      <c r="BR50" s="97">
        <f t="shared" si="42"/>
        <v>6</v>
      </c>
      <c r="BS50" s="97">
        <f t="shared" si="43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74" t="s">
        <v>85</v>
      </c>
      <c r="CD50" s="75">
        <v>0</v>
      </c>
      <c r="CE50" s="76">
        <v>2</v>
      </c>
      <c r="CF50" s="76">
        <v>2</v>
      </c>
      <c r="CG50" s="76">
        <v>2</v>
      </c>
      <c r="CH50" s="76">
        <v>2</v>
      </c>
      <c r="CI50" s="76">
        <v>0</v>
      </c>
      <c r="CJ50" s="77">
        <v>0</v>
      </c>
      <c r="CK50" s="78">
        <v>15</v>
      </c>
      <c r="CM50" s="151" t="s">
        <v>81</v>
      </c>
      <c r="CN50" s="152">
        <v>0</v>
      </c>
      <c r="CW50" s="22">
        <v>46</v>
      </c>
      <c r="CX50" s="98" t="s">
        <v>40</v>
      </c>
      <c r="CY50" s="98" t="s">
        <v>26</v>
      </c>
      <c r="CZ50" s="98" t="s">
        <v>34</v>
      </c>
      <c r="DA50" s="98" t="s">
        <v>34</v>
      </c>
      <c r="DB50" s="98" t="s">
        <v>40</v>
      </c>
      <c r="DC50" s="98" t="s">
        <v>78</v>
      </c>
      <c r="DD50" s="37" t="s">
        <v>36</v>
      </c>
      <c r="DF50" s="97">
        <f t="shared" si="45"/>
        <v>11</v>
      </c>
      <c r="DG50" s="97">
        <f t="shared" si="10"/>
        <v>8</v>
      </c>
      <c r="DH50" s="97">
        <f t="shared" si="11"/>
        <v>3</v>
      </c>
      <c r="DI50" s="97">
        <f t="shared" si="12"/>
        <v>3</v>
      </c>
      <c r="DJ50" s="97">
        <f t="shared" si="13"/>
        <v>11</v>
      </c>
      <c r="DK50" s="97">
        <f t="shared" si="14"/>
        <v>6</v>
      </c>
      <c r="DL50" s="97">
        <f t="shared" si="15"/>
        <v>5</v>
      </c>
      <c r="DN50" s="25">
        <v>1</v>
      </c>
      <c r="DO50" s="25">
        <v>1</v>
      </c>
      <c r="DP50" s="25">
        <v>1</v>
      </c>
      <c r="DQ50" s="25">
        <v>1</v>
      </c>
      <c r="DR50" s="25">
        <v>1</v>
      </c>
      <c r="DS50" s="25">
        <v>1</v>
      </c>
      <c r="DT50" s="7">
        <v>1</v>
      </c>
      <c r="DV50" s="74" t="s">
        <v>85</v>
      </c>
      <c r="DW50" s="75">
        <v>0</v>
      </c>
      <c r="DX50" s="76">
        <v>2</v>
      </c>
      <c r="DY50" s="76">
        <v>2</v>
      </c>
      <c r="DZ50" s="76">
        <v>2</v>
      </c>
      <c r="EA50" s="76">
        <v>2</v>
      </c>
      <c r="EB50" s="76">
        <v>0</v>
      </c>
      <c r="EC50" s="77">
        <v>0</v>
      </c>
      <c r="ED50" s="78">
        <v>15</v>
      </c>
    </row>
    <row r="51" spans="1:134" ht="16.5" customHeight="1">
      <c r="A51" s="150" t="s">
        <v>20</v>
      </c>
      <c r="B51" s="153">
        <v>0</v>
      </c>
      <c r="K51" s="21">
        <v>47</v>
      </c>
      <c r="L51" s="98" t="s">
        <v>39</v>
      </c>
      <c r="M51" s="98" t="s">
        <v>39</v>
      </c>
      <c r="N51" s="98" t="s">
        <v>163</v>
      </c>
      <c r="O51" s="98" t="s">
        <v>34</v>
      </c>
      <c r="P51" s="98" t="s">
        <v>163</v>
      </c>
      <c r="Q51" s="98" t="s">
        <v>78</v>
      </c>
      <c r="R51" s="37" t="s">
        <v>36</v>
      </c>
      <c r="T51" s="97">
        <f t="shared" si="23"/>
        <v>10</v>
      </c>
      <c r="U51" s="97">
        <f t="shared" si="24"/>
        <v>10</v>
      </c>
      <c r="V51" s="97">
        <f t="shared" si="25"/>
        <v>7</v>
      </c>
      <c r="W51" s="97">
        <f t="shared" si="26"/>
        <v>3</v>
      </c>
      <c r="X51" s="97">
        <f t="shared" si="27"/>
        <v>7</v>
      </c>
      <c r="Y51" s="97">
        <f t="shared" si="28"/>
        <v>6</v>
      </c>
      <c r="Z51" s="97">
        <f t="shared" si="29"/>
        <v>5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75">
        <v>0</v>
      </c>
      <c r="AL51" s="76">
        <v>4</v>
      </c>
      <c r="AM51" s="76">
        <v>5</v>
      </c>
      <c r="AN51" s="76">
        <v>2</v>
      </c>
      <c r="AO51" s="76">
        <v>4</v>
      </c>
      <c r="AP51" s="76">
        <v>0</v>
      </c>
      <c r="AQ51" s="77">
        <v>0</v>
      </c>
      <c r="AR51" s="78">
        <v>16</v>
      </c>
      <c r="AT51" s="150" t="s">
        <v>20</v>
      </c>
      <c r="AU51" s="153">
        <v>0</v>
      </c>
      <c r="BD51" s="21">
        <v>47</v>
      </c>
      <c r="BE51" s="98" t="s">
        <v>39</v>
      </c>
      <c r="BF51" s="98" t="s">
        <v>39</v>
      </c>
      <c r="BG51" s="98" t="s">
        <v>26</v>
      </c>
      <c r="BH51" s="98" t="s">
        <v>34</v>
      </c>
      <c r="BI51" s="98" t="s">
        <v>163</v>
      </c>
      <c r="BJ51" s="98" t="s">
        <v>78</v>
      </c>
      <c r="BK51" s="37" t="s">
        <v>36</v>
      </c>
      <c r="BM51" s="97">
        <f t="shared" si="37"/>
        <v>10</v>
      </c>
      <c r="BN51" s="97">
        <f t="shared" si="38"/>
        <v>10</v>
      </c>
      <c r="BO51" s="97">
        <f t="shared" si="39"/>
        <v>8</v>
      </c>
      <c r="BP51" s="97">
        <f t="shared" si="40"/>
        <v>3</v>
      </c>
      <c r="BQ51" s="97">
        <f t="shared" si="41"/>
        <v>7</v>
      </c>
      <c r="BR51" s="97">
        <f t="shared" si="42"/>
        <v>6</v>
      </c>
      <c r="BS51" s="97">
        <f t="shared" si="43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74" t="s">
        <v>86</v>
      </c>
      <c r="CD51" s="75">
        <v>0</v>
      </c>
      <c r="CE51" s="76">
        <v>4</v>
      </c>
      <c r="CF51" s="76">
        <v>5</v>
      </c>
      <c r="CG51" s="76">
        <v>2</v>
      </c>
      <c r="CH51" s="76">
        <v>4</v>
      </c>
      <c r="CI51" s="76">
        <v>0</v>
      </c>
      <c r="CJ51" s="77">
        <v>0</v>
      </c>
      <c r="CK51" s="78">
        <v>16</v>
      </c>
      <c r="CM51" s="150" t="s">
        <v>20</v>
      </c>
      <c r="CN51" s="153">
        <v>0</v>
      </c>
      <c r="CW51" s="21">
        <v>47</v>
      </c>
      <c r="CX51" s="98" t="s">
        <v>39</v>
      </c>
      <c r="CY51" s="98" t="s">
        <v>39</v>
      </c>
      <c r="CZ51" s="98" t="s">
        <v>26</v>
      </c>
      <c r="DA51" s="98" t="s">
        <v>34</v>
      </c>
      <c r="DB51" s="98" t="s">
        <v>163</v>
      </c>
      <c r="DC51" s="98" t="s">
        <v>78</v>
      </c>
      <c r="DD51" s="37" t="s">
        <v>36</v>
      </c>
      <c r="DF51" s="97">
        <f t="shared" si="45"/>
        <v>10</v>
      </c>
      <c r="DG51" s="97">
        <f t="shared" si="10"/>
        <v>10</v>
      </c>
      <c r="DH51" s="97">
        <f t="shared" si="11"/>
        <v>8</v>
      </c>
      <c r="DI51" s="97">
        <f t="shared" si="12"/>
        <v>3</v>
      </c>
      <c r="DJ51" s="97">
        <f t="shared" si="13"/>
        <v>7</v>
      </c>
      <c r="DK51" s="97">
        <f t="shared" si="14"/>
        <v>6</v>
      </c>
      <c r="DL51" s="97">
        <f t="shared" si="15"/>
        <v>5</v>
      </c>
      <c r="DN51" s="25">
        <v>1</v>
      </c>
      <c r="DO51" s="25">
        <v>1</v>
      </c>
      <c r="DP51" s="25">
        <v>1</v>
      </c>
      <c r="DQ51" s="25">
        <v>1</v>
      </c>
      <c r="DR51" s="25">
        <v>1</v>
      </c>
      <c r="DS51" s="25">
        <v>1</v>
      </c>
      <c r="DT51" s="7">
        <v>1</v>
      </c>
      <c r="DV51" s="74" t="s">
        <v>86</v>
      </c>
      <c r="DW51" s="75">
        <v>0</v>
      </c>
      <c r="DX51" s="76">
        <v>4</v>
      </c>
      <c r="DY51" s="76">
        <v>5</v>
      </c>
      <c r="DZ51" s="76">
        <v>2</v>
      </c>
      <c r="EA51" s="76">
        <v>4</v>
      </c>
      <c r="EB51" s="76">
        <v>0</v>
      </c>
      <c r="EC51" s="77">
        <v>0</v>
      </c>
      <c r="ED51" s="78">
        <v>16</v>
      </c>
    </row>
    <row r="52" spans="1:134" ht="16.5" customHeight="1">
      <c r="A52" s="150" t="s">
        <v>21</v>
      </c>
      <c r="B52" s="153">
        <v>2</v>
      </c>
      <c r="K52" s="22">
        <v>48</v>
      </c>
      <c r="L52" s="98" t="s">
        <v>41</v>
      </c>
      <c r="M52" s="98" t="s">
        <v>39</v>
      </c>
      <c r="N52" s="98" t="s">
        <v>26</v>
      </c>
      <c r="O52" s="98" t="s">
        <v>78</v>
      </c>
      <c r="P52" s="98" t="s">
        <v>163</v>
      </c>
      <c r="Q52" s="98" t="s">
        <v>39</v>
      </c>
      <c r="R52" s="37" t="s">
        <v>35</v>
      </c>
      <c r="T52" s="97">
        <f t="shared" si="23"/>
        <v>12</v>
      </c>
      <c r="U52" s="97">
        <f t="shared" si="24"/>
        <v>10</v>
      </c>
      <c r="V52" s="97">
        <f t="shared" si="25"/>
        <v>8</v>
      </c>
      <c r="W52" s="97">
        <f t="shared" si="26"/>
        <v>6</v>
      </c>
      <c r="X52" s="97">
        <f t="shared" si="27"/>
        <v>7</v>
      </c>
      <c r="Y52" s="97">
        <f t="shared" si="28"/>
        <v>10</v>
      </c>
      <c r="Z52" s="97">
        <f t="shared" si="29"/>
        <v>4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74" t="s">
        <v>176</v>
      </c>
      <c r="AK52" s="75">
        <v>0</v>
      </c>
      <c r="AL52" s="76">
        <v>4</v>
      </c>
      <c r="AM52" s="76">
        <v>5</v>
      </c>
      <c r="AN52" s="76">
        <v>2</v>
      </c>
      <c r="AO52" s="76">
        <v>4</v>
      </c>
      <c r="AP52" s="76">
        <v>0</v>
      </c>
      <c r="AQ52" s="77">
        <v>0</v>
      </c>
      <c r="AR52" s="78">
        <v>17</v>
      </c>
      <c r="AT52" s="150" t="s">
        <v>21</v>
      </c>
      <c r="AU52" s="153">
        <v>2</v>
      </c>
      <c r="BD52" s="22">
        <v>48</v>
      </c>
      <c r="BE52" s="98" t="s">
        <v>41</v>
      </c>
      <c r="BF52" s="98" t="s">
        <v>39</v>
      </c>
      <c r="BG52" s="98" t="s">
        <v>26</v>
      </c>
      <c r="BH52" s="98" t="s">
        <v>78</v>
      </c>
      <c r="BI52" s="98" t="s">
        <v>163</v>
      </c>
      <c r="BJ52" s="98" t="s">
        <v>39</v>
      </c>
      <c r="BK52" s="37" t="s">
        <v>35</v>
      </c>
      <c r="BM52" s="97">
        <f t="shared" si="37"/>
        <v>12</v>
      </c>
      <c r="BN52" s="97">
        <f t="shared" si="38"/>
        <v>10</v>
      </c>
      <c r="BO52" s="97">
        <f t="shared" si="39"/>
        <v>8</v>
      </c>
      <c r="BP52" s="97">
        <f t="shared" si="40"/>
        <v>6</v>
      </c>
      <c r="BQ52" s="97">
        <f t="shared" si="41"/>
        <v>7</v>
      </c>
      <c r="BR52" s="97">
        <f t="shared" si="42"/>
        <v>10</v>
      </c>
      <c r="BS52" s="97">
        <f t="shared" si="43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74" t="s">
        <v>176</v>
      </c>
      <c r="CD52" s="75">
        <v>0</v>
      </c>
      <c r="CE52" s="76">
        <v>4</v>
      </c>
      <c r="CF52" s="76">
        <v>5</v>
      </c>
      <c r="CG52" s="76">
        <v>2</v>
      </c>
      <c r="CH52" s="76">
        <v>4</v>
      </c>
      <c r="CI52" s="76">
        <v>0</v>
      </c>
      <c r="CJ52" s="77">
        <v>0</v>
      </c>
      <c r="CK52" s="78">
        <v>17</v>
      </c>
      <c r="CM52" s="150" t="s">
        <v>21</v>
      </c>
      <c r="CN52" s="153">
        <v>2</v>
      </c>
      <c r="CW52" s="22">
        <v>48</v>
      </c>
      <c r="CX52" s="98" t="s">
        <v>41</v>
      </c>
      <c r="CY52" s="98" t="s">
        <v>39</v>
      </c>
      <c r="CZ52" s="98" t="s">
        <v>26</v>
      </c>
      <c r="DA52" s="98" t="s">
        <v>78</v>
      </c>
      <c r="DB52" s="98" t="s">
        <v>163</v>
      </c>
      <c r="DC52" s="98" t="s">
        <v>39</v>
      </c>
      <c r="DD52" s="37" t="s">
        <v>35</v>
      </c>
      <c r="DF52" s="97">
        <f t="shared" si="45"/>
        <v>12</v>
      </c>
      <c r="DG52" s="97">
        <f t="shared" si="10"/>
        <v>10</v>
      </c>
      <c r="DH52" s="97">
        <f t="shared" si="11"/>
        <v>8</v>
      </c>
      <c r="DI52" s="97">
        <f t="shared" si="12"/>
        <v>6</v>
      </c>
      <c r="DJ52" s="97">
        <f t="shared" si="13"/>
        <v>7</v>
      </c>
      <c r="DK52" s="97">
        <f t="shared" si="14"/>
        <v>10</v>
      </c>
      <c r="DL52" s="97">
        <f t="shared" si="15"/>
        <v>4</v>
      </c>
      <c r="DN52" s="25">
        <v>1</v>
      </c>
      <c r="DO52" s="25">
        <v>1</v>
      </c>
      <c r="DP52" s="25">
        <v>1</v>
      </c>
      <c r="DQ52" s="25">
        <v>1</v>
      </c>
      <c r="DR52" s="25">
        <v>1</v>
      </c>
      <c r="DS52" s="25">
        <v>1</v>
      </c>
      <c r="DT52" s="7">
        <v>1</v>
      </c>
      <c r="DV52" s="74" t="s">
        <v>176</v>
      </c>
      <c r="DW52" s="75">
        <v>0</v>
      </c>
      <c r="DX52" s="76">
        <v>4</v>
      </c>
      <c r="DY52" s="76">
        <v>5</v>
      </c>
      <c r="DZ52" s="76">
        <v>2</v>
      </c>
      <c r="EA52" s="76">
        <v>4</v>
      </c>
      <c r="EB52" s="76">
        <v>0</v>
      </c>
      <c r="EC52" s="77">
        <v>0</v>
      </c>
      <c r="ED52" s="78">
        <v>17</v>
      </c>
    </row>
    <row r="53" spans="1:134" ht="16.5" customHeight="1">
      <c r="A53" s="150" t="s">
        <v>22</v>
      </c>
      <c r="B53" s="153">
        <v>3</v>
      </c>
      <c r="K53" s="21">
        <v>49</v>
      </c>
      <c r="L53" s="98" t="s">
        <v>26</v>
      </c>
      <c r="M53" s="98" t="s">
        <v>78</v>
      </c>
      <c r="N53" s="98" t="s">
        <v>40</v>
      </c>
      <c r="O53" s="98" t="s">
        <v>78</v>
      </c>
      <c r="P53" s="98" t="s">
        <v>39</v>
      </c>
      <c r="Q53" s="98" t="s">
        <v>39</v>
      </c>
      <c r="R53" s="37" t="s">
        <v>35</v>
      </c>
      <c r="T53" s="97">
        <f t="shared" si="23"/>
        <v>8</v>
      </c>
      <c r="U53" s="97">
        <f t="shared" si="24"/>
        <v>6</v>
      </c>
      <c r="V53" s="97">
        <f t="shared" si="25"/>
        <v>11</v>
      </c>
      <c r="W53" s="97">
        <f t="shared" si="26"/>
        <v>6</v>
      </c>
      <c r="X53" s="97">
        <f t="shared" si="27"/>
        <v>10</v>
      </c>
      <c r="Y53" s="97">
        <f t="shared" si="28"/>
        <v>10</v>
      </c>
      <c r="Z53" s="97">
        <f t="shared" si="29"/>
        <v>4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75">
        <v>0</v>
      </c>
      <c r="AL53" s="76">
        <v>4</v>
      </c>
      <c r="AM53" s="76">
        <v>2</v>
      </c>
      <c r="AN53" s="76">
        <v>2</v>
      </c>
      <c r="AO53" s="76">
        <v>4</v>
      </c>
      <c r="AP53" s="76">
        <v>0</v>
      </c>
      <c r="AQ53" s="77">
        <v>0</v>
      </c>
      <c r="AR53" s="78">
        <v>17</v>
      </c>
      <c r="AT53" s="150" t="s">
        <v>22</v>
      </c>
      <c r="AU53" s="153">
        <v>3</v>
      </c>
      <c r="BD53" s="21">
        <v>49</v>
      </c>
      <c r="BE53" s="98" t="s">
        <v>40</v>
      </c>
      <c r="BF53" s="98" t="s">
        <v>78</v>
      </c>
      <c r="BG53" s="98" t="s">
        <v>40</v>
      </c>
      <c r="BH53" s="98" t="s">
        <v>78</v>
      </c>
      <c r="BI53" s="98" t="s">
        <v>39</v>
      </c>
      <c r="BJ53" s="98" t="s">
        <v>39</v>
      </c>
      <c r="BK53" s="37" t="s">
        <v>35</v>
      </c>
      <c r="BM53" s="97">
        <f t="shared" si="37"/>
        <v>11</v>
      </c>
      <c r="BN53" s="97">
        <f t="shared" si="38"/>
        <v>6</v>
      </c>
      <c r="BO53" s="97">
        <f t="shared" si="39"/>
        <v>11</v>
      </c>
      <c r="BP53" s="97">
        <f t="shared" si="40"/>
        <v>6</v>
      </c>
      <c r="BQ53" s="97">
        <f t="shared" si="41"/>
        <v>10</v>
      </c>
      <c r="BR53" s="97">
        <f t="shared" si="42"/>
        <v>10</v>
      </c>
      <c r="BS53" s="97">
        <f t="shared" si="43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74" t="s">
        <v>87</v>
      </c>
      <c r="CD53" s="75">
        <v>0</v>
      </c>
      <c r="CE53" s="76">
        <v>4</v>
      </c>
      <c r="CF53" s="76">
        <v>2</v>
      </c>
      <c r="CG53" s="76">
        <v>2</v>
      </c>
      <c r="CH53" s="76">
        <v>4</v>
      </c>
      <c r="CI53" s="76">
        <v>0</v>
      </c>
      <c r="CJ53" s="77">
        <v>0</v>
      </c>
      <c r="CK53" s="78">
        <v>17</v>
      </c>
      <c r="CM53" s="150" t="s">
        <v>22</v>
      </c>
      <c r="CN53" s="153">
        <v>3</v>
      </c>
      <c r="CW53" s="21">
        <v>49</v>
      </c>
      <c r="CX53" s="98" t="s">
        <v>40</v>
      </c>
      <c r="CY53" s="98" t="s">
        <v>78</v>
      </c>
      <c r="CZ53" s="98" t="s">
        <v>40</v>
      </c>
      <c r="DA53" s="98" t="s">
        <v>78</v>
      </c>
      <c r="DB53" s="98" t="s">
        <v>39</v>
      </c>
      <c r="DC53" s="98" t="s">
        <v>39</v>
      </c>
      <c r="DD53" s="37" t="s">
        <v>35</v>
      </c>
      <c r="DF53" s="97">
        <f t="shared" si="45"/>
        <v>11</v>
      </c>
      <c r="DG53" s="97">
        <f t="shared" si="10"/>
        <v>6</v>
      </c>
      <c r="DH53" s="97">
        <f t="shared" si="11"/>
        <v>11</v>
      </c>
      <c r="DI53" s="97">
        <f t="shared" si="12"/>
        <v>6</v>
      </c>
      <c r="DJ53" s="97">
        <f t="shared" si="13"/>
        <v>10</v>
      </c>
      <c r="DK53" s="97">
        <f t="shared" si="14"/>
        <v>10</v>
      </c>
      <c r="DL53" s="97">
        <f t="shared" si="15"/>
        <v>4</v>
      </c>
      <c r="DN53" s="25">
        <v>1</v>
      </c>
      <c r="DO53" s="25">
        <v>1</v>
      </c>
      <c r="DP53" s="25">
        <v>1</v>
      </c>
      <c r="DQ53" s="25">
        <v>1</v>
      </c>
      <c r="DR53" s="25">
        <v>1</v>
      </c>
      <c r="DS53" s="25">
        <v>1</v>
      </c>
      <c r="DT53" s="7">
        <v>1</v>
      </c>
      <c r="DV53" s="74" t="s">
        <v>87</v>
      </c>
      <c r="DW53" s="75">
        <v>0</v>
      </c>
      <c r="DX53" s="76">
        <v>4</v>
      </c>
      <c r="DY53" s="76">
        <v>2</v>
      </c>
      <c r="DZ53" s="76">
        <v>2</v>
      </c>
      <c r="EA53" s="76">
        <v>4</v>
      </c>
      <c r="EB53" s="76">
        <v>0</v>
      </c>
      <c r="EC53" s="77">
        <v>0</v>
      </c>
      <c r="ED53" s="78">
        <v>17</v>
      </c>
    </row>
    <row r="54" spans="1:134" ht="16.5" customHeight="1">
      <c r="A54" s="150" t="s">
        <v>18</v>
      </c>
      <c r="B54" s="153">
        <v>5</v>
      </c>
      <c r="K54" s="22">
        <v>50</v>
      </c>
      <c r="L54" s="98" t="s">
        <v>163</v>
      </c>
      <c r="M54" s="98" t="s">
        <v>78</v>
      </c>
      <c r="N54" s="98" t="s">
        <v>40</v>
      </c>
      <c r="O54" s="98" t="s">
        <v>35</v>
      </c>
      <c r="P54" s="98" t="s">
        <v>34</v>
      </c>
      <c r="Q54" s="98" t="s">
        <v>41</v>
      </c>
      <c r="R54" s="37" t="s">
        <v>35</v>
      </c>
      <c r="T54" s="97">
        <f t="shared" si="23"/>
        <v>7</v>
      </c>
      <c r="U54" s="97">
        <f t="shared" si="24"/>
        <v>6</v>
      </c>
      <c r="V54" s="97">
        <f t="shared" si="25"/>
        <v>11</v>
      </c>
      <c r="W54" s="97">
        <f t="shared" si="26"/>
        <v>4</v>
      </c>
      <c r="X54" s="97">
        <f t="shared" si="27"/>
        <v>3</v>
      </c>
      <c r="Y54" s="97">
        <f t="shared" si="28"/>
        <v>12</v>
      </c>
      <c r="Z54" s="97">
        <f t="shared" si="29"/>
        <v>4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75">
        <v>0</v>
      </c>
      <c r="AL54" s="76">
        <v>4</v>
      </c>
      <c r="AM54" s="76">
        <v>2</v>
      </c>
      <c r="AN54" s="76">
        <v>4</v>
      </c>
      <c r="AO54" s="76">
        <v>2</v>
      </c>
      <c r="AP54" s="76">
        <v>0</v>
      </c>
      <c r="AQ54" s="77">
        <v>0</v>
      </c>
      <c r="AR54" s="78">
        <v>18</v>
      </c>
      <c r="AT54" s="150" t="s">
        <v>18</v>
      </c>
      <c r="AU54" s="153">
        <v>5</v>
      </c>
      <c r="BD54" s="22">
        <v>50</v>
      </c>
      <c r="BE54" s="98" t="s">
        <v>163</v>
      </c>
      <c r="BF54" s="98" t="s">
        <v>78</v>
      </c>
      <c r="BG54" s="98" t="s">
        <v>40</v>
      </c>
      <c r="BH54" s="98" t="s">
        <v>35</v>
      </c>
      <c r="BI54" s="98" t="s">
        <v>34</v>
      </c>
      <c r="BJ54" s="98" t="s">
        <v>41</v>
      </c>
      <c r="BK54" s="37" t="s">
        <v>35</v>
      </c>
      <c r="BM54" s="97">
        <f t="shared" si="37"/>
        <v>7</v>
      </c>
      <c r="BN54" s="97">
        <f t="shared" si="38"/>
        <v>6</v>
      </c>
      <c r="BO54" s="97">
        <f t="shared" si="39"/>
        <v>11</v>
      </c>
      <c r="BP54" s="97">
        <f t="shared" si="40"/>
        <v>4</v>
      </c>
      <c r="BQ54" s="97">
        <f t="shared" si="41"/>
        <v>3</v>
      </c>
      <c r="BR54" s="97">
        <f t="shared" si="42"/>
        <v>12</v>
      </c>
      <c r="BS54" s="97">
        <f t="shared" si="43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74" t="s">
        <v>88</v>
      </c>
      <c r="CD54" s="75">
        <v>0</v>
      </c>
      <c r="CE54" s="76">
        <v>4</v>
      </c>
      <c r="CF54" s="76">
        <v>2</v>
      </c>
      <c r="CG54" s="76">
        <v>4</v>
      </c>
      <c r="CH54" s="76">
        <v>2</v>
      </c>
      <c r="CI54" s="76">
        <v>0</v>
      </c>
      <c r="CJ54" s="77">
        <v>0</v>
      </c>
      <c r="CK54" s="78">
        <v>18</v>
      </c>
      <c r="CM54" s="150" t="s">
        <v>18</v>
      </c>
      <c r="CN54" s="153">
        <v>5</v>
      </c>
      <c r="CW54" s="22">
        <v>50</v>
      </c>
      <c r="CX54" s="98" t="s">
        <v>163</v>
      </c>
      <c r="CY54" s="98" t="s">
        <v>78</v>
      </c>
      <c r="CZ54" s="98" t="s">
        <v>40</v>
      </c>
      <c r="DA54" s="98" t="s">
        <v>35</v>
      </c>
      <c r="DB54" s="98" t="s">
        <v>34</v>
      </c>
      <c r="DC54" s="98" t="s">
        <v>41</v>
      </c>
      <c r="DD54" s="37" t="s">
        <v>35</v>
      </c>
      <c r="DF54" s="97">
        <f t="shared" si="45"/>
        <v>7</v>
      </c>
      <c r="DG54" s="97">
        <f t="shared" si="10"/>
        <v>6</v>
      </c>
      <c r="DH54" s="97">
        <f t="shared" si="11"/>
        <v>11</v>
      </c>
      <c r="DI54" s="97">
        <f t="shared" si="12"/>
        <v>4</v>
      </c>
      <c r="DJ54" s="97">
        <f t="shared" si="13"/>
        <v>3</v>
      </c>
      <c r="DK54" s="97">
        <f t="shared" si="14"/>
        <v>12</v>
      </c>
      <c r="DL54" s="97">
        <f t="shared" si="15"/>
        <v>4</v>
      </c>
      <c r="DN54" s="25">
        <v>1</v>
      </c>
      <c r="DO54" s="25">
        <v>1</v>
      </c>
      <c r="DP54" s="25">
        <v>1</v>
      </c>
      <c r="DQ54" s="25">
        <v>1</v>
      </c>
      <c r="DR54" s="25">
        <v>1</v>
      </c>
      <c r="DS54" s="25">
        <v>1</v>
      </c>
      <c r="DT54" s="7">
        <v>1</v>
      </c>
      <c r="DV54" s="74" t="s">
        <v>88</v>
      </c>
      <c r="DW54" s="75">
        <v>0</v>
      </c>
      <c r="DX54" s="76">
        <v>4</v>
      </c>
      <c r="DY54" s="76">
        <v>2</v>
      </c>
      <c r="DZ54" s="76">
        <v>4</v>
      </c>
      <c r="EA54" s="76">
        <v>2</v>
      </c>
      <c r="EB54" s="76">
        <v>0</v>
      </c>
      <c r="EC54" s="77">
        <v>0</v>
      </c>
      <c r="ED54" s="78">
        <v>18</v>
      </c>
    </row>
    <row r="55" spans="1:134" ht="16.5" customHeight="1">
      <c r="A55" s="150" t="s">
        <v>19</v>
      </c>
      <c r="B55" s="153">
        <v>8</v>
      </c>
      <c r="K55" s="21">
        <v>51</v>
      </c>
      <c r="L55" s="98" t="s">
        <v>38</v>
      </c>
      <c r="M55" s="98" t="s">
        <v>175</v>
      </c>
      <c r="N55" s="98" t="s">
        <v>78</v>
      </c>
      <c r="O55" s="98" t="s">
        <v>35</v>
      </c>
      <c r="P55" s="98" t="s">
        <v>34</v>
      </c>
      <c r="Q55" s="98" t="s">
        <v>41</v>
      </c>
      <c r="R55" s="37" t="s">
        <v>78</v>
      </c>
      <c r="T55" s="97">
        <f t="shared" si="23"/>
        <v>9</v>
      </c>
      <c r="U55" s="97">
        <f t="shared" si="24"/>
        <v>17</v>
      </c>
      <c r="V55" s="97">
        <f t="shared" si="25"/>
        <v>6</v>
      </c>
      <c r="W55" s="97">
        <f t="shared" si="26"/>
        <v>4</v>
      </c>
      <c r="X55" s="97">
        <f t="shared" si="27"/>
        <v>3</v>
      </c>
      <c r="Y55" s="97">
        <f t="shared" si="28"/>
        <v>12</v>
      </c>
      <c r="Z55" s="97">
        <f t="shared" si="29"/>
        <v>6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74" t="s">
        <v>89</v>
      </c>
      <c r="AK55" s="75">
        <v>0</v>
      </c>
      <c r="AL55" s="76">
        <v>4</v>
      </c>
      <c r="AM55" s="76">
        <v>5</v>
      </c>
      <c r="AN55" s="76">
        <v>2</v>
      </c>
      <c r="AO55" s="76">
        <v>2</v>
      </c>
      <c r="AP55" s="76">
        <v>0</v>
      </c>
      <c r="AQ55" s="77">
        <v>0</v>
      </c>
      <c r="AR55" s="78">
        <v>19</v>
      </c>
      <c r="AT55" s="150" t="s">
        <v>19</v>
      </c>
      <c r="AU55" s="153">
        <v>8</v>
      </c>
      <c r="BD55" s="21">
        <v>51</v>
      </c>
      <c r="BE55" s="98" t="s">
        <v>38</v>
      </c>
      <c r="BF55" s="98" t="s">
        <v>175</v>
      </c>
      <c r="BG55" s="98" t="s">
        <v>78</v>
      </c>
      <c r="BH55" s="98" t="s">
        <v>35</v>
      </c>
      <c r="BI55" s="98" t="s">
        <v>34</v>
      </c>
      <c r="BJ55" s="98" t="s">
        <v>41</v>
      </c>
      <c r="BK55" s="37" t="s">
        <v>78</v>
      </c>
      <c r="BM55" s="97">
        <f t="shared" si="37"/>
        <v>9</v>
      </c>
      <c r="BN55" s="97">
        <f t="shared" si="38"/>
        <v>17</v>
      </c>
      <c r="BO55" s="97">
        <f t="shared" si="39"/>
        <v>6</v>
      </c>
      <c r="BP55" s="97">
        <f t="shared" si="40"/>
        <v>4</v>
      </c>
      <c r="BQ55" s="97">
        <f t="shared" si="41"/>
        <v>3</v>
      </c>
      <c r="BR55" s="97">
        <f t="shared" si="42"/>
        <v>12</v>
      </c>
      <c r="BS55" s="97">
        <f t="shared" si="43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74" t="s">
        <v>89</v>
      </c>
      <c r="CD55" s="75">
        <v>0</v>
      </c>
      <c r="CE55" s="76">
        <v>4</v>
      </c>
      <c r="CF55" s="76">
        <v>5</v>
      </c>
      <c r="CG55" s="76">
        <v>2</v>
      </c>
      <c r="CH55" s="76">
        <v>2</v>
      </c>
      <c r="CI55" s="76">
        <v>0</v>
      </c>
      <c r="CJ55" s="77">
        <v>0</v>
      </c>
      <c r="CK55" s="78">
        <v>19</v>
      </c>
      <c r="CM55" s="150" t="s">
        <v>19</v>
      </c>
      <c r="CN55" s="153">
        <v>8</v>
      </c>
      <c r="CW55" s="21">
        <v>51</v>
      </c>
      <c r="CX55" s="98" t="s">
        <v>38</v>
      </c>
      <c r="CY55" s="98" t="s">
        <v>175</v>
      </c>
      <c r="CZ55" s="98" t="s">
        <v>78</v>
      </c>
      <c r="DA55" s="98" t="s">
        <v>35</v>
      </c>
      <c r="DB55" s="98" t="s">
        <v>34</v>
      </c>
      <c r="DC55" s="98" t="s">
        <v>41</v>
      </c>
      <c r="DD55" s="37" t="s">
        <v>78</v>
      </c>
      <c r="DF55" s="97">
        <f t="shared" si="45"/>
        <v>9</v>
      </c>
      <c r="DG55" s="97">
        <f t="shared" si="10"/>
        <v>17</v>
      </c>
      <c r="DH55" s="97">
        <f t="shared" si="11"/>
        <v>6</v>
      </c>
      <c r="DI55" s="97">
        <f t="shared" si="12"/>
        <v>4</v>
      </c>
      <c r="DJ55" s="97">
        <f t="shared" si="13"/>
        <v>3</v>
      </c>
      <c r="DK55" s="97">
        <f t="shared" si="14"/>
        <v>12</v>
      </c>
      <c r="DL55" s="97">
        <f t="shared" si="15"/>
        <v>6</v>
      </c>
      <c r="DN55" s="25">
        <v>1</v>
      </c>
      <c r="DO55" s="25">
        <v>1</v>
      </c>
      <c r="DP55" s="25">
        <v>1</v>
      </c>
      <c r="DQ55" s="25">
        <v>1</v>
      </c>
      <c r="DR55" s="25">
        <v>1</v>
      </c>
      <c r="DS55" s="25">
        <v>1</v>
      </c>
      <c r="DT55" s="7">
        <v>1</v>
      </c>
      <c r="DV55" s="74" t="s">
        <v>89</v>
      </c>
      <c r="DW55" s="75">
        <v>0</v>
      </c>
      <c r="DX55" s="76">
        <v>4</v>
      </c>
      <c r="DY55" s="76">
        <v>5</v>
      </c>
      <c r="DZ55" s="76">
        <v>2</v>
      </c>
      <c r="EA55" s="76">
        <v>2</v>
      </c>
      <c r="EB55" s="76">
        <v>0</v>
      </c>
      <c r="EC55" s="77">
        <v>0</v>
      </c>
      <c r="ED55" s="78">
        <v>19</v>
      </c>
    </row>
    <row r="56" spans="1:134" ht="16.5" customHeight="1">
      <c r="A56" s="150" t="s">
        <v>77</v>
      </c>
      <c r="B56" s="153">
        <v>12</v>
      </c>
      <c r="K56" s="22">
        <v>52</v>
      </c>
      <c r="L56" s="98" t="s">
        <v>40</v>
      </c>
      <c r="M56" s="98" t="s">
        <v>39</v>
      </c>
      <c r="N56" s="98" t="s">
        <v>38</v>
      </c>
      <c r="O56" s="98" t="s">
        <v>40</v>
      </c>
      <c r="P56" s="98" t="s">
        <v>40</v>
      </c>
      <c r="Q56" s="98" t="s">
        <v>26</v>
      </c>
      <c r="R56" s="37" t="s">
        <v>78</v>
      </c>
      <c r="T56" s="97">
        <f t="shared" si="23"/>
        <v>11</v>
      </c>
      <c r="U56" s="97">
        <f t="shared" si="24"/>
        <v>10</v>
      </c>
      <c r="V56" s="97">
        <f t="shared" si="25"/>
        <v>9</v>
      </c>
      <c r="W56" s="97">
        <f t="shared" si="26"/>
        <v>11</v>
      </c>
      <c r="X56" s="97">
        <f t="shared" si="27"/>
        <v>11</v>
      </c>
      <c r="Y56" s="97">
        <f t="shared" si="28"/>
        <v>8</v>
      </c>
      <c r="Z56" s="97">
        <f t="shared" si="29"/>
        <v>6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75">
        <v>0</v>
      </c>
      <c r="AL56" s="76">
        <v>2</v>
      </c>
      <c r="AM56" s="76">
        <v>7</v>
      </c>
      <c r="AN56" s="76">
        <v>2</v>
      </c>
      <c r="AO56" s="76">
        <v>2</v>
      </c>
      <c r="AP56" s="76">
        <v>0</v>
      </c>
      <c r="AQ56" s="77">
        <v>0</v>
      </c>
      <c r="AR56" s="78">
        <v>20</v>
      </c>
      <c r="AT56" s="150" t="s">
        <v>77</v>
      </c>
      <c r="AU56" s="153">
        <v>12</v>
      </c>
      <c r="BD56" s="22">
        <v>52</v>
      </c>
      <c r="BE56" s="98" t="s">
        <v>40</v>
      </c>
      <c r="BF56" s="98" t="s">
        <v>39</v>
      </c>
      <c r="BG56" s="98" t="s">
        <v>38</v>
      </c>
      <c r="BH56" s="98" t="s">
        <v>40</v>
      </c>
      <c r="BI56" s="98" t="s">
        <v>40</v>
      </c>
      <c r="BJ56" s="98" t="s">
        <v>26</v>
      </c>
      <c r="BK56" s="37" t="s">
        <v>78</v>
      </c>
      <c r="BM56" s="97">
        <f t="shared" si="37"/>
        <v>11</v>
      </c>
      <c r="BN56" s="97">
        <f t="shared" si="38"/>
        <v>10</v>
      </c>
      <c r="BO56" s="97">
        <f t="shared" si="39"/>
        <v>9</v>
      </c>
      <c r="BP56" s="97">
        <f t="shared" si="40"/>
        <v>11</v>
      </c>
      <c r="BQ56" s="97">
        <f t="shared" si="41"/>
        <v>11</v>
      </c>
      <c r="BR56" s="97">
        <f t="shared" si="42"/>
        <v>8</v>
      </c>
      <c r="BS56" s="97">
        <f t="shared" si="43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74" t="s">
        <v>90</v>
      </c>
      <c r="CD56" s="75">
        <v>0</v>
      </c>
      <c r="CE56" s="76">
        <v>2</v>
      </c>
      <c r="CF56" s="76">
        <v>7</v>
      </c>
      <c r="CG56" s="76">
        <v>2</v>
      </c>
      <c r="CH56" s="76">
        <v>2</v>
      </c>
      <c r="CI56" s="76">
        <v>0</v>
      </c>
      <c r="CJ56" s="77">
        <v>0</v>
      </c>
      <c r="CK56" s="78">
        <v>20</v>
      </c>
      <c r="CM56" s="150" t="s">
        <v>77</v>
      </c>
      <c r="CN56" s="153">
        <v>12</v>
      </c>
      <c r="CW56" s="22">
        <v>52</v>
      </c>
      <c r="CX56" s="98" t="s">
        <v>40</v>
      </c>
      <c r="CY56" s="98" t="s">
        <v>39</v>
      </c>
      <c r="CZ56" s="98" t="s">
        <v>38</v>
      </c>
      <c r="DA56" s="98" t="s">
        <v>40</v>
      </c>
      <c r="DB56" s="98" t="s">
        <v>40</v>
      </c>
      <c r="DC56" s="98" t="s">
        <v>26</v>
      </c>
      <c r="DD56" s="37" t="s">
        <v>78</v>
      </c>
      <c r="DF56" s="97">
        <f t="shared" si="45"/>
        <v>11</v>
      </c>
      <c r="DG56" s="97">
        <f t="shared" si="10"/>
        <v>10</v>
      </c>
      <c r="DH56" s="97">
        <f t="shared" si="11"/>
        <v>9</v>
      </c>
      <c r="DI56" s="97">
        <f t="shared" si="12"/>
        <v>11</v>
      </c>
      <c r="DJ56" s="97">
        <f t="shared" si="13"/>
        <v>11</v>
      </c>
      <c r="DK56" s="97">
        <f t="shared" si="14"/>
        <v>8</v>
      </c>
      <c r="DL56" s="97">
        <f t="shared" si="15"/>
        <v>6</v>
      </c>
      <c r="DN56" s="25">
        <v>1</v>
      </c>
      <c r="DO56" s="25">
        <v>1</v>
      </c>
      <c r="DP56" s="25">
        <v>1</v>
      </c>
      <c r="DQ56" s="25">
        <v>1</v>
      </c>
      <c r="DR56" s="25">
        <v>1</v>
      </c>
      <c r="DS56" s="25">
        <v>1</v>
      </c>
      <c r="DT56" s="7">
        <v>1</v>
      </c>
      <c r="DV56" s="74" t="s">
        <v>90</v>
      </c>
      <c r="DW56" s="75">
        <v>0</v>
      </c>
      <c r="DX56" s="76">
        <v>2</v>
      </c>
      <c r="DY56" s="76">
        <v>7</v>
      </c>
      <c r="DZ56" s="76">
        <v>2</v>
      </c>
      <c r="EA56" s="76">
        <v>2</v>
      </c>
      <c r="EB56" s="76">
        <v>0</v>
      </c>
      <c r="EC56" s="77">
        <v>0</v>
      </c>
      <c r="ED56" s="78">
        <v>20</v>
      </c>
    </row>
    <row r="57" spans="1:134" ht="16.5" customHeight="1" thickBot="1">
      <c r="A57" s="150" t="s">
        <v>184</v>
      </c>
      <c r="B57" s="153">
        <v>10</v>
      </c>
      <c r="K57" s="21">
        <v>53</v>
      </c>
      <c r="L57" s="98" t="s">
        <v>40</v>
      </c>
      <c r="M57" s="98" t="s">
        <v>39</v>
      </c>
      <c r="N57" s="98" t="s">
        <v>38</v>
      </c>
      <c r="O57" s="98" t="s">
        <v>40</v>
      </c>
      <c r="P57" s="98" t="s">
        <v>26</v>
      </c>
      <c r="Q57" s="98" t="s">
        <v>39</v>
      </c>
      <c r="R57" s="37" t="s">
        <v>78</v>
      </c>
      <c r="T57" s="97">
        <f t="shared" si="23"/>
        <v>11</v>
      </c>
      <c r="U57" s="97">
        <f t="shared" si="24"/>
        <v>10</v>
      </c>
      <c r="V57" s="97">
        <f t="shared" si="25"/>
        <v>9</v>
      </c>
      <c r="W57" s="97">
        <f t="shared" si="26"/>
        <v>11</v>
      </c>
      <c r="X57" s="97">
        <f t="shared" si="27"/>
        <v>8</v>
      </c>
      <c r="Y57" s="97">
        <f t="shared" si="28"/>
        <v>10</v>
      </c>
      <c r="Z57" s="97">
        <f t="shared" si="29"/>
        <v>6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81">
        <v>0</v>
      </c>
      <c r="AL57" s="82">
        <v>4</v>
      </c>
      <c r="AM57" s="82">
        <v>7</v>
      </c>
      <c r="AN57" s="82">
        <v>2</v>
      </c>
      <c r="AO57" s="82">
        <v>2</v>
      </c>
      <c r="AP57" s="82">
        <v>0</v>
      </c>
      <c r="AQ57" s="83">
        <v>0</v>
      </c>
      <c r="AR57" s="84">
        <v>21</v>
      </c>
      <c r="AT57" s="150" t="s">
        <v>184</v>
      </c>
      <c r="AU57" s="153">
        <v>10</v>
      </c>
      <c r="BD57" s="21">
        <v>53</v>
      </c>
      <c r="BE57" s="98" t="s">
        <v>40</v>
      </c>
      <c r="BF57" s="98" t="s">
        <v>39</v>
      </c>
      <c r="BG57" s="98" t="s">
        <v>38</v>
      </c>
      <c r="BH57" s="98" t="s">
        <v>40</v>
      </c>
      <c r="BI57" s="98" t="s">
        <v>26</v>
      </c>
      <c r="BJ57" s="98" t="s">
        <v>39</v>
      </c>
      <c r="BK57" s="37" t="s">
        <v>78</v>
      </c>
      <c r="BM57" s="97">
        <f t="shared" si="37"/>
        <v>11</v>
      </c>
      <c r="BN57" s="97">
        <f t="shared" si="38"/>
        <v>10</v>
      </c>
      <c r="BO57" s="97">
        <f t="shared" si="39"/>
        <v>9</v>
      </c>
      <c r="BP57" s="97">
        <f t="shared" si="40"/>
        <v>11</v>
      </c>
      <c r="BQ57" s="97">
        <f t="shared" si="41"/>
        <v>8</v>
      </c>
      <c r="BR57" s="97">
        <f t="shared" si="42"/>
        <v>10</v>
      </c>
      <c r="BS57" s="97">
        <f t="shared" si="43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80" t="s">
        <v>91</v>
      </c>
      <c r="CD57" s="81">
        <v>0</v>
      </c>
      <c r="CE57" s="82">
        <v>4</v>
      </c>
      <c r="CF57" s="82">
        <v>7</v>
      </c>
      <c r="CG57" s="82">
        <v>2</v>
      </c>
      <c r="CH57" s="82">
        <v>2</v>
      </c>
      <c r="CI57" s="82">
        <v>0</v>
      </c>
      <c r="CJ57" s="83">
        <v>0</v>
      </c>
      <c r="CK57" s="84">
        <v>21</v>
      </c>
      <c r="CM57" s="150" t="s">
        <v>184</v>
      </c>
      <c r="CN57" s="153">
        <v>10</v>
      </c>
      <c r="CW57" s="21">
        <v>53</v>
      </c>
      <c r="CX57" s="98" t="s">
        <v>40</v>
      </c>
      <c r="CY57" s="98" t="s">
        <v>39</v>
      </c>
      <c r="CZ57" s="98" t="s">
        <v>38</v>
      </c>
      <c r="DA57" s="98" t="s">
        <v>40</v>
      </c>
      <c r="DB57" s="98" t="s">
        <v>26</v>
      </c>
      <c r="DC57" s="98" t="s">
        <v>39</v>
      </c>
      <c r="DD57" s="37" t="s">
        <v>78</v>
      </c>
      <c r="DF57" s="97">
        <f t="shared" si="45"/>
        <v>11</v>
      </c>
      <c r="DG57" s="97">
        <f t="shared" si="10"/>
        <v>10</v>
      </c>
      <c r="DH57" s="97">
        <f t="shared" si="11"/>
        <v>9</v>
      </c>
      <c r="DI57" s="97">
        <f t="shared" si="12"/>
        <v>11</v>
      </c>
      <c r="DJ57" s="97">
        <f t="shared" si="13"/>
        <v>8</v>
      </c>
      <c r="DK57" s="97">
        <f t="shared" si="14"/>
        <v>10</v>
      </c>
      <c r="DL57" s="97">
        <f t="shared" si="15"/>
        <v>6</v>
      </c>
      <c r="DN57" s="25">
        <v>1</v>
      </c>
      <c r="DO57" s="25">
        <v>1</v>
      </c>
      <c r="DP57" s="25">
        <v>1</v>
      </c>
      <c r="DQ57" s="25">
        <v>1</v>
      </c>
      <c r="DR57" s="25">
        <v>1</v>
      </c>
      <c r="DS57" s="25">
        <v>1</v>
      </c>
      <c r="DT57" s="7">
        <v>1</v>
      </c>
      <c r="DV57" s="80" t="s">
        <v>91</v>
      </c>
      <c r="DW57" s="81">
        <v>0</v>
      </c>
      <c r="DX57" s="82">
        <v>4</v>
      </c>
      <c r="DY57" s="82">
        <v>7</v>
      </c>
      <c r="DZ57" s="82">
        <v>2</v>
      </c>
      <c r="EA57" s="82">
        <v>2</v>
      </c>
      <c r="EB57" s="82">
        <v>0</v>
      </c>
      <c r="EC57" s="83">
        <v>0</v>
      </c>
      <c r="ED57" s="84">
        <v>21</v>
      </c>
    </row>
    <row r="58" spans="1:134" ht="16.5" customHeight="1">
      <c r="A58" s="150" t="s">
        <v>185</v>
      </c>
      <c r="B58" s="153">
        <v>10</v>
      </c>
      <c r="K58" s="22">
        <v>54</v>
      </c>
      <c r="L58" s="98" t="s">
        <v>36</v>
      </c>
      <c r="M58" s="98" t="s">
        <v>41</v>
      </c>
      <c r="N58" s="98" t="s">
        <v>36</v>
      </c>
      <c r="O58" s="98" t="s">
        <v>78</v>
      </c>
      <c r="P58" s="98" t="s">
        <v>33</v>
      </c>
      <c r="Q58" s="98" t="s">
        <v>39</v>
      </c>
      <c r="R58" s="37" t="s">
        <v>33</v>
      </c>
      <c r="T58" s="97">
        <f t="shared" si="23"/>
        <v>5</v>
      </c>
      <c r="U58" s="97">
        <f t="shared" si="24"/>
        <v>12</v>
      </c>
      <c r="V58" s="97">
        <f t="shared" si="25"/>
        <v>5</v>
      </c>
      <c r="W58" s="97">
        <f t="shared" si="26"/>
        <v>6</v>
      </c>
      <c r="X58" s="97">
        <f t="shared" si="27"/>
        <v>2</v>
      </c>
      <c r="Y58" s="97">
        <f t="shared" si="28"/>
        <v>10</v>
      </c>
      <c r="Z58" s="97">
        <f t="shared" si="29"/>
        <v>2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3</v>
      </c>
      <c r="AJ58" s="184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183">
        <v>24</v>
      </c>
      <c r="AT58" s="150" t="s">
        <v>185</v>
      </c>
      <c r="AU58" s="153">
        <v>10</v>
      </c>
      <c r="BD58" s="22">
        <v>54</v>
      </c>
      <c r="BE58" s="98" t="s">
        <v>36</v>
      </c>
      <c r="BF58" s="98" t="s">
        <v>41</v>
      </c>
      <c r="BG58" s="98" t="s">
        <v>36</v>
      </c>
      <c r="BH58" s="98" t="s">
        <v>78</v>
      </c>
      <c r="BI58" s="98" t="s">
        <v>26</v>
      </c>
      <c r="BJ58" s="98" t="s">
        <v>39</v>
      </c>
      <c r="BK58" s="37" t="s">
        <v>163</v>
      </c>
      <c r="BM58" s="97">
        <f t="shared" si="37"/>
        <v>5</v>
      </c>
      <c r="BN58" s="97">
        <f t="shared" si="38"/>
        <v>12</v>
      </c>
      <c r="BO58" s="97">
        <f t="shared" si="39"/>
        <v>5</v>
      </c>
      <c r="BP58" s="97">
        <f t="shared" si="40"/>
        <v>6</v>
      </c>
      <c r="BQ58" s="97">
        <f t="shared" si="41"/>
        <v>8</v>
      </c>
      <c r="BR58" s="97">
        <f t="shared" si="42"/>
        <v>10</v>
      </c>
      <c r="BS58" s="97">
        <f t="shared" si="43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184" t="s">
        <v>190</v>
      </c>
      <c r="CD58" s="185">
        <v>0</v>
      </c>
      <c r="CE58" s="186">
        <v>10</v>
      </c>
      <c r="CF58" s="186">
        <v>10</v>
      </c>
      <c r="CG58" s="186">
        <v>10</v>
      </c>
      <c r="CH58" s="186">
        <v>10</v>
      </c>
      <c r="CI58" s="186">
        <v>0</v>
      </c>
      <c r="CJ58" s="187">
        <v>0</v>
      </c>
      <c r="CK58" s="183">
        <v>24</v>
      </c>
      <c r="CM58" s="150" t="s">
        <v>185</v>
      </c>
      <c r="CN58" s="153">
        <v>10</v>
      </c>
      <c r="CW58" s="22">
        <v>54</v>
      </c>
      <c r="CX58" s="98" t="s">
        <v>36</v>
      </c>
      <c r="CY58" s="98" t="s">
        <v>41</v>
      </c>
      <c r="CZ58" s="98" t="s">
        <v>36</v>
      </c>
      <c r="DA58" s="98" t="s">
        <v>78</v>
      </c>
      <c r="DB58" s="98" t="s">
        <v>26</v>
      </c>
      <c r="DC58" s="98" t="s">
        <v>39</v>
      </c>
      <c r="DD58" s="37" t="s">
        <v>163</v>
      </c>
      <c r="DF58" s="97">
        <f t="shared" si="45"/>
        <v>5</v>
      </c>
      <c r="DG58" s="97">
        <f t="shared" si="10"/>
        <v>12</v>
      </c>
      <c r="DH58" s="97">
        <f t="shared" si="11"/>
        <v>5</v>
      </c>
      <c r="DI58" s="97">
        <f t="shared" si="12"/>
        <v>6</v>
      </c>
      <c r="DJ58" s="97">
        <f t="shared" si="13"/>
        <v>8</v>
      </c>
      <c r="DK58" s="97">
        <f t="shared" si="14"/>
        <v>10</v>
      </c>
      <c r="DL58" s="97">
        <f t="shared" si="15"/>
        <v>7</v>
      </c>
      <c r="DN58" s="25">
        <v>1</v>
      </c>
      <c r="DO58" s="25">
        <v>1</v>
      </c>
      <c r="DP58" s="25">
        <v>1</v>
      </c>
      <c r="DQ58" s="25">
        <v>1</v>
      </c>
      <c r="DR58" s="25">
        <v>1</v>
      </c>
      <c r="DS58" s="25">
        <v>1</v>
      </c>
      <c r="DT58" s="7">
        <v>1</v>
      </c>
      <c r="DV58" s="184" t="s">
        <v>190</v>
      </c>
      <c r="DW58" s="185">
        <v>0</v>
      </c>
      <c r="DX58" s="186">
        <v>10</v>
      </c>
      <c r="DY58" s="186">
        <v>10</v>
      </c>
      <c r="DZ58" s="186">
        <v>10</v>
      </c>
      <c r="EA58" s="186">
        <v>10</v>
      </c>
      <c r="EB58" s="186">
        <v>0</v>
      </c>
      <c r="EC58" s="187">
        <v>0</v>
      </c>
      <c r="ED58" s="183">
        <v>24</v>
      </c>
    </row>
    <row r="59" spans="1:134" ht="16.5" customHeight="1" thickBot="1">
      <c r="A59" s="155" t="s">
        <v>38</v>
      </c>
      <c r="B59" s="176">
        <v>10</v>
      </c>
      <c r="K59" s="21">
        <v>55</v>
      </c>
      <c r="L59" s="98" t="s">
        <v>36</v>
      </c>
      <c r="M59" s="98" t="s">
        <v>40</v>
      </c>
      <c r="N59" s="98" t="s">
        <v>40</v>
      </c>
      <c r="O59" s="98" t="s">
        <v>78</v>
      </c>
      <c r="P59" s="98" t="s">
        <v>34</v>
      </c>
      <c r="Q59" s="98" t="s">
        <v>78</v>
      </c>
      <c r="R59" s="37" t="s">
        <v>33</v>
      </c>
      <c r="T59" s="97">
        <f t="shared" si="23"/>
        <v>5</v>
      </c>
      <c r="U59" s="97">
        <f t="shared" si="24"/>
        <v>11</v>
      </c>
      <c r="V59" s="97">
        <f t="shared" si="25"/>
        <v>11</v>
      </c>
      <c r="W59" s="97">
        <f t="shared" si="26"/>
        <v>6</v>
      </c>
      <c r="X59" s="97">
        <f t="shared" si="27"/>
        <v>3</v>
      </c>
      <c r="Y59" s="97">
        <f t="shared" si="28"/>
        <v>6</v>
      </c>
      <c r="Z59" s="97">
        <f t="shared" si="29"/>
        <v>2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  <c r="AT59" s="155" t="s">
        <v>38</v>
      </c>
      <c r="AU59" s="176">
        <v>10</v>
      </c>
      <c r="BD59" s="21">
        <v>55</v>
      </c>
      <c r="BE59" s="98" t="s">
        <v>36</v>
      </c>
      <c r="BF59" s="98" t="s">
        <v>40</v>
      </c>
      <c r="BG59" s="98" t="s">
        <v>40</v>
      </c>
      <c r="BH59" s="98" t="s">
        <v>78</v>
      </c>
      <c r="BI59" s="98" t="s">
        <v>34</v>
      </c>
      <c r="BJ59" s="98" t="s">
        <v>78</v>
      </c>
      <c r="BK59" s="37" t="s">
        <v>163</v>
      </c>
      <c r="BM59" s="97">
        <f t="shared" si="37"/>
        <v>5</v>
      </c>
      <c r="BN59" s="97">
        <f t="shared" si="38"/>
        <v>11</v>
      </c>
      <c r="BO59" s="97">
        <f t="shared" si="39"/>
        <v>11</v>
      </c>
      <c r="BP59" s="97">
        <f t="shared" si="40"/>
        <v>6</v>
      </c>
      <c r="BQ59" s="97">
        <f t="shared" si="41"/>
        <v>3</v>
      </c>
      <c r="BR59" s="97">
        <f t="shared" si="42"/>
        <v>6</v>
      </c>
      <c r="BS59" s="97">
        <f t="shared" si="43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101" t="s">
        <v>201</v>
      </c>
      <c r="CD59" s="93">
        <v>0</v>
      </c>
      <c r="CE59" s="94">
        <v>1</v>
      </c>
      <c r="CF59" s="94">
        <v>1</v>
      </c>
      <c r="CG59" s="94">
        <v>1</v>
      </c>
      <c r="CH59" s="94">
        <v>1</v>
      </c>
      <c r="CI59" s="94">
        <v>0</v>
      </c>
      <c r="CJ59" s="95">
        <v>0</v>
      </c>
      <c r="CK59" s="84">
        <v>25</v>
      </c>
      <c r="CM59" s="155" t="s">
        <v>38</v>
      </c>
      <c r="CN59" s="176">
        <v>10</v>
      </c>
      <c r="CW59" s="21">
        <v>55</v>
      </c>
      <c r="CX59" s="98" t="s">
        <v>36</v>
      </c>
      <c r="CY59" s="98" t="s">
        <v>40</v>
      </c>
      <c r="CZ59" s="98" t="s">
        <v>40</v>
      </c>
      <c r="DA59" s="98" t="s">
        <v>78</v>
      </c>
      <c r="DB59" s="98" t="s">
        <v>34</v>
      </c>
      <c r="DC59" s="98" t="s">
        <v>78</v>
      </c>
      <c r="DD59" s="37" t="s">
        <v>163</v>
      </c>
      <c r="DF59" s="97">
        <f t="shared" si="45"/>
        <v>5</v>
      </c>
      <c r="DG59" s="97">
        <f t="shared" si="10"/>
        <v>11</v>
      </c>
      <c r="DH59" s="97">
        <f t="shared" si="11"/>
        <v>11</v>
      </c>
      <c r="DI59" s="97">
        <f t="shared" si="12"/>
        <v>6</v>
      </c>
      <c r="DJ59" s="97">
        <f t="shared" si="13"/>
        <v>3</v>
      </c>
      <c r="DK59" s="97">
        <f t="shared" si="14"/>
        <v>6</v>
      </c>
      <c r="DL59" s="97">
        <f t="shared" si="15"/>
        <v>7</v>
      </c>
      <c r="DN59" s="25">
        <v>1</v>
      </c>
      <c r="DO59" s="25">
        <v>1</v>
      </c>
      <c r="DP59" s="25">
        <v>1</v>
      </c>
      <c r="DQ59" s="25">
        <v>1</v>
      </c>
      <c r="DR59" s="25">
        <v>1</v>
      </c>
      <c r="DS59" s="25">
        <v>1</v>
      </c>
      <c r="DT59" s="7">
        <v>1</v>
      </c>
      <c r="DV59" s="101" t="s">
        <v>201</v>
      </c>
      <c r="DW59" s="93">
        <v>0</v>
      </c>
      <c r="DX59" s="94">
        <v>1</v>
      </c>
      <c r="DY59" s="94">
        <v>1</v>
      </c>
      <c r="DZ59" s="94">
        <v>1</v>
      </c>
      <c r="EA59" s="94">
        <v>1</v>
      </c>
      <c r="EB59" s="94">
        <v>0</v>
      </c>
      <c r="EC59" s="95">
        <v>0</v>
      </c>
      <c r="ED59" s="84">
        <v>25</v>
      </c>
    </row>
    <row r="60" spans="1:134" ht="16.5" customHeight="1">
      <c r="A60" s="155" t="s">
        <v>39</v>
      </c>
      <c r="B60" s="176">
        <v>10</v>
      </c>
      <c r="K60" s="22">
        <v>56</v>
      </c>
      <c r="L60" s="98" t="s">
        <v>41</v>
      </c>
      <c r="M60" s="98" t="s">
        <v>40</v>
      </c>
      <c r="N60" s="98" t="s">
        <v>40</v>
      </c>
      <c r="O60" s="98" t="s">
        <v>175</v>
      </c>
      <c r="P60" s="98" t="s">
        <v>34</v>
      </c>
      <c r="Q60" s="98" t="s">
        <v>26</v>
      </c>
      <c r="R60" s="37" t="s">
        <v>163</v>
      </c>
      <c r="T60" s="97">
        <f t="shared" si="23"/>
        <v>12</v>
      </c>
      <c r="U60" s="97">
        <f t="shared" si="24"/>
        <v>11</v>
      </c>
      <c r="V60" s="97">
        <f t="shared" si="25"/>
        <v>11</v>
      </c>
      <c r="W60" s="97">
        <f t="shared" si="26"/>
        <v>17</v>
      </c>
      <c r="X60" s="97">
        <f t="shared" si="27"/>
        <v>3</v>
      </c>
      <c r="Y60" s="97">
        <f t="shared" si="28"/>
        <v>8</v>
      </c>
      <c r="Z60" s="97">
        <f t="shared" si="29"/>
        <v>7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  <c r="AT60" s="155" t="s">
        <v>39</v>
      </c>
      <c r="AU60" s="176">
        <v>10</v>
      </c>
      <c r="BD60" s="22">
        <v>56</v>
      </c>
      <c r="BE60" s="98" t="s">
        <v>41</v>
      </c>
      <c r="BF60" s="98" t="s">
        <v>40</v>
      </c>
      <c r="BG60" s="98" t="s">
        <v>40</v>
      </c>
      <c r="BH60" s="98" t="s">
        <v>175</v>
      </c>
      <c r="BI60" s="98" t="s">
        <v>34</v>
      </c>
      <c r="BJ60" s="98" t="s">
        <v>26</v>
      </c>
      <c r="BK60" s="37" t="s">
        <v>163</v>
      </c>
      <c r="BM60" s="97">
        <f t="shared" si="37"/>
        <v>12</v>
      </c>
      <c r="BN60" s="97">
        <f t="shared" si="38"/>
        <v>11</v>
      </c>
      <c r="BO60" s="97">
        <f t="shared" si="39"/>
        <v>11</v>
      </c>
      <c r="BP60" s="97">
        <f t="shared" si="40"/>
        <v>17</v>
      </c>
      <c r="BQ60" s="97">
        <f t="shared" si="41"/>
        <v>3</v>
      </c>
      <c r="BR60" s="97">
        <f t="shared" si="42"/>
        <v>8</v>
      </c>
      <c r="BS60" s="97">
        <f t="shared" si="43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103"/>
      <c r="CD60" s="103"/>
      <c r="CE60" s="103"/>
      <c r="CF60" s="103"/>
      <c r="CG60" s="103"/>
      <c r="CH60" s="103"/>
      <c r="CI60" s="103"/>
      <c r="CJ60" s="103"/>
      <c r="CK60" s="103"/>
      <c r="CM60" s="155" t="s">
        <v>39</v>
      </c>
      <c r="CN60" s="176">
        <v>10</v>
      </c>
      <c r="CW60" s="22">
        <v>56</v>
      </c>
      <c r="CX60" s="98" t="s">
        <v>41</v>
      </c>
      <c r="CY60" s="98" t="s">
        <v>40</v>
      </c>
      <c r="CZ60" s="98" t="s">
        <v>40</v>
      </c>
      <c r="DA60" s="98" t="s">
        <v>175</v>
      </c>
      <c r="DB60" s="98" t="s">
        <v>34</v>
      </c>
      <c r="DC60" s="98" t="s">
        <v>26</v>
      </c>
      <c r="DD60" s="37" t="s">
        <v>163</v>
      </c>
      <c r="DF60" s="97">
        <f t="shared" si="45"/>
        <v>12</v>
      </c>
      <c r="DG60" s="97">
        <f t="shared" si="10"/>
        <v>11</v>
      </c>
      <c r="DH60" s="97">
        <f t="shared" si="11"/>
        <v>11</v>
      </c>
      <c r="DI60" s="97">
        <f t="shared" si="12"/>
        <v>17</v>
      </c>
      <c r="DJ60" s="97">
        <f t="shared" si="13"/>
        <v>3</v>
      </c>
      <c r="DK60" s="97">
        <f t="shared" si="14"/>
        <v>8</v>
      </c>
      <c r="DL60" s="97">
        <f t="shared" si="15"/>
        <v>7</v>
      </c>
      <c r="DN60" s="25">
        <v>1</v>
      </c>
      <c r="DO60" s="25">
        <v>1</v>
      </c>
      <c r="DP60" s="25">
        <v>1</v>
      </c>
      <c r="DQ60" s="25">
        <v>1</v>
      </c>
      <c r="DR60" s="25">
        <v>1</v>
      </c>
      <c r="DS60" s="25">
        <v>1</v>
      </c>
      <c r="DT60" s="7">
        <v>1</v>
      </c>
      <c r="DV60" s="103"/>
      <c r="DW60" s="103"/>
      <c r="DX60" s="103"/>
      <c r="DY60" s="103"/>
      <c r="DZ60" s="103"/>
      <c r="EA60" s="103"/>
      <c r="EB60" s="103"/>
      <c r="EC60" s="103"/>
      <c r="ED60" s="103"/>
    </row>
    <row r="61" spans="1:134" ht="17.25" thickBot="1">
      <c r="A61" s="155" t="s">
        <v>40</v>
      </c>
      <c r="B61" s="176">
        <v>10</v>
      </c>
      <c r="K61" s="21">
        <v>57</v>
      </c>
      <c r="L61" s="98" t="s">
        <v>41</v>
      </c>
      <c r="M61" s="98" t="s">
        <v>33</v>
      </c>
      <c r="N61" s="98" t="s">
        <v>41</v>
      </c>
      <c r="O61" s="98" t="s">
        <v>36</v>
      </c>
      <c r="P61" s="98" t="s">
        <v>40</v>
      </c>
      <c r="Q61" s="98" t="s">
        <v>33</v>
      </c>
      <c r="R61" s="37" t="s">
        <v>38</v>
      </c>
      <c r="T61" s="97">
        <f t="shared" si="23"/>
        <v>12</v>
      </c>
      <c r="U61" s="97">
        <f t="shared" si="24"/>
        <v>2</v>
      </c>
      <c r="V61" s="97">
        <f t="shared" si="25"/>
        <v>12</v>
      </c>
      <c r="W61" s="97">
        <f t="shared" si="26"/>
        <v>5</v>
      </c>
      <c r="X61" s="97">
        <f t="shared" si="27"/>
        <v>11</v>
      </c>
      <c r="Y61" s="97">
        <f t="shared" si="28"/>
        <v>2</v>
      </c>
      <c r="Z61" s="97">
        <f t="shared" si="29"/>
        <v>9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  <c r="AT61" s="155" t="s">
        <v>40</v>
      </c>
      <c r="AU61" s="176">
        <v>10</v>
      </c>
      <c r="BD61" s="21">
        <v>57</v>
      </c>
      <c r="BE61" s="98" t="s">
        <v>41</v>
      </c>
      <c r="BF61" s="98" t="s">
        <v>39</v>
      </c>
      <c r="BG61" s="98" t="s">
        <v>41</v>
      </c>
      <c r="BH61" s="98" t="s">
        <v>36</v>
      </c>
      <c r="BI61" s="98" t="s">
        <v>40</v>
      </c>
      <c r="BJ61" s="98" t="s">
        <v>38</v>
      </c>
      <c r="BK61" s="37" t="s">
        <v>38</v>
      </c>
      <c r="BM61" s="97">
        <f t="shared" si="37"/>
        <v>12</v>
      </c>
      <c r="BN61" s="97">
        <f t="shared" si="38"/>
        <v>10</v>
      </c>
      <c r="BO61" s="97">
        <f t="shared" si="39"/>
        <v>12</v>
      </c>
      <c r="BP61" s="97">
        <f t="shared" si="40"/>
        <v>5</v>
      </c>
      <c r="BQ61" s="97">
        <f t="shared" si="41"/>
        <v>11</v>
      </c>
      <c r="BR61" s="97">
        <f t="shared" si="42"/>
        <v>9</v>
      </c>
      <c r="BS61" s="97">
        <f t="shared" si="43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103"/>
      <c r="CD61" s="219" t="s">
        <v>97</v>
      </c>
      <c r="CE61" s="219"/>
      <c r="CF61" s="219"/>
      <c r="CG61" s="219"/>
      <c r="CH61" s="219"/>
      <c r="CI61" s="219"/>
      <c r="CJ61" s="219"/>
      <c r="CK61" s="219"/>
      <c r="CM61" s="155" t="s">
        <v>40</v>
      </c>
      <c r="CN61" s="176">
        <v>10</v>
      </c>
      <c r="CW61" s="21">
        <v>57</v>
      </c>
      <c r="CX61" s="98" t="s">
        <v>41</v>
      </c>
      <c r="CY61" s="98" t="s">
        <v>39</v>
      </c>
      <c r="CZ61" s="98" t="s">
        <v>41</v>
      </c>
      <c r="DA61" s="98" t="s">
        <v>36</v>
      </c>
      <c r="DB61" s="98" t="s">
        <v>40</v>
      </c>
      <c r="DC61" s="98" t="s">
        <v>38</v>
      </c>
      <c r="DD61" s="37" t="s">
        <v>38</v>
      </c>
      <c r="DF61" s="97">
        <f t="shared" si="45"/>
        <v>12</v>
      </c>
      <c r="DG61" s="97">
        <f t="shared" si="10"/>
        <v>10</v>
      </c>
      <c r="DH61" s="97">
        <f t="shared" si="11"/>
        <v>12</v>
      </c>
      <c r="DI61" s="97">
        <f t="shared" si="12"/>
        <v>5</v>
      </c>
      <c r="DJ61" s="97">
        <f t="shared" si="13"/>
        <v>11</v>
      </c>
      <c r="DK61" s="97">
        <f t="shared" si="14"/>
        <v>9</v>
      </c>
      <c r="DL61" s="97">
        <f t="shared" si="15"/>
        <v>9</v>
      </c>
      <c r="DN61" s="25">
        <v>1</v>
      </c>
      <c r="DO61" s="25">
        <v>1</v>
      </c>
      <c r="DP61" s="25">
        <v>1</v>
      </c>
      <c r="DQ61" s="25">
        <v>1</v>
      </c>
      <c r="DR61" s="25">
        <v>1</v>
      </c>
      <c r="DS61" s="25">
        <v>1</v>
      </c>
      <c r="DT61" s="7">
        <v>1</v>
      </c>
      <c r="DV61" s="103"/>
      <c r="DW61" s="219" t="s">
        <v>97</v>
      </c>
      <c r="DX61" s="219"/>
      <c r="DY61" s="219"/>
      <c r="DZ61" s="219"/>
      <c r="EA61" s="219"/>
      <c r="EB61" s="219"/>
      <c r="EC61" s="219"/>
      <c r="ED61" s="219"/>
    </row>
    <row r="62" spans="1:134" ht="17.25" thickBot="1">
      <c r="A62" s="156" t="s">
        <v>41</v>
      </c>
      <c r="B62" s="177">
        <v>10</v>
      </c>
      <c r="K62" s="22">
        <v>58</v>
      </c>
      <c r="L62" s="98" t="s">
        <v>163</v>
      </c>
      <c r="M62" s="98" t="s">
        <v>204</v>
      </c>
      <c r="N62" s="98" t="s">
        <v>163</v>
      </c>
      <c r="O62" s="98" t="s">
        <v>26</v>
      </c>
      <c r="P62" s="98" t="s">
        <v>40</v>
      </c>
      <c r="Q62" s="98" t="s">
        <v>26</v>
      </c>
      <c r="R62" s="37" t="s">
        <v>38</v>
      </c>
      <c r="T62" s="97">
        <f t="shared" si="23"/>
        <v>7</v>
      </c>
      <c r="U62" s="97">
        <f t="shared" si="24"/>
        <v>15</v>
      </c>
      <c r="V62" s="97">
        <f t="shared" si="25"/>
        <v>7</v>
      </c>
      <c r="W62" s="97">
        <f t="shared" si="26"/>
        <v>8</v>
      </c>
      <c r="X62" s="97">
        <f t="shared" si="27"/>
        <v>11</v>
      </c>
      <c r="Y62" s="97">
        <f t="shared" si="28"/>
        <v>8</v>
      </c>
      <c r="Z62" s="97">
        <f t="shared" si="29"/>
        <v>9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  <c r="AT62" s="156" t="s">
        <v>41</v>
      </c>
      <c r="AU62" s="177">
        <v>10</v>
      </c>
      <c r="BD62" s="22">
        <v>58</v>
      </c>
      <c r="BE62" s="98" t="s">
        <v>163</v>
      </c>
      <c r="BF62" s="98" t="s">
        <v>100</v>
      </c>
      <c r="BG62" s="98" t="s">
        <v>26</v>
      </c>
      <c r="BH62" s="98" t="s">
        <v>26</v>
      </c>
      <c r="BI62" s="98" t="s">
        <v>40</v>
      </c>
      <c r="BJ62" s="98" t="s">
        <v>26</v>
      </c>
      <c r="BK62" s="37" t="s">
        <v>38</v>
      </c>
      <c r="BM62" s="97">
        <f t="shared" si="37"/>
        <v>7</v>
      </c>
      <c r="BN62" s="97">
        <f t="shared" si="38"/>
        <v>14</v>
      </c>
      <c r="BO62" s="97">
        <f t="shared" si="39"/>
        <v>8</v>
      </c>
      <c r="BP62" s="97">
        <f t="shared" si="40"/>
        <v>8</v>
      </c>
      <c r="BQ62" s="97">
        <f t="shared" si="41"/>
        <v>11</v>
      </c>
      <c r="BR62" s="97">
        <f t="shared" si="42"/>
        <v>8</v>
      </c>
      <c r="BS62" s="97">
        <f t="shared" si="43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65" t="s">
        <v>53</v>
      </c>
      <c r="CD62" s="66" t="s">
        <v>13</v>
      </c>
      <c r="CE62" s="66" t="s">
        <v>14</v>
      </c>
      <c r="CF62" s="66" t="s">
        <v>15</v>
      </c>
      <c r="CG62" s="66" t="s">
        <v>16</v>
      </c>
      <c r="CH62" s="66" t="s">
        <v>17</v>
      </c>
      <c r="CI62" s="66" t="s">
        <v>59</v>
      </c>
      <c r="CJ62" s="67" t="s">
        <v>79</v>
      </c>
      <c r="CK62" s="68" t="s">
        <v>4</v>
      </c>
      <c r="CM62" s="156" t="s">
        <v>41</v>
      </c>
      <c r="CN62" s="177">
        <v>10</v>
      </c>
      <c r="CW62" s="22">
        <v>58</v>
      </c>
      <c r="CX62" s="98" t="s">
        <v>163</v>
      </c>
      <c r="CY62" s="98" t="s">
        <v>100</v>
      </c>
      <c r="CZ62" s="98" t="s">
        <v>26</v>
      </c>
      <c r="DA62" s="98" t="s">
        <v>26</v>
      </c>
      <c r="DB62" s="98" t="s">
        <v>40</v>
      </c>
      <c r="DC62" s="98" t="s">
        <v>26</v>
      </c>
      <c r="DD62" s="37" t="s">
        <v>38</v>
      </c>
      <c r="DF62" s="97">
        <f t="shared" si="45"/>
        <v>7</v>
      </c>
      <c r="DG62" s="97">
        <f t="shared" si="10"/>
        <v>14</v>
      </c>
      <c r="DH62" s="97">
        <f t="shared" si="11"/>
        <v>8</v>
      </c>
      <c r="DI62" s="97">
        <f t="shared" si="12"/>
        <v>8</v>
      </c>
      <c r="DJ62" s="97">
        <f t="shared" si="13"/>
        <v>11</v>
      </c>
      <c r="DK62" s="97">
        <f t="shared" si="14"/>
        <v>8</v>
      </c>
      <c r="DL62" s="97">
        <f t="shared" si="15"/>
        <v>9</v>
      </c>
      <c r="DN62" s="25">
        <v>1</v>
      </c>
      <c r="DO62" s="25">
        <v>1</v>
      </c>
      <c r="DP62" s="25">
        <v>1</v>
      </c>
      <c r="DQ62" s="25">
        <v>1</v>
      </c>
      <c r="DR62" s="25">
        <v>1</v>
      </c>
      <c r="DS62" s="25">
        <v>1</v>
      </c>
      <c r="DT62" s="7">
        <v>1</v>
      </c>
      <c r="DV62" s="65" t="s">
        <v>53</v>
      </c>
      <c r="DW62" s="66" t="s">
        <v>13</v>
      </c>
      <c r="DX62" s="66" t="s">
        <v>14</v>
      </c>
      <c r="DY62" s="66" t="s">
        <v>15</v>
      </c>
      <c r="DZ62" s="66" t="s">
        <v>16</v>
      </c>
      <c r="EA62" s="66" t="s">
        <v>17</v>
      </c>
      <c r="EB62" s="66" t="s">
        <v>59</v>
      </c>
      <c r="EC62" s="67" t="s">
        <v>79</v>
      </c>
      <c r="ED62" s="68" t="s">
        <v>4</v>
      </c>
    </row>
    <row r="63" spans="1:134" ht="16.5" customHeight="1" thickBot="1">
      <c r="K63" s="21">
        <v>59</v>
      </c>
      <c r="L63" s="98" t="s">
        <v>38</v>
      </c>
      <c r="M63" s="98" t="s">
        <v>78</v>
      </c>
      <c r="N63" s="98" t="s">
        <v>41</v>
      </c>
      <c r="O63" s="98" t="s">
        <v>35</v>
      </c>
      <c r="P63" s="98" t="s">
        <v>163</v>
      </c>
      <c r="Q63" s="98" t="s">
        <v>78</v>
      </c>
      <c r="R63" s="98" t="s">
        <v>35</v>
      </c>
      <c r="T63" s="97">
        <f t="shared" si="23"/>
        <v>9</v>
      </c>
      <c r="U63" s="97">
        <f t="shared" si="24"/>
        <v>6</v>
      </c>
      <c r="V63" s="97">
        <f t="shared" si="25"/>
        <v>12</v>
      </c>
      <c r="W63" s="97">
        <f t="shared" si="26"/>
        <v>4</v>
      </c>
      <c r="X63" s="97">
        <f t="shared" si="27"/>
        <v>7</v>
      </c>
      <c r="Y63" s="97">
        <f t="shared" si="28"/>
        <v>6</v>
      </c>
      <c r="Z63" s="97">
        <f t="shared" si="29"/>
        <v>4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  <c r="BD63" s="21">
        <v>59</v>
      </c>
      <c r="BE63" s="98" t="s">
        <v>38</v>
      </c>
      <c r="BF63" s="98" t="s">
        <v>78</v>
      </c>
      <c r="BG63" s="98" t="s">
        <v>41</v>
      </c>
      <c r="BH63" s="98" t="s">
        <v>35</v>
      </c>
      <c r="BI63" s="98" t="s">
        <v>163</v>
      </c>
      <c r="BJ63" s="98" t="s">
        <v>78</v>
      </c>
      <c r="BK63" s="98" t="s">
        <v>35</v>
      </c>
      <c r="BM63" s="97">
        <f t="shared" si="37"/>
        <v>9</v>
      </c>
      <c r="BN63" s="97">
        <f t="shared" si="38"/>
        <v>6</v>
      </c>
      <c r="BO63" s="97">
        <f t="shared" si="39"/>
        <v>12</v>
      </c>
      <c r="BP63" s="97">
        <f t="shared" si="40"/>
        <v>4</v>
      </c>
      <c r="BQ63" s="97">
        <f t="shared" si="41"/>
        <v>7</v>
      </c>
      <c r="BR63" s="97">
        <f t="shared" si="42"/>
        <v>6</v>
      </c>
      <c r="BS63" s="97">
        <f t="shared" si="43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69" t="s">
        <v>81</v>
      </c>
      <c r="CD63" s="70">
        <v>0</v>
      </c>
      <c r="CE63" s="71">
        <v>0</v>
      </c>
      <c r="CF63" s="71">
        <v>0</v>
      </c>
      <c r="CG63" s="71">
        <v>0</v>
      </c>
      <c r="CH63" s="71">
        <v>0</v>
      </c>
      <c r="CI63" s="71">
        <v>0</v>
      </c>
      <c r="CJ63" s="72">
        <v>0</v>
      </c>
      <c r="CK63" s="73">
        <v>0</v>
      </c>
      <c r="CW63" s="21">
        <v>59</v>
      </c>
      <c r="CX63" s="98" t="s">
        <v>38</v>
      </c>
      <c r="CY63" s="98" t="s">
        <v>78</v>
      </c>
      <c r="CZ63" s="98" t="s">
        <v>41</v>
      </c>
      <c r="DA63" s="98" t="s">
        <v>35</v>
      </c>
      <c r="DB63" s="98" t="s">
        <v>163</v>
      </c>
      <c r="DC63" s="98" t="s">
        <v>78</v>
      </c>
      <c r="DD63" s="98" t="s">
        <v>35</v>
      </c>
      <c r="DF63" s="97">
        <f t="shared" si="45"/>
        <v>9</v>
      </c>
      <c r="DG63" s="97">
        <f t="shared" si="10"/>
        <v>6</v>
      </c>
      <c r="DH63" s="97">
        <f t="shared" si="11"/>
        <v>12</v>
      </c>
      <c r="DI63" s="97">
        <f t="shared" si="12"/>
        <v>4</v>
      </c>
      <c r="DJ63" s="97">
        <f t="shared" si="13"/>
        <v>7</v>
      </c>
      <c r="DK63" s="97">
        <f t="shared" si="14"/>
        <v>6</v>
      </c>
      <c r="DL63" s="97">
        <f t="shared" si="15"/>
        <v>4</v>
      </c>
      <c r="DN63" s="25">
        <v>1</v>
      </c>
      <c r="DO63" s="25">
        <v>1</v>
      </c>
      <c r="DP63" s="25">
        <v>1</v>
      </c>
      <c r="DQ63" s="25">
        <v>1</v>
      </c>
      <c r="DR63" s="25">
        <v>1</v>
      </c>
      <c r="DS63" s="25">
        <v>1</v>
      </c>
      <c r="DT63" s="7">
        <v>1</v>
      </c>
      <c r="DV63" s="69" t="s">
        <v>81</v>
      </c>
      <c r="DW63" s="70">
        <v>0</v>
      </c>
      <c r="DX63" s="71">
        <v>0</v>
      </c>
      <c r="DY63" s="71">
        <v>0</v>
      </c>
      <c r="DZ63" s="71">
        <v>0</v>
      </c>
      <c r="EA63" s="71">
        <v>0</v>
      </c>
      <c r="EB63" s="71">
        <v>0</v>
      </c>
      <c r="EC63" s="72">
        <v>0</v>
      </c>
      <c r="ED63" s="73">
        <v>0</v>
      </c>
    </row>
    <row r="64" spans="1:134" ht="16.5" customHeight="1" thickBot="1">
      <c r="A64" s="167" t="s">
        <v>191</v>
      </c>
      <c r="B64" s="168" t="s">
        <v>52</v>
      </c>
      <c r="K64" s="22">
        <v>60</v>
      </c>
      <c r="L64" s="98" t="s">
        <v>38</v>
      </c>
      <c r="M64" s="98" t="s">
        <v>175</v>
      </c>
      <c r="N64" s="98" t="s">
        <v>202</v>
      </c>
      <c r="O64" s="98" t="s">
        <v>35</v>
      </c>
      <c r="P64" s="98" t="s">
        <v>40</v>
      </c>
      <c r="Q64" s="98" t="s">
        <v>26</v>
      </c>
      <c r="R64" s="37" t="s">
        <v>35</v>
      </c>
      <c r="T64" s="97">
        <f t="shared" si="23"/>
        <v>9</v>
      </c>
      <c r="U64" s="97">
        <f t="shared" si="24"/>
        <v>17</v>
      </c>
      <c r="V64" s="97">
        <f t="shared" si="25"/>
        <v>23</v>
      </c>
      <c r="W64" s="97">
        <f t="shared" si="26"/>
        <v>4</v>
      </c>
      <c r="X64" s="97">
        <f t="shared" si="27"/>
        <v>11</v>
      </c>
      <c r="Y64" s="97">
        <f t="shared" si="28"/>
        <v>8</v>
      </c>
      <c r="Z64" s="97">
        <f t="shared" si="29"/>
        <v>4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74" t="s">
        <v>20</v>
      </c>
      <c r="AK64" s="90">
        <v>5</v>
      </c>
      <c r="AL64" s="91">
        <v>5</v>
      </c>
      <c r="AM64" s="91">
        <v>5</v>
      </c>
      <c r="AN64" s="91">
        <v>5</v>
      </c>
      <c r="AO64" s="76">
        <v>5</v>
      </c>
      <c r="AP64" s="76">
        <v>5</v>
      </c>
      <c r="AQ64" s="77">
        <v>0</v>
      </c>
      <c r="AR64" s="78">
        <v>1</v>
      </c>
      <c r="AT64" s="167" t="s">
        <v>191</v>
      </c>
      <c r="AU64" s="168" t="s">
        <v>52</v>
      </c>
      <c r="BD64" s="22">
        <v>60</v>
      </c>
      <c r="BE64" s="98" t="s">
        <v>38</v>
      </c>
      <c r="BF64" s="98" t="s">
        <v>175</v>
      </c>
      <c r="BG64" s="98" t="s">
        <v>202</v>
      </c>
      <c r="BH64" s="98" t="s">
        <v>35</v>
      </c>
      <c r="BI64" s="98" t="s">
        <v>40</v>
      </c>
      <c r="BJ64" s="98" t="s">
        <v>26</v>
      </c>
      <c r="BK64" s="37" t="s">
        <v>35</v>
      </c>
      <c r="BM64" s="97">
        <f t="shared" si="37"/>
        <v>9</v>
      </c>
      <c r="BN64" s="97">
        <f t="shared" si="38"/>
        <v>17</v>
      </c>
      <c r="BO64" s="97">
        <f t="shared" si="39"/>
        <v>23</v>
      </c>
      <c r="BP64" s="97">
        <f t="shared" si="40"/>
        <v>4</v>
      </c>
      <c r="BQ64" s="97">
        <f t="shared" si="41"/>
        <v>11</v>
      </c>
      <c r="BR64" s="97">
        <f t="shared" si="42"/>
        <v>8</v>
      </c>
      <c r="BS64" s="97">
        <f t="shared" si="43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74" t="s">
        <v>20</v>
      </c>
      <c r="CD64" s="90">
        <v>5</v>
      </c>
      <c r="CE64" s="91">
        <v>5</v>
      </c>
      <c r="CF64" s="91">
        <v>5</v>
      </c>
      <c r="CG64" s="91">
        <v>5</v>
      </c>
      <c r="CH64" s="76">
        <v>5</v>
      </c>
      <c r="CI64" s="76">
        <v>5</v>
      </c>
      <c r="CJ64" s="77">
        <v>0</v>
      </c>
      <c r="CK64" s="78">
        <v>1</v>
      </c>
      <c r="CM64" s="167" t="s">
        <v>191</v>
      </c>
      <c r="CN64" s="168" t="s">
        <v>52</v>
      </c>
      <c r="CW64" s="22">
        <v>60</v>
      </c>
      <c r="CX64" s="98" t="s">
        <v>38</v>
      </c>
      <c r="CY64" s="98" t="s">
        <v>175</v>
      </c>
      <c r="CZ64" s="98" t="s">
        <v>202</v>
      </c>
      <c r="DA64" s="98" t="s">
        <v>35</v>
      </c>
      <c r="DB64" s="98" t="s">
        <v>40</v>
      </c>
      <c r="DC64" s="98" t="s">
        <v>26</v>
      </c>
      <c r="DD64" s="37" t="s">
        <v>35</v>
      </c>
      <c r="DF64" s="97">
        <f t="shared" si="45"/>
        <v>9</v>
      </c>
      <c r="DG64" s="97">
        <f t="shared" si="10"/>
        <v>17</v>
      </c>
      <c r="DH64" s="97">
        <f t="shared" si="11"/>
        <v>23</v>
      </c>
      <c r="DI64" s="97">
        <f t="shared" si="12"/>
        <v>4</v>
      </c>
      <c r="DJ64" s="97">
        <f t="shared" si="13"/>
        <v>11</v>
      </c>
      <c r="DK64" s="97">
        <f t="shared" si="14"/>
        <v>8</v>
      </c>
      <c r="DL64" s="97">
        <f t="shared" si="15"/>
        <v>4</v>
      </c>
      <c r="DN64" s="25">
        <v>1</v>
      </c>
      <c r="DO64" s="25">
        <v>1</v>
      </c>
      <c r="DP64" s="25">
        <v>1</v>
      </c>
      <c r="DQ64" s="25">
        <v>1</v>
      </c>
      <c r="DR64" s="25">
        <v>1</v>
      </c>
      <c r="DS64" s="25">
        <v>1</v>
      </c>
      <c r="DT64" s="7">
        <v>1</v>
      </c>
      <c r="DV64" s="74" t="s">
        <v>20</v>
      </c>
      <c r="DW64" s="90">
        <v>5</v>
      </c>
      <c r="DX64" s="91">
        <v>5</v>
      </c>
      <c r="DY64" s="91">
        <v>5</v>
      </c>
      <c r="DZ64" s="91">
        <v>5</v>
      </c>
      <c r="EA64" s="76">
        <v>5</v>
      </c>
      <c r="EB64" s="76">
        <v>5</v>
      </c>
      <c r="EC64" s="77">
        <v>0</v>
      </c>
      <c r="ED64" s="78">
        <v>1</v>
      </c>
    </row>
    <row r="65" spans="1:134" ht="16.5" customHeight="1">
      <c r="A65" s="169">
        <v>0</v>
      </c>
      <c r="B65" s="159">
        <v>1000</v>
      </c>
      <c r="K65" s="21">
        <v>61</v>
      </c>
      <c r="L65" s="98" t="s">
        <v>40</v>
      </c>
      <c r="M65" s="98" t="s">
        <v>26</v>
      </c>
      <c r="N65" s="98" t="s">
        <v>38</v>
      </c>
      <c r="O65" s="98" t="s">
        <v>35</v>
      </c>
      <c r="P65" s="98" t="s">
        <v>40</v>
      </c>
      <c r="Q65" s="98" t="s">
        <v>26</v>
      </c>
      <c r="R65" s="37" t="s">
        <v>35</v>
      </c>
      <c r="T65" s="97">
        <f t="shared" si="23"/>
        <v>11</v>
      </c>
      <c r="U65" s="97">
        <f t="shared" si="24"/>
        <v>8</v>
      </c>
      <c r="V65" s="97">
        <f t="shared" si="25"/>
        <v>9</v>
      </c>
      <c r="W65" s="97">
        <f t="shared" si="26"/>
        <v>4</v>
      </c>
      <c r="X65" s="97">
        <f t="shared" si="27"/>
        <v>11</v>
      </c>
      <c r="Y65" s="97">
        <f t="shared" si="28"/>
        <v>8</v>
      </c>
      <c r="Z65" s="97">
        <f t="shared" si="29"/>
        <v>4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74" t="s">
        <v>21</v>
      </c>
      <c r="AK65" s="90">
        <v>40</v>
      </c>
      <c r="AL65" s="91">
        <v>1</v>
      </c>
      <c r="AM65" s="91">
        <v>10</v>
      </c>
      <c r="AN65" s="91">
        <v>1</v>
      </c>
      <c r="AO65" s="76">
        <v>40</v>
      </c>
      <c r="AP65" s="76">
        <v>1</v>
      </c>
      <c r="AQ65" s="77">
        <v>0</v>
      </c>
      <c r="AR65" s="78">
        <v>2</v>
      </c>
      <c r="AT65" s="169">
        <v>0</v>
      </c>
      <c r="AU65" s="159">
        <v>0</v>
      </c>
      <c r="BD65" s="21">
        <v>61</v>
      </c>
      <c r="BE65" s="98" t="s">
        <v>40</v>
      </c>
      <c r="BF65" s="98" t="s">
        <v>26</v>
      </c>
      <c r="BG65" s="98" t="s">
        <v>38</v>
      </c>
      <c r="BH65" s="98" t="s">
        <v>35</v>
      </c>
      <c r="BI65" s="98" t="s">
        <v>40</v>
      </c>
      <c r="BJ65" s="98" t="s">
        <v>26</v>
      </c>
      <c r="BK65" s="37" t="s">
        <v>35</v>
      </c>
      <c r="BM65" s="97">
        <f t="shared" si="37"/>
        <v>11</v>
      </c>
      <c r="BN65" s="97">
        <f t="shared" si="38"/>
        <v>8</v>
      </c>
      <c r="BO65" s="97">
        <f t="shared" si="39"/>
        <v>9</v>
      </c>
      <c r="BP65" s="97">
        <f t="shared" si="40"/>
        <v>4</v>
      </c>
      <c r="BQ65" s="97">
        <f t="shared" si="41"/>
        <v>11</v>
      </c>
      <c r="BR65" s="97">
        <f t="shared" si="42"/>
        <v>8</v>
      </c>
      <c r="BS65" s="97">
        <f t="shared" si="43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74" t="s">
        <v>21</v>
      </c>
      <c r="CD65" s="90">
        <v>40</v>
      </c>
      <c r="CE65" s="91">
        <v>1</v>
      </c>
      <c r="CF65" s="91">
        <v>10</v>
      </c>
      <c r="CG65" s="91">
        <v>1</v>
      </c>
      <c r="CH65" s="76">
        <v>40</v>
      </c>
      <c r="CI65" s="76">
        <v>1</v>
      </c>
      <c r="CJ65" s="77">
        <v>0</v>
      </c>
      <c r="CK65" s="78">
        <v>2</v>
      </c>
      <c r="CM65" s="169">
        <v>0</v>
      </c>
      <c r="CN65" s="159">
        <v>500</v>
      </c>
      <c r="CW65" s="21">
        <v>61</v>
      </c>
      <c r="CX65" s="98" t="s">
        <v>40</v>
      </c>
      <c r="CY65" s="98" t="s">
        <v>26</v>
      </c>
      <c r="CZ65" s="98" t="s">
        <v>38</v>
      </c>
      <c r="DA65" s="98" t="s">
        <v>35</v>
      </c>
      <c r="DB65" s="98" t="s">
        <v>40</v>
      </c>
      <c r="DC65" s="98" t="s">
        <v>26</v>
      </c>
      <c r="DD65" s="37" t="s">
        <v>35</v>
      </c>
      <c r="DF65" s="97">
        <f t="shared" si="45"/>
        <v>11</v>
      </c>
      <c r="DG65" s="97">
        <f t="shared" si="10"/>
        <v>8</v>
      </c>
      <c r="DH65" s="97">
        <f t="shared" si="11"/>
        <v>9</v>
      </c>
      <c r="DI65" s="97">
        <f t="shared" si="12"/>
        <v>4</v>
      </c>
      <c r="DJ65" s="97">
        <f t="shared" si="13"/>
        <v>11</v>
      </c>
      <c r="DK65" s="97">
        <f t="shared" si="14"/>
        <v>8</v>
      </c>
      <c r="DL65" s="97">
        <f t="shared" si="15"/>
        <v>4</v>
      </c>
      <c r="DN65" s="25">
        <v>1</v>
      </c>
      <c r="DO65" s="25">
        <v>1</v>
      </c>
      <c r="DP65" s="25">
        <v>1</v>
      </c>
      <c r="DQ65" s="25">
        <v>1</v>
      </c>
      <c r="DR65" s="25">
        <v>1</v>
      </c>
      <c r="DS65" s="25">
        <v>1</v>
      </c>
      <c r="DT65" s="7">
        <v>1</v>
      </c>
      <c r="DV65" s="74" t="s">
        <v>21</v>
      </c>
      <c r="DW65" s="90">
        <v>40</v>
      </c>
      <c r="DX65" s="91">
        <v>1</v>
      </c>
      <c r="DY65" s="91">
        <v>10</v>
      </c>
      <c r="DZ65" s="91">
        <v>1</v>
      </c>
      <c r="EA65" s="76">
        <v>40</v>
      </c>
      <c r="EB65" s="76">
        <v>1</v>
      </c>
      <c r="EC65" s="77">
        <v>0</v>
      </c>
      <c r="ED65" s="78">
        <v>2</v>
      </c>
    </row>
    <row r="66" spans="1:134" ht="16.5" customHeight="1">
      <c r="A66" s="170">
        <v>1</v>
      </c>
      <c r="B66" s="160">
        <v>120</v>
      </c>
      <c r="K66" s="22">
        <v>62</v>
      </c>
      <c r="L66" s="98" t="s">
        <v>38</v>
      </c>
      <c r="M66" s="98" t="s">
        <v>26</v>
      </c>
      <c r="N66" s="98" t="s">
        <v>38</v>
      </c>
      <c r="O66" s="98" t="s">
        <v>39</v>
      </c>
      <c r="P66" s="98" t="s">
        <v>38</v>
      </c>
      <c r="Q66" s="98" t="s">
        <v>38</v>
      </c>
      <c r="R66" s="37" t="s">
        <v>38</v>
      </c>
      <c r="T66" s="97">
        <f t="shared" si="23"/>
        <v>9</v>
      </c>
      <c r="U66" s="97">
        <f t="shared" si="24"/>
        <v>8</v>
      </c>
      <c r="V66" s="97">
        <f t="shared" si="25"/>
        <v>9</v>
      </c>
      <c r="W66" s="97">
        <f t="shared" si="26"/>
        <v>10</v>
      </c>
      <c r="X66" s="97">
        <f t="shared" si="27"/>
        <v>9</v>
      </c>
      <c r="Y66" s="97">
        <f t="shared" si="28"/>
        <v>9</v>
      </c>
      <c r="Z66" s="97">
        <f t="shared" si="29"/>
        <v>9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74" t="s">
        <v>22</v>
      </c>
      <c r="AK66" s="90">
        <v>1</v>
      </c>
      <c r="AL66" s="91">
        <v>40</v>
      </c>
      <c r="AM66" s="91">
        <v>1</v>
      </c>
      <c r="AN66" s="91">
        <v>40</v>
      </c>
      <c r="AO66" s="76">
        <v>1</v>
      </c>
      <c r="AP66" s="76">
        <v>1</v>
      </c>
      <c r="AQ66" s="77">
        <v>1</v>
      </c>
      <c r="AR66" s="78">
        <v>3</v>
      </c>
      <c r="AT66" s="170">
        <v>1</v>
      </c>
      <c r="AU66" s="160">
        <v>0</v>
      </c>
      <c r="BD66" s="22">
        <v>62</v>
      </c>
      <c r="BE66" s="98" t="s">
        <v>38</v>
      </c>
      <c r="BF66" s="98" t="s">
        <v>26</v>
      </c>
      <c r="BG66" s="98" t="s">
        <v>38</v>
      </c>
      <c r="BH66" s="98" t="s">
        <v>39</v>
      </c>
      <c r="BI66" s="98" t="s">
        <v>38</v>
      </c>
      <c r="BJ66" s="98" t="s">
        <v>38</v>
      </c>
      <c r="BK66" s="37" t="s">
        <v>38</v>
      </c>
      <c r="BM66" s="97">
        <f t="shared" si="37"/>
        <v>9</v>
      </c>
      <c r="BN66" s="97">
        <f t="shared" si="38"/>
        <v>8</v>
      </c>
      <c r="BO66" s="97">
        <f t="shared" si="39"/>
        <v>9</v>
      </c>
      <c r="BP66" s="97">
        <f t="shared" si="40"/>
        <v>10</v>
      </c>
      <c r="BQ66" s="97">
        <f t="shared" si="41"/>
        <v>9</v>
      </c>
      <c r="BR66" s="97">
        <f t="shared" si="42"/>
        <v>9</v>
      </c>
      <c r="BS66" s="97">
        <f t="shared" si="43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74" t="s">
        <v>22</v>
      </c>
      <c r="CD66" s="90">
        <v>1</v>
      </c>
      <c r="CE66" s="91">
        <v>40</v>
      </c>
      <c r="CF66" s="91">
        <v>1</v>
      </c>
      <c r="CG66" s="91">
        <v>40</v>
      </c>
      <c r="CH66" s="76">
        <v>1</v>
      </c>
      <c r="CI66" s="76">
        <v>1</v>
      </c>
      <c r="CJ66" s="77">
        <v>1</v>
      </c>
      <c r="CK66" s="78">
        <v>3</v>
      </c>
      <c r="CM66" s="170">
        <v>1</v>
      </c>
      <c r="CN66" s="160">
        <v>200</v>
      </c>
      <c r="CW66" s="22">
        <v>62</v>
      </c>
      <c r="CX66" s="98" t="s">
        <v>38</v>
      </c>
      <c r="CY66" s="98" t="s">
        <v>26</v>
      </c>
      <c r="CZ66" s="98" t="s">
        <v>38</v>
      </c>
      <c r="DA66" s="98" t="s">
        <v>39</v>
      </c>
      <c r="DB66" s="98" t="s">
        <v>38</v>
      </c>
      <c r="DC66" s="98" t="s">
        <v>38</v>
      </c>
      <c r="DD66" s="37" t="s">
        <v>38</v>
      </c>
      <c r="DF66" s="97">
        <f t="shared" si="45"/>
        <v>9</v>
      </c>
      <c r="DG66" s="97">
        <f t="shared" si="10"/>
        <v>8</v>
      </c>
      <c r="DH66" s="97">
        <f t="shared" si="11"/>
        <v>9</v>
      </c>
      <c r="DI66" s="97">
        <f t="shared" si="12"/>
        <v>10</v>
      </c>
      <c r="DJ66" s="97">
        <f t="shared" si="13"/>
        <v>9</v>
      </c>
      <c r="DK66" s="97">
        <f t="shared" si="14"/>
        <v>9</v>
      </c>
      <c r="DL66" s="97">
        <f t="shared" si="15"/>
        <v>9</v>
      </c>
      <c r="DN66" s="25">
        <v>1</v>
      </c>
      <c r="DO66" s="25">
        <v>1</v>
      </c>
      <c r="DP66" s="25">
        <v>1</v>
      </c>
      <c r="DQ66" s="25">
        <v>1</v>
      </c>
      <c r="DR66" s="25">
        <v>1</v>
      </c>
      <c r="DS66" s="25">
        <v>1</v>
      </c>
      <c r="DT66" s="7">
        <v>1</v>
      </c>
      <c r="DV66" s="74" t="s">
        <v>22</v>
      </c>
      <c r="DW66" s="90">
        <v>1</v>
      </c>
      <c r="DX66" s="91">
        <v>40</v>
      </c>
      <c r="DY66" s="91">
        <v>1</v>
      </c>
      <c r="DZ66" s="91">
        <v>40</v>
      </c>
      <c r="EA66" s="76">
        <v>1</v>
      </c>
      <c r="EB66" s="76">
        <v>1</v>
      </c>
      <c r="EC66" s="77">
        <v>1</v>
      </c>
      <c r="ED66" s="78">
        <v>3</v>
      </c>
    </row>
    <row r="67" spans="1:134" ht="16.5" customHeight="1">
      <c r="A67" s="170">
        <v>2</v>
      </c>
      <c r="B67" s="160">
        <v>20</v>
      </c>
      <c r="K67" s="21">
        <v>63</v>
      </c>
      <c r="L67" s="98" t="s">
        <v>41</v>
      </c>
      <c r="M67" s="98" t="s">
        <v>78</v>
      </c>
      <c r="N67" s="98" t="s">
        <v>38</v>
      </c>
      <c r="O67" s="98" t="s">
        <v>39</v>
      </c>
      <c r="P67" s="98" t="s">
        <v>36</v>
      </c>
      <c r="Q67" s="98" t="s">
        <v>41</v>
      </c>
      <c r="R67" s="37" t="s">
        <v>38</v>
      </c>
      <c r="T67" s="97">
        <f t="shared" si="23"/>
        <v>12</v>
      </c>
      <c r="U67" s="97">
        <f t="shared" si="24"/>
        <v>6</v>
      </c>
      <c r="V67" s="97">
        <f t="shared" si="25"/>
        <v>9</v>
      </c>
      <c r="W67" s="97">
        <f t="shared" si="26"/>
        <v>10</v>
      </c>
      <c r="X67" s="97">
        <f t="shared" si="27"/>
        <v>5</v>
      </c>
      <c r="Y67" s="97">
        <f t="shared" si="28"/>
        <v>12</v>
      </c>
      <c r="Z67" s="97">
        <f t="shared" si="29"/>
        <v>9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74" t="s">
        <v>18</v>
      </c>
      <c r="AK67" s="90">
        <v>40</v>
      </c>
      <c r="AL67" s="91">
        <v>40</v>
      </c>
      <c r="AM67" s="91">
        <v>40</v>
      </c>
      <c r="AN67" s="91">
        <v>1</v>
      </c>
      <c r="AO67" s="76">
        <v>1</v>
      </c>
      <c r="AP67" s="76">
        <v>40</v>
      </c>
      <c r="AQ67" s="77">
        <v>1</v>
      </c>
      <c r="AR67" s="78">
        <v>4</v>
      </c>
      <c r="AT67" s="170">
        <v>2</v>
      </c>
      <c r="AU67" s="160">
        <v>100</v>
      </c>
      <c r="BD67" s="21">
        <v>63</v>
      </c>
      <c r="BE67" s="98" t="s">
        <v>41</v>
      </c>
      <c r="BF67" s="98" t="s">
        <v>78</v>
      </c>
      <c r="BG67" s="98" t="s">
        <v>38</v>
      </c>
      <c r="BH67" s="98" t="s">
        <v>39</v>
      </c>
      <c r="BI67" s="98" t="s">
        <v>36</v>
      </c>
      <c r="BJ67" s="98" t="s">
        <v>41</v>
      </c>
      <c r="BK67" s="37" t="s">
        <v>38</v>
      </c>
      <c r="BM67" s="97">
        <f t="shared" si="37"/>
        <v>12</v>
      </c>
      <c r="BN67" s="97">
        <f t="shared" si="38"/>
        <v>6</v>
      </c>
      <c r="BO67" s="97">
        <f t="shared" si="39"/>
        <v>9</v>
      </c>
      <c r="BP67" s="97">
        <f t="shared" si="40"/>
        <v>10</v>
      </c>
      <c r="BQ67" s="97">
        <f t="shared" si="41"/>
        <v>5</v>
      </c>
      <c r="BR67" s="97">
        <f t="shared" si="42"/>
        <v>12</v>
      </c>
      <c r="BS67" s="97">
        <f t="shared" si="43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74" t="s">
        <v>18</v>
      </c>
      <c r="CD67" s="90">
        <v>40</v>
      </c>
      <c r="CE67" s="91">
        <v>40</v>
      </c>
      <c r="CF67" s="91">
        <v>40</v>
      </c>
      <c r="CG67" s="91">
        <v>1</v>
      </c>
      <c r="CH67" s="76">
        <v>1</v>
      </c>
      <c r="CI67" s="76">
        <v>40</v>
      </c>
      <c r="CJ67" s="77">
        <v>1</v>
      </c>
      <c r="CK67" s="78">
        <v>4</v>
      </c>
      <c r="CM67" s="170">
        <v>2</v>
      </c>
      <c r="CN67" s="160">
        <v>0</v>
      </c>
      <c r="CW67" s="21">
        <v>63</v>
      </c>
      <c r="CX67" s="98" t="s">
        <v>41</v>
      </c>
      <c r="CY67" s="98" t="s">
        <v>78</v>
      </c>
      <c r="CZ67" s="98" t="s">
        <v>38</v>
      </c>
      <c r="DA67" s="98" t="s">
        <v>39</v>
      </c>
      <c r="DB67" s="98" t="s">
        <v>36</v>
      </c>
      <c r="DC67" s="98" t="s">
        <v>41</v>
      </c>
      <c r="DD67" s="37" t="s">
        <v>38</v>
      </c>
      <c r="DF67" s="97">
        <f t="shared" si="45"/>
        <v>12</v>
      </c>
      <c r="DG67" s="97">
        <f t="shared" si="10"/>
        <v>6</v>
      </c>
      <c r="DH67" s="97">
        <f t="shared" si="11"/>
        <v>9</v>
      </c>
      <c r="DI67" s="97">
        <f t="shared" si="12"/>
        <v>10</v>
      </c>
      <c r="DJ67" s="97">
        <f t="shared" si="13"/>
        <v>5</v>
      </c>
      <c r="DK67" s="97">
        <f t="shared" si="14"/>
        <v>12</v>
      </c>
      <c r="DL67" s="97">
        <f t="shared" si="15"/>
        <v>9</v>
      </c>
      <c r="DN67" s="25">
        <v>1</v>
      </c>
      <c r="DO67" s="25">
        <v>1</v>
      </c>
      <c r="DP67" s="25">
        <v>1</v>
      </c>
      <c r="DQ67" s="25">
        <v>1</v>
      </c>
      <c r="DR67" s="25">
        <v>1</v>
      </c>
      <c r="DS67" s="25">
        <v>1</v>
      </c>
      <c r="DT67" s="7">
        <v>1</v>
      </c>
      <c r="DV67" s="74" t="s">
        <v>18</v>
      </c>
      <c r="DW67" s="90">
        <v>40</v>
      </c>
      <c r="DX67" s="91">
        <v>40</v>
      </c>
      <c r="DY67" s="91">
        <v>40</v>
      </c>
      <c r="DZ67" s="91">
        <v>1</v>
      </c>
      <c r="EA67" s="76">
        <v>1</v>
      </c>
      <c r="EB67" s="76">
        <v>40</v>
      </c>
      <c r="EC67" s="77">
        <v>1</v>
      </c>
      <c r="ED67" s="78">
        <v>4</v>
      </c>
    </row>
    <row r="68" spans="1:134" ht="16.5" customHeight="1">
      <c r="A68" s="170">
        <v>3</v>
      </c>
      <c r="B68" s="160">
        <v>10</v>
      </c>
      <c r="K68" s="22">
        <v>64</v>
      </c>
      <c r="L68" s="98" t="s">
        <v>35</v>
      </c>
      <c r="M68" s="98" t="s">
        <v>39</v>
      </c>
      <c r="N68" s="98" t="s">
        <v>36</v>
      </c>
      <c r="O68" s="98" t="s">
        <v>41</v>
      </c>
      <c r="P68" s="98" t="s">
        <v>163</v>
      </c>
      <c r="Q68" s="98" t="s">
        <v>41</v>
      </c>
      <c r="R68" s="37" t="s">
        <v>40</v>
      </c>
      <c r="T68" s="97">
        <f t="shared" si="23"/>
        <v>4</v>
      </c>
      <c r="U68" s="97">
        <f t="shared" si="24"/>
        <v>10</v>
      </c>
      <c r="V68" s="97">
        <f t="shared" si="25"/>
        <v>5</v>
      </c>
      <c r="W68" s="97">
        <f t="shared" si="26"/>
        <v>12</v>
      </c>
      <c r="X68" s="97">
        <f t="shared" si="27"/>
        <v>7</v>
      </c>
      <c r="Y68" s="97">
        <f t="shared" si="28"/>
        <v>12</v>
      </c>
      <c r="Z68" s="97">
        <f t="shared" si="29"/>
        <v>11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74" t="s">
        <v>19</v>
      </c>
      <c r="AK68" s="90">
        <v>1</v>
      </c>
      <c r="AL68" s="91">
        <v>40</v>
      </c>
      <c r="AM68" s="91">
        <v>1</v>
      </c>
      <c r="AN68" s="91">
        <v>1</v>
      </c>
      <c r="AO68" s="76">
        <v>1</v>
      </c>
      <c r="AP68" s="76">
        <v>40</v>
      </c>
      <c r="AQ68" s="77">
        <v>1</v>
      </c>
      <c r="AR68" s="78">
        <v>5</v>
      </c>
      <c r="AT68" s="170">
        <v>3</v>
      </c>
      <c r="AU68" s="160">
        <v>100</v>
      </c>
      <c r="BD68" s="22">
        <v>64</v>
      </c>
      <c r="BE68" s="98" t="s">
        <v>35</v>
      </c>
      <c r="BF68" s="98" t="s">
        <v>39</v>
      </c>
      <c r="BG68" s="98" t="s">
        <v>36</v>
      </c>
      <c r="BH68" s="98" t="s">
        <v>41</v>
      </c>
      <c r="BI68" s="98" t="s">
        <v>163</v>
      </c>
      <c r="BJ68" s="98" t="s">
        <v>41</v>
      </c>
      <c r="BK68" s="37" t="s">
        <v>40</v>
      </c>
      <c r="BM68" s="97">
        <f t="shared" si="37"/>
        <v>4</v>
      </c>
      <c r="BN68" s="97">
        <f t="shared" si="38"/>
        <v>10</v>
      </c>
      <c r="BO68" s="97">
        <f t="shared" si="39"/>
        <v>5</v>
      </c>
      <c r="BP68" s="97">
        <f t="shared" si="40"/>
        <v>12</v>
      </c>
      <c r="BQ68" s="97">
        <f t="shared" si="41"/>
        <v>7</v>
      </c>
      <c r="BR68" s="97">
        <f t="shared" si="42"/>
        <v>12</v>
      </c>
      <c r="BS68" s="97">
        <f t="shared" si="43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74" t="s">
        <v>19</v>
      </c>
      <c r="CD68" s="90">
        <v>1</v>
      </c>
      <c r="CE68" s="91">
        <v>40</v>
      </c>
      <c r="CF68" s="91">
        <v>1</v>
      </c>
      <c r="CG68" s="91">
        <v>1</v>
      </c>
      <c r="CH68" s="76">
        <v>1</v>
      </c>
      <c r="CI68" s="76">
        <v>40</v>
      </c>
      <c r="CJ68" s="77">
        <v>1</v>
      </c>
      <c r="CK68" s="78">
        <v>5</v>
      </c>
      <c r="CM68" s="170">
        <v>3</v>
      </c>
      <c r="CN68" s="160">
        <v>0</v>
      </c>
      <c r="CW68" s="22">
        <v>64</v>
      </c>
      <c r="CX68" s="98" t="s">
        <v>35</v>
      </c>
      <c r="CY68" s="98" t="s">
        <v>39</v>
      </c>
      <c r="CZ68" s="98" t="s">
        <v>36</v>
      </c>
      <c r="DA68" s="98" t="s">
        <v>41</v>
      </c>
      <c r="DB68" s="98" t="s">
        <v>163</v>
      </c>
      <c r="DC68" s="98" t="s">
        <v>41</v>
      </c>
      <c r="DD68" s="37" t="s">
        <v>40</v>
      </c>
      <c r="DF68" s="97">
        <f t="shared" si="45"/>
        <v>4</v>
      </c>
      <c r="DG68" s="97">
        <f t="shared" ref="DG68:DG124" si="47">VLOOKUP(CY68, $A$4:$I$29, 9, 0)</f>
        <v>10</v>
      </c>
      <c r="DH68" s="97">
        <f t="shared" ref="DH68:DH124" si="48">VLOOKUP(CZ68, $A$4:$I$29, 9, 0)</f>
        <v>5</v>
      </c>
      <c r="DI68" s="97">
        <f t="shared" ref="DI68:DI124" si="49">VLOOKUP(DA68, $A$4:$I$29, 9, 0)</f>
        <v>12</v>
      </c>
      <c r="DJ68" s="97">
        <f t="shared" ref="DJ68:DJ124" si="50">VLOOKUP(DB68, $A$4:$I$29, 9, 0)</f>
        <v>7</v>
      </c>
      <c r="DK68" s="97">
        <f t="shared" ref="DK68:DK124" si="51">VLOOKUP(DC68, $A$4:$I$29, 9, 0)</f>
        <v>12</v>
      </c>
      <c r="DL68" s="97">
        <f t="shared" ref="DL68:DL124" si="52">VLOOKUP(DD68, $A$4:$I$29, 9, 0)</f>
        <v>11</v>
      </c>
      <c r="DN68" s="25">
        <v>1</v>
      </c>
      <c r="DO68" s="25">
        <v>1</v>
      </c>
      <c r="DP68" s="25">
        <v>1</v>
      </c>
      <c r="DQ68" s="25">
        <v>1</v>
      </c>
      <c r="DR68" s="25">
        <v>1</v>
      </c>
      <c r="DS68" s="25">
        <v>1</v>
      </c>
      <c r="DT68" s="7">
        <v>1</v>
      </c>
      <c r="DV68" s="74" t="s">
        <v>19</v>
      </c>
      <c r="DW68" s="90">
        <v>1</v>
      </c>
      <c r="DX68" s="91">
        <v>40</v>
      </c>
      <c r="DY68" s="91">
        <v>1</v>
      </c>
      <c r="DZ68" s="91">
        <v>1</v>
      </c>
      <c r="EA68" s="76">
        <v>1</v>
      </c>
      <c r="EB68" s="76">
        <v>40</v>
      </c>
      <c r="EC68" s="77">
        <v>1</v>
      </c>
      <c r="ED68" s="78">
        <v>5</v>
      </c>
    </row>
    <row r="69" spans="1:134" ht="16.5" customHeight="1">
      <c r="A69" s="170">
        <v>4</v>
      </c>
      <c r="B69" s="160">
        <v>1</v>
      </c>
      <c r="K69" s="21">
        <v>65</v>
      </c>
      <c r="L69" s="98" t="s">
        <v>39</v>
      </c>
      <c r="M69" s="98" t="s">
        <v>39</v>
      </c>
      <c r="N69" s="98" t="s">
        <v>26</v>
      </c>
      <c r="O69" s="98" t="s">
        <v>41</v>
      </c>
      <c r="P69" s="98" t="s">
        <v>163</v>
      </c>
      <c r="Q69" s="98" t="s">
        <v>39</v>
      </c>
      <c r="R69" s="37" t="s">
        <v>40</v>
      </c>
      <c r="T69" s="97">
        <f t="shared" ref="T69:T124" si="53">VLOOKUP(L69, $A$4:$I$29, 9, 0)</f>
        <v>10</v>
      </c>
      <c r="U69" s="97">
        <f t="shared" ref="U69:U124" si="54">VLOOKUP(M69, $A$4:$I$29, 9, 0)</f>
        <v>10</v>
      </c>
      <c r="V69" s="97">
        <f t="shared" ref="V69:V124" si="55">VLOOKUP(N69, $A$4:$I$29, 9, 0)</f>
        <v>8</v>
      </c>
      <c r="W69" s="97">
        <f t="shared" ref="W69:W124" si="56">VLOOKUP(O69, $A$4:$I$29, 9, 0)</f>
        <v>12</v>
      </c>
      <c r="X69" s="97">
        <f t="shared" ref="X69:X124" si="57">VLOOKUP(P69, $A$4:$I$29, 9, 0)</f>
        <v>7</v>
      </c>
      <c r="Y69" s="97">
        <f t="shared" ref="Y69:Y124" si="58">VLOOKUP(Q69, $A$4:$I$29, 9, 0)</f>
        <v>10</v>
      </c>
      <c r="Z69" s="97">
        <f t="shared" ref="Z69:Z124" si="59">VLOOKUP(R69, $A$4:$I$29, 9, 0)</f>
        <v>11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74" t="s">
        <v>77</v>
      </c>
      <c r="AK69" s="90">
        <v>1</v>
      </c>
      <c r="AL69" s="91">
        <v>1</v>
      </c>
      <c r="AM69" s="91">
        <v>40</v>
      </c>
      <c r="AN69" s="91">
        <v>1</v>
      </c>
      <c r="AO69" s="76">
        <v>40</v>
      </c>
      <c r="AP69" s="76">
        <v>1</v>
      </c>
      <c r="AQ69" s="77">
        <v>1</v>
      </c>
      <c r="AR69" s="78">
        <v>6</v>
      </c>
      <c r="AT69" s="170">
        <v>4</v>
      </c>
      <c r="AU69" s="160">
        <v>15</v>
      </c>
      <c r="BD69" s="21">
        <v>65</v>
      </c>
      <c r="BE69" s="98" t="s">
        <v>39</v>
      </c>
      <c r="BF69" s="98" t="s">
        <v>39</v>
      </c>
      <c r="BG69" s="98" t="s">
        <v>26</v>
      </c>
      <c r="BH69" s="98" t="s">
        <v>41</v>
      </c>
      <c r="BI69" s="98" t="s">
        <v>163</v>
      </c>
      <c r="BJ69" s="98" t="s">
        <v>39</v>
      </c>
      <c r="BK69" s="37" t="s">
        <v>40</v>
      </c>
      <c r="BM69" s="97">
        <f t="shared" ref="BM69:BM124" si="60">VLOOKUP(BE69, $A$4:$I$29, 9, 0)</f>
        <v>10</v>
      </c>
      <c r="BN69" s="97">
        <f t="shared" ref="BN69:BN124" si="61">VLOOKUP(BF69, $A$4:$I$29, 9, 0)</f>
        <v>10</v>
      </c>
      <c r="BO69" s="97">
        <f t="shared" ref="BO69:BO124" si="62">VLOOKUP(BG69, $A$4:$I$29, 9, 0)</f>
        <v>8</v>
      </c>
      <c r="BP69" s="97">
        <f t="shared" ref="BP69:BP124" si="63">VLOOKUP(BH69, $A$4:$I$29, 9, 0)</f>
        <v>12</v>
      </c>
      <c r="BQ69" s="97">
        <f t="shared" ref="BQ69:BQ124" si="64">VLOOKUP(BI69, $A$4:$I$29, 9, 0)</f>
        <v>7</v>
      </c>
      <c r="BR69" s="97">
        <f t="shared" ref="BR69:BR124" si="65">VLOOKUP(BJ69, $A$4:$I$29, 9, 0)</f>
        <v>10</v>
      </c>
      <c r="BS69" s="97">
        <f t="shared" ref="BS69:BS124" si="66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74" t="s">
        <v>77</v>
      </c>
      <c r="CD69" s="90">
        <v>1</v>
      </c>
      <c r="CE69" s="91">
        <v>1</v>
      </c>
      <c r="CF69" s="91">
        <v>40</v>
      </c>
      <c r="CG69" s="91">
        <v>1</v>
      </c>
      <c r="CH69" s="76">
        <v>40</v>
      </c>
      <c r="CI69" s="76">
        <v>1</v>
      </c>
      <c r="CJ69" s="77">
        <v>1</v>
      </c>
      <c r="CK69" s="78">
        <v>6</v>
      </c>
      <c r="CM69" s="170">
        <v>4</v>
      </c>
      <c r="CN69" s="160">
        <v>0</v>
      </c>
      <c r="CW69" s="21">
        <v>65</v>
      </c>
      <c r="CX69" s="98" t="s">
        <v>39</v>
      </c>
      <c r="CY69" s="98" t="s">
        <v>39</v>
      </c>
      <c r="CZ69" s="98" t="s">
        <v>26</v>
      </c>
      <c r="DA69" s="98" t="s">
        <v>41</v>
      </c>
      <c r="DB69" s="98" t="s">
        <v>163</v>
      </c>
      <c r="DC69" s="98" t="s">
        <v>39</v>
      </c>
      <c r="DD69" s="37" t="s">
        <v>40</v>
      </c>
      <c r="DF69" s="97">
        <f t="shared" ref="DF69:DF124" si="67">VLOOKUP(CX69, $A$4:$I$29, 9, 0)</f>
        <v>10</v>
      </c>
      <c r="DG69" s="97">
        <f t="shared" si="47"/>
        <v>10</v>
      </c>
      <c r="DH69" s="97">
        <f t="shared" si="48"/>
        <v>8</v>
      </c>
      <c r="DI69" s="97">
        <f t="shared" si="49"/>
        <v>12</v>
      </c>
      <c r="DJ69" s="97">
        <f t="shared" si="50"/>
        <v>7</v>
      </c>
      <c r="DK69" s="97">
        <f t="shared" si="51"/>
        <v>10</v>
      </c>
      <c r="DL69" s="97">
        <f t="shared" si="52"/>
        <v>11</v>
      </c>
      <c r="DN69" s="25">
        <v>1</v>
      </c>
      <c r="DO69" s="25">
        <v>1</v>
      </c>
      <c r="DP69" s="25">
        <v>1</v>
      </c>
      <c r="DQ69" s="25">
        <v>1</v>
      </c>
      <c r="DR69" s="25">
        <v>1</v>
      </c>
      <c r="DS69" s="25">
        <v>1</v>
      </c>
      <c r="DT69" s="7">
        <v>1</v>
      </c>
      <c r="DV69" s="74" t="s">
        <v>77</v>
      </c>
      <c r="DW69" s="90">
        <v>1</v>
      </c>
      <c r="DX69" s="91">
        <v>1</v>
      </c>
      <c r="DY69" s="91">
        <v>40</v>
      </c>
      <c r="DZ69" s="91">
        <v>1</v>
      </c>
      <c r="EA69" s="76">
        <v>40</v>
      </c>
      <c r="EB69" s="76">
        <v>1</v>
      </c>
      <c r="EC69" s="77">
        <v>1</v>
      </c>
      <c r="ED69" s="78">
        <v>6</v>
      </c>
    </row>
    <row r="70" spans="1:134" ht="16.5" customHeight="1">
      <c r="A70" s="171">
        <v>5</v>
      </c>
      <c r="B70" s="173">
        <v>0</v>
      </c>
      <c r="K70" s="22">
        <v>66</v>
      </c>
      <c r="L70" s="98" t="s">
        <v>39</v>
      </c>
      <c r="M70" s="98" t="s">
        <v>41</v>
      </c>
      <c r="N70" s="98" t="s">
        <v>26</v>
      </c>
      <c r="O70" s="98" t="s">
        <v>41</v>
      </c>
      <c r="P70" s="98" t="s">
        <v>36</v>
      </c>
      <c r="Q70" s="98" t="s">
        <v>26</v>
      </c>
      <c r="R70" s="37" t="s">
        <v>40</v>
      </c>
      <c r="T70" s="97">
        <f t="shared" si="53"/>
        <v>10</v>
      </c>
      <c r="U70" s="97">
        <f t="shared" si="54"/>
        <v>12</v>
      </c>
      <c r="V70" s="97">
        <f t="shared" si="55"/>
        <v>8</v>
      </c>
      <c r="W70" s="97">
        <f t="shared" si="56"/>
        <v>12</v>
      </c>
      <c r="X70" s="97">
        <f t="shared" si="57"/>
        <v>5</v>
      </c>
      <c r="Y70" s="97">
        <f t="shared" si="58"/>
        <v>8</v>
      </c>
      <c r="Z70" s="97">
        <f t="shared" si="59"/>
        <v>11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74" t="s">
        <v>162</v>
      </c>
      <c r="AK70" s="90">
        <v>1</v>
      </c>
      <c r="AL70" s="91">
        <v>40</v>
      </c>
      <c r="AM70" s="91">
        <v>1</v>
      </c>
      <c r="AN70" s="91">
        <v>40</v>
      </c>
      <c r="AO70" s="76">
        <v>1</v>
      </c>
      <c r="AP70" s="76">
        <v>1</v>
      </c>
      <c r="AQ70" s="77">
        <v>1</v>
      </c>
      <c r="AR70" s="78">
        <v>7</v>
      </c>
      <c r="AT70" s="171">
        <v>5</v>
      </c>
      <c r="AU70" s="173">
        <v>0</v>
      </c>
      <c r="BD70" s="22">
        <v>66</v>
      </c>
      <c r="BE70" s="98" t="s">
        <v>39</v>
      </c>
      <c r="BF70" s="98" t="s">
        <v>41</v>
      </c>
      <c r="BG70" s="98" t="s">
        <v>26</v>
      </c>
      <c r="BH70" s="98" t="s">
        <v>41</v>
      </c>
      <c r="BI70" s="98" t="s">
        <v>36</v>
      </c>
      <c r="BJ70" s="98" t="s">
        <v>26</v>
      </c>
      <c r="BK70" s="37" t="s">
        <v>40</v>
      </c>
      <c r="BM70" s="97">
        <f t="shared" si="60"/>
        <v>10</v>
      </c>
      <c r="BN70" s="97">
        <f t="shared" si="61"/>
        <v>12</v>
      </c>
      <c r="BO70" s="97">
        <f t="shared" si="62"/>
        <v>8</v>
      </c>
      <c r="BP70" s="97">
        <f t="shared" si="63"/>
        <v>12</v>
      </c>
      <c r="BQ70" s="97">
        <f t="shared" si="64"/>
        <v>5</v>
      </c>
      <c r="BR70" s="97">
        <f t="shared" si="65"/>
        <v>8</v>
      </c>
      <c r="BS70" s="97">
        <f t="shared" si="66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74" t="s">
        <v>162</v>
      </c>
      <c r="CD70" s="90">
        <v>1</v>
      </c>
      <c r="CE70" s="91">
        <v>40</v>
      </c>
      <c r="CF70" s="91">
        <v>1</v>
      </c>
      <c r="CG70" s="91">
        <v>40</v>
      </c>
      <c r="CH70" s="76">
        <v>1</v>
      </c>
      <c r="CI70" s="76">
        <v>1</v>
      </c>
      <c r="CJ70" s="77">
        <v>1</v>
      </c>
      <c r="CK70" s="78">
        <v>7</v>
      </c>
      <c r="CM70" s="171">
        <v>5</v>
      </c>
      <c r="CN70" s="173">
        <v>0</v>
      </c>
      <c r="CW70" s="22">
        <v>66</v>
      </c>
      <c r="CX70" s="98" t="s">
        <v>39</v>
      </c>
      <c r="CY70" s="98" t="s">
        <v>41</v>
      </c>
      <c r="CZ70" s="98" t="s">
        <v>26</v>
      </c>
      <c r="DA70" s="98" t="s">
        <v>41</v>
      </c>
      <c r="DB70" s="98" t="s">
        <v>36</v>
      </c>
      <c r="DC70" s="98" t="s">
        <v>26</v>
      </c>
      <c r="DD70" s="37" t="s">
        <v>40</v>
      </c>
      <c r="DF70" s="97">
        <f t="shared" si="67"/>
        <v>10</v>
      </c>
      <c r="DG70" s="97">
        <f t="shared" si="47"/>
        <v>12</v>
      </c>
      <c r="DH70" s="97">
        <f t="shared" si="48"/>
        <v>8</v>
      </c>
      <c r="DI70" s="97">
        <f t="shared" si="49"/>
        <v>12</v>
      </c>
      <c r="DJ70" s="97">
        <f t="shared" si="50"/>
        <v>5</v>
      </c>
      <c r="DK70" s="97">
        <f t="shared" si="51"/>
        <v>8</v>
      </c>
      <c r="DL70" s="97">
        <f t="shared" si="52"/>
        <v>11</v>
      </c>
      <c r="DN70" s="25">
        <v>1</v>
      </c>
      <c r="DO70" s="25">
        <v>1</v>
      </c>
      <c r="DP70" s="25">
        <v>1</v>
      </c>
      <c r="DQ70" s="25">
        <v>1</v>
      </c>
      <c r="DR70" s="25">
        <v>1</v>
      </c>
      <c r="DS70" s="25">
        <v>1</v>
      </c>
      <c r="DT70" s="7">
        <v>1</v>
      </c>
      <c r="DV70" s="74" t="s">
        <v>162</v>
      </c>
      <c r="DW70" s="90">
        <v>1</v>
      </c>
      <c r="DX70" s="91">
        <v>40</v>
      </c>
      <c r="DY70" s="91">
        <v>1</v>
      </c>
      <c r="DZ70" s="91">
        <v>40</v>
      </c>
      <c r="EA70" s="76">
        <v>1</v>
      </c>
      <c r="EB70" s="76">
        <v>1</v>
      </c>
      <c r="EC70" s="77">
        <v>1</v>
      </c>
      <c r="ED70" s="78">
        <v>7</v>
      </c>
    </row>
    <row r="71" spans="1:134" ht="16.5" customHeight="1">
      <c r="A71" s="171">
        <v>6</v>
      </c>
      <c r="B71" s="173">
        <v>0</v>
      </c>
      <c r="K71" s="21">
        <v>67</v>
      </c>
      <c r="L71" s="98" t="s">
        <v>36</v>
      </c>
      <c r="M71" s="98" t="s">
        <v>39</v>
      </c>
      <c r="N71" s="98" t="s">
        <v>26</v>
      </c>
      <c r="O71" s="98" t="s">
        <v>38</v>
      </c>
      <c r="P71" s="98" t="s">
        <v>36</v>
      </c>
      <c r="Q71" s="98" t="s">
        <v>78</v>
      </c>
      <c r="R71" s="37" t="s">
        <v>41</v>
      </c>
      <c r="T71" s="97">
        <f t="shared" si="53"/>
        <v>5</v>
      </c>
      <c r="U71" s="97">
        <f t="shared" si="54"/>
        <v>10</v>
      </c>
      <c r="V71" s="97">
        <f t="shared" si="55"/>
        <v>8</v>
      </c>
      <c r="W71" s="97">
        <f t="shared" si="56"/>
        <v>9</v>
      </c>
      <c r="X71" s="97">
        <f t="shared" si="57"/>
        <v>5</v>
      </c>
      <c r="Y71" s="97">
        <f t="shared" si="58"/>
        <v>6</v>
      </c>
      <c r="Z71" s="97">
        <f t="shared" si="59"/>
        <v>12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74" t="s">
        <v>25</v>
      </c>
      <c r="AK71" s="90">
        <v>1</v>
      </c>
      <c r="AL71" s="91">
        <v>1</v>
      </c>
      <c r="AM71" s="91">
        <v>1</v>
      </c>
      <c r="AN71" s="91">
        <v>1</v>
      </c>
      <c r="AO71" s="76">
        <v>35</v>
      </c>
      <c r="AP71" s="76">
        <v>1</v>
      </c>
      <c r="AQ71" s="77">
        <v>1</v>
      </c>
      <c r="AR71" s="78">
        <v>8</v>
      </c>
      <c r="AT71" s="171">
        <v>6</v>
      </c>
      <c r="AU71" s="173">
        <v>0</v>
      </c>
      <c r="BD71" s="21">
        <v>67</v>
      </c>
      <c r="BE71" s="98" t="s">
        <v>36</v>
      </c>
      <c r="BF71" s="98" t="s">
        <v>39</v>
      </c>
      <c r="BG71" s="98" t="s">
        <v>26</v>
      </c>
      <c r="BH71" s="98" t="s">
        <v>38</v>
      </c>
      <c r="BI71" s="98" t="s">
        <v>36</v>
      </c>
      <c r="BJ71" s="98" t="s">
        <v>78</v>
      </c>
      <c r="BK71" s="37" t="s">
        <v>41</v>
      </c>
      <c r="BM71" s="97">
        <f t="shared" si="60"/>
        <v>5</v>
      </c>
      <c r="BN71" s="97">
        <f t="shared" si="61"/>
        <v>10</v>
      </c>
      <c r="BO71" s="97">
        <f t="shared" si="62"/>
        <v>8</v>
      </c>
      <c r="BP71" s="97">
        <f t="shared" si="63"/>
        <v>9</v>
      </c>
      <c r="BQ71" s="97">
        <f t="shared" si="64"/>
        <v>5</v>
      </c>
      <c r="BR71" s="97">
        <f t="shared" si="65"/>
        <v>6</v>
      </c>
      <c r="BS71" s="97">
        <f t="shared" si="66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74" t="s">
        <v>25</v>
      </c>
      <c r="CD71" s="90">
        <v>1</v>
      </c>
      <c r="CE71" s="91">
        <v>1</v>
      </c>
      <c r="CF71" s="91">
        <v>1</v>
      </c>
      <c r="CG71" s="91">
        <v>1</v>
      </c>
      <c r="CH71" s="76">
        <v>35</v>
      </c>
      <c r="CI71" s="76">
        <v>1</v>
      </c>
      <c r="CJ71" s="77">
        <v>1</v>
      </c>
      <c r="CK71" s="78">
        <v>8</v>
      </c>
      <c r="CM71" s="171">
        <v>6</v>
      </c>
      <c r="CN71" s="173">
        <v>0</v>
      </c>
      <c r="CW71" s="21">
        <v>67</v>
      </c>
      <c r="CX71" s="98" t="s">
        <v>36</v>
      </c>
      <c r="CY71" s="98" t="s">
        <v>39</v>
      </c>
      <c r="CZ71" s="98" t="s">
        <v>26</v>
      </c>
      <c r="DA71" s="98" t="s">
        <v>38</v>
      </c>
      <c r="DB71" s="98" t="s">
        <v>36</v>
      </c>
      <c r="DC71" s="98" t="s">
        <v>78</v>
      </c>
      <c r="DD71" s="37" t="s">
        <v>41</v>
      </c>
      <c r="DF71" s="97">
        <f t="shared" si="67"/>
        <v>5</v>
      </c>
      <c r="DG71" s="97">
        <f t="shared" si="47"/>
        <v>10</v>
      </c>
      <c r="DH71" s="97">
        <f t="shared" si="48"/>
        <v>8</v>
      </c>
      <c r="DI71" s="97">
        <f t="shared" si="49"/>
        <v>9</v>
      </c>
      <c r="DJ71" s="97">
        <f t="shared" si="50"/>
        <v>5</v>
      </c>
      <c r="DK71" s="97">
        <f t="shared" si="51"/>
        <v>6</v>
      </c>
      <c r="DL71" s="97">
        <f t="shared" si="52"/>
        <v>12</v>
      </c>
      <c r="DN71" s="25">
        <v>1</v>
      </c>
      <c r="DO71" s="25">
        <v>1</v>
      </c>
      <c r="DP71" s="25">
        <v>1</v>
      </c>
      <c r="DQ71" s="25">
        <v>1</v>
      </c>
      <c r="DR71" s="25">
        <v>1</v>
      </c>
      <c r="DS71" s="25">
        <v>1</v>
      </c>
      <c r="DT71" s="7">
        <v>1</v>
      </c>
      <c r="DV71" s="74" t="s">
        <v>25</v>
      </c>
      <c r="DW71" s="90">
        <v>1</v>
      </c>
      <c r="DX71" s="91">
        <v>1</v>
      </c>
      <c r="DY71" s="91">
        <v>1</v>
      </c>
      <c r="DZ71" s="91">
        <v>1</v>
      </c>
      <c r="EA71" s="76">
        <v>35</v>
      </c>
      <c r="EB71" s="76">
        <v>1</v>
      </c>
      <c r="EC71" s="77">
        <v>1</v>
      </c>
      <c r="ED71" s="78">
        <v>8</v>
      </c>
    </row>
    <row r="72" spans="1:134" ht="16.5" customHeight="1" thickBot="1">
      <c r="A72" s="172">
        <v>7</v>
      </c>
      <c r="B72" s="174">
        <v>0</v>
      </c>
      <c r="K72" s="22">
        <v>68</v>
      </c>
      <c r="L72" s="98" t="s">
        <v>36</v>
      </c>
      <c r="M72" s="98" t="s">
        <v>39</v>
      </c>
      <c r="N72" s="98" t="s">
        <v>78</v>
      </c>
      <c r="O72" s="98" t="s">
        <v>175</v>
      </c>
      <c r="P72" s="98" t="s">
        <v>175</v>
      </c>
      <c r="Q72" s="98" t="s">
        <v>78</v>
      </c>
      <c r="R72" s="37" t="s">
        <v>34</v>
      </c>
      <c r="T72" s="97">
        <f t="shared" si="53"/>
        <v>5</v>
      </c>
      <c r="U72" s="97">
        <f t="shared" si="54"/>
        <v>10</v>
      </c>
      <c r="V72" s="97">
        <f t="shared" si="55"/>
        <v>6</v>
      </c>
      <c r="W72" s="97">
        <f t="shared" si="56"/>
        <v>17</v>
      </c>
      <c r="X72" s="97">
        <f t="shared" si="57"/>
        <v>17</v>
      </c>
      <c r="Y72" s="97">
        <f t="shared" si="58"/>
        <v>6</v>
      </c>
      <c r="Z72" s="97">
        <f t="shared" si="59"/>
        <v>3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74" t="s">
        <v>27</v>
      </c>
      <c r="AK72" s="90">
        <v>1</v>
      </c>
      <c r="AL72" s="91">
        <v>40</v>
      </c>
      <c r="AM72" s="91">
        <v>1</v>
      </c>
      <c r="AN72" s="91">
        <v>40</v>
      </c>
      <c r="AO72" s="76">
        <v>1</v>
      </c>
      <c r="AP72" s="76">
        <v>40</v>
      </c>
      <c r="AQ72" s="77">
        <v>1</v>
      </c>
      <c r="AR72" s="78">
        <v>9</v>
      </c>
      <c r="AT72" s="172">
        <v>7</v>
      </c>
      <c r="AU72" s="174">
        <v>0</v>
      </c>
      <c r="BD72" s="22">
        <v>68</v>
      </c>
      <c r="BE72" s="98" t="s">
        <v>36</v>
      </c>
      <c r="BF72" s="98" t="s">
        <v>39</v>
      </c>
      <c r="BG72" s="98" t="s">
        <v>40</v>
      </c>
      <c r="BH72" s="98" t="s">
        <v>175</v>
      </c>
      <c r="BI72" s="98" t="s">
        <v>175</v>
      </c>
      <c r="BJ72" s="98" t="s">
        <v>78</v>
      </c>
      <c r="BK72" s="37" t="s">
        <v>34</v>
      </c>
      <c r="BM72" s="97">
        <f t="shared" si="60"/>
        <v>5</v>
      </c>
      <c r="BN72" s="97">
        <f t="shared" si="61"/>
        <v>10</v>
      </c>
      <c r="BO72" s="97">
        <f t="shared" si="62"/>
        <v>11</v>
      </c>
      <c r="BP72" s="97">
        <f t="shared" si="63"/>
        <v>17</v>
      </c>
      <c r="BQ72" s="97">
        <f t="shared" si="64"/>
        <v>17</v>
      </c>
      <c r="BR72" s="97">
        <f t="shared" si="65"/>
        <v>6</v>
      </c>
      <c r="BS72" s="97">
        <f t="shared" si="66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74" t="s">
        <v>27</v>
      </c>
      <c r="CD72" s="90">
        <v>1</v>
      </c>
      <c r="CE72" s="91">
        <v>40</v>
      </c>
      <c r="CF72" s="91">
        <v>1</v>
      </c>
      <c r="CG72" s="91">
        <v>40</v>
      </c>
      <c r="CH72" s="76">
        <v>1</v>
      </c>
      <c r="CI72" s="76">
        <v>40</v>
      </c>
      <c r="CJ72" s="77">
        <v>1</v>
      </c>
      <c r="CK72" s="78">
        <v>9</v>
      </c>
      <c r="CM72" s="172">
        <v>7</v>
      </c>
      <c r="CN72" s="174">
        <v>0</v>
      </c>
      <c r="CW72" s="22">
        <v>68</v>
      </c>
      <c r="CX72" s="98" t="s">
        <v>36</v>
      </c>
      <c r="CY72" s="98" t="s">
        <v>39</v>
      </c>
      <c r="CZ72" s="98" t="s">
        <v>40</v>
      </c>
      <c r="DA72" s="98" t="s">
        <v>175</v>
      </c>
      <c r="DB72" s="98" t="s">
        <v>175</v>
      </c>
      <c r="DC72" s="98" t="s">
        <v>78</v>
      </c>
      <c r="DD72" s="37" t="s">
        <v>34</v>
      </c>
      <c r="DF72" s="97">
        <f t="shared" si="67"/>
        <v>5</v>
      </c>
      <c r="DG72" s="97">
        <f t="shared" si="47"/>
        <v>10</v>
      </c>
      <c r="DH72" s="97">
        <f t="shared" si="48"/>
        <v>11</v>
      </c>
      <c r="DI72" s="97">
        <f t="shared" si="49"/>
        <v>17</v>
      </c>
      <c r="DJ72" s="97">
        <f t="shared" si="50"/>
        <v>17</v>
      </c>
      <c r="DK72" s="97">
        <f t="shared" si="51"/>
        <v>6</v>
      </c>
      <c r="DL72" s="97">
        <f t="shared" si="52"/>
        <v>3</v>
      </c>
      <c r="DN72" s="25">
        <v>1</v>
      </c>
      <c r="DO72" s="25">
        <v>1</v>
      </c>
      <c r="DP72" s="25">
        <v>1</v>
      </c>
      <c r="DQ72" s="25">
        <v>1</v>
      </c>
      <c r="DR72" s="25">
        <v>1</v>
      </c>
      <c r="DS72" s="25">
        <v>1</v>
      </c>
      <c r="DT72" s="7">
        <v>1</v>
      </c>
      <c r="DV72" s="74" t="s">
        <v>27</v>
      </c>
      <c r="DW72" s="90">
        <v>1</v>
      </c>
      <c r="DX72" s="91">
        <v>40</v>
      </c>
      <c r="DY72" s="91">
        <v>1</v>
      </c>
      <c r="DZ72" s="91">
        <v>40</v>
      </c>
      <c r="EA72" s="76">
        <v>1</v>
      </c>
      <c r="EB72" s="76">
        <v>40</v>
      </c>
      <c r="EC72" s="77">
        <v>1</v>
      </c>
      <c r="ED72" s="78">
        <v>9</v>
      </c>
    </row>
    <row r="73" spans="1:134" ht="16.5" customHeight="1">
      <c r="K73" s="21">
        <v>69</v>
      </c>
      <c r="L73" s="98" t="s">
        <v>38</v>
      </c>
      <c r="M73" s="98" t="s">
        <v>39</v>
      </c>
      <c r="N73" s="98" t="s">
        <v>40</v>
      </c>
      <c r="O73" s="98" t="s">
        <v>78</v>
      </c>
      <c r="P73" s="98" t="s">
        <v>78</v>
      </c>
      <c r="Q73" s="98" t="s">
        <v>41</v>
      </c>
      <c r="R73" s="37" t="s">
        <v>34</v>
      </c>
      <c r="T73" s="97">
        <f t="shared" si="53"/>
        <v>9</v>
      </c>
      <c r="U73" s="97">
        <f t="shared" si="54"/>
        <v>10</v>
      </c>
      <c r="V73" s="97">
        <f t="shared" si="55"/>
        <v>11</v>
      </c>
      <c r="W73" s="97">
        <f t="shared" si="56"/>
        <v>6</v>
      </c>
      <c r="X73" s="97">
        <f t="shared" si="57"/>
        <v>6</v>
      </c>
      <c r="Y73" s="97">
        <f t="shared" si="58"/>
        <v>12</v>
      </c>
      <c r="Z73" s="97">
        <f t="shared" si="59"/>
        <v>3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74" t="s">
        <v>28</v>
      </c>
      <c r="AK73" s="90">
        <v>60</v>
      </c>
      <c r="AL73" s="91">
        <v>40</v>
      </c>
      <c r="AM73" s="91">
        <v>35</v>
      </c>
      <c r="AN73" s="91">
        <v>1</v>
      </c>
      <c r="AO73" s="76">
        <v>1</v>
      </c>
      <c r="AP73" s="76">
        <v>1</v>
      </c>
      <c r="AQ73" s="77">
        <v>1</v>
      </c>
      <c r="AR73" s="78">
        <v>10</v>
      </c>
      <c r="BD73" s="21">
        <v>69</v>
      </c>
      <c r="BE73" s="98" t="s">
        <v>38</v>
      </c>
      <c r="BF73" s="98" t="s">
        <v>39</v>
      </c>
      <c r="BG73" s="98" t="s">
        <v>40</v>
      </c>
      <c r="BH73" s="98" t="s">
        <v>78</v>
      </c>
      <c r="BI73" s="98" t="s">
        <v>78</v>
      </c>
      <c r="BJ73" s="98" t="s">
        <v>41</v>
      </c>
      <c r="BK73" s="37" t="s">
        <v>34</v>
      </c>
      <c r="BM73" s="97">
        <f t="shared" si="60"/>
        <v>9</v>
      </c>
      <c r="BN73" s="97">
        <f t="shared" si="61"/>
        <v>10</v>
      </c>
      <c r="BO73" s="97">
        <f t="shared" si="62"/>
        <v>11</v>
      </c>
      <c r="BP73" s="97">
        <f t="shared" si="63"/>
        <v>6</v>
      </c>
      <c r="BQ73" s="97">
        <f t="shared" si="64"/>
        <v>6</v>
      </c>
      <c r="BR73" s="97">
        <f t="shared" si="65"/>
        <v>12</v>
      </c>
      <c r="BS73" s="97">
        <f t="shared" si="66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74" t="s">
        <v>28</v>
      </c>
      <c r="CD73" s="90">
        <v>60</v>
      </c>
      <c r="CE73" s="91">
        <v>40</v>
      </c>
      <c r="CF73" s="91">
        <v>35</v>
      </c>
      <c r="CG73" s="91">
        <v>1</v>
      </c>
      <c r="CH73" s="76">
        <v>1</v>
      </c>
      <c r="CI73" s="76">
        <v>1</v>
      </c>
      <c r="CJ73" s="77">
        <v>1</v>
      </c>
      <c r="CK73" s="78">
        <v>10</v>
      </c>
      <c r="CW73" s="21">
        <v>69</v>
      </c>
      <c r="CX73" s="98" t="s">
        <v>38</v>
      </c>
      <c r="CY73" s="98" t="s">
        <v>39</v>
      </c>
      <c r="CZ73" s="98" t="s">
        <v>40</v>
      </c>
      <c r="DA73" s="98" t="s">
        <v>78</v>
      </c>
      <c r="DB73" s="98" t="s">
        <v>78</v>
      </c>
      <c r="DC73" s="98" t="s">
        <v>41</v>
      </c>
      <c r="DD73" s="37" t="s">
        <v>34</v>
      </c>
      <c r="DF73" s="97">
        <f t="shared" si="67"/>
        <v>9</v>
      </c>
      <c r="DG73" s="97">
        <f t="shared" si="47"/>
        <v>10</v>
      </c>
      <c r="DH73" s="97">
        <f t="shared" si="48"/>
        <v>11</v>
      </c>
      <c r="DI73" s="97">
        <f t="shared" si="49"/>
        <v>6</v>
      </c>
      <c r="DJ73" s="97">
        <f t="shared" si="50"/>
        <v>6</v>
      </c>
      <c r="DK73" s="97">
        <f t="shared" si="51"/>
        <v>12</v>
      </c>
      <c r="DL73" s="97">
        <f t="shared" si="52"/>
        <v>3</v>
      </c>
      <c r="DN73" s="25">
        <v>1</v>
      </c>
      <c r="DO73" s="25">
        <v>1</v>
      </c>
      <c r="DP73" s="25">
        <v>1</v>
      </c>
      <c r="DQ73" s="25">
        <v>1</v>
      </c>
      <c r="DR73" s="25">
        <v>1</v>
      </c>
      <c r="DS73" s="25">
        <v>1</v>
      </c>
      <c r="DT73" s="7">
        <v>1</v>
      </c>
      <c r="DV73" s="74" t="s">
        <v>28</v>
      </c>
      <c r="DW73" s="90">
        <v>60</v>
      </c>
      <c r="DX73" s="91">
        <v>40</v>
      </c>
      <c r="DY73" s="91">
        <v>35</v>
      </c>
      <c r="DZ73" s="91">
        <v>1</v>
      </c>
      <c r="EA73" s="76">
        <v>1</v>
      </c>
      <c r="EB73" s="76">
        <v>1</v>
      </c>
      <c r="EC73" s="77">
        <v>1</v>
      </c>
      <c r="ED73" s="78">
        <v>10</v>
      </c>
    </row>
    <row r="74" spans="1:134" ht="16.5" customHeight="1">
      <c r="K74" s="22">
        <v>70</v>
      </c>
      <c r="L74" s="98" t="s">
        <v>41</v>
      </c>
      <c r="M74" s="98" t="s">
        <v>206</v>
      </c>
      <c r="N74" s="98" t="s">
        <v>40</v>
      </c>
      <c r="O74" s="98" t="s">
        <v>78</v>
      </c>
      <c r="P74" s="98" t="s">
        <v>36</v>
      </c>
      <c r="Q74" s="98" t="s">
        <v>40</v>
      </c>
      <c r="R74" s="37" t="s">
        <v>35</v>
      </c>
      <c r="T74" s="97">
        <f t="shared" si="53"/>
        <v>12</v>
      </c>
      <c r="U74" s="97">
        <f t="shared" si="54"/>
        <v>22</v>
      </c>
      <c r="V74" s="97">
        <f t="shared" si="55"/>
        <v>11</v>
      </c>
      <c r="W74" s="97">
        <f t="shared" si="56"/>
        <v>6</v>
      </c>
      <c r="X74" s="97">
        <f t="shared" si="57"/>
        <v>5</v>
      </c>
      <c r="Y74" s="97">
        <f t="shared" si="58"/>
        <v>11</v>
      </c>
      <c r="Z74" s="97">
        <f t="shared" si="59"/>
        <v>4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74" t="s">
        <v>29</v>
      </c>
      <c r="AK74" s="90">
        <v>1</v>
      </c>
      <c r="AL74" s="91">
        <v>40</v>
      </c>
      <c r="AM74" s="91">
        <v>1</v>
      </c>
      <c r="AN74" s="91">
        <v>1</v>
      </c>
      <c r="AO74" s="76">
        <v>1</v>
      </c>
      <c r="AP74" s="76">
        <v>1</v>
      </c>
      <c r="AQ74" s="77">
        <v>1</v>
      </c>
      <c r="AR74" s="78">
        <v>11</v>
      </c>
      <c r="BD74" s="22">
        <v>70</v>
      </c>
      <c r="BE74" s="98" t="s">
        <v>41</v>
      </c>
      <c r="BF74" s="98" t="s">
        <v>206</v>
      </c>
      <c r="BG74" s="98" t="s">
        <v>40</v>
      </c>
      <c r="BH74" s="98" t="s">
        <v>78</v>
      </c>
      <c r="BI74" s="98" t="s">
        <v>36</v>
      </c>
      <c r="BJ74" s="98" t="s">
        <v>40</v>
      </c>
      <c r="BK74" s="37" t="s">
        <v>35</v>
      </c>
      <c r="BM74" s="97">
        <f t="shared" si="60"/>
        <v>12</v>
      </c>
      <c r="BN74" s="97">
        <f t="shared" si="61"/>
        <v>22</v>
      </c>
      <c r="BO74" s="97">
        <f t="shared" si="62"/>
        <v>11</v>
      </c>
      <c r="BP74" s="97">
        <f t="shared" si="63"/>
        <v>6</v>
      </c>
      <c r="BQ74" s="97">
        <f t="shared" si="64"/>
        <v>5</v>
      </c>
      <c r="BR74" s="97">
        <f t="shared" si="65"/>
        <v>11</v>
      </c>
      <c r="BS74" s="97">
        <f t="shared" si="66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74" t="s">
        <v>29</v>
      </c>
      <c r="CD74" s="90">
        <v>1</v>
      </c>
      <c r="CE74" s="91">
        <v>40</v>
      </c>
      <c r="CF74" s="91">
        <v>1</v>
      </c>
      <c r="CG74" s="91">
        <v>1</v>
      </c>
      <c r="CH74" s="76">
        <v>1</v>
      </c>
      <c r="CI74" s="76">
        <v>1</v>
      </c>
      <c r="CJ74" s="77">
        <v>1</v>
      </c>
      <c r="CK74" s="78">
        <v>11</v>
      </c>
      <c r="CW74" s="22">
        <v>70</v>
      </c>
      <c r="CX74" s="98" t="s">
        <v>41</v>
      </c>
      <c r="CY74" s="98" t="s">
        <v>206</v>
      </c>
      <c r="CZ74" s="98" t="s">
        <v>40</v>
      </c>
      <c r="DA74" s="98" t="s">
        <v>78</v>
      </c>
      <c r="DB74" s="98" t="s">
        <v>36</v>
      </c>
      <c r="DC74" s="98" t="s">
        <v>40</v>
      </c>
      <c r="DD74" s="37" t="s">
        <v>35</v>
      </c>
      <c r="DF74" s="97">
        <f t="shared" si="67"/>
        <v>12</v>
      </c>
      <c r="DG74" s="97">
        <f t="shared" si="47"/>
        <v>22</v>
      </c>
      <c r="DH74" s="97">
        <f t="shared" si="48"/>
        <v>11</v>
      </c>
      <c r="DI74" s="97">
        <f t="shared" si="49"/>
        <v>6</v>
      </c>
      <c r="DJ74" s="97">
        <f t="shared" si="50"/>
        <v>5</v>
      </c>
      <c r="DK74" s="97">
        <f t="shared" si="51"/>
        <v>11</v>
      </c>
      <c r="DL74" s="97">
        <f t="shared" si="52"/>
        <v>4</v>
      </c>
      <c r="DN74" s="25">
        <v>1</v>
      </c>
      <c r="DO74" s="25">
        <v>1</v>
      </c>
      <c r="DP74" s="25">
        <v>1</v>
      </c>
      <c r="DQ74" s="25">
        <v>1</v>
      </c>
      <c r="DR74" s="25">
        <v>1</v>
      </c>
      <c r="DS74" s="25">
        <v>1</v>
      </c>
      <c r="DT74" s="7">
        <v>1</v>
      </c>
      <c r="DV74" s="74" t="s">
        <v>29</v>
      </c>
      <c r="DW74" s="90">
        <v>1</v>
      </c>
      <c r="DX74" s="91">
        <v>40</v>
      </c>
      <c r="DY74" s="91">
        <v>1</v>
      </c>
      <c r="DZ74" s="91">
        <v>1</v>
      </c>
      <c r="EA74" s="76">
        <v>1</v>
      </c>
      <c r="EB74" s="76">
        <v>1</v>
      </c>
      <c r="EC74" s="77">
        <v>1</v>
      </c>
      <c r="ED74" s="78">
        <v>11</v>
      </c>
    </row>
    <row r="75" spans="1:134" ht="16.5" customHeight="1">
      <c r="K75" s="21">
        <v>71</v>
      </c>
      <c r="L75" s="98" t="s">
        <v>41</v>
      </c>
      <c r="M75" s="98" t="s">
        <v>40</v>
      </c>
      <c r="N75" s="98" t="s">
        <v>38</v>
      </c>
      <c r="O75" s="98" t="s">
        <v>26</v>
      </c>
      <c r="P75" s="98" t="s">
        <v>26</v>
      </c>
      <c r="Q75" s="98" t="s">
        <v>26</v>
      </c>
      <c r="R75" s="37" t="s">
        <v>35</v>
      </c>
      <c r="T75" s="97">
        <f t="shared" si="53"/>
        <v>12</v>
      </c>
      <c r="U75" s="97">
        <f t="shared" si="54"/>
        <v>11</v>
      </c>
      <c r="V75" s="97">
        <f t="shared" si="55"/>
        <v>9</v>
      </c>
      <c r="W75" s="97">
        <f t="shared" si="56"/>
        <v>8</v>
      </c>
      <c r="X75" s="97">
        <f t="shared" si="57"/>
        <v>8</v>
      </c>
      <c r="Y75" s="97">
        <f t="shared" si="58"/>
        <v>8</v>
      </c>
      <c r="Z75" s="97">
        <f t="shared" si="59"/>
        <v>4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74" t="s">
        <v>30</v>
      </c>
      <c r="AK75" s="90">
        <v>40</v>
      </c>
      <c r="AL75" s="91">
        <v>1</v>
      </c>
      <c r="AM75" s="91">
        <v>1</v>
      </c>
      <c r="AN75" s="91">
        <v>1</v>
      </c>
      <c r="AO75" s="76">
        <v>1</v>
      </c>
      <c r="AP75" s="76">
        <v>1</v>
      </c>
      <c r="AQ75" s="77">
        <v>1</v>
      </c>
      <c r="AR75" s="78">
        <v>12</v>
      </c>
      <c r="BD75" s="21">
        <v>71</v>
      </c>
      <c r="BE75" s="98" t="s">
        <v>41</v>
      </c>
      <c r="BF75" s="98" t="s">
        <v>40</v>
      </c>
      <c r="BG75" s="98" t="s">
        <v>38</v>
      </c>
      <c r="BH75" s="98" t="s">
        <v>26</v>
      </c>
      <c r="BI75" s="98" t="s">
        <v>26</v>
      </c>
      <c r="BJ75" s="98" t="s">
        <v>26</v>
      </c>
      <c r="BK75" s="37" t="s">
        <v>35</v>
      </c>
      <c r="BM75" s="97">
        <f t="shared" si="60"/>
        <v>12</v>
      </c>
      <c r="BN75" s="97">
        <f t="shared" si="61"/>
        <v>11</v>
      </c>
      <c r="BO75" s="97">
        <f t="shared" si="62"/>
        <v>9</v>
      </c>
      <c r="BP75" s="97">
        <f t="shared" si="63"/>
        <v>8</v>
      </c>
      <c r="BQ75" s="97">
        <f t="shared" si="64"/>
        <v>8</v>
      </c>
      <c r="BR75" s="97">
        <f t="shared" si="65"/>
        <v>8</v>
      </c>
      <c r="BS75" s="97">
        <f t="shared" si="66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74" t="s">
        <v>30</v>
      </c>
      <c r="CD75" s="90">
        <v>40</v>
      </c>
      <c r="CE75" s="91">
        <v>1</v>
      </c>
      <c r="CF75" s="91">
        <v>1</v>
      </c>
      <c r="CG75" s="91">
        <v>1</v>
      </c>
      <c r="CH75" s="76">
        <v>1</v>
      </c>
      <c r="CI75" s="76">
        <v>1</v>
      </c>
      <c r="CJ75" s="77">
        <v>1</v>
      </c>
      <c r="CK75" s="78">
        <v>12</v>
      </c>
      <c r="CW75" s="21">
        <v>71</v>
      </c>
      <c r="CX75" s="98" t="s">
        <v>41</v>
      </c>
      <c r="CY75" s="98" t="s">
        <v>40</v>
      </c>
      <c r="CZ75" s="98" t="s">
        <v>38</v>
      </c>
      <c r="DA75" s="98" t="s">
        <v>26</v>
      </c>
      <c r="DB75" s="98" t="s">
        <v>26</v>
      </c>
      <c r="DC75" s="98" t="s">
        <v>26</v>
      </c>
      <c r="DD75" s="37" t="s">
        <v>35</v>
      </c>
      <c r="DF75" s="97">
        <f t="shared" si="67"/>
        <v>12</v>
      </c>
      <c r="DG75" s="97">
        <f t="shared" si="47"/>
        <v>11</v>
      </c>
      <c r="DH75" s="97">
        <f t="shared" si="48"/>
        <v>9</v>
      </c>
      <c r="DI75" s="97">
        <f t="shared" si="49"/>
        <v>8</v>
      </c>
      <c r="DJ75" s="97">
        <f t="shared" si="50"/>
        <v>8</v>
      </c>
      <c r="DK75" s="97">
        <f t="shared" si="51"/>
        <v>8</v>
      </c>
      <c r="DL75" s="97">
        <f t="shared" si="52"/>
        <v>4</v>
      </c>
      <c r="DN75" s="25">
        <v>1</v>
      </c>
      <c r="DO75" s="25">
        <v>1</v>
      </c>
      <c r="DP75" s="25">
        <v>1</v>
      </c>
      <c r="DQ75" s="25">
        <v>1</v>
      </c>
      <c r="DR75" s="25">
        <v>1</v>
      </c>
      <c r="DS75" s="25">
        <v>1</v>
      </c>
      <c r="DT75" s="7">
        <v>1</v>
      </c>
      <c r="DV75" s="74" t="s">
        <v>30</v>
      </c>
      <c r="DW75" s="90">
        <v>40</v>
      </c>
      <c r="DX75" s="91">
        <v>1</v>
      </c>
      <c r="DY75" s="91">
        <v>1</v>
      </c>
      <c r="DZ75" s="91">
        <v>1</v>
      </c>
      <c r="EA75" s="76">
        <v>1</v>
      </c>
      <c r="EB75" s="76">
        <v>1</v>
      </c>
      <c r="EC75" s="77">
        <v>1</v>
      </c>
      <c r="ED75" s="78">
        <v>12</v>
      </c>
    </row>
    <row r="76" spans="1:134" ht="16.5" customHeight="1">
      <c r="K76" s="22">
        <v>72</v>
      </c>
      <c r="L76" s="98" t="s">
        <v>38</v>
      </c>
      <c r="M76" s="98" t="s">
        <v>177</v>
      </c>
      <c r="N76" s="98" t="s">
        <v>36</v>
      </c>
      <c r="O76" s="98" t="s">
        <v>78</v>
      </c>
      <c r="P76" s="98" t="s">
        <v>36</v>
      </c>
      <c r="Q76" s="98" t="s">
        <v>26</v>
      </c>
      <c r="R76" s="37" t="s">
        <v>35</v>
      </c>
      <c r="T76" s="97">
        <f t="shared" si="53"/>
        <v>9</v>
      </c>
      <c r="U76" s="97">
        <f t="shared" si="54"/>
        <v>18</v>
      </c>
      <c r="V76" s="97">
        <f t="shared" si="55"/>
        <v>5</v>
      </c>
      <c r="W76" s="97">
        <f t="shared" si="56"/>
        <v>6</v>
      </c>
      <c r="X76" s="97">
        <f t="shared" si="57"/>
        <v>5</v>
      </c>
      <c r="Y76" s="97">
        <f t="shared" si="58"/>
        <v>8</v>
      </c>
      <c r="Z76" s="97">
        <f t="shared" si="59"/>
        <v>4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74" t="s">
        <v>82</v>
      </c>
      <c r="AK76" s="90">
        <v>0</v>
      </c>
      <c r="AL76" s="91">
        <v>2</v>
      </c>
      <c r="AM76" s="91">
        <v>2</v>
      </c>
      <c r="AN76" s="91">
        <v>1</v>
      </c>
      <c r="AO76" s="76">
        <v>2</v>
      </c>
      <c r="AP76" s="76">
        <v>0</v>
      </c>
      <c r="AQ76" s="77">
        <v>0</v>
      </c>
      <c r="AR76" s="78">
        <v>13</v>
      </c>
      <c r="BD76" s="22">
        <v>72</v>
      </c>
      <c r="BE76" s="98" t="s">
        <v>38</v>
      </c>
      <c r="BF76" s="98" t="s">
        <v>177</v>
      </c>
      <c r="BG76" s="98" t="s">
        <v>36</v>
      </c>
      <c r="BH76" s="98" t="s">
        <v>78</v>
      </c>
      <c r="BI76" s="98" t="s">
        <v>36</v>
      </c>
      <c r="BJ76" s="98" t="s">
        <v>26</v>
      </c>
      <c r="BK76" s="37" t="s">
        <v>35</v>
      </c>
      <c r="BM76" s="97">
        <f t="shared" si="60"/>
        <v>9</v>
      </c>
      <c r="BN76" s="97">
        <f t="shared" si="61"/>
        <v>18</v>
      </c>
      <c r="BO76" s="97">
        <f t="shared" si="62"/>
        <v>5</v>
      </c>
      <c r="BP76" s="97">
        <f t="shared" si="63"/>
        <v>6</v>
      </c>
      <c r="BQ76" s="97">
        <f t="shared" si="64"/>
        <v>5</v>
      </c>
      <c r="BR76" s="97">
        <f t="shared" si="65"/>
        <v>8</v>
      </c>
      <c r="BS76" s="97">
        <f t="shared" si="66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74" t="s">
        <v>82</v>
      </c>
      <c r="CD76" s="90">
        <v>0</v>
      </c>
      <c r="CE76" s="91">
        <v>2</v>
      </c>
      <c r="CF76" s="91">
        <v>2</v>
      </c>
      <c r="CG76" s="91">
        <v>1</v>
      </c>
      <c r="CH76" s="76">
        <v>2</v>
      </c>
      <c r="CI76" s="76">
        <v>0</v>
      </c>
      <c r="CJ76" s="77">
        <v>0</v>
      </c>
      <c r="CK76" s="78">
        <v>13</v>
      </c>
      <c r="CW76" s="22">
        <v>72</v>
      </c>
      <c r="CX76" s="98" t="s">
        <v>38</v>
      </c>
      <c r="CY76" s="98" t="s">
        <v>177</v>
      </c>
      <c r="CZ76" s="98" t="s">
        <v>36</v>
      </c>
      <c r="DA76" s="98" t="s">
        <v>78</v>
      </c>
      <c r="DB76" s="98" t="s">
        <v>36</v>
      </c>
      <c r="DC76" s="98" t="s">
        <v>26</v>
      </c>
      <c r="DD76" s="37" t="s">
        <v>35</v>
      </c>
      <c r="DF76" s="97">
        <f t="shared" si="67"/>
        <v>9</v>
      </c>
      <c r="DG76" s="97">
        <f t="shared" si="47"/>
        <v>18</v>
      </c>
      <c r="DH76" s="97">
        <f t="shared" si="48"/>
        <v>5</v>
      </c>
      <c r="DI76" s="97">
        <f t="shared" si="49"/>
        <v>6</v>
      </c>
      <c r="DJ76" s="97">
        <f t="shared" si="50"/>
        <v>5</v>
      </c>
      <c r="DK76" s="97">
        <f t="shared" si="51"/>
        <v>8</v>
      </c>
      <c r="DL76" s="97">
        <f t="shared" si="52"/>
        <v>4</v>
      </c>
      <c r="DN76" s="25">
        <v>1</v>
      </c>
      <c r="DO76" s="25">
        <v>1</v>
      </c>
      <c r="DP76" s="25">
        <v>1</v>
      </c>
      <c r="DQ76" s="25">
        <v>1</v>
      </c>
      <c r="DR76" s="25">
        <v>1</v>
      </c>
      <c r="DS76" s="25">
        <v>1</v>
      </c>
      <c r="DT76" s="7">
        <v>1</v>
      </c>
      <c r="DV76" s="74" t="s">
        <v>82</v>
      </c>
      <c r="DW76" s="90">
        <v>0</v>
      </c>
      <c r="DX76" s="91">
        <v>2</v>
      </c>
      <c r="DY76" s="91">
        <v>2</v>
      </c>
      <c r="DZ76" s="91">
        <v>1</v>
      </c>
      <c r="EA76" s="76">
        <v>2</v>
      </c>
      <c r="EB76" s="76">
        <v>0</v>
      </c>
      <c r="EC76" s="77">
        <v>0</v>
      </c>
      <c r="ED76" s="78">
        <v>13</v>
      </c>
    </row>
    <row r="77" spans="1:134" ht="16.5" customHeight="1">
      <c r="K77" s="21">
        <v>73</v>
      </c>
      <c r="L77" s="98" t="s">
        <v>40</v>
      </c>
      <c r="M77" s="98" t="s">
        <v>26</v>
      </c>
      <c r="N77" s="98" t="s">
        <v>40</v>
      </c>
      <c r="O77" s="98" t="s">
        <v>40</v>
      </c>
      <c r="P77" s="98" t="s">
        <v>35</v>
      </c>
      <c r="Q77" s="98" t="s">
        <v>35</v>
      </c>
      <c r="R77" s="37" t="s">
        <v>39</v>
      </c>
      <c r="T77" s="97">
        <f t="shared" si="53"/>
        <v>11</v>
      </c>
      <c r="U77" s="97">
        <f t="shared" si="54"/>
        <v>8</v>
      </c>
      <c r="V77" s="97">
        <f t="shared" si="55"/>
        <v>11</v>
      </c>
      <c r="W77" s="97">
        <f t="shared" si="56"/>
        <v>11</v>
      </c>
      <c r="X77" s="97">
        <f t="shared" si="57"/>
        <v>4</v>
      </c>
      <c r="Y77" s="97">
        <f t="shared" si="58"/>
        <v>4</v>
      </c>
      <c r="Z77" s="97">
        <f t="shared" si="59"/>
        <v>10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74" t="s">
        <v>83</v>
      </c>
      <c r="AK77" s="90">
        <v>0</v>
      </c>
      <c r="AL77" s="91">
        <v>1</v>
      </c>
      <c r="AM77" s="91">
        <v>1</v>
      </c>
      <c r="AN77" s="91">
        <v>2</v>
      </c>
      <c r="AO77" s="76">
        <v>1</v>
      </c>
      <c r="AP77" s="76">
        <v>0</v>
      </c>
      <c r="AQ77" s="77">
        <v>0</v>
      </c>
      <c r="AR77" s="78">
        <v>14</v>
      </c>
      <c r="BD77" s="21">
        <v>73</v>
      </c>
      <c r="BE77" s="98" t="s">
        <v>40</v>
      </c>
      <c r="BF77" s="98" t="s">
        <v>26</v>
      </c>
      <c r="BG77" s="98" t="s">
        <v>40</v>
      </c>
      <c r="BH77" s="98" t="s">
        <v>40</v>
      </c>
      <c r="BI77" s="98" t="s">
        <v>35</v>
      </c>
      <c r="BJ77" s="98" t="s">
        <v>35</v>
      </c>
      <c r="BK77" s="37" t="s">
        <v>39</v>
      </c>
      <c r="BM77" s="97">
        <f t="shared" si="60"/>
        <v>11</v>
      </c>
      <c r="BN77" s="97">
        <f t="shared" si="61"/>
        <v>8</v>
      </c>
      <c r="BO77" s="97">
        <f t="shared" si="62"/>
        <v>11</v>
      </c>
      <c r="BP77" s="97">
        <f t="shared" si="63"/>
        <v>11</v>
      </c>
      <c r="BQ77" s="97">
        <f t="shared" si="64"/>
        <v>4</v>
      </c>
      <c r="BR77" s="97">
        <f t="shared" si="65"/>
        <v>4</v>
      </c>
      <c r="BS77" s="97">
        <f t="shared" si="66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74" t="s">
        <v>83</v>
      </c>
      <c r="CD77" s="90">
        <v>0</v>
      </c>
      <c r="CE77" s="91">
        <v>1</v>
      </c>
      <c r="CF77" s="91">
        <v>1</v>
      </c>
      <c r="CG77" s="91">
        <v>2</v>
      </c>
      <c r="CH77" s="76">
        <v>1</v>
      </c>
      <c r="CI77" s="76">
        <v>0</v>
      </c>
      <c r="CJ77" s="77">
        <v>0</v>
      </c>
      <c r="CK77" s="78">
        <v>14</v>
      </c>
      <c r="CW77" s="21">
        <v>73</v>
      </c>
      <c r="CX77" s="98" t="s">
        <v>40</v>
      </c>
      <c r="CY77" s="98" t="s">
        <v>26</v>
      </c>
      <c r="CZ77" s="98" t="s">
        <v>40</v>
      </c>
      <c r="DA77" s="98" t="s">
        <v>40</v>
      </c>
      <c r="DB77" s="98" t="s">
        <v>35</v>
      </c>
      <c r="DC77" s="98" t="s">
        <v>35</v>
      </c>
      <c r="DD77" s="37" t="s">
        <v>39</v>
      </c>
      <c r="DF77" s="97">
        <f t="shared" si="67"/>
        <v>11</v>
      </c>
      <c r="DG77" s="97">
        <f t="shared" si="47"/>
        <v>8</v>
      </c>
      <c r="DH77" s="97">
        <f t="shared" si="48"/>
        <v>11</v>
      </c>
      <c r="DI77" s="97">
        <f t="shared" si="49"/>
        <v>11</v>
      </c>
      <c r="DJ77" s="97">
        <f t="shared" si="50"/>
        <v>4</v>
      </c>
      <c r="DK77" s="97">
        <f t="shared" si="51"/>
        <v>4</v>
      </c>
      <c r="DL77" s="97">
        <f t="shared" si="52"/>
        <v>10</v>
      </c>
      <c r="DN77" s="25">
        <v>1</v>
      </c>
      <c r="DO77" s="25">
        <v>1</v>
      </c>
      <c r="DP77" s="25">
        <v>1</v>
      </c>
      <c r="DQ77" s="25">
        <v>1</v>
      </c>
      <c r="DR77" s="25">
        <v>1</v>
      </c>
      <c r="DS77" s="25">
        <v>1</v>
      </c>
      <c r="DT77" s="7">
        <v>1</v>
      </c>
      <c r="DV77" s="74" t="s">
        <v>83</v>
      </c>
      <c r="DW77" s="90">
        <v>0</v>
      </c>
      <c r="DX77" s="91">
        <v>1</v>
      </c>
      <c r="DY77" s="91">
        <v>1</v>
      </c>
      <c r="DZ77" s="91">
        <v>2</v>
      </c>
      <c r="EA77" s="76">
        <v>1</v>
      </c>
      <c r="EB77" s="76">
        <v>0</v>
      </c>
      <c r="EC77" s="77">
        <v>0</v>
      </c>
      <c r="ED77" s="78">
        <v>14</v>
      </c>
    </row>
    <row r="78" spans="1:134" ht="16.5" customHeight="1">
      <c r="K78" s="22">
        <v>74</v>
      </c>
      <c r="L78" s="98" t="s">
        <v>78</v>
      </c>
      <c r="M78" s="98" t="s">
        <v>190</v>
      </c>
      <c r="N78" s="98" t="s">
        <v>40</v>
      </c>
      <c r="O78" s="98" t="s">
        <v>40</v>
      </c>
      <c r="P78" s="98" t="s">
        <v>35</v>
      </c>
      <c r="Q78" s="98" t="s">
        <v>35</v>
      </c>
      <c r="R78" s="37" t="s">
        <v>39</v>
      </c>
      <c r="T78" s="97">
        <f t="shared" si="53"/>
        <v>6</v>
      </c>
      <c r="U78" s="97">
        <f t="shared" si="54"/>
        <v>24</v>
      </c>
      <c r="V78" s="97">
        <f t="shared" si="55"/>
        <v>11</v>
      </c>
      <c r="W78" s="97">
        <f t="shared" si="56"/>
        <v>11</v>
      </c>
      <c r="X78" s="97">
        <f t="shared" si="57"/>
        <v>4</v>
      </c>
      <c r="Y78" s="97">
        <f t="shared" si="58"/>
        <v>4</v>
      </c>
      <c r="Z78" s="97">
        <f t="shared" si="59"/>
        <v>10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74" t="s">
        <v>84</v>
      </c>
      <c r="AK78" s="90">
        <v>0</v>
      </c>
      <c r="AL78" s="91">
        <v>2</v>
      </c>
      <c r="AM78" s="91">
        <v>2</v>
      </c>
      <c r="AN78" s="91">
        <v>1</v>
      </c>
      <c r="AO78" s="76">
        <v>1</v>
      </c>
      <c r="AP78" s="76">
        <v>0</v>
      </c>
      <c r="AQ78" s="77">
        <v>0</v>
      </c>
      <c r="AR78" s="78">
        <v>15</v>
      </c>
      <c r="BD78" s="22">
        <v>74</v>
      </c>
      <c r="BE78" s="98" t="s">
        <v>78</v>
      </c>
      <c r="BF78" s="98" t="s">
        <v>190</v>
      </c>
      <c r="BG78" s="98" t="s">
        <v>40</v>
      </c>
      <c r="BH78" s="98" t="s">
        <v>40</v>
      </c>
      <c r="BI78" s="98" t="s">
        <v>35</v>
      </c>
      <c r="BJ78" s="98" t="s">
        <v>35</v>
      </c>
      <c r="BK78" s="37" t="s">
        <v>39</v>
      </c>
      <c r="BM78" s="97">
        <f t="shared" si="60"/>
        <v>6</v>
      </c>
      <c r="BN78" s="97">
        <f t="shared" si="61"/>
        <v>24</v>
      </c>
      <c r="BO78" s="97">
        <f t="shared" si="62"/>
        <v>11</v>
      </c>
      <c r="BP78" s="97">
        <f t="shared" si="63"/>
        <v>11</v>
      </c>
      <c r="BQ78" s="97">
        <f t="shared" si="64"/>
        <v>4</v>
      </c>
      <c r="BR78" s="97">
        <f t="shared" si="65"/>
        <v>4</v>
      </c>
      <c r="BS78" s="97">
        <f t="shared" si="66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74" t="s">
        <v>84</v>
      </c>
      <c r="CD78" s="90">
        <v>0</v>
      </c>
      <c r="CE78" s="91">
        <v>2</v>
      </c>
      <c r="CF78" s="91">
        <v>2</v>
      </c>
      <c r="CG78" s="91">
        <v>1</v>
      </c>
      <c r="CH78" s="76">
        <v>1</v>
      </c>
      <c r="CI78" s="76">
        <v>0</v>
      </c>
      <c r="CJ78" s="77">
        <v>0</v>
      </c>
      <c r="CK78" s="78">
        <v>15</v>
      </c>
      <c r="CW78" s="22">
        <v>74</v>
      </c>
      <c r="CX78" s="98" t="s">
        <v>78</v>
      </c>
      <c r="CY78" s="98" t="s">
        <v>190</v>
      </c>
      <c r="CZ78" s="98" t="s">
        <v>40</v>
      </c>
      <c r="DA78" s="98" t="s">
        <v>40</v>
      </c>
      <c r="DB78" s="98" t="s">
        <v>35</v>
      </c>
      <c r="DC78" s="98" t="s">
        <v>35</v>
      </c>
      <c r="DD78" s="37" t="s">
        <v>39</v>
      </c>
      <c r="DF78" s="97">
        <f t="shared" si="67"/>
        <v>6</v>
      </c>
      <c r="DG78" s="97">
        <f t="shared" si="47"/>
        <v>24</v>
      </c>
      <c r="DH78" s="97">
        <f t="shared" si="48"/>
        <v>11</v>
      </c>
      <c r="DI78" s="97">
        <f t="shared" si="49"/>
        <v>11</v>
      </c>
      <c r="DJ78" s="97">
        <f t="shared" si="50"/>
        <v>4</v>
      </c>
      <c r="DK78" s="97">
        <f t="shared" si="51"/>
        <v>4</v>
      </c>
      <c r="DL78" s="97">
        <f t="shared" si="52"/>
        <v>10</v>
      </c>
      <c r="DN78" s="25">
        <v>1</v>
      </c>
      <c r="DO78" s="25">
        <v>1</v>
      </c>
      <c r="DP78" s="25">
        <v>1</v>
      </c>
      <c r="DQ78" s="25">
        <v>1</v>
      </c>
      <c r="DR78" s="25">
        <v>1</v>
      </c>
      <c r="DS78" s="25">
        <v>1</v>
      </c>
      <c r="DT78" s="7">
        <v>1</v>
      </c>
      <c r="DV78" s="74" t="s">
        <v>84</v>
      </c>
      <c r="DW78" s="90">
        <v>0</v>
      </c>
      <c r="DX78" s="91">
        <v>2</v>
      </c>
      <c r="DY78" s="91">
        <v>2</v>
      </c>
      <c r="DZ78" s="91">
        <v>1</v>
      </c>
      <c r="EA78" s="76">
        <v>1</v>
      </c>
      <c r="EB78" s="76">
        <v>0</v>
      </c>
      <c r="EC78" s="77">
        <v>0</v>
      </c>
      <c r="ED78" s="78">
        <v>15</v>
      </c>
    </row>
    <row r="79" spans="1:134" ht="16.5" customHeight="1">
      <c r="K79" s="21">
        <v>75</v>
      </c>
      <c r="L79" s="98" t="s">
        <v>41</v>
      </c>
      <c r="M79" s="98" t="s">
        <v>190</v>
      </c>
      <c r="N79" s="98" t="s">
        <v>26</v>
      </c>
      <c r="O79" s="98" t="s">
        <v>206</v>
      </c>
      <c r="P79" s="98" t="s">
        <v>204</v>
      </c>
      <c r="Q79" s="98" t="s">
        <v>35</v>
      </c>
      <c r="R79" s="37" t="s">
        <v>39</v>
      </c>
      <c r="T79" s="97">
        <f t="shared" si="53"/>
        <v>12</v>
      </c>
      <c r="U79" s="97">
        <f t="shared" si="54"/>
        <v>24</v>
      </c>
      <c r="V79" s="97">
        <f t="shared" si="55"/>
        <v>8</v>
      </c>
      <c r="W79" s="97">
        <f t="shared" si="56"/>
        <v>22</v>
      </c>
      <c r="X79" s="97">
        <f t="shared" si="57"/>
        <v>15</v>
      </c>
      <c r="Y79" s="97">
        <f t="shared" si="58"/>
        <v>4</v>
      </c>
      <c r="Z79" s="97">
        <f t="shared" si="59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74" t="s">
        <v>85</v>
      </c>
      <c r="AK79" s="75">
        <v>0</v>
      </c>
      <c r="AL79" s="76">
        <v>1</v>
      </c>
      <c r="AM79" s="76">
        <v>1</v>
      </c>
      <c r="AN79" s="76">
        <v>1</v>
      </c>
      <c r="AO79" s="76">
        <v>1</v>
      </c>
      <c r="AP79" s="76">
        <v>0</v>
      </c>
      <c r="AQ79" s="77">
        <v>0</v>
      </c>
      <c r="AR79" s="78">
        <v>16</v>
      </c>
      <c r="BD79" s="21">
        <v>75</v>
      </c>
      <c r="BE79" s="98" t="s">
        <v>41</v>
      </c>
      <c r="BF79" s="98" t="s">
        <v>190</v>
      </c>
      <c r="BG79" s="98" t="s">
        <v>26</v>
      </c>
      <c r="BH79" s="98" t="s">
        <v>206</v>
      </c>
      <c r="BI79" s="98" t="s">
        <v>204</v>
      </c>
      <c r="BJ79" s="98" t="s">
        <v>35</v>
      </c>
      <c r="BK79" s="37" t="s">
        <v>39</v>
      </c>
      <c r="BM79" s="97">
        <f t="shared" si="60"/>
        <v>12</v>
      </c>
      <c r="BN79" s="97">
        <f t="shared" si="61"/>
        <v>24</v>
      </c>
      <c r="BO79" s="97">
        <f t="shared" si="62"/>
        <v>8</v>
      </c>
      <c r="BP79" s="97">
        <f t="shared" si="63"/>
        <v>22</v>
      </c>
      <c r="BQ79" s="97">
        <f t="shared" si="64"/>
        <v>15</v>
      </c>
      <c r="BR79" s="97">
        <f t="shared" si="65"/>
        <v>4</v>
      </c>
      <c r="BS79" s="97">
        <f t="shared" si="66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74" t="s">
        <v>85</v>
      </c>
      <c r="CD79" s="75">
        <v>0</v>
      </c>
      <c r="CE79" s="76">
        <v>1</v>
      </c>
      <c r="CF79" s="76">
        <v>1</v>
      </c>
      <c r="CG79" s="76">
        <v>1</v>
      </c>
      <c r="CH79" s="76">
        <v>1</v>
      </c>
      <c r="CI79" s="76">
        <v>0</v>
      </c>
      <c r="CJ79" s="77">
        <v>0</v>
      </c>
      <c r="CK79" s="78">
        <v>16</v>
      </c>
      <c r="CW79" s="21">
        <v>75</v>
      </c>
      <c r="CX79" s="98" t="s">
        <v>41</v>
      </c>
      <c r="CY79" s="98" t="s">
        <v>190</v>
      </c>
      <c r="CZ79" s="98" t="s">
        <v>26</v>
      </c>
      <c r="DA79" s="98" t="s">
        <v>206</v>
      </c>
      <c r="DB79" s="98" t="s">
        <v>204</v>
      </c>
      <c r="DC79" s="98" t="s">
        <v>35</v>
      </c>
      <c r="DD79" s="37" t="s">
        <v>39</v>
      </c>
      <c r="DF79" s="97">
        <f t="shared" si="67"/>
        <v>12</v>
      </c>
      <c r="DG79" s="97">
        <f t="shared" si="47"/>
        <v>24</v>
      </c>
      <c r="DH79" s="97">
        <f t="shared" si="48"/>
        <v>8</v>
      </c>
      <c r="DI79" s="97">
        <f t="shared" si="49"/>
        <v>22</v>
      </c>
      <c r="DJ79" s="97">
        <f t="shared" si="50"/>
        <v>15</v>
      </c>
      <c r="DK79" s="97">
        <f t="shared" si="51"/>
        <v>4</v>
      </c>
      <c r="DL79" s="97">
        <f t="shared" si="52"/>
        <v>10</v>
      </c>
      <c r="DN79" s="25">
        <v>1</v>
      </c>
      <c r="DO79" s="25">
        <v>1</v>
      </c>
      <c r="DP79" s="25">
        <v>1</v>
      </c>
      <c r="DQ79" s="25">
        <v>1</v>
      </c>
      <c r="DR79" s="25">
        <v>1</v>
      </c>
      <c r="DS79" s="25">
        <v>1</v>
      </c>
      <c r="DT79" s="7">
        <v>1</v>
      </c>
      <c r="DV79" s="74" t="s">
        <v>85</v>
      </c>
      <c r="DW79" s="75">
        <v>0</v>
      </c>
      <c r="DX79" s="76">
        <v>1</v>
      </c>
      <c r="DY79" s="76">
        <v>1</v>
      </c>
      <c r="DZ79" s="76">
        <v>1</v>
      </c>
      <c r="EA79" s="76">
        <v>1</v>
      </c>
      <c r="EB79" s="76">
        <v>0</v>
      </c>
      <c r="EC79" s="77">
        <v>0</v>
      </c>
      <c r="ED79" s="78">
        <v>16</v>
      </c>
    </row>
    <row r="80" spans="1:134" ht="16.5">
      <c r="K80" s="22">
        <v>76</v>
      </c>
      <c r="L80" s="98" t="s">
        <v>41</v>
      </c>
      <c r="M80" s="98" t="s">
        <v>163</v>
      </c>
      <c r="N80" s="98" t="s">
        <v>38</v>
      </c>
      <c r="O80" s="98" t="s">
        <v>41</v>
      </c>
      <c r="P80" s="98" t="s">
        <v>78</v>
      </c>
      <c r="Q80" s="98" t="s">
        <v>78</v>
      </c>
      <c r="R80" s="98" t="s">
        <v>35</v>
      </c>
      <c r="T80" s="97">
        <f t="shared" si="53"/>
        <v>12</v>
      </c>
      <c r="U80" s="97">
        <f t="shared" si="54"/>
        <v>7</v>
      </c>
      <c r="V80" s="97">
        <f t="shared" si="55"/>
        <v>9</v>
      </c>
      <c r="W80" s="97">
        <f t="shared" si="56"/>
        <v>12</v>
      </c>
      <c r="X80" s="97">
        <f t="shared" si="57"/>
        <v>6</v>
      </c>
      <c r="Y80" s="97">
        <f t="shared" si="58"/>
        <v>6</v>
      </c>
      <c r="Z80" s="97">
        <f t="shared" si="59"/>
        <v>4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74" t="s">
        <v>86</v>
      </c>
      <c r="AK80" s="75">
        <v>0</v>
      </c>
      <c r="AL80" s="76">
        <v>2</v>
      </c>
      <c r="AM80" s="76">
        <v>2</v>
      </c>
      <c r="AN80" s="76">
        <v>1</v>
      </c>
      <c r="AO80" s="76">
        <v>2</v>
      </c>
      <c r="AP80" s="76">
        <v>0</v>
      </c>
      <c r="AQ80" s="77">
        <v>0</v>
      </c>
      <c r="AR80" s="78">
        <v>17</v>
      </c>
      <c r="BD80" s="22">
        <v>76</v>
      </c>
      <c r="BE80" s="98" t="s">
        <v>41</v>
      </c>
      <c r="BF80" s="98" t="s">
        <v>163</v>
      </c>
      <c r="BG80" s="98" t="s">
        <v>38</v>
      </c>
      <c r="BH80" s="98" t="s">
        <v>41</v>
      </c>
      <c r="BI80" s="98" t="s">
        <v>78</v>
      </c>
      <c r="BJ80" s="98" t="s">
        <v>78</v>
      </c>
      <c r="BK80" s="98" t="s">
        <v>35</v>
      </c>
      <c r="BM80" s="97">
        <f t="shared" si="60"/>
        <v>12</v>
      </c>
      <c r="BN80" s="97">
        <f t="shared" si="61"/>
        <v>7</v>
      </c>
      <c r="BO80" s="97">
        <f t="shared" si="62"/>
        <v>9</v>
      </c>
      <c r="BP80" s="97">
        <f t="shared" si="63"/>
        <v>12</v>
      </c>
      <c r="BQ80" s="97">
        <f t="shared" si="64"/>
        <v>6</v>
      </c>
      <c r="BR80" s="97">
        <f t="shared" si="65"/>
        <v>6</v>
      </c>
      <c r="BS80" s="97">
        <f t="shared" si="66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74" t="s">
        <v>86</v>
      </c>
      <c r="CD80" s="75">
        <v>0</v>
      </c>
      <c r="CE80" s="76">
        <v>2</v>
      </c>
      <c r="CF80" s="76">
        <v>2</v>
      </c>
      <c r="CG80" s="76">
        <v>1</v>
      </c>
      <c r="CH80" s="76">
        <v>2</v>
      </c>
      <c r="CI80" s="76">
        <v>0</v>
      </c>
      <c r="CJ80" s="77">
        <v>0</v>
      </c>
      <c r="CK80" s="78">
        <v>17</v>
      </c>
      <c r="CW80" s="22">
        <v>76</v>
      </c>
      <c r="CX80" s="98" t="s">
        <v>41</v>
      </c>
      <c r="CY80" s="98" t="s">
        <v>163</v>
      </c>
      <c r="CZ80" s="98" t="s">
        <v>38</v>
      </c>
      <c r="DA80" s="98" t="s">
        <v>41</v>
      </c>
      <c r="DB80" s="98" t="s">
        <v>78</v>
      </c>
      <c r="DC80" s="98" t="s">
        <v>78</v>
      </c>
      <c r="DD80" s="98" t="s">
        <v>35</v>
      </c>
      <c r="DF80" s="97">
        <f t="shared" si="67"/>
        <v>12</v>
      </c>
      <c r="DG80" s="97">
        <f t="shared" si="47"/>
        <v>7</v>
      </c>
      <c r="DH80" s="97">
        <f t="shared" si="48"/>
        <v>9</v>
      </c>
      <c r="DI80" s="97">
        <f t="shared" si="49"/>
        <v>12</v>
      </c>
      <c r="DJ80" s="97">
        <f t="shared" si="50"/>
        <v>6</v>
      </c>
      <c r="DK80" s="97">
        <f t="shared" si="51"/>
        <v>6</v>
      </c>
      <c r="DL80" s="97">
        <f t="shared" si="52"/>
        <v>4</v>
      </c>
      <c r="DN80" s="25">
        <v>1</v>
      </c>
      <c r="DO80" s="25">
        <v>1</v>
      </c>
      <c r="DP80" s="25">
        <v>1</v>
      </c>
      <c r="DQ80" s="25">
        <v>1</v>
      </c>
      <c r="DR80" s="25">
        <v>1</v>
      </c>
      <c r="DS80" s="25">
        <v>1</v>
      </c>
      <c r="DT80" s="7">
        <v>1</v>
      </c>
      <c r="DV80" s="74" t="s">
        <v>86</v>
      </c>
      <c r="DW80" s="75">
        <v>0</v>
      </c>
      <c r="DX80" s="76">
        <v>2</v>
      </c>
      <c r="DY80" s="76">
        <v>2</v>
      </c>
      <c r="DZ80" s="76">
        <v>1</v>
      </c>
      <c r="EA80" s="76">
        <v>2</v>
      </c>
      <c r="EB80" s="76">
        <v>0</v>
      </c>
      <c r="EC80" s="77">
        <v>0</v>
      </c>
      <c r="ED80" s="78">
        <v>17</v>
      </c>
    </row>
    <row r="81" spans="11:134" ht="16.5">
      <c r="K81" s="21">
        <v>77</v>
      </c>
      <c r="L81" s="98" t="s">
        <v>39</v>
      </c>
      <c r="M81" s="98" t="s">
        <v>163</v>
      </c>
      <c r="N81" s="98" t="s">
        <v>38</v>
      </c>
      <c r="O81" s="98" t="s">
        <v>41</v>
      </c>
      <c r="P81" s="98" t="s">
        <v>78</v>
      </c>
      <c r="Q81" s="98" t="s">
        <v>78</v>
      </c>
      <c r="R81" s="37" t="s">
        <v>41</v>
      </c>
      <c r="T81" s="97">
        <f t="shared" si="53"/>
        <v>10</v>
      </c>
      <c r="U81" s="97">
        <f t="shared" si="54"/>
        <v>7</v>
      </c>
      <c r="V81" s="97">
        <f t="shared" si="55"/>
        <v>9</v>
      </c>
      <c r="W81" s="97">
        <f t="shared" si="56"/>
        <v>12</v>
      </c>
      <c r="X81" s="97">
        <f t="shared" si="57"/>
        <v>6</v>
      </c>
      <c r="Y81" s="97">
        <f t="shared" si="58"/>
        <v>6</v>
      </c>
      <c r="Z81" s="97">
        <f t="shared" si="59"/>
        <v>12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74" t="s">
        <v>176</v>
      </c>
      <c r="AK81" s="75">
        <v>0</v>
      </c>
      <c r="AL81" s="76">
        <v>2</v>
      </c>
      <c r="AM81" s="76">
        <v>2</v>
      </c>
      <c r="AN81" s="76">
        <v>1</v>
      </c>
      <c r="AO81" s="76">
        <v>2</v>
      </c>
      <c r="AP81" s="76">
        <v>0</v>
      </c>
      <c r="AQ81" s="77">
        <v>0</v>
      </c>
      <c r="AR81" s="78">
        <v>18</v>
      </c>
      <c r="BD81" s="21">
        <v>77</v>
      </c>
      <c r="BE81" s="98" t="s">
        <v>39</v>
      </c>
      <c r="BF81" s="98" t="s">
        <v>163</v>
      </c>
      <c r="BG81" s="98" t="s">
        <v>38</v>
      </c>
      <c r="BH81" s="98" t="s">
        <v>41</v>
      </c>
      <c r="BI81" s="98" t="s">
        <v>78</v>
      </c>
      <c r="BJ81" s="98" t="s">
        <v>78</v>
      </c>
      <c r="BK81" s="37" t="s">
        <v>41</v>
      </c>
      <c r="BM81" s="97">
        <f t="shared" si="60"/>
        <v>10</v>
      </c>
      <c r="BN81" s="97">
        <f t="shared" si="61"/>
        <v>7</v>
      </c>
      <c r="BO81" s="97">
        <f t="shared" si="62"/>
        <v>9</v>
      </c>
      <c r="BP81" s="97">
        <f t="shared" si="63"/>
        <v>12</v>
      </c>
      <c r="BQ81" s="97">
        <f t="shared" si="64"/>
        <v>6</v>
      </c>
      <c r="BR81" s="97">
        <f t="shared" si="65"/>
        <v>6</v>
      </c>
      <c r="BS81" s="97">
        <f t="shared" si="66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74" t="s">
        <v>176</v>
      </c>
      <c r="CD81" s="75">
        <v>0</v>
      </c>
      <c r="CE81" s="76">
        <v>2</v>
      </c>
      <c r="CF81" s="76">
        <v>2</v>
      </c>
      <c r="CG81" s="76">
        <v>1</v>
      </c>
      <c r="CH81" s="76">
        <v>2</v>
      </c>
      <c r="CI81" s="76">
        <v>0</v>
      </c>
      <c r="CJ81" s="77">
        <v>0</v>
      </c>
      <c r="CK81" s="78">
        <v>18</v>
      </c>
      <c r="CW81" s="21">
        <v>77</v>
      </c>
      <c r="CX81" s="98" t="s">
        <v>39</v>
      </c>
      <c r="CY81" s="98" t="s">
        <v>163</v>
      </c>
      <c r="CZ81" s="98" t="s">
        <v>38</v>
      </c>
      <c r="DA81" s="98" t="s">
        <v>41</v>
      </c>
      <c r="DB81" s="98" t="s">
        <v>78</v>
      </c>
      <c r="DC81" s="98" t="s">
        <v>78</v>
      </c>
      <c r="DD81" s="37" t="s">
        <v>41</v>
      </c>
      <c r="DF81" s="97">
        <f t="shared" si="67"/>
        <v>10</v>
      </c>
      <c r="DG81" s="97">
        <f t="shared" si="47"/>
        <v>7</v>
      </c>
      <c r="DH81" s="97">
        <f t="shared" si="48"/>
        <v>9</v>
      </c>
      <c r="DI81" s="97">
        <f t="shared" si="49"/>
        <v>12</v>
      </c>
      <c r="DJ81" s="97">
        <f t="shared" si="50"/>
        <v>6</v>
      </c>
      <c r="DK81" s="97">
        <f t="shared" si="51"/>
        <v>6</v>
      </c>
      <c r="DL81" s="97">
        <f t="shared" si="52"/>
        <v>12</v>
      </c>
      <c r="DN81" s="25">
        <v>1</v>
      </c>
      <c r="DO81" s="25">
        <v>1</v>
      </c>
      <c r="DP81" s="25">
        <v>1</v>
      </c>
      <c r="DQ81" s="25">
        <v>1</v>
      </c>
      <c r="DR81" s="25">
        <v>1</v>
      </c>
      <c r="DS81" s="25">
        <v>1</v>
      </c>
      <c r="DT81" s="7">
        <v>1</v>
      </c>
      <c r="DV81" s="74" t="s">
        <v>176</v>
      </c>
      <c r="DW81" s="75">
        <v>0</v>
      </c>
      <c r="DX81" s="76">
        <v>2</v>
      </c>
      <c r="DY81" s="76">
        <v>2</v>
      </c>
      <c r="DZ81" s="76">
        <v>1</v>
      </c>
      <c r="EA81" s="76">
        <v>2</v>
      </c>
      <c r="EB81" s="76">
        <v>0</v>
      </c>
      <c r="EC81" s="77">
        <v>0</v>
      </c>
      <c r="ED81" s="78">
        <v>18</v>
      </c>
    </row>
    <row r="82" spans="11:134" ht="16.5">
      <c r="K82" s="22">
        <v>78</v>
      </c>
      <c r="L82" s="98" t="s">
        <v>26</v>
      </c>
      <c r="M82" s="98" t="s">
        <v>34</v>
      </c>
      <c r="N82" s="98" t="s">
        <v>38</v>
      </c>
      <c r="O82" s="98" t="s">
        <v>26</v>
      </c>
      <c r="P82" s="98" t="s">
        <v>163</v>
      </c>
      <c r="Q82" s="98" t="s">
        <v>78</v>
      </c>
      <c r="R82" s="37" t="s">
        <v>41</v>
      </c>
      <c r="T82" s="97">
        <f t="shared" si="53"/>
        <v>8</v>
      </c>
      <c r="U82" s="97">
        <f t="shared" si="54"/>
        <v>3</v>
      </c>
      <c r="V82" s="97">
        <f t="shared" si="55"/>
        <v>9</v>
      </c>
      <c r="W82" s="97">
        <f t="shared" si="56"/>
        <v>8</v>
      </c>
      <c r="X82" s="97">
        <f t="shared" si="57"/>
        <v>7</v>
      </c>
      <c r="Y82" s="97">
        <f t="shared" si="58"/>
        <v>6</v>
      </c>
      <c r="Z82" s="97">
        <f t="shared" si="59"/>
        <v>12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74" t="s">
        <v>87</v>
      </c>
      <c r="AK82" s="75">
        <v>0</v>
      </c>
      <c r="AL82" s="76">
        <v>2</v>
      </c>
      <c r="AM82" s="76">
        <v>1</v>
      </c>
      <c r="AN82" s="76">
        <v>1</v>
      </c>
      <c r="AO82" s="76">
        <v>7</v>
      </c>
      <c r="AP82" s="76">
        <v>0</v>
      </c>
      <c r="AQ82" s="77">
        <v>0</v>
      </c>
      <c r="AR82" s="78">
        <v>19</v>
      </c>
      <c r="BD82" s="22">
        <v>78</v>
      </c>
      <c r="BE82" s="98" t="s">
        <v>40</v>
      </c>
      <c r="BF82" s="98" t="s">
        <v>34</v>
      </c>
      <c r="BG82" s="98" t="s">
        <v>38</v>
      </c>
      <c r="BH82" s="98" t="s">
        <v>26</v>
      </c>
      <c r="BI82" s="98" t="s">
        <v>163</v>
      </c>
      <c r="BJ82" s="98" t="s">
        <v>78</v>
      </c>
      <c r="BK82" s="37" t="s">
        <v>41</v>
      </c>
      <c r="BM82" s="97">
        <f t="shared" si="60"/>
        <v>11</v>
      </c>
      <c r="BN82" s="97">
        <f t="shared" si="61"/>
        <v>3</v>
      </c>
      <c r="BO82" s="97">
        <f t="shared" si="62"/>
        <v>9</v>
      </c>
      <c r="BP82" s="97">
        <f t="shared" si="63"/>
        <v>8</v>
      </c>
      <c r="BQ82" s="97">
        <f t="shared" si="64"/>
        <v>7</v>
      </c>
      <c r="BR82" s="97">
        <f t="shared" si="65"/>
        <v>6</v>
      </c>
      <c r="BS82" s="97">
        <f t="shared" si="66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74" t="s">
        <v>87</v>
      </c>
      <c r="CD82" s="75">
        <v>0</v>
      </c>
      <c r="CE82" s="76">
        <v>2</v>
      </c>
      <c r="CF82" s="76">
        <v>1</v>
      </c>
      <c r="CG82" s="76">
        <v>1</v>
      </c>
      <c r="CH82" s="76">
        <v>7</v>
      </c>
      <c r="CI82" s="76">
        <v>0</v>
      </c>
      <c r="CJ82" s="77">
        <v>0</v>
      </c>
      <c r="CK82" s="78">
        <v>19</v>
      </c>
      <c r="CW82" s="22">
        <v>78</v>
      </c>
      <c r="CX82" s="98" t="s">
        <v>40</v>
      </c>
      <c r="CY82" s="98" t="s">
        <v>34</v>
      </c>
      <c r="CZ82" s="98" t="s">
        <v>38</v>
      </c>
      <c r="DA82" s="98" t="s">
        <v>26</v>
      </c>
      <c r="DB82" s="98" t="s">
        <v>163</v>
      </c>
      <c r="DC82" s="98" t="s">
        <v>78</v>
      </c>
      <c r="DD82" s="37" t="s">
        <v>41</v>
      </c>
      <c r="DF82" s="97">
        <f t="shared" si="67"/>
        <v>11</v>
      </c>
      <c r="DG82" s="97">
        <f t="shared" si="47"/>
        <v>3</v>
      </c>
      <c r="DH82" s="97">
        <f t="shared" si="48"/>
        <v>9</v>
      </c>
      <c r="DI82" s="97">
        <f t="shared" si="49"/>
        <v>8</v>
      </c>
      <c r="DJ82" s="97">
        <f t="shared" si="50"/>
        <v>7</v>
      </c>
      <c r="DK82" s="97">
        <f t="shared" si="51"/>
        <v>6</v>
      </c>
      <c r="DL82" s="97">
        <f t="shared" si="52"/>
        <v>12</v>
      </c>
      <c r="DN82" s="25">
        <v>1</v>
      </c>
      <c r="DO82" s="25">
        <v>1</v>
      </c>
      <c r="DP82" s="25">
        <v>1</v>
      </c>
      <c r="DQ82" s="25">
        <v>1</v>
      </c>
      <c r="DR82" s="25">
        <v>1</v>
      </c>
      <c r="DS82" s="25">
        <v>1</v>
      </c>
      <c r="DT82" s="7">
        <v>1</v>
      </c>
      <c r="DV82" s="74" t="s">
        <v>87</v>
      </c>
      <c r="DW82" s="75">
        <v>0</v>
      </c>
      <c r="DX82" s="76">
        <v>2</v>
      </c>
      <c r="DY82" s="76">
        <v>1</v>
      </c>
      <c r="DZ82" s="76">
        <v>1</v>
      </c>
      <c r="EA82" s="76">
        <v>7</v>
      </c>
      <c r="EB82" s="76">
        <v>0</v>
      </c>
      <c r="EC82" s="77">
        <v>0</v>
      </c>
      <c r="ED82" s="78">
        <v>19</v>
      </c>
    </row>
    <row r="83" spans="11:134" ht="16.5">
      <c r="K83" s="21">
        <v>79</v>
      </c>
      <c r="L83" s="98" t="s">
        <v>78</v>
      </c>
      <c r="M83" s="98" t="s">
        <v>34</v>
      </c>
      <c r="N83" s="98" t="s">
        <v>36</v>
      </c>
      <c r="O83" s="98" t="s">
        <v>207</v>
      </c>
      <c r="P83" s="98" t="s">
        <v>163</v>
      </c>
      <c r="Q83" s="98" t="s">
        <v>41</v>
      </c>
      <c r="R83" s="37" t="s">
        <v>41</v>
      </c>
      <c r="T83" s="97">
        <f t="shared" si="53"/>
        <v>6</v>
      </c>
      <c r="U83" s="97">
        <f t="shared" si="54"/>
        <v>3</v>
      </c>
      <c r="V83" s="97">
        <f t="shared" si="55"/>
        <v>5</v>
      </c>
      <c r="W83" s="97">
        <f t="shared" si="56"/>
        <v>16</v>
      </c>
      <c r="X83" s="97">
        <f t="shared" si="57"/>
        <v>7</v>
      </c>
      <c r="Y83" s="97">
        <f t="shared" si="58"/>
        <v>12</v>
      </c>
      <c r="Z83" s="97">
        <f t="shared" si="59"/>
        <v>12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74" t="s">
        <v>88</v>
      </c>
      <c r="AK83" s="75">
        <v>0</v>
      </c>
      <c r="AL83" s="76">
        <v>2</v>
      </c>
      <c r="AM83" s="76">
        <v>1</v>
      </c>
      <c r="AN83" s="76">
        <v>2</v>
      </c>
      <c r="AO83" s="76">
        <v>1</v>
      </c>
      <c r="AP83" s="76">
        <v>0</v>
      </c>
      <c r="AQ83" s="77">
        <v>0</v>
      </c>
      <c r="AR83" s="78">
        <v>20</v>
      </c>
      <c r="BD83" s="21">
        <v>79</v>
      </c>
      <c r="BE83" s="98" t="s">
        <v>78</v>
      </c>
      <c r="BF83" s="98" t="s">
        <v>34</v>
      </c>
      <c r="BG83" s="98" t="s">
        <v>36</v>
      </c>
      <c r="BH83" s="98" t="s">
        <v>207</v>
      </c>
      <c r="BI83" s="98" t="s">
        <v>163</v>
      </c>
      <c r="BJ83" s="98" t="s">
        <v>41</v>
      </c>
      <c r="BK83" s="37" t="s">
        <v>41</v>
      </c>
      <c r="BM83" s="97">
        <f t="shared" si="60"/>
        <v>6</v>
      </c>
      <c r="BN83" s="97">
        <f t="shared" si="61"/>
        <v>3</v>
      </c>
      <c r="BO83" s="97">
        <f t="shared" si="62"/>
        <v>5</v>
      </c>
      <c r="BP83" s="97">
        <f t="shared" si="63"/>
        <v>16</v>
      </c>
      <c r="BQ83" s="97">
        <f t="shared" si="64"/>
        <v>7</v>
      </c>
      <c r="BR83" s="97">
        <f t="shared" si="65"/>
        <v>12</v>
      </c>
      <c r="BS83" s="97">
        <f t="shared" si="66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74" t="s">
        <v>88</v>
      </c>
      <c r="CD83" s="75">
        <v>0</v>
      </c>
      <c r="CE83" s="76">
        <v>2</v>
      </c>
      <c r="CF83" s="76">
        <v>1</v>
      </c>
      <c r="CG83" s="76">
        <v>2</v>
      </c>
      <c r="CH83" s="76">
        <v>1</v>
      </c>
      <c r="CI83" s="76">
        <v>0</v>
      </c>
      <c r="CJ83" s="77">
        <v>0</v>
      </c>
      <c r="CK83" s="78">
        <v>20</v>
      </c>
      <c r="CW83" s="21">
        <v>79</v>
      </c>
      <c r="CX83" s="98" t="s">
        <v>78</v>
      </c>
      <c r="CY83" s="98" t="s">
        <v>34</v>
      </c>
      <c r="CZ83" s="98" t="s">
        <v>36</v>
      </c>
      <c r="DA83" s="98" t="s">
        <v>207</v>
      </c>
      <c r="DB83" s="98" t="s">
        <v>163</v>
      </c>
      <c r="DC83" s="98" t="s">
        <v>41</v>
      </c>
      <c r="DD83" s="37" t="s">
        <v>41</v>
      </c>
      <c r="DF83" s="97">
        <f t="shared" si="67"/>
        <v>6</v>
      </c>
      <c r="DG83" s="97">
        <f t="shared" si="47"/>
        <v>3</v>
      </c>
      <c r="DH83" s="97">
        <f t="shared" si="48"/>
        <v>5</v>
      </c>
      <c r="DI83" s="97">
        <f t="shared" si="49"/>
        <v>16</v>
      </c>
      <c r="DJ83" s="97">
        <f t="shared" si="50"/>
        <v>7</v>
      </c>
      <c r="DK83" s="97">
        <f t="shared" si="51"/>
        <v>12</v>
      </c>
      <c r="DL83" s="97">
        <f t="shared" si="52"/>
        <v>12</v>
      </c>
      <c r="DN83" s="25">
        <v>1</v>
      </c>
      <c r="DO83" s="25">
        <v>1</v>
      </c>
      <c r="DP83" s="25">
        <v>1</v>
      </c>
      <c r="DQ83" s="25">
        <v>1</v>
      </c>
      <c r="DR83" s="25">
        <v>1</v>
      </c>
      <c r="DS83" s="25">
        <v>1</v>
      </c>
      <c r="DT83" s="7">
        <v>1</v>
      </c>
      <c r="DV83" s="74" t="s">
        <v>88</v>
      </c>
      <c r="DW83" s="75">
        <v>0</v>
      </c>
      <c r="DX83" s="76">
        <v>2</v>
      </c>
      <c r="DY83" s="76">
        <v>1</v>
      </c>
      <c r="DZ83" s="76">
        <v>2</v>
      </c>
      <c r="EA83" s="76">
        <v>1</v>
      </c>
      <c r="EB83" s="76">
        <v>0</v>
      </c>
      <c r="EC83" s="77">
        <v>0</v>
      </c>
      <c r="ED83" s="78">
        <v>20</v>
      </c>
    </row>
    <row r="84" spans="11:134" ht="16.5">
      <c r="K84" s="22">
        <v>80</v>
      </c>
      <c r="L84" s="98" t="s">
        <v>78</v>
      </c>
      <c r="M84" s="98" t="s">
        <v>38</v>
      </c>
      <c r="N84" s="98" t="s">
        <v>40</v>
      </c>
      <c r="O84" s="98" t="s">
        <v>36</v>
      </c>
      <c r="P84" s="98" t="s">
        <v>177</v>
      </c>
      <c r="Q84" s="98" t="s">
        <v>39</v>
      </c>
      <c r="R84" s="37" t="s">
        <v>33</v>
      </c>
      <c r="T84" s="97">
        <f t="shared" si="53"/>
        <v>6</v>
      </c>
      <c r="U84" s="97">
        <f t="shared" si="54"/>
        <v>9</v>
      </c>
      <c r="V84" s="97">
        <f t="shared" si="55"/>
        <v>11</v>
      </c>
      <c r="W84" s="97">
        <f t="shared" si="56"/>
        <v>5</v>
      </c>
      <c r="X84" s="97">
        <f t="shared" si="57"/>
        <v>18</v>
      </c>
      <c r="Y84" s="97">
        <f t="shared" si="58"/>
        <v>10</v>
      </c>
      <c r="Z84" s="97">
        <f t="shared" si="59"/>
        <v>2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74" t="s">
        <v>89</v>
      </c>
      <c r="AK84" s="75">
        <v>0</v>
      </c>
      <c r="AL84" s="76">
        <v>2</v>
      </c>
      <c r="AM84" s="76">
        <v>7</v>
      </c>
      <c r="AN84" s="76">
        <v>1</v>
      </c>
      <c r="AO84" s="76">
        <v>1</v>
      </c>
      <c r="AP84" s="76">
        <v>0</v>
      </c>
      <c r="AQ84" s="77">
        <v>0</v>
      </c>
      <c r="AR84" s="78">
        <v>21</v>
      </c>
      <c r="BD84" s="22">
        <v>80</v>
      </c>
      <c r="BE84" s="98" t="s">
        <v>78</v>
      </c>
      <c r="BF84" s="98" t="s">
        <v>38</v>
      </c>
      <c r="BG84" s="98" t="s">
        <v>40</v>
      </c>
      <c r="BH84" s="98" t="s">
        <v>36</v>
      </c>
      <c r="BI84" s="98" t="s">
        <v>177</v>
      </c>
      <c r="BJ84" s="98" t="s">
        <v>39</v>
      </c>
      <c r="BK84" s="37" t="s">
        <v>26</v>
      </c>
      <c r="BM84" s="97">
        <f t="shared" si="60"/>
        <v>6</v>
      </c>
      <c r="BN84" s="97">
        <f t="shared" si="61"/>
        <v>9</v>
      </c>
      <c r="BO84" s="97">
        <f t="shared" si="62"/>
        <v>11</v>
      </c>
      <c r="BP84" s="97">
        <f t="shared" si="63"/>
        <v>5</v>
      </c>
      <c r="BQ84" s="97">
        <f t="shared" si="64"/>
        <v>18</v>
      </c>
      <c r="BR84" s="97">
        <f t="shared" si="65"/>
        <v>10</v>
      </c>
      <c r="BS84" s="97">
        <f t="shared" si="66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74" t="s">
        <v>89</v>
      </c>
      <c r="CD84" s="75">
        <v>0</v>
      </c>
      <c r="CE84" s="76">
        <v>2</v>
      </c>
      <c r="CF84" s="76">
        <v>7</v>
      </c>
      <c r="CG84" s="76">
        <v>1</v>
      </c>
      <c r="CH84" s="76">
        <v>1</v>
      </c>
      <c r="CI84" s="76">
        <v>0</v>
      </c>
      <c r="CJ84" s="77">
        <v>0</v>
      </c>
      <c r="CK84" s="78">
        <v>21</v>
      </c>
      <c r="CW84" s="22">
        <v>80</v>
      </c>
      <c r="CX84" s="98" t="s">
        <v>78</v>
      </c>
      <c r="CY84" s="98" t="s">
        <v>38</v>
      </c>
      <c r="CZ84" s="98" t="s">
        <v>40</v>
      </c>
      <c r="DA84" s="98" t="s">
        <v>36</v>
      </c>
      <c r="DB84" s="98" t="s">
        <v>177</v>
      </c>
      <c r="DC84" s="98" t="s">
        <v>39</v>
      </c>
      <c r="DD84" s="37" t="s">
        <v>26</v>
      </c>
      <c r="DF84" s="97">
        <f t="shared" si="67"/>
        <v>6</v>
      </c>
      <c r="DG84" s="97">
        <f t="shared" si="47"/>
        <v>9</v>
      </c>
      <c r="DH84" s="97">
        <f t="shared" si="48"/>
        <v>11</v>
      </c>
      <c r="DI84" s="97">
        <f t="shared" si="49"/>
        <v>5</v>
      </c>
      <c r="DJ84" s="97">
        <f t="shared" si="50"/>
        <v>18</v>
      </c>
      <c r="DK84" s="97">
        <f t="shared" si="51"/>
        <v>10</v>
      </c>
      <c r="DL84" s="97">
        <f t="shared" si="52"/>
        <v>8</v>
      </c>
      <c r="DN84" s="25">
        <v>1</v>
      </c>
      <c r="DO84" s="25">
        <v>1</v>
      </c>
      <c r="DP84" s="25">
        <v>1</v>
      </c>
      <c r="DQ84" s="25">
        <v>1</v>
      </c>
      <c r="DR84" s="25">
        <v>1</v>
      </c>
      <c r="DS84" s="25">
        <v>1</v>
      </c>
      <c r="DT84" s="7">
        <v>1</v>
      </c>
      <c r="DV84" s="74" t="s">
        <v>89</v>
      </c>
      <c r="DW84" s="75">
        <v>0</v>
      </c>
      <c r="DX84" s="76">
        <v>2</v>
      </c>
      <c r="DY84" s="76">
        <v>7</v>
      </c>
      <c r="DZ84" s="76">
        <v>1</v>
      </c>
      <c r="EA84" s="76">
        <v>1</v>
      </c>
      <c r="EB84" s="76">
        <v>0</v>
      </c>
      <c r="EC84" s="77">
        <v>0</v>
      </c>
      <c r="ED84" s="78">
        <v>21</v>
      </c>
    </row>
    <row r="85" spans="11:134" ht="16.5">
      <c r="K85" s="21">
        <v>81</v>
      </c>
      <c r="L85" s="98" t="s">
        <v>26</v>
      </c>
      <c r="M85" s="98" t="s">
        <v>38</v>
      </c>
      <c r="N85" s="98" t="s">
        <v>34</v>
      </c>
      <c r="O85" s="98" t="s">
        <v>78</v>
      </c>
      <c r="P85" s="98" t="s">
        <v>40</v>
      </c>
      <c r="Q85" s="98" t="s">
        <v>39</v>
      </c>
      <c r="R85" s="37" t="s">
        <v>33</v>
      </c>
      <c r="T85" s="97">
        <f t="shared" si="53"/>
        <v>8</v>
      </c>
      <c r="U85" s="97">
        <f t="shared" si="54"/>
        <v>9</v>
      </c>
      <c r="V85" s="97">
        <f t="shared" si="55"/>
        <v>3</v>
      </c>
      <c r="W85" s="97">
        <f t="shared" si="56"/>
        <v>6</v>
      </c>
      <c r="X85" s="97">
        <f t="shared" si="57"/>
        <v>11</v>
      </c>
      <c r="Y85" s="97">
        <f t="shared" si="58"/>
        <v>10</v>
      </c>
      <c r="Z85" s="97">
        <f t="shared" si="59"/>
        <v>2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74" t="s">
        <v>90</v>
      </c>
      <c r="AK85" s="75">
        <v>0</v>
      </c>
      <c r="AL85" s="76">
        <v>1</v>
      </c>
      <c r="AM85" s="76">
        <v>1</v>
      </c>
      <c r="AN85" s="76">
        <v>1</v>
      </c>
      <c r="AO85" s="76">
        <v>1</v>
      </c>
      <c r="AP85" s="76">
        <v>0</v>
      </c>
      <c r="AQ85" s="77">
        <v>0</v>
      </c>
      <c r="AR85" s="78">
        <v>22</v>
      </c>
      <c r="BD85" s="21">
        <v>81</v>
      </c>
      <c r="BE85" s="98" t="s">
        <v>40</v>
      </c>
      <c r="BF85" s="98" t="s">
        <v>38</v>
      </c>
      <c r="BG85" s="98" t="s">
        <v>34</v>
      </c>
      <c r="BH85" s="98" t="s">
        <v>78</v>
      </c>
      <c r="BI85" s="98" t="s">
        <v>40</v>
      </c>
      <c r="BJ85" s="98" t="s">
        <v>39</v>
      </c>
      <c r="BK85" s="37" t="s">
        <v>26</v>
      </c>
      <c r="BM85" s="97">
        <f t="shared" si="60"/>
        <v>11</v>
      </c>
      <c r="BN85" s="97">
        <f t="shared" si="61"/>
        <v>9</v>
      </c>
      <c r="BO85" s="97">
        <f t="shared" si="62"/>
        <v>3</v>
      </c>
      <c r="BP85" s="97">
        <f t="shared" si="63"/>
        <v>6</v>
      </c>
      <c r="BQ85" s="97">
        <f t="shared" si="64"/>
        <v>11</v>
      </c>
      <c r="BR85" s="97">
        <f t="shared" si="65"/>
        <v>10</v>
      </c>
      <c r="BS85" s="97">
        <f t="shared" si="66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74" t="s">
        <v>90</v>
      </c>
      <c r="CD85" s="75">
        <v>0</v>
      </c>
      <c r="CE85" s="76">
        <v>1</v>
      </c>
      <c r="CF85" s="76">
        <v>1</v>
      </c>
      <c r="CG85" s="76">
        <v>1</v>
      </c>
      <c r="CH85" s="76">
        <v>1</v>
      </c>
      <c r="CI85" s="76">
        <v>0</v>
      </c>
      <c r="CJ85" s="77">
        <v>0</v>
      </c>
      <c r="CK85" s="78">
        <v>22</v>
      </c>
      <c r="CW85" s="21">
        <v>81</v>
      </c>
      <c r="CX85" s="98" t="s">
        <v>40</v>
      </c>
      <c r="CY85" s="98" t="s">
        <v>38</v>
      </c>
      <c r="CZ85" s="98" t="s">
        <v>34</v>
      </c>
      <c r="DA85" s="98" t="s">
        <v>78</v>
      </c>
      <c r="DB85" s="98" t="s">
        <v>40</v>
      </c>
      <c r="DC85" s="98" t="s">
        <v>39</v>
      </c>
      <c r="DD85" s="37" t="s">
        <v>26</v>
      </c>
      <c r="DF85" s="97">
        <f t="shared" si="67"/>
        <v>11</v>
      </c>
      <c r="DG85" s="97">
        <f t="shared" si="47"/>
        <v>9</v>
      </c>
      <c r="DH85" s="97">
        <f t="shared" si="48"/>
        <v>3</v>
      </c>
      <c r="DI85" s="97">
        <f t="shared" si="49"/>
        <v>6</v>
      </c>
      <c r="DJ85" s="97">
        <f t="shared" si="50"/>
        <v>11</v>
      </c>
      <c r="DK85" s="97">
        <f t="shared" si="51"/>
        <v>10</v>
      </c>
      <c r="DL85" s="97">
        <f t="shared" si="52"/>
        <v>8</v>
      </c>
      <c r="DN85" s="25">
        <v>1</v>
      </c>
      <c r="DO85" s="25">
        <v>1</v>
      </c>
      <c r="DP85" s="25">
        <v>1</v>
      </c>
      <c r="DQ85" s="25">
        <v>1</v>
      </c>
      <c r="DR85" s="25">
        <v>1</v>
      </c>
      <c r="DS85" s="25">
        <v>1</v>
      </c>
      <c r="DT85" s="7">
        <v>1</v>
      </c>
      <c r="DV85" s="74" t="s">
        <v>90</v>
      </c>
      <c r="DW85" s="75">
        <v>0</v>
      </c>
      <c r="DX85" s="76">
        <v>1</v>
      </c>
      <c r="DY85" s="76">
        <v>1</v>
      </c>
      <c r="DZ85" s="76">
        <v>1</v>
      </c>
      <c r="EA85" s="76">
        <v>1</v>
      </c>
      <c r="EB85" s="76">
        <v>0</v>
      </c>
      <c r="EC85" s="77">
        <v>0</v>
      </c>
      <c r="ED85" s="78">
        <v>22</v>
      </c>
    </row>
    <row r="86" spans="11:134" ht="17.25" thickBot="1">
      <c r="K86" s="22">
        <v>82</v>
      </c>
      <c r="L86" s="98" t="s">
        <v>41</v>
      </c>
      <c r="M86" s="98" t="s">
        <v>39</v>
      </c>
      <c r="N86" s="98" t="s">
        <v>34</v>
      </c>
      <c r="O86" s="98" t="s">
        <v>39</v>
      </c>
      <c r="P86" s="98" t="s">
        <v>40</v>
      </c>
      <c r="Q86" s="98" t="s">
        <v>26</v>
      </c>
      <c r="R86" s="37" t="s">
        <v>33</v>
      </c>
      <c r="T86" s="97">
        <f t="shared" si="53"/>
        <v>12</v>
      </c>
      <c r="U86" s="97">
        <f t="shared" si="54"/>
        <v>10</v>
      </c>
      <c r="V86" s="97">
        <f t="shared" si="55"/>
        <v>3</v>
      </c>
      <c r="W86" s="97">
        <f t="shared" si="56"/>
        <v>10</v>
      </c>
      <c r="X86" s="97">
        <f t="shared" si="57"/>
        <v>11</v>
      </c>
      <c r="Y86" s="97">
        <f t="shared" si="58"/>
        <v>8</v>
      </c>
      <c r="Z86" s="97">
        <f t="shared" si="59"/>
        <v>2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80" t="s">
        <v>91</v>
      </c>
      <c r="AK86" s="81">
        <v>0</v>
      </c>
      <c r="AL86" s="82">
        <v>2</v>
      </c>
      <c r="AM86" s="82">
        <v>1</v>
      </c>
      <c r="AN86" s="82">
        <v>1</v>
      </c>
      <c r="AO86" s="82">
        <v>1</v>
      </c>
      <c r="AP86" s="82">
        <v>0</v>
      </c>
      <c r="AQ86" s="83">
        <v>0</v>
      </c>
      <c r="AR86" s="178">
        <v>23</v>
      </c>
      <c r="BD86" s="22">
        <v>82</v>
      </c>
      <c r="BE86" s="98" t="s">
        <v>41</v>
      </c>
      <c r="BF86" s="98" t="s">
        <v>39</v>
      </c>
      <c r="BG86" s="98" t="s">
        <v>34</v>
      </c>
      <c r="BH86" s="98" t="s">
        <v>39</v>
      </c>
      <c r="BI86" s="98" t="s">
        <v>40</v>
      </c>
      <c r="BJ86" s="98" t="s">
        <v>26</v>
      </c>
      <c r="BK86" s="37" t="s">
        <v>26</v>
      </c>
      <c r="BM86" s="97">
        <f t="shared" si="60"/>
        <v>12</v>
      </c>
      <c r="BN86" s="97">
        <f t="shared" si="61"/>
        <v>10</v>
      </c>
      <c r="BO86" s="97">
        <f t="shared" si="62"/>
        <v>3</v>
      </c>
      <c r="BP86" s="97">
        <f t="shared" si="63"/>
        <v>10</v>
      </c>
      <c r="BQ86" s="97">
        <f t="shared" si="64"/>
        <v>11</v>
      </c>
      <c r="BR86" s="97">
        <f t="shared" si="65"/>
        <v>8</v>
      </c>
      <c r="BS86" s="97">
        <f t="shared" si="66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80" t="s">
        <v>91</v>
      </c>
      <c r="CD86" s="81">
        <v>0</v>
      </c>
      <c r="CE86" s="82">
        <v>2</v>
      </c>
      <c r="CF86" s="82">
        <v>1</v>
      </c>
      <c r="CG86" s="82">
        <v>1</v>
      </c>
      <c r="CH86" s="82">
        <v>1</v>
      </c>
      <c r="CI86" s="82">
        <v>0</v>
      </c>
      <c r="CJ86" s="83">
        <v>0</v>
      </c>
      <c r="CK86" s="178">
        <v>23</v>
      </c>
      <c r="CW86" s="22">
        <v>82</v>
      </c>
      <c r="CX86" s="98" t="s">
        <v>41</v>
      </c>
      <c r="CY86" s="98" t="s">
        <v>39</v>
      </c>
      <c r="CZ86" s="98" t="s">
        <v>34</v>
      </c>
      <c r="DA86" s="98" t="s">
        <v>39</v>
      </c>
      <c r="DB86" s="98" t="s">
        <v>40</v>
      </c>
      <c r="DC86" s="98" t="s">
        <v>26</v>
      </c>
      <c r="DD86" s="37" t="s">
        <v>26</v>
      </c>
      <c r="DF86" s="97">
        <f t="shared" si="67"/>
        <v>12</v>
      </c>
      <c r="DG86" s="97">
        <f t="shared" si="47"/>
        <v>10</v>
      </c>
      <c r="DH86" s="97">
        <f t="shared" si="48"/>
        <v>3</v>
      </c>
      <c r="DI86" s="97">
        <f t="shared" si="49"/>
        <v>10</v>
      </c>
      <c r="DJ86" s="97">
        <f t="shared" si="50"/>
        <v>11</v>
      </c>
      <c r="DK86" s="97">
        <f t="shared" si="51"/>
        <v>8</v>
      </c>
      <c r="DL86" s="97">
        <f t="shared" si="52"/>
        <v>8</v>
      </c>
      <c r="DN86" s="25">
        <v>1</v>
      </c>
      <c r="DO86" s="25">
        <v>1</v>
      </c>
      <c r="DP86" s="25">
        <v>1</v>
      </c>
      <c r="DQ86" s="25">
        <v>1</v>
      </c>
      <c r="DR86" s="25">
        <v>1</v>
      </c>
      <c r="DS86" s="25">
        <v>1</v>
      </c>
      <c r="DT86" s="7">
        <v>1</v>
      </c>
      <c r="DV86" s="80" t="s">
        <v>91</v>
      </c>
      <c r="DW86" s="81">
        <v>0</v>
      </c>
      <c r="DX86" s="82">
        <v>2</v>
      </c>
      <c r="DY86" s="82">
        <v>1</v>
      </c>
      <c r="DZ86" s="82">
        <v>1</v>
      </c>
      <c r="EA86" s="82">
        <v>1</v>
      </c>
      <c r="EB86" s="82">
        <v>0</v>
      </c>
      <c r="EC86" s="83">
        <v>0</v>
      </c>
      <c r="ED86" s="178">
        <v>23</v>
      </c>
    </row>
    <row r="87" spans="11:134" ht="16.5">
      <c r="K87" s="21">
        <v>83</v>
      </c>
      <c r="L87" s="98" t="s">
        <v>40</v>
      </c>
      <c r="M87" s="98" t="s">
        <v>39</v>
      </c>
      <c r="N87" s="98" t="s">
        <v>34</v>
      </c>
      <c r="O87" s="98" t="s">
        <v>36</v>
      </c>
      <c r="P87" s="98" t="s">
        <v>163</v>
      </c>
      <c r="Q87" s="98" t="s">
        <v>33</v>
      </c>
      <c r="R87" s="37" t="s">
        <v>33</v>
      </c>
      <c r="T87" s="97">
        <f t="shared" si="53"/>
        <v>11</v>
      </c>
      <c r="U87" s="97">
        <f t="shared" si="54"/>
        <v>10</v>
      </c>
      <c r="V87" s="97">
        <f t="shared" si="55"/>
        <v>3</v>
      </c>
      <c r="W87" s="97">
        <f t="shared" si="56"/>
        <v>5</v>
      </c>
      <c r="X87" s="97">
        <f t="shared" si="57"/>
        <v>7</v>
      </c>
      <c r="Y87" s="97">
        <f t="shared" si="58"/>
        <v>2</v>
      </c>
      <c r="Z87" s="97">
        <f t="shared" si="59"/>
        <v>2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1</v>
      </c>
      <c r="AJ87" s="184" t="s">
        <v>190</v>
      </c>
      <c r="AK87" s="185">
        <v>0</v>
      </c>
      <c r="AL87" s="186">
        <v>2</v>
      </c>
      <c r="AM87" s="186">
        <v>2</v>
      </c>
      <c r="AN87" s="186">
        <v>2</v>
      </c>
      <c r="AO87" s="186">
        <v>2</v>
      </c>
      <c r="AP87" s="186">
        <v>0</v>
      </c>
      <c r="AQ87" s="187">
        <v>0</v>
      </c>
      <c r="AR87" s="183">
        <v>24</v>
      </c>
      <c r="BD87" s="21">
        <v>83</v>
      </c>
      <c r="BE87" s="98" t="s">
        <v>40</v>
      </c>
      <c r="BF87" s="98" t="s">
        <v>39</v>
      </c>
      <c r="BG87" s="98" t="s">
        <v>34</v>
      </c>
      <c r="BH87" s="98" t="s">
        <v>36</v>
      </c>
      <c r="BI87" s="98" t="s">
        <v>163</v>
      </c>
      <c r="BJ87" s="98" t="s">
        <v>41</v>
      </c>
      <c r="BK87" s="37" t="s">
        <v>39</v>
      </c>
      <c r="BM87" s="97">
        <f t="shared" si="60"/>
        <v>11</v>
      </c>
      <c r="BN87" s="97">
        <f t="shared" si="61"/>
        <v>10</v>
      </c>
      <c r="BO87" s="97">
        <f t="shared" si="62"/>
        <v>3</v>
      </c>
      <c r="BP87" s="97">
        <f t="shared" si="63"/>
        <v>5</v>
      </c>
      <c r="BQ87" s="97">
        <f t="shared" si="64"/>
        <v>7</v>
      </c>
      <c r="BR87" s="97">
        <f t="shared" si="65"/>
        <v>12</v>
      </c>
      <c r="BS87" s="97">
        <f t="shared" si="66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184" t="s">
        <v>190</v>
      </c>
      <c r="CD87" s="185">
        <v>0</v>
      </c>
      <c r="CE87" s="186">
        <v>2</v>
      </c>
      <c r="CF87" s="186">
        <v>2</v>
      </c>
      <c r="CG87" s="186">
        <v>2</v>
      </c>
      <c r="CH87" s="186">
        <v>2</v>
      </c>
      <c r="CI87" s="186">
        <v>0</v>
      </c>
      <c r="CJ87" s="187">
        <v>0</v>
      </c>
      <c r="CK87" s="183">
        <v>24</v>
      </c>
      <c r="CW87" s="21">
        <v>83</v>
      </c>
      <c r="CX87" s="98" t="s">
        <v>40</v>
      </c>
      <c r="CY87" s="98" t="s">
        <v>39</v>
      </c>
      <c r="CZ87" s="98" t="s">
        <v>34</v>
      </c>
      <c r="DA87" s="98" t="s">
        <v>36</v>
      </c>
      <c r="DB87" s="98" t="s">
        <v>163</v>
      </c>
      <c r="DC87" s="98" t="s">
        <v>41</v>
      </c>
      <c r="DD87" s="37" t="s">
        <v>39</v>
      </c>
      <c r="DF87" s="97">
        <f t="shared" si="67"/>
        <v>11</v>
      </c>
      <c r="DG87" s="97">
        <f t="shared" si="47"/>
        <v>10</v>
      </c>
      <c r="DH87" s="97">
        <f t="shared" si="48"/>
        <v>3</v>
      </c>
      <c r="DI87" s="97">
        <f t="shared" si="49"/>
        <v>5</v>
      </c>
      <c r="DJ87" s="97">
        <f t="shared" si="50"/>
        <v>7</v>
      </c>
      <c r="DK87" s="97">
        <f t="shared" si="51"/>
        <v>12</v>
      </c>
      <c r="DL87" s="97">
        <f t="shared" si="52"/>
        <v>10</v>
      </c>
      <c r="DN87" s="25">
        <v>1</v>
      </c>
      <c r="DO87" s="25">
        <v>1</v>
      </c>
      <c r="DP87" s="25">
        <v>1</v>
      </c>
      <c r="DQ87" s="25">
        <v>1</v>
      </c>
      <c r="DR87" s="25">
        <v>1</v>
      </c>
      <c r="DS87" s="25">
        <v>1</v>
      </c>
      <c r="DT87" s="7">
        <v>1</v>
      </c>
      <c r="DV87" s="184" t="s">
        <v>190</v>
      </c>
      <c r="DW87" s="185">
        <v>0</v>
      </c>
      <c r="DX87" s="186">
        <v>0</v>
      </c>
      <c r="DY87" s="186">
        <v>0</v>
      </c>
      <c r="DZ87" s="186">
        <v>0</v>
      </c>
      <c r="EA87" s="186">
        <v>0</v>
      </c>
      <c r="EB87" s="186">
        <v>0</v>
      </c>
      <c r="EC87" s="187">
        <v>0</v>
      </c>
      <c r="ED87" s="183">
        <v>24</v>
      </c>
    </row>
    <row r="88" spans="11:134" ht="17.25" thickBot="1">
      <c r="K88" s="22">
        <v>84</v>
      </c>
      <c r="L88" s="98" t="s">
        <v>40</v>
      </c>
      <c r="M88" s="98" t="s">
        <v>78</v>
      </c>
      <c r="N88" s="98" t="s">
        <v>36</v>
      </c>
      <c r="O88" s="98" t="s">
        <v>39</v>
      </c>
      <c r="P88" s="98" t="s">
        <v>34</v>
      </c>
      <c r="Q88" s="98" t="s">
        <v>41</v>
      </c>
      <c r="R88" s="37" t="s">
        <v>39</v>
      </c>
      <c r="T88" s="97">
        <f t="shared" si="53"/>
        <v>11</v>
      </c>
      <c r="U88" s="97">
        <f t="shared" si="54"/>
        <v>6</v>
      </c>
      <c r="V88" s="97">
        <f t="shared" si="55"/>
        <v>5</v>
      </c>
      <c r="W88" s="97">
        <f t="shared" si="56"/>
        <v>10</v>
      </c>
      <c r="X88" s="97">
        <f t="shared" si="57"/>
        <v>3</v>
      </c>
      <c r="Y88" s="97">
        <f t="shared" si="58"/>
        <v>12</v>
      </c>
      <c r="Z88" s="97">
        <f t="shared" si="59"/>
        <v>10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101" t="s">
        <v>201</v>
      </c>
      <c r="AK88" s="93">
        <v>0</v>
      </c>
      <c r="AL88" s="94">
        <v>0</v>
      </c>
      <c r="AM88" s="94">
        <v>0</v>
      </c>
      <c r="AN88" s="94">
        <v>0</v>
      </c>
      <c r="AO88" s="94">
        <v>0</v>
      </c>
      <c r="AP88" s="94">
        <v>0</v>
      </c>
      <c r="AQ88" s="95">
        <v>0</v>
      </c>
      <c r="AR88" s="84">
        <v>25</v>
      </c>
      <c r="BD88" s="22">
        <v>84</v>
      </c>
      <c r="BE88" s="98" t="s">
        <v>40</v>
      </c>
      <c r="BF88" s="98" t="s">
        <v>78</v>
      </c>
      <c r="BG88" s="98" t="s">
        <v>36</v>
      </c>
      <c r="BH88" s="98" t="s">
        <v>39</v>
      </c>
      <c r="BI88" s="98" t="s">
        <v>34</v>
      </c>
      <c r="BJ88" s="98" t="s">
        <v>41</v>
      </c>
      <c r="BK88" s="37" t="s">
        <v>39</v>
      </c>
      <c r="BM88" s="97">
        <f t="shared" si="60"/>
        <v>11</v>
      </c>
      <c r="BN88" s="97">
        <f t="shared" si="61"/>
        <v>6</v>
      </c>
      <c r="BO88" s="97">
        <f t="shared" si="62"/>
        <v>5</v>
      </c>
      <c r="BP88" s="97">
        <f t="shared" si="63"/>
        <v>10</v>
      </c>
      <c r="BQ88" s="97">
        <f t="shared" si="64"/>
        <v>3</v>
      </c>
      <c r="BR88" s="97">
        <f t="shared" si="65"/>
        <v>12</v>
      </c>
      <c r="BS88" s="97">
        <f t="shared" si="66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101" t="s">
        <v>201</v>
      </c>
      <c r="CD88" s="93">
        <v>0</v>
      </c>
      <c r="CE88" s="94">
        <v>0</v>
      </c>
      <c r="CF88" s="94">
        <v>0</v>
      </c>
      <c r="CG88" s="94">
        <v>0</v>
      </c>
      <c r="CH88" s="94">
        <v>0</v>
      </c>
      <c r="CI88" s="94">
        <v>0</v>
      </c>
      <c r="CJ88" s="95">
        <v>0</v>
      </c>
      <c r="CK88" s="84">
        <v>25</v>
      </c>
      <c r="CW88" s="22">
        <v>84</v>
      </c>
      <c r="CX88" s="98" t="s">
        <v>40</v>
      </c>
      <c r="CY88" s="98" t="s">
        <v>78</v>
      </c>
      <c r="CZ88" s="98" t="s">
        <v>36</v>
      </c>
      <c r="DA88" s="98" t="s">
        <v>39</v>
      </c>
      <c r="DB88" s="98" t="s">
        <v>34</v>
      </c>
      <c r="DC88" s="98" t="s">
        <v>41</v>
      </c>
      <c r="DD88" s="37" t="s">
        <v>39</v>
      </c>
      <c r="DF88" s="97">
        <f t="shared" si="67"/>
        <v>11</v>
      </c>
      <c r="DG88" s="97">
        <f t="shared" si="47"/>
        <v>6</v>
      </c>
      <c r="DH88" s="97">
        <f t="shared" si="48"/>
        <v>5</v>
      </c>
      <c r="DI88" s="97">
        <f t="shared" si="49"/>
        <v>10</v>
      </c>
      <c r="DJ88" s="97">
        <f t="shared" si="50"/>
        <v>3</v>
      </c>
      <c r="DK88" s="97">
        <f t="shared" si="51"/>
        <v>12</v>
      </c>
      <c r="DL88" s="97">
        <f t="shared" si="52"/>
        <v>10</v>
      </c>
      <c r="DN88" s="25">
        <v>1</v>
      </c>
      <c r="DO88" s="25">
        <v>1</v>
      </c>
      <c r="DP88" s="25">
        <v>1</v>
      </c>
      <c r="DQ88" s="25">
        <v>1</v>
      </c>
      <c r="DR88" s="25">
        <v>1</v>
      </c>
      <c r="DS88" s="25">
        <v>1</v>
      </c>
      <c r="DT88" s="7">
        <v>1</v>
      </c>
      <c r="DV88" s="101" t="s">
        <v>201</v>
      </c>
      <c r="DW88" s="93">
        <v>0</v>
      </c>
      <c r="DX88" s="94">
        <v>0</v>
      </c>
      <c r="DY88" s="94">
        <v>0</v>
      </c>
      <c r="DZ88" s="94">
        <v>0</v>
      </c>
      <c r="EA88" s="94">
        <v>0</v>
      </c>
      <c r="EB88" s="94">
        <v>0</v>
      </c>
      <c r="EC88" s="95">
        <v>0</v>
      </c>
      <c r="ED88" s="84">
        <v>25</v>
      </c>
    </row>
    <row r="89" spans="11:134">
      <c r="K89" s="21">
        <v>85</v>
      </c>
      <c r="L89" s="98" t="s">
        <v>34</v>
      </c>
      <c r="M89" s="98" t="s">
        <v>26</v>
      </c>
      <c r="N89" s="98" t="s">
        <v>177</v>
      </c>
      <c r="O89" s="98" t="s">
        <v>39</v>
      </c>
      <c r="P89" s="98" t="s">
        <v>38</v>
      </c>
      <c r="Q89" s="98" t="s">
        <v>26</v>
      </c>
      <c r="R89" s="37" t="s">
        <v>39</v>
      </c>
      <c r="T89" s="97">
        <f t="shared" si="53"/>
        <v>3</v>
      </c>
      <c r="U89" s="97">
        <f t="shared" si="54"/>
        <v>8</v>
      </c>
      <c r="V89" s="97">
        <f t="shared" si="55"/>
        <v>18</v>
      </c>
      <c r="W89" s="97">
        <f t="shared" si="56"/>
        <v>10</v>
      </c>
      <c r="X89" s="97">
        <f t="shared" si="57"/>
        <v>9</v>
      </c>
      <c r="Y89" s="97">
        <f t="shared" si="58"/>
        <v>8</v>
      </c>
      <c r="Z89" s="97">
        <f t="shared" si="59"/>
        <v>10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103"/>
      <c r="AK89" s="103"/>
      <c r="AL89" s="103"/>
      <c r="AM89" s="103"/>
      <c r="AN89" s="103"/>
      <c r="AO89" s="103"/>
      <c r="AP89" s="103"/>
      <c r="AQ89" s="103"/>
      <c r="AR89" s="103"/>
      <c r="BD89" s="21">
        <v>85</v>
      </c>
      <c r="BE89" s="98" t="s">
        <v>41</v>
      </c>
      <c r="BF89" s="98" t="s">
        <v>26</v>
      </c>
      <c r="BG89" s="98" t="s">
        <v>195</v>
      </c>
      <c r="BH89" s="98" t="s">
        <v>39</v>
      </c>
      <c r="BI89" s="98" t="s">
        <v>38</v>
      </c>
      <c r="BJ89" s="98" t="s">
        <v>26</v>
      </c>
      <c r="BK89" s="37" t="s">
        <v>39</v>
      </c>
      <c r="BM89" s="97">
        <f t="shared" si="60"/>
        <v>12</v>
      </c>
      <c r="BN89" s="97">
        <f t="shared" si="61"/>
        <v>8</v>
      </c>
      <c r="BO89" s="97">
        <f t="shared" si="62"/>
        <v>19</v>
      </c>
      <c r="BP89" s="97">
        <f t="shared" si="63"/>
        <v>10</v>
      </c>
      <c r="BQ89" s="97">
        <f t="shared" si="64"/>
        <v>9</v>
      </c>
      <c r="BR89" s="97">
        <f t="shared" si="65"/>
        <v>8</v>
      </c>
      <c r="BS89" s="97">
        <f t="shared" si="66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103"/>
      <c r="CD89" s="103"/>
      <c r="CE89" s="103"/>
      <c r="CF89" s="103"/>
      <c r="CG89" s="103"/>
      <c r="CH89" s="103"/>
      <c r="CI89" s="103"/>
      <c r="CJ89" s="103"/>
      <c r="CK89" s="103"/>
      <c r="CW89" s="21">
        <v>85</v>
      </c>
      <c r="CX89" s="98" t="s">
        <v>41</v>
      </c>
      <c r="CY89" s="98" t="s">
        <v>26</v>
      </c>
      <c r="CZ89" s="98" t="s">
        <v>195</v>
      </c>
      <c r="DA89" s="98" t="s">
        <v>39</v>
      </c>
      <c r="DB89" s="98" t="s">
        <v>38</v>
      </c>
      <c r="DC89" s="98" t="s">
        <v>26</v>
      </c>
      <c r="DD89" s="37" t="s">
        <v>39</v>
      </c>
      <c r="DF89" s="97">
        <f t="shared" si="67"/>
        <v>12</v>
      </c>
      <c r="DG89" s="97">
        <f t="shared" si="47"/>
        <v>8</v>
      </c>
      <c r="DH89" s="97">
        <f t="shared" si="48"/>
        <v>19</v>
      </c>
      <c r="DI89" s="97">
        <f t="shared" si="49"/>
        <v>10</v>
      </c>
      <c r="DJ89" s="97">
        <f t="shared" si="50"/>
        <v>9</v>
      </c>
      <c r="DK89" s="97">
        <f t="shared" si="51"/>
        <v>8</v>
      </c>
      <c r="DL89" s="97">
        <f t="shared" si="52"/>
        <v>10</v>
      </c>
      <c r="DN89" s="25">
        <v>1</v>
      </c>
      <c r="DO89" s="25">
        <v>1</v>
      </c>
      <c r="DP89" s="25">
        <v>1</v>
      </c>
      <c r="DQ89" s="25">
        <v>1</v>
      </c>
      <c r="DR89" s="25">
        <v>1</v>
      </c>
      <c r="DS89" s="25">
        <v>1</v>
      </c>
      <c r="DT89" s="7">
        <v>1</v>
      </c>
      <c r="DV89" s="103"/>
      <c r="DW89" s="103"/>
      <c r="DX89" s="103"/>
      <c r="DY89" s="103"/>
      <c r="DZ89" s="103"/>
      <c r="EA89" s="103"/>
      <c r="EB89" s="103"/>
      <c r="EC89" s="103"/>
      <c r="ED89" s="103"/>
    </row>
    <row r="90" spans="11:134" ht="16.5" thickBot="1">
      <c r="K90" s="22">
        <v>86</v>
      </c>
      <c r="L90" s="98" t="s">
        <v>34</v>
      </c>
      <c r="M90" s="98" t="s">
        <v>41</v>
      </c>
      <c r="N90" s="98" t="s">
        <v>163</v>
      </c>
      <c r="O90" s="98" t="s">
        <v>39</v>
      </c>
      <c r="P90" s="98" t="s">
        <v>36</v>
      </c>
      <c r="Q90" s="98" t="s">
        <v>78</v>
      </c>
      <c r="R90" s="37" t="s">
        <v>41</v>
      </c>
      <c r="T90" s="97">
        <f t="shared" si="53"/>
        <v>3</v>
      </c>
      <c r="U90" s="97">
        <f t="shared" si="54"/>
        <v>12</v>
      </c>
      <c r="V90" s="97">
        <f t="shared" si="55"/>
        <v>7</v>
      </c>
      <c r="W90" s="97">
        <f t="shared" si="56"/>
        <v>10</v>
      </c>
      <c r="X90" s="97">
        <f t="shared" si="57"/>
        <v>5</v>
      </c>
      <c r="Y90" s="97">
        <f t="shared" si="58"/>
        <v>6</v>
      </c>
      <c r="Z90" s="97">
        <f t="shared" si="59"/>
        <v>12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  <c r="BD90" s="22">
        <v>86</v>
      </c>
      <c r="BE90" s="98" t="s">
        <v>41</v>
      </c>
      <c r="BF90" s="98" t="s">
        <v>41</v>
      </c>
      <c r="BG90" s="98" t="s">
        <v>26</v>
      </c>
      <c r="BH90" s="98" t="s">
        <v>39</v>
      </c>
      <c r="BI90" s="98" t="s">
        <v>36</v>
      </c>
      <c r="BJ90" s="98" t="s">
        <v>78</v>
      </c>
      <c r="BK90" s="37" t="s">
        <v>41</v>
      </c>
      <c r="BM90" s="97">
        <f t="shared" si="60"/>
        <v>12</v>
      </c>
      <c r="BN90" s="97">
        <f t="shared" si="61"/>
        <v>12</v>
      </c>
      <c r="BO90" s="97">
        <f t="shared" si="62"/>
        <v>8</v>
      </c>
      <c r="BP90" s="97">
        <f t="shared" si="63"/>
        <v>10</v>
      </c>
      <c r="BQ90" s="97">
        <f t="shared" si="64"/>
        <v>5</v>
      </c>
      <c r="BR90" s="97">
        <f t="shared" si="65"/>
        <v>6</v>
      </c>
      <c r="BS90" s="97">
        <f t="shared" si="66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103"/>
      <c r="CD90" s="219" t="s">
        <v>98</v>
      </c>
      <c r="CE90" s="219"/>
      <c r="CF90" s="219"/>
      <c r="CG90" s="219"/>
      <c r="CH90" s="219"/>
      <c r="CI90" s="219"/>
      <c r="CJ90" s="219"/>
      <c r="CK90" s="219"/>
      <c r="CW90" s="22">
        <v>86</v>
      </c>
      <c r="CX90" s="98" t="s">
        <v>41</v>
      </c>
      <c r="CY90" s="98" t="s">
        <v>41</v>
      </c>
      <c r="CZ90" s="98" t="s">
        <v>26</v>
      </c>
      <c r="DA90" s="98" t="s">
        <v>39</v>
      </c>
      <c r="DB90" s="98" t="s">
        <v>36</v>
      </c>
      <c r="DC90" s="98" t="s">
        <v>78</v>
      </c>
      <c r="DD90" s="37" t="s">
        <v>41</v>
      </c>
      <c r="DF90" s="97">
        <f t="shared" si="67"/>
        <v>12</v>
      </c>
      <c r="DG90" s="97">
        <f t="shared" si="47"/>
        <v>12</v>
      </c>
      <c r="DH90" s="97">
        <f t="shared" si="48"/>
        <v>8</v>
      </c>
      <c r="DI90" s="97">
        <f t="shared" si="49"/>
        <v>10</v>
      </c>
      <c r="DJ90" s="97">
        <f t="shared" si="50"/>
        <v>5</v>
      </c>
      <c r="DK90" s="97">
        <f t="shared" si="51"/>
        <v>6</v>
      </c>
      <c r="DL90" s="97">
        <f t="shared" si="52"/>
        <v>12</v>
      </c>
      <c r="DN90" s="25">
        <v>1</v>
      </c>
      <c r="DO90" s="25">
        <v>1</v>
      </c>
      <c r="DP90" s="25">
        <v>1</v>
      </c>
      <c r="DQ90" s="25">
        <v>1</v>
      </c>
      <c r="DR90" s="25">
        <v>1</v>
      </c>
      <c r="DS90" s="25">
        <v>1</v>
      </c>
      <c r="DT90" s="7">
        <v>1</v>
      </c>
      <c r="DV90" s="103"/>
      <c r="DW90" s="219" t="s">
        <v>98</v>
      </c>
      <c r="DX90" s="219"/>
      <c r="DY90" s="219"/>
      <c r="DZ90" s="219"/>
      <c r="EA90" s="219"/>
      <c r="EB90" s="219"/>
      <c r="EC90" s="219"/>
      <c r="ED90" s="219"/>
    </row>
    <row r="91" spans="11:134" ht="17.25" thickBot="1">
      <c r="K91" s="21">
        <v>87</v>
      </c>
      <c r="L91" s="98" t="s">
        <v>41</v>
      </c>
      <c r="M91" s="98" t="s">
        <v>41</v>
      </c>
      <c r="N91" s="98" t="s">
        <v>163</v>
      </c>
      <c r="O91" s="98" t="s">
        <v>41</v>
      </c>
      <c r="P91" s="98" t="s">
        <v>39</v>
      </c>
      <c r="Q91" s="98" t="s">
        <v>26</v>
      </c>
      <c r="R91" s="37" t="s">
        <v>78</v>
      </c>
      <c r="T91" s="97">
        <f t="shared" si="53"/>
        <v>12</v>
      </c>
      <c r="U91" s="97">
        <f t="shared" si="54"/>
        <v>12</v>
      </c>
      <c r="V91" s="97">
        <f t="shared" si="55"/>
        <v>7</v>
      </c>
      <c r="W91" s="97">
        <f t="shared" si="56"/>
        <v>12</v>
      </c>
      <c r="X91" s="97">
        <f t="shared" si="57"/>
        <v>10</v>
      </c>
      <c r="Y91" s="97">
        <f t="shared" si="58"/>
        <v>8</v>
      </c>
      <c r="Z91" s="97">
        <f t="shared" si="59"/>
        <v>6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  <c r="BD91" s="21">
        <v>87</v>
      </c>
      <c r="BE91" s="98" t="s">
        <v>41</v>
      </c>
      <c r="BF91" s="98" t="s">
        <v>41</v>
      </c>
      <c r="BG91" s="98" t="s">
        <v>26</v>
      </c>
      <c r="BH91" s="98" t="s">
        <v>41</v>
      </c>
      <c r="BI91" s="98" t="s">
        <v>39</v>
      </c>
      <c r="BJ91" s="98" t="s">
        <v>26</v>
      </c>
      <c r="BK91" s="37" t="s">
        <v>78</v>
      </c>
      <c r="BM91" s="97">
        <f t="shared" si="60"/>
        <v>12</v>
      </c>
      <c r="BN91" s="97">
        <f t="shared" si="61"/>
        <v>12</v>
      </c>
      <c r="BO91" s="97">
        <f t="shared" si="62"/>
        <v>8</v>
      </c>
      <c r="BP91" s="97">
        <f t="shared" si="63"/>
        <v>12</v>
      </c>
      <c r="BQ91" s="97">
        <f t="shared" si="64"/>
        <v>10</v>
      </c>
      <c r="BR91" s="97">
        <f t="shared" si="65"/>
        <v>8</v>
      </c>
      <c r="BS91" s="97">
        <f t="shared" si="66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65" t="s">
        <v>53</v>
      </c>
      <c r="CD91" s="66" t="s">
        <v>13</v>
      </c>
      <c r="CE91" s="66" t="s">
        <v>14</v>
      </c>
      <c r="CF91" s="66" t="s">
        <v>15</v>
      </c>
      <c r="CG91" s="66" t="s">
        <v>16</v>
      </c>
      <c r="CH91" s="66" t="s">
        <v>17</v>
      </c>
      <c r="CI91" s="66" t="s">
        <v>59</v>
      </c>
      <c r="CJ91" s="67" t="s">
        <v>79</v>
      </c>
      <c r="CK91" s="68" t="s">
        <v>4</v>
      </c>
      <c r="CW91" s="21">
        <v>87</v>
      </c>
      <c r="CX91" s="98" t="s">
        <v>41</v>
      </c>
      <c r="CY91" s="98" t="s">
        <v>41</v>
      </c>
      <c r="CZ91" s="98" t="s">
        <v>26</v>
      </c>
      <c r="DA91" s="98" t="s">
        <v>41</v>
      </c>
      <c r="DB91" s="98" t="s">
        <v>39</v>
      </c>
      <c r="DC91" s="98" t="s">
        <v>26</v>
      </c>
      <c r="DD91" s="37" t="s">
        <v>78</v>
      </c>
      <c r="DF91" s="97">
        <f t="shared" si="67"/>
        <v>12</v>
      </c>
      <c r="DG91" s="97">
        <f t="shared" si="47"/>
        <v>12</v>
      </c>
      <c r="DH91" s="97">
        <f t="shared" si="48"/>
        <v>8</v>
      </c>
      <c r="DI91" s="97">
        <f t="shared" si="49"/>
        <v>12</v>
      </c>
      <c r="DJ91" s="97">
        <f t="shared" si="50"/>
        <v>10</v>
      </c>
      <c r="DK91" s="97">
        <f t="shared" si="51"/>
        <v>8</v>
      </c>
      <c r="DL91" s="97">
        <f t="shared" si="52"/>
        <v>6</v>
      </c>
      <c r="DN91" s="25">
        <v>1</v>
      </c>
      <c r="DO91" s="25">
        <v>1</v>
      </c>
      <c r="DP91" s="25">
        <v>1</v>
      </c>
      <c r="DQ91" s="25">
        <v>1</v>
      </c>
      <c r="DR91" s="25">
        <v>1</v>
      </c>
      <c r="DS91" s="25">
        <v>1</v>
      </c>
      <c r="DT91" s="7">
        <v>1</v>
      </c>
      <c r="DV91" s="65" t="s">
        <v>53</v>
      </c>
      <c r="DW91" s="66" t="s">
        <v>13</v>
      </c>
      <c r="DX91" s="66" t="s">
        <v>14</v>
      </c>
      <c r="DY91" s="66" t="s">
        <v>15</v>
      </c>
      <c r="DZ91" s="66" t="s">
        <v>16</v>
      </c>
      <c r="EA91" s="66" t="s">
        <v>17</v>
      </c>
      <c r="EB91" s="66" t="s">
        <v>59</v>
      </c>
      <c r="EC91" s="67" t="s">
        <v>79</v>
      </c>
      <c r="ED91" s="68" t="s">
        <v>4</v>
      </c>
    </row>
    <row r="92" spans="11:134" ht="16.5">
      <c r="K92" s="22">
        <v>88</v>
      </c>
      <c r="L92" s="98" t="s">
        <v>41</v>
      </c>
      <c r="M92" s="98" t="s">
        <v>35</v>
      </c>
      <c r="N92" s="98" t="s">
        <v>40</v>
      </c>
      <c r="O92" s="98" t="s">
        <v>41</v>
      </c>
      <c r="P92" s="98" t="s">
        <v>39</v>
      </c>
      <c r="Q92" s="98" t="s">
        <v>26</v>
      </c>
      <c r="R92" s="37" t="s">
        <v>78</v>
      </c>
      <c r="T92" s="97">
        <f t="shared" si="53"/>
        <v>12</v>
      </c>
      <c r="U92" s="97">
        <f t="shared" si="54"/>
        <v>4</v>
      </c>
      <c r="V92" s="97">
        <f t="shared" si="55"/>
        <v>11</v>
      </c>
      <c r="W92" s="97">
        <f t="shared" si="56"/>
        <v>12</v>
      </c>
      <c r="X92" s="97">
        <f t="shared" si="57"/>
        <v>10</v>
      </c>
      <c r="Y92" s="97">
        <f t="shared" si="58"/>
        <v>8</v>
      </c>
      <c r="Z92" s="97">
        <f t="shared" si="59"/>
        <v>6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  <c r="BD92" s="22">
        <v>88</v>
      </c>
      <c r="BE92" s="98" t="s">
        <v>41</v>
      </c>
      <c r="BF92" s="98" t="s">
        <v>35</v>
      </c>
      <c r="BG92" s="98" t="s">
        <v>40</v>
      </c>
      <c r="BH92" s="98" t="s">
        <v>41</v>
      </c>
      <c r="BI92" s="98" t="s">
        <v>39</v>
      </c>
      <c r="BJ92" s="98" t="s">
        <v>26</v>
      </c>
      <c r="BK92" s="37" t="s">
        <v>78</v>
      </c>
      <c r="BM92" s="97">
        <f t="shared" si="60"/>
        <v>12</v>
      </c>
      <c r="BN92" s="97">
        <f t="shared" si="61"/>
        <v>4</v>
      </c>
      <c r="BO92" s="97">
        <f t="shared" si="62"/>
        <v>11</v>
      </c>
      <c r="BP92" s="97">
        <f t="shared" si="63"/>
        <v>12</v>
      </c>
      <c r="BQ92" s="97">
        <f t="shared" si="64"/>
        <v>10</v>
      </c>
      <c r="BR92" s="97">
        <f t="shared" si="65"/>
        <v>8</v>
      </c>
      <c r="BS92" s="97">
        <f t="shared" si="66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69" t="s">
        <v>81</v>
      </c>
      <c r="CD92" s="70">
        <v>0</v>
      </c>
      <c r="CE92" s="71">
        <v>0</v>
      </c>
      <c r="CF92" s="71">
        <v>0</v>
      </c>
      <c r="CG92" s="71">
        <v>0</v>
      </c>
      <c r="CH92" s="71">
        <v>0</v>
      </c>
      <c r="CI92" s="71">
        <v>0</v>
      </c>
      <c r="CJ92" s="72">
        <v>0</v>
      </c>
      <c r="CK92" s="73">
        <v>0</v>
      </c>
      <c r="CW92" s="22">
        <v>88</v>
      </c>
      <c r="CX92" s="98" t="s">
        <v>41</v>
      </c>
      <c r="CY92" s="98" t="s">
        <v>35</v>
      </c>
      <c r="CZ92" s="98" t="s">
        <v>40</v>
      </c>
      <c r="DA92" s="98" t="s">
        <v>41</v>
      </c>
      <c r="DB92" s="98" t="s">
        <v>39</v>
      </c>
      <c r="DC92" s="98" t="s">
        <v>26</v>
      </c>
      <c r="DD92" s="37" t="s">
        <v>78</v>
      </c>
      <c r="DF92" s="97">
        <f t="shared" si="67"/>
        <v>12</v>
      </c>
      <c r="DG92" s="97">
        <f t="shared" si="47"/>
        <v>4</v>
      </c>
      <c r="DH92" s="97">
        <f t="shared" si="48"/>
        <v>11</v>
      </c>
      <c r="DI92" s="97">
        <f t="shared" si="49"/>
        <v>12</v>
      </c>
      <c r="DJ92" s="97">
        <f t="shared" si="50"/>
        <v>10</v>
      </c>
      <c r="DK92" s="97">
        <f t="shared" si="51"/>
        <v>8</v>
      </c>
      <c r="DL92" s="97">
        <f t="shared" si="52"/>
        <v>6</v>
      </c>
      <c r="DN92" s="25">
        <v>1</v>
      </c>
      <c r="DO92" s="25">
        <v>1</v>
      </c>
      <c r="DP92" s="25">
        <v>1</v>
      </c>
      <c r="DQ92" s="25">
        <v>1</v>
      </c>
      <c r="DR92" s="25">
        <v>1</v>
      </c>
      <c r="DS92" s="25">
        <v>1</v>
      </c>
      <c r="DT92" s="7">
        <v>1</v>
      </c>
      <c r="DV92" s="69" t="s">
        <v>81</v>
      </c>
      <c r="DW92" s="70">
        <v>0</v>
      </c>
      <c r="DX92" s="71">
        <v>0</v>
      </c>
      <c r="DY92" s="71">
        <v>0</v>
      </c>
      <c r="DZ92" s="71">
        <v>0</v>
      </c>
      <c r="EA92" s="71">
        <v>0</v>
      </c>
      <c r="EB92" s="71">
        <v>0</v>
      </c>
      <c r="EC92" s="72">
        <v>0</v>
      </c>
      <c r="ED92" s="73">
        <v>0</v>
      </c>
    </row>
    <row r="93" spans="11:134" ht="16.5">
      <c r="K93" s="21">
        <v>89</v>
      </c>
      <c r="L93" s="98" t="s">
        <v>40</v>
      </c>
      <c r="M93" s="98" t="s">
        <v>34</v>
      </c>
      <c r="N93" s="98" t="s">
        <v>40</v>
      </c>
      <c r="O93" s="98" t="s">
        <v>41</v>
      </c>
      <c r="P93" s="98" t="s">
        <v>38</v>
      </c>
      <c r="Q93" s="98" t="s">
        <v>26</v>
      </c>
      <c r="R93" s="37" t="s">
        <v>78</v>
      </c>
      <c r="T93" s="97">
        <f t="shared" si="53"/>
        <v>11</v>
      </c>
      <c r="U93" s="97">
        <f t="shared" si="54"/>
        <v>3</v>
      </c>
      <c r="V93" s="97">
        <f t="shared" si="55"/>
        <v>11</v>
      </c>
      <c r="W93" s="97">
        <f t="shared" si="56"/>
        <v>12</v>
      </c>
      <c r="X93" s="97">
        <f t="shared" si="57"/>
        <v>9</v>
      </c>
      <c r="Y93" s="97">
        <f t="shared" si="58"/>
        <v>8</v>
      </c>
      <c r="Z93" s="97">
        <f t="shared" si="59"/>
        <v>6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74" t="s">
        <v>20</v>
      </c>
      <c r="AK93" s="75">
        <v>5</v>
      </c>
      <c r="AL93" s="76">
        <v>5</v>
      </c>
      <c r="AM93" s="76">
        <v>5</v>
      </c>
      <c r="AN93" s="76">
        <v>5</v>
      </c>
      <c r="AO93" s="76">
        <v>5</v>
      </c>
      <c r="AP93" s="76">
        <v>5</v>
      </c>
      <c r="AQ93" s="77">
        <v>0</v>
      </c>
      <c r="AR93" s="78">
        <v>1</v>
      </c>
      <c r="BD93" s="21">
        <v>89</v>
      </c>
      <c r="BE93" s="98" t="s">
        <v>40</v>
      </c>
      <c r="BF93" s="98" t="s">
        <v>34</v>
      </c>
      <c r="BG93" s="98" t="s">
        <v>40</v>
      </c>
      <c r="BH93" s="98" t="s">
        <v>41</v>
      </c>
      <c r="BI93" s="98" t="s">
        <v>38</v>
      </c>
      <c r="BJ93" s="98" t="s">
        <v>26</v>
      </c>
      <c r="BK93" s="37" t="s">
        <v>78</v>
      </c>
      <c r="BM93" s="97">
        <f t="shared" si="60"/>
        <v>11</v>
      </c>
      <c r="BN93" s="97">
        <f t="shared" si="61"/>
        <v>3</v>
      </c>
      <c r="BO93" s="97">
        <f t="shared" si="62"/>
        <v>11</v>
      </c>
      <c r="BP93" s="97">
        <f t="shared" si="63"/>
        <v>12</v>
      </c>
      <c r="BQ93" s="97">
        <f t="shared" si="64"/>
        <v>9</v>
      </c>
      <c r="BR93" s="97">
        <f t="shared" si="65"/>
        <v>8</v>
      </c>
      <c r="BS93" s="97">
        <f t="shared" si="66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74" t="s">
        <v>20</v>
      </c>
      <c r="CD93" s="75">
        <v>5</v>
      </c>
      <c r="CE93" s="76">
        <v>5</v>
      </c>
      <c r="CF93" s="76">
        <v>5</v>
      </c>
      <c r="CG93" s="76">
        <v>5</v>
      </c>
      <c r="CH93" s="76">
        <v>5</v>
      </c>
      <c r="CI93" s="76">
        <v>5</v>
      </c>
      <c r="CJ93" s="77">
        <v>0</v>
      </c>
      <c r="CK93" s="78">
        <v>1</v>
      </c>
      <c r="CW93" s="21">
        <v>89</v>
      </c>
      <c r="CX93" s="98" t="s">
        <v>40</v>
      </c>
      <c r="CY93" s="98" t="s">
        <v>34</v>
      </c>
      <c r="CZ93" s="98" t="s">
        <v>40</v>
      </c>
      <c r="DA93" s="98" t="s">
        <v>41</v>
      </c>
      <c r="DB93" s="98" t="s">
        <v>38</v>
      </c>
      <c r="DC93" s="98" t="s">
        <v>26</v>
      </c>
      <c r="DD93" s="37" t="s">
        <v>78</v>
      </c>
      <c r="DF93" s="97">
        <f t="shared" si="67"/>
        <v>11</v>
      </c>
      <c r="DG93" s="97">
        <f t="shared" si="47"/>
        <v>3</v>
      </c>
      <c r="DH93" s="97">
        <f t="shared" si="48"/>
        <v>11</v>
      </c>
      <c r="DI93" s="97">
        <f t="shared" si="49"/>
        <v>12</v>
      </c>
      <c r="DJ93" s="97">
        <f t="shared" si="50"/>
        <v>9</v>
      </c>
      <c r="DK93" s="97">
        <f t="shared" si="51"/>
        <v>8</v>
      </c>
      <c r="DL93" s="97">
        <f t="shared" si="52"/>
        <v>6</v>
      </c>
      <c r="DN93" s="25">
        <v>1</v>
      </c>
      <c r="DO93" s="25">
        <v>1</v>
      </c>
      <c r="DP93" s="25">
        <v>1</v>
      </c>
      <c r="DQ93" s="25">
        <v>1</v>
      </c>
      <c r="DR93" s="25">
        <v>1</v>
      </c>
      <c r="DS93" s="25">
        <v>1</v>
      </c>
      <c r="DT93" s="7">
        <v>1</v>
      </c>
      <c r="DV93" s="74" t="s">
        <v>20</v>
      </c>
      <c r="DW93" s="75">
        <v>5</v>
      </c>
      <c r="DX93" s="76">
        <v>5</v>
      </c>
      <c r="DY93" s="76">
        <v>5</v>
      </c>
      <c r="DZ93" s="76">
        <v>5</v>
      </c>
      <c r="EA93" s="76">
        <v>5</v>
      </c>
      <c r="EB93" s="76">
        <v>5</v>
      </c>
      <c r="EC93" s="77">
        <v>0</v>
      </c>
      <c r="ED93" s="78">
        <v>1</v>
      </c>
    </row>
    <row r="94" spans="11:134" ht="16.5">
      <c r="K94" s="22">
        <v>90</v>
      </c>
      <c r="L94" s="98" t="s">
        <v>26</v>
      </c>
      <c r="M94" s="98" t="s">
        <v>34</v>
      </c>
      <c r="N94" s="98" t="s">
        <v>36</v>
      </c>
      <c r="O94" s="98" t="s">
        <v>78</v>
      </c>
      <c r="P94" s="98" t="s">
        <v>38</v>
      </c>
      <c r="Q94" s="98" t="s">
        <v>39</v>
      </c>
      <c r="R94" s="37" t="s">
        <v>78</v>
      </c>
      <c r="T94" s="97">
        <f t="shared" si="53"/>
        <v>8</v>
      </c>
      <c r="U94" s="97">
        <f t="shared" si="54"/>
        <v>3</v>
      </c>
      <c r="V94" s="97">
        <f t="shared" si="55"/>
        <v>5</v>
      </c>
      <c r="W94" s="97">
        <f t="shared" si="56"/>
        <v>6</v>
      </c>
      <c r="X94" s="97">
        <f t="shared" si="57"/>
        <v>9</v>
      </c>
      <c r="Y94" s="97">
        <f t="shared" si="58"/>
        <v>10</v>
      </c>
      <c r="Z94" s="97">
        <f t="shared" si="59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74" t="s">
        <v>21</v>
      </c>
      <c r="AK94" s="75">
        <v>20</v>
      </c>
      <c r="AL94" s="76">
        <v>0</v>
      </c>
      <c r="AM94" s="76">
        <v>4</v>
      </c>
      <c r="AN94" s="76">
        <v>1</v>
      </c>
      <c r="AO94" s="76">
        <v>50</v>
      </c>
      <c r="AP94" s="76">
        <v>1</v>
      </c>
      <c r="AQ94" s="77">
        <v>0</v>
      </c>
      <c r="AR94" s="78">
        <v>2</v>
      </c>
      <c r="BD94" s="22">
        <v>90</v>
      </c>
      <c r="BE94" s="98" t="s">
        <v>26</v>
      </c>
      <c r="BF94" s="98" t="s">
        <v>34</v>
      </c>
      <c r="BG94" s="98" t="s">
        <v>36</v>
      </c>
      <c r="BH94" s="98" t="s">
        <v>78</v>
      </c>
      <c r="BI94" s="98" t="s">
        <v>38</v>
      </c>
      <c r="BJ94" s="98" t="s">
        <v>39</v>
      </c>
      <c r="BK94" s="37" t="s">
        <v>78</v>
      </c>
      <c r="BM94" s="97">
        <f t="shared" si="60"/>
        <v>8</v>
      </c>
      <c r="BN94" s="97">
        <f t="shared" si="61"/>
        <v>3</v>
      </c>
      <c r="BO94" s="97">
        <f t="shared" si="62"/>
        <v>5</v>
      </c>
      <c r="BP94" s="97">
        <f t="shared" si="63"/>
        <v>6</v>
      </c>
      <c r="BQ94" s="97">
        <f t="shared" si="64"/>
        <v>9</v>
      </c>
      <c r="BR94" s="97">
        <f t="shared" si="65"/>
        <v>10</v>
      </c>
      <c r="BS94" s="97">
        <f t="shared" si="66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74" t="s">
        <v>21</v>
      </c>
      <c r="CD94" s="75">
        <v>20</v>
      </c>
      <c r="CE94" s="76">
        <v>0</v>
      </c>
      <c r="CF94" s="76">
        <v>4</v>
      </c>
      <c r="CG94" s="76">
        <v>1</v>
      </c>
      <c r="CH94" s="76">
        <v>50</v>
      </c>
      <c r="CI94" s="76">
        <v>1</v>
      </c>
      <c r="CJ94" s="77">
        <v>0</v>
      </c>
      <c r="CK94" s="78">
        <v>2</v>
      </c>
      <c r="CW94" s="22">
        <v>90</v>
      </c>
      <c r="CX94" s="98" t="s">
        <v>26</v>
      </c>
      <c r="CY94" s="98" t="s">
        <v>34</v>
      </c>
      <c r="CZ94" s="98" t="s">
        <v>36</v>
      </c>
      <c r="DA94" s="98" t="s">
        <v>78</v>
      </c>
      <c r="DB94" s="98" t="s">
        <v>38</v>
      </c>
      <c r="DC94" s="98" t="s">
        <v>39</v>
      </c>
      <c r="DD94" s="37" t="s">
        <v>78</v>
      </c>
      <c r="DF94" s="97">
        <f t="shared" si="67"/>
        <v>8</v>
      </c>
      <c r="DG94" s="97">
        <f t="shared" si="47"/>
        <v>3</v>
      </c>
      <c r="DH94" s="97">
        <f t="shared" si="48"/>
        <v>5</v>
      </c>
      <c r="DI94" s="97">
        <f t="shared" si="49"/>
        <v>6</v>
      </c>
      <c r="DJ94" s="97">
        <f t="shared" si="50"/>
        <v>9</v>
      </c>
      <c r="DK94" s="97">
        <f t="shared" si="51"/>
        <v>10</v>
      </c>
      <c r="DL94" s="97">
        <f t="shared" si="52"/>
        <v>6</v>
      </c>
      <c r="DN94" s="25">
        <v>1</v>
      </c>
      <c r="DO94" s="25">
        <v>1</v>
      </c>
      <c r="DP94" s="25">
        <v>1</v>
      </c>
      <c r="DQ94" s="25">
        <v>1</v>
      </c>
      <c r="DR94" s="25">
        <v>1</v>
      </c>
      <c r="DS94" s="25">
        <v>1</v>
      </c>
      <c r="DT94" s="7">
        <v>1</v>
      </c>
      <c r="DV94" s="74" t="s">
        <v>21</v>
      </c>
      <c r="DW94" s="75">
        <v>20</v>
      </c>
      <c r="DX94" s="76">
        <v>0</v>
      </c>
      <c r="DY94" s="76">
        <v>4</v>
      </c>
      <c r="DZ94" s="76">
        <v>1</v>
      </c>
      <c r="EA94" s="76">
        <v>50</v>
      </c>
      <c r="EB94" s="76">
        <v>1</v>
      </c>
      <c r="EC94" s="77">
        <v>0</v>
      </c>
      <c r="ED94" s="78">
        <v>2</v>
      </c>
    </row>
    <row r="95" spans="11:134" ht="16.5">
      <c r="K95" s="21">
        <v>91</v>
      </c>
      <c r="L95" s="98" t="s">
        <v>40</v>
      </c>
      <c r="M95" s="98" t="s">
        <v>26</v>
      </c>
      <c r="N95" s="98" t="s">
        <v>40</v>
      </c>
      <c r="O95" s="98" t="s">
        <v>78</v>
      </c>
      <c r="P95" s="98" t="s">
        <v>203</v>
      </c>
      <c r="Q95" s="98" t="s">
        <v>39</v>
      </c>
      <c r="R95" s="37" t="s">
        <v>41</v>
      </c>
      <c r="T95" s="97">
        <f t="shared" si="53"/>
        <v>11</v>
      </c>
      <c r="U95" s="97">
        <f t="shared" si="54"/>
        <v>8</v>
      </c>
      <c r="V95" s="97">
        <f t="shared" si="55"/>
        <v>11</v>
      </c>
      <c r="W95" s="97">
        <f t="shared" si="56"/>
        <v>6</v>
      </c>
      <c r="X95" s="97">
        <f t="shared" si="57"/>
        <v>20</v>
      </c>
      <c r="Y95" s="97">
        <f t="shared" si="58"/>
        <v>10</v>
      </c>
      <c r="Z95" s="97">
        <f t="shared" si="59"/>
        <v>12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74" t="s">
        <v>22</v>
      </c>
      <c r="AK95" s="75">
        <v>1</v>
      </c>
      <c r="AL95" s="76">
        <v>50</v>
      </c>
      <c r="AM95" s="76">
        <v>1</v>
      </c>
      <c r="AN95" s="76">
        <v>50</v>
      </c>
      <c r="AO95" s="76">
        <v>1</v>
      </c>
      <c r="AP95" s="76">
        <v>1</v>
      </c>
      <c r="AQ95" s="77">
        <v>0</v>
      </c>
      <c r="AR95" s="78">
        <v>3</v>
      </c>
      <c r="BD95" s="21">
        <v>91</v>
      </c>
      <c r="BE95" s="98" t="s">
        <v>40</v>
      </c>
      <c r="BF95" s="98" t="s">
        <v>26</v>
      </c>
      <c r="BG95" s="98" t="s">
        <v>40</v>
      </c>
      <c r="BH95" s="98" t="s">
        <v>78</v>
      </c>
      <c r="BI95" s="98" t="s">
        <v>203</v>
      </c>
      <c r="BJ95" s="98" t="s">
        <v>39</v>
      </c>
      <c r="BK95" s="37" t="s">
        <v>41</v>
      </c>
      <c r="BM95" s="97">
        <f t="shared" si="60"/>
        <v>11</v>
      </c>
      <c r="BN95" s="97">
        <f t="shared" si="61"/>
        <v>8</v>
      </c>
      <c r="BO95" s="97">
        <f t="shared" si="62"/>
        <v>11</v>
      </c>
      <c r="BP95" s="97">
        <f t="shared" si="63"/>
        <v>6</v>
      </c>
      <c r="BQ95" s="97">
        <f t="shared" si="64"/>
        <v>20</v>
      </c>
      <c r="BR95" s="97">
        <f t="shared" si="65"/>
        <v>10</v>
      </c>
      <c r="BS95" s="97">
        <f t="shared" si="66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74" t="s">
        <v>22</v>
      </c>
      <c r="CD95" s="75">
        <v>1</v>
      </c>
      <c r="CE95" s="76">
        <v>50</v>
      </c>
      <c r="CF95" s="76">
        <v>1</v>
      </c>
      <c r="CG95" s="76">
        <v>50</v>
      </c>
      <c r="CH95" s="76">
        <v>1</v>
      </c>
      <c r="CI95" s="76">
        <v>1</v>
      </c>
      <c r="CJ95" s="77">
        <v>0</v>
      </c>
      <c r="CK95" s="78">
        <v>3</v>
      </c>
      <c r="CW95" s="21">
        <v>91</v>
      </c>
      <c r="CX95" s="98" t="s">
        <v>40</v>
      </c>
      <c r="CY95" s="98" t="s">
        <v>26</v>
      </c>
      <c r="CZ95" s="98" t="s">
        <v>40</v>
      </c>
      <c r="DA95" s="98" t="s">
        <v>78</v>
      </c>
      <c r="DB95" s="98" t="s">
        <v>203</v>
      </c>
      <c r="DC95" s="98" t="s">
        <v>39</v>
      </c>
      <c r="DD95" s="37" t="s">
        <v>41</v>
      </c>
      <c r="DF95" s="97">
        <f t="shared" si="67"/>
        <v>11</v>
      </c>
      <c r="DG95" s="97">
        <f t="shared" si="47"/>
        <v>8</v>
      </c>
      <c r="DH95" s="97">
        <f t="shared" si="48"/>
        <v>11</v>
      </c>
      <c r="DI95" s="97">
        <f t="shared" si="49"/>
        <v>6</v>
      </c>
      <c r="DJ95" s="97">
        <f t="shared" si="50"/>
        <v>20</v>
      </c>
      <c r="DK95" s="97">
        <f t="shared" si="51"/>
        <v>10</v>
      </c>
      <c r="DL95" s="97">
        <f t="shared" si="52"/>
        <v>12</v>
      </c>
      <c r="DN95" s="25">
        <v>1</v>
      </c>
      <c r="DO95" s="25">
        <v>1</v>
      </c>
      <c r="DP95" s="25">
        <v>1</v>
      </c>
      <c r="DQ95" s="25">
        <v>1</v>
      </c>
      <c r="DR95" s="25">
        <v>1</v>
      </c>
      <c r="DS95" s="25">
        <v>1</v>
      </c>
      <c r="DT95" s="7">
        <v>1</v>
      </c>
      <c r="DV95" s="74" t="s">
        <v>22</v>
      </c>
      <c r="DW95" s="75">
        <v>1</v>
      </c>
      <c r="DX95" s="76">
        <v>50</v>
      </c>
      <c r="DY95" s="76">
        <v>1</v>
      </c>
      <c r="DZ95" s="76">
        <v>50</v>
      </c>
      <c r="EA95" s="76">
        <v>1</v>
      </c>
      <c r="EB95" s="76">
        <v>1</v>
      </c>
      <c r="EC95" s="77">
        <v>0</v>
      </c>
      <c r="ED95" s="78">
        <v>3</v>
      </c>
    </row>
    <row r="96" spans="11:134" ht="16.5">
      <c r="K96" s="22">
        <v>92</v>
      </c>
      <c r="L96" s="98" t="s">
        <v>78</v>
      </c>
      <c r="M96" s="98" t="s">
        <v>36</v>
      </c>
      <c r="N96" s="98" t="s">
        <v>40</v>
      </c>
      <c r="O96" s="98" t="s">
        <v>78</v>
      </c>
      <c r="P96" s="98" t="s">
        <v>40</v>
      </c>
      <c r="Q96" s="98" t="s">
        <v>78</v>
      </c>
      <c r="R96" s="37" t="s">
        <v>41</v>
      </c>
      <c r="T96" s="97">
        <f t="shared" si="53"/>
        <v>6</v>
      </c>
      <c r="U96" s="97">
        <f t="shared" si="54"/>
        <v>5</v>
      </c>
      <c r="V96" s="97">
        <f t="shared" si="55"/>
        <v>11</v>
      </c>
      <c r="W96" s="97">
        <f t="shared" si="56"/>
        <v>6</v>
      </c>
      <c r="X96" s="97">
        <f t="shared" si="57"/>
        <v>11</v>
      </c>
      <c r="Y96" s="97">
        <f t="shared" si="58"/>
        <v>6</v>
      </c>
      <c r="Z96" s="97">
        <f t="shared" si="59"/>
        <v>12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74" t="s">
        <v>18</v>
      </c>
      <c r="AK96" s="75">
        <v>50</v>
      </c>
      <c r="AL96" s="76">
        <v>1</v>
      </c>
      <c r="AM96" s="76">
        <v>60</v>
      </c>
      <c r="AN96" s="76">
        <v>0</v>
      </c>
      <c r="AO96" s="76">
        <v>1</v>
      </c>
      <c r="AP96" s="76">
        <v>50</v>
      </c>
      <c r="AQ96" s="77">
        <v>1</v>
      </c>
      <c r="AR96" s="78">
        <v>4</v>
      </c>
      <c r="BD96" s="22">
        <v>92</v>
      </c>
      <c r="BE96" s="98" t="s">
        <v>78</v>
      </c>
      <c r="BF96" s="98" t="s">
        <v>78</v>
      </c>
      <c r="BG96" s="98" t="s">
        <v>40</v>
      </c>
      <c r="BH96" s="98" t="s">
        <v>78</v>
      </c>
      <c r="BI96" s="98" t="s">
        <v>40</v>
      </c>
      <c r="BJ96" s="98" t="s">
        <v>78</v>
      </c>
      <c r="BK96" s="37" t="s">
        <v>41</v>
      </c>
      <c r="BM96" s="97">
        <f t="shared" si="60"/>
        <v>6</v>
      </c>
      <c r="BN96" s="97">
        <f t="shared" si="61"/>
        <v>6</v>
      </c>
      <c r="BO96" s="97">
        <f t="shared" si="62"/>
        <v>11</v>
      </c>
      <c r="BP96" s="97">
        <f t="shared" si="63"/>
        <v>6</v>
      </c>
      <c r="BQ96" s="97">
        <f t="shared" si="64"/>
        <v>11</v>
      </c>
      <c r="BR96" s="97">
        <f t="shared" si="65"/>
        <v>6</v>
      </c>
      <c r="BS96" s="97">
        <f t="shared" si="66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74" t="s">
        <v>18</v>
      </c>
      <c r="CD96" s="75">
        <v>50</v>
      </c>
      <c r="CE96" s="76">
        <v>1</v>
      </c>
      <c r="CF96" s="76">
        <v>60</v>
      </c>
      <c r="CG96" s="76">
        <v>0</v>
      </c>
      <c r="CH96" s="76">
        <v>1</v>
      </c>
      <c r="CI96" s="76">
        <v>50</v>
      </c>
      <c r="CJ96" s="77">
        <v>1</v>
      </c>
      <c r="CK96" s="78">
        <v>4</v>
      </c>
      <c r="CW96" s="22">
        <v>92</v>
      </c>
      <c r="CX96" s="98" t="s">
        <v>78</v>
      </c>
      <c r="CY96" s="98" t="s">
        <v>78</v>
      </c>
      <c r="CZ96" s="98" t="s">
        <v>40</v>
      </c>
      <c r="DA96" s="98" t="s">
        <v>78</v>
      </c>
      <c r="DB96" s="98" t="s">
        <v>40</v>
      </c>
      <c r="DC96" s="98" t="s">
        <v>78</v>
      </c>
      <c r="DD96" s="37" t="s">
        <v>41</v>
      </c>
      <c r="DF96" s="97">
        <f t="shared" si="67"/>
        <v>6</v>
      </c>
      <c r="DG96" s="97">
        <f t="shared" si="47"/>
        <v>6</v>
      </c>
      <c r="DH96" s="97">
        <f t="shared" si="48"/>
        <v>11</v>
      </c>
      <c r="DI96" s="97">
        <f t="shared" si="49"/>
        <v>6</v>
      </c>
      <c r="DJ96" s="97">
        <f t="shared" si="50"/>
        <v>11</v>
      </c>
      <c r="DK96" s="97">
        <f t="shared" si="51"/>
        <v>6</v>
      </c>
      <c r="DL96" s="97">
        <f t="shared" si="52"/>
        <v>12</v>
      </c>
      <c r="DN96" s="25">
        <v>1</v>
      </c>
      <c r="DO96" s="25">
        <v>1</v>
      </c>
      <c r="DP96" s="25">
        <v>1</v>
      </c>
      <c r="DQ96" s="25">
        <v>1</v>
      </c>
      <c r="DR96" s="25">
        <v>1</v>
      </c>
      <c r="DS96" s="25">
        <v>1</v>
      </c>
      <c r="DT96" s="7">
        <v>1</v>
      </c>
      <c r="DV96" s="74" t="s">
        <v>18</v>
      </c>
      <c r="DW96" s="75">
        <v>50</v>
      </c>
      <c r="DX96" s="76">
        <v>1</v>
      </c>
      <c r="DY96" s="76">
        <v>60</v>
      </c>
      <c r="DZ96" s="76">
        <v>0</v>
      </c>
      <c r="EA96" s="76">
        <v>1</v>
      </c>
      <c r="EB96" s="76">
        <v>50</v>
      </c>
      <c r="EC96" s="77">
        <v>1</v>
      </c>
      <c r="ED96" s="78">
        <v>4</v>
      </c>
    </row>
    <row r="97" spans="11:134" ht="16.5">
      <c r="K97" s="21">
        <v>93</v>
      </c>
      <c r="L97" s="98" t="s">
        <v>26</v>
      </c>
      <c r="M97" s="98" t="s">
        <v>36</v>
      </c>
      <c r="N97" s="98" t="s">
        <v>41</v>
      </c>
      <c r="O97" s="98" t="s">
        <v>41</v>
      </c>
      <c r="P97" s="98" t="s">
        <v>38</v>
      </c>
      <c r="Q97" s="98" t="s">
        <v>78</v>
      </c>
      <c r="R97" s="37" t="s">
        <v>41</v>
      </c>
      <c r="T97" s="97">
        <f t="shared" si="53"/>
        <v>8</v>
      </c>
      <c r="U97" s="97">
        <f t="shared" si="54"/>
        <v>5</v>
      </c>
      <c r="V97" s="97">
        <f t="shared" si="55"/>
        <v>12</v>
      </c>
      <c r="W97" s="97">
        <f t="shared" si="56"/>
        <v>12</v>
      </c>
      <c r="X97" s="97">
        <f t="shared" si="57"/>
        <v>9</v>
      </c>
      <c r="Y97" s="97">
        <f t="shared" si="58"/>
        <v>6</v>
      </c>
      <c r="Z97" s="97">
        <f t="shared" si="59"/>
        <v>12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74" t="s">
        <v>19</v>
      </c>
      <c r="AK97" s="75">
        <v>1</v>
      </c>
      <c r="AL97" s="76">
        <v>50</v>
      </c>
      <c r="AM97" s="76">
        <v>1</v>
      </c>
      <c r="AN97" s="76">
        <v>1</v>
      </c>
      <c r="AO97" s="76">
        <v>1</v>
      </c>
      <c r="AP97" s="76">
        <v>50</v>
      </c>
      <c r="AQ97" s="77">
        <v>1</v>
      </c>
      <c r="AR97" s="78">
        <v>5</v>
      </c>
      <c r="BD97" s="21">
        <v>93</v>
      </c>
      <c r="BE97" s="98" t="s">
        <v>26</v>
      </c>
      <c r="BF97" s="98" t="s">
        <v>36</v>
      </c>
      <c r="BG97" s="98" t="s">
        <v>41</v>
      </c>
      <c r="BH97" s="98" t="s">
        <v>41</v>
      </c>
      <c r="BI97" s="98" t="s">
        <v>38</v>
      </c>
      <c r="BJ97" s="98" t="s">
        <v>78</v>
      </c>
      <c r="BK97" s="37" t="s">
        <v>41</v>
      </c>
      <c r="BM97" s="97">
        <f t="shared" si="60"/>
        <v>8</v>
      </c>
      <c r="BN97" s="97">
        <f t="shared" si="61"/>
        <v>5</v>
      </c>
      <c r="BO97" s="97">
        <f t="shared" si="62"/>
        <v>12</v>
      </c>
      <c r="BP97" s="97">
        <f t="shared" si="63"/>
        <v>12</v>
      </c>
      <c r="BQ97" s="97">
        <f t="shared" si="64"/>
        <v>9</v>
      </c>
      <c r="BR97" s="97">
        <f t="shared" si="65"/>
        <v>6</v>
      </c>
      <c r="BS97" s="97">
        <f t="shared" si="66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74" t="s">
        <v>19</v>
      </c>
      <c r="CD97" s="75">
        <v>1</v>
      </c>
      <c r="CE97" s="76">
        <v>50</v>
      </c>
      <c r="CF97" s="76">
        <v>1</v>
      </c>
      <c r="CG97" s="76">
        <v>1</v>
      </c>
      <c r="CH97" s="76">
        <v>1</v>
      </c>
      <c r="CI97" s="76">
        <v>50</v>
      </c>
      <c r="CJ97" s="77">
        <v>1</v>
      </c>
      <c r="CK97" s="78">
        <v>5</v>
      </c>
      <c r="CW97" s="21">
        <v>93</v>
      </c>
      <c r="CX97" s="98" t="s">
        <v>26</v>
      </c>
      <c r="CY97" s="98" t="s">
        <v>36</v>
      </c>
      <c r="CZ97" s="98" t="s">
        <v>41</v>
      </c>
      <c r="DA97" s="98" t="s">
        <v>41</v>
      </c>
      <c r="DB97" s="98" t="s">
        <v>38</v>
      </c>
      <c r="DC97" s="98" t="s">
        <v>78</v>
      </c>
      <c r="DD97" s="37" t="s">
        <v>41</v>
      </c>
      <c r="DF97" s="97">
        <f t="shared" si="67"/>
        <v>8</v>
      </c>
      <c r="DG97" s="97">
        <f t="shared" si="47"/>
        <v>5</v>
      </c>
      <c r="DH97" s="97">
        <f t="shared" si="48"/>
        <v>12</v>
      </c>
      <c r="DI97" s="97">
        <f t="shared" si="49"/>
        <v>12</v>
      </c>
      <c r="DJ97" s="97">
        <f t="shared" si="50"/>
        <v>9</v>
      </c>
      <c r="DK97" s="97">
        <f t="shared" si="51"/>
        <v>6</v>
      </c>
      <c r="DL97" s="97">
        <f t="shared" si="52"/>
        <v>12</v>
      </c>
      <c r="DN97" s="25">
        <v>1</v>
      </c>
      <c r="DO97" s="25">
        <v>1</v>
      </c>
      <c r="DP97" s="25">
        <v>1</v>
      </c>
      <c r="DQ97" s="25">
        <v>1</v>
      </c>
      <c r="DR97" s="25">
        <v>1</v>
      </c>
      <c r="DS97" s="25">
        <v>1</v>
      </c>
      <c r="DT97" s="7">
        <v>1</v>
      </c>
      <c r="DV97" s="74" t="s">
        <v>19</v>
      </c>
      <c r="DW97" s="75">
        <v>1</v>
      </c>
      <c r="DX97" s="76">
        <v>50</v>
      </c>
      <c r="DY97" s="76">
        <v>1</v>
      </c>
      <c r="DZ97" s="76">
        <v>1</v>
      </c>
      <c r="EA97" s="76">
        <v>1</v>
      </c>
      <c r="EB97" s="76">
        <v>50</v>
      </c>
      <c r="EC97" s="77">
        <v>1</v>
      </c>
      <c r="ED97" s="78">
        <v>5</v>
      </c>
    </row>
    <row r="98" spans="11:134" ht="16.5">
      <c r="K98" s="22">
        <v>94</v>
      </c>
      <c r="L98" s="98" t="s">
        <v>38</v>
      </c>
      <c r="M98" s="98" t="s">
        <v>100</v>
      </c>
      <c r="N98" s="98" t="s">
        <v>40</v>
      </c>
      <c r="O98" s="98" t="s">
        <v>41</v>
      </c>
      <c r="P98" s="98" t="s">
        <v>38</v>
      </c>
      <c r="Q98" s="98" t="s">
        <v>78</v>
      </c>
      <c r="R98" s="37" t="s">
        <v>40</v>
      </c>
      <c r="T98" s="97">
        <f t="shared" si="53"/>
        <v>9</v>
      </c>
      <c r="U98" s="97">
        <f t="shared" si="54"/>
        <v>14</v>
      </c>
      <c r="V98" s="97">
        <f t="shared" si="55"/>
        <v>11</v>
      </c>
      <c r="W98" s="97">
        <f t="shared" si="56"/>
        <v>12</v>
      </c>
      <c r="X98" s="97">
        <f t="shared" si="57"/>
        <v>9</v>
      </c>
      <c r="Y98" s="97">
        <f t="shared" si="58"/>
        <v>6</v>
      </c>
      <c r="Z98" s="97">
        <f t="shared" si="59"/>
        <v>11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74" t="s">
        <v>77</v>
      </c>
      <c r="AK98" s="75">
        <v>60</v>
      </c>
      <c r="AL98" s="76">
        <v>1</v>
      </c>
      <c r="AM98" s="76">
        <v>50</v>
      </c>
      <c r="AN98" s="76">
        <v>1</v>
      </c>
      <c r="AO98" s="76">
        <v>50</v>
      </c>
      <c r="AP98" s="76">
        <v>1</v>
      </c>
      <c r="AQ98" s="77">
        <v>1</v>
      </c>
      <c r="AR98" s="78">
        <v>6</v>
      </c>
      <c r="BD98" s="22">
        <v>94</v>
      </c>
      <c r="BE98" s="98" t="s">
        <v>38</v>
      </c>
      <c r="BF98" s="98" t="s">
        <v>100</v>
      </c>
      <c r="BG98" s="98" t="s">
        <v>40</v>
      </c>
      <c r="BH98" s="98" t="s">
        <v>41</v>
      </c>
      <c r="BI98" s="98" t="s">
        <v>38</v>
      </c>
      <c r="BJ98" s="98" t="s">
        <v>78</v>
      </c>
      <c r="BK98" s="37" t="s">
        <v>40</v>
      </c>
      <c r="BM98" s="97">
        <f t="shared" si="60"/>
        <v>9</v>
      </c>
      <c r="BN98" s="97">
        <f t="shared" si="61"/>
        <v>14</v>
      </c>
      <c r="BO98" s="97">
        <f t="shared" si="62"/>
        <v>11</v>
      </c>
      <c r="BP98" s="97">
        <f t="shared" si="63"/>
        <v>12</v>
      </c>
      <c r="BQ98" s="97">
        <f t="shared" si="64"/>
        <v>9</v>
      </c>
      <c r="BR98" s="97">
        <f t="shared" si="65"/>
        <v>6</v>
      </c>
      <c r="BS98" s="97">
        <f t="shared" si="66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74" t="s">
        <v>77</v>
      </c>
      <c r="CD98" s="75">
        <v>60</v>
      </c>
      <c r="CE98" s="76">
        <v>1</v>
      </c>
      <c r="CF98" s="76">
        <v>50</v>
      </c>
      <c r="CG98" s="76">
        <v>1</v>
      </c>
      <c r="CH98" s="76">
        <v>50</v>
      </c>
      <c r="CI98" s="76">
        <v>1</v>
      </c>
      <c r="CJ98" s="77">
        <v>1</v>
      </c>
      <c r="CK98" s="78">
        <v>6</v>
      </c>
      <c r="CW98" s="22">
        <v>94</v>
      </c>
      <c r="CX98" s="98" t="s">
        <v>38</v>
      </c>
      <c r="CY98" s="98" t="s">
        <v>100</v>
      </c>
      <c r="CZ98" s="98" t="s">
        <v>40</v>
      </c>
      <c r="DA98" s="98" t="s">
        <v>41</v>
      </c>
      <c r="DB98" s="98" t="s">
        <v>38</v>
      </c>
      <c r="DC98" s="98" t="s">
        <v>78</v>
      </c>
      <c r="DD98" s="37" t="s">
        <v>40</v>
      </c>
      <c r="DF98" s="97">
        <f t="shared" si="67"/>
        <v>9</v>
      </c>
      <c r="DG98" s="97">
        <f t="shared" si="47"/>
        <v>14</v>
      </c>
      <c r="DH98" s="97">
        <f t="shared" si="48"/>
        <v>11</v>
      </c>
      <c r="DI98" s="97">
        <f t="shared" si="49"/>
        <v>12</v>
      </c>
      <c r="DJ98" s="97">
        <f t="shared" si="50"/>
        <v>9</v>
      </c>
      <c r="DK98" s="97">
        <f t="shared" si="51"/>
        <v>6</v>
      </c>
      <c r="DL98" s="97">
        <f t="shared" si="52"/>
        <v>11</v>
      </c>
      <c r="DN98" s="25">
        <v>1</v>
      </c>
      <c r="DO98" s="25">
        <v>1</v>
      </c>
      <c r="DP98" s="25">
        <v>1</v>
      </c>
      <c r="DQ98" s="25">
        <v>1</v>
      </c>
      <c r="DR98" s="25">
        <v>1</v>
      </c>
      <c r="DS98" s="25">
        <v>1</v>
      </c>
      <c r="DT98" s="7">
        <v>1</v>
      </c>
      <c r="DV98" s="74" t="s">
        <v>77</v>
      </c>
      <c r="DW98" s="75">
        <v>60</v>
      </c>
      <c r="DX98" s="76">
        <v>1</v>
      </c>
      <c r="DY98" s="76">
        <v>50</v>
      </c>
      <c r="DZ98" s="76">
        <v>1</v>
      </c>
      <c r="EA98" s="76">
        <v>50</v>
      </c>
      <c r="EB98" s="76">
        <v>1</v>
      </c>
      <c r="EC98" s="77">
        <v>1</v>
      </c>
      <c r="ED98" s="78">
        <v>6</v>
      </c>
    </row>
    <row r="99" spans="11:134" ht="16.5">
      <c r="K99" s="21">
        <v>95</v>
      </c>
      <c r="L99" s="98" t="s">
        <v>38</v>
      </c>
      <c r="M99" s="98" t="s">
        <v>78</v>
      </c>
      <c r="N99" s="98" t="s">
        <v>40</v>
      </c>
      <c r="O99" s="98" t="s">
        <v>177</v>
      </c>
      <c r="P99" s="98" t="s">
        <v>38</v>
      </c>
      <c r="Q99" s="98" t="s">
        <v>41</v>
      </c>
      <c r="R99" s="37" t="s">
        <v>40</v>
      </c>
      <c r="T99" s="97">
        <f t="shared" si="53"/>
        <v>9</v>
      </c>
      <c r="U99" s="97">
        <f t="shared" si="54"/>
        <v>6</v>
      </c>
      <c r="V99" s="97">
        <f t="shared" si="55"/>
        <v>11</v>
      </c>
      <c r="W99" s="97">
        <f t="shared" si="56"/>
        <v>18</v>
      </c>
      <c r="X99" s="97">
        <f t="shared" si="57"/>
        <v>9</v>
      </c>
      <c r="Y99" s="97">
        <f t="shared" si="58"/>
        <v>12</v>
      </c>
      <c r="Z99" s="97">
        <f t="shared" si="59"/>
        <v>11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74" t="s">
        <v>162</v>
      </c>
      <c r="AK99" s="75">
        <v>1</v>
      </c>
      <c r="AL99" s="76">
        <v>50</v>
      </c>
      <c r="AM99" s="76">
        <v>1</v>
      </c>
      <c r="AN99" s="76">
        <v>1</v>
      </c>
      <c r="AO99" s="76">
        <v>1</v>
      </c>
      <c r="AP99" s="76">
        <v>50</v>
      </c>
      <c r="AQ99" s="77">
        <v>1</v>
      </c>
      <c r="AR99" s="78">
        <v>7</v>
      </c>
      <c r="BD99" s="21">
        <v>95</v>
      </c>
      <c r="BE99" s="98" t="s">
        <v>38</v>
      </c>
      <c r="BF99" s="98" t="s">
        <v>78</v>
      </c>
      <c r="BG99" s="98" t="s">
        <v>40</v>
      </c>
      <c r="BH99" s="98" t="s">
        <v>177</v>
      </c>
      <c r="BI99" s="98" t="s">
        <v>38</v>
      </c>
      <c r="BJ99" s="98" t="s">
        <v>41</v>
      </c>
      <c r="BK99" s="37" t="s">
        <v>40</v>
      </c>
      <c r="BM99" s="97">
        <f t="shared" si="60"/>
        <v>9</v>
      </c>
      <c r="BN99" s="97">
        <f t="shared" si="61"/>
        <v>6</v>
      </c>
      <c r="BO99" s="97">
        <f t="shared" si="62"/>
        <v>11</v>
      </c>
      <c r="BP99" s="97">
        <f t="shared" si="63"/>
        <v>18</v>
      </c>
      <c r="BQ99" s="97">
        <f t="shared" si="64"/>
        <v>9</v>
      </c>
      <c r="BR99" s="97">
        <f t="shared" si="65"/>
        <v>12</v>
      </c>
      <c r="BS99" s="97">
        <f t="shared" si="66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74" t="s">
        <v>162</v>
      </c>
      <c r="CD99" s="75">
        <v>1</v>
      </c>
      <c r="CE99" s="76">
        <v>50</v>
      </c>
      <c r="CF99" s="76">
        <v>1</v>
      </c>
      <c r="CG99" s="76">
        <v>1</v>
      </c>
      <c r="CH99" s="76">
        <v>1</v>
      </c>
      <c r="CI99" s="76">
        <v>50</v>
      </c>
      <c r="CJ99" s="77">
        <v>1</v>
      </c>
      <c r="CK99" s="78">
        <v>7</v>
      </c>
      <c r="CW99" s="21">
        <v>95</v>
      </c>
      <c r="CX99" s="98" t="s">
        <v>38</v>
      </c>
      <c r="CY99" s="98" t="s">
        <v>78</v>
      </c>
      <c r="CZ99" s="98" t="s">
        <v>40</v>
      </c>
      <c r="DA99" s="98" t="s">
        <v>177</v>
      </c>
      <c r="DB99" s="98" t="s">
        <v>38</v>
      </c>
      <c r="DC99" s="98" t="s">
        <v>41</v>
      </c>
      <c r="DD99" s="37" t="s">
        <v>40</v>
      </c>
      <c r="DF99" s="97">
        <f t="shared" si="67"/>
        <v>9</v>
      </c>
      <c r="DG99" s="97">
        <f t="shared" si="47"/>
        <v>6</v>
      </c>
      <c r="DH99" s="97">
        <f t="shared" si="48"/>
        <v>11</v>
      </c>
      <c r="DI99" s="97">
        <f t="shared" si="49"/>
        <v>18</v>
      </c>
      <c r="DJ99" s="97">
        <f t="shared" si="50"/>
        <v>9</v>
      </c>
      <c r="DK99" s="97">
        <f t="shared" si="51"/>
        <v>12</v>
      </c>
      <c r="DL99" s="97">
        <f t="shared" si="52"/>
        <v>11</v>
      </c>
      <c r="DN99" s="25">
        <v>1</v>
      </c>
      <c r="DO99" s="25">
        <v>1</v>
      </c>
      <c r="DP99" s="25">
        <v>1</v>
      </c>
      <c r="DQ99" s="25">
        <v>1</v>
      </c>
      <c r="DR99" s="25">
        <v>1</v>
      </c>
      <c r="DS99" s="25">
        <v>1</v>
      </c>
      <c r="DT99" s="7">
        <v>1</v>
      </c>
      <c r="DV99" s="74" t="s">
        <v>162</v>
      </c>
      <c r="DW99" s="75">
        <v>1</v>
      </c>
      <c r="DX99" s="76">
        <v>50</v>
      </c>
      <c r="DY99" s="76">
        <v>1</v>
      </c>
      <c r="DZ99" s="76">
        <v>1</v>
      </c>
      <c r="EA99" s="76">
        <v>1</v>
      </c>
      <c r="EB99" s="76">
        <v>50</v>
      </c>
      <c r="EC99" s="77">
        <v>1</v>
      </c>
      <c r="ED99" s="78">
        <v>7</v>
      </c>
    </row>
    <row r="100" spans="11:134" ht="16.5">
      <c r="K100" s="22">
        <v>96</v>
      </c>
      <c r="L100" s="98" t="s">
        <v>39</v>
      </c>
      <c r="M100" s="98" t="s">
        <v>78</v>
      </c>
      <c r="N100" s="98" t="s">
        <v>40</v>
      </c>
      <c r="O100" s="98" t="s">
        <v>163</v>
      </c>
      <c r="P100" s="98" t="s">
        <v>163</v>
      </c>
      <c r="Q100" s="98" t="s">
        <v>36</v>
      </c>
      <c r="R100" s="37" t="s">
        <v>40</v>
      </c>
      <c r="T100" s="97">
        <f t="shared" si="53"/>
        <v>10</v>
      </c>
      <c r="U100" s="97">
        <f t="shared" si="54"/>
        <v>6</v>
      </c>
      <c r="V100" s="97">
        <f t="shared" si="55"/>
        <v>11</v>
      </c>
      <c r="W100" s="97">
        <f t="shared" si="56"/>
        <v>7</v>
      </c>
      <c r="X100" s="97">
        <f t="shared" si="57"/>
        <v>7</v>
      </c>
      <c r="Y100" s="97">
        <f t="shared" si="58"/>
        <v>5</v>
      </c>
      <c r="Z100" s="97">
        <f t="shared" si="59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74" t="s">
        <v>25</v>
      </c>
      <c r="AK100" s="75">
        <v>0</v>
      </c>
      <c r="AL100" s="76">
        <v>1</v>
      </c>
      <c r="AM100" s="76">
        <v>40</v>
      </c>
      <c r="AN100" s="76">
        <v>1</v>
      </c>
      <c r="AO100" s="76">
        <v>50</v>
      </c>
      <c r="AP100" s="76">
        <v>1</v>
      </c>
      <c r="AQ100" s="77">
        <v>1</v>
      </c>
      <c r="AR100" s="78">
        <v>8</v>
      </c>
      <c r="BD100" s="22">
        <v>96</v>
      </c>
      <c r="BE100" s="98" t="s">
        <v>39</v>
      </c>
      <c r="BF100" s="98" t="s">
        <v>78</v>
      </c>
      <c r="BG100" s="98" t="s">
        <v>40</v>
      </c>
      <c r="BH100" s="98" t="s">
        <v>163</v>
      </c>
      <c r="BI100" s="98" t="s">
        <v>163</v>
      </c>
      <c r="BJ100" s="98" t="s">
        <v>36</v>
      </c>
      <c r="BK100" s="37" t="s">
        <v>40</v>
      </c>
      <c r="BM100" s="97">
        <f t="shared" si="60"/>
        <v>10</v>
      </c>
      <c r="BN100" s="97">
        <f t="shared" si="61"/>
        <v>6</v>
      </c>
      <c r="BO100" s="97">
        <f t="shared" si="62"/>
        <v>11</v>
      </c>
      <c r="BP100" s="97">
        <f t="shared" si="63"/>
        <v>7</v>
      </c>
      <c r="BQ100" s="97">
        <f t="shared" si="64"/>
        <v>7</v>
      </c>
      <c r="BR100" s="97">
        <f t="shared" si="65"/>
        <v>5</v>
      </c>
      <c r="BS100" s="97">
        <f t="shared" si="66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74" t="s">
        <v>25</v>
      </c>
      <c r="CD100" s="75">
        <v>0</v>
      </c>
      <c r="CE100" s="76">
        <v>1</v>
      </c>
      <c r="CF100" s="76">
        <v>40</v>
      </c>
      <c r="CG100" s="76">
        <v>1</v>
      </c>
      <c r="CH100" s="76">
        <v>50</v>
      </c>
      <c r="CI100" s="76">
        <v>1</v>
      </c>
      <c r="CJ100" s="77">
        <v>1</v>
      </c>
      <c r="CK100" s="78">
        <v>8</v>
      </c>
      <c r="CW100" s="22">
        <v>96</v>
      </c>
      <c r="CX100" s="98" t="s">
        <v>39</v>
      </c>
      <c r="CY100" s="98" t="s">
        <v>78</v>
      </c>
      <c r="CZ100" s="98" t="s">
        <v>40</v>
      </c>
      <c r="DA100" s="98" t="s">
        <v>163</v>
      </c>
      <c r="DB100" s="98" t="s">
        <v>163</v>
      </c>
      <c r="DC100" s="98" t="s">
        <v>36</v>
      </c>
      <c r="DD100" s="37" t="s">
        <v>40</v>
      </c>
      <c r="DF100" s="97">
        <f t="shared" si="67"/>
        <v>10</v>
      </c>
      <c r="DG100" s="97">
        <f t="shared" si="47"/>
        <v>6</v>
      </c>
      <c r="DH100" s="97">
        <f t="shared" si="48"/>
        <v>11</v>
      </c>
      <c r="DI100" s="97">
        <f t="shared" si="49"/>
        <v>7</v>
      </c>
      <c r="DJ100" s="97">
        <f t="shared" si="50"/>
        <v>7</v>
      </c>
      <c r="DK100" s="97">
        <f t="shared" si="51"/>
        <v>5</v>
      </c>
      <c r="DL100" s="97">
        <f t="shared" si="52"/>
        <v>11</v>
      </c>
      <c r="DN100" s="25">
        <v>1</v>
      </c>
      <c r="DO100" s="25">
        <v>1</v>
      </c>
      <c r="DP100" s="25">
        <v>1</v>
      </c>
      <c r="DQ100" s="25">
        <v>1</v>
      </c>
      <c r="DR100" s="25">
        <v>1</v>
      </c>
      <c r="DS100" s="25">
        <v>1</v>
      </c>
      <c r="DT100" s="7">
        <v>1</v>
      </c>
      <c r="DV100" s="74" t="s">
        <v>25</v>
      </c>
      <c r="DW100" s="75">
        <v>0</v>
      </c>
      <c r="DX100" s="76">
        <v>1</v>
      </c>
      <c r="DY100" s="76">
        <v>40</v>
      </c>
      <c r="DZ100" s="76">
        <v>1</v>
      </c>
      <c r="EA100" s="76">
        <v>50</v>
      </c>
      <c r="EB100" s="76">
        <v>1</v>
      </c>
      <c r="EC100" s="77">
        <v>1</v>
      </c>
      <c r="ED100" s="78">
        <v>8</v>
      </c>
    </row>
    <row r="101" spans="11:134" ht="16.5">
      <c r="K101" s="21">
        <v>97</v>
      </c>
      <c r="L101" s="98" t="s">
        <v>41</v>
      </c>
      <c r="M101" s="98" t="s">
        <v>35</v>
      </c>
      <c r="N101" s="98" t="s">
        <v>163</v>
      </c>
      <c r="O101" s="98" t="s">
        <v>163</v>
      </c>
      <c r="P101" s="98" t="s">
        <v>36</v>
      </c>
      <c r="Q101" s="98" t="s">
        <v>36</v>
      </c>
      <c r="R101" s="37" t="s">
        <v>41</v>
      </c>
      <c r="T101" s="97">
        <f t="shared" si="53"/>
        <v>12</v>
      </c>
      <c r="U101" s="97">
        <f t="shared" si="54"/>
        <v>4</v>
      </c>
      <c r="V101" s="97">
        <f t="shared" si="55"/>
        <v>7</v>
      </c>
      <c r="W101" s="97">
        <f t="shared" si="56"/>
        <v>7</v>
      </c>
      <c r="X101" s="97">
        <f t="shared" si="57"/>
        <v>5</v>
      </c>
      <c r="Y101" s="97">
        <f t="shared" si="58"/>
        <v>5</v>
      </c>
      <c r="Z101" s="97">
        <f t="shared" si="59"/>
        <v>12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74" t="s">
        <v>27</v>
      </c>
      <c r="AK101" s="75">
        <v>1</v>
      </c>
      <c r="AL101" s="76">
        <v>1</v>
      </c>
      <c r="AM101" s="76">
        <v>1</v>
      </c>
      <c r="AN101" s="76">
        <v>50</v>
      </c>
      <c r="AO101" s="76">
        <v>1</v>
      </c>
      <c r="AP101" s="76">
        <v>50</v>
      </c>
      <c r="AQ101" s="77">
        <v>1</v>
      </c>
      <c r="AR101" s="78">
        <v>9</v>
      </c>
      <c r="BD101" s="21">
        <v>97</v>
      </c>
      <c r="BE101" s="98" t="s">
        <v>41</v>
      </c>
      <c r="BF101" s="98" t="s">
        <v>34</v>
      </c>
      <c r="BG101" s="98" t="s">
        <v>26</v>
      </c>
      <c r="BH101" s="98" t="s">
        <v>163</v>
      </c>
      <c r="BI101" s="98" t="s">
        <v>36</v>
      </c>
      <c r="BJ101" s="98" t="s">
        <v>36</v>
      </c>
      <c r="BK101" s="37" t="s">
        <v>41</v>
      </c>
      <c r="BM101" s="97">
        <f t="shared" si="60"/>
        <v>12</v>
      </c>
      <c r="BN101" s="97">
        <f t="shared" si="61"/>
        <v>3</v>
      </c>
      <c r="BO101" s="97">
        <f t="shared" si="62"/>
        <v>8</v>
      </c>
      <c r="BP101" s="97">
        <f t="shared" si="63"/>
        <v>7</v>
      </c>
      <c r="BQ101" s="97">
        <f t="shared" si="64"/>
        <v>5</v>
      </c>
      <c r="BR101" s="97">
        <f t="shared" si="65"/>
        <v>5</v>
      </c>
      <c r="BS101" s="97">
        <f t="shared" si="66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74" t="s">
        <v>27</v>
      </c>
      <c r="CD101" s="75">
        <v>1</v>
      </c>
      <c r="CE101" s="76">
        <v>1</v>
      </c>
      <c r="CF101" s="76">
        <v>1</v>
      </c>
      <c r="CG101" s="76">
        <v>50</v>
      </c>
      <c r="CH101" s="76">
        <v>1</v>
      </c>
      <c r="CI101" s="76">
        <v>50</v>
      </c>
      <c r="CJ101" s="77">
        <v>1</v>
      </c>
      <c r="CK101" s="78">
        <v>9</v>
      </c>
      <c r="CW101" s="21">
        <v>97</v>
      </c>
      <c r="CX101" s="98" t="s">
        <v>41</v>
      </c>
      <c r="CY101" s="98" t="s">
        <v>34</v>
      </c>
      <c r="CZ101" s="98" t="s">
        <v>26</v>
      </c>
      <c r="DA101" s="98" t="s">
        <v>163</v>
      </c>
      <c r="DB101" s="98" t="s">
        <v>36</v>
      </c>
      <c r="DC101" s="98" t="s">
        <v>36</v>
      </c>
      <c r="DD101" s="37" t="s">
        <v>41</v>
      </c>
      <c r="DF101" s="97">
        <f t="shared" si="67"/>
        <v>12</v>
      </c>
      <c r="DG101" s="97">
        <f t="shared" si="47"/>
        <v>3</v>
      </c>
      <c r="DH101" s="97">
        <f t="shared" si="48"/>
        <v>8</v>
      </c>
      <c r="DI101" s="97">
        <f t="shared" si="49"/>
        <v>7</v>
      </c>
      <c r="DJ101" s="97">
        <f t="shared" si="50"/>
        <v>5</v>
      </c>
      <c r="DK101" s="97">
        <f t="shared" si="51"/>
        <v>5</v>
      </c>
      <c r="DL101" s="97">
        <f t="shared" si="52"/>
        <v>12</v>
      </c>
      <c r="DN101" s="25">
        <v>1</v>
      </c>
      <c r="DO101" s="25">
        <v>1</v>
      </c>
      <c r="DP101" s="25">
        <v>1</v>
      </c>
      <c r="DQ101" s="25">
        <v>1</v>
      </c>
      <c r="DR101" s="25">
        <v>1</v>
      </c>
      <c r="DS101" s="25">
        <v>1</v>
      </c>
      <c r="DT101" s="7">
        <v>1</v>
      </c>
      <c r="DV101" s="74" t="s">
        <v>27</v>
      </c>
      <c r="DW101" s="75">
        <v>1</v>
      </c>
      <c r="DX101" s="76">
        <v>1</v>
      </c>
      <c r="DY101" s="76">
        <v>1</v>
      </c>
      <c r="DZ101" s="76">
        <v>50</v>
      </c>
      <c r="EA101" s="76">
        <v>1</v>
      </c>
      <c r="EB101" s="76">
        <v>50</v>
      </c>
      <c r="EC101" s="77">
        <v>1</v>
      </c>
      <c r="ED101" s="78">
        <v>9</v>
      </c>
    </row>
    <row r="102" spans="11:134" ht="16.5">
      <c r="K102" s="22">
        <v>98</v>
      </c>
      <c r="L102" s="98" t="s">
        <v>35</v>
      </c>
      <c r="M102" s="98" t="s">
        <v>163</v>
      </c>
      <c r="N102" s="98" t="s">
        <v>39</v>
      </c>
      <c r="O102" s="98" t="s">
        <v>39</v>
      </c>
      <c r="P102" s="98" t="s">
        <v>40</v>
      </c>
      <c r="Q102" s="98" t="s">
        <v>41</v>
      </c>
      <c r="R102" s="37" t="s">
        <v>36</v>
      </c>
      <c r="T102" s="97">
        <f t="shared" si="53"/>
        <v>4</v>
      </c>
      <c r="U102" s="97">
        <f t="shared" si="54"/>
        <v>7</v>
      </c>
      <c r="V102" s="97">
        <f t="shared" si="55"/>
        <v>10</v>
      </c>
      <c r="W102" s="97">
        <f t="shared" si="56"/>
        <v>10</v>
      </c>
      <c r="X102" s="97">
        <f t="shared" si="57"/>
        <v>11</v>
      </c>
      <c r="Y102" s="97">
        <f t="shared" si="58"/>
        <v>12</v>
      </c>
      <c r="Z102" s="97">
        <f t="shared" si="59"/>
        <v>5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74" t="s">
        <v>28</v>
      </c>
      <c r="AK102" s="75">
        <v>20</v>
      </c>
      <c r="AL102" s="76">
        <v>1</v>
      </c>
      <c r="AM102" s="76">
        <v>15</v>
      </c>
      <c r="AN102" s="76">
        <v>1</v>
      </c>
      <c r="AO102" s="76">
        <v>1</v>
      </c>
      <c r="AP102" s="76">
        <v>1</v>
      </c>
      <c r="AQ102" s="77">
        <v>2</v>
      </c>
      <c r="AR102" s="78">
        <v>10</v>
      </c>
      <c r="BD102" s="22">
        <v>98</v>
      </c>
      <c r="BE102" s="98" t="s">
        <v>35</v>
      </c>
      <c r="BF102" s="98" t="s">
        <v>163</v>
      </c>
      <c r="BG102" s="98" t="s">
        <v>39</v>
      </c>
      <c r="BH102" s="98" t="s">
        <v>39</v>
      </c>
      <c r="BI102" s="98" t="s">
        <v>40</v>
      </c>
      <c r="BJ102" s="98" t="s">
        <v>41</v>
      </c>
      <c r="BK102" s="37" t="s">
        <v>36</v>
      </c>
      <c r="BM102" s="97">
        <f t="shared" si="60"/>
        <v>4</v>
      </c>
      <c r="BN102" s="97">
        <f t="shared" si="61"/>
        <v>7</v>
      </c>
      <c r="BO102" s="97">
        <f t="shared" si="62"/>
        <v>10</v>
      </c>
      <c r="BP102" s="97">
        <f t="shared" si="63"/>
        <v>10</v>
      </c>
      <c r="BQ102" s="97">
        <f t="shared" si="64"/>
        <v>11</v>
      </c>
      <c r="BR102" s="97">
        <f t="shared" si="65"/>
        <v>12</v>
      </c>
      <c r="BS102" s="97">
        <f t="shared" si="66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74" t="s">
        <v>28</v>
      </c>
      <c r="CD102" s="75">
        <v>20</v>
      </c>
      <c r="CE102" s="76">
        <v>1</v>
      </c>
      <c r="CF102" s="76">
        <v>15</v>
      </c>
      <c r="CG102" s="76">
        <v>1</v>
      </c>
      <c r="CH102" s="76">
        <v>1</v>
      </c>
      <c r="CI102" s="76">
        <v>1</v>
      </c>
      <c r="CJ102" s="77">
        <v>2</v>
      </c>
      <c r="CK102" s="78">
        <v>10</v>
      </c>
      <c r="CW102" s="22">
        <v>98</v>
      </c>
      <c r="CX102" s="98" t="s">
        <v>35</v>
      </c>
      <c r="CY102" s="98" t="s">
        <v>163</v>
      </c>
      <c r="CZ102" s="98" t="s">
        <v>39</v>
      </c>
      <c r="DA102" s="98" t="s">
        <v>39</v>
      </c>
      <c r="DB102" s="98" t="s">
        <v>40</v>
      </c>
      <c r="DC102" s="98" t="s">
        <v>41</v>
      </c>
      <c r="DD102" s="37" t="s">
        <v>36</v>
      </c>
      <c r="DF102" s="97">
        <f t="shared" si="67"/>
        <v>4</v>
      </c>
      <c r="DG102" s="97">
        <f t="shared" si="47"/>
        <v>7</v>
      </c>
      <c r="DH102" s="97">
        <f t="shared" si="48"/>
        <v>10</v>
      </c>
      <c r="DI102" s="97">
        <f t="shared" si="49"/>
        <v>10</v>
      </c>
      <c r="DJ102" s="97">
        <f t="shared" si="50"/>
        <v>11</v>
      </c>
      <c r="DK102" s="97">
        <f t="shared" si="51"/>
        <v>12</v>
      </c>
      <c r="DL102" s="97">
        <f t="shared" si="52"/>
        <v>5</v>
      </c>
      <c r="DN102" s="25">
        <v>1</v>
      </c>
      <c r="DO102" s="25">
        <v>1</v>
      </c>
      <c r="DP102" s="25">
        <v>1</v>
      </c>
      <c r="DQ102" s="25">
        <v>1</v>
      </c>
      <c r="DR102" s="25">
        <v>1</v>
      </c>
      <c r="DS102" s="25">
        <v>1</v>
      </c>
      <c r="DT102" s="7">
        <v>1</v>
      </c>
      <c r="DV102" s="74" t="s">
        <v>28</v>
      </c>
      <c r="DW102" s="75">
        <v>20</v>
      </c>
      <c r="DX102" s="76">
        <v>1</v>
      </c>
      <c r="DY102" s="76">
        <v>15</v>
      </c>
      <c r="DZ102" s="76">
        <v>1</v>
      </c>
      <c r="EA102" s="76">
        <v>1</v>
      </c>
      <c r="EB102" s="76">
        <v>1</v>
      </c>
      <c r="EC102" s="77">
        <v>2</v>
      </c>
      <c r="ED102" s="78">
        <v>10</v>
      </c>
    </row>
    <row r="103" spans="11:134" ht="16.5">
      <c r="K103" s="21">
        <v>99</v>
      </c>
      <c r="L103" s="98" t="s">
        <v>40</v>
      </c>
      <c r="M103" s="98" t="s">
        <v>177</v>
      </c>
      <c r="N103" s="98" t="s">
        <v>38</v>
      </c>
      <c r="O103" s="98" t="s">
        <v>39</v>
      </c>
      <c r="P103" s="98" t="s">
        <v>40</v>
      </c>
      <c r="Q103" s="98" t="s">
        <v>41</v>
      </c>
      <c r="R103" s="37" t="s">
        <v>36</v>
      </c>
      <c r="T103" s="97">
        <f t="shared" si="53"/>
        <v>11</v>
      </c>
      <c r="U103" s="97">
        <f t="shared" si="54"/>
        <v>18</v>
      </c>
      <c r="V103" s="97">
        <f t="shared" si="55"/>
        <v>9</v>
      </c>
      <c r="W103" s="97">
        <f t="shared" si="56"/>
        <v>10</v>
      </c>
      <c r="X103" s="97">
        <f t="shared" si="57"/>
        <v>11</v>
      </c>
      <c r="Y103" s="97">
        <f t="shared" si="58"/>
        <v>12</v>
      </c>
      <c r="Z103" s="97">
        <f t="shared" si="59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74" t="s">
        <v>29</v>
      </c>
      <c r="AK103" s="75">
        <v>1</v>
      </c>
      <c r="AL103" s="76">
        <v>50</v>
      </c>
      <c r="AM103" s="76">
        <v>1</v>
      </c>
      <c r="AN103" s="76">
        <v>1</v>
      </c>
      <c r="AO103" s="76">
        <v>1</v>
      </c>
      <c r="AP103" s="76">
        <v>1</v>
      </c>
      <c r="AQ103" s="77">
        <v>1</v>
      </c>
      <c r="AR103" s="78">
        <v>11</v>
      </c>
      <c r="BD103" s="21">
        <v>99</v>
      </c>
      <c r="BE103" s="98" t="s">
        <v>40</v>
      </c>
      <c r="BF103" s="98" t="s">
        <v>177</v>
      </c>
      <c r="BG103" s="98" t="s">
        <v>38</v>
      </c>
      <c r="BH103" s="98" t="s">
        <v>39</v>
      </c>
      <c r="BI103" s="98" t="s">
        <v>40</v>
      </c>
      <c r="BJ103" s="98" t="s">
        <v>41</v>
      </c>
      <c r="BK103" s="37" t="s">
        <v>36</v>
      </c>
      <c r="BM103" s="97">
        <f t="shared" si="60"/>
        <v>11</v>
      </c>
      <c r="BN103" s="97">
        <f t="shared" si="61"/>
        <v>18</v>
      </c>
      <c r="BO103" s="97">
        <f t="shared" si="62"/>
        <v>9</v>
      </c>
      <c r="BP103" s="97">
        <f t="shared" si="63"/>
        <v>10</v>
      </c>
      <c r="BQ103" s="97">
        <f t="shared" si="64"/>
        <v>11</v>
      </c>
      <c r="BR103" s="97">
        <f t="shared" si="65"/>
        <v>12</v>
      </c>
      <c r="BS103" s="97">
        <f t="shared" si="66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74" t="s">
        <v>29</v>
      </c>
      <c r="CD103" s="75">
        <v>1</v>
      </c>
      <c r="CE103" s="76">
        <v>50</v>
      </c>
      <c r="CF103" s="76">
        <v>1</v>
      </c>
      <c r="CG103" s="76">
        <v>1</v>
      </c>
      <c r="CH103" s="76">
        <v>1</v>
      </c>
      <c r="CI103" s="76">
        <v>1</v>
      </c>
      <c r="CJ103" s="77">
        <v>1</v>
      </c>
      <c r="CK103" s="78">
        <v>11</v>
      </c>
      <c r="CW103" s="21">
        <v>99</v>
      </c>
      <c r="CX103" s="98" t="s">
        <v>40</v>
      </c>
      <c r="CY103" s="98" t="s">
        <v>177</v>
      </c>
      <c r="CZ103" s="98" t="s">
        <v>38</v>
      </c>
      <c r="DA103" s="98" t="s">
        <v>39</v>
      </c>
      <c r="DB103" s="98" t="s">
        <v>40</v>
      </c>
      <c r="DC103" s="98" t="s">
        <v>41</v>
      </c>
      <c r="DD103" s="37" t="s">
        <v>36</v>
      </c>
      <c r="DF103" s="97">
        <f t="shared" si="67"/>
        <v>11</v>
      </c>
      <c r="DG103" s="97">
        <f t="shared" si="47"/>
        <v>18</v>
      </c>
      <c r="DH103" s="97">
        <f t="shared" si="48"/>
        <v>9</v>
      </c>
      <c r="DI103" s="97">
        <f t="shared" si="49"/>
        <v>10</v>
      </c>
      <c r="DJ103" s="97">
        <f t="shared" si="50"/>
        <v>11</v>
      </c>
      <c r="DK103" s="97">
        <f t="shared" si="51"/>
        <v>12</v>
      </c>
      <c r="DL103" s="97">
        <f t="shared" si="52"/>
        <v>5</v>
      </c>
      <c r="DN103" s="25">
        <v>1</v>
      </c>
      <c r="DO103" s="25">
        <v>1</v>
      </c>
      <c r="DP103" s="25">
        <v>1</v>
      </c>
      <c r="DQ103" s="25">
        <v>1</v>
      </c>
      <c r="DR103" s="25">
        <v>1</v>
      </c>
      <c r="DS103" s="25">
        <v>1</v>
      </c>
      <c r="DT103" s="7">
        <v>1</v>
      </c>
      <c r="DV103" s="74" t="s">
        <v>29</v>
      </c>
      <c r="DW103" s="75">
        <v>1</v>
      </c>
      <c r="DX103" s="76">
        <v>50</v>
      </c>
      <c r="DY103" s="76">
        <v>1</v>
      </c>
      <c r="DZ103" s="76">
        <v>1</v>
      </c>
      <c r="EA103" s="76">
        <v>1</v>
      </c>
      <c r="EB103" s="76">
        <v>1</v>
      </c>
      <c r="EC103" s="77">
        <v>1</v>
      </c>
      <c r="ED103" s="78">
        <v>11</v>
      </c>
    </row>
    <row r="104" spans="11:134" ht="16.5">
      <c r="K104" s="22">
        <v>100</v>
      </c>
      <c r="L104" s="98" t="s">
        <v>163</v>
      </c>
      <c r="M104" s="98" t="s">
        <v>36</v>
      </c>
      <c r="N104" s="98" t="s">
        <v>38</v>
      </c>
      <c r="O104" s="98" t="s">
        <v>205</v>
      </c>
      <c r="P104" s="98" t="s">
        <v>36</v>
      </c>
      <c r="Q104" s="98" t="s">
        <v>78</v>
      </c>
      <c r="R104" s="37" t="s">
        <v>36</v>
      </c>
      <c r="T104" s="97">
        <f t="shared" si="53"/>
        <v>7</v>
      </c>
      <c r="U104" s="97">
        <f t="shared" si="54"/>
        <v>5</v>
      </c>
      <c r="V104" s="97">
        <f t="shared" si="55"/>
        <v>9</v>
      </c>
      <c r="W104" s="97">
        <f t="shared" si="56"/>
        <v>21</v>
      </c>
      <c r="X104" s="97">
        <f t="shared" si="57"/>
        <v>5</v>
      </c>
      <c r="Y104" s="97">
        <f t="shared" si="58"/>
        <v>6</v>
      </c>
      <c r="Z104" s="97">
        <f t="shared" si="59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74" t="s">
        <v>30</v>
      </c>
      <c r="AK104" s="75">
        <v>50</v>
      </c>
      <c r="AL104" s="76">
        <v>1</v>
      </c>
      <c r="AM104" s="76">
        <v>1</v>
      </c>
      <c r="AN104" s="76">
        <v>1</v>
      </c>
      <c r="AO104" s="76">
        <v>1</v>
      </c>
      <c r="AP104" s="76">
        <v>1</v>
      </c>
      <c r="AQ104" s="77">
        <v>1</v>
      </c>
      <c r="AR104" s="78">
        <v>12</v>
      </c>
      <c r="BD104" s="22">
        <v>100</v>
      </c>
      <c r="BE104" s="98" t="s">
        <v>163</v>
      </c>
      <c r="BF104" s="98" t="s">
        <v>78</v>
      </c>
      <c r="BG104" s="98" t="s">
        <v>38</v>
      </c>
      <c r="BH104" s="98" t="s">
        <v>205</v>
      </c>
      <c r="BI104" s="98" t="s">
        <v>36</v>
      </c>
      <c r="BJ104" s="98" t="s">
        <v>78</v>
      </c>
      <c r="BK104" s="37" t="s">
        <v>36</v>
      </c>
      <c r="BM104" s="97">
        <f t="shared" si="60"/>
        <v>7</v>
      </c>
      <c r="BN104" s="97">
        <f t="shared" si="61"/>
        <v>6</v>
      </c>
      <c r="BO104" s="97">
        <f t="shared" si="62"/>
        <v>9</v>
      </c>
      <c r="BP104" s="97">
        <f t="shared" si="63"/>
        <v>21</v>
      </c>
      <c r="BQ104" s="97">
        <f t="shared" si="64"/>
        <v>5</v>
      </c>
      <c r="BR104" s="97">
        <f t="shared" si="65"/>
        <v>6</v>
      </c>
      <c r="BS104" s="97">
        <f t="shared" si="66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74" t="s">
        <v>30</v>
      </c>
      <c r="CD104" s="75">
        <v>50</v>
      </c>
      <c r="CE104" s="76">
        <v>1</v>
      </c>
      <c r="CF104" s="76">
        <v>1</v>
      </c>
      <c r="CG104" s="76">
        <v>1</v>
      </c>
      <c r="CH104" s="76">
        <v>1</v>
      </c>
      <c r="CI104" s="76">
        <v>1</v>
      </c>
      <c r="CJ104" s="77">
        <v>1</v>
      </c>
      <c r="CK104" s="78">
        <v>12</v>
      </c>
      <c r="CW104" s="22">
        <v>100</v>
      </c>
      <c r="CX104" s="98" t="s">
        <v>163</v>
      </c>
      <c r="CY104" s="98" t="s">
        <v>78</v>
      </c>
      <c r="CZ104" s="98" t="s">
        <v>38</v>
      </c>
      <c r="DA104" s="98" t="s">
        <v>205</v>
      </c>
      <c r="DB104" s="98" t="s">
        <v>36</v>
      </c>
      <c r="DC104" s="98" t="s">
        <v>78</v>
      </c>
      <c r="DD104" s="37" t="s">
        <v>36</v>
      </c>
      <c r="DF104" s="97">
        <f t="shared" si="67"/>
        <v>7</v>
      </c>
      <c r="DG104" s="97">
        <f t="shared" si="47"/>
        <v>6</v>
      </c>
      <c r="DH104" s="97">
        <f t="shared" si="48"/>
        <v>9</v>
      </c>
      <c r="DI104" s="97">
        <f t="shared" si="49"/>
        <v>21</v>
      </c>
      <c r="DJ104" s="97">
        <f t="shared" si="50"/>
        <v>5</v>
      </c>
      <c r="DK104" s="97">
        <f t="shared" si="51"/>
        <v>6</v>
      </c>
      <c r="DL104" s="97">
        <f t="shared" si="52"/>
        <v>5</v>
      </c>
      <c r="DN104" s="25">
        <v>1</v>
      </c>
      <c r="DO104" s="25">
        <v>1</v>
      </c>
      <c r="DP104" s="25">
        <v>1</v>
      </c>
      <c r="DQ104" s="25">
        <v>1</v>
      </c>
      <c r="DR104" s="25">
        <v>1</v>
      </c>
      <c r="DS104" s="25">
        <v>1</v>
      </c>
      <c r="DT104" s="7">
        <v>1</v>
      </c>
      <c r="DV104" s="74" t="s">
        <v>30</v>
      </c>
      <c r="DW104" s="75">
        <v>50</v>
      </c>
      <c r="DX104" s="76">
        <v>1</v>
      </c>
      <c r="DY104" s="76">
        <v>1</v>
      </c>
      <c r="DZ104" s="76">
        <v>1</v>
      </c>
      <c r="EA104" s="76">
        <v>1</v>
      </c>
      <c r="EB104" s="76">
        <v>1</v>
      </c>
      <c r="EC104" s="77">
        <v>1</v>
      </c>
      <c r="ED104" s="78">
        <v>12</v>
      </c>
    </row>
    <row r="105" spans="11:134" ht="16.5">
      <c r="K105" s="21">
        <v>101</v>
      </c>
      <c r="L105" s="98" t="s">
        <v>163</v>
      </c>
      <c r="M105" s="98" t="s">
        <v>190</v>
      </c>
      <c r="N105" s="98" t="s">
        <v>40</v>
      </c>
      <c r="O105" s="98" t="s">
        <v>78</v>
      </c>
      <c r="P105" s="98" t="s">
        <v>206</v>
      </c>
      <c r="Q105" s="98" t="s">
        <v>78</v>
      </c>
      <c r="R105" s="37" t="s">
        <v>40</v>
      </c>
      <c r="T105" s="97">
        <f t="shared" si="53"/>
        <v>7</v>
      </c>
      <c r="U105" s="97">
        <f t="shared" si="54"/>
        <v>24</v>
      </c>
      <c r="V105" s="97">
        <f t="shared" si="55"/>
        <v>11</v>
      </c>
      <c r="W105" s="97">
        <f t="shared" si="56"/>
        <v>6</v>
      </c>
      <c r="X105" s="97">
        <f t="shared" si="57"/>
        <v>22</v>
      </c>
      <c r="Y105" s="97">
        <f t="shared" si="58"/>
        <v>6</v>
      </c>
      <c r="Z105" s="97">
        <f t="shared" si="59"/>
        <v>11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74" t="s">
        <v>82</v>
      </c>
      <c r="AK105" s="75">
        <v>0</v>
      </c>
      <c r="AL105" s="76">
        <v>2</v>
      </c>
      <c r="AM105" s="76">
        <v>2</v>
      </c>
      <c r="AN105" s="76">
        <v>1</v>
      </c>
      <c r="AO105" s="76">
        <v>2</v>
      </c>
      <c r="AP105" s="76">
        <v>0</v>
      </c>
      <c r="AQ105" s="77">
        <v>0</v>
      </c>
      <c r="AR105" s="78">
        <v>13</v>
      </c>
      <c r="BD105" s="21">
        <v>101</v>
      </c>
      <c r="BE105" s="98" t="s">
        <v>163</v>
      </c>
      <c r="BF105" s="98" t="s">
        <v>190</v>
      </c>
      <c r="BG105" s="98" t="s">
        <v>40</v>
      </c>
      <c r="BH105" s="98" t="s">
        <v>78</v>
      </c>
      <c r="BI105" s="98" t="s">
        <v>206</v>
      </c>
      <c r="BJ105" s="98" t="s">
        <v>78</v>
      </c>
      <c r="BK105" s="37" t="s">
        <v>40</v>
      </c>
      <c r="BM105" s="97">
        <f t="shared" si="60"/>
        <v>7</v>
      </c>
      <c r="BN105" s="97">
        <f t="shared" si="61"/>
        <v>24</v>
      </c>
      <c r="BO105" s="97">
        <f t="shared" si="62"/>
        <v>11</v>
      </c>
      <c r="BP105" s="97">
        <f t="shared" si="63"/>
        <v>6</v>
      </c>
      <c r="BQ105" s="97">
        <f t="shared" si="64"/>
        <v>22</v>
      </c>
      <c r="BR105" s="97">
        <f t="shared" si="65"/>
        <v>6</v>
      </c>
      <c r="BS105" s="97">
        <f t="shared" si="66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74" t="s">
        <v>82</v>
      </c>
      <c r="CD105" s="75">
        <v>0</v>
      </c>
      <c r="CE105" s="76">
        <v>2</v>
      </c>
      <c r="CF105" s="76">
        <v>2</v>
      </c>
      <c r="CG105" s="76">
        <v>1</v>
      </c>
      <c r="CH105" s="76">
        <v>2</v>
      </c>
      <c r="CI105" s="76">
        <v>0</v>
      </c>
      <c r="CJ105" s="77">
        <v>0</v>
      </c>
      <c r="CK105" s="78">
        <v>13</v>
      </c>
      <c r="CW105" s="21">
        <v>101</v>
      </c>
      <c r="CX105" s="98" t="s">
        <v>163</v>
      </c>
      <c r="CY105" s="98" t="s">
        <v>190</v>
      </c>
      <c r="CZ105" s="98" t="s">
        <v>40</v>
      </c>
      <c r="DA105" s="98" t="s">
        <v>78</v>
      </c>
      <c r="DB105" s="98" t="s">
        <v>206</v>
      </c>
      <c r="DC105" s="98" t="s">
        <v>78</v>
      </c>
      <c r="DD105" s="37" t="s">
        <v>40</v>
      </c>
      <c r="DF105" s="97">
        <f t="shared" si="67"/>
        <v>7</v>
      </c>
      <c r="DG105" s="97">
        <f t="shared" si="47"/>
        <v>24</v>
      </c>
      <c r="DH105" s="97">
        <f t="shared" si="48"/>
        <v>11</v>
      </c>
      <c r="DI105" s="97">
        <f t="shared" si="49"/>
        <v>6</v>
      </c>
      <c r="DJ105" s="97">
        <f t="shared" si="50"/>
        <v>22</v>
      </c>
      <c r="DK105" s="97">
        <f t="shared" si="51"/>
        <v>6</v>
      </c>
      <c r="DL105" s="97">
        <f t="shared" si="52"/>
        <v>11</v>
      </c>
      <c r="DN105" s="25">
        <v>1</v>
      </c>
      <c r="DO105" s="25">
        <v>1</v>
      </c>
      <c r="DP105" s="25">
        <v>1</v>
      </c>
      <c r="DQ105" s="25">
        <v>1</v>
      </c>
      <c r="DR105" s="25">
        <v>1</v>
      </c>
      <c r="DS105" s="25">
        <v>1</v>
      </c>
      <c r="DT105" s="7">
        <v>1</v>
      </c>
      <c r="DV105" s="74" t="s">
        <v>82</v>
      </c>
      <c r="DW105" s="75">
        <v>0</v>
      </c>
      <c r="DX105" s="76">
        <v>2</v>
      </c>
      <c r="DY105" s="76">
        <v>2</v>
      </c>
      <c r="DZ105" s="76">
        <v>1</v>
      </c>
      <c r="EA105" s="76">
        <v>2</v>
      </c>
      <c r="EB105" s="76">
        <v>0</v>
      </c>
      <c r="EC105" s="77">
        <v>0</v>
      </c>
      <c r="ED105" s="78">
        <v>13</v>
      </c>
    </row>
    <row r="106" spans="11:134" ht="16.5">
      <c r="K106" s="22">
        <v>102</v>
      </c>
      <c r="L106" s="98" t="s">
        <v>38</v>
      </c>
      <c r="M106" s="98" t="s">
        <v>201</v>
      </c>
      <c r="N106" s="98" t="s">
        <v>40</v>
      </c>
      <c r="O106" s="98" t="s">
        <v>26</v>
      </c>
      <c r="P106" s="98" t="s">
        <v>40</v>
      </c>
      <c r="Q106" s="98" t="s">
        <v>39</v>
      </c>
      <c r="R106" s="37" t="s">
        <v>40</v>
      </c>
      <c r="T106" s="97">
        <f t="shared" si="53"/>
        <v>9</v>
      </c>
      <c r="U106" s="97">
        <f t="shared" si="54"/>
        <v>25</v>
      </c>
      <c r="V106" s="97">
        <f t="shared" si="55"/>
        <v>11</v>
      </c>
      <c r="W106" s="97">
        <f t="shared" si="56"/>
        <v>8</v>
      </c>
      <c r="X106" s="97">
        <f t="shared" si="57"/>
        <v>11</v>
      </c>
      <c r="Y106" s="97">
        <f t="shared" si="58"/>
        <v>10</v>
      </c>
      <c r="Z106" s="97">
        <f t="shared" si="59"/>
        <v>11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74" t="s">
        <v>83</v>
      </c>
      <c r="AK106" s="75">
        <v>0</v>
      </c>
      <c r="AL106" s="76">
        <v>1</v>
      </c>
      <c r="AM106" s="76">
        <v>1</v>
      </c>
      <c r="AN106" s="76">
        <v>2</v>
      </c>
      <c r="AO106" s="76">
        <v>1</v>
      </c>
      <c r="AP106" s="76">
        <v>0</v>
      </c>
      <c r="AQ106" s="77">
        <v>0</v>
      </c>
      <c r="AR106" s="78">
        <v>14</v>
      </c>
      <c r="BD106" s="22">
        <v>102</v>
      </c>
      <c r="BE106" s="98" t="s">
        <v>38</v>
      </c>
      <c r="BF106" s="98" t="s">
        <v>201</v>
      </c>
      <c r="BG106" s="98" t="s">
        <v>40</v>
      </c>
      <c r="BH106" s="98" t="s">
        <v>26</v>
      </c>
      <c r="BI106" s="98" t="s">
        <v>40</v>
      </c>
      <c r="BJ106" s="98" t="s">
        <v>39</v>
      </c>
      <c r="BK106" s="37" t="s">
        <v>40</v>
      </c>
      <c r="BM106" s="97">
        <f t="shared" si="60"/>
        <v>9</v>
      </c>
      <c r="BN106" s="97">
        <f t="shared" si="61"/>
        <v>25</v>
      </c>
      <c r="BO106" s="97">
        <f t="shared" si="62"/>
        <v>11</v>
      </c>
      <c r="BP106" s="97">
        <f t="shared" si="63"/>
        <v>8</v>
      </c>
      <c r="BQ106" s="97">
        <f t="shared" si="64"/>
        <v>11</v>
      </c>
      <c r="BR106" s="97">
        <f t="shared" si="65"/>
        <v>10</v>
      </c>
      <c r="BS106" s="97">
        <f t="shared" si="66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74" t="s">
        <v>83</v>
      </c>
      <c r="CD106" s="75">
        <v>0</v>
      </c>
      <c r="CE106" s="76">
        <v>1</v>
      </c>
      <c r="CF106" s="76">
        <v>1</v>
      </c>
      <c r="CG106" s="76">
        <v>2</v>
      </c>
      <c r="CH106" s="76">
        <v>1</v>
      </c>
      <c r="CI106" s="76">
        <v>0</v>
      </c>
      <c r="CJ106" s="77">
        <v>0</v>
      </c>
      <c r="CK106" s="78">
        <v>14</v>
      </c>
      <c r="CW106" s="22">
        <v>102</v>
      </c>
      <c r="CX106" s="98" t="s">
        <v>38</v>
      </c>
      <c r="CY106" s="98" t="s">
        <v>201</v>
      </c>
      <c r="CZ106" s="98" t="s">
        <v>40</v>
      </c>
      <c r="DA106" s="98" t="s">
        <v>26</v>
      </c>
      <c r="DB106" s="98" t="s">
        <v>40</v>
      </c>
      <c r="DC106" s="98" t="s">
        <v>39</v>
      </c>
      <c r="DD106" s="37" t="s">
        <v>40</v>
      </c>
      <c r="DF106" s="97">
        <f t="shared" si="67"/>
        <v>9</v>
      </c>
      <c r="DG106" s="97">
        <f t="shared" si="47"/>
        <v>25</v>
      </c>
      <c r="DH106" s="97">
        <f t="shared" si="48"/>
        <v>11</v>
      </c>
      <c r="DI106" s="97">
        <f t="shared" si="49"/>
        <v>8</v>
      </c>
      <c r="DJ106" s="97">
        <f t="shared" si="50"/>
        <v>11</v>
      </c>
      <c r="DK106" s="97">
        <f t="shared" si="51"/>
        <v>10</v>
      </c>
      <c r="DL106" s="97">
        <f t="shared" si="52"/>
        <v>11</v>
      </c>
      <c r="DN106" s="25">
        <v>1</v>
      </c>
      <c r="DO106" s="25">
        <v>1</v>
      </c>
      <c r="DP106" s="25">
        <v>1</v>
      </c>
      <c r="DQ106" s="25">
        <v>1</v>
      </c>
      <c r="DR106" s="25">
        <v>1</v>
      </c>
      <c r="DS106" s="25">
        <v>1</v>
      </c>
      <c r="DT106" s="7">
        <v>1</v>
      </c>
      <c r="DV106" s="74" t="s">
        <v>83</v>
      </c>
      <c r="DW106" s="75">
        <v>0</v>
      </c>
      <c r="DX106" s="76">
        <v>1</v>
      </c>
      <c r="DY106" s="76">
        <v>1</v>
      </c>
      <c r="DZ106" s="76">
        <v>2</v>
      </c>
      <c r="EA106" s="76">
        <v>1</v>
      </c>
      <c r="EB106" s="76">
        <v>0</v>
      </c>
      <c r="EC106" s="77">
        <v>0</v>
      </c>
      <c r="ED106" s="78">
        <v>14</v>
      </c>
    </row>
    <row r="107" spans="11:134" ht="16.5">
      <c r="K107" s="21">
        <v>103</v>
      </c>
      <c r="L107" s="98" t="s">
        <v>39</v>
      </c>
      <c r="M107" s="98" t="s">
        <v>36</v>
      </c>
      <c r="N107" s="98" t="s">
        <v>41</v>
      </c>
      <c r="O107" s="98" t="s">
        <v>39</v>
      </c>
      <c r="P107" s="98" t="s">
        <v>40</v>
      </c>
      <c r="Q107" s="98" t="s">
        <v>39</v>
      </c>
      <c r="R107" s="37" t="s">
        <v>34</v>
      </c>
      <c r="T107" s="97">
        <f t="shared" si="53"/>
        <v>10</v>
      </c>
      <c r="U107" s="97">
        <f t="shared" si="54"/>
        <v>5</v>
      </c>
      <c r="V107" s="97">
        <f t="shared" si="55"/>
        <v>12</v>
      </c>
      <c r="W107" s="97">
        <f t="shared" si="56"/>
        <v>10</v>
      </c>
      <c r="X107" s="97">
        <f t="shared" si="57"/>
        <v>11</v>
      </c>
      <c r="Y107" s="97">
        <f t="shared" si="58"/>
        <v>10</v>
      </c>
      <c r="Z107" s="97">
        <f t="shared" si="59"/>
        <v>3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74" t="s">
        <v>84</v>
      </c>
      <c r="AK107" s="75">
        <v>0</v>
      </c>
      <c r="AL107" s="76">
        <v>2</v>
      </c>
      <c r="AM107" s="76">
        <v>2</v>
      </c>
      <c r="AN107" s="76">
        <v>1</v>
      </c>
      <c r="AO107" s="76">
        <v>1</v>
      </c>
      <c r="AP107" s="76">
        <v>0</v>
      </c>
      <c r="AQ107" s="77">
        <v>0</v>
      </c>
      <c r="AR107" s="78">
        <v>15</v>
      </c>
      <c r="BD107" s="21">
        <v>103</v>
      </c>
      <c r="BE107" s="98" t="s">
        <v>39</v>
      </c>
      <c r="BF107" s="98" t="s">
        <v>78</v>
      </c>
      <c r="BG107" s="98" t="s">
        <v>41</v>
      </c>
      <c r="BH107" s="98" t="s">
        <v>39</v>
      </c>
      <c r="BI107" s="98" t="s">
        <v>40</v>
      </c>
      <c r="BJ107" s="98" t="s">
        <v>39</v>
      </c>
      <c r="BK107" s="37" t="s">
        <v>34</v>
      </c>
      <c r="BM107" s="97">
        <f t="shared" si="60"/>
        <v>10</v>
      </c>
      <c r="BN107" s="97">
        <f t="shared" si="61"/>
        <v>6</v>
      </c>
      <c r="BO107" s="97">
        <f t="shared" si="62"/>
        <v>12</v>
      </c>
      <c r="BP107" s="97">
        <f t="shared" si="63"/>
        <v>10</v>
      </c>
      <c r="BQ107" s="97">
        <f t="shared" si="64"/>
        <v>11</v>
      </c>
      <c r="BR107" s="97">
        <f t="shared" si="65"/>
        <v>10</v>
      </c>
      <c r="BS107" s="97">
        <f t="shared" si="66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74" t="s">
        <v>84</v>
      </c>
      <c r="CD107" s="75">
        <v>0</v>
      </c>
      <c r="CE107" s="76">
        <v>2</v>
      </c>
      <c r="CF107" s="76">
        <v>2</v>
      </c>
      <c r="CG107" s="76">
        <v>1</v>
      </c>
      <c r="CH107" s="76">
        <v>1</v>
      </c>
      <c r="CI107" s="76">
        <v>0</v>
      </c>
      <c r="CJ107" s="77">
        <v>0</v>
      </c>
      <c r="CK107" s="78">
        <v>15</v>
      </c>
      <c r="CW107" s="21">
        <v>103</v>
      </c>
      <c r="CX107" s="98" t="s">
        <v>39</v>
      </c>
      <c r="CY107" s="98" t="s">
        <v>78</v>
      </c>
      <c r="CZ107" s="98" t="s">
        <v>41</v>
      </c>
      <c r="DA107" s="98" t="s">
        <v>39</v>
      </c>
      <c r="DB107" s="98" t="s">
        <v>40</v>
      </c>
      <c r="DC107" s="98" t="s">
        <v>39</v>
      </c>
      <c r="DD107" s="37" t="s">
        <v>34</v>
      </c>
      <c r="DF107" s="97">
        <f t="shared" si="67"/>
        <v>10</v>
      </c>
      <c r="DG107" s="97">
        <f t="shared" si="47"/>
        <v>6</v>
      </c>
      <c r="DH107" s="97">
        <f t="shared" si="48"/>
        <v>12</v>
      </c>
      <c r="DI107" s="97">
        <f t="shared" si="49"/>
        <v>10</v>
      </c>
      <c r="DJ107" s="97">
        <f t="shared" si="50"/>
        <v>11</v>
      </c>
      <c r="DK107" s="97">
        <f t="shared" si="51"/>
        <v>10</v>
      </c>
      <c r="DL107" s="97">
        <f t="shared" si="52"/>
        <v>3</v>
      </c>
      <c r="DN107" s="25">
        <v>1</v>
      </c>
      <c r="DO107" s="25">
        <v>1</v>
      </c>
      <c r="DP107" s="25">
        <v>1</v>
      </c>
      <c r="DQ107" s="25">
        <v>1</v>
      </c>
      <c r="DR107" s="25">
        <v>1</v>
      </c>
      <c r="DS107" s="25">
        <v>1</v>
      </c>
      <c r="DT107" s="7">
        <v>1</v>
      </c>
      <c r="DV107" s="74" t="s">
        <v>84</v>
      </c>
      <c r="DW107" s="75">
        <v>0</v>
      </c>
      <c r="DX107" s="76">
        <v>2</v>
      </c>
      <c r="DY107" s="76">
        <v>2</v>
      </c>
      <c r="DZ107" s="76">
        <v>1</v>
      </c>
      <c r="EA107" s="76">
        <v>1</v>
      </c>
      <c r="EB107" s="76">
        <v>0</v>
      </c>
      <c r="EC107" s="77">
        <v>0</v>
      </c>
      <c r="ED107" s="78">
        <v>15</v>
      </c>
    </row>
    <row r="108" spans="11:134" ht="16.5">
      <c r="K108" s="22">
        <v>104</v>
      </c>
      <c r="L108" s="98" t="s">
        <v>38</v>
      </c>
      <c r="M108" s="98" t="s">
        <v>36</v>
      </c>
      <c r="N108" s="98" t="s">
        <v>34</v>
      </c>
      <c r="O108" s="98" t="s">
        <v>39</v>
      </c>
      <c r="P108" s="98" t="s">
        <v>163</v>
      </c>
      <c r="Q108" s="98" t="s">
        <v>41</v>
      </c>
      <c r="R108" s="37" t="s">
        <v>34</v>
      </c>
      <c r="T108" s="97">
        <f t="shared" si="53"/>
        <v>9</v>
      </c>
      <c r="U108" s="97">
        <f t="shared" si="54"/>
        <v>5</v>
      </c>
      <c r="V108" s="97">
        <f t="shared" si="55"/>
        <v>3</v>
      </c>
      <c r="W108" s="97">
        <f t="shared" si="56"/>
        <v>10</v>
      </c>
      <c r="X108" s="97">
        <f t="shared" si="57"/>
        <v>7</v>
      </c>
      <c r="Y108" s="97">
        <f t="shared" si="58"/>
        <v>12</v>
      </c>
      <c r="Z108" s="97">
        <f t="shared" si="59"/>
        <v>3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74" t="s">
        <v>85</v>
      </c>
      <c r="AK108" s="75">
        <v>0</v>
      </c>
      <c r="AL108" s="76">
        <v>1</v>
      </c>
      <c r="AM108" s="76">
        <v>1</v>
      </c>
      <c r="AN108" s="76">
        <v>1</v>
      </c>
      <c r="AO108" s="76">
        <v>1</v>
      </c>
      <c r="AP108" s="76">
        <v>0</v>
      </c>
      <c r="AQ108" s="77">
        <v>0</v>
      </c>
      <c r="AR108" s="78">
        <v>16</v>
      </c>
      <c r="BD108" s="22">
        <v>104</v>
      </c>
      <c r="BE108" s="98" t="s">
        <v>38</v>
      </c>
      <c r="BF108" s="98" t="s">
        <v>78</v>
      </c>
      <c r="BG108" s="98" t="s">
        <v>34</v>
      </c>
      <c r="BH108" s="98" t="s">
        <v>39</v>
      </c>
      <c r="BI108" s="98" t="s">
        <v>163</v>
      </c>
      <c r="BJ108" s="98" t="s">
        <v>41</v>
      </c>
      <c r="BK108" s="37" t="s">
        <v>34</v>
      </c>
      <c r="BM108" s="97">
        <f t="shared" si="60"/>
        <v>9</v>
      </c>
      <c r="BN108" s="97">
        <f t="shared" si="61"/>
        <v>6</v>
      </c>
      <c r="BO108" s="97">
        <f t="shared" si="62"/>
        <v>3</v>
      </c>
      <c r="BP108" s="97">
        <f t="shared" si="63"/>
        <v>10</v>
      </c>
      <c r="BQ108" s="97">
        <f t="shared" si="64"/>
        <v>7</v>
      </c>
      <c r="BR108" s="97">
        <f t="shared" si="65"/>
        <v>12</v>
      </c>
      <c r="BS108" s="97">
        <f t="shared" si="66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74" t="s">
        <v>85</v>
      </c>
      <c r="CD108" s="75">
        <v>0</v>
      </c>
      <c r="CE108" s="76">
        <v>1</v>
      </c>
      <c r="CF108" s="76">
        <v>1</v>
      </c>
      <c r="CG108" s="76">
        <v>1</v>
      </c>
      <c r="CH108" s="76">
        <v>1</v>
      </c>
      <c r="CI108" s="76">
        <v>0</v>
      </c>
      <c r="CJ108" s="77">
        <v>0</v>
      </c>
      <c r="CK108" s="78">
        <v>16</v>
      </c>
      <c r="CW108" s="22">
        <v>104</v>
      </c>
      <c r="CX108" s="98" t="s">
        <v>38</v>
      </c>
      <c r="CY108" s="98" t="s">
        <v>78</v>
      </c>
      <c r="CZ108" s="98" t="s">
        <v>34</v>
      </c>
      <c r="DA108" s="98" t="s">
        <v>39</v>
      </c>
      <c r="DB108" s="98" t="s">
        <v>163</v>
      </c>
      <c r="DC108" s="98" t="s">
        <v>41</v>
      </c>
      <c r="DD108" s="37" t="s">
        <v>34</v>
      </c>
      <c r="DF108" s="97">
        <f t="shared" si="67"/>
        <v>9</v>
      </c>
      <c r="DG108" s="97">
        <f t="shared" si="47"/>
        <v>6</v>
      </c>
      <c r="DH108" s="97">
        <f t="shared" si="48"/>
        <v>3</v>
      </c>
      <c r="DI108" s="97">
        <f t="shared" si="49"/>
        <v>10</v>
      </c>
      <c r="DJ108" s="97">
        <f t="shared" si="50"/>
        <v>7</v>
      </c>
      <c r="DK108" s="97">
        <f t="shared" si="51"/>
        <v>12</v>
      </c>
      <c r="DL108" s="97">
        <f t="shared" si="52"/>
        <v>3</v>
      </c>
      <c r="DN108" s="25">
        <v>1</v>
      </c>
      <c r="DO108" s="25">
        <v>1</v>
      </c>
      <c r="DP108" s="25">
        <v>1</v>
      </c>
      <c r="DQ108" s="25">
        <v>1</v>
      </c>
      <c r="DR108" s="25">
        <v>1</v>
      </c>
      <c r="DS108" s="25">
        <v>1</v>
      </c>
      <c r="DT108" s="7">
        <v>1</v>
      </c>
      <c r="DV108" s="74" t="s">
        <v>85</v>
      </c>
      <c r="DW108" s="75">
        <v>0</v>
      </c>
      <c r="DX108" s="76">
        <v>1</v>
      </c>
      <c r="DY108" s="76">
        <v>1</v>
      </c>
      <c r="DZ108" s="76">
        <v>1</v>
      </c>
      <c r="EA108" s="76">
        <v>1</v>
      </c>
      <c r="EB108" s="76">
        <v>0</v>
      </c>
      <c r="EC108" s="77">
        <v>0</v>
      </c>
      <c r="ED108" s="78">
        <v>16</v>
      </c>
    </row>
    <row r="109" spans="11:134" ht="16.5">
      <c r="K109" s="21">
        <v>105</v>
      </c>
      <c r="L109" s="98" t="s">
        <v>41</v>
      </c>
      <c r="M109" s="98" t="s">
        <v>41</v>
      </c>
      <c r="N109" s="98" t="s">
        <v>34</v>
      </c>
      <c r="O109" s="98" t="s">
        <v>35</v>
      </c>
      <c r="P109" s="98" t="s">
        <v>40</v>
      </c>
      <c r="Q109" s="98" t="s">
        <v>41</v>
      </c>
      <c r="R109" s="37" t="s">
        <v>41</v>
      </c>
      <c r="T109" s="97">
        <f t="shared" si="53"/>
        <v>12</v>
      </c>
      <c r="U109" s="97">
        <f t="shared" si="54"/>
        <v>12</v>
      </c>
      <c r="V109" s="97">
        <f t="shared" si="55"/>
        <v>3</v>
      </c>
      <c r="W109" s="97">
        <f t="shared" si="56"/>
        <v>4</v>
      </c>
      <c r="X109" s="97">
        <f t="shared" si="57"/>
        <v>11</v>
      </c>
      <c r="Y109" s="97">
        <f t="shared" si="58"/>
        <v>12</v>
      </c>
      <c r="Z109" s="97">
        <f t="shared" si="59"/>
        <v>12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74" t="s">
        <v>86</v>
      </c>
      <c r="AK109" s="75">
        <v>0</v>
      </c>
      <c r="AL109" s="76">
        <v>2</v>
      </c>
      <c r="AM109" s="76">
        <v>2</v>
      </c>
      <c r="AN109" s="76">
        <v>1</v>
      </c>
      <c r="AO109" s="76">
        <v>2</v>
      </c>
      <c r="AP109" s="76">
        <v>0</v>
      </c>
      <c r="AQ109" s="77">
        <v>0</v>
      </c>
      <c r="AR109" s="78">
        <v>17</v>
      </c>
      <c r="BD109" s="21">
        <v>105</v>
      </c>
      <c r="BE109" s="98" t="s">
        <v>41</v>
      </c>
      <c r="BF109" s="98" t="s">
        <v>41</v>
      </c>
      <c r="BG109" s="98" t="s">
        <v>34</v>
      </c>
      <c r="BH109" s="98" t="s">
        <v>35</v>
      </c>
      <c r="BI109" s="98" t="s">
        <v>40</v>
      </c>
      <c r="BJ109" s="98" t="s">
        <v>41</v>
      </c>
      <c r="BK109" s="37" t="s">
        <v>41</v>
      </c>
      <c r="BM109" s="97">
        <f t="shared" si="60"/>
        <v>12</v>
      </c>
      <c r="BN109" s="97">
        <f t="shared" si="61"/>
        <v>12</v>
      </c>
      <c r="BO109" s="97">
        <f t="shared" si="62"/>
        <v>3</v>
      </c>
      <c r="BP109" s="97">
        <f t="shared" si="63"/>
        <v>4</v>
      </c>
      <c r="BQ109" s="97">
        <f t="shared" si="64"/>
        <v>11</v>
      </c>
      <c r="BR109" s="97">
        <f t="shared" si="65"/>
        <v>12</v>
      </c>
      <c r="BS109" s="97">
        <f t="shared" si="66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74" t="s">
        <v>86</v>
      </c>
      <c r="CD109" s="75">
        <v>0</v>
      </c>
      <c r="CE109" s="76">
        <v>2</v>
      </c>
      <c r="CF109" s="76">
        <v>2</v>
      </c>
      <c r="CG109" s="76">
        <v>1</v>
      </c>
      <c r="CH109" s="76">
        <v>2</v>
      </c>
      <c r="CI109" s="76">
        <v>0</v>
      </c>
      <c r="CJ109" s="77">
        <v>0</v>
      </c>
      <c r="CK109" s="78">
        <v>17</v>
      </c>
      <c r="CW109" s="21">
        <v>105</v>
      </c>
      <c r="CX109" s="98" t="s">
        <v>41</v>
      </c>
      <c r="CY109" s="98" t="s">
        <v>41</v>
      </c>
      <c r="CZ109" s="98" t="s">
        <v>34</v>
      </c>
      <c r="DA109" s="98" t="s">
        <v>35</v>
      </c>
      <c r="DB109" s="98" t="s">
        <v>40</v>
      </c>
      <c r="DC109" s="98" t="s">
        <v>41</v>
      </c>
      <c r="DD109" s="37" t="s">
        <v>41</v>
      </c>
      <c r="DF109" s="97">
        <f t="shared" si="67"/>
        <v>12</v>
      </c>
      <c r="DG109" s="97">
        <f t="shared" si="47"/>
        <v>12</v>
      </c>
      <c r="DH109" s="97">
        <f t="shared" si="48"/>
        <v>3</v>
      </c>
      <c r="DI109" s="97">
        <f t="shared" si="49"/>
        <v>4</v>
      </c>
      <c r="DJ109" s="97">
        <f t="shared" si="50"/>
        <v>11</v>
      </c>
      <c r="DK109" s="97">
        <f t="shared" si="51"/>
        <v>12</v>
      </c>
      <c r="DL109" s="97">
        <f t="shared" si="52"/>
        <v>12</v>
      </c>
      <c r="DN109" s="25">
        <v>1</v>
      </c>
      <c r="DO109" s="25">
        <v>1</v>
      </c>
      <c r="DP109" s="25">
        <v>1</v>
      </c>
      <c r="DQ109" s="25">
        <v>1</v>
      </c>
      <c r="DR109" s="25">
        <v>1</v>
      </c>
      <c r="DS109" s="25">
        <v>1</v>
      </c>
      <c r="DT109" s="7">
        <v>1</v>
      </c>
      <c r="DV109" s="74" t="s">
        <v>86</v>
      </c>
      <c r="DW109" s="75">
        <v>0</v>
      </c>
      <c r="DX109" s="76">
        <v>2</v>
      </c>
      <c r="DY109" s="76">
        <v>2</v>
      </c>
      <c r="DZ109" s="76">
        <v>1</v>
      </c>
      <c r="EA109" s="76">
        <v>2</v>
      </c>
      <c r="EB109" s="76">
        <v>0</v>
      </c>
      <c r="EC109" s="77">
        <v>0</v>
      </c>
      <c r="ED109" s="78">
        <v>17</v>
      </c>
    </row>
    <row r="110" spans="11:134" ht="16.5">
      <c r="K110" s="22">
        <v>106</v>
      </c>
      <c r="L110" s="98" t="s">
        <v>33</v>
      </c>
      <c r="M110" s="98" t="s">
        <v>39</v>
      </c>
      <c r="N110" s="98" t="s">
        <v>40</v>
      </c>
      <c r="O110" s="98" t="s">
        <v>78</v>
      </c>
      <c r="P110" s="98" t="s">
        <v>41</v>
      </c>
      <c r="Q110" s="98" t="s">
        <v>26</v>
      </c>
      <c r="R110" s="37" t="s">
        <v>41</v>
      </c>
      <c r="T110" s="97">
        <f t="shared" si="53"/>
        <v>2</v>
      </c>
      <c r="U110" s="97">
        <f t="shared" si="54"/>
        <v>10</v>
      </c>
      <c r="V110" s="97">
        <f t="shared" si="55"/>
        <v>11</v>
      </c>
      <c r="W110" s="97">
        <f t="shared" si="56"/>
        <v>6</v>
      </c>
      <c r="X110" s="97">
        <f t="shared" si="57"/>
        <v>12</v>
      </c>
      <c r="Y110" s="97">
        <f t="shared" si="58"/>
        <v>8</v>
      </c>
      <c r="Z110" s="97">
        <f t="shared" si="59"/>
        <v>12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74" t="s">
        <v>176</v>
      </c>
      <c r="AK110" s="75">
        <v>0</v>
      </c>
      <c r="AL110" s="76">
        <v>2</v>
      </c>
      <c r="AM110" s="76">
        <v>2</v>
      </c>
      <c r="AN110" s="76">
        <v>1</v>
      </c>
      <c r="AO110" s="76">
        <v>2</v>
      </c>
      <c r="AP110" s="76">
        <v>0</v>
      </c>
      <c r="AQ110" s="77">
        <v>0</v>
      </c>
      <c r="AR110" s="78">
        <v>18</v>
      </c>
      <c r="BD110" s="22">
        <v>106</v>
      </c>
      <c r="BE110" s="98" t="s">
        <v>41</v>
      </c>
      <c r="BF110" s="98" t="s">
        <v>39</v>
      </c>
      <c r="BG110" s="98" t="s">
        <v>40</v>
      </c>
      <c r="BH110" s="98" t="s">
        <v>78</v>
      </c>
      <c r="BI110" s="98" t="s">
        <v>41</v>
      </c>
      <c r="BJ110" s="98" t="s">
        <v>26</v>
      </c>
      <c r="BK110" s="37" t="s">
        <v>41</v>
      </c>
      <c r="BM110" s="97">
        <f t="shared" si="60"/>
        <v>12</v>
      </c>
      <c r="BN110" s="97">
        <f t="shared" si="61"/>
        <v>10</v>
      </c>
      <c r="BO110" s="97">
        <f t="shared" si="62"/>
        <v>11</v>
      </c>
      <c r="BP110" s="97">
        <f t="shared" si="63"/>
        <v>6</v>
      </c>
      <c r="BQ110" s="97">
        <f t="shared" si="64"/>
        <v>12</v>
      </c>
      <c r="BR110" s="97">
        <f t="shared" si="65"/>
        <v>8</v>
      </c>
      <c r="BS110" s="97">
        <f t="shared" si="66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74" t="s">
        <v>176</v>
      </c>
      <c r="CD110" s="75">
        <v>0</v>
      </c>
      <c r="CE110" s="76">
        <v>2</v>
      </c>
      <c r="CF110" s="76">
        <v>2</v>
      </c>
      <c r="CG110" s="76">
        <v>1</v>
      </c>
      <c r="CH110" s="76">
        <v>2</v>
      </c>
      <c r="CI110" s="76">
        <v>0</v>
      </c>
      <c r="CJ110" s="77">
        <v>0</v>
      </c>
      <c r="CK110" s="78">
        <v>18</v>
      </c>
      <c r="CW110" s="22">
        <v>106</v>
      </c>
      <c r="CX110" s="98" t="s">
        <v>41</v>
      </c>
      <c r="CY110" s="98" t="s">
        <v>39</v>
      </c>
      <c r="CZ110" s="98" t="s">
        <v>40</v>
      </c>
      <c r="DA110" s="98" t="s">
        <v>78</v>
      </c>
      <c r="DB110" s="98" t="s">
        <v>41</v>
      </c>
      <c r="DC110" s="98" t="s">
        <v>26</v>
      </c>
      <c r="DD110" s="37" t="s">
        <v>41</v>
      </c>
      <c r="DF110" s="97">
        <f t="shared" si="67"/>
        <v>12</v>
      </c>
      <c r="DG110" s="97">
        <f t="shared" si="47"/>
        <v>10</v>
      </c>
      <c r="DH110" s="97">
        <f t="shared" si="48"/>
        <v>11</v>
      </c>
      <c r="DI110" s="97">
        <f t="shared" si="49"/>
        <v>6</v>
      </c>
      <c r="DJ110" s="97">
        <f t="shared" si="50"/>
        <v>12</v>
      </c>
      <c r="DK110" s="97">
        <f t="shared" si="51"/>
        <v>8</v>
      </c>
      <c r="DL110" s="97">
        <f t="shared" si="52"/>
        <v>12</v>
      </c>
      <c r="DN110" s="25">
        <v>1</v>
      </c>
      <c r="DO110" s="25">
        <v>1</v>
      </c>
      <c r="DP110" s="25">
        <v>1</v>
      </c>
      <c r="DQ110" s="25">
        <v>1</v>
      </c>
      <c r="DR110" s="25">
        <v>1</v>
      </c>
      <c r="DS110" s="25">
        <v>1</v>
      </c>
      <c r="DT110" s="7">
        <v>1</v>
      </c>
      <c r="DV110" s="74" t="s">
        <v>176</v>
      </c>
      <c r="DW110" s="75">
        <v>0</v>
      </c>
      <c r="DX110" s="76">
        <v>2</v>
      </c>
      <c r="DY110" s="76">
        <v>2</v>
      </c>
      <c r="DZ110" s="76">
        <v>1</v>
      </c>
      <c r="EA110" s="76">
        <v>2</v>
      </c>
      <c r="EB110" s="76">
        <v>0</v>
      </c>
      <c r="EC110" s="77">
        <v>0</v>
      </c>
      <c r="ED110" s="78">
        <v>18</v>
      </c>
    </row>
    <row r="111" spans="11:134" ht="16.5">
      <c r="K111" s="21">
        <v>107</v>
      </c>
      <c r="L111" s="98" t="s">
        <v>35</v>
      </c>
      <c r="M111" s="98" t="s">
        <v>39</v>
      </c>
      <c r="N111" s="98" t="s">
        <v>40</v>
      </c>
      <c r="O111" s="98" t="s">
        <v>40</v>
      </c>
      <c r="P111" s="98" t="s">
        <v>36</v>
      </c>
      <c r="Q111" s="98" t="s">
        <v>26</v>
      </c>
      <c r="R111" s="37" t="s">
        <v>41</v>
      </c>
      <c r="T111" s="97">
        <f t="shared" si="53"/>
        <v>4</v>
      </c>
      <c r="U111" s="97">
        <f t="shared" si="54"/>
        <v>10</v>
      </c>
      <c r="V111" s="97">
        <f t="shared" si="55"/>
        <v>11</v>
      </c>
      <c r="W111" s="97">
        <f t="shared" si="56"/>
        <v>11</v>
      </c>
      <c r="X111" s="97">
        <f t="shared" si="57"/>
        <v>5</v>
      </c>
      <c r="Y111" s="97">
        <f t="shared" si="58"/>
        <v>8</v>
      </c>
      <c r="Z111" s="97">
        <f t="shared" si="59"/>
        <v>12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74" t="s">
        <v>87</v>
      </c>
      <c r="AK111" s="75">
        <v>0</v>
      </c>
      <c r="AL111" s="76">
        <v>2</v>
      </c>
      <c r="AM111" s="76">
        <v>1</v>
      </c>
      <c r="AN111" s="76">
        <v>1</v>
      </c>
      <c r="AO111" s="76">
        <v>2</v>
      </c>
      <c r="AP111" s="76">
        <v>0</v>
      </c>
      <c r="AQ111" s="77">
        <v>0</v>
      </c>
      <c r="AR111" s="78">
        <v>19</v>
      </c>
      <c r="BD111" s="21">
        <v>107</v>
      </c>
      <c r="BE111" s="98" t="s">
        <v>35</v>
      </c>
      <c r="BF111" s="98" t="s">
        <v>39</v>
      </c>
      <c r="BG111" s="98" t="s">
        <v>40</v>
      </c>
      <c r="BH111" s="98" t="s">
        <v>40</v>
      </c>
      <c r="BI111" s="98" t="s">
        <v>36</v>
      </c>
      <c r="BJ111" s="98" t="s">
        <v>26</v>
      </c>
      <c r="BK111" s="37" t="s">
        <v>41</v>
      </c>
      <c r="BM111" s="97">
        <f t="shared" si="60"/>
        <v>4</v>
      </c>
      <c r="BN111" s="97">
        <f t="shared" si="61"/>
        <v>10</v>
      </c>
      <c r="BO111" s="97">
        <f t="shared" si="62"/>
        <v>11</v>
      </c>
      <c r="BP111" s="97">
        <f t="shared" si="63"/>
        <v>11</v>
      </c>
      <c r="BQ111" s="97">
        <f t="shared" si="64"/>
        <v>5</v>
      </c>
      <c r="BR111" s="97">
        <f t="shared" si="65"/>
        <v>8</v>
      </c>
      <c r="BS111" s="97">
        <f t="shared" si="66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74" t="s">
        <v>87</v>
      </c>
      <c r="CD111" s="75">
        <v>0</v>
      </c>
      <c r="CE111" s="76">
        <v>2</v>
      </c>
      <c r="CF111" s="76">
        <v>1</v>
      </c>
      <c r="CG111" s="76">
        <v>1</v>
      </c>
      <c r="CH111" s="76">
        <v>2</v>
      </c>
      <c r="CI111" s="76">
        <v>0</v>
      </c>
      <c r="CJ111" s="77">
        <v>0</v>
      </c>
      <c r="CK111" s="78">
        <v>19</v>
      </c>
      <c r="CW111" s="21">
        <v>107</v>
      </c>
      <c r="CX111" s="98" t="s">
        <v>35</v>
      </c>
      <c r="CY111" s="98" t="s">
        <v>39</v>
      </c>
      <c r="CZ111" s="98" t="s">
        <v>40</v>
      </c>
      <c r="DA111" s="98" t="s">
        <v>40</v>
      </c>
      <c r="DB111" s="98" t="s">
        <v>36</v>
      </c>
      <c r="DC111" s="98" t="s">
        <v>26</v>
      </c>
      <c r="DD111" s="37" t="s">
        <v>41</v>
      </c>
      <c r="DF111" s="97">
        <f t="shared" si="67"/>
        <v>4</v>
      </c>
      <c r="DG111" s="97">
        <f t="shared" si="47"/>
        <v>10</v>
      </c>
      <c r="DH111" s="97">
        <f t="shared" si="48"/>
        <v>11</v>
      </c>
      <c r="DI111" s="97">
        <f t="shared" si="49"/>
        <v>11</v>
      </c>
      <c r="DJ111" s="97">
        <f t="shared" si="50"/>
        <v>5</v>
      </c>
      <c r="DK111" s="97">
        <f t="shared" si="51"/>
        <v>8</v>
      </c>
      <c r="DL111" s="97">
        <f t="shared" si="52"/>
        <v>12</v>
      </c>
      <c r="DN111" s="25">
        <v>1</v>
      </c>
      <c r="DO111" s="25">
        <v>1</v>
      </c>
      <c r="DP111" s="25">
        <v>1</v>
      </c>
      <c r="DQ111" s="25">
        <v>1</v>
      </c>
      <c r="DR111" s="25">
        <v>1</v>
      </c>
      <c r="DS111" s="25">
        <v>1</v>
      </c>
      <c r="DT111" s="7">
        <v>1</v>
      </c>
      <c r="DV111" s="74" t="s">
        <v>87</v>
      </c>
      <c r="DW111" s="75">
        <v>0</v>
      </c>
      <c r="DX111" s="76">
        <v>2</v>
      </c>
      <c r="DY111" s="76">
        <v>1</v>
      </c>
      <c r="DZ111" s="76">
        <v>1</v>
      </c>
      <c r="EA111" s="76">
        <v>2</v>
      </c>
      <c r="EB111" s="76">
        <v>0</v>
      </c>
      <c r="EC111" s="77">
        <v>0</v>
      </c>
      <c r="ED111" s="78">
        <v>19</v>
      </c>
    </row>
    <row r="112" spans="11:134" ht="16.5">
      <c r="K112" s="22">
        <v>108</v>
      </c>
      <c r="L112" s="98" t="s">
        <v>39</v>
      </c>
      <c r="M112" s="98" t="s">
        <v>35</v>
      </c>
      <c r="N112" s="98" t="s">
        <v>40</v>
      </c>
      <c r="O112" s="98" t="s">
        <v>41</v>
      </c>
      <c r="P112" s="98" t="s">
        <v>177</v>
      </c>
      <c r="Q112" s="98" t="s">
        <v>41</v>
      </c>
      <c r="R112" s="37" t="s">
        <v>40</v>
      </c>
      <c r="T112" s="97">
        <f t="shared" si="53"/>
        <v>10</v>
      </c>
      <c r="U112" s="97">
        <f t="shared" si="54"/>
        <v>4</v>
      </c>
      <c r="V112" s="97">
        <f t="shared" si="55"/>
        <v>11</v>
      </c>
      <c r="W112" s="97">
        <f t="shared" si="56"/>
        <v>12</v>
      </c>
      <c r="X112" s="97">
        <f t="shared" si="57"/>
        <v>18</v>
      </c>
      <c r="Y112" s="97">
        <f t="shared" si="58"/>
        <v>12</v>
      </c>
      <c r="Z112" s="97">
        <f t="shared" si="59"/>
        <v>11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74" t="s">
        <v>88</v>
      </c>
      <c r="AK112" s="75">
        <v>0</v>
      </c>
      <c r="AL112" s="76">
        <v>2</v>
      </c>
      <c r="AM112" s="76">
        <v>1</v>
      </c>
      <c r="AN112" s="76">
        <v>2</v>
      </c>
      <c r="AO112" s="76">
        <v>1</v>
      </c>
      <c r="AP112" s="76">
        <v>0</v>
      </c>
      <c r="AQ112" s="77">
        <v>0</v>
      </c>
      <c r="AR112" s="78">
        <v>20</v>
      </c>
      <c r="BD112" s="22">
        <v>108</v>
      </c>
      <c r="BE112" s="98" t="s">
        <v>39</v>
      </c>
      <c r="BF112" s="98" t="s">
        <v>34</v>
      </c>
      <c r="BG112" s="98" t="s">
        <v>40</v>
      </c>
      <c r="BH112" s="98" t="s">
        <v>41</v>
      </c>
      <c r="BI112" s="98" t="s">
        <v>177</v>
      </c>
      <c r="BJ112" s="98" t="s">
        <v>41</v>
      </c>
      <c r="BK112" s="37" t="s">
        <v>40</v>
      </c>
      <c r="BM112" s="97">
        <f t="shared" si="60"/>
        <v>10</v>
      </c>
      <c r="BN112" s="97">
        <f t="shared" si="61"/>
        <v>3</v>
      </c>
      <c r="BO112" s="97">
        <f t="shared" si="62"/>
        <v>11</v>
      </c>
      <c r="BP112" s="97">
        <f t="shared" si="63"/>
        <v>12</v>
      </c>
      <c r="BQ112" s="97">
        <f t="shared" si="64"/>
        <v>18</v>
      </c>
      <c r="BR112" s="97">
        <f t="shared" si="65"/>
        <v>12</v>
      </c>
      <c r="BS112" s="97">
        <f t="shared" si="66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74" t="s">
        <v>88</v>
      </c>
      <c r="CD112" s="75">
        <v>0</v>
      </c>
      <c r="CE112" s="76">
        <v>2</v>
      </c>
      <c r="CF112" s="76">
        <v>1</v>
      </c>
      <c r="CG112" s="76">
        <v>2</v>
      </c>
      <c r="CH112" s="76">
        <v>1</v>
      </c>
      <c r="CI112" s="76">
        <v>0</v>
      </c>
      <c r="CJ112" s="77">
        <v>0</v>
      </c>
      <c r="CK112" s="78">
        <v>20</v>
      </c>
      <c r="CW112" s="22">
        <v>108</v>
      </c>
      <c r="CX112" s="98" t="s">
        <v>39</v>
      </c>
      <c r="CY112" s="98" t="s">
        <v>34</v>
      </c>
      <c r="CZ112" s="98" t="s">
        <v>40</v>
      </c>
      <c r="DA112" s="98" t="s">
        <v>41</v>
      </c>
      <c r="DB112" s="98" t="s">
        <v>177</v>
      </c>
      <c r="DC112" s="98" t="s">
        <v>41</v>
      </c>
      <c r="DD112" s="37" t="s">
        <v>40</v>
      </c>
      <c r="DF112" s="97">
        <f t="shared" si="67"/>
        <v>10</v>
      </c>
      <c r="DG112" s="97">
        <f t="shared" si="47"/>
        <v>3</v>
      </c>
      <c r="DH112" s="97">
        <f t="shared" si="48"/>
        <v>11</v>
      </c>
      <c r="DI112" s="97">
        <f t="shared" si="49"/>
        <v>12</v>
      </c>
      <c r="DJ112" s="97">
        <f t="shared" si="50"/>
        <v>18</v>
      </c>
      <c r="DK112" s="97">
        <f t="shared" si="51"/>
        <v>12</v>
      </c>
      <c r="DL112" s="97">
        <f t="shared" si="52"/>
        <v>11</v>
      </c>
      <c r="DN112" s="25">
        <v>1</v>
      </c>
      <c r="DO112" s="25">
        <v>1</v>
      </c>
      <c r="DP112" s="25">
        <v>1</v>
      </c>
      <c r="DQ112" s="25">
        <v>1</v>
      </c>
      <c r="DR112" s="25">
        <v>1</v>
      </c>
      <c r="DS112" s="25">
        <v>1</v>
      </c>
      <c r="DT112" s="7">
        <v>1</v>
      </c>
      <c r="DV112" s="74" t="s">
        <v>88</v>
      </c>
      <c r="DW112" s="75">
        <v>0</v>
      </c>
      <c r="DX112" s="76">
        <v>2</v>
      </c>
      <c r="DY112" s="76">
        <v>1</v>
      </c>
      <c r="DZ112" s="76">
        <v>2</v>
      </c>
      <c r="EA112" s="76">
        <v>1</v>
      </c>
      <c r="EB112" s="76">
        <v>0</v>
      </c>
      <c r="EC112" s="77">
        <v>0</v>
      </c>
      <c r="ED112" s="78">
        <v>20</v>
      </c>
    </row>
    <row r="113" spans="11:134" ht="16.5">
      <c r="K113" s="21">
        <v>109</v>
      </c>
      <c r="L113" s="98" t="s">
        <v>39</v>
      </c>
      <c r="M113" s="98" t="s">
        <v>26</v>
      </c>
      <c r="N113" s="98" t="s">
        <v>26</v>
      </c>
      <c r="O113" s="98" t="s">
        <v>78</v>
      </c>
      <c r="P113" s="98" t="s">
        <v>163</v>
      </c>
      <c r="Q113" s="98" t="s">
        <v>41</v>
      </c>
      <c r="R113" s="98" t="s">
        <v>40</v>
      </c>
      <c r="T113" s="97">
        <f t="shared" si="53"/>
        <v>10</v>
      </c>
      <c r="U113" s="97">
        <f t="shared" si="54"/>
        <v>8</v>
      </c>
      <c r="V113" s="97">
        <f t="shared" si="55"/>
        <v>8</v>
      </c>
      <c r="W113" s="97">
        <f t="shared" si="56"/>
        <v>6</v>
      </c>
      <c r="X113" s="97">
        <f t="shared" si="57"/>
        <v>7</v>
      </c>
      <c r="Y113" s="97">
        <f t="shared" si="58"/>
        <v>12</v>
      </c>
      <c r="Z113" s="97">
        <f t="shared" si="59"/>
        <v>11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74" t="s">
        <v>89</v>
      </c>
      <c r="AK113" s="75">
        <v>0</v>
      </c>
      <c r="AL113" s="76">
        <v>2</v>
      </c>
      <c r="AM113" s="76">
        <v>2</v>
      </c>
      <c r="AN113" s="76">
        <v>1</v>
      </c>
      <c r="AO113" s="76">
        <v>1</v>
      </c>
      <c r="AP113" s="76">
        <v>0</v>
      </c>
      <c r="AQ113" s="77">
        <v>0</v>
      </c>
      <c r="AR113" s="78">
        <v>21</v>
      </c>
      <c r="BD113" s="21">
        <v>109</v>
      </c>
      <c r="BE113" s="98" t="s">
        <v>39</v>
      </c>
      <c r="BF113" s="98" t="s">
        <v>26</v>
      </c>
      <c r="BG113" s="98" t="s">
        <v>26</v>
      </c>
      <c r="BH113" s="98" t="s">
        <v>78</v>
      </c>
      <c r="BI113" s="98" t="s">
        <v>163</v>
      </c>
      <c r="BJ113" s="98" t="s">
        <v>41</v>
      </c>
      <c r="BK113" s="98" t="s">
        <v>40</v>
      </c>
      <c r="BM113" s="97">
        <f t="shared" si="60"/>
        <v>10</v>
      </c>
      <c r="BN113" s="97">
        <f t="shared" si="61"/>
        <v>8</v>
      </c>
      <c r="BO113" s="97">
        <f t="shared" si="62"/>
        <v>8</v>
      </c>
      <c r="BP113" s="97">
        <f t="shared" si="63"/>
        <v>6</v>
      </c>
      <c r="BQ113" s="97">
        <f t="shared" si="64"/>
        <v>7</v>
      </c>
      <c r="BR113" s="97">
        <f t="shared" si="65"/>
        <v>12</v>
      </c>
      <c r="BS113" s="97">
        <f t="shared" si="66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74" t="s">
        <v>89</v>
      </c>
      <c r="CD113" s="75">
        <v>0</v>
      </c>
      <c r="CE113" s="76">
        <v>2</v>
      </c>
      <c r="CF113" s="76">
        <v>2</v>
      </c>
      <c r="CG113" s="76">
        <v>1</v>
      </c>
      <c r="CH113" s="76">
        <v>1</v>
      </c>
      <c r="CI113" s="76">
        <v>0</v>
      </c>
      <c r="CJ113" s="77">
        <v>0</v>
      </c>
      <c r="CK113" s="78">
        <v>21</v>
      </c>
      <c r="CW113" s="21">
        <v>109</v>
      </c>
      <c r="CX113" s="98" t="s">
        <v>39</v>
      </c>
      <c r="CY113" s="98" t="s">
        <v>26</v>
      </c>
      <c r="CZ113" s="98" t="s">
        <v>26</v>
      </c>
      <c r="DA113" s="98" t="s">
        <v>78</v>
      </c>
      <c r="DB113" s="98" t="s">
        <v>163</v>
      </c>
      <c r="DC113" s="98" t="s">
        <v>41</v>
      </c>
      <c r="DD113" s="98" t="s">
        <v>40</v>
      </c>
      <c r="DF113" s="97">
        <f t="shared" si="67"/>
        <v>10</v>
      </c>
      <c r="DG113" s="97">
        <f t="shared" si="47"/>
        <v>8</v>
      </c>
      <c r="DH113" s="97">
        <f t="shared" si="48"/>
        <v>8</v>
      </c>
      <c r="DI113" s="97">
        <f t="shared" si="49"/>
        <v>6</v>
      </c>
      <c r="DJ113" s="97">
        <f t="shared" si="50"/>
        <v>7</v>
      </c>
      <c r="DK113" s="97">
        <f t="shared" si="51"/>
        <v>12</v>
      </c>
      <c r="DL113" s="97">
        <f t="shared" si="52"/>
        <v>11</v>
      </c>
      <c r="DN113" s="25">
        <v>1</v>
      </c>
      <c r="DO113" s="25">
        <v>1</v>
      </c>
      <c r="DP113" s="25">
        <v>1</v>
      </c>
      <c r="DQ113" s="25">
        <v>1</v>
      </c>
      <c r="DR113" s="25">
        <v>1</v>
      </c>
      <c r="DS113" s="25">
        <v>1</v>
      </c>
      <c r="DT113" s="7">
        <v>1</v>
      </c>
      <c r="DV113" s="74" t="s">
        <v>89</v>
      </c>
      <c r="DW113" s="75">
        <v>0</v>
      </c>
      <c r="DX113" s="76">
        <v>2</v>
      </c>
      <c r="DY113" s="76">
        <v>2</v>
      </c>
      <c r="DZ113" s="76">
        <v>1</v>
      </c>
      <c r="EA113" s="76">
        <v>1</v>
      </c>
      <c r="EB113" s="76">
        <v>0</v>
      </c>
      <c r="EC113" s="77">
        <v>0</v>
      </c>
      <c r="ED113" s="78">
        <v>21</v>
      </c>
    </row>
    <row r="114" spans="11:134" ht="16.5">
      <c r="K114" s="22">
        <v>110</v>
      </c>
      <c r="L114" s="98" t="s">
        <v>40</v>
      </c>
      <c r="M114" s="98" t="s">
        <v>78</v>
      </c>
      <c r="N114" s="98" t="s">
        <v>26</v>
      </c>
      <c r="O114" s="98" t="s">
        <v>78</v>
      </c>
      <c r="P114" s="98" t="s">
        <v>40</v>
      </c>
      <c r="Q114" s="98" t="s">
        <v>39</v>
      </c>
      <c r="R114" s="37" t="s">
        <v>40</v>
      </c>
      <c r="T114" s="97">
        <f t="shared" si="53"/>
        <v>11</v>
      </c>
      <c r="U114" s="97">
        <f t="shared" si="54"/>
        <v>6</v>
      </c>
      <c r="V114" s="97">
        <f t="shared" si="55"/>
        <v>8</v>
      </c>
      <c r="W114" s="97">
        <f t="shared" si="56"/>
        <v>6</v>
      </c>
      <c r="X114" s="97">
        <f t="shared" si="57"/>
        <v>11</v>
      </c>
      <c r="Y114" s="97">
        <f t="shared" si="58"/>
        <v>10</v>
      </c>
      <c r="Z114" s="97">
        <f t="shared" si="59"/>
        <v>11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74" t="s">
        <v>90</v>
      </c>
      <c r="AK114" s="75">
        <v>0</v>
      </c>
      <c r="AL114" s="76">
        <v>1</v>
      </c>
      <c r="AM114" s="76">
        <v>1</v>
      </c>
      <c r="AN114" s="76">
        <v>1</v>
      </c>
      <c r="AO114" s="76">
        <v>1</v>
      </c>
      <c r="AP114" s="76">
        <v>0</v>
      </c>
      <c r="AQ114" s="77">
        <v>0</v>
      </c>
      <c r="AR114" s="78">
        <v>22</v>
      </c>
      <c r="BD114" s="22">
        <v>110</v>
      </c>
      <c r="BE114" s="98" t="s">
        <v>40</v>
      </c>
      <c r="BF114" s="98" t="s">
        <v>78</v>
      </c>
      <c r="BG114" s="98" t="s">
        <v>26</v>
      </c>
      <c r="BH114" s="98" t="s">
        <v>78</v>
      </c>
      <c r="BI114" s="98" t="s">
        <v>40</v>
      </c>
      <c r="BJ114" s="98" t="s">
        <v>39</v>
      </c>
      <c r="BK114" s="37" t="s">
        <v>40</v>
      </c>
      <c r="BM114" s="97">
        <f t="shared" si="60"/>
        <v>11</v>
      </c>
      <c r="BN114" s="97">
        <f t="shared" si="61"/>
        <v>6</v>
      </c>
      <c r="BO114" s="97">
        <f t="shared" si="62"/>
        <v>8</v>
      </c>
      <c r="BP114" s="97">
        <f t="shared" si="63"/>
        <v>6</v>
      </c>
      <c r="BQ114" s="97">
        <f t="shared" si="64"/>
        <v>11</v>
      </c>
      <c r="BR114" s="97">
        <f t="shared" si="65"/>
        <v>10</v>
      </c>
      <c r="BS114" s="97">
        <f t="shared" si="66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74" t="s">
        <v>90</v>
      </c>
      <c r="CD114" s="75">
        <v>0</v>
      </c>
      <c r="CE114" s="76">
        <v>1</v>
      </c>
      <c r="CF114" s="76">
        <v>1</v>
      </c>
      <c r="CG114" s="76">
        <v>1</v>
      </c>
      <c r="CH114" s="76">
        <v>1</v>
      </c>
      <c r="CI114" s="76">
        <v>0</v>
      </c>
      <c r="CJ114" s="77">
        <v>0</v>
      </c>
      <c r="CK114" s="78">
        <v>22</v>
      </c>
      <c r="CW114" s="22">
        <v>110</v>
      </c>
      <c r="CX114" s="98" t="s">
        <v>40</v>
      </c>
      <c r="CY114" s="98" t="s">
        <v>78</v>
      </c>
      <c r="CZ114" s="98" t="s">
        <v>26</v>
      </c>
      <c r="DA114" s="98" t="s">
        <v>78</v>
      </c>
      <c r="DB114" s="98" t="s">
        <v>40</v>
      </c>
      <c r="DC114" s="98" t="s">
        <v>39</v>
      </c>
      <c r="DD114" s="37" t="s">
        <v>40</v>
      </c>
      <c r="DF114" s="97">
        <f t="shared" si="67"/>
        <v>11</v>
      </c>
      <c r="DG114" s="97">
        <f t="shared" si="47"/>
        <v>6</v>
      </c>
      <c r="DH114" s="97">
        <f t="shared" si="48"/>
        <v>8</v>
      </c>
      <c r="DI114" s="97">
        <f t="shared" si="49"/>
        <v>6</v>
      </c>
      <c r="DJ114" s="97">
        <f t="shared" si="50"/>
        <v>11</v>
      </c>
      <c r="DK114" s="97">
        <f t="shared" si="51"/>
        <v>10</v>
      </c>
      <c r="DL114" s="97">
        <f t="shared" si="52"/>
        <v>11</v>
      </c>
      <c r="DN114" s="25">
        <v>1</v>
      </c>
      <c r="DO114" s="25">
        <v>1</v>
      </c>
      <c r="DP114" s="25">
        <v>1</v>
      </c>
      <c r="DQ114" s="25">
        <v>1</v>
      </c>
      <c r="DR114" s="25">
        <v>1</v>
      </c>
      <c r="DS114" s="25">
        <v>1</v>
      </c>
      <c r="DT114" s="7">
        <v>1</v>
      </c>
      <c r="DV114" s="74" t="s">
        <v>90</v>
      </c>
      <c r="DW114" s="75">
        <v>0</v>
      </c>
      <c r="DX114" s="76">
        <v>1</v>
      </c>
      <c r="DY114" s="76">
        <v>1</v>
      </c>
      <c r="DZ114" s="76">
        <v>1</v>
      </c>
      <c r="EA114" s="76">
        <v>1</v>
      </c>
      <c r="EB114" s="76">
        <v>0</v>
      </c>
      <c r="EC114" s="77">
        <v>0</v>
      </c>
      <c r="ED114" s="78">
        <v>22</v>
      </c>
    </row>
    <row r="115" spans="11:134" ht="17.25" thickBot="1">
      <c r="K115" s="21">
        <v>111</v>
      </c>
      <c r="L115" s="98" t="s">
        <v>163</v>
      </c>
      <c r="M115" s="98" t="s">
        <v>39</v>
      </c>
      <c r="N115" s="98" t="s">
        <v>206</v>
      </c>
      <c r="O115" s="98" t="s">
        <v>33</v>
      </c>
      <c r="P115" s="98" t="s">
        <v>163</v>
      </c>
      <c r="Q115" s="98" t="s">
        <v>26</v>
      </c>
      <c r="R115" s="37" t="s">
        <v>34</v>
      </c>
      <c r="T115" s="97">
        <f t="shared" si="53"/>
        <v>7</v>
      </c>
      <c r="U115" s="97">
        <f t="shared" si="54"/>
        <v>10</v>
      </c>
      <c r="V115" s="97">
        <f t="shared" si="55"/>
        <v>22</v>
      </c>
      <c r="W115" s="97">
        <f t="shared" si="56"/>
        <v>2</v>
      </c>
      <c r="X115" s="97">
        <f t="shared" si="57"/>
        <v>7</v>
      </c>
      <c r="Y115" s="97">
        <f t="shared" si="58"/>
        <v>8</v>
      </c>
      <c r="Z115" s="97">
        <f t="shared" si="59"/>
        <v>3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80" t="s">
        <v>91</v>
      </c>
      <c r="AK115" s="81">
        <v>0</v>
      </c>
      <c r="AL115" s="82">
        <v>2</v>
      </c>
      <c r="AM115" s="82">
        <v>1</v>
      </c>
      <c r="AN115" s="82">
        <v>1</v>
      </c>
      <c r="AO115" s="82">
        <v>1</v>
      </c>
      <c r="AP115" s="82">
        <v>0</v>
      </c>
      <c r="AQ115" s="83">
        <v>0</v>
      </c>
      <c r="AR115" s="178">
        <v>23</v>
      </c>
      <c r="BD115" s="21">
        <v>111</v>
      </c>
      <c r="BE115" s="98" t="s">
        <v>163</v>
      </c>
      <c r="BF115" s="98" t="s">
        <v>39</v>
      </c>
      <c r="BG115" s="98" t="s">
        <v>206</v>
      </c>
      <c r="BH115" s="98" t="s">
        <v>38</v>
      </c>
      <c r="BI115" s="98" t="s">
        <v>163</v>
      </c>
      <c r="BJ115" s="98" t="s">
        <v>26</v>
      </c>
      <c r="BK115" s="37" t="s">
        <v>34</v>
      </c>
      <c r="BM115" s="97">
        <f t="shared" si="60"/>
        <v>7</v>
      </c>
      <c r="BN115" s="97">
        <f t="shared" si="61"/>
        <v>10</v>
      </c>
      <c r="BO115" s="97">
        <f t="shared" si="62"/>
        <v>22</v>
      </c>
      <c r="BP115" s="97">
        <f t="shared" si="63"/>
        <v>9</v>
      </c>
      <c r="BQ115" s="97">
        <f t="shared" si="64"/>
        <v>7</v>
      </c>
      <c r="BR115" s="97">
        <f t="shared" si="65"/>
        <v>8</v>
      </c>
      <c r="BS115" s="97">
        <f t="shared" si="66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80" t="s">
        <v>91</v>
      </c>
      <c r="CD115" s="81">
        <v>0</v>
      </c>
      <c r="CE115" s="82">
        <v>2</v>
      </c>
      <c r="CF115" s="82">
        <v>1</v>
      </c>
      <c r="CG115" s="82">
        <v>1</v>
      </c>
      <c r="CH115" s="82">
        <v>1</v>
      </c>
      <c r="CI115" s="82">
        <v>0</v>
      </c>
      <c r="CJ115" s="83">
        <v>0</v>
      </c>
      <c r="CK115" s="178">
        <v>23</v>
      </c>
      <c r="CW115" s="21">
        <v>111</v>
      </c>
      <c r="CX115" s="98" t="s">
        <v>163</v>
      </c>
      <c r="CY115" s="98" t="s">
        <v>39</v>
      </c>
      <c r="CZ115" s="98" t="s">
        <v>206</v>
      </c>
      <c r="DA115" s="98" t="s">
        <v>38</v>
      </c>
      <c r="DB115" s="98" t="s">
        <v>163</v>
      </c>
      <c r="DC115" s="98" t="s">
        <v>26</v>
      </c>
      <c r="DD115" s="37" t="s">
        <v>34</v>
      </c>
      <c r="DF115" s="97">
        <f t="shared" si="67"/>
        <v>7</v>
      </c>
      <c r="DG115" s="97">
        <f t="shared" si="47"/>
        <v>10</v>
      </c>
      <c r="DH115" s="97">
        <f t="shared" si="48"/>
        <v>22</v>
      </c>
      <c r="DI115" s="97">
        <f t="shared" si="49"/>
        <v>9</v>
      </c>
      <c r="DJ115" s="97">
        <f t="shared" si="50"/>
        <v>7</v>
      </c>
      <c r="DK115" s="97">
        <f t="shared" si="51"/>
        <v>8</v>
      </c>
      <c r="DL115" s="97">
        <f t="shared" si="52"/>
        <v>3</v>
      </c>
      <c r="DN115" s="25">
        <v>1</v>
      </c>
      <c r="DO115" s="25">
        <v>1</v>
      </c>
      <c r="DP115" s="25">
        <v>1</v>
      </c>
      <c r="DQ115" s="25">
        <v>1</v>
      </c>
      <c r="DR115" s="25">
        <v>1</v>
      </c>
      <c r="DS115" s="25">
        <v>1</v>
      </c>
      <c r="DT115" s="7">
        <v>1</v>
      </c>
      <c r="DV115" s="80" t="s">
        <v>91</v>
      </c>
      <c r="DW115" s="81">
        <v>0</v>
      </c>
      <c r="DX115" s="82">
        <v>2</v>
      </c>
      <c r="DY115" s="82">
        <v>1</v>
      </c>
      <c r="DZ115" s="82">
        <v>1</v>
      </c>
      <c r="EA115" s="82">
        <v>1</v>
      </c>
      <c r="EB115" s="82">
        <v>0</v>
      </c>
      <c r="EC115" s="83">
        <v>0</v>
      </c>
      <c r="ED115" s="178">
        <v>23</v>
      </c>
    </row>
    <row r="116" spans="11:134" ht="16.5">
      <c r="K116" s="22">
        <v>112</v>
      </c>
      <c r="L116" s="98" t="s">
        <v>33</v>
      </c>
      <c r="M116" s="98" t="s">
        <v>39</v>
      </c>
      <c r="N116" s="98" t="s">
        <v>40</v>
      </c>
      <c r="O116" s="98" t="s">
        <v>202</v>
      </c>
      <c r="P116" s="98" t="s">
        <v>163</v>
      </c>
      <c r="Q116" s="98" t="s">
        <v>39</v>
      </c>
      <c r="R116" s="37" t="s">
        <v>34</v>
      </c>
      <c r="T116" s="97">
        <f t="shared" si="53"/>
        <v>2</v>
      </c>
      <c r="U116" s="97">
        <f t="shared" si="54"/>
        <v>10</v>
      </c>
      <c r="V116" s="97">
        <f t="shared" si="55"/>
        <v>11</v>
      </c>
      <c r="W116" s="97">
        <f t="shared" si="56"/>
        <v>23</v>
      </c>
      <c r="X116" s="97">
        <f t="shared" si="57"/>
        <v>7</v>
      </c>
      <c r="Y116" s="97">
        <f t="shared" si="58"/>
        <v>10</v>
      </c>
      <c r="Z116" s="97">
        <f t="shared" si="59"/>
        <v>3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184" t="s">
        <v>190</v>
      </c>
      <c r="AK116" s="185">
        <v>0</v>
      </c>
      <c r="AL116" s="186">
        <v>2</v>
      </c>
      <c r="AM116" s="186">
        <v>2</v>
      </c>
      <c r="AN116" s="186">
        <v>2</v>
      </c>
      <c r="AO116" s="186">
        <v>2</v>
      </c>
      <c r="AP116" s="186">
        <v>0</v>
      </c>
      <c r="AQ116" s="187">
        <v>0</v>
      </c>
      <c r="AR116" s="183">
        <v>24</v>
      </c>
      <c r="BD116" s="22">
        <v>112</v>
      </c>
      <c r="BE116" s="98" t="s">
        <v>41</v>
      </c>
      <c r="BF116" s="98" t="s">
        <v>39</v>
      </c>
      <c r="BG116" s="98" t="s">
        <v>40</v>
      </c>
      <c r="BH116" s="98" t="s">
        <v>202</v>
      </c>
      <c r="BI116" s="98" t="s">
        <v>163</v>
      </c>
      <c r="BJ116" s="98" t="s">
        <v>39</v>
      </c>
      <c r="BK116" s="37" t="s">
        <v>34</v>
      </c>
      <c r="BM116" s="97">
        <f t="shared" si="60"/>
        <v>12</v>
      </c>
      <c r="BN116" s="97">
        <f t="shared" si="61"/>
        <v>10</v>
      </c>
      <c r="BO116" s="97">
        <f t="shared" si="62"/>
        <v>11</v>
      </c>
      <c r="BP116" s="97">
        <f t="shared" si="63"/>
        <v>23</v>
      </c>
      <c r="BQ116" s="97">
        <f t="shared" si="64"/>
        <v>7</v>
      </c>
      <c r="BR116" s="97">
        <f t="shared" si="65"/>
        <v>10</v>
      </c>
      <c r="BS116" s="97">
        <f t="shared" si="66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184" t="s">
        <v>190</v>
      </c>
      <c r="CD116" s="185">
        <v>0</v>
      </c>
      <c r="CE116" s="186">
        <v>2</v>
      </c>
      <c r="CF116" s="186">
        <v>2</v>
      </c>
      <c r="CG116" s="186">
        <v>2</v>
      </c>
      <c r="CH116" s="186">
        <v>2</v>
      </c>
      <c r="CI116" s="186">
        <v>0</v>
      </c>
      <c r="CJ116" s="187">
        <v>0</v>
      </c>
      <c r="CK116" s="183">
        <v>24</v>
      </c>
      <c r="CW116" s="22">
        <v>112</v>
      </c>
      <c r="CX116" s="98" t="s">
        <v>41</v>
      </c>
      <c r="CY116" s="98" t="s">
        <v>39</v>
      </c>
      <c r="CZ116" s="98" t="s">
        <v>40</v>
      </c>
      <c r="DA116" s="98" t="s">
        <v>202</v>
      </c>
      <c r="DB116" s="98" t="s">
        <v>163</v>
      </c>
      <c r="DC116" s="98" t="s">
        <v>39</v>
      </c>
      <c r="DD116" s="37" t="s">
        <v>34</v>
      </c>
      <c r="DF116" s="97">
        <f t="shared" si="67"/>
        <v>12</v>
      </c>
      <c r="DG116" s="97">
        <f t="shared" si="47"/>
        <v>10</v>
      </c>
      <c r="DH116" s="97">
        <f t="shared" si="48"/>
        <v>11</v>
      </c>
      <c r="DI116" s="97">
        <f t="shared" si="49"/>
        <v>23</v>
      </c>
      <c r="DJ116" s="97">
        <f t="shared" si="50"/>
        <v>7</v>
      </c>
      <c r="DK116" s="97">
        <f t="shared" si="51"/>
        <v>10</v>
      </c>
      <c r="DL116" s="97">
        <f t="shared" si="52"/>
        <v>3</v>
      </c>
      <c r="DN116" s="25">
        <v>1</v>
      </c>
      <c r="DO116" s="25">
        <v>1</v>
      </c>
      <c r="DP116" s="25">
        <v>1</v>
      </c>
      <c r="DQ116" s="25">
        <v>1</v>
      </c>
      <c r="DR116" s="25">
        <v>1</v>
      </c>
      <c r="DS116" s="25">
        <v>1</v>
      </c>
      <c r="DT116" s="7">
        <v>1</v>
      </c>
      <c r="DV116" s="184" t="s">
        <v>190</v>
      </c>
      <c r="DW116" s="185">
        <v>0</v>
      </c>
      <c r="DX116" s="186">
        <v>0</v>
      </c>
      <c r="DY116" s="186">
        <v>0</v>
      </c>
      <c r="DZ116" s="186">
        <v>0</v>
      </c>
      <c r="EA116" s="186">
        <v>0</v>
      </c>
      <c r="EB116" s="186">
        <v>0</v>
      </c>
      <c r="EC116" s="187">
        <v>0</v>
      </c>
      <c r="ED116" s="183">
        <v>24</v>
      </c>
    </row>
    <row r="117" spans="11:134" ht="17.25" thickBot="1">
      <c r="K117" s="21">
        <v>113</v>
      </c>
      <c r="L117" s="98" t="s">
        <v>41</v>
      </c>
      <c r="M117" s="98" t="s">
        <v>34</v>
      </c>
      <c r="N117" s="98" t="s">
        <v>163</v>
      </c>
      <c r="O117" s="98" t="s">
        <v>40</v>
      </c>
      <c r="P117" s="98" t="s">
        <v>163</v>
      </c>
      <c r="Q117" s="98" t="s">
        <v>39</v>
      </c>
      <c r="R117" s="37" t="s">
        <v>39</v>
      </c>
      <c r="T117" s="97">
        <f t="shared" si="53"/>
        <v>12</v>
      </c>
      <c r="U117" s="97">
        <f t="shared" si="54"/>
        <v>3</v>
      </c>
      <c r="V117" s="97">
        <f t="shared" si="55"/>
        <v>7</v>
      </c>
      <c r="W117" s="97">
        <f t="shared" si="56"/>
        <v>11</v>
      </c>
      <c r="X117" s="97">
        <f t="shared" si="57"/>
        <v>7</v>
      </c>
      <c r="Y117" s="97">
        <f t="shared" si="58"/>
        <v>10</v>
      </c>
      <c r="Z117" s="97">
        <f t="shared" si="59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101" t="s">
        <v>201</v>
      </c>
      <c r="AK117" s="93">
        <v>0</v>
      </c>
      <c r="AL117" s="94">
        <v>0</v>
      </c>
      <c r="AM117" s="94">
        <v>0</v>
      </c>
      <c r="AN117" s="94">
        <v>0</v>
      </c>
      <c r="AO117" s="94">
        <v>0</v>
      </c>
      <c r="AP117" s="94">
        <v>0</v>
      </c>
      <c r="AQ117" s="95">
        <v>0</v>
      </c>
      <c r="AR117" s="84">
        <v>25</v>
      </c>
      <c r="BD117" s="21">
        <v>113</v>
      </c>
      <c r="BE117" s="98" t="s">
        <v>41</v>
      </c>
      <c r="BF117" s="98" t="s">
        <v>34</v>
      </c>
      <c r="BG117" s="98" t="s">
        <v>26</v>
      </c>
      <c r="BH117" s="98" t="s">
        <v>40</v>
      </c>
      <c r="BI117" s="98" t="s">
        <v>163</v>
      </c>
      <c r="BJ117" s="98" t="s">
        <v>39</v>
      </c>
      <c r="BK117" s="37" t="s">
        <v>39</v>
      </c>
      <c r="BM117" s="97">
        <f t="shared" si="60"/>
        <v>12</v>
      </c>
      <c r="BN117" s="97">
        <f t="shared" si="61"/>
        <v>3</v>
      </c>
      <c r="BO117" s="97">
        <f t="shared" si="62"/>
        <v>8</v>
      </c>
      <c r="BP117" s="97">
        <f t="shared" si="63"/>
        <v>11</v>
      </c>
      <c r="BQ117" s="97">
        <f t="shared" si="64"/>
        <v>7</v>
      </c>
      <c r="BR117" s="97">
        <f t="shared" si="65"/>
        <v>10</v>
      </c>
      <c r="BS117" s="97">
        <f t="shared" si="66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101" t="s">
        <v>201</v>
      </c>
      <c r="CD117" s="93">
        <v>0</v>
      </c>
      <c r="CE117" s="94">
        <v>0</v>
      </c>
      <c r="CF117" s="94">
        <v>0</v>
      </c>
      <c r="CG117" s="94">
        <v>0</v>
      </c>
      <c r="CH117" s="94">
        <v>0</v>
      </c>
      <c r="CI117" s="94">
        <v>0</v>
      </c>
      <c r="CJ117" s="95">
        <v>0</v>
      </c>
      <c r="CK117" s="84">
        <v>25</v>
      </c>
      <c r="CW117" s="21">
        <v>113</v>
      </c>
      <c r="CX117" s="98" t="s">
        <v>41</v>
      </c>
      <c r="CY117" s="98" t="s">
        <v>34</v>
      </c>
      <c r="CZ117" s="98" t="s">
        <v>26</v>
      </c>
      <c r="DA117" s="98" t="s">
        <v>40</v>
      </c>
      <c r="DB117" s="98" t="s">
        <v>163</v>
      </c>
      <c r="DC117" s="98" t="s">
        <v>39</v>
      </c>
      <c r="DD117" s="37" t="s">
        <v>39</v>
      </c>
      <c r="DF117" s="97">
        <f t="shared" si="67"/>
        <v>12</v>
      </c>
      <c r="DG117" s="97">
        <f t="shared" si="47"/>
        <v>3</v>
      </c>
      <c r="DH117" s="97">
        <f t="shared" si="48"/>
        <v>8</v>
      </c>
      <c r="DI117" s="97">
        <f t="shared" si="49"/>
        <v>11</v>
      </c>
      <c r="DJ117" s="97">
        <f t="shared" si="50"/>
        <v>7</v>
      </c>
      <c r="DK117" s="97">
        <f t="shared" si="51"/>
        <v>10</v>
      </c>
      <c r="DL117" s="97">
        <f t="shared" si="52"/>
        <v>10</v>
      </c>
      <c r="DN117" s="25">
        <v>1</v>
      </c>
      <c r="DO117" s="25">
        <v>1</v>
      </c>
      <c r="DP117" s="25">
        <v>1</v>
      </c>
      <c r="DQ117" s="25">
        <v>1</v>
      </c>
      <c r="DR117" s="25">
        <v>1</v>
      </c>
      <c r="DS117" s="25">
        <v>1</v>
      </c>
      <c r="DT117" s="7">
        <v>1</v>
      </c>
      <c r="DV117" s="101" t="s">
        <v>201</v>
      </c>
      <c r="DW117" s="93">
        <v>0</v>
      </c>
      <c r="DX117" s="94">
        <v>0</v>
      </c>
      <c r="DY117" s="94">
        <v>0</v>
      </c>
      <c r="DZ117" s="94">
        <v>0</v>
      </c>
      <c r="EA117" s="94">
        <v>0</v>
      </c>
      <c r="EB117" s="94">
        <v>0</v>
      </c>
      <c r="EC117" s="95">
        <v>0</v>
      </c>
      <c r="ED117" s="84">
        <v>25</v>
      </c>
    </row>
    <row r="118" spans="11:134">
      <c r="K118" s="22">
        <v>114</v>
      </c>
      <c r="L118" s="98" t="s">
        <v>39</v>
      </c>
      <c r="M118" s="98" t="s">
        <v>34</v>
      </c>
      <c r="N118" s="98" t="s">
        <v>38</v>
      </c>
      <c r="O118" s="98" t="s">
        <v>38</v>
      </c>
      <c r="P118" s="98" t="s">
        <v>36</v>
      </c>
      <c r="Q118" s="98" t="s">
        <v>33</v>
      </c>
      <c r="R118" s="37" t="s">
        <v>39</v>
      </c>
      <c r="T118" s="97">
        <f t="shared" si="53"/>
        <v>10</v>
      </c>
      <c r="U118" s="97">
        <f t="shared" si="54"/>
        <v>3</v>
      </c>
      <c r="V118" s="97">
        <f t="shared" si="55"/>
        <v>9</v>
      </c>
      <c r="W118" s="97">
        <f t="shared" si="56"/>
        <v>9</v>
      </c>
      <c r="X118" s="97">
        <f t="shared" si="57"/>
        <v>5</v>
      </c>
      <c r="Y118" s="97">
        <f t="shared" si="58"/>
        <v>2</v>
      </c>
      <c r="Z118" s="97">
        <f t="shared" si="59"/>
        <v>10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  <c r="BD118" s="22">
        <v>114</v>
      </c>
      <c r="BE118" s="98" t="s">
        <v>39</v>
      </c>
      <c r="BF118" s="98" t="s">
        <v>34</v>
      </c>
      <c r="BG118" s="98" t="s">
        <v>38</v>
      </c>
      <c r="BH118" s="98" t="s">
        <v>38</v>
      </c>
      <c r="BI118" s="98" t="s">
        <v>36</v>
      </c>
      <c r="BJ118" s="98" t="s">
        <v>26</v>
      </c>
      <c r="BK118" s="37" t="s">
        <v>39</v>
      </c>
      <c r="BM118" s="97">
        <f t="shared" si="60"/>
        <v>10</v>
      </c>
      <c r="BN118" s="97">
        <f t="shared" si="61"/>
        <v>3</v>
      </c>
      <c r="BO118" s="97">
        <f t="shared" si="62"/>
        <v>9</v>
      </c>
      <c r="BP118" s="97">
        <f t="shared" si="63"/>
        <v>9</v>
      </c>
      <c r="BQ118" s="97">
        <f t="shared" si="64"/>
        <v>5</v>
      </c>
      <c r="BR118" s="97">
        <f t="shared" si="65"/>
        <v>8</v>
      </c>
      <c r="BS118" s="97">
        <f t="shared" si="66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103"/>
      <c r="CD118" s="103"/>
      <c r="CE118" s="103"/>
      <c r="CF118" s="103"/>
      <c r="CG118" s="103"/>
      <c r="CH118" s="103"/>
      <c r="CI118" s="103"/>
      <c r="CJ118" s="103"/>
      <c r="CK118" s="103"/>
      <c r="CW118" s="22">
        <v>114</v>
      </c>
      <c r="CX118" s="98" t="s">
        <v>39</v>
      </c>
      <c r="CY118" s="98" t="s">
        <v>34</v>
      </c>
      <c r="CZ118" s="98" t="s">
        <v>38</v>
      </c>
      <c r="DA118" s="98" t="s">
        <v>38</v>
      </c>
      <c r="DB118" s="98" t="s">
        <v>36</v>
      </c>
      <c r="DC118" s="98" t="s">
        <v>26</v>
      </c>
      <c r="DD118" s="37" t="s">
        <v>39</v>
      </c>
      <c r="DF118" s="97">
        <f t="shared" si="67"/>
        <v>10</v>
      </c>
      <c r="DG118" s="97">
        <f t="shared" si="47"/>
        <v>3</v>
      </c>
      <c r="DH118" s="97">
        <f t="shared" si="48"/>
        <v>9</v>
      </c>
      <c r="DI118" s="97">
        <f t="shared" si="49"/>
        <v>9</v>
      </c>
      <c r="DJ118" s="97">
        <f t="shared" si="50"/>
        <v>5</v>
      </c>
      <c r="DK118" s="97">
        <f t="shared" si="51"/>
        <v>8</v>
      </c>
      <c r="DL118" s="97">
        <f t="shared" si="52"/>
        <v>10</v>
      </c>
      <c r="DN118" s="25">
        <v>1</v>
      </c>
      <c r="DO118" s="25">
        <v>1</v>
      </c>
      <c r="DP118" s="25">
        <v>1</v>
      </c>
      <c r="DQ118" s="25">
        <v>1</v>
      </c>
      <c r="DR118" s="25">
        <v>1</v>
      </c>
      <c r="DS118" s="25">
        <v>1</v>
      </c>
      <c r="DT118" s="7">
        <v>1</v>
      </c>
      <c r="DV118" s="103"/>
      <c r="DW118" s="103"/>
      <c r="DX118" s="103"/>
      <c r="DY118" s="103"/>
      <c r="DZ118" s="103"/>
      <c r="EA118" s="103"/>
      <c r="EB118" s="103"/>
      <c r="EC118" s="103"/>
      <c r="ED118" s="103"/>
    </row>
    <row r="119" spans="11:134" ht="16.5" thickBot="1">
      <c r="K119" s="21">
        <v>115</v>
      </c>
      <c r="L119" s="98" t="s">
        <v>41</v>
      </c>
      <c r="M119" s="98" t="s">
        <v>163</v>
      </c>
      <c r="N119" s="98" t="s">
        <v>36</v>
      </c>
      <c r="O119" s="98" t="s">
        <v>175</v>
      </c>
      <c r="P119" s="98" t="s">
        <v>100</v>
      </c>
      <c r="Q119" s="98" t="s">
        <v>33</v>
      </c>
      <c r="R119" s="37" t="s">
        <v>190</v>
      </c>
      <c r="T119" s="97">
        <f t="shared" si="53"/>
        <v>12</v>
      </c>
      <c r="U119" s="97">
        <f t="shared" si="54"/>
        <v>7</v>
      </c>
      <c r="V119" s="97">
        <f t="shared" si="55"/>
        <v>5</v>
      </c>
      <c r="W119" s="97">
        <f t="shared" si="56"/>
        <v>17</v>
      </c>
      <c r="X119" s="97">
        <f t="shared" si="57"/>
        <v>14</v>
      </c>
      <c r="Y119" s="97">
        <f t="shared" si="58"/>
        <v>2</v>
      </c>
      <c r="Z119" s="97">
        <f t="shared" si="59"/>
        <v>24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  <c r="BD119" s="21">
        <v>115</v>
      </c>
      <c r="BE119" s="98" t="s">
        <v>41</v>
      </c>
      <c r="BF119" s="98" t="s">
        <v>163</v>
      </c>
      <c r="BG119" s="98" t="s">
        <v>36</v>
      </c>
      <c r="BH119" s="98" t="s">
        <v>175</v>
      </c>
      <c r="BI119" s="98" t="s">
        <v>100</v>
      </c>
      <c r="BJ119" s="98" t="s">
        <v>26</v>
      </c>
      <c r="BK119" s="37" t="s">
        <v>41</v>
      </c>
      <c r="BM119" s="97">
        <f t="shared" si="60"/>
        <v>12</v>
      </c>
      <c r="BN119" s="97">
        <f t="shared" si="61"/>
        <v>7</v>
      </c>
      <c r="BO119" s="97">
        <f t="shared" si="62"/>
        <v>5</v>
      </c>
      <c r="BP119" s="97">
        <f t="shared" si="63"/>
        <v>17</v>
      </c>
      <c r="BQ119" s="97">
        <f t="shared" si="64"/>
        <v>14</v>
      </c>
      <c r="BR119" s="97">
        <f t="shared" si="65"/>
        <v>8</v>
      </c>
      <c r="BS119" s="97">
        <f t="shared" si="66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103"/>
      <c r="CD119" s="219" t="s">
        <v>178</v>
      </c>
      <c r="CE119" s="219"/>
      <c r="CF119" s="219"/>
      <c r="CG119" s="219"/>
      <c r="CH119" s="219"/>
      <c r="CI119" s="219"/>
      <c r="CJ119" s="219"/>
      <c r="CK119" s="219"/>
      <c r="CW119" s="21">
        <v>115</v>
      </c>
      <c r="CX119" s="98" t="s">
        <v>41</v>
      </c>
      <c r="CY119" s="98" t="s">
        <v>163</v>
      </c>
      <c r="CZ119" s="98" t="s">
        <v>36</v>
      </c>
      <c r="DA119" s="98" t="s">
        <v>175</v>
      </c>
      <c r="DB119" s="98" t="s">
        <v>100</v>
      </c>
      <c r="DC119" s="98" t="s">
        <v>26</v>
      </c>
      <c r="DD119" s="37" t="s">
        <v>41</v>
      </c>
      <c r="DF119" s="97">
        <f t="shared" si="67"/>
        <v>12</v>
      </c>
      <c r="DG119" s="97">
        <f t="shared" si="47"/>
        <v>7</v>
      </c>
      <c r="DH119" s="97">
        <f t="shared" si="48"/>
        <v>5</v>
      </c>
      <c r="DI119" s="97">
        <f t="shared" si="49"/>
        <v>17</v>
      </c>
      <c r="DJ119" s="97">
        <f t="shared" si="50"/>
        <v>14</v>
      </c>
      <c r="DK119" s="97">
        <f t="shared" si="51"/>
        <v>8</v>
      </c>
      <c r="DL119" s="97">
        <f t="shared" si="52"/>
        <v>12</v>
      </c>
      <c r="DN119" s="25">
        <v>1</v>
      </c>
      <c r="DO119" s="25">
        <v>1</v>
      </c>
      <c r="DP119" s="25">
        <v>1</v>
      </c>
      <c r="DQ119" s="25">
        <v>1</v>
      </c>
      <c r="DR119" s="25">
        <v>1</v>
      </c>
      <c r="DS119" s="25">
        <v>1</v>
      </c>
      <c r="DT119" s="7">
        <v>1</v>
      </c>
      <c r="DV119" s="103"/>
      <c r="DW119" s="219" t="s">
        <v>178</v>
      </c>
      <c r="DX119" s="219"/>
      <c r="DY119" s="219"/>
      <c r="DZ119" s="219"/>
      <c r="EA119" s="219"/>
      <c r="EB119" s="219"/>
      <c r="EC119" s="219"/>
      <c r="ED119" s="219"/>
    </row>
    <row r="120" spans="11:134" ht="17.25" thickBot="1">
      <c r="K120" s="22">
        <v>116</v>
      </c>
      <c r="L120" s="98" t="s">
        <v>41</v>
      </c>
      <c r="M120" s="98" t="s">
        <v>41</v>
      </c>
      <c r="N120" s="98" t="s">
        <v>26</v>
      </c>
      <c r="O120" s="98" t="s">
        <v>78</v>
      </c>
      <c r="P120" s="98" t="s">
        <v>34</v>
      </c>
      <c r="Q120" s="98" t="s">
        <v>39</v>
      </c>
      <c r="R120" s="37" t="s">
        <v>190</v>
      </c>
      <c r="T120" s="97">
        <f t="shared" si="53"/>
        <v>12</v>
      </c>
      <c r="U120" s="97">
        <f t="shared" si="54"/>
        <v>12</v>
      </c>
      <c r="V120" s="97">
        <f t="shared" si="55"/>
        <v>8</v>
      </c>
      <c r="W120" s="97">
        <f t="shared" si="56"/>
        <v>6</v>
      </c>
      <c r="X120" s="97">
        <f t="shared" si="57"/>
        <v>3</v>
      </c>
      <c r="Y120" s="97">
        <f t="shared" si="58"/>
        <v>10</v>
      </c>
      <c r="Z120" s="97">
        <f t="shared" si="59"/>
        <v>24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  <c r="BD120" s="22">
        <v>116</v>
      </c>
      <c r="BE120" s="98" t="s">
        <v>41</v>
      </c>
      <c r="BF120" s="98" t="s">
        <v>41</v>
      </c>
      <c r="BG120" s="98" t="s">
        <v>26</v>
      </c>
      <c r="BH120" s="98" t="s">
        <v>78</v>
      </c>
      <c r="BI120" s="98" t="s">
        <v>34</v>
      </c>
      <c r="BJ120" s="98" t="s">
        <v>39</v>
      </c>
      <c r="BK120" s="37" t="s">
        <v>41</v>
      </c>
      <c r="BM120" s="97">
        <f t="shared" si="60"/>
        <v>12</v>
      </c>
      <c r="BN120" s="97">
        <f t="shared" si="61"/>
        <v>12</v>
      </c>
      <c r="BO120" s="97">
        <f t="shared" si="62"/>
        <v>8</v>
      </c>
      <c r="BP120" s="97">
        <f t="shared" si="63"/>
        <v>6</v>
      </c>
      <c r="BQ120" s="97">
        <f t="shared" si="64"/>
        <v>3</v>
      </c>
      <c r="BR120" s="97">
        <f t="shared" si="65"/>
        <v>10</v>
      </c>
      <c r="BS120" s="97">
        <f t="shared" si="66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65" t="s">
        <v>53</v>
      </c>
      <c r="CD120" s="66" t="s">
        <v>13</v>
      </c>
      <c r="CE120" s="66" t="s">
        <v>14</v>
      </c>
      <c r="CF120" s="66" t="s">
        <v>15</v>
      </c>
      <c r="CG120" s="66" t="s">
        <v>16</v>
      </c>
      <c r="CH120" s="66" t="s">
        <v>17</v>
      </c>
      <c r="CI120" s="66" t="s">
        <v>59</v>
      </c>
      <c r="CJ120" s="67" t="s">
        <v>79</v>
      </c>
      <c r="CK120" s="68" t="s">
        <v>4</v>
      </c>
      <c r="CW120" s="22">
        <v>116</v>
      </c>
      <c r="CX120" s="98" t="s">
        <v>41</v>
      </c>
      <c r="CY120" s="98" t="s">
        <v>41</v>
      </c>
      <c r="CZ120" s="98" t="s">
        <v>26</v>
      </c>
      <c r="DA120" s="98" t="s">
        <v>78</v>
      </c>
      <c r="DB120" s="98" t="s">
        <v>34</v>
      </c>
      <c r="DC120" s="98" t="s">
        <v>39</v>
      </c>
      <c r="DD120" s="37" t="s">
        <v>41</v>
      </c>
      <c r="DF120" s="97">
        <f t="shared" si="67"/>
        <v>12</v>
      </c>
      <c r="DG120" s="97">
        <f t="shared" si="47"/>
        <v>12</v>
      </c>
      <c r="DH120" s="97">
        <f t="shared" si="48"/>
        <v>8</v>
      </c>
      <c r="DI120" s="97">
        <f t="shared" si="49"/>
        <v>6</v>
      </c>
      <c r="DJ120" s="97">
        <f t="shared" si="50"/>
        <v>3</v>
      </c>
      <c r="DK120" s="97">
        <f t="shared" si="51"/>
        <v>10</v>
      </c>
      <c r="DL120" s="97">
        <f t="shared" si="52"/>
        <v>12</v>
      </c>
      <c r="DN120" s="25">
        <v>1</v>
      </c>
      <c r="DO120" s="25">
        <v>1</v>
      </c>
      <c r="DP120" s="25">
        <v>1</v>
      </c>
      <c r="DQ120" s="25">
        <v>1</v>
      </c>
      <c r="DR120" s="25">
        <v>1</v>
      </c>
      <c r="DS120" s="25">
        <v>1</v>
      </c>
      <c r="DT120" s="7">
        <v>1</v>
      </c>
      <c r="DV120" s="65" t="s">
        <v>53</v>
      </c>
      <c r="DW120" s="66" t="s">
        <v>13</v>
      </c>
      <c r="DX120" s="66" t="s">
        <v>14</v>
      </c>
      <c r="DY120" s="66" t="s">
        <v>15</v>
      </c>
      <c r="DZ120" s="66" t="s">
        <v>16</v>
      </c>
      <c r="EA120" s="66" t="s">
        <v>17</v>
      </c>
      <c r="EB120" s="66" t="s">
        <v>59</v>
      </c>
      <c r="EC120" s="67" t="s">
        <v>79</v>
      </c>
      <c r="ED120" s="68" t="s">
        <v>4</v>
      </c>
    </row>
    <row r="121" spans="11:134" ht="16.5">
      <c r="K121" s="21">
        <v>117</v>
      </c>
      <c r="L121" s="98" t="s">
        <v>78</v>
      </c>
      <c r="M121" s="98" t="s">
        <v>41</v>
      </c>
      <c r="N121" s="98" t="s">
        <v>26</v>
      </c>
      <c r="O121" s="98" t="s">
        <v>39</v>
      </c>
      <c r="P121" s="98" t="s">
        <v>34</v>
      </c>
      <c r="Q121" s="98" t="s">
        <v>39</v>
      </c>
      <c r="R121" s="37" t="s">
        <v>190</v>
      </c>
      <c r="T121" s="97">
        <f t="shared" si="53"/>
        <v>6</v>
      </c>
      <c r="U121" s="97">
        <f t="shared" si="54"/>
        <v>12</v>
      </c>
      <c r="V121" s="97">
        <f t="shared" si="55"/>
        <v>8</v>
      </c>
      <c r="W121" s="97">
        <f t="shared" si="56"/>
        <v>10</v>
      </c>
      <c r="X121" s="97">
        <f t="shared" si="57"/>
        <v>3</v>
      </c>
      <c r="Y121" s="97">
        <f t="shared" si="58"/>
        <v>10</v>
      </c>
      <c r="Z121" s="97">
        <f t="shared" si="59"/>
        <v>24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  <c r="BD121" s="21">
        <v>117</v>
      </c>
      <c r="BE121" s="98" t="s">
        <v>78</v>
      </c>
      <c r="BF121" s="98" t="s">
        <v>41</v>
      </c>
      <c r="BG121" s="98" t="s">
        <v>26</v>
      </c>
      <c r="BH121" s="98" t="s">
        <v>39</v>
      </c>
      <c r="BI121" s="98" t="s">
        <v>34</v>
      </c>
      <c r="BJ121" s="98" t="s">
        <v>39</v>
      </c>
      <c r="BK121" s="37" t="s">
        <v>41</v>
      </c>
      <c r="BM121" s="97">
        <f t="shared" si="60"/>
        <v>6</v>
      </c>
      <c r="BN121" s="97">
        <f t="shared" si="61"/>
        <v>12</v>
      </c>
      <c r="BO121" s="97">
        <f t="shared" si="62"/>
        <v>8</v>
      </c>
      <c r="BP121" s="97">
        <f t="shared" si="63"/>
        <v>10</v>
      </c>
      <c r="BQ121" s="97">
        <f t="shared" si="64"/>
        <v>3</v>
      </c>
      <c r="BR121" s="97">
        <f t="shared" si="65"/>
        <v>10</v>
      </c>
      <c r="BS121" s="97">
        <f t="shared" si="66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69" t="s">
        <v>81</v>
      </c>
      <c r="CD121" s="70">
        <v>0</v>
      </c>
      <c r="CE121" s="71">
        <v>0</v>
      </c>
      <c r="CF121" s="71">
        <v>0</v>
      </c>
      <c r="CG121" s="71">
        <v>0</v>
      </c>
      <c r="CH121" s="71">
        <v>0</v>
      </c>
      <c r="CI121" s="71">
        <v>0</v>
      </c>
      <c r="CJ121" s="72">
        <v>0</v>
      </c>
      <c r="CK121" s="73">
        <v>0</v>
      </c>
      <c r="CW121" s="21">
        <v>117</v>
      </c>
      <c r="CX121" s="98" t="s">
        <v>78</v>
      </c>
      <c r="CY121" s="98" t="s">
        <v>41</v>
      </c>
      <c r="CZ121" s="98" t="s">
        <v>26</v>
      </c>
      <c r="DA121" s="98" t="s">
        <v>39</v>
      </c>
      <c r="DB121" s="98" t="s">
        <v>34</v>
      </c>
      <c r="DC121" s="98" t="s">
        <v>39</v>
      </c>
      <c r="DD121" s="37" t="s">
        <v>41</v>
      </c>
      <c r="DF121" s="97">
        <f t="shared" si="67"/>
        <v>6</v>
      </c>
      <c r="DG121" s="97">
        <f t="shared" si="47"/>
        <v>12</v>
      </c>
      <c r="DH121" s="97">
        <f t="shared" si="48"/>
        <v>8</v>
      </c>
      <c r="DI121" s="97">
        <f t="shared" si="49"/>
        <v>10</v>
      </c>
      <c r="DJ121" s="97">
        <f t="shared" si="50"/>
        <v>3</v>
      </c>
      <c r="DK121" s="97">
        <f t="shared" si="51"/>
        <v>10</v>
      </c>
      <c r="DL121" s="97">
        <f t="shared" si="52"/>
        <v>12</v>
      </c>
      <c r="DN121" s="25">
        <v>1</v>
      </c>
      <c r="DO121" s="25">
        <v>1</v>
      </c>
      <c r="DP121" s="25">
        <v>1</v>
      </c>
      <c r="DQ121" s="25">
        <v>1</v>
      </c>
      <c r="DR121" s="25">
        <v>1</v>
      </c>
      <c r="DS121" s="25">
        <v>1</v>
      </c>
      <c r="DT121" s="7">
        <v>1</v>
      </c>
      <c r="DV121" s="69" t="s">
        <v>81</v>
      </c>
      <c r="DW121" s="70">
        <v>0</v>
      </c>
      <c r="DX121" s="71">
        <v>0</v>
      </c>
      <c r="DY121" s="71">
        <v>0</v>
      </c>
      <c r="DZ121" s="71">
        <v>0</v>
      </c>
      <c r="EA121" s="71">
        <v>0</v>
      </c>
      <c r="EB121" s="71">
        <v>0</v>
      </c>
      <c r="EC121" s="72">
        <v>0</v>
      </c>
      <c r="ED121" s="73">
        <v>0</v>
      </c>
    </row>
    <row r="122" spans="11:134" ht="16.5">
      <c r="K122" s="22">
        <v>118</v>
      </c>
      <c r="L122" s="98" t="s">
        <v>41</v>
      </c>
      <c r="M122" s="98" t="s">
        <v>205</v>
      </c>
      <c r="N122" s="98" t="s">
        <v>78</v>
      </c>
      <c r="O122" s="98" t="s">
        <v>39</v>
      </c>
      <c r="P122" s="98" t="s">
        <v>163</v>
      </c>
      <c r="Q122" s="98" t="s">
        <v>26</v>
      </c>
      <c r="R122" s="37" t="s">
        <v>38</v>
      </c>
      <c r="T122" s="97">
        <f t="shared" si="53"/>
        <v>12</v>
      </c>
      <c r="U122" s="97">
        <f t="shared" si="54"/>
        <v>21</v>
      </c>
      <c r="V122" s="97">
        <f t="shared" si="55"/>
        <v>6</v>
      </c>
      <c r="W122" s="97">
        <f t="shared" si="56"/>
        <v>10</v>
      </c>
      <c r="X122" s="97">
        <f t="shared" si="57"/>
        <v>7</v>
      </c>
      <c r="Y122" s="97">
        <f t="shared" si="58"/>
        <v>8</v>
      </c>
      <c r="Z122" s="97">
        <f t="shared" si="59"/>
        <v>9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74" t="s">
        <v>20</v>
      </c>
      <c r="AK122" s="75">
        <v>5</v>
      </c>
      <c r="AL122" s="76">
        <v>5</v>
      </c>
      <c r="AM122" s="76">
        <v>5</v>
      </c>
      <c r="AN122" s="76">
        <v>5</v>
      </c>
      <c r="AO122" s="76">
        <v>5</v>
      </c>
      <c r="AP122" s="76">
        <v>5</v>
      </c>
      <c r="AQ122" s="77">
        <v>0</v>
      </c>
      <c r="AR122" s="78">
        <v>1</v>
      </c>
      <c r="BD122" s="22">
        <v>118</v>
      </c>
      <c r="BE122" s="98" t="s">
        <v>41</v>
      </c>
      <c r="BF122" s="98" t="s">
        <v>205</v>
      </c>
      <c r="BG122" s="98" t="s">
        <v>40</v>
      </c>
      <c r="BH122" s="98" t="s">
        <v>39</v>
      </c>
      <c r="BI122" s="98" t="s">
        <v>163</v>
      </c>
      <c r="BJ122" s="98" t="s">
        <v>39</v>
      </c>
      <c r="BK122" s="37" t="s">
        <v>38</v>
      </c>
      <c r="BM122" s="97">
        <f t="shared" si="60"/>
        <v>12</v>
      </c>
      <c r="BN122" s="97">
        <f t="shared" si="61"/>
        <v>21</v>
      </c>
      <c r="BO122" s="97">
        <f t="shared" si="62"/>
        <v>11</v>
      </c>
      <c r="BP122" s="97">
        <f t="shared" si="63"/>
        <v>10</v>
      </c>
      <c r="BQ122" s="97">
        <f t="shared" si="64"/>
        <v>7</v>
      </c>
      <c r="BR122" s="97">
        <f t="shared" si="65"/>
        <v>10</v>
      </c>
      <c r="BS122" s="97">
        <f t="shared" si="66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74" t="s">
        <v>20</v>
      </c>
      <c r="CD122" s="75">
        <v>5</v>
      </c>
      <c r="CE122" s="76">
        <v>5</v>
      </c>
      <c r="CF122" s="76">
        <v>5</v>
      </c>
      <c r="CG122" s="76">
        <v>5</v>
      </c>
      <c r="CH122" s="76">
        <v>5</v>
      </c>
      <c r="CI122" s="76">
        <v>5</v>
      </c>
      <c r="CJ122" s="77">
        <v>0</v>
      </c>
      <c r="CK122" s="78">
        <v>1</v>
      </c>
      <c r="CW122" s="22">
        <v>118</v>
      </c>
      <c r="CX122" s="98" t="s">
        <v>41</v>
      </c>
      <c r="CY122" s="98" t="s">
        <v>205</v>
      </c>
      <c r="CZ122" s="98" t="s">
        <v>40</v>
      </c>
      <c r="DA122" s="98" t="s">
        <v>39</v>
      </c>
      <c r="DB122" s="98" t="s">
        <v>163</v>
      </c>
      <c r="DC122" s="98" t="s">
        <v>39</v>
      </c>
      <c r="DD122" s="37" t="s">
        <v>38</v>
      </c>
      <c r="DF122" s="97">
        <f t="shared" si="67"/>
        <v>12</v>
      </c>
      <c r="DG122" s="97">
        <f t="shared" si="47"/>
        <v>21</v>
      </c>
      <c r="DH122" s="97">
        <f t="shared" si="48"/>
        <v>11</v>
      </c>
      <c r="DI122" s="97">
        <f t="shared" si="49"/>
        <v>10</v>
      </c>
      <c r="DJ122" s="97">
        <f t="shared" si="50"/>
        <v>7</v>
      </c>
      <c r="DK122" s="97">
        <f t="shared" si="51"/>
        <v>10</v>
      </c>
      <c r="DL122" s="97">
        <f t="shared" si="52"/>
        <v>9</v>
      </c>
      <c r="DN122" s="25">
        <v>1</v>
      </c>
      <c r="DO122" s="25">
        <v>1</v>
      </c>
      <c r="DP122" s="25">
        <v>1</v>
      </c>
      <c r="DQ122" s="25">
        <v>1</v>
      </c>
      <c r="DR122" s="25">
        <v>1</v>
      </c>
      <c r="DS122" s="25">
        <v>1</v>
      </c>
      <c r="DT122" s="7">
        <v>1</v>
      </c>
      <c r="DV122" s="74" t="s">
        <v>20</v>
      </c>
      <c r="DW122" s="75">
        <v>5</v>
      </c>
      <c r="DX122" s="76">
        <v>5</v>
      </c>
      <c r="DY122" s="76">
        <v>5</v>
      </c>
      <c r="DZ122" s="76">
        <v>5</v>
      </c>
      <c r="EA122" s="76">
        <v>5</v>
      </c>
      <c r="EB122" s="76">
        <v>5</v>
      </c>
      <c r="EC122" s="77">
        <v>0</v>
      </c>
      <c r="ED122" s="78">
        <v>1</v>
      </c>
    </row>
    <row r="123" spans="11:134" ht="16.5">
      <c r="K123" s="21">
        <v>119</v>
      </c>
      <c r="L123" s="98" t="s">
        <v>190</v>
      </c>
      <c r="M123" s="98" t="s">
        <v>190</v>
      </c>
      <c r="N123" s="98" t="s">
        <v>190</v>
      </c>
      <c r="O123" s="98" t="s">
        <v>190</v>
      </c>
      <c r="P123" s="98" t="s">
        <v>190</v>
      </c>
      <c r="Q123" s="98" t="s">
        <v>190</v>
      </c>
      <c r="R123" s="37" t="s">
        <v>38</v>
      </c>
      <c r="T123" s="97">
        <f t="shared" si="53"/>
        <v>24</v>
      </c>
      <c r="U123" s="97">
        <f t="shared" si="54"/>
        <v>24</v>
      </c>
      <c r="V123" s="97">
        <f t="shared" si="55"/>
        <v>24</v>
      </c>
      <c r="W123" s="97">
        <f t="shared" si="56"/>
        <v>24</v>
      </c>
      <c r="X123" s="97">
        <f t="shared" si="57"/>
        <v>24</v>
      </c>
      <c r="Y123" s="97">
        <f t="shared" si="58"/>
        <v>24</v>
      </c>
      <c r="Z123" s="97">
        <f t="shared" si="59"/>
        <v>9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74" t="s">
        <v>21</v>
      </c>
      <c r="AK123" s="75">
        <v>40</v>
      </c>
      <c r="AL123" s="76">
        <v>0</v>
      </c>
      <c r="AM123" s="76">
        <v>1</v>
      </c>
      <c r="AN123" s="76">
        <v>1</v>
      </c>
      <c r="AO123" s="76">
        <v>70</v>
      </c>
      <c r="AP123" s="76">
        <v>1</v>
      </c>
      <c r="AQ123" s="77">
        <v>0</v>
      </c>
      <c r="AR123" s="78">
        <v>2</v>
      </c>
      <c r="BD123" s="21">
        <v>119</v>
      </c>
      <c r="BE123" s="98" t="s">
        <v>38</v>
      </c>
      <c r="BF123" s="98" t="s">
        <v>39</v>
      </c>
      <c r="BG123" s="98" t="s">
        <v>38</v>
      </c>
      <c r="BH123" s="98" t="s">
        <v>78</v>
      </c>
      <c r="BI123" s="98" t="s">
        <v>34</v>
      </c>
      <c r="BJ123" s="98" t="s">
        <v>26</v>
      </c>
      <c r="BK123" s="37" t="s">
        <v>38</v>
      </c>
      <c r="BM123" s="97">
        <f t="shared" si="60"/>
        <v>9</v>
      </c>
      <c r="BN123" s="97">
        <f t="shared" si="61"/>
        <v>10</v>
      </c>
      <c r="BO123" s="97">
        <f t="shared" si="62"/>
        <v>9</v>
      </c>
      <c r="BP123" s="97">
        <f t="shared" si="63"/>
        <v>6</v>
      </c>
      <c r="BQ123" s="97">
        <f t="shared" si="64"/>
        <v>3</v>
      </c>
      <c r="BR123" s="97">
        <f t="shared" si="65"/>
        <v>8</v>
      </c>
      <c r="BS123" s="97">
        <f t="shared" si="66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74" t="s">
        <v>21</v>
      </c>
      <c r="CD123" s="75">
        <v>40</v>
      </c>
      <c r="CE123" s="76">
        <v>0</v>
      </c>
      <c r="CF123" s="76">
        <v>1</v>
      </c>
      <c r="CG123" s="76">
        <v>1</v>
      </c>
      <c r="CH123" s="76">
        <v>70</v>
      </c>
      <c r="CI123" s="76">
        <v>1</v>
      </c>
      <c r="CJ123" s="77">
        <v>0</v>
      </c>
      <c r="CK123" s="78">
        <v>2</v>
      </c>
      <c r="CW123" s="21">
        <v>119</v>
      </c>
      <c r="CX123" s="98" t="s">
        <v>38</v>
      </c>
      <c r="CY123" s="98" t="s">
        <v>39</v>
      </c>
      <c r="CZ123" s="98" t="s">
        <v>38</v>
      </c>
      <c r="DA123" s="98" t="s">
        <v>78</v>
      </c>
      <c r="DB123" s="98" t="s">
        <v>34</v>
      </c>
      <c r="DC123" s="98" t="s">
        <v>26</v>
      </c>
      <c r="DD123" s="37" t="s">
        <v>38</v>
      </c>
      <c r="DF123" s="97">
        <f t="shared" si="67"/>
        <v>9</v>
      </c>
      <c r="DG123" s="97">
        <f t="shared" si="47"/>
        <v>10</v>
      </c>
      <c r="DH123" s="97">
        <f t="shared" si="48"/>
        <v>9</v>
      </c>
      <c r="DI123" s="97">
        <f t="shared" si="49"/>
        <v>6</v>
      </c>
      <c r="DJ123" s="97">
        <f t="shared" si="50"/>
        <v>3</v>
      </c>
      <c r="DK123" s="97">
        <f t="shared" si="51"/>
        <v>8</v>
      </c>
      <c r="DL123" s="97">
        <f t="shared" si="52"/>
        <v>9</v>
      </c>
      <c r="DN123" s="25">
        <v>1</v>
      </c>
      <c r="DO123" s="25">
        <v>1</v>
      </c>
      <c r="DP123" s="25">
        <v>1</v>
      </c>
      <c r="DQ123" s="25">
        <v>1</v>
      </c>
      <c r="DR123" s="25">
        <v>1</v>
      </c>
      <c r="DS123" s="25">
        <v>1</v>
      </c>
      <c r="DT123" s="7">
        <v>1</v>
      </c>
      <c r="DV123" s="74" t="s">
        <v>21</v>
      </c>
      <c r="DW123" s="75">
        <v>40</v>
      </c>
      <c r="DX123" s="76">
        <v>0</v>
      </c>
      <c r="DY123" s="76">
        <v>1</v>
      </c>
      <c r="DZ123" s="76">
        <v>1</v>
      </c>
      <c r="EA123" s="76">
        <v>70</v>
      </c>
      <c r="EB123" s="76">
        <v>1</v>
      </c>
      <c r="EC123" s="77">
        <v>0</v>
      </c>
      <c r="ED123" s="78">
        <v>2</v>
      </c>
    </row>
    <row r="124" spans="11:134" ht="16.5">
      <c r="K124" s="22">
        <v>120</v>
      </c>
      <c r="L124" s="98" t="s">
        <v>190</v>
      </c>
      <c r="M124" s="98" t="s">
        <v>190</v>
      </c>
      <c r="N124" s="98" t="s">
        <v>190</v>
      </c>
      <c r="O124" s="98" t="s">
        <v>190</v>
      </c>
      <c r="P124" s="98" t="s">
        <v>190</v>
      </c>
      <c r="Q124" s="98" t="s">
        <v>190</v>
      </c>
      <c r="R124" s="37" t="s">
        <v>38</v>
      </c>
      <c r="T124" s="97">
        <f t="shared" si="53"/>
        <v>24</v>
      </c>
      <c r="U124" s="97">
        <f t="shared" si="54"/>
        <v>24</v>
      </c>
      <c r="V124" s="97">
        <f t="shared" si="55"/>
        <v>24</v>
      </c>
      <c r="W124" s="97">
        <f t="shared" si="56"/>
        <v>24</v>
      </c>
      <c r="X124" s="97">
        <f t="shared" si="57"/>
        <v>24</v>
      </c>
      <c r="Y124" s="97">
        <f t="shared" si="58"/>
        <v>24</v>
      </c>
      <c r="Z124" s="97">
        <f t="shared" si="59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  <c r="BD124" s="22">
        <v>120</v>
      </c>
      <c r="BE124" s="98" t="s">
        <v>38</v>
      </c>
      <c r="BF124" s="98" t="s">
        <v>41</v>
      </c>
      <c r="BG124" s="98" t="s">
        <v>26</v>
      </c>
      <c r="BH124" s="98" t="s">
        <v>78</v>
      </c>
      <c r="BI124" s="98" t="s">
        <v>163</v>
      </c>
      <c r="BJ124" s="98" t="s">
        <v>39</v>
      </c>
      <c r="BK124" s="37" t="s">
        <v>38</v>
      </c>
      <c r="BM124" s="97">
        <f t="shared" si="60"/>
        <v>9</v>
      </c>
      <c r="BN124" s="97">
        <f t="shared" si="61"/>
        <v>12</v>
      </c>
      <c r="BO124" s="97">
        <f t="shared" si="62"/>
        <v>8</v>
      </c>
      <c r="BP124" s="97">
        <f t="shared" si="63"/>
        <v>6</v>
      </c>
      <c r="BQ124" s="97">
        <f t="shared" si="64"/>
        <v>7</v>
      </c>
      <c r="BR124" s="97">
        <f t="shared" si="65"/>
        <v>10</v>
      </c>
      <c r="BS124" s="97">
        <f t="shared" si="66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74" t="s">
        <v>22</v>
      </c>
      <c r="CD124" s="75">
        <v>1</v>
      </c>
      <c r="CE124" s="76">
        <v>70</v>
      </c>
      <c r="CF124" s="76">
        <v>1</v>
      </c>
      <c r="CG124" s="76">
        <v>70</v>
      </c>
      <c r="CH124" s="76">
        <v>1</v>
      </c>
      <c r="CI124" s="76">
        <v>1</v>
      </c>
      <c r="CJ124" s="77">
        <v>0</v>
      </c>
      <c r="CK124" s="78">
        <v>3</v>
      </c>
      <c r="CW124" s="22">
        <v>120</v>
      </c>
      <c r="CX124" s="98" t="s">
        <v>38</v>
      </c>
      <c r="CY124" s="98" t="s">
        <v>41</v>
      </c>
      <c r="CZ124" s="98" t="s">
        <v>26</v>
      </c>
      <c r="DA124" s="98" t="s">
        <v>78</v>
      </c>
      <c r="DB124" s="98" t="s">
        <v>163</v>
      </c>
      <c r="DC124" s="98" t="s">
        <v>39</v>
      </c>
      <c r="DD124" s="37" t="s">
        <v>38</v>
      </c>
      <c r="DF124" s="97">
        <f t="shared" si="67"/>
        <v>9</v>
      </c>
      <c r="DG124" s="97">
        <f t="shared" si="47"/>
        <v>12</v>
      </c>
      <c r="DH124" s="97">
        <f t="shared" si="48"/>
        <v>8</v>
      </c>
      <c r="DI124" s="97">
        <f t="shared" si="49"/>
        <v>6</v>
      </c>
      <c r="DJ124" s="97">
        <f t="shared" si="50"/>
        <v>7</v>
      </c>
      <c r="DK124" s="97">
        <f t="shared" si="51"/>
        <v>10</v>
      </c>
      <c r="DL124" s="97">
        <f t="shared" si="52"/>
        <v>9</v>
      </c>
      <c r="DN124" s="25">
        <v>1</v>
      </c>
      <c r="DO124" s="25">
        <v>1</v>
      </c>
      <c r="DP124" s="25">
        <v>1</v>
      </c>
      <c r="DQ124" s="25">
        <v>1</v>
      </c>
      <c r="DR124" s="25">
        <v>1</v>
      </c>
      <c r="DS124" s="25">
        <v>1</v>
      </c>
      <c r="DT124" s="7">
        <v>1</v>
      </c>
      <c r="DV124" s="74" t="s">
        <v>22</v>
      </c>
      <c r="DW124" s="75">
        <v>1</v>
      </c>
      <c r="DX124" s="76">
        <v>70</v>
      </c>
      <c r="DY124" s="76">
        <v>1</v>
      </c>
      <c r="DZ124" s="76">
        <v>70</v>
      </c>
      <c r="EA124" s="76">
        <v>1</v>
      </c>
      <c r="EB124" s="76">
        <v>1</v>
      </c>
      <c r="EC124" s="77">
        <v>0</v>
      </c>
      <c r="ED124" s="78">
        <v>3</v>
      </c>
    </row>
    <row r="125" spans="11:134" ht="16.5">
      <c r="AB125" s="85"/>
      <c r="AC125" s="85"/>
      <c r="AD125" s="85"/>
      <c r="AE125" s="85"/>
      <c r="AF125" s="85"/>
      <c r="AG125" s="85"/>
      <c r="AH125" s="85"/>
      <c r="AJ125" s="74" t="s">
        <v>18</v>
      </c>
      <c r="AK125" s="75">
        <v>0</v>
      </c>
      <c r="AL125" s="76">
        <v>1</v>
      </c>
      <c r="AM125" s="76">
        <v>5</v>
      </c>
      <c r="AN125" s="76">
        <v>0</v>
      </c>
      <c r="AO125" s="76">
        <v>1</v>
      </c>
      <c r="AP125" s="76">
        <v>70</v>
      </c>
      <c r="AQ125" s="77">
        <v>1</v>
      </c>
      <c r="AR125" s="78">
        <v>4</v>
      </c>
      <c r="BU125" s="85"/>
      <c r="BV125" s="85"/>
      <c r="BW125" s="85"/>
      <c r="BX125" s="85"/>
      <c r="BY125" s="85"/>
      <c r="BZ125" s="85"/>
      <c r="CA125" s="85"/>
      <c r="CC125" s="74" t="s">
        <v>18</v>
      </c>
      <c r="CD125" s="75">
        <v>0</v>
      </c>
      <c r="CE125" s="76">
        <v>1</v>
      </c>
      <c r="CF125" s="76">
        <v>5</v>
      </c>
      <c r="CG125" s="76">
        <v>0</v>
      </c>
      <c r="CH125" s="76">
        <v>1</v>
      </c>
      <c r="CI125" s="76">
        <v>70</v>
      </c>
      <c r="CJ125" s="77">
        <v>1</v>
      </c>
      <c r="CK125" s="78">
        <v>4</v>
      </c>
      <c r="DN125" s="85"/>
      <c r="DO125" s="85"/>
      <c r="DP125" s="85"/>
      <c r="DQ125" s="85"/>
      <c r="DR125" s="85"/>
      <c r="DS125" s="85"/>
      <c r="DT125" s="85"/>
      <c r="DV125" s="74" t="s">
        <v>18</v>
      </c>
      <c r="DW125" s="75">
        <v>0</v>
      </c>
      <c r="DX125" s="76">
        <v>1</v>
      </c>
      <c r="DY125" s="76">
        <v>5</v>
      </c>
      <c r="DZ125" s="76">
        <v>0</v>
      </c>
      <c r="EA125" s="76">
        <v>1</v>
      </c>
      <c r="EB125" s="76">
        <v>70</v>
      </c>
      <c r="EC125" s="77">
        <v>1</v>
      </c>
      <c r="ED125" s="78">
        <v>4</v>
      </c>
    </row>
    <row r="126" spans="11:134" ht="16.5"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  <c r="CC126" s="74" t="s">
        <v>19</v>
      </c>
      <c r="CD126" s="75">
        <v>1</v>
      </c>
      <c r="CE126" s="76">
        <v>70</v>
      </c>
      <c r="CF126" s="76">
        <v>1</v>
      </c>
      <c r="CG126" s="76">
        <v>1</v>
      </c>
      <c r="CH126" s="76">
        <v>1</v>
      </c>
      <c r="CI126" s="76">
        <v>70</v>
      </c>
      <c r="CJ126" s="77">
        <v>1</v>
      </c>
      <c r="CK126" s="78">
        <v>5</v>
      </c>
      <c r="DV126" s="74" t="s">
        <v>19</v>
      </c>
      <c r="DW126" s="75">
        <v>1</v>
      </c>
      <c r="DX126" s="76">
        <v>70</v>
      </c>
      <c r="DY126" s="76">
        <v>1</v>
      </c>
      <c r="DZ126" s="76">
        <v>1</v>
      </c>
      <c r="EA126" s="76">
        <v>1</v>
      </c>
      <c r="EB126" s="76">
        <v>70</v>
      </c>
      <c r="EC126" s="77">
        <v>1</v>
      </c>
      <c r="ED126" s="78">
        <v>5</v>
      </c>
    </row>
    <row r="127" spans="11:134" ht="16.5"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  <c r="CC127" s="74" t="s">
        <v>77</v>
      </c>
      <c r="CD127" s="75">
        <v>5</v>
      </c>
      <c r="CE127" s="76">
        <v>1</v>
      </c>
      <c r="CF127" s="76">
        <v>70</v>
      </c>
      <c r="CG127" s="76">
        <v>1</v>
      </c>
      <c r="CH127" s="76">
        <v>70</v>
      </c>
      <c r="CI127" s="76">
        <v>1</v>
      </c>
      <c r="CJ127" s="77">
        <v>1</v>
      </c>
      <c r="CK127" s="78">
        <v>6</v>
      </c>
      <c r="DV127" s="74" t="s">
        <v>77</v>
      </c>
      <c r="DW127" s="75">
        <v>5</v>
      </c>
      <c r="DX127" s="76">
        <v>1</v>
      </c>
      <c r="DY127" s="76">
        <v>70</v>
      </c>
      <c r="DZ127" s="76">
        <v>1</v>
      </c>
      <c r="EA127" s="76">
        <v>70</v>
      </c>
      <c r="EB127" s="76">
        <v>1</v>
      </c>
      <c r="EC127" s="77">
        <v>1</v>
      </c>
      <c r="ED127" s="78">
        <v>6</v>
      </c>
    </row>
    <row r="128" spans="11:134" ht="16.5"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  <c r="CC128" s="74" t="s">
        <v>162</v>
      </c>
      <c r="CD128" s="75">
        <v>1</v>
      </c>
      <c r="CE128" s="76">
        <v>70</v>
      </c>
      <c r="CF128" s="76">
        <v>1</v>
      </c>
      <c r="CG128" s="76">
        <v>1</v>
      </c>
      <c r="CH128" s="76">
        <v>1</v>
      </c>
      <c r="CI128" s="76">
        <v>70</v>
      </c>
      <c r="CJ128" s="77">
        <v>1</v>
      </c>
      <c r="CK128" s="78">
        <v>7</v>
      </c>
      <c r="DV128" s="74" t="s">
        <v>162</v>
      </c>
      <c r="DW128" s="75">
        <v>1</v>
      </c>
      <c r="DX128" s="76">
        <v>70</v>
      </c>
      <c r="DY128" s="76">
        <v>1</v>
      </c>
      <c r="DZ128" s="76">
        <v>1</v>
      </c>
      <c r="EA128" s="76">
        <v>1</v>
      </c>
      <c r="EB128" s="76">
        <v>70</v>
      </c>
      <c r="EC128" s="77">
        <v>1</v>
      </c>
      <c r="ED128" s="78">
        <v>7</v>
      </c>
    </row>
    <row r="129" spans="36:134" ht="16.5">
      <c r="AJ129" s="74" t="s">
        <v>25</v>
      </c>
      <c r="AK129" s="75">
        <v>0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  <c r="CC129" s="74" t="s">
        <v>25</v>
      </c>
      <c r="CD129" s="75">
        <v>0</v>
      </c>
      <c r="CE129" s="76">
        <v>1</v>
      </c>
      <c r="CF129" s="76">
        <v>1</v>
      </c>
      <c r="CG129" s="76">
        <v>1</v>
      </c>
      <c r="CH129" s="76">
        <v>70</v>
      </c>
      <c r="CI129" s="76">
        <v>1</v>
      </c>
      <c r="CJ129" s="77">
        <v>1</v>
      </c>
      <c r="CK129" s="78">
        <v>8</v>
      </c>
      <c r="DV129" s="74" t="s">
        <v>25</v>
      </c>
      <c r="DW129" s="75">
        <v>0</v>
      </c>
      <c r="DX129" s="76">
        <v>1</v>
      </c>
      <c r="DY129" s="76">
        <v>1</v>
      </c>
      <c r="DZ129" s="76">
        <v>1</v>
      </c>
      <c r="EA129" s="76">
        <v>70</v>
      </c>
      <c r="EB129" s="76">
        <v>1</v>
      </c>
      <c r="EC129" s="77">
        <v>1</v>
      </c>
      <c r="ED129" s="78">
        <v>8</v>
      </c>
    </row>
    <row r="130" spans="36:134" ht="16.5"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  <c r="CC130" s="74" t="s">
        <v>27</v>
      </c>
      <c r="CD130" s="75">
        <v>1</v>
      </c>
      <c r="CE130" s="76">
        <v>1</v>
      </c>
      <c r="CF130" s="76">
        <v>1</v>
      </c>
      <c r="CG130" s="76">
        <v>70</v>
      </c>
      <c r="CH130" s="76">
        <v>1</v>
      </c>
      <c r="CI130" s="76">
        <v>70</v>
      </c>
      <c r="CJ130" s="77">
        <v>1</v>
      </c>
      <c r="CK130" s="78">
        <v>9</v>
      </c>
      <c r="DV130" s="74" t="s">
        <v>27</v>
      </c>
      <c r="DW130" s="75">
        <v>1</v>
      </c>
      <c r="DX130" s="76">
        <v>1</v>
      </c>
      <c r="DY130" s="76">
        <v>1</v>
      </c>
      <c r="DZ130" s="76">
        <v>70</v>
      </c>
      <c r="EA130" s="76">
        <v>1</v>
      </c>
      <c r="EB130" s="76">
        <v>70</v>
      </c>
      <c r="EC130" s="77">
        <v>1</v>
      </c>
      <c r="ED130" s="78">
        <v>9</v>
      </c>
    </row>
    <row r="131" spans="36:134" ht="16.5">
      <c r="AJ131" s="74" t="s">
        <v>28</v>
      </c>
      <c r="AK131" s="75">
        <v>0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  <c r="CC131" s="74" t="s">
        <v>28</v>
      </c>
      <c r="CD131" s="75">
        <v>0</v>
      </c>
      <c r="CE131" s="76">
        <v>1</v>
      </c>
      <c r="CF131" s="76">
        <v>5</v>
      </c>
      <c r="CG131" s="76">
        <v>1</v>
      </c>
      <c r="CH131" s="76">
        <v>1</v>
      </c>
      <c r="CI131" s="76">
        <v>1</v>
      </c>
      <c r="CJ131" s="77">
        <v>3</v>
      </c>
      <c r="CK131" s="78">
        <v>10</v>
      </c>
      <c r="DV131" s="74" t="s">
        <v>28</v>
      </c>
      <c r="DW131" s="75">
        <v>0</v>
      </c>
      <c r="DX131" s="76">
        <v>1</v>
      </c>
      <c r="DY131" s="76">
        <v>5</v>
      </c>
      <c r="DZ131" s="76">
        <v>1</v>
      </c>
      <c r="EA131" s="76">
        <v>1</v>
      </c>
      <c r="EB131" s="76">
        <v>1</v>
      </c>
      <c r="EC131" s="77">
        <v>3</v>
      </c>
      <c r="ED131" s="78">
        <v>10</v>
      </c>
    </row>
    <row r="132" spans="36:134" ht="16.5"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  <c r="CC132" s="74" t="s">
        <v>29</v>
      </c>
      <c r="CD132" s="75">
        <v>1</v>
      </c>
      <c r="CE132" s="76">
        <v>70</v>
      </c>
      <c r="CF132" s="76">
        <v>1</v>
      </c>
      <c r="CG132" s="76">
        <v>1</v>
      </c>
      <c r="CH132" s="76">
        <v>1</v>
      </c>
      <c r="CI132" s="76">
        <v>1</v>
      </c>
      <c r="CJ132" s="77">
        <v>1</v>
      </c>
      <c r="CK132" s="78">
        <v>11</v>
      </c>
      <c r="DV132" s="74" t="s">
        <v>29</v>
      </c>
      <c r="DW132" s="75">
        <v>1</v>
      </c>
      <c r="DX132" s="76">
        <v>70</v>
      </c>
      <c r="DY132" s="76">
        <v>1</v>
      </c>
      <c r="DZ132" s="76">
        <v>1</v>
      </c>
      <c r="EA132" s="76">
        <v>1</v>
      </c>
      <c r="EB132" s="76">
        <v>1</v>
      </c>
      <c r="EC132" s="77">
        <v>1</v>
      </c>
      <c r="ED132" s="78">
        <v>11</v>
      </c>
    </row>
    <row r="133" spans="36:134" ht="16.5"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  <c r="CC133" s="74" t="s">
        <v>30</v>
      </c>
      <c r="CD133" s="75">
        <v>70</v>
      </c>
      <c r="CE133" s="76">
        <v>1</v>
      </c>
      <c r="CF133" s="76">
        <v>1</v>
      </c>
      <c r="CG133" s="76">
        <v>1</v>
      </c>
      <c r="CH133" s="76">
        <v>1</v>
      </c>
      <c r="CI133" s="76">
        <v>1</v>
      </c>
      <c r="CJ133" s="77">
        <v>1</v>
      </c>
      <c r="CK133" s="78">
        <v>12</v>
      </c>
      <c r="DV133" s="74" t="s">
        <v>30</v>
      </c>
      <c r="DW133" s="75">
        <v>70</v>
      </c>
      <c r="DX133" s="76">
        <v>1</v>
      </c>
      <c r="DY133" s="76">
        <v>1</v>
      </c>
      <c r="DZ133" s="76">
        <v>1</v>
      </c>
      <c r="EA133" s="76">
        <v>1</v>
      </c>
      <c r="EB133" s="76">
        <v>1</v>
      </c>
      <c r="EC133" s="77">
        <v>1</v>
      </c>
      <c r="ED133" s="78">
        <v>12</v>
      </c>
    </row>
    <row r="134" spans="36:134" ht="16.5">
      <c r="AJ134" s="74" t="s">
        <v>82</v>
      </c>
      <c r="AK134" s="75">
        <v>0</v>
      </c>
      <c r="AL134" s="76">
        <v>1</v>
      </c>
      <c r="AM134" s="76">
        <v>0</v>
      </c>
      <c r="AN134" s="76">
        <v>1</v>
      </c>
      <c r="AO134" s="76">
        <v>1</v>
      </c>
      <c r="AP134" s="76">
        <v>0</v>
      </c>
      <c r="AQ134" s="77">
        <v>0</v>
      </c>
      <c r="AR134" s="78">
        <v>13</v>
      </c>
      <c r="CC134" s="74" t="s">
        <v>82</v>
      </c>
      <c r="CD134" s="75">
        <v>0</v>
      </c>
      <c r="CE134" s="76">
        <v>1</v>
      </c>
      <c r="CF134" s="76">
        <v>0</v>
      </c>
      <c r="CG134" s="76">
        <v>1</v>
      </c>
      <c r="CH134" s="76">
        <v>1</v>
      </c>
      <c r="CI134" s="76">
        <v>0</v>
      </c>
      <c r="CJ134" s="77">
        <v>0</v>
      </c>
      <c r="CK134" s="78">
        <v>13</v>
      </c>
      <c r="DV134" s="74" t="s">
        <v>82</v>
      </c>
      <c r="DW134" s="75">
        <v>0</v>
      </c>
      <c r="DX134" s="76">
        <v>1</v>
      </c>
      <c r="DY134" s="76">
        <v>0</v>
      </c>
      <c r="DZ134" s="76">
        <v>1</v>
      </c>
      <c r="EA134" s="76">
        <v>1</v>
      </c>
      <c r="EB134" s="76">
        <v>0</v>
      </c>
      <c r="EC134" s="77">
        <v>0</v>
      </c>
      <c r="ED134" s="78">
        <v>13</v>
      </c>
    </row>
    <row r="135" spans="36:134" ht="16.5">
      <c r="AJ135" s="74" t="s">
        <v>83</v>
      </c>
      <c r="AK135" s="75">
        <v>0</v>
      </c>
      <c r="AL135" s="76">
        <v>2</v>
      </c>
      <c r="AM135" s="76">
        <v>1</v>
      </c>
      <c r="AN135" s="76">
        <v>2</v>
      </c>
      <c r="AO135" s="76">
        <v>1</v>
      </c>
      <c r="AP135" s="76">
        <v>0</v>
      </c>
      <c r="AQ135" s="77">
        <v>0</v>
      </c>
      <c r="AR135" s="78">
        <v>14</v>
      </c>
      <c r="CC135" s="74" t="s">
        <v>83</v>
      </c>
      <c r="CD135" s="75">
        <v>0</v>
      </c>
      <c r="CE135" s="76">
        <v>2</v>
      </c>
      <c r="CF135" s="76">
        <v>1</v>
      </c>
      <c r="CG135" s="76">
        <v>2</v>
      </c>
      <c r="CH135" s="76">
        <v>1</v>
      </c>
      <c r="CI135" s="76">
        <v>0</v>
      </c>
      <c r="CJ135" s="77">
        <v>0</v>
      </c>
      <c r="CK135" s="78">
        <v>14</v>
      </c>
      <c r="DV135" s="74" t="s">
        <v>83</v>
      </c>
      <c r="DW135" s="75">
        <v>0</v>
      </c>
      <c r="DX135" s="76">
        <v>2</v>
      </c>
      <c r="DY135" s="76">
        <v>1</v>
      </c>
      <c r="DZ135" s="76">
        <v>2</v>
      </c>
      <c r="EA135" s="76">
        <v>1</v>
      </c>
      <c r="EB135" s="76">
        <v>0</v>
      </c>
      <c r="EC135" s="77">
        <v>0</v>
      </c>
      <c r="ED135" s="78">
        <v>14</v>
      </c>
    </row>
    <row r="136" spans="36:134" ht="16.5">
      <c r="AJ136" s="74" t="s">
        <v>84</v>
      </c>
      <c r="AK136" s="75">
        <v>0</v>
      </c>
      <c r="AL136" s="76">
        <v>1</v>
      </c>
      <c r="AM136" s="76">
        <v>2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  <c r="CC136" s="74" t="s">
        <v>84</v>
      </c>
      <c r="CD136" s="75">
        <v>0</v>
      </c>
      <c r="CE136" s="76">
        <v>1</v>
      </c>
      <c r="CF136" s="76">
        <v>2</v>
      </c>
      <c r="CG136" s="76">
        <v>1</v>
      </c>
      <c r="CH136" s="76">
        <v>1</v>
      </c>
      <c r="CI136" s="76">
        <v>0</v>
      </c>
      <c r="CJ136" s="77">
        <v>0</v>
      </c>
      <c r="CK136" s="78">
        <v>15</v>
      </c>
      <c r="DV136" s="74" t="s">
        <v>84</v>
      </c>
      <c r="DW136" s="75">
        <v>0</v>
      </c>
      <c r="DX136" s="76">
        <v>1</v>
      </c>
      <c r="DY136" s="76">
        <v>2</v>
      </c>
      <c r="DZ136" s="76">
        <v>1</v>
      </c>
      <c r="EA136" s="76">
        <v>1</v>
      </c>
      <c r="EB136" s="76">
        <v>0</v>
      </c>
      <c r="EC136" s="77">
        <v>0</v>
      </c>
      <c r="ED136" s="78">
        <v>15</v>
      </c>
    </row>
    <row r="137" spans="36:134" ht="16.5">
      <c r="AJ137" s="74" t="s">
        <v>85</v>
      </c>
      <c r="AK137" s="75">
        <v>0</v>
      </c>
      <c r="AL137" s="76">
        <v>2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  <c r="CC137" s="74" t="s">
        <v>85</v>
      </c>
      <c r="CD137" s="75">
        <v>0</v>
      </c>
      <c r="CE137" s="76">
        <v>2</v>
      </c>
      <c r="CF137" s="76">
        <v>1</v>
      </c>
      <c r="CG137" s="76">
        <v>1</v>
      </c>
      <c r="CH137" s="76">
        <v>1</v>
      </c>
      <c r="CI137" s="76">
        <v>0</v>
      </c>
      <c r="CJ137" s="77">
        <v>0</v>
      </c>
      <c r="CK137" s="78">
        <v>16</v>
      </c>
      <c r="DV137" s="74" t="s">
        <v>85</v>
      </c>
      <c r="DW137" s="75">
        <v>0</v>
      </c>
      <c r="DX137" s="76">
        <v>2</v>
      </c>
      <c r="DY137" s="76">
        <v>1</v>
      </c>
      <c r="DZ137" s="76">
        <v>1</v>
      </c>
      <c r="EA137" s="76">
        <v>1</v>
      </c>
      <c r="EB137" s="76">
        <v>0</v>
      </c>
      <c r="EC137" s="77">
        <v>0</v>
      </c>
      <c r="ED137" s="78">
        <v>16</v>
      </c>
    </row>
    <row r="138" spans="36:134" ht="16.5">
      <c r="AJ138" s="74" t="s">
        <v>86</v>
      </c>
      <c r="AK138" s="75">
        <v>0</v>
      </c>
      <c r="AL138" s="76">
        <v>0</v>
      </c>
      <c r="AM138" s="76">
        <v>2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  <c r="CC138" s="74" t="s">
        <v>86</v>
      </c>
      <c r="CD138" s="75">
        <v>0</v>
      </c>
      <c r="CE138" s="76">
        <v>0</v>
      </c>
      <c r="CF138" s="76">
        <v>2</v>
      </c>
      <c r="CG138" s="76">
        <v>1</v>
      </c>
      <c r="CH138" s="76">
        <v>2</v>
      </c>
      <c r="CI138" s="76">
        <v>0</v>
      </c>
      <c r="CJ138" s="77">
        <v>0</v>
      </c>
      <c r="CK138" s="78">
        <v>17</v>
      </c>
      <c r="DV138" s="74" t="s">
        <v>86</v>
      </c>
      <c r="DW138" s="75">
        <v>0</v>
      </c>
      <c r="DX138" s="76">
        <v>0</v>
      </c>
      <c r="DY138" s="76">
        <v>2</v>
      </c>
      <c r="DZ138" s="76">
        <v>1</v>
      </c>
      <c r="EA138" s="76">
        <v>2</v>
      </c>
      <c r="EB138" s="76">
        <v>0</v>
      </c>
      <c r="EC138" s="77">
        <v>0</v>
      </c>
      <c r="ED138" s="78">
        <v>17</v>
      </c>
    </row>
    <row r="139" spans="36:134" ht="16.5">
      <c r="AJ139" s="74" t="s">
        <v>176</v>
      </c>
      <c r="AK139" s="75">
        <v>0</v>
      </c>
      <c r="AL139" s="76">
        <v>2</v>
      </c>
      <c r="AM139" s="76">
        <v>1</v>
      </c>
      <c r="AN139" s="76">
        <v>1</v>
      </c>
      <c r="AO139" s="76">
        <v>2</v>
      </c>
      <c r="AP139" s="76">
        <v>0</v>
      </c>
      <c r="AQ139" s="77">
        <v>0</v>
      </c>
      <c r="AR139" s="78">
        <v>18</v>
      </c>
      <c r="CC139" s="74" t="s">
        <v>176</v>
      </c>
      <c r="CD139" s="75">
        <v>0</v>
      </c>
      <c r="CE139" s="76">
        <v>2</v>
      </c>
      <c r="CF139" s="76">
        <v>1</v>
      </c>
      <c r="CG139" s="76">
        <v>1</v>
      </c>
      <c r="CH139" s="76">
        <v>2</v>
      </c>
      <c r="CI139" s="76">
        <v>0</v>
      </c>
      <c r="CJ139" s="77">
        <v>0</v>
      </c>
      <c r="CK139" s="78">
        <v>18</v>
      </c>
      <c r="DV139" s="74" t="s">
        <v>176</v>
      </c>
      <c r="DW139" s="75">
        <v>0</v>
      </c>
      <c r="DX139" s="76">
        <v>2</v>
      </c>
      <c r="DY139" s="76">
        <v>1</v>
      </c>
      <c r="DZ139" s="76">
        <v>1</v>
      </c>
      <c r="EA139" s="76">
        <v>2</v>
      </c>
      <c r="EB139" s="76">
        <v>0</v>
      </c>
      <c r="EC139" s="77">
        <v>0</v>
      </c>
      <c r="ED139" s="78">
        <v>18</v>
      </c>
    </row>
    <row r="140" spans="36:134" ht="16.5">
      <c r="AJ140" s="74" t="s">
        <v>87</v>
      </c>
      <c r="AK140" s="75">
        <v>0</v>
      </c>
      <c r="AL140" s="76">
        <v>2</v>
      </c>
      <c r="AM140" s="76">
        <v>1</v>
      </c>
      <c r="AN140" s="76">
        <v>1</v>
      </c>
      <c r="AO140" s="76">
        <v>2</v>
      </c>
      <c r="AP140" s="76">
        <v>0</v>
      </c>
      <c r="AQ140" s="77">
        <v>0</v>
      </c>
      <c r="AR140" s="78">
        <v>19</v>
      </c>
      <c r="CC140" s="74" t="s">
        <v>87</v>
      </c>
      <c r="CD140" s="75">
        <v>0</v>
      </c>
      <c r="CE140" s="76">
        <v>2</v>
      </c>
      <c r="CF140" s="76">
        <v>1</v>
      </c>
      <c r="CG140" s="76">
        <v>1</v>
      </c>
      <c r="CH140" s="76">
        <v>2</v>
      </c>
      <c r="CI140" s="76">
        <v>0</v>
      </c>
      <c r="CJ140" s="77">
        <v>0</v>
      </c>
      <c r="CK140" s="78">
        <v>19</v>
      </c>
      <c r="DV140" s="74" t="s">
        <v>87</v>
      </c>
      <c r="DW140" s="75">
        <v>0</v>
      </c>
      <c r="DX140" s="76">
        <v>2</v>
      </c>
      <c r="DY140" s="76">
        <v>1</v>
      </c>
      <c r="DZ140" s="76">
        <v>1</v>
      </c>
      <c r="EA140" s="76">
        <v>2</v>
      </c>
      <c r="EB140" s="76">
        <v>0</v>
      </c>
      <c r="EC140" s="77">
        <v>0</v>
      </c>
      <c r="ED140" s="78">
        <v>19</v>
      </c>
    </row>
    <row r="141" spans="36:134" ht="16.5">
      <c r="AJ141" s="74" t="s">
        <v>88</v>
      </c>
      <c r="AK141" s="75">
        <v>0</v>
      </c>
      <c r="AL141" s="76">
        <v>2</v>
      </c>
      <c r="AM141" s="76">
        <v>1</v>
      </c>
      <c r="AN141" s="76">
        <v>2</v>
      </c>
      <c r="AO141" s="76">
        <v>1</v>
      </c>
      <c r="AP141" s="76">
        <v>0</v>
      </c>
      <c r="AQ141" s="77">
        <v>0</v>
      </c>
      <c r="AR141" s="78">
        <v>20</v>
      </c>
      <c r="CC141" s="74" t="s">
        <v>88</v>
      </c>
      <c r="CD141" s="75">
        <v>0</v>
      </c>
      <c r="CE141" s="76">
        <v>2</v>
      </c>
      <c r="CF141" s="76">
        <v>1</v>
      </c>
      <c r="CG141" s="76">
        <v>2</v>
      </c>
      <c r="CH141" s="76">
        <v>1</v>
      </c>
      <c r="CI141" s="76">
        <v>0</v>
      </c>
      <c r="CJ141" s="77">
        <v>0</v>
      </c>
      <c r="CK141" s="78">
        <v>20</v>
      </c>
      <c r="DV141" s="74" t="s">
        <v>88</v>
      </c>
      <c r="DW141" s="75">
        <v>0</v>
      </c>
      <c r="DX141" s="76">
        <v>2</v>
      </c>
      <c r="DY141" s="76">
        <v>1</v>
      </c>
      <c r="DZ141" s="76">
        <v>2</v>
      </c>
      <c r="EA141" s="76">
        <v>1</v>
      </c>
      <c r="EB141" s="76">
        <v>0</v>
      </c>
      <c r="EC141" s="77">
        <v>0</v>
      </c>
      <c r="ED141" s="78">
        <v>20</v>
      </c>
    </row>
    <row r="142" spans="36:134" ht="16.5">
      <c r="AJ142" s="74" t="s">
        <v>89</v>
      </c>
      <c r="AK142" s="75">
        <v>0</v>
      </c>
      <c r="AL142" s="76">
        <v>0</v>
      </c>
      <c r="AM142" s="76">
        <v>2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  <c r="CC142" s="74" t="s">
        <v>89</v>
      </c>
      <c r="CD142" s="75">
        <v>0</v>
      </c>
      <c r="CE142" s="76">
        <v>0</v>
      </c>
      <c r="CF142" s="76">
        <v>2</v>
      </c>
      <c r="CG142" s="76">
        <v>1</v>
      </c>
      <c r="CH142" s="76">
        <v>1</v>
      </c>
      <c r="CI142" s="76">
        <v>0</v>
      </c>
      <c r="CJ142" s="77">
        <v>0</v>
      </c>
      <c r="CK142" s="78">
        <v>21</v>
      </c>
      <c r="DV142" s="74" t="s">
        <v>89</v>
      </c>
      <c r="DW142" s="75">
        <v>0</v>
      </c>
      <c r="DX142" s="76">
        <v>0</v>
      </c>
      <c r="DY142" s="76">
        <v>2</v>
      </c>
      <c r="DZ142" s="76">
        <v>1</v>
      </c>
      <c r="EA142" s="76">
        <v>1</v>
      </c>
      <c r="EB142" s="76">
        <v>0</v>
      </c>
      <c r="EC142" s="77">
        <v>0</v>
      </c>
      <c r="ED142" s="78">
        <v>21</v>
      </c>
    </row>
    <row r="143" spans="36:134" ht="16.5">
      <c r="AJ143" s="74" t="s">
        <v>90</v>
      </c>
      <c r="AK143" s="75">
        <v>0</v>
      </c>
      <c r="AL143" s="76">
        <v>4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  <c r="CC143" s="74" t="s">
        <v>90</v>
      </c>
      <c r="CD143" s="75">
        <v>0</v>
      </c>
      <c r="CE143" s="76">
        <v>4</v>
      </c>
      <c r="CF143" s="76">
        <v>1</v>
      </c>
      <c r="CG143" s="76">
        <v>1</v>
      </c>
      <c r="CH143" s="76">
        <v>1</v>
      </c>
      <c r="CI143" s="76">
        <v>0</v>
      </c>
      <c r="CJ143" s="77">
        <v>0</v>
      </c>
      <c r="CK143" s="78">
        <v>22</v>
      </c>
      <c r="DV143" s="74" t="s">
        <v>90</v>
      </c>
      <c r="DW143" s="75">
        <v>0</v>
      </c>
      <c r="DX143" s="76">
        <v>4</v>
      </c>
      <c r="DY143" s="76">
        <v>1</v>
      </c>
      <c r="DZ143" s="76">
        <v>1</v>
      </c>
      <c r="EA143" s="76">
        <v>1</v>
      </c>
      <c r="EB143" s="76">
        <v>0</v>
      </c>
      <c r="EC143" s="77">
        <v>0</v>
      </c>
      <c r="ED143" s="78">
        <v>22</v>
      </c>
    </row>
    <row r="144" spans="36:134" ht="17.25" thickBot="1"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  <c r="CC144" s="80" t="s">
        <v>91</v>
      </c>
      <c r="CD144" s="81">
        <v>0</v>
      </c>
      <c r="CE144" s="82">
        <v>1</v>
      </c>
      <c r="CF144" s="82">
        <v>1</v>
      </c>
      <c r="CG144" s="82">
        <v>1</v>
      </c>
      <c r="CH144" s="82">
        <v>1</v>
      </c>
      <c r="CI144" s="82">
        <v>0</v>
      </c>
      <c r="CJ144" s="83">
        <v>0</v>
      </c>
      <c r="CK144" s="178">
        <v>23</v>
      </c>
      <c r="DV144" s="80" t="s">
        <v>91</v>
      </c>
      <c r="DW144" s="81">
        <v>0</v>
      </c>
      <c r="DX144" s="82">
        <v>1</v>
      </c>
      <c r="DY144" s="82">
        <v>1</v>
      </c>
      <c r="DZ144" s="82">
        <v>1</v>
      </c>
      <c r="EA144" s="82">
        <v>1</v>
      </c>
      <c r="EB144" s="82">
        <v>0</v>
      </c>
      <c r="EC144" s="83">
        <v>0</v>
      </c>
      <c r="ED144" s="178">
        <v>23</v>
      </c>
    </row>
    <row r="145" spans="36:134" ht="16.5">
      <c r="AJ145" s="184" t="s">
        <v>190</v>
      </c>
      <c r="AK145" s="185">
        <v>0</v>
      </c>
      <c r="AL145" s="186">
        <v>0</v>
      </c>
      <c r="AM145" s="186">
        <v>0</v>
      </c>
      <c r="AN145" s="186">
        <v>0</v>
      </c>
      <c r="AO145" s="186">
        <v>0</v>
      </c>
      <c r="AP145" s="186">
        <v>0</v>
      </c>
      <c r="AQ145" s="187">
        <v>0</v>
      </c>
      <c r="AR145" s="183">
        <v>24</v>
      </c>
      <c r="CC145" s="184" t="s">
        <v>190</v>
      </c>
      <c r="CD145" s="185">
        <v>0</v>
      </c>
      <c r="CE145" s="186">
        <v>0</v>
      </c>
      <c r="CF145" s="186">
        <v>0</v>
      </c>
      <c r="CG145" s="186">
        <v>0</v>
      </c>
      <c r="CH145" s="186">
        <v>0</v>
      </c>
      <c r="CI145" s="186">
        <v>0</v>
      </c>
      <c r="CJ145" s="187">
        <v>0</v>
      </c>
      <c r="CK145" s="183">
        <v>24</v>
      </c>
      <c r="DV145" s="184" t="s">
        <v>190</v>
      </c>
      <c r="DW145" s="185">
        <v>0</v>
      </c>
      <c r="DX145" s="186">
        <v>0</v>
      </c>
      <c r="DY145" s="186">
        <v>0</v>
      </c>
      <c r="DZ145" s="186">
        <v>0</v>
      </c>
      <c r="EA145" s="186">
        <v>0</v>
      </c>
      <c r="EB145" s="186">
        <v>0</v>
      </c>
      <c r="EC145" s="187">
        <v>0</v>
      </c>
      <c r="ED145" s="183">
        <v>24</v>
      </c>
    </row>
    <row r="146" spans="36:134" ht="17.25" thickBot="1">
      <c r="AJ146" s="101" t="s">
        <v>201</v>
      </c>
      <c r="AK146" s="93">
        <v>0</v>
      </c>
      <c r="AL146" s="94">
        <v>0</v>
      </c>
      <c r="AM146" s="94">
        <v>0</v>
      </c>
      <c r="AN146" s="94">
        <v>0</v>
      </c>
      <c r="AO146" s="94">
        <v>0</v>
      </c>
      <c r="AP146" s="94">
        <v>0</v>
      </c>
      <c r="AQ146" s="95">
        <v>0</v>
      </c>
      <c r="AR146" s="84">
        <v>25</v>
      </c>
      <c r="CC146" s="101" t="s">
        <v>201</v>
      </c>
      <c r="CD146" s="93">
        <v>0</v>
      </c>
      <c r="CE146" s="94">
        <v>0</v>
      </c>
      <c r="CF146" s="94">
        <v>0</v>
      </c>
      <c r="CG146" s="94">
        <v>0</v>
      </c>
      <c r="CH146" s="94">
        <v>0</v>
      </c>
      <c r="CI146" s="94">
        <v>0</v>
      </c>
      <c r="CJ146" s="95">
        <v>0</v>
      </c>
      <c r="CK146" s="84">
        <v>25</v>
      </c>
      <c r="DV146" s="101" t="s">
        <v>201</v>
      </c>
      <c r="DW146" s="93">
        <v>0</v>
      </c>
      <c r="DX146" s="94">
        <v>0</v>
      </c>
      <c r="DY146" s="94">
        <v>0</v>
      </c>
      <c r="DZ146" s="94">
        <v>0</v>
      </c>
      <c r="EA146" s="94">
        <v>0</v>
      </c>
      <c r="EB146" s="94">
        <v>0</v>
      </c>
      <c r="EC146" s="95">
        <v>0</v>
      </c>
      <c r="ED146" s="84">
        <v>25</v>
      </c>
    </row>
    <row r="147" spans="36:134">
      <c r="AN147" s="14"/>
      <c r="AO147" s="14"/>
      <c r="AP147" s="14"/>
      <c r="AQ147" s="14"/>
      <c r="AR147" s="14"/>
      <c r="CG147" s="14"/>
      <c r="CH147" s="14"/>
      <c r="CI147" s="14"/>
      <c r="CJ147" s="14"/>
      <c r="CK147" s="14"/>
      <c r="DZ147" s="14"/>
      <c r="EA147" s="14"/>
      <c r="EB147" s="14"/>
      <c r="EC147" s="14"/>
      <c r="ED147" s="14"/>
    </row>
    <row r="148" spans="36:134">
      <c r="AN148" s="14"/>
      <c r="AO148" s="14"/>
      <c r="AP148" s="14"/>
      <c r="AQ148" s="14"/>
      <c r="AR148" s="14"/>
      <c r="CG148" s="14"/>
      <c r="CH148" s="14"/>
      <c r="CI148" s="14"/>
      <c r="CJ148" s="14"/>
      <c r="CK148" s="14"/>
      <c r="DZ148" s="14"/>
      <c r="EA148" s="14"/>
      <c r="EB148" s="14"/>
      <c r="EC148" s="14"/>
      <c r="ED148" s="14"/>
    </row>
    <row r="149" spans="36:134">
      <c r="AN149" s="14"/>
      <c r="AO149" s="14"/>
      <c r="AP149" s="14"/>
      <c r="AQ149" s="14"/>
      <c r="AR149" s="14"/>
      <c r="CG149" s="14"/>
      <c r="CH149" s="14"/>
      <c r="CI149" s="14"/>
      <c r="CJ149" s="14"/>
      <c r="CK149" s="14"/>
      <c r="DZ149" s="14"/>
      <c r="EA149" s="14"/>
      <c r="EB149" s="14"/>
      <c r="EC149" s="14"/>
      <c r="ED149" s="14"/>
    </row>
    <row r="150" spans="36:134">
      <c r="AN150" s="14"/>
      <c r="AO150" s="14"/>
      <c r="AP150" s="14"/>
      <c r="AQ150" s="14"/>
      <c r="AR150" s="14"/>
      <c r="CG150" s="14"/>
      <c r="CH150" s="14"/>
      <c r="CI150" s="14"/>
      <c r="CJ150" s="14"/>
      <c r="CK150" s="14"/>
      <c r="DZ150" s="14"/>
      <c r="EA150" s="14"/>
      <c r="EB150" s="14"/>
      <c r="EC150" s="14"/>
      <c r="ED150" s="14"/>
    </row>
    <row r="151" spans="36:134">
      <c r="AN151" s="14"/>
      <c r="AO151" s="14"/>
      <c r="AP151" s="14"/>
      <c r="AQ151" s="14"/>
      <c r="AR151" s="14"/>
      <c r="CG151" s="14"/>
      <c r="CH151" s="14"/>
      <c r="CI151" s="14"/>
      <c r="CJ151" s="14"/>
      <c r="CK151" s="14"/>
      <c r="DZ151" s="14"/>
      <c r="EA151" s="14"/>
      <c r="EB151" s="14"/>
      <c r="EC151" s="14"/>
      <c r="ED151" s="14"/>
    </row>
    <row r="152" spans="36:134">
      <c r="AN152" s="14"/>
      <c r="AO152" s="14"/>
      <c r="AP152" s="14"/>
      <c r="AQ152" s="14"/>
      <c r="AR152" s="14"/>
      <c r="CG152" s="14"/>
      <c r="CH152" s="14"/>
      <c r="CI152" s="14"/>
      <c r="CJ152" s="14"/>
      <c r="CK152" s="14"/>
      <c r="DZ152" s="14"/>
      <c r="EA152" s="14"/>
      <c r="EB152" s="14"/>
      <c r="EC152" s="14"/>
      <c r="ED152" s="14"/>
    </row>
    <row r="153" spans="36:134">
      <c r="AN153" s="14"/>
      <c r="AO153" s="14"/>
      <c r="AP153" s="14"/>
      <c r="AQ153" s="14"/>
      <c r="AR153" s="14"/>
      <c r="CG153" s="14"/>
      <c r="CH153" s="14"/>
      <c r="CI153" s="14"/>
      <c r="CJ153" s="14"/>
      <c r="CK153" s="14"/>
      <c r="DZ153" s="14"/>
      <c r="EA153" s="14"/>
      <c r="EB153" s="14"/>
      <c r="EC153" s="14"/>
      <c r="ED153" s="14"/>
    </row>
    <row r="154" spans="36:134">
      <c r="AN154" s="14"/>
      <c r="AO154" s="14"/>
      <c r="AP154" s="14"/>
      <c r="AQ154" s="14"/>
      <c r="AR154" s="14"/>
      <c r="CG154" s="14"/>
      <c r="CH154" s="14"/>
      <c r="CI154" s="14"/>
      <c r="CJ154" s="14"/>
      <c r="CK154" s="14"/>
      <c r="DZ154" s="14"/>
      <c r="EA154" s="14"/>
      <c r="EB154" s="14"/>
      <c r="EC154" s="14"/>
      <c r="ED154" s="14"/>
    </row>
    <row r="155" spans="36:134">
      <c r="AN155" s="14"/>
      <c r="AO155" s="14"/>
      <c r="AP155" s="14"/>
      <c r="AQ155" s="14"/>
      <c r="AR155" s="14"/>
      <c r="CG155" s="14"/>
      <c r="CH155" s="14"/>
      <c r="CI155" s="14"/>
      <c r="CJ155" s="14"/>
      <c r="CK155" s="14"/>
      <c r="DZ155" s="14"/>
      <c r="EA155" s="14"/>
      <c r="EB155" s="14"/>
      <c r="EC155" s="14"/>
      <c r="ED155" s="14"/>
    </row>
    <row r="156" spans="36:134">
      <c r="AN156" s="14"/>
      <c r="AO156" s="14"/>
      <c r="AP156" s="14"/>
      <c r="AQ156" s="14"/>
      <c r="AR156" s="14"/>
      <c r="CG156" s="14"/>
      <c r="CH156" s="14"/>
      <c r="CI156" s="14"/>
      <c r="CJ156" s="14"/>
      <c r="CK156" s="14"/>
      <c r="DZ156" s="14"/>
      <c r="EA156" s="14"/>
      <c r="EB156" s="14"/>
      <c r="EC156" s="14"/>
      <c r="ED156" s="14"/>
    </row>
    <row r="157" spans="36:134">
      <c r="AN157" s="14"/>
      <c r="AO157" s="14"/>
      <c r="AP157" s="14"/>
      <c r="AQ157" s="14"/>
      <c r="AR157" s="14"/>
      <c r="CG157" s="14"/>
      <c r="CH157" s="14"/>
      <c r="CI157" s="14"/>
      <c r="CJ157" s="14"/>
      <c r="CK157" s="14"/>
      <c r="DZ157" s="14"/>
      <c r="EA157" s="14"/>
      <c r="EB157" s="14"/>
      <c r="EC157" s="14"/>
      <c r="ED157" s="14"/>
    </row>
    <row r="158" spans="36:134">
      <c r="AN158" s="14"/>
      <c r="AO158" s="14"/>
      <c r="AP158" s="14"/>
      <c r="AQ158" s="14"/>
      <c r="AR158" s="14"/>
      <c r="CG158" s="14"/>
      <c r="CH158" s="14"/>
      <c r="CI158" s="14"/>
      <c r="CJ158" s="14"/>
      <c r="CK158" s="14"/>
      <c r="DZ158" s="14"/>
      <c r="EA158" s="14"/>
      <c r="EB158" s="14"/>
      <c r="EC158" s="14"/>
      <c r="ED158" s="14"/>
    </row>
    <row r="159" spans="36:134">
      <c r="AN159" s="14"/>
      <c r="AO159" s="14"/>
      <c r="AP159" s="14"/>
      <c r="AQ159" s="14"/>
      <c r="AR159" s="14"/>
      <c r="CG159" s="14"/>
      <c r="CH159" s="14"/>
      <c r="CI159" s="14"/>
      <c r="CJ159" s="14"/>
      <c r="CK159" s="14"/>
      <c r="DZ159" s="14"/>
      <c r="EA159" s="14"/>
      <c r="EB159" s="14"/>
      <c r="EC159" s="14"/>
      <c r="ED159" s="14"/>
    </row>
    <row r="160" spans="36:134">
      <c r="AN160" s="14"/>
      <c r="AO160" s="14"/>
      <c r="AP160" s="14"/>
      <c r="AQ160" s="14"/>
      <c r="AR160" s="14"/>
      <c r="CG160" s="14"/>
      <c r="CH160" s="14"/>
      <c r="CI160" s="14"/>
      <c r="CJ160" s="14"/>
      <c r="CK160" s="14"/>
      <c r="DZ160" s="14"/>
      <c r="EA160" s="14"/>
      <c r="EB160" s="14"/>
      <c r="EC160" s="14"/>
      <c r="ED160" s="14"/>
    </row>
    <row r="161" spans="40:134">
      <c r="AN161" s="14"/>
      <c r="AO161" s="14"/>
      <c r="AP161" s="14"/>
      <c r="AQ161" s="14"/>
      <c r="AR161" s="14"/>
      <c r="CG161" s="14"/>
      <c r="CH161" s="14"/>
      <c r="CI161" s="14"/>
      <c r="CJ161" s="14"/>
      <c r="CK161" s="14"/>
      <c r="DZ161" s="14"/>
      <c r="EA161" s="14"/>
      <c r="EB161" s="14"/>
      <c r="EC161" s="14"/>
      <c r="ED161" s="14"/>
    </row>
    <row r="162" spans="40:134">
      <c r="AN162" s="14"/>
      <c r="AO162" s="14"/>
      <c r="AP162" s="14"/>
      <c r="AQ162" s="14"/>
      <c r="AR162" s="14"/>
      <c r="CG162" s="14"/>
      <c r="CH162" s="14"/>
      <c r="CI162" s="14"/>
      <c r="CJ162" s="14"/>
      <c r="CK162" s="14"/>
      <c r="DZ162" s="14"/>
      <c r="EA162" s="14"/>
      <c r="EB162" s="14"/>
      <c r="EC162" s="14"/>
      <c r="ED162" s="14"/>
    </row>
    <row r="163" spans="40:134">
      <c r="AN163" s="14"/>
      <c r="AO163" s="14"/>
      <c r="AP163" s="14"/>
      <c r="AQ163" s="14"/>
      <c r="AR163" s="14"/>
      <c r="CG163" s="14"/>
      <c r="CH163" s="14"/>
      <c r="CI163" s="14"/>
      <c r="CJ163" s="14"/>
      <c r="CK163" s="14"/>
      <c r="DZ163" s="14"/>
      <c r="EA163" s="14"/>
      <c r="EB163" s="14"/>
      <c r="EC163" s="14"/>
      <c r="ED163" s="14"/>
    </row>
    <row r="164" spans="40:134">
      <c r="AN164" s="14"/>
      <c r="AO164" s="14"/>
      <c r="AP164" s="14"/>
      <c r="AQ164" s="14"/>
      <c r="AR164" s="14"/>
      <c r="CG164" s="14"/>
      <c r="CH164" s="14"/>
      <c r="CI164" s="14"/>
      <c r="CJ164" s="14"/>
      <c r="CK164" s="14"/>
      <c r="DZ164" s="14"/>
      <c r="EA164" s="14"/>
      <c r="EB164" s="14"/>
      <c r="EC164" s="14"/>
      <c r="ED164" s="14"/>
    </row>
    <row r="165" spans="40:134">
      <c r="AN165" s="14"/>
      <c r="AO165" s="14"/>
      <c r="AP165" s="14"/>
      <c r="AQ165" s="14"/>
      <c r="AR165" s="14"/>
      <c r="CG165" s="14"/>
      <c r="CH165" s="14"/>
      <c r="CI165" s="14"/>
      <c r="CJ165" s="14"/>
      <c r="CK165" s="14"/>
      <c r="DZ165" s="14"/>
      <c r="EA165" s="14"/>
      <c r="EB165" s="14"/>
      <c r="EC165" s="14"/>
      <c r="ED165" s="14"/>
    </row>
    <row r="166" spans="40:134">
      <c r="AN166" s="14"/>
      <c r="AO166" s="14"/>
      <c r="AP166" s="14"/>
      <c r="AQ166" s="14"/>
      <c r="AR166" s="14"/>
      <c r="CG166" s="14"/>
      <c r="CH166" s="14"/>
      <c r="CI166" s="14"/>
      <c r="CJ166" s="14"/>
      <c r="CK166" s="14"/>
      <c r="DZ166" s="14"/>
      <c r="EA166" s="14"/>
      <c r="EB166" s="14"/>
      <c r="EC166" s="14"/>
      <c r="ED166" s="14"/>
    </row>
    <row r="167" spans="40:134">
      <c r="AN167" s="14"/>
      <c r="AO167" s="14"/>
      <c r="AP167" s="14"/>
      <c r="AQ167" s="14"/>
      <c r="AR167" s="14"/>
      <c r="CG167" s="14"/>
      <c r="CH167" s="14"/>
      <c r="CI167" s="14"/>
      <c r="CJ167" s="14"/>
      <c r="CK167" s="14"/>
      <c r="DZ167" s="14"/>
      <c r="EA167" s="14"/>
      <c r="EB167" s="14"/>
      <c r="EC167" s="14"/>
      <c r="ED167" s="14"/>
    </row>
    <row r="168" spans="40:134">
      <c r="AN168" s="14"/>
      <c r="AO168" s="14"/>
      <c r="AP168" s="14"/>
      <c r="AQ168" s="14"/>
      <c r="AR168" s="14"/>
      <c r="CG168" s="14"/>
      <c r="CH168" s="14"/>
      <c r="CI168" s="14"/>
      <c r="CJ168" s="14"/>
      <c r="CK168" s="14"/>
      <c r="DZ168" s="14"/>
      <c r="EA168" s="14"/>
      <c r="EB168" s="14"/>
      <c r="EC168" s="14"/>
      <c r="ED168" s="14"/>
    </row>
    <row r="169" spans="40:134">
      <c r="AN169" s="14"/>
      <c r="AO169" s="14"/>
      <c r="AP169" s="14"/>
      <c r="AQ169" s="14"/>
      <c r="AR169" s="14"/>
      <c r="CG169" s="14"/>
      <c r="CH169" s="14"/>
      <c r="CI169" s="14"/>
      <c r="CJ169" s="14"/>
      <c r="CK169" s="14"/>
      <c r="DZ169" s="14"/>
      <c r="EA169" s="14"/>
      <c r="EB169" s="14"/>
      <c r="EC169" s="14"/>
      <c r="ED169" s="14"/>
    </row>
    <row r="170" spans="40:134">
      <c r="AN170" s="14"/>
      <c r="AO170" s="14"/>
      <c r="AP170" s="14"/>
      <c r="AQ170" s="14"/>
      <c r="AR170" s="14"/>
      <c r="CG170" s="14"/>
      <c r="CH170" s="14"/>
      <c r="CI170" s="14"/>
      <c r="CJ170" s="14"/>
      <c r="CK170" s="14"/>
      <c r="DZ170" s="14"/>
      <c r="EA170" s="14"/>
      <c r="EB170" s="14"/>
      <c r="EC170" s="14"/>
      <c r="ED170" s="14"/>
    </row>
    <row r="171" spans="40:134">
      <c r="AN171" s="14"/>
      <c r="AO171" s="14"/>
      <c r="AP171" s="14"/>
      <c r="AQ171" s="14"/>
      <c r="AR171" s="14"/>
      <c r="CG171" s="14"/>
      <c r="CH171" s="14"/>
      <c r="CI171" s="14"/>
      <c r="CJ171" s="14"/>
      <c r="CK171" s="14"/>
      <c r="DZ171" s="14"/>
      <c r="EA171" s="14"/>
      <c r="EB171" s="14"/>
      <c r="EC171" s="14"/>
      <c r="ED171" s="14"/>
    </row>
    <row r="172" spans="40:134">
      <c r="AN172" s="14"/>
      <c r="AO172" s="14"/>
      <c r="AP172" s="14"/>
      <c r="AQ172" s="14"/>
      <c r="AR172" s="14"/>
      <c r="CG172" s="14"/>
      <c r="CH172" s="14"/>
      <c r="CI172" s="14"/>
      <c r="CJ172" s="14"/>
      <c r="CK172" s="14"/>
      <c r="DZ172" s="14"/>
      <c r="EA172" s="14"/>
      <c r="EB172" s="14"/>
      <c r="EC172" s="14"/>
      <c r="ED172" s="14"/>
    </row>
    <row r="173" spans="40:134">
      <c r="AN173" s="14"/>
      <c r="AO173" s="14"/>
      <c r="AP173" s="14"/>
      <c r="AQ173" s="14"/>
      <c r="AR173" s="14"/>
      <c r="CG173" s="14"/>
      <c r="CH173" s="14"/>
      <c r="CI173" s="14"/>
      <c r="CJ173" s="14"/>
      <c r="CK173" s="14"/>
      <c r="DZ173" s="14"/>
      <c r="EA173" s="14"/>
      <c r="EB173" s="14"/>
      <c r="EC173" s="14"/>
      <c r="ED173" s="14"/>
    </row>
    <row r="174" spans="40:134">
      <c r="AN174" s="14"/>
      <c r="AO174" s="14"/>
      <c r="AP174" s="14"/>
      <c r="AQ174" s="14"/>
      <c r="AR174" s="14"/>
      <c r="CG174" s="14"/>
      <c r="CH174" s="14"/>
      <c r="CI174" s="14"/>
      <c r="CJ174" s="14"/>
      <c r="CK174" s="14"/>
      <c r="DZ174" s="14"/>
      <c r="EA174" s="14"/>
      <c r="EB174" s="14"/>
      <c r="EC174" s="14"/>
      <c r="ED174" s="14"/>
    </row>
    <row r="175" spans="40:134">
      <c r="AN175" s="14"/>
      <c r="AO175" s="14"/>
      <c r="AP175" s="14"/>
      <c r="AQ175" s="14"/>
      <c r="AR175" s="14"/>
      <c r="CG175" s="14"/>
      <c r="CH175" s="14"/>
      <c r="CI175" s="14"/>
      <c r="CJ175" s="14"/>
      <c r="CK175" s="14"/>
      <c r="DZ175" s="14"/>
      <c r="EA175" s="14"/>
      <c r="EB175" s="14"/>
      <c r="EC175" s="14"/>
      <c r="ED175" s="14"/>
    </row>
    <row r="176" spans="40:134">
      <c r="AN176" s="14"/>
      <c r="AO176" s="14"/>
      <c r="AP176" s="14"/>
      <c r="AQ176" s="14"/>
      <c r="AR176" s="14"/>
      <c r="CG176" s="14"/>
      <c r="CH176" s="14"/>
      <c r="CI176" s="14"/>
      <c r="CJ176" s="14"/>
      <c r="CK176" s="14"/>
      <c r="DZ176" s="14"/>
      <c r="EA176" s="14"/>
      <c r="EB176" s="14"/>
      <c r="EC176" s="14"/>
      <c r="ED176" s="14"/>
    </row>
    <row r="177" spans="40:134">
      <c r="AN177" s="14"/>
      <c r="AO177" s="14"/>
      <c r="AP177" s="14"/>
      <c r="AQ177" s="14"/>
      <c r="AR177" s="14"/>
      <c r="CG177" s="14"/>
      <c r="CH177" s="14"/>
      <c r="CI177" s="14"/>
      <c r="CJ177" s="14"/>
      <c r="CK177" s="14"/>
      <c r="DZ177" s="14"/>
      <c r="EA177" s="14"/>
      <c r="EB177" s="14"/>
      <c r="EC177" s="14"/>
      <c r="ED177" s="14"/>
    </row>
    <row r="178" spans="40:134">
      <c r="AN178" s="14"/>
      <c r="AO178" s="14"/>
      <c r="AP178" s="14"/>
      <c r="AQ178" s="14"/>
      <c r="AR178" s="14"/>
      <c r="CG178" s="14"/>
      <c r="CH178" s="14"/>
      <c r="CI178" s="14"/>
      <c r="CJ178" s="14"/>
      <c r="CK178" s="14"/>
      <c r="DZ178" s="14"/>
      <c r="EA178" s="14"/>
      <c r="EB178" s="14"/>
      <c r="EC178" s="14"/>
      <c r="ED178" s="14"/>
    </row>
    <row r="179" spans="40:134">
      <c r="AN179" s="14"/>
      <c r="AO179" s="14"/>
      <c r="AP179" s="14"/>
      <c r="AQ179" s="14"/>
      <c r="AR179" s="14"/>
      <c r="CG179" s="14"/>
      <c r="CH179" s="14"/>
      <c r="CI179" s="14"/>
      <c r="CJ179" s="14"/>
      <c r="CK179" s="14"/>
      <c r="DZ179" s="14"/>
      <c r="EA179" s="14"/>
      <c r="EB179" s="14"/>
      <c r="EC179" s="14"/>
      <c r="ED179" s="14"/>
    </row>
    <row r="180" spans="40:134">
      <c r="AN180" s="14"/>
      <c r="AO180" s="14"/>
      <c r="AP180" s="14"/>
      <c r="AQ180" s="14"/>
      <c r="AR180" s="14"/>
      <c r="CG180" s="14"/>
      <c r="CH180" s="14"/>
      <c r="CI180" s="14"/>
      <c r="CJ180" s="14"/>
      <c r="CK180" s="14"/>
      <c r="DZ180" s="14"/>
      <c r="EA180" s="14"/>
      <c r="EB180" s="14"/>
      <c r="EC180" s="14"/>
      <c r="ED180" s="14"/>
    </row>
    <row r="181" spans="40:134">
      <c r="AN181" s="14"/>
      <c r="AO181" s="14"/>
      <c r="AP181" s="14"/>
      <c r="AQ181" s="14"/>
      <c r="AR181" s="14"/>
      <c r="CG181" s="14"/>
      <c r="CH181" s="14"/>
      <c r="CI181" s="14"/>
      <c r="CJ181" s="14"/>
      <c r="CK181" s="14"/>
      <c r="DZ181" s="14"/>
      <c r="EA181" s="14"/>
      <c r="EB181" s="14"/>
      <c r="EC181" s="14"/>
      <c r="ED181" s="14"/>
    </row>
    <row r="182" spans="40:134">
      <c r="AN182" s="14"/>
      <c r="AO182" s="14"/>
      <c r="AP182" s="14"/>
      <c r="AQ182" s="14"/>
      <c r="AR182" s="14"/>
      <c r="CG182" s="14"/>
      <c r="CH182" s="14"/>
      <c r="CI182" s="14"/>
      <c r="CJ182" s="14"/>
      <c r="CK182" s="14"/>
      <c r="DZ182" s="14"/>
      <c r="EA182" s="14"/>
      <c r="EB182" s="14"/>
      <c r="EC182" s="14"/>
      <c r="ED182" s="14"/>
    </row>
    <row r="183" spans="40:134">
      <c r="AN183" s="14"/>
      <c r="AO183" s="14"/>
      <c r="AP183" s="14"/>
      <c r="AQ183" s="14"/>
      <c r="AR183" s="14"/>
      <c r="CG183" s="14"/>
      <c r="CH183" s="14"/>
      <c r="CI183" s="14"/>
      <c r="CJ183" s="14"/>
      <c r="CK183" s="14"/>
      <c r="DZ183" s="14"/>
      <c r="EA183" s="14"/>
      <c r="EB183" s="14"/>
      <c r="EC183" s="14"/>
      <c r="ED183" s="14"/>
    </row>
    <row r="184" spans="40:134">
      <c r="AN184" s="14"/>
      <c r="AO184" s="14"/>
      <c r="AP184" s="14"/>
      <c r="AQ184" s="14"/>
      <c r="AR184" s="14"/>
      <c r="CG184" s="14"/>
      <c r="CH184" s="14"/>
      <c r="CI184" s="14"/>
      <c r="CJ184" s="14"/>
      <c r="CK184" s="14"/>
      <c r="DZ184" s="14"/>
      <c r="EA184" s="14"/>
      <c r="EB184" s="14"/>
      <c r="EC184" s="14"/>
      <c r="ED184" s="14"/>
    </row>
    <row r="185" spans="40:134">
      <c r="AN185" s="14"/>
      <c r="AO185" s="14"/>
      <c r="AP185" s="14"/>
      <c r="AQ185" s="14"/>
      <c r="AR185" s="14"/>
      <c r="CG185" s="14"/>
      <c r="CH185" s="14"/>
      <c r="CI185" s="14"/>
      <c r="CJ185" s="14"/>
      <c r="CK185" s="14"/>
      <c r="DZ185" s="14"/>
      <c r="EA185" s="14"/>
      <c r="EB185" s="14"/>
      <c r="EC185" s="14"/>
      <c r="ED185" s="14"/>
    </row>
    <row r="186" spans="40:134">
      <c r="AN186" s="14"/>
      <c r="AO186" s="14"/>
      <c r="AP186" s="14"/>
      <c r="AQ186" s="14"/>
      <c r="AR186" s="14"/>
      <c r="CG186" s="14"/>
      <c r="CH186" s="14"/>
      <c r="CI186" s="14"/>
      <c r="CJ186" s="14"/>
      <c r="CK186" s="14"/>
      <c r="DZ186" s="14"/>
      <c r="EA186" s="14"/>
      <c r="EB186" s="14"/>
      <c r="EC186" s="14"/>
      <c r="ED186" s="14"/>
    </row>
    <row r="187" spans="40:134">
      <c r="AN187" s="14"/>
      <c r="AO187" s="14"/>
      <c r="AP187" s="14"/>
      <c r="AQ187" s="14"/>
      <c r="AR187" s="14"/>
      <c r="CG187" s="14"/>
      <c r="CH187" s="14"/>
      <c r="CI187" s="14"/>
      <c r="CJ187" s="14"/>
      <c r="CK187" s="14"/>
      <c r="DZ187" s="14"/>
      <c r="EA187" s="14"/>
      <c r="EB187" s="14"/>
      <c r="EC187" s="14"/>
      <c r="ED187" s="14"/>
    </row>
    <row r="188" spans="40:134">
      <c r="AN188" s="14"/>
      <c r="AO188" s="14"/>
      <c r="AP188" s="14"/>
      <c r="AQ188" s="14"/>
      <c r="AR188" s="14"/>
      <c r="CG188" s="14"/>
      <c r="CH188" s="14"/>
      <c r="CI188" s="14"/>
      <c r="CJ188" s="14"/>
      <c r="CK188" s="14"/>
      <c r="DZ188" s="14"/>
      <c r="EA188" s="14"/>
      <c r="EB188" s="14"/>
      <c r="EC188" s="14"/>
      <c r="ED188" s="14"/>
    </row>
    <row r="189" spans="40:134">
      <c r="AN189" s="14"/>
      <c r="AO189" s="14"/>
      <c r="AP189" s="14"/>
      <c r="AQ189" s="14"/>
      <c r="AR189" s="14"/>
      <c r="CG189" s="14"/>
      <c r="CH189" s="14"/>
      <c r="CI189" s="14"/>
      <c r="CJ189" s="14"/>
      <c r="CK189" s="14"/>
      <c r="DZ189" s="14"/>
      <c r="EA189" s="14"/>
      <c r="EB189" s="14"/>
      <c r="EC189" s="14"/>
      <c r="ED189" s="14"/>
    </row>
    <row r="190" spans="40:134">
      <c r="AN190" s="14"/>
      <c r="AO190" s="14"/>
      <c r="AP190" s="14"/>
      <c r="AQ190" s="14"/>
      <c r="AR190" s="14"/>
      <c r="CG190" s="14"/>
      <c r="CH190" s="14"/>
      <c r="CI190" s="14"/>
      <c r="CJ190" s="14"/>
      <c r="CK190" s="14"/>
      <c r="DZ190" s="14"/>
      <c r="EA190" s="14"/>
      <c r="EB190" s="14"/>
      <c r="EC190" s="14"/>
      <c r="ED190" s="14"/>
    </row>
    <row r="191" spans="40:134">
      <c r="AN191" s="14"/>
      <c r="AO191" s="14"/>
      <c r="AP191" s="14"/>
      <c r="AQ191" s="14"/>
      <c r="AR191" s="14"/>
      <c r="CG191" s="14"/>
      <c r="CH191" s="14"/>
      <c r="CI191" s="14"/>
      <c r="CJ191" s="14"/>
      <c r="CK191" s="14"/>
      <c r="DZ191" s="14"/>
      <c r="EA191" s="14"/>
      <c r="EB191" s="14"/>
      <c r="EC191" s="14"/>
      <c r="ED191" s="14"/>
    </row>
    <row r="192" spans="40:134">
      <c r="AN192" s="14"/>
      <c r="AO192" s="14"/>
      <c r="AP192" s="14"/>
      <c r="AQ192" s="14"/>
      <c r="AR192" s="14"/>
      <c r="CG192" s="14"/>
      <c r="CH192" s="14"/>
      <c r="CI192" s="14"/>
      <c r="CJ192" s="14"/>
      <c r="CK192" s="14"/>
      <c r="DZ192" s="14"/>
      <c r="EA192" s="14"/>
      <c r="EB192" s="14"/>
      <c r="EC192" s="14"/>
      <c r="ED192" s="14"/>
    </row>
    <row r="193" spans="40:134">
      <c r="AN193" s="14"/>
      <c r="AO193" s="14"/>
      <c r="AP193" s="14"/>
      <c r="AQ193" s="14"/>
      <c r="AR193" s="14"/>
      <c r="CG193" s="14"/>
      <c r="CH193" s="14"/>
      <c r="CI193" s="14"/>
      <c r="CJ193" s="14"/>
      <c r="CK193" s="14"/>
      <c r="DZ193" s="14"/>
      <c r="EA193" s="14"/>
      <c r="EB193" s="14"/>
      <c r="EC193" s="14"/>
      <c r="ED193" s="14"/>
    </row>
    <row r="194" spans="40:134">
      <c r="AN194" s="14"/>
      <c r="AO194" s="14"/>
      <c r="AP194" s="14"/>
      <c r="AQ194" s="14"/>
      <c r="AR194" s="14"/>
      <c r="CG194" s="14"/>
      <c r="CH194" s="14"/>
      <c r="CI194" s="14"/>
      <c r="CJ194" s="14"/>
      <c r="CK194" s="14"/>
      <c r="DZ194" s="14"/>
      <c r="EA194" s="14"/>
      <c r="EB194" s="14"/>
      <c r="EC194" s="14"/>
      <c r="ED194" s="14"/>
    </row>
    <row r="195" spans="40:134">
      <c r="AN195" s="14"/>
      <c r="AO195" s="14"/>
      <c r="AP195" s="14"/>
      <c r="AQ195" s="14"/>
      <c r="AR195" s="14"/>
      <c r="CG195" s="14"/>
      <c r="CH195" s="14"/>
      <c r="CI195" s="14"/>
      <c r="CJ195" s="14"/>
      <c r="CK195" s="14"/>
      <c r="DZ195" s="14"/>
      <c r="EA195" s="14"/>
      <c r="EB195" s="14"/>
      <c r="EC195" s="14"/>
      <c r="ED195" s="14"/>
    </row>
    <row r="196" spans="40:134">
      <c r="AN196" s="14"/>
      <c r="AO196" s="14"/>
      <c r="AP196" s="14"/>
      <c r="AQ196" s="14"/>
      <c r="AR196" s="14"/>
      <c r="CG196" s="14"/>
      <c r="CH196" s="14"/>
      <c r="CI196" s="14"/>
      <c r="CJ196" s="14"/>
      <c r="CK196" s="14"/>
      <c r="DZ196" s="14"/>
      <c r="EA196" s="14"/>
      <c r="EB196" s="14"/>
      <c r="EC196" s="14"/>
      <c r="ED196" s="14"/>
    </row>
    <row r="197" spans="40:134">
      <c r="AN197" s="14"/>
      <c r="AO197" s="14"/>
      <c r="AP197" s="14"/>
      <c r="AQ197" s="14"/>
      <c r="AR197" s="14"/>
      <c r="CG197" s="14"/>
      <c r="CH197" s="14"/>
      <c r="CI197" s="14"/>
      <c r="CJ197" s="14"/>
      <c r="CK197" s="14"/>
      <c r="DZ197" s="14"/>
      <c r="EA197" s="14"/>
      <c r="EB197" s="14"/>
      <c r="EC197" s="14"/>
      <c r="ED197" s="14"/>
    </row>
    <row r="198" spans="40:134">
      <c r="AN198" s="14"/>
      <c r="AO198" s="14"/>
      <c r="AP198" s="14"/>
      <c r="AQ198" s="14"/>
      <c r="AR198" s="14"/>
      <c r="CG198" s="14"/>
      <c r="CH198" s="14"/>
      <c r="CI198" s="14"/>
      <c r="CJ198" s="14"/>
      <c r="CK198" s="14"/>
      <c r="DZ198" s="14"/>
      <c r="EA198" s="14"/>
      <c r="EB198" s="14"/>
      <c r="EC198" s="14"/>
      <c r="ED198" s="14"/>
    </row>
    <row r="199" spans="40:134">
      <c r="AN199" s="14"/>
      <c r="AO199" s="14"/>
      <c r="AP199" s="14"/>
      <c r="AQ199" s="14"/>
      <c r="AR199" s="14"/>
      <c r="CG199" s="14"/>
      <c r="CH199" s="14"/>
      <c r="CI199" s="14"/>
      <c r="CJ199" s="14"/>
      <c r="CK199" s="14"/>
      <c r="DZ199" s="14"/>
      <c r="EA199" s="14"/>
      <c r="EB199" s="14"/>
      <c r="EC199" s="14"/>
      <c r="ED199" s="14"/>
    </row>
    <row r="200" spans="40:134">
      <c r="AN200" s="14"/>
      <c r="AO200" s="14"/>
      <c r="AP200" s="14"/>
      <c r="AQ200" s="14"/>
      <c r="AR200" s="14"/>
      <c r="CG200" s="14"/>
      <c r="CH200" s="14"/>
      <c r="CI200" s="14"/>
      <c r="CJ200" s="14"/>
      <c r="CK200" s="14"/>
      <c r="DZ200" s="14"/>
      <c r="EA200" s="14"/>
      <c r="EB200" s="14"/>
      <c r="EC200" s="14"/>
      <c r="ED200" s="14"/>
    </row>
    <row r="201" spans="40:134">
      <c r="AN201" s="14"/>
      <c r="AO201" s="14"/>
      <c r="AP201" s="14"/>
      <c r="AQ201" s="14"/>
      <c r="AR201" s="14"/>
      <c r="CG201" s="14"/>
      <c r="CH201" s="14"/>
      <c r="CI201" s="14"/>
      <c r="CJ201" s="14"/>
      <c r="CK201" s="14"/>
      <c r="DZ201" s="14"/>
      <c r="EA201" s="14"/>
      <c r="EB201" s="14"/>
      <c r="EC201" s="14"/>
      <c r="ED201" s="14"/>
    </row>
    <row r="202" spans="40:134">
      <c r="AN202" s="14"/>
      <c r="AO202" s="14"/>
      <c r="AP202" s="14"/>
      <c r="AQ202" s="14"/>
      <c r="AR202" s="14"/>
      <c r="CG202" s="14"/>
      <c r="CH202" s="14"/>
      <c r="CI202" s="14"/>
      <c r="CJ202" s="14"/>
      <c r="CK202" s="14"/>
      <c r="DZ202" s="14"/>
      <c r="EA202" s="14"/>
      <c r="EB202" s="14"/>
      <c r="EC202" s="14"/>
      <c r="ED202" s="14"/>
    </row>
    <row r="203" spans="40:134">
      <c r="AN203" s="14"/>
      <c r="AO203" s="14"/>
      <c r="AP203" s="14"/>
      <c r="AQ203" s="14"/>
      <c r="AR203" s="14"/>
      <c r="CG203" s="14"/>
      <c r="CH203" s="14"/>
      <c r="CI203" s="14"/>
      <c r="CJ203" s="14"/>
      <c r="CK203" s="14"/>
      <c r="DZ203" s="14"/>
      <c r="EA203" s="14"/>
      <c r="EB203" s="14"/>
      <c r="EC203" s="14"/>
      <c r="ED203" s="14"/>
    </row>
    <row r="204" spans="40:134">
      <c r="AN204" s="14"/>
      <c r="AO204" s="14"/>
      <c r="AP204" s="14"/>
      <c r="AQ204" s="14"/>
      <c r="AR204" s="14"/>
      <c r="CG204" s="14"/>
      <c r="CH204" s="14"/>
      <c r="CI204" s="14"/>
      <c r="CJ204" s="14"/>
      <c r="CK204" s="14"/>
      <c r="DZ204" s="14"/>
      <c r="EA204" s="14"/>
      <c r="EB204" s="14"/>
      <c r="EC204" s="14"/>
      <c r="ED204" s="14"/>
    </row>
    <row r="205" spans="40:134">
      <c r="AN205" s="14"/>
      <c r="AO205" s="14"/>
      <c r="AP205" s="14"/>
      <c r="AQ205" s="14"/>
      <c r="AR205" s="14"/>
      <c r="CG205" s="14"/>
      <c r="CH205" s="14"/>
      <c r="CI205" s="14"/>
      <c r="CJ205" s="14"/>
      <c r="CK205" s="14"/>
      <c r="DZ205" s="14"/>
      <c r="EA205" s="14"/>
      <c r="EB205" s="14"/>
      <c r="EC205" s="14"/>
      <c r="ED205" s="14"/>
    </row>
    <row r="206" spans="40:134">
      <c r="AN206" s="14"/>
      <c r="AO206" s="14"/>
      <c r="AP206" s="14"/>
      <c r="AQ206" s="14"/>
      <c r="AR206" s="14"/>
      <c r="CG206" s="14"/>
      <c r="CH206" s="14"/>
      <c r="CI206" s="14"/>
      <c r="CJ206" s="14"/>
      <c r="CK206" s="14"/>
      <c r="DZ206" s="14"/>
      <c r="EA206" s="14"/>
      <c r="EB206" s="14"/>
      <c r="EC206" s="14"/>
      <c r="ED206" s="14"/>
    </row>
    <row r="207" spans="40:134">
      <c r="AN207" s="14"/>
      <c r="AO207" s="14"/>
      <c r="AP207" s="14"/>
      <c r="AQ207" s="14"/>
      <c r="AR207" s="14"/>
      <c r="CG207" s="14"/>
      <c r="CH207" s="14"/>
      <c r="CI207" s="14"/>
      <c r="CJ207" s="14"/>
      <c r="CK207" s="14"/>
      <c r="DZ207" s="14"/>
      <c r="EA207" s="14"/>
      <c r="EB207" s="14"/>
      <c r="EC207" s="14"/>
      <c r="ED207" s="14"/>
    </row>
    <row r="208" spans="40:134">
      <c r="AN208" s="14"/>
      <c r="AO208" s="14"/>
      <c r="AP208" s="14"/>
      <c r="AQ208" s="14"/>
      <c r="AR208" s="14"/>
      <c r="CG208" s="14"/>
      <c r="CH208" s="14"/>
      <c r="CI208" s="14"/>
      <c r="CJ208" s="14"/>
      <c r="CK208" s="14"/>
      <c r="DZ208" s="14"/>
      <c r="EA208" s="14"/>
      <c r="EB208" s="14"/>
      <c r="EC208" s="14"/>
      <c r="ED208" s="14"/>
    </row>
    <row r="209" spans="40:134">
      <c r="AN209" s="14"/>
      <c r="AO209" s="14"/>
      <c r="AP209" s="14"/>
      <c r="AQ209" s="14"/>
      <c r="AR209" s="14"/>
      <c r="CG209" s="14"/>
      <c r="CH209" s="14"/>
      <c r="CI209" s="14"/>
      <c r="CJ209" s="14"/>
      <c r="CK209" s="14"/>
      <c r="DZ209" s="14"/>
      <c r="EA209" s="14"/>
      <c r="EB209" s="14"/>
      <c r="EC209" s="14"/>
      <c r="ED209" s="14"/>
    </row>
    <row r="210" spans="40:134">
      <c r="AN210" s="14"/>
      <c r="AO210" s="14"/>
      <c r="AP210" s="14"/>
      <c r="AQ210" s="14"/>
      <c r="AR210" s="14"/>
      <c r="CG210" s="14"/>
      <c r="CH210" s="14"/>
      <c r="CI210" s="14"/>
      <c r="CJ210" s="14"/>
      <c r="CK210" s="14"/>
      <c r="DZ210" s="14"/>
      <c r="EA210" s="14"/>
      <c r="EB210" s="14"/>
      <c r="EC210" s="14"/>
      <c r="ED210" s="14"/>
    </row>
    <row r="211" spans="40:134">
      <c r="AN211" s="14"/>
      <c r="AO211" s="14"/>
      <c r="AP211" s="14"/>
      <c r="AQ211" s="14"/>
      <c r="AR211" s="14"/>
      <c r="CG211" s="14"/>
      <c r="CH211" s="14"/>
      <c r="CI211" s="14"/>
      <c r="CJ211" s="14"/>
      <c r="CK211" s="14"/>
      <c r="DZ211" s="14"/>
      <c r="EA211" s="14"/>
      <c r="EB211" s="14"/>
      <c r="EC211" s="14"/>
      <c r="ED211" s="14"/>
    </row>
    <row r="212" spans="40:134">
      <c r="AN212" s="14"/>
      <c r="AO212" s="14"/>
      <c r="AP212" s="14"/>
      <c r="AQ212" s="14"/>
      <c r="AR212" s="14"/>
      <c r="CG212" s="14"/>
      <c r="CH212" s="14"/>
      <c r="CI212" s="14"/>
      <c r="CJ212" s="14"/>
      <c r="CK212" s="14"/>
      <c r="DZ212" s="14"/>
      <c r="EA212" s="14"/>
      <c r="EB212" s="14"/>
      <c r="EC212" s="14"/>
      <c r="ED212" s="14"/>
    </row>
    <row r="213" spans="40:134">
      <c r="AN213" s="14"/>
      <c r="AO213" s="14"/>
      <c r="AP213" s="14"/>
      <c r="AQ213" s="14"/>
      <c r="AR213" s="14"/>
      <c r="CG213" s="14"/>
      <c r="CH213" s="14"/>
      <c r="CI213" s="14"/>
      <c r="CJ213" s="14"/>
      <c r="CK213" s="14"/>
      <c r="DZ213" s="14"/>
      <c r="EA213" s="14"/>
      <c r="EB213" s="14"/>
      <c r="EC213" s="14"/>
      <c r="ED213" s="14"/>
    </row>
    <row r="214" spans="40:134">
      <c r="AN214" s="14"/>
      <c r="AO214" s="14"/>
      <c r="AP214" s="14"/>
      <c r="AQ214" s="14"/>
      <c r="AR214" s="14"/>
      <c r="CG214" s="14"/>
      <c r="CH214" s="14"/>
      <c r="CI214" s="14"/>
      <c r="CJ214" s="14"/>
      <c r="CK214" s="14"/>
      <c r="DZ214" s="14"/>
      <c r="EA214" s="14"/>
      <c r="EB214" s="14"/>
      <c r="EC214" s="14"/>
      <c r="ED214" s="14"/>
    </row>
    <row r="215" spans="40:134">
      <c r="AN215" s="14"/>
      <c r="AO215" s="14"/>
      <c r="AP215" s="14"/>
      <c r="AQ215" s="14"/>
      <c r="AR215" s="14"/>
      <c r="CG215" s="14"/>
      <c r="CH215" s="14"/>
      <c r="CI215" s="14"/>
      <c r="CJ215" s="14"/>
      <c r="CK215" s="14"/>
      <c r="DZ215" s="14"/>
      <c r="EA215" s="14"/>
      <c r="EB215" s="14"/>
      <c r="EC215" s="14"/>
      <c r="ED215" s="14"/>
    </row>
    <row r="216" spans="40:134">
      <c r="AN216" s="14"/>
      <c r="AO216" s="14"/>
      <c r="AP216" s="14"/>
      <c r="AQ216" s="14"/>
      <c r="AR216" s="14"/>
      <c r="CG216" s="14"/>
      <c r="CH216" s="14"/>
      <c r="CI216" s="14"/>
      <c r="CJ216" s="14"/>
      <c r="CK216" s="14"/>
      <c r="DZ216" s="14"/>
      <c r="EA216" s="14"/>
      <c r="EB216" s="14"/>
      <c r="EC216" s="14"/>
      <c r="ED216" s="14"/>
    </row>
    <row r="217" spans="40:134">
      <c r="AN217" s="14"/>
      <c r="AO217" s="14"/>
      <c r="AP217" s="14"/>
      <c r="AQ217" s="14"/>
      <c r="AR217" s="14"/>
      <c r="CG217" s="14"/>
      <c r="CH217" s="14"/>
      <c r="CI217" s="14"/>
      <c r="CJ217" s="14"/>
      <c r="CK217" s="14"/>
      <c r="DZ217" s="14"/>
      <c r="EA217" s="14"/>
      <c r="EB217" s="14"/>
      <c r="EC217" s="14"/>
      <c r="ED217" s="14"/>
    </row>
    <row r="218" spans="40:134">
      <c r="AN218" s="14"/>
      <c r="AO218" s="14"/>
      <c r="AP218" s="14"/>
      <c r="AQ218" s="14"/>
      <c r="AR218" s="14"/>
      <c r="CG218" s="14"/>
      <c r="CH218" s="14"/>
      <c r="CI218" s="14"/>
      <c r="CJ218" s="14"/>
      <c r="CK218" s="14"/>
      <c r="DZ218" s="14"/>
      <c r="EA218" s="14"/>
      <c r="EB218" s="14"/>
      <c r="EC218" s="14"/>
      <c r="ED218" s="14"/>
    </row>
    <row r="219" spans="40:134">
      <c r="AN219" s="14"/>
      <c r="AO219" s="14"/>
      <c r="AP219" s="14"/>
      <c r="AQ219" s="14"/>
      <c r="AR219" s="14"/>
      <c r="CG219" s="14"/>
      <c r="CH219" s="14"/>
      <c r="CI219" s="14"/>
      <c r="CJ219" s="14"/>
      <c r="CK219" s="14"/>
      <c r="DZ219" s="14"/>
      <c r="EA219" s="14"/>
      <c r="EB219" s="14"/>
      <c r="EC219" s="14"/>
      <c r="ED219" s="14"/>
    </row>
    <row r="220" spans="40:134">
      <c r="AN220" s="14"/>
      <c r="AO220" s="14"/>
      <c r="AP220" s="14"/>
      <c r="AQ220" s="14"/>
      <c r="AR220" s="14"/>
      <c r="CG220" s="14"/>
      <c r="CH220" s="14"/>
      <c r="CI220" s="14"/>
      <c r="CJ220" s="14"/>
      <c r="CK220" s="14"/>
      <c r="DZ220" s="14"/>
      <c r="EA220" s="14"/>
      <c r="EB220" s="14"/>
      <c r="EC220" s="14"/>
      <c r="ED220" s="14"/>
    </row>
    <row r="221" spans="40:134">
      <c r="AN221" s="14"/>
      <c r="AO221" s="14"/>
      <c r="AP221" s="14"/>
      <c r="AQ221" s="14"/>
      <c r="AR221" s="14"/>
      <c r="CG221" s="14"/>
      <c r="CH221" s="14"/>
      <c r="CI221" s="14"/>
      <c r="CJ221" s="14"/>
      <c r="CK221" s="14"/>
      <c r="DZ221" s="14"/>
      <c r="EA221" s="14"/>
      <c r="EB221" s="14"/>
      <c r="EC221" s="14"/>
      <c r="ED221" s="14"/>
    </row>
    <row r="222" spans="40:134">
      <c r="AN222" s="14"/>
      <c r="AO222" s="14"/>
      <c r="AP222" s="14"/>
      <c r="AQ222" s="14"/>
      <c r="AR222" s="14"/>
      <c r="CG222" s="14"/>
      <c r="CH222" s="14"/>
      <c r="CI222" s="14"/>
      <c r="CJ222" s="14"/>
      <c r="CK222" s="14"/>
      <c r="DZ222" s="14"/>
      <c r="EA222" s="14"/>
      <c r="EB222" s="14"/>
      <c r="EC222" s="14"/>
      <c r="ED222" s="14"/>
    </row>
    <row r="223" spans="40:134">
      <c r="AN223" s="14"/>
      <c r="AO223" s="14"/>
      <c r="AP223" s="14"/>
      <c r="AQ223" s="14"/>
      <c r="AR223" s="14"/>
      <c r="CG223" s="14"/>
      <c r="CH223" s="14"/>
      <c r="CI223" s="14"/>
      <c r="CJ223" s="14"/>
      <c r="CK223" s="14"/>
      <c r="DZ223" s="14"/>
      <c r="EA223" s="14"/>
      <c r="EB223" s="14"/>
      <c r="EC223" s="14"/>
      <c r="ED223" s="14"/>
    </row>
    <row r="224" spans="40:134">
      <c r="AN224" s="14"/>
      <c r="AO224" s="14"/>
      <c r="AP224" s="14"/>
      <c r="AQ224" s="14"/>
      <c r="AR224" s="14"/>
      <c r="CG224" s="14"/>
      <c r="CH224" s="14"/>
      <c r="CI224" s="14"/>
      <c r="CJ224" s="14"/>
      <c r="CK224" s="14"/>
      <c r="DZ224" s="14"/>
      <c r="EA224" s="14"/>
      <c r="EB224" s="14"/>
      <c r="EC224" s="14"/>
      <c r="ED224" s="14"/>
    </row>
    <row r="225" spans="40:134">
      <c r="AN225" s="14"/>
      <c r="AO225" s="14"/>
      <c r="AP225" s="14"/>
      <c r="AQ225" s="14"/>
      <c r="AR225" s="14"/>
      <c r="CG225" s="14"/>
      <c r="CH225" s="14"/>
      <c r="CI225" s="14"/>
      <c r="CJ225" s="14"/>
      <c r="CK225" s="14"/>
      <c r="DZ225" s="14"/>
      <c r="EA225" s="14"/>
      <c r="EB225" s="14"/>
      <c r="EC225" s="14"/>
      <c r="ED225" s="14"/>
    </row>
    <row r="226" spans="40:134">
      <c r="AN226" s="14"/>
      <c r="AO226" s="14"/>
      <c r="AP226" s="14"/>
      <c r="AQ226" s="14"/>
      <c r="AR226" s="14"/>
      <c r="CG226" s="14"/>
      <c r="CH226" s="14"/>
      <c r="CI226" s="14"/>
      <c r="CJ226" s="14"/>
      <c r="CK226" s="14"/>
      <c r="DZ226" s="14"/>
      <c r="EA226" s="14"/>
      <c r="EB226" s="14"/>
      <c r="EC226" s="14"/>
      <c r="ED226" s="14"/>
    </row>
    <row r="227" spans="40:134">
      <c r="AN227" s="14"/>
      <c r="AO227" s="14"/>
      <c r="AP227" s="14"/>
      <c r="AQ227" s="14"/>
      <c r="AR227" s="14"/>
      <c r="CG227" s="14"/>
      <c r="CH227" s="14"/>
      <c r="CI227" s="14"/>
      <c r="CJ227" s="14"/>
      <c r="CK227" s="14"/>
      <c r="DZ227" s="14"/>
      <c r="EA227" s="14"/>
      <c r="EB227" s="14"/>
      <c r="EC227" s="14"/>
      <c r="ED227" s="14"/>
    </row>
    <row r="228" spans="40:134">
      <c r="AN228" s="14"/>
      <c r="AO228" s="14"/>
      <c r="AP228" s="14"/>
      <c r="AQ228" s="14"/>
      <c r="AR228" s="14"/>
      <c r="CG228" s="14"/>
      <c r="CH228" s="14"/>
      <c r="CI228" s="14"/>
      <c r="CJ228" s="14"/>
      <c r="CK228" s="14"/>
      <c r="DZ228" s="14"/>
      <c r="EA228" s="14"/>
      <c r="EB228" s="14"/>
      <c r="EC228" s="14"/>
      <c r="ED228" s="14"/>
    </row>
    <row r="229" spans="40:134">
      <c r="AN229" s="14"/>
      <c r="AO229" s="14"/>
      <c r="AP229" s="14"/>
      <c r="AQ229" s="14"/>
      <c r="AR229" s="14"/>
      <c r="CG229" s="14"/>
      <c r="CH229" s="14"/>
      <c r="CI229" s="14"/>
      <c r="CJ229" s="14"/>
      <c r="CK229" s="14"/>
      <c r="DZ229" s="14"/>
      <c r="EA229" s="14"/>
      <c r="EB229" s="14"/>
      <c r="EC229" s="14"/>
      <c r="ED229" s="14"/>
    </row>
    <row r="230" spans="40:134">
      <c r="AN230" s="14"/>
      <c r="AO230" s="14"/>
      <c r="AP230" s="14"/>
      <c r="AQ230" s="14"/>
      <c r="AR230" s="14"/>
      <c r="CG230" s="14"/>
      <c r="CH230" s="14"/>
      <c r="CI230" s="14"/>
      <c r="CJ230" s="14"/>
      <c r="CK230" s="14"/>
      <c r="DZ230" s="14"/>
      <c r="EA230" s="14"/>
      <c r="EB230" s="14"/>
      <c r="EC230" s="14"/>
      <c r="ED230" s="14"/>
    </row>
    <row r="231" spans="40:134">
      <c r="AN231" s="14"/>
      <c r="AO231" s="14"/>
      <c r="AP231" s="14"/>
      <c r="AQ231" s="14"/>
      <c r="AR231" s="14"/>
      <c r="CG231" s="14"/>
      <c r="CH231" s="14"/>
      <c r="CI231" s="14"/>
      <c r="CJ231" s="14"/>
      <c r="CK231" s="14"/>
      <c r="DZ231" s="14"/>
      <c r="EA231" s="14"/>
      <c r="EB231" s="14"/>
      <c r="EC231" s="14"/>
      <c r="ED231" s="14"/>
    </row>
    <row r="232" spans="40:134">
      <c r="AN232" s="14"/>
      <c r="AO232" s="14"/>
      <c r="AP232" s="14"/>
      <c r="AQ232" s="14"/>
      <c r="AR232" s="14"/>
      <c r="CG232" s="14"/>
      <c r="CH232" s="14"/>
      <c r="CI232" s="14"/>
      <c r="CJ232" s="14"/>
      <c r="CK232" s="14"/>
      <c r="DZ232" s="14"/>
      <c r="EA232" s="14"/>
      <c r="EB232" s="14"/>
      <c r="EC232" s="14"/>
      <c r="ED232" s="14"/>
    </row>
    <row r="233" spans="40:134">
      <c r="AN233" s="14"/>
      <c r="AO233" s="14"/>
      <c r="AP233" s="14"/>
      <c r="AQ233" s="14"/>
      <c r="AR233" s="14"/>
      <c r="CG233" s="14"/>
      <c r="CH233" s="14"/>
      <c r="CI233" s="14"/>
      <c r="CJ233" s="14"/>
      <c r="CK233" s="14"/>
      <c r="DZ233" s="14"/>
      <c r="EA233" s="14"/>
      <c r="EB233" s="14"/>
      <c r="EC233" s="14"/>
      <c r="ED233" s="14"/>
    </row>
    <row r="234" spans="40:134">
      <c r="AN234" s="14"/>
      <c r="AO234" s="14"/>
      <c r="AP234" s="14"/>
      <c r="AQ234" s="14"/>
      <c r="AR234" s="14"/>
      <c r="CG234" s="14"/>
      <c r="CH234" s="14"/>
      <c r="CI234" s="14"/>
      <c r="CJ234" s="14"/>
      <c r="CK234" s="14"/>
      <c r="DZ234" s="14"/>
      <c r="EA234" s="14"/>
      <c r="EB234" s="14"/>
      <c r="EC234" s="14"/>
      <c r="ED234" s="14"/>
    </row>
    <row r="235" spans="40:134">
      <c r="AN235" s="14"/>
      <c r="AO235" s="14"/>
      <c r="AP235" s="14"/>
      <c r="AQ235" s="14"/>
      <c r="AR235" s="14"/>
      <c r="CG235" s="14"/>
      <c r="CH235" s="14"/>
      <c r="CI235" s="14"/>
      <c r="CJ235" s="14"/>
      <c r="CK235" s="14"/>
      <c r="DZ235" s="14"/>
      <c r="EA235" s="14"/>
      <c r="EB235" s="14"/>
      <c r="EC235" s="14"/>
      <c r="ED235" s="14"/>
    </row>
    <row r="236" spans="40:134">
      <c r="AN236" s="14"/>
      <c r="AO236" s="14"/>
      <c r="AP236" s="14"/>
      <c r="AQ236" s="14"/>
      <c r="AR236" s="14"/>
      <c r="CG236" s="14"/>
      <c r="CH236" s="14"/>
      <c r="CI236" s="14"/>
      <c r="CJ236" s="14"/>
      <c r="CK236" s="14"/>
      <c r="DZ236" s="14"/>
      <c r="EA236" s="14"/>
      <c r="EB236" s="14"/>
      <c r="EC236" s="14"/>
      <c r="ED236" s="14"/>
    </row>
    <row r="237" spans="40:134">
      <c r="AN237" s="14"/>
      <c r="AO237" s="14"/>
      <c r="AP237" s="14"/>
      <c r="AQ237" s="14"/>
      <c r="AR237" s="14"/>
      <c r="CG237" s="14"/>
      <c r="CH237" s="14"/>
      <c r="CI237" s="14"/>
      <c r="CJ237" s="14"/>
      <c r="CK237" s="14"/>
      <c r="DZ237" s="14"/>
      <c r="EA237" s="14"/>
      <c r="EB237" s="14"/>
      <c r="EC237" s="14"/>
      <c r="ED237" s="14"/>
    </row>
    <row r="238" spans="40:134">
      <c r="AN238" s="14"/>
      <c r="AO238" s="14"/>
      <c r="AP238" s="14"/>
      <c r="AQ238" s="14"/>
      <c r="AR238" s="14"/>
      <c r="CG238" s="14"/>
      <c r="CH238" s="14"/>
      <c r="CI238" s="14"/>
      <c r="CJ238" s="14"/>
      <c r="CK238" s="14"/>
      <c r="DZ238" s="14"/>
      <c r="EA238" s="14"/>
      <c r="EB238" s="14"/>
      <c r="EC238" s="14"/>
      <c r="ED238" s="14"/>
    </row>
    <row r="239" spans="40:134">
      <c r="AN239" s="14"/>
      <c r="AO239" s="14"/>
      <c r="AP239" s="14"/>
      <c r="AQ239" s="14"/>
      <c r="AR239" s="14"/>
      <c r="CG239" s="14"/>
      <c r="CH239" s="14"/>
      <c r="CI239" s="14"/>
      <c r="CJ239" s="14"/>
      <c r="CK239" s="14"/>
      <c r="DZ239" s="14"/>
      <c r="EA239" s="14"/>
      <c r="EB239" s="14"/>
      <c r="EC239" s="14"/>
      <c r="ED239" s="14"/>
    </row>
    <row r="240" spans="40:134">
      <c r="AN240" s="14"/>
      <c r="AO240" s="14"/>
      <c r="AP240" s="14"/>
      <c r="AQ240" s="14"/>
      <c r="AR240" s="14"/>
      <c r="CG240" s="14"/>
      <c r="CH240" s="14"/>
      <c r="CI240" s="14"/>
      <c r="CJ240" s="14"/>
      <c r="CK240" s="14"/>
      <c r="DZ240" s="14"/>
      <c r="EA240" s="14"/>
      <c r="EB240" s="14"/>
      <c r="EC240" s="14"/>
      <c r="ED240" s="14"/>
    </row>
    <row r="241" spans="40:134">
      <c r="AN241" s="14"/>
      <c r="AO241" s="14"/>
      <c r="AP241" s="14"/>
      <c r="AQ241" s="14"/>
      <c r="AR241" s="14"/>
      <c r="CG241" s="14"/>
      <c r="CH241" s="14"/>
      <c r="CI241" s="14"/>
      <c r="CJ241" s="14"/>
      <c r="CK241" s="14"/>
      <c r="DZ241" s="14"/>
      <c r="EA241" s="14"/>
      <c r="EB241" s="14"/>
      <c r="EC241" s="14"/>
      <c r="ED241" s="14"/>
    </row>
    <row r="242" spans="40:134">
      <c r="AN242" s="14"/>
      <c r="AO242" s="14"/>
      <c r="AP242" s="14"/>
      <c r="AQ242" s="14"/>
      <c r="AR242" s="14"/>
      <c r="CG242" s="14"/>
      <c r="CH242" s="14"/>
      <c r="CI242" s="14"/>
      <c r="CJ242" s="14"/>
      <c r="CK242" s="14"/>
      <c r="DZ242" s="14"/>
      <c r="EA242" s="14"/>
      <c r="EB242" s="14"/>
      <c r="EC242" s="14"/>
      <c r="ED242" s="14"/>
    </row>
    <row r="243" spans="40:134">
      <c r="AN243" s="14"/>
      <c r="AO243" s="14"/>
      <c r="AP243" s="14"/>
      <c r="AQ243" s="14"/>
      <c r="AR243" s="14"/>
      <c r="CG243" s="14"/>
      <c r="CH243" s="14"/>
      <c r="CI243" s="14"/>
      <c r="CJ243" s="14"/>
      <c r="CK243" s="14"/>
      <c r="DZ243" s="14"/>
      <c r="EA243" s="14"/>
      <c r="EB243" s="14"/>
      <c r="EC243" s="14"/>
      <c r="ED243" s="14"/>
    </row>
    <row r="244" spans="40:134">
      <c r="AN244" s="14"/>
      <c r="AO244" s="14"/>
      <c r="AP244" s="14"/>
      <c r="AQ244" s="14"/>
      <c r="AR244" s="14"/>
      <c r="CG244" s="14"/>
      <c r="CH244" s="14"/>
      <c r="CI244" s="14"/>
      <c r="CJ244" s="14"/>
      <c r="CK244" s="14"/>
      <c r="DZ244" s="14"/>
      <c r="EA244" s="14"/>
      <c r="EB244" s="14"/>
      <c r="EC244" s="14"/>
      <c r="ED244" s="14"/>
    </row>
    <row r="245" spans="40:134">
      <c r="AN245" s="14"/>
      <c r="AO245" s="14"/>
      <c r="AP245" s="14"/>
      <c r="AQ245" s="14"/>
      <c r="AR245" s="14"/>
      <c r="CG245" s="14"/>
      <c r="CH245" s="14"/>
      <c r="CI245" s="14"/>
      <c r="CJ245" s="14"/>
      <c r="CK245" s="14"/>
      <c r="DZ245" s="14"/>
      <c r="EA245" s="14"/>
      <c r="EB245" s="14"/>
      <c r="EC245" s="14"/>
      <c r="ED245" s="14"/>
    </row>
    <row r="246" spans="40:134">
      <c r="AN246" s="14"/>
      <c r="AO246" s="14"/>
      <c r="AP246" s="14"/>
      <c r="AQ246" s="14"/>
      <c r="AR246" s="14"/>
      <c r="CG246" s="14"/>
      <c r="CH246" s="14"/>
      <c r="CI246" s="14"/>
      <c r="CJ246" s="14"/>
      <c r="CK246" s="14"/>
      <c r="DZ246" s="14"/>
      <c r="EA246" s="14"/>
      <c r="EB246" s="14"/>
      <c r="EC246" s="14"/>
      <c r="ED246" s="14"/>
    </row>
    <row r="247" spans="40:134">
      <c r="AN247" s="14"/>
      <c r="AO247" s="14"/>
      <c r="AP247" s="14"/>
      <c r="AQ247" s="14"/>
      <c r="AR247" s="14"/>
      <c r="CG247" s="14"/>
      <c r="CH247" s="14"/>
      <c r="CI247" s="14"/>
      <c r="CJ247" s="14"/>
      <c r="CK247" s="14"/>
      <c r="DZ247" s="14"/>
      <c r="EA247" s="14"/>
      <c r="EB247" s="14"/>
      <c r="EC247" s="14"/>
      <c r="ED247" s="14"/>
    </row>
    <row r="248" spans="40:134">
      <c r="AN248" s="14"/>
      <c r="AO248" s="14"/>
      <c r="AP248" s="14"/>
      <c r="AQ248" s="14"/>
      <c r="AR248" s="14"/>
      <c r="CG248" s="14"/>
      <c r="CH248" s="14"/>
      <c r="CI248" s="14"/>
      <c r="CJ248" s="14"/>
      <c r="CK248" s="14"/>
      <c r="DZ248" s="14"/>
      <c r="EA248" s="14"/>
      <c r="EB248" s="14"/>
      <c r="EC248" s="14"/>
      <c r="ED248" s="14"/>
    </row>
    <row r="249" spans="40:134">
      <c r="AN249" s="14"/>
      <c r="AO249" s="14"/>
      <c r="AP249" s="14"/>
      <c r="AQ249" s="14"/>
      <c r="AR249" s="14"/>
      <c r="CG249" s="14"/>
      <c r="CH249" s="14"/>
      <c r="CI249" s="14"/>
      <c r="CJ249" s="14"/>
      <c r="CK249" s="14"/>
      <c r="DZ249" s="14"/>
      <c r="EA249" s="14"/>
      <c r="EB249" s="14"/>
      <c r="EC249" s="14"/>
      <c r="ED249" s="14"/>
    </row>
    <row r="250" spans="40:134">
      <c r="AN250" s="14"/>
      <c r="AO250" s="14"/>
      <c r="AP250" s="14"/>
      <c r="AQ250" s="14"/>
      <c r="AR250" s="14"/>
      <c r="CG250" s="14"/>
      <c r="CH250" s="14"/>
      <c r="CI250" s="14"/>
      <c r="CJ250" s="14"/>
      <c r="CK250" s="14"/>
      <c r="DZ250" s="14"/>
      <c r="EA250" s="14"/>
      <c r="EB250" s="14"/>
      <c r="EC250" s="14"/>
      <c r="ED250" s="14"/>
    </row>
    <row r="251" spans="40:134">
      <c r="AN251" s="14"/>
      <c r="AO251" s="14"/>
      <c r="AP251" s="14"/>
      <c r="AQ251" s="14"/>
      <c r="AR251" s="14"/>
      <c r="CG251" s="14"/>
      <c r="CH251" s="14"/>
      <c r="CI251" s="14"/>
      <c r="CJ251" s="14"/>
      <c r="CK251" s="14"/>
      <c r="DZ251" s="14"/>
      <c r="EA251" s="14"/>
      <c r="EB251" s="14"/>
      <c r="EC251" s="14"/>
      <c r="ED251" s="14"/>
    </row>
    <row r="252" spans="40:134">
      <c r="AN252" s="14"/>
      <c r="AO252" s="14"/>
      <c r="AP252" s="14"/>
      <c r="AQ252" s="14"/>
      <c r="AR252" s="14"/>
      <c r="CG252" s="14"/>
      <c r="CH252" s="14"/>
      <c r="CI252" s="14"/>
      <c r="CJ252" s="14"/>
      <c r="CK252" s="14"/>
      <c r="DZ252" s="14"/>
      <c r="EA252" s="14"/>
      <c r="EB252" s="14"/>
      <c r="EC252" s="14"/>
      <c r="ED252" s="14"/>
    </row>
    <row r="253" spans="40:134">
      <c r="AN253" s="14"/>
      <c r="AO253" s="14"/>
      <c r="AP253" s="14"/>
      <c r="AQ253" s="14"/>
      <c r="AR253" s="14"/>
      <c r="CG253" s="14"/>
      <c r="CH253" s="14"/>
      <c r="CI253" s="14"/>
      <c r="CJ253" s="14"/>
      <c r="CK253" s="14"/>
      <c r="DZ253" s="14"/>
      <c r="EA253" s="14"/>
      <c r="EB253" s="14"/>
      <c r="EC253" s="14"/>
      <c r="ED253" s="14"/>
    </row>
    <row r="254" spans="40:134">
      <c r="AN254" s="14"/>
      <c r="AO254" s="14"/>
      <c r="AP254" s="14"/>
      <c r="AQ254" s="14"/>
      <c r="AR254" s="14"/>
      <c r="CG254" s="14"/>
      <c r="CH254" s="14"/>
      <c r="CI254" s="14"/>
      <c r="CJ254" s="14"/>
      <c r="CK254" s="14"/>
      <c r="DZ254" s="14"/>
      <c r="EA254" s="14"/>
      <c r="EB254" s="14"/>
      <c r="EC254" s="14"/>
      <c r="ED254" s="14"/>
    </row>
    <row r="255" spans="40:134">
      <c r="AN255" s="14"/>
      <c r="AO255" s="14"/>
      <c r="AP255" s="14"/>
      <c r="AQ255" s="14"/>
      <c r="AR255" s="14"/>
      <c r="CG255" s="14"/>
      <c r="CH255" s="14"/>
      <c r="CI255" s="14"/>
      <c r="CJ255" s="14"/>
      <c r="CK255" s="14"/>
      <c r="DZ255" s="14"/>
      <c r="EA255" s="14"/>
      <c r="EB255" s="14"/>
      <c r="EC255" s="14"/>
      <c r="ED255" s="14"/>
    </row>
    <row r="256" spans="40:134">
      <c r="AN256" s="14"/>
      <c r="AO256" s="14"/>
      <c r="AP256" s="14"/>
      <c r="AQ256" s="14"/>
      <c r="AR256" s="14"/>
      <c r="CG256" s="14"/>
      <c r="CH256" s="14"/>
      <c r="CI256" s="14"/>
      <c r="CJ256" s="14"/>
      <c r="CK256" s="14"/>
      <c r="DZ256" s="14"/>
      <c r="EA256" s="14"/>
      <c r="EB256" s="14"/>
      <c r="EC256" s="14"/>
      <c r="ED256" s="14"/>
    </row>
    <row r="257" spans="40:134">
      <c r="AN257" s="14"/>
      <c r="AO257" s="14"/>
      <c r="AP257" s="14"/>
      <c r="AQ257" s="14"/>
      <c r="AR257" s="14"/>
      <c r="CG257" s="14"/>
      <c r="CH257" s="14"/>
      <c r="CI257" s="14"/>
      <c r="CJ257" s="14"/>
      <c r="CK257" s="14"/>
      <c r="DZ257" s="14"/>
      <c r="EA257" s="14"/>
      <c r="EB257" s="14"/>
      <c r="EC257" s="14"/>
      <c r="ED257" s="14"/>
    </row>
    <row r="258" spans="40:134">
      <c r="AN258" s="14"/>
      <c r="AO258" s="14"/>
      <c r="AP258" s="14"/>
      <c r="AQ258" s="14"/>
      <c r="AR258" s="14"/>
      <c r="CG258" s="14"/>
      <c r="CH258" s="14"/>
      <c r="CI258" s="14"/>
      <c r="CJ258" s="14"/>
      <c r="CK258" s="14"/>
      <c r="DZ258" s="14"/>
      <c r="EA258" s="14"/>
      <c r="EB258" s="14"/>
      <c r="EC258" s="14"/>
      <c r="ED258" s="14"/>
    </row>
    <row r="259" spans="40:134">
      <c r="AN259" s="14"/>
      <c r="AO259" s="14"/>
      <c r="AP259" s="14"/>
      <c r="AQ259" s="14"/>
      <c r="AR259" s="14"/>
      <c r="CG259" s="14"/>
      <c r="CH259" s="14"/>
      <c r="CI259" s="14"/>
      <c r="CJ259" s="14"/>
      <c r="CK259" s="14"/>
      <c r="DZ259" s="14"/>
      <c r="EA259" s="14"/>
      <c r="EB259" s="14"/>
      <c r="EC259" s="14"/>
      <c r="ED259" s="14"/>
    </row>
    <row r="260" spans="40:134">
      <c r="AN260" s="14"/>
      <c r="AO260" s="14"/>
      <c r="AP260" s="14"/>
      <c r="AQ260" s="14"/>
      <c r="AR260" s="14"/>
      <c r="CG260" s="14"/>
      <c r="CH260" s="14"/>
      <c r="CI260" s="14"/>
      <c r="CJ260" s="14"/>
      <c r="CK260" s="14"/>
      <c r="DZ260" s="14"/>
      <c r="EA260" s="14"/>
      <c r="EB260" s="14"/>
      <c r="EC260" s="14"/>
      <c r="ED260" s="14"/>
    </row>
    <row r="261" spans="40:134">
      <c r="AN261" s="14"/>
      <c r="AO261" s="14"/>
      <c r="AP261" s="14"/>
      <c r="AQ261" s="14"/>
      <c r="AR261" s="14"/>
      <c r="CG261" s="14"/>
      <c r="CH261" s="14"/>
      <c r="CI261" s="14"/>
      <c r="CJ261" s="14"/>
      <c r="CK261" s="14"/>
      <c r="DZ261" s="14"/>
      <c r="EA261" s="14"/>
      <c r="EB261" s="14"/>
      <c r="EC261" s="14"/>
      <c r="ED261" s="14"/>
    </row>
    <row r="262" spans="40:134">
      <c r="AN262" s="14"/>
      <c r="AO262" s="14"/>
      <c r="AP262" s="14"/>
      <c r="AQ262" s="14"/>
      <c r="AR262" s="14"/>
      <c r="CG262" s="14"/>
      <c r="CH262" s="14"/>
      <c r="CI262" s="14"/>
      <c r="CJ262" s="14"/>
      <c r="CK262" s="14"/>
      <c r="DZ262" s="14"/>
      <c r="EA262" s="14"/>
      <c r="EB262" s="14"/>
      <c r="EC262" s="14"/>
      <c r="ED262" s="14"/>
    </row>
    <row r="263" spans="40:134">
      <c r="AN263" s="14"/>
      <c r="AO263" s="14"/>
      <c r="AP263" s="14"/>
      <c r="AQ263" s="14"/>
      <c r="AR263" s="14"/>
      <c r="CG263" s="14"/>
      <c r="CH263" s="14"/>
      <c r="CI263" s="14"/>
      <c r="CJ263" s="14"/>
      <c r="CK263" s="14"/>
      <c r="DZ263" s="14"/>
      <c r="EA263" s="14"/>
      <c r="EB263" s="14"/>
      <c r="EC263" s="14"/>
      <c r="ED263" s="14"/>
    </row>
    <row r="264" spans="40:134">
      <c r="AN264" s="14"/>
      <c r="AO264" s="14"/>
      <c r="AP264" s="14"/>
      <c r="AQ264" s="14"/>
      <c r="AR264" s="14"/>
      <c r="CG264" s="14"/>
      <c r="CH264" s="14"/>
      <c r="CI264" s="14"/>
      <c r="CJ264" s="14"/>
      <c r="CK264" s="14"/>
      <c r="DZ264" s="14"/>
      <c r="EA264" s="14"/>
      <c r="EB264" s="14"/>
      <c r="EC264" s="14"/>
      <c r="ED264" s="14"/>
    </row>
    <row r="265" spans="40:134">
      <c r="AN265" s="14"/>
      <c r="AO265" s="14"/>
      <c r="AP265" s="14"/>
      <c r="AQ265" s="14"/>
      <c r="AR265" s="14"/>
      <c r="CG265" s="14"/>
      <c r="CH265" s="14"/>
      <c r="CI265" s="14"/>
      <c r="CJ265" s="14"/>
      <c r="CK265" s="14"/>
      <c r="DZ265" s="14"/>
      <c r="EA265" s="14"/>
      <c r="EB265" s="14"/>
      <c r="EC265" s="14"/>
      <c r="ED265" s="14"/>
    </row>
    <row r="266" spans="40:134">
      <c r="AN266" s="14"/>
      <c r="AO266" s="14"/>
      <c r="AP266" s="14"/>
      <c r="AQ266" s="14"/>
      <c r="AR266" s="14"/>
      <c r="CG266" s="14"/>
      <c r="CH266" s="14"/>
      <c r="CI266" s="14"/>
      <c r="CJ266" s="14"/>
      <c r="CK266" s="14"/>
      <c r="DZ266" s="14"/>
      <c r="EA266" s="14"/>
      <c r="EB266" s="14"/>
      <c r="EC266" s="14"/>
      <c r="ED266" s="14"/>
    </row>
    <row r="267" spans="40:134">
      <c r="AN267" s="14"/>
      <c r="AO267" s="14"/>
      <c r="AP267" s="14"/>
      <c r="AQ267" s="14"/>
      <c r="AR267" s="14"/>
      <c r="CG267" s="14"/>
      <c r="CH267" s="14"/>
      <c r="CI267" s="14"/>
      <c r="CJ267" s="14"/>
      <c r="CK267" s="14"/>
      <c r="DZ267" s="14"/>
      <c r="EA267" s="14"/>
      <c r="EB267" s="14"/>
      <c r="EC267" s="14"/>
      <c r="ED267" s="14"/>
    </row>
    <row r="268" spans="40:134">
      <c r="AN268" s="14"/>
      <c r="AO268" s="14"/>
      <c r="AP268" s="14"/>
      <c r="AQ268" s="14"/>
      <c r="AR268" s="14"/>
      <c r="CG268" s="14"/>
      <c r="CH268" s="14"/>
      <c r="CI268" s="14"/>
      <c r="CJ268" s="14"/>
      <c r="CK268" s="14"/>
      <c r="DZ268" s="14"/>
      <c r="EA268" s="14"/>
      <c r="EB268" s="14"/>
      <c r="EC268" s="14"/>
      <c r="ED268" s="14"/>
    </row>
    <row r="269" spans="40:134">
      <c r="AN269" s="14"/>
      <c r="AO269" s="14"/>
      <c r="AP269" s="14"/>
      <c r="AQ269" s="14"/>
      <c r="AR269" s="14"/>
      <c r="CG269" s="14"/>
      <c r="CH269" s="14"/>
      <c r="CI269" s="14"/>
      <c r="CJ269" s="14"/>
      <c r="CK269" s="14"/>
      <c r="DZ269" s="14"/>
      <c r="EA269" s="14"/>
      <c r="EB269" s="14"/>
      <c r="EC269" s="14"/>
      <c r="ED269" s="14"/>
    </row>
    <row r="270" spans="40:134">
      <c r="AN270" s="14"/>
      <c r="AO270" s="14"/>
      <c r="AP270" s="14"/>
      <c r="AQ270" s="14"/>
      <c r="AR270" s="14"/>
      <c r="CG270" s="14"/>
      <c r="CH270" s="14"/>
      <c r="CI270" s="14"/>
      <c r="CJ270" s="14"/>
      <c r="CK270" s="14"/>
      <c r="DZ270" s="14"/>
      <c r="EA270" s="14"/>
      <c r="EB270" s="14"/>
      <c r="EC270" s="14"/>
      <c r="ED270" s="14"/>
    </row>
    <row r="271" spans="40:134">
      <c r="AN271" s="14"/>
      <c r="AO271" s="14"/>
      <c r="AP271" s="14"/>
      <c r="AQ271" s="14"/>
      <c r="AR271" s="14"/>
      <c r="CG271" s="14"/>
      <c r="CH271" s="14"/>
      <c r="CI271" s="14"/>
      <c r="CJ271" s="14"/>
      <c r="CK271" s="14"/>
      <c r="DZ271" s="14"/>
      <c r="EA271" s="14"/>
      <c r="EB271" s="14"/>
      <c r="EC271" s="14"/>
      <c r="ED271" s="14"/>
    </row>
    <row r="272" spans="40:134">
      <c r="AN272" s="14"/>
      <c r="AO272" s="14"/>
      <c r="AP272" s="14"/>
      <c r="AQ272" s="14"/>
      <c r="AR272" s="14"/>
      <c r="CG272" s="14"/>
      <c r="CH272" s="14"/>
      <c r="CI272" s="14"/>
      <c r="CJ272" s="14"/>
      <c r="CK272" s="14"/>
      <c r="DZ272" s="14"/>
      <c r="EA272" s="14"/>
      <c r="EB272" s="14"/>
      <c r="EC272" s="14"/>
      <c r="ED272" s="14"/>
    </row>
    <row r="273" spans="40:134">
      <c r="AN273" s="14"/>
      <c r="AO273" s="14"/>
      <c r="AP273" s="14"/>
      <c r="AQ273" s="14"/>
      <c r="AR273" s="14"/>
      <c r="CG273" s="14"/>
      <c r="CH273" s="14"/>
      <c r="CI273" s="14"/>
      <c r="CJ273" s="14"/>
      <c r="CK273" s="14"/>
      <c r="DZ273" s="14"/>
      <c r="EA273" s="14"/>
      <c r="EB273" s="14"/>
      <c r="EC273" s="14"/>
      <c r="ED273" s="14"/>
    </row>
    <row r="274" spans="40:134">
      <c r="AN274" s="14"/>
      <c r="AO274" s="14"/>
      <c r="AP274" s="14"/>
      <c r="AQ274" s="14"/>
      <c r="AR274" s="14"/>
      <c r="CG274" s="14"/>
      <c r="CH274" s="14"/>
      <c r="CI274" s="14"/>
      <c r="CJ274" s="14"/>
      <c r="CK274" s="14"/>
      <c r="DZ274" s="14"/>
      <c r="EA274" s="14"/>
      <c r="EB274" s="14"/>
      <c r="EC274" s="14"/>
      <c r="ED274" s="14"/>
    </row>
    <row r="275" spans="40:134">
      <c r="AN275" s="14"/>
      <c r="AO275" s="14"/>
      <c r="AP275" s="14"/>
      <c r="AQ275" s="14"/>
      <c r="AR275" s="14"/>
      <c r="CG275" s="14"/>
      <c r="CH275" s="14"/>
      <c r="CI275" s="14"/>
      <c r="CJ275" s="14"/>
      <c r="CK275" s="14"/>
      <c r="DZ275" s="14"/>
      <c r="EA275" s="14"/>
      <c r="EB275" s="14"/>
      <c r="EC275" s="14"/>
      <c r="ED275" s="14"/>
    </row>
    <row r="276" spans="40:134">
      <c r="AN276" s="14"/>
      <c r="AO276" s="14"/>
      <c r="AP276" s="14"/>
      <c r="AQ276" s="14"/>
      <c r="AR276" s="14"/>
      <c r="CG276" s="14"/>
      <c r="CH276" s="14"/>
      <c r="CI276" s="14"/>
      <c r="CJ276" s="14"/>
      <c r="CK276" s="14"/>
      <c r="DZ276" s="14"/>
      <c r="EA276" s="14"/>
      <c r="EB276" s="14"/>
      <c r="EC276" s="14"/>
      <c r="ED276" s="14"/>
    </row>
    <row r="277" spans="40:134">
      <c r="AN277" s="14"/>
      <c r="AO277" s="14"/>
      <c r="AP277" s="14"/>
      <c r="AQ277" s="14"/>
      <c r="AR277" s="14"/>
      <c r="CG277" s="14"/>
      <c r="CH277" s="14"/>
      <c r="CI277" s="14"/>
      <c r="CJ277" s="14"/>
      <c r="CK277" s="14"/>
      <c r="DZ277" s="14"/>
      <c r="EA277" s="14"/>
      <c r="EB277" s="14"/>
      <c r="EC277" s="14"/>
      <c r="ED277" s="14"/>
    </row>
    <row r="278" spans="40:134">
      <c r="AN278" s="14"/>
      <c r="AO278" s="14"/>
      <c r="AP278" s="14"/>
      <c r="AQ278" s="14"/>
      <c r="AR278" s="14"/>
      <c r="CG278" s="14"/>
      <c r="CH278" s="14"/>
      <c r="CI278" s="14"/>
      <c r="CJ278" s="14"/>
      <c r="CK278" s="14"/>
      <c r="DZ278" s="14"/>
      <c r="EA278" s="14"/>
      <c r="EB278" s="14"/>
      <c r="EC278" s="14"/>
      <c r="ED278" s="14"/>
    </row>
    <row r="279" spans="40:134">
      <c r="AN279" s="14"/>
      <c r="AO279" s="14"/>
      <c r="AP279" s="14"/>
      <c r="AQ279" s="14"/>
      <c r="AR279" s="14"/>
      <c r="CG279" s="14"/>
      <c r="CH279" s="14"/>
      <c r="CI279" s="14"/>
      <c r="CJ279" s="14"/>
      <c r="CK279" s="14"/>
      <c r="DZ279" s="14"/>
      <c r="EA279" s="14"/>
      <c r="EB279" s="14"/>
      <c r="EC279" s="14"/>
      <c r="ED279" s="14"/>
    </row>
    <row r="280" spans="40:134">
      <c r="AN280" s="14"/>
      <c r="AO280" s="14"/>
      <c r="AP280" s="14"/>
      <c r="AQ280" s="14"/>
      <c r="AR280" s="14"/>
      <c r="CG280" s="14"/>
      <c r="CH280" s="14"/>
      <c r="CI280" s="14"/>
      <c r="CJ280" s="14"/>
      <c r="CK280" s="14"/>
      <c r="DZ280" s="14"/>
      <c r="EA280" s="14"/>
      <c r="EB280" s="14"/>
      <c r="EC280" s="14"/>
      <c r="ED280" s="14"/>
    </row>
    <row r="281" spans="40:134">
      <c r="AN281" s="14"/>
      <c r="AO281" s="14"/>
      <c r="AP281" s="14"/>
      <c r="AQ281" s="14"/>
      <c r="AR281" s="14"/>
      <c r="CG281" s="14"/>
      <c r="CH281" s="14"/>
      <c r="CI281" s="14"/>
      <c r="CJ281" s="14"/>
      <c r="CK281" s="14"/>
      <c r="DZ281" s="14"/>
      <c r="EA281" s="14"/>
      <c r="EB281" s="14"/>
      <c r="EC281" s="14"/>
      <c r="ED281" s="14"/>
    </row>
    <row r="282" spans="40:134">
      <c r="AN282" s="14"/>
      <c r="AO282" s="14"/>
      <c r="AP282" s="14"/>
      <c r="AQ282" s="14"/>
      <c r="AR282" s="14"/>
      <c r="CG282" s="14"/>
      <c r="CH282" s="14"/>
      <c r="CI282" s="14"/>
      <c r="CJ282" s="14"/>
      <c r="CK282" s="14"/>
      <c r="DZ282" s="14"/>
      <c r="EA282" s="14"/>
      <c r="EB282" s="14"/>
      <c r="EC282" s="14"/>
      <c r="ED282" s="14"/>
    </row>
    <row r="283" spans="40:134">
      <c r="AN283" s="14"/>
      <c r="AO283" s="14"/>
      <c r="AP283" s="14"/>
      <c r="AQ283" s="14"/>
      <c r="AR283" s="14"/>
      <c r="CG283" s="14"/>
      <c r="CH283" s="14"/>
      <c r="CI283" s="14"/>
      <c r="CJ283" s="14"/>
      <c r="CK283" s="14"/>
      <c r="DZ283" s="14"/>
      <c r="EA283" s="14"/>
      <c r="EB283" s="14"/>
      <c r="EC283" s="14"/>
      <c r="ED283" s="14"/>
    </row>
    <row r="284" spans="40:134">
      <c r="AN284" s="14"/>
      <c r="AO284" s="14"/>
      <c r="AP284" s="14"/>
      <c r="AQ284" s="14"/>
      <c r="AR284" s="14"/>
      <c r="CG284" s="14"/>
      <c r="CH284" s="14"/>
      <c r="CI284" s="14"/>
      <c r="CJ284" s="14"/>
      <c r="CK284" s="14"/>
      <c r="DZ284" s="14"/>
      <c r="EA284" s="14"/>
      <c r="EB284" s="14"/>
      <c r="EC284" s="14"/>
      <c r="ED284" s="14"/>
    </row>
    <row r="285" spans="40:134">
      <c r="AN285" s="14"/>
      <c r="AO285" s="14"/>
      <c r="AP285" s="14"/>
      <c r="AQ285" s="14"/>
      <c r="AR285" s="14"/>
      <c r="CG285" s="14"/>
      <c r="CH285" s="14"/>
      <c r="CI285" s="14"/>
      <c r="CJ285" s="14"/>
      <c r="CK285" s="14"/>
      <c r="DZ285" s="14"/>
      <c r="EA285" s="14"/>
      <c r="EB285" s="14"/>
      <c r="EC285" s="14"/>
      <c r="ED285" s="14"/>
    </row>
    <row r="286" spans="40:134">
      <c r="AN286" s="14"/>
      <c r="AO286" s="14"/>
      <c r="AP286" s="14"/>
      <c r="AQ286" s="14"/>
      <c r="AR286" s="14"/>
      <c r="CG286" s="14"/>
      <c r="CH286" s="14"/>
      <c r="CI286" s="14"/>
      <c r="CJ286" s="14"/>
      <c r="CK286" s="14"/>
      <c r="DZ286" s="14"/>
      <c r="EA286" s="14"/>
      <c r="EB286" s="14"/>
      <c r="EC286" s="14"/>
      <c r="ED286" s="14"/>
    </row>
    <row r="287" spans="40:134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  <c r="DZ287" s="14"/>
      <c r="EA287" s="14"/>
      <c r="EB287" s="14"/>
      <c r="EC287" s="14"/>
      <c r="ED287" s="14"/>
    </row>
    <row r="288" spans="40:134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  <c r="DZ288" s="14"/>
      <c r="EA288" s="14"/>
      <c r="EB288" s="14"/>
      <c r="EC288" s="14"/>
      <c r="ED288" s="14"/>
    </row>
    <row r="289" spans="1:134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  <c r="DZ289" s="14"/>
      <c r="EA289" s="14"/>
      <c r="EB289" s="14"/>
      <c r="EC289" s="14"/>
      <c r="ED289" s="14"/>
    </row>
    <row r="290" spans="1:134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  <c r="DZ290" s="14"/>
      <c r="EA290" s="14"/>
      <c r="EB290" s="14"/>
      <c r="EC290" s="14"/>
      <c r="ED290" s="14"/>
    </row>
    <row r="291" spans="1:134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  <c r="DZ291" s="14"/>
      <c r="EA291" s="14"/>
      <c r="EB291" s="14"/>
      <c r="EC291" s="14"/>
      <c r="ED291" s="14"/>
    </row>
    <row r="292" spans="1:134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  <c r="DZ292" s="14"/>
      <c r="EA292" s="14"/>
      <c r="EB292" s="14"/>
      <c r="EC292" s="14"/>
      <c r="ED292" s="14"/>
    </row>
    <row r="293" spans="1:134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  <c r="DZ293" s="14"/>
      <c r="EA293" s="14"/>
      <c r="EB293" s="14"/>
      <c r="EC293" s="14"/>
      <c r="ED293" s="14"/>
    </row>
    <row r="294" spans="1:134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  <c r="DZ294" s="14"/>
      <c r="EA294" s="14"/>
      <c r="EB294" s="14"/>
      <c r="EC294" s="14"/>
      <c r="ED294" s="14"/>
    </row>
    <row r="295" spans="1:134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  <c r="DZ295" s="14"/>
      <c r="EA295" s="14"/>
      <c r="EB295" s="14"/>
      <c r="EC295" s="14"/>
      <c r="ED295" s="14"/>
    </row>
    <row r="296" spans="1:134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  <c r="DZ296" s="14"/>
      <c r="EA296" s="14"/>
      <c r="EB296" s="14"/>
      <c r="EC296" s="14"/>
      <c r="ED296" s="14"/>
    </row>
    <row r="297" spans="1:134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  <c r="DZ297" s="14"/>
      <c r="EA297" s="14"/>
      <c r="EB297" s="14"/>
      <c r="EC297" s="14"/>
      <c r="ED297" s="14"/>
    </row>
    <row r="298" spans="1:134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  <c r="DZ298" s="14"/>
      <c r="EA298" s="14"/>
      <c r="EB298" s="14"/>
      <c r="EC298" s="14"/>
      <c r="ED298" s="14"/>
    </row>
    <row r="299" spans="1:134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  <c r="DZ299" s="14"/>
      <c r="EA299" s="14"/>
      <c r="EB299" s="14"/>
      <c r="EC299" s="14"/>
      <c r="ED299" s="14"/>
    </row>
    <row r="300" spans="1:134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  <c r="DZ300" s="14"/>
      <c r="EA300" s="14"/>
      <c r="EB300" s="14"/>
      <c r="EC300" s="14"/>
      <c r="ED300" s="14"/>
    </row>
    <row r="301" spans="1:134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  <c r="DZ301" s="14"/>
      <c r="EA301" s="14"/>
      <c r="EB301" s="14"/>
      <c r="EC301" s="14"/>
      <c r="ED301" s="14"/>
    </row>
    <row r="302" spans="1:134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  <c r="DZ302" s="14"/>
      <c r="EA302" s="14"/>
      <c r="EB302" s="14"/>
      <c r="EC302" s="14"/>
      <c r="ED302" s="14"/>
    </row>
    <row r="303" spans="1:134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  <c r="DZ303" s="14"/>
      <c r="EA303" s="14"/>
      <c r="EB303" s="14"/>
      <c r="EC303" s="14"/>
      <c r="ED303" s="14"/>
    </row>
    <row r="304" spans="1:134" s="32" customFormat="1">
      <c r="A304" s="1"/>
      <c r="B304" s="1"/>
      <c r="C304" s="1"/>
      <c r="D304" s="1"/>
      <c r="E304" s="1"/>
      <c r="F304" s="1"/>
      <c r="G304" s="1"/>
      <c r="H304" s="1"/>
      <c r="I304" s="1"/>
      <c r="J304" s="86"/>
      <c r="K304" s="1"/>
      <c r="L304" s="110"/>
      <c r="M304" s="110"/>
      <c r="N304" s="110"/>
      <c r="O304" s="110"/>
      <c r="P304" s="110"/>
      <c r="Q304" s="110"/>
      <c r="R304" s="110"/>
      <c r="S304" s="1"/>
      <c r="T304" s="1"/>
      <c r="U304" s="110"/>
      <c r="V304" s="110"/>
      <c r="W304" s="110"/>
      <c r="X304" s="110"/>
      <c r="Y304" s="110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86"/>
      <c r="BD304" s="1"/>
      <c r="BE304" s="110"/>
      <c r="BF304" s="110"/>
      <c r="BG304" s="110"/>
      <c r="BH304" s="110"/>
      <c r="BI304" s="110"/>
      <c r="BJ304" s="110"/>
      <c r="BK304" s="110"/>
      <c r="BL304" s="1"/>
      <c r="BM304" s="1"/>
      <c r="BN304" s="110"/>
      <c r="BO304" s="110"/>
      <c r="BP304" s="110"/>
      <c r="BQ304" s="110"/>
      <c r="BR304" s="110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  <c r="CM304" s="1"/>
      <c r="CN304" s="1"/>
      <c r="CO304" s="1"/>
      <c r="CP304" s="1"/>
      <c r="CQ304" s="1"/>
      <c r="CR304" s="1"/>
      <c r="CS304" s="1"/>
      <c r="CT304" s="1"/>
      <c r="CU304" s="1"/>
      <c r="CV304" s="86"/>
      <c r="CW304" s="1"/>
      <c r="CX304" s="148"/>
      <c r="CY304" s="148"/>
      <c r="CZ304" s="148"/>
      <c r="DA304" s="148"/>
      <c r="DB304" s="148"/>
      <c r="DC304" s="148"/>
      <c r="DD304" s="148"/>
      <c r="DE304" s="1"/>
      <c r="DF304" s="1"/>
      <c r="DG304" s="148"/>
      <c r="DH304" s="148"/>
      <c r="DI304" s="148"/>
      <c r="DJ304" s="148"/>
      <c r="DK304" s="148"/>
      <c r="DL304" s="1"/>
      <c r="DM304" s="1"/>
      <c r="DN304" s="1"/>
      <c r="DO304" s="1"/>
      <c r="DP304" s="1"/>
      <c r="DQ304" s="1"/>
      <c r="DR304" s="1"/>
      <c r="DS304" s="1"/>
      <c r="DT304" s="1"/>
      <c r="DV304" s="1"/>
      <c r="DW304" s="1"/>
      <c r="DX304" s="1"/>
      <c r="DY304" s="1"/>
      <c r="DZ304" s="14"/>
      <c r="EA304" s="14"/>
      <c r="EB304" s="14"/>
      <c r="EC304" s="14"/>
      <c r="ED304" s="14"/>
    </row>
    <row r="305" spans="1:100">
      <c r="J305" s="89"/>
      <c r="BC305" s="89"/>
      <c r="CV305" s="89"/>
    </row>
    <row r="306" spans="1:100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  <c r="CM306" s="32"/>
      <c r="CN306" s="32"/>
      <c r="CO306" s="32"/>
      <c r="CP306" s="32"/>
      <c r="CQ306" s="32"/>
      <c r="CR306" s="32"/>
      <c r="CS306" s="32"/>
      <c r="CT306" s="32"/>
      <c r="CU306" s="32"/>
    </row>
    <row r="322" spans="36:134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  <c r="DV322" s="32"/>
      <c r="DW322" s="32"/>
      <c r="DX322" s="32"/>
      <c r="DY322" s="32"/>
      <c r="DZ322" s="32"/>
      <c r="EA322" s="32"/>
      <c r="EB322" s="32"/>
      <c r="EC322" s="32"/>
      <c r="ED322" s="32"/>
    </row>
  </sheetData>
  <mergeCells count="33">
    <mergeCell ref="DW3:ED3"/>
    <mergeCell ref="DW32:ED32"/>
    <mergeCell ref="DW61:ED61"/>
    <mergeCell ref="DW90:ED90"/>
    <mergeCell ref="DW119:ED119"/>
    <mergeCell ref="DN1:DT1"/>
    <mergeCell ref="CW2:DD2"/>
    <mergeCell ref="DF2:DL2"/>
    <mergeCell ref="DN2:DT2"/>
    <mergeCell ref="DV2:ED2"/>
    <mergeCell ref="CC2:CK2"/>
    <mergeCell ref="BM1:BS1"/>
    <mergeCell ref="BU1:CA1"/>
    <mergeCell ref="CD3:CK3"/>
    <mergeCell ref="DF1:DL1"/>
    <mergeCell ref="BD2:BK2"/>
    <mergeCell ref="BM2:BS2"/>
    <mergeCell ref="BU2:CA2"/>
    <mergeCell ref="T1:Z1"/>
    <mergeCell ref="AB1:AH1"/>
    <mergeCell ref="K2:R2"/>
    <mergeCell ref="T2:Z2"/>
    <mergeCell ref="AB2:AH2"/>
    <mergeCell ref="AK3:AR3"/>
    <mergeCell ref="AJ2:AR2"/>
    <mergeCell ref="AK119:AR119"/>
    <mergeCell ref="CD32:CK32"/>
    <mergeCell ref="CD61:CK61"/>
    <mergeCell ref="CD90:CK90"/>
    <mergeCell ref="CD119:CK119"/>
    <mergeCell ref="AK32:AR32"/>
    <mergeCell ref="AK61:AR61"/>
    <mergeCell ref="AK90:AR90"/>
  </mergeCells>
  <phoneticPr fontId="20" type="noConversion"/>
  <conditionalFormatting sqref="BU4:CA124">
    <cfRule type="expression" dxfId="446" priority="506">
      <formula>BU4&lt;&gt;#REF!</formula>
    </cfRule>
  </conditionalFormatting>
  <conditionalFormatting sqref="L125:R304">
    <cfRule type="containsText" dxfId="445" priority="517" operator="containsText" text="M1">
      <formula>NOT(ISERROR(SEARCH("M1",L125)))</formula>
    </cfRule>
  </conditionalFormatting>
  <conditionalFormatting sqref="L125:R304">
    <cfRule type="containsText" dxfId="444" priority="518" operator="containsText" text="M2">
      <formula>NOT(ISERROR(SEARCH("M2",L125)))</formula>
    </cfRule>
  </conditionalFormatting>
  <conditionalFormatting sqref="L125:R304">
    <cfRule type="containsText" dxfId="443" priority="519" operator="containsText" text="M3">
      <formula>NOT(ISERROR(SEARCH("M3",L125)))</formula>
    </cfRule>
  </conditionalFormatting>
  <conditionalFormatting sqref="L125:R304">
    <cfRule type="containsText" dxfId="442" priority="520" operator="containsText" text="M4">
      <formula>NOT(ISERROR(SEARCH("M4",L125)))</formula>
    </cfRule>
  </conditionalFormatting>
  <conditionalFormatting sqref="L125:R304">
    <cfRule type="containsText" dxfId="441" priority="521" operator="containsText" text="M5">
      <formula>NOT(ISERROR(SEARCH("M5",L125)))</formula>
    </cfRule>
  </conditionalFormatting>
  <conditionalFormatting sqref="L125:R304">
    <cfRule type="containsText" dxfId="440" priority="522" operator="containsText" text="M6">
      <formula>NOT(ISERROR(SEARCH("M6",L125)))</formula>
    </cfRule>
  </conditionalFormatting>
  <conditionalFormatting sqref="L125:R304">
    <cfRule type="containsText" dxfId="439" priority="523" operator="containsText" text="A">
      <formula>NOT(ISERROR(SEARCH("A",L125)))</formula>
    </cfRule>
  </conditionalFormatting>
  <conditionalFormatting sqref="L125:R304">
    <cfRule type="containsText" dxfId="438" priority="524" operator="containsText" text="K">
      <formula>NOT(ISERROR(SEARCH("K",L125)))</formula>
    </cfRule>
  </conditionalFormatting>
  <conditionalFormatting sqref="L125:R304">
    <cfRule type="containsText" dxfId="437" priority="525" operator="containsText" text="Q">
      <formula>NOT(ISERROR(SEARCH("Q",L125)))</formula>
    </cfRule>
  </conditionalFormatting>
  <conditionalFormatting sqref="L125:R304">
    <cfRule type="containsText" dxfId="436" priority="526" operator="containsText" text="J">
      <formula>NOT(ISERROR(SEARCH("J",L125)))</formula>
    </cfRule>
  </conditionalFormatting>
  <conditionalFormatting sqref="L125:R304">
    <cfRule type="containsText" dxfId="435" priority="527" operator="containsText" text="TE">
      <formula>NOT(ISERROR(SEARCH("TE",L125)))</formula>
    </cfRule>
  </conditionalFormatting>
  <conditionalFormatting sqref="L125:R304">
    <cfRule type="containsText" dxfId="434" priority="528" operator="containsText" text="MY">
      <formula>NOT(ISERROR(SEARCH("MY",L125)))</formula>
    </cfRule>
  </conditionalFormatting>
  <conditionalFormatting sqref="BE125:BK304">
    <cfRule type="containsText" dxfId="433" priority="529" operator="containsText" text="M1">
      <formula>NOT(ISERROR(SEARCH("M1",BE125)))</formula>
    </cfRule>
  </conditionalFormatting>
  <conditionalFormatting sqref="BE125:BK304">
    <cfRule type="containsText" dxfId="432" priority="530" operator="containsText" text="M2">
      <formula>NOT(ISERROR(SEARCH("M2",BE125)))</formula>
    </cfRule>
  </conditionalFormatting>
  <conditionalFormatting sqref="BE125:BK304">
    <cfRule type="containsText" dxfId="431" priority="531" operator="containsText" text="M3">
      <formula>NOT(ISERROR(SEARCH("M3",BE125)))</formula>
    </cfRule>
  </conditionalFormatting>
  <conditionalFormatting sqref="BE125:BK304">
    <cfRule type="containsText" dxfId="430" priority="532" operator="containsText" text="M4">
      <formula>NOT(ISERROR(SEARCH("M4",BE125)))</formula>
    </cfRule>
  </conditionalFormatting>
  <conditionalFormatting sqref="BE125:BK304">
    <cfRule type="containsText" dxfId="429" priority="533" operator="containsText" text="M5">
      <formula>NOT(ISERROR(SEARCH("M5",BE125)))</formula>
    </cfRule>
  </conditionalFormatting>
  <conditionalFormatting sqref="BE125:BK304">
    <cfRule type="containsText" dxfId="428" priority="534" operator="containsText" text="M6">
      <formula>NOT(ISERROR(SEARCH("M6",BE125)))</formula>
    </cfRule>
  </conditionalFormatting>
  <conditionalFormatting sqref="BE125:BK304">
    <cfRule type="containsText" dxfId="427" priority="535" operator="containsText" text="A">
      <formula>NOT(ISERROR(SEARCH("A",BE125)))</formula>
    </cfRule>
  </conditionalFormatting>
  <conditionalFormatting sqref="BE125:BK304">
    <cfRule type="containsText" dxfId="426" priority="536" operator="containsText" text="K">
      <formula>NOT(ISERROR(SEARCH("K",BE125)))</formula>
    </cfRule>
  </conditionalFormatting>
  <conditionalFormatting sqref="BE125:BK304">
    <cfRule type="containsText" dxfId="425" priority="537" operator="containsText" text="Q">
      <formula>NOT(ISERROR(SEARCH("Q",BE125)))</formula>
    </cfRule>
  </conditionalFormatting>
  <conditionalFormatting sqref="BE125:BK304">
    <cfRule type="containsText" dxfId="424" priority="538" operator="containsText" text="J">
      <formula>NOT(ISERROR(SEARCH("J",BE125)))</formula>
    </cfRule>
  </conditionalFormatting>
  <conditionalFormatting sqref="BE125:BK304">
    <cfRule type="containsText" dxfId="423" priority="539" operator="containsText" text="TE">
      <formula>NOT(ISERROR(SEARCH("TE",BE125)))</formula>
    </cfRule>
  </conditionalFormatting>
  <conditionalFormatting sqref="BE125:BK304">
    <cfRule type="containsText" dxfId="422" priority="540" operator="containsText" text="MY">
      <formula>NOT(ISERROR(SEARCH("MY",BE125)))</formula>
    </cfRule>
  </conditionalFormatting>
  <conditionalFormatting sqref="A4:A29">
    <cfRule type="containsText" dxfId="421" priority="541" operator="containsText" text="M1">
      <formula>NOT(ISERROR(SEARCH("M1",A4)))</formula>
    </cfRule>
  </conditionalFormatting>
  <conditionalFormatting sqref="A4:A29">
    <cfRule type="containsText" dxfId="420" priority="542" operator="containsText" text="M2">
      <formula>NOT(ISERROR(SEARCH("M2",A4)))</formula>
    </cfRule>
  </conditionalFormatting>
  <conditionalFormatting sqref="A4:A29">
    <cfRule type="containsText" dxfId="419" priority="543" operator="containsText" text="M3">
      <formula>NOT(ISERROR(SEARCH("M3",A4)))</formula>
    </cfRule>
  </conditionalFormatting>
  <conditionalFormatting sqref="A4:A29">
    <cfRule type="containsText" dxfId="418" priority="544" operator="containsText" text="M4">
      <formula>NOT(ISERROR(SEARCH("M4",A4)))</formula>
    </cfRule>
  </conditionalFormatting>
  <conditionalFormatting sqref="A4:A29">
    <cfRule type="containsText" dxfId="417" priority="545" operator="containsText" text="M5">
      <formula>NOT(ISERROR(SEARCH("M5",A4)))</formula>
    </cfRule>
  </conditionalFormatting>
  <conditionalFormatting sqref="A4:A29">
    <cfRule type="containsText" dxfId="416" priority="546" operator="containsText" text="M6">
      <formula>NOT(ISERROR(SEARCH("M6",A4)))</formula>
    </cfRule>
  </conditionalFormatting>
  <conditionalFormatting sqref="A4:A29">
    <cfRule type="containsText" dxfId="415" priority="547" operator="containsText" text="A">
      <formula>NOT(ISERROR(SEARCH("A",A4)))</formula>
    </cfRule>
  </conditionalFormatting>
  <conditionalFormatting sqref="A4:A29">
    <cfRule type="containsText" dxfId="414" priority="548" operator="containsText" text="K">
      <formula>NOT(ISERROR(SEARCH("K",A4)))</formula>
    </cfRule>
  </conditionalFormatting>
  <conditionalFormatting sqref="A4:A29">
    <cfRule type="containsText" dxfId="413" priority="549" operator="containsText" text="Q">
      <formula>NOT(ISERROR(SEARCH("Q",A4)))</formula>
    </cfRule>
  </conditionalFormatting>
  <conditionalFormatting sqref="A4:A29">
    <cfRule type="containsText" dxfId="412" priority="550" operator="containsText" text="J">
      <formula>NOT(ISERROR(SEARCH("J",A4)))</formula>
    </cfRule>
  </conditionalFormatting>
  <conditionalFormatting sqref="A4:A29">
    <cfRule type="containsText" dxfId="411" priority="551" operator="containsText" text="TE">
      <formula>NOT(ISERROR(SEARCH("TE",A4)))</formula>
    </cfRule>
  </conditionalFormatting>
  <conditionalFormatting sqref="A4:A29">
    <cfRule type="containsText" dxfId="410" priority="552" operator="containsText" text="MY">
      <formula>NOT(ISERROR(SEARCH("MY",A4)))</formula>
    </cfRule>
  </conditionalFormatting>
  <conditionalFormatting sqref="AT4:AT29">
    <cfRule type="containsText" dxfId="409" priority="577" operator="containsText" text="M1">
      <formula>NOT(ISERROR(SEARCH("M1",AT4)))</formula>
    </cfRule>
  </conditionalFormatting>
  <conditionalFormatting sqref="AT4:AT29">
    <cfRule type="containsText" dxfId="408" priority="578" operator="containsText" text="M2">
      <formula>NOT(ISERROR(SEARCH("M2",AT4)))</formula>
    </cfRule>
  </conditionalFormatting>
  <conditionalFormatting sqref="AT4:AT29">
    <cfRule type="containsText" dxfId="407" priority="579" operator="containsText" text="M3">
      <formula>NOT(ISERROR(SEARCH("M3",AT4)))</formula>
    </cfRule>
  </conditionalFormatting>
  <conditionalFormatting sqref="AT4:AT29">
    <cfRule type="containsText" dxfId="406" priority="580" operator="containsText" text="M4">
      <formula>NOT(ISERROR(SEARCH("M4",AT4)))</formula>
    </cfRule>
  </conditionalFormatting>
  <conditionalFormatting sqref="AT4:AT29">
    <cfRule type="containsText" dxfId="405" priority="581" operator="containsText" text="M5">
      <formula>NOT(ISERROR(SEARCH("M5",AT4)))</formula>
    </cfRule>
  </conditionalFormatting>
  <conditionalFormatting sqref="AT4:AT29">
    <cfRule type="containsText" dxfId="404" priority="582" operator="containsText" text="M6">
      <formula>NOT(ISERROR(SEARCH("M6",AT4)))</formula>
    </cfRule>
  </conditionalFormatting>
  <conditionalFormatting sqref="AT4:AT29">
    <cfRule type="containsText" dxfId="403" priority="583" operator="containsText" text="A">
      <formula>NOT(ISERROR(SEARCH("A",AT4)))</formula>
    </cfRule>
  </conditionalFormatting>
  <conditionalFormatting sqref="AT4:AT29">
    <cfRule type="containsText" dxfId="402" priority="584" operator="containsText" text="K">
      <formula>NOT(ISERROR(SEARCH("K",AT4)))</formula>
    </cfRule>
  </conditionalFormatting>
  <conditionalFormatting sqref="AT4:AT29">
    <cfRule type="containsText" dxfId="401" priority="585" operator="containsText" text="Q">
      <formula>NOT(ISERROR(SEARCH("Q",AT4)))</formula>
    </cfRule>
  </conditionalFormatting>
  <conditionalFormatting sqref="AT4:AT29">
    <cfRule type="containsText" dxfId="400" priority="586" operator="containsText" text="J">
      <formula>NOT(ISERROR(SEARCH("J",AT4)))</formula>
    </cfRule>
  </conditionalFormatting>
  <conditionalFormatting sqref="AT4:AT29">
    <cfRule type="containsText" dxfId="399" priority="587" operator="containsText" text="TE">
      <formula>NOT(ISERROR(SEARCH("TE",AT4)))</formula>
    </cfRule>
  </conditionalFormatting>
  <conditionalFormatting sqref="AT4:AT29">
    <cfRule type="containsText" dxfId="398" priority="588" operator="containsText" text="MY">
      <formula>NOT(ISERROR(SEARCH("MY",AT4)))</formula>
    </cfRule>
  </conditionalFormatting>
  <conditionalFormatting sqref="DD40">
    <cfRule type="containsText" dxfId="397" priority="1" operator="containsText" text="M1">
      <formula>NOT(ISERROR(SEARCH("M1",DD40)))</formula>
    </cfRule>
  </conditionalFormatting>
  <conditionalFormatting sqref="L4:R39 L41:R124">
    <cfRule type="containsText" dxfId="396" priority="302" operator="containsText" text="M1">
      <formula>NOT(ISERROR(SEARCH("M1",L4)))</formula>
    </cfRule>
  </conditionalFormatting>
  <conditionalFormatting sqref="L4:R39 L41:R124">
    <cfRule type="containsText" dxfId="395" priority="303" operator="containsText" text="M2">
      <formula>NOT(ISERROR(SEARCH("M2",L4)))</formula>
    </cfRule>
  </conditionalFormatting>
  <conditionalFormatting sqref="L4:R39 L41:R124">
    <cfRule type="containsText" dxfId="394" priority="304" operator="containsText" text="M3">
      <formula>NOT(ISERROR(SEARCH("M3",L4)))</formula>
    </cfRule>
  </conditionalFormatting>
  <conditionalFormatting sqref="L4:R39 L41:R124">
    <cfRule type="containsText" dxfId="393" priority="305" operator="containsText" text="M4">
      <formula>NOT(ISERROR(SEARCH("M4",L4)))</formula>
    </cfRule>
  </conditionalFormatting>
  <conditionalFormatting sqref="L4:R39 L41:R124">
    <cfRule type="containsText" dxfId="392" priority="306" operator="containsText" text="M5">
      <formula>NOT(ISERROR(SEARCH("M5",L4)))</formula>
    </cfRule>
  </conditionalFormatting>
  <conditionalFormatting sqref="L4:R39 L41:R124">
    <cfRule type="containsText" dxfId="391" priority="307" operator="containsText" text="M6">
      <formula>NOT(ISERROR(SEARCH("M6",L4)))</formula>
    </cfRule>
  </conditionalFormatting>
  <conditionalFormatting sqref="L4:R39 L41:R124">
    <cfRule type="containsText" dxfId="390" priority="308" operator="containsText" text="A">
      <formula>NOT(ISERROR(SEARCH("A",L4)))</formula>
    </cfRule>
  </conditionalFormatting>
  <conditionalFormatting sqref="L4:R39 L41:R124">
    <cfRule type="containsText" dxfId="389" priority="309" operator="containsText" text="K">
      <formula>NOT(ISERROR(SEARCH("K",L4)))</formula>
    </cfRule>
  </conditionalFormatting>
  <conditionalFormatting sqref="L4:R39 L41:R124">
    <cfRule type="containsText" dxfId="388" priority="310" operator="containsText" text="Q">
      <formula>NOT(ISERROR(SEARCH("Q",L4)))</formula>
    </cfRule>
  </conditionalFormatting>
  <conditionalFormatting sqref="L4:R39 L41:R124">
    <cfRule type="containsText" dxfId="387" priority="311" operator="containsText" text="J">
      <formula>NOT(ISERROR(SEARCH("J",L4)))</formula>
    </cfRule>
  </conditionalFormatting>
  <conditionalFormatting sqref="L4:R39 L41:R124">
    <cfRule type="containsText" dxfId="386" priority="312" operator="containsText" text="TE">
      <formula>NOT(ISERROR(SEARCH("TE",L4)))</formula>
    </cfRule>
  </conditionalFormatting>
  <conditionalFormatting sqref="L4:R39 L41:R124">
    <cfRule type="containsText" dxfId="385" priority="313" operator="containsText" text="MY">
      <formula>NOT(ISERROR(SEARCH("MY",L4)))</formula>
    </cfRule>
  </conditionalFormatting>
  <conditionalFormatting sqref="L40">
    <cfRule type="containsText" dxfId="384" priority="290" operator="containsText" text="M1">
      <formula>NOT(ISERROR(SEARCH("M1",L40)))</formula>
    </cfRule>
  </conditionalFormatting>
  <conditionalFormatting sqref="L40">
    <cfRule type="containsText" dxfId="383" priority="291" operator="containsText" text="M2">
      <formula>NOT(ISERROR(SEARCH("M2",L40)))</formula>
    </cfRule>
  </conditionalFormatting>
  <conditionalFormatting sqref="L40">
    <cfRule type="containsText" dxfId="382" priority="292" operator="containsText" text="M3">
      <formula>NOT(ISERROR(SEARCH("M3",L40)))</formula>
    </cfRule>
  </conditionalFormatting>
  <conditionalFormatting sqref="L40">
    <cfRule type="containsText" dxfId="381" priority="293" operator="containsText" text="M4">
      <formula>NOT(ISERROR(SEARCH("M4",L40)))</formula>
    </cfRule>
  </conditionalFormatting>
  <conditionalFormatting sqref="L40">
    <cfRule type="containsText" dxfId="380" priority="294" operator="containsText" text="M5">
      <formula>NOT(ISERROR(SEARCH("M5",L40)))</formula>
    </cfRule>
  </conditionalFormatting>
  <conditionalFormatting sqref="L40">
    <cfRule type="containsText" dxfId="379" priority="295" operator="containsText" text="M6">
      <formula>NOT(ISERROR(SEARCH("M6",L40)))</formula>
    </cfRule>
  </conditionalFormatting>
  <conditionalFormatting sqref="L40">
    <cfRule type="containsText" dxfId="378" priority="296" operator="containsText" text="A">
      <formula>NOT(ISERROR(SEARCH("A",L40)))</formula>
    </cfRule>
  </conditionalFormatting>
  <conditionalFormatting sqref="L40">
    <cfRule type="containsText" dxfId="377" priority="297" operator="containsText" text="K">
      <formula>NOT(ISERROR(SEARCH("K",L40)))</formula>
    </cfRule>
  </conditionalFormatting>
  <conditionalFormatting sqref="L40">
    <cfRule type="containsText" dxfId="376" priority="298" operator="containsText" text="Q">
      <formula>NOT(ISERROR(SEARCH("Q",L40)))</formula>
    </cfRule>
  </conditionalFormatting>
  <conditionalFormatting sqref="L40">
    <cfRule type="containsText" dxfId="375" priority="299" operator="containsText" text="J">
      <formula>NOT(ISERROR(SEARCH("J",L40)))</formula>
    </cfRule>
  </conditionalFormatting>
  <conditionalFormatting sqref="L40">
    <cfRule type="containsText" dxfId="374" priority="300" operator="containsText" text="TE">
      <formula>NOT(ISERROR(SEARCH("TE",L40)))</formula>
    </cfRule>
  </conditionalFormatting>
  <conditionalFormatting sqref="L40">
    <cfRule type="containsText" dxfId="373" priority="301" operator="containsText" text="MY">
      <formula>NOT(ISERROR(SEARCH("MY",L40)))</formula>
    </cfRule>
  </conditionalFormatting>
  <conditionalFormatting sqref="M40">
    <cfRule type="containsText" dxfId="372" priority="278" operator="containsText" text="M1">
      <formula>NOT(ISERROR(SEARCH("M1",M40)))</formula>
    </cfRule>
  </conditionalFormatting>
  <conditionalFormatting sqref="M40">
    <cfRule type="containsText" dxfId="371" priority="279" operator="containsText" text="M2">
      <formula>NOT(ISERROR(SEARCH("M2",M40)))</formula>
    </cfRule>
  </conditionalFormatting>
  <conditionalFormatting sqref="M40">
    <cfRule type="containsText" dxfId="370" priority="280" operator="containsText" text="M3">
      <formula>NOT(ISERROR(SEARCH("M3",M40)))</formula>
    </cfRule>
  </conditionalFormatting>
  <conditionalFormatting sqref="M40">
    <cfRule type="containsText" dxfId="369" priority="281" operator="containsText" text="M4">
      <formula>NOT(ISERROR(SEARCH("M4",M40)))</formula>
    </cfRule>
  </conditionalFormatting>
  <conditionalFormatting sqref="M40">
    <cfRule type="containsText" dxfId="368" priority="282" operator="containsText" text="M5">
      <formula>NOT(ISERROR(SEARCH("M5",M40)))</formula>
    </cfRule>
  </conditionalFormatting>
  <conditionalFormatting sqref="M40">
    <cfRule type="containsText" dxfId="367" priority="283" operator="containsText" text="M6">
      <formula>NOT(ISERROR(SEARCH("M6",M40)))</formula>
    </cfRule>
  </conditionalFormatting>
  <conditionalFormatting sqref="M40">
    <cfRule type="containsText" dxfId="366" priority="284" operator="containsText" text="A">
      <formula>NOT(ISERROR(SEARCH("A",M40)))</formula>
    </cfRule>
  </conditionalFormatting>
  <conditionalFormatting sqref="M40">
    <cfRule type="containsText" dxfId="365" priority="285" operator="containsText" text="K">
      <formula>NOT(ISERROR(SEARCH("K",M40)))</formula>
    </cfRule>
  </conditionalFormatting>
  <conditionalFormatting sqref="M40">
    <cfRule type="containsText" dxfId="364" priority="286" operator="containsText" text="Q">
      <formula>NOT(ISERROR(SEARCH("Q",M40)))</formula>
    </cfRule>
  </conditionalFormatting>
  <conditionalFormatting sqref="M40">
    <cfRule type="containsText" dxfId="363" priority="287" operator="containsText" text="J">
      <formula>NOT(ISERROR(SEARCH("J",M40)))</formula>
    </cfRule>
  </conditionalFormatting>
  <conditionalFormatting sqref="M40">
    <cfRule type="containsText" dxfId="362" priority="288" operator="containsText" text="TE">
      <formula>NOT(ISERROR(SEARCH("TE",M40)))</formula>
    </cfRule>
  </conditionalFormatting>
  <conditionalFormatting sqref="M40">
    <cfRule type="containsText" dxfId="361" priority="289" operator="containsText" text="MY">
      <formula>NOT(ISERROR(SEARCH("MY",M40)))</formula>
    </cfRule>
  </conditionalFormatting>
  <conditionalFormatting sqref="N40">
    <cfRule type="containsText" dxfId="360" priority="266" operator="containsText" text="M1">
      <formula>NOT(ISERROR(SEARCH("M1",N40)))</formula>
    </cfRule>
  </conditionalFormatting>
  <conditionalFormatting sqref="N40">
    <cfRule type="containsText" dxfId="359" priority="267" operator="containsText" text="M2">
      <formula>NOT(ISERROR(SEARCH("M2",N40)))</formula>
    </cfRule>
  </conditionalFormatting>
  <conditionalFormatting sqref="N40">
    <cfRule type="containsText" dxfId="358" priority="268" operator="containsText" text="M3">
      <formula>NOT(ISERROR(SEARCH("M3",N40)))</formula>
    </cfRule>
  </conditionalFormatting>
  <conditionalFormatting sqref="N40">
    <cfRule type="containsText" dxfId="357" priority="269" operator="containsText" text="M4">
      <formula>NOT(ISERROR(SEARCH("M4",N40)))</formula>
    </cfRule>
  </conditionalFormatting>
  <conditionalFormatting sqref="N40">
    <cfRule type="containsText" dxfId="356" priority="270" operator="containsText" text="M5">
      <formula>NOT(ISERROR(SEARCH("M5",N40)))</formula>
    </cfRule>
  </conditionalFormatting>
  <conditionalFormatting sqref="N40">
    <cfRule type="containsText" dxfId="355" priority="271" operator="containsText" text="M6">
      <formula>NOT(ISERROR(SEARCH("M6",N40)))</formula>
    </cfRule>
  </conditionalFormatting>
  <conditionalFormatting sqref="N40">
    <cfRule type="containsText" dxfId="354" priority="272" operator="containsText" text="A">
      <formula>NOT(ISERROR(SEARCH("A",N40)))</formula>
    </cfRule>
  </conditionalFormatting>
  <conditionalFormatting sqref="N40">
    <cfRule type="containsText" dxfId="353" priority="273" operator="containsText" text="K">
      <formula>NOT(ISERROR(SEARCH("K",N40)))</formula>
    </cfRule>
  </conditionalFormatting>
  <conditionalFormatting sqref="N40">
    <cfRule type="containsText" dxfId="352" priority="274" operator="containsText" text="Q">
      <formula>NOT(ISERROR(SEARCH("Q",N40)))</formula>
    </cfRule>
  </conditionalFormatting>
  <conditionalFormatting sqref="N40">
    <cfRule type="containsText" dxfId="351" priority="275" operator="containsText" text="J">
      <formula>NOT(ISERROR(SEARCH("J",N40)))</formula>
    </cfRule>
  </conditionalFormatting>
  <conditionalFormatting sqref="N40">
    <cfRule type="containsText" dxfId="350" priority="276" operator="containsText" text="TE">
      <formula>NOT(ISERROR(SEARCH("TE",N40)))</formula>
    </cfRule>
  </conditionalFormatting>
  <conditionalFormatting sqref="N40">
    <cfRule type="containsText" dxfId="349" priority="277" operator="containsText" text="MY">
      <formula>NOT(ISERROR(SEARCH("MY",N40)))</formula>
    </cfRule>
  </conditionalFormatting>
  <conditionalFormatting sqref="O40">
    <cfRule type="containsText" dxfId="348" priority="254" operator="containsText" text="M1">
      <formula>NOT(ISERROR(SEARCH("M1",O40)))</formula>
    </cfRule>
  </conditionalFormatting>
  <conditionalFormatting sqref="O40">
    <cfRule type="containsText" dxfId="347" priority="255" operator="containsText" text="M2">
      <formula>NOT(ISERROR(SEARCH("M2",O40)))</formula>
    </cfRule>
  </conditionalFormatting>
  <conditionalFormatting sqref="O40">
    <cfRule type="containsText" dxfId="346" priority="256" operator="containsText" text="M3">
      <formula>NOT(ISERROR(SEARCH("M3",O40)))</formula>
    </cfRule>
  </conditionalFormatting>
  <conditionalFormatting sqref="O40">
    <cfRule type="containsText" dxfId="345" priority="257" operator="containsText" text="M4">
      <formula>NOT(ISERROR(SEARCH("M4",O40)))</formula>
    </cfRule>
  </conditionalFormatting>
  <conditionalFormatting sqref="O40">
    <cfRule type="containsText" dxfId="344" priority="258" operator="containsText" text="M5">
      <formula>NOT(ISERROR(SEARCH("M5",O40)))</formula>
    </cfRule>
  </conditionalFormatting>
  <conditionalFormatting sqref="O40">
    <cfRule type="containsText" dxfId="343" priority="259" operator="containsText" text="M6">
      <formula>NOT(ISERROR(SEARCH("M6",O40)))</formula>
    </cfRule>
  </conditionalFormatting>
  <conditionalFormatting sqref="O40">
    <cfRule type="containsText" dxfId="342" priority="260" operator="containsText" text="A">
      <formula>NOT(ISERROR(SEARCH("A",O40)))</formula>
    </cfRule>
  </conditionalFormatting>
  <conditionalFormatting sqref="O40">
    <cfRule type="containsText" dxfId="341" priority="261" operator="containsText" text="K">
      <formula>NOT(ISERROR(SEARCH("K",O40)))</formula>
    </cfRule>
  </conditionalFormatting>
  <conditionalFormatting sqref="O40">
    <cfRule type="containsText" dxfId="340" priority="262" operator="containsText" text="Q">
      <formula>NOT(ISERROR(SEARCH("Q",O40)))</formula>
    </cfRule>
  </conditionalFormatting>
  <conditionalFormatting sqref="O40">
    <cfRule type="containsText" dxfId="339" priority="263" operator="containsText" text="J">
      <formula>NOT(ISERROR(SEARCH("J",O40)))</formula>
    </cfRule>
  </conditionalFormatting>
  <conditionalFormatting sqref="O40">
    <cfRule type="containsText" dxfId="338" priority="264" operator="containsText" text="TE">
      <formula>NOT(ISERROR(SEARCH("TE",O40)))</formula>
    </cfRule>
  </conditionalFormatting>
  <conditionalFormatting sqref="O40">
    <cfRule type="containsText" dxfId="337" priority="265" operator="containsText" text="MY">
      <formula>NOT(ISERROR(SEARCH("MY",O40)))</formula>
    </cfRule>
  </conditionalFormatting>
  <conditionalFormatting sqref="P40">
    <cfRule type="containsText" dxfId="336" priority="242" operator="containsText" text="M1">
      <formula>NOT(ISERROR(SEARCH("M1",P40)))</formula>
    </cfRule>
  </conditionalFormatting>
  <conditionalFormatting sqref="P40">
    <cfRule type="containsText" dxfId="335" priority="243" operator="containsText" text="M2">
      <formula>NOT(ISERROR(SEARCH("M2",P40)))</formula>
    </cfRule>
  </conditionalFormatting>
  <conditionalFormatting sqref="P40">
    <cfRule type="containsText" dxfId="334" priority="244" operator="containsText" text="M3">
      <formula>NOT(ISERROR(SEARCH("M3",P40)))</formula>
    </cfRule>
  </conditionalFormatting>
  <conditionalFormatting sqref="P40">
    <cfRule type="containsText" dxfId="333" priority="245" operator="containsText" text="M4">
      <formula>NOT(ISERROR(SEARCH("M4",P40)))</formula>
    </cfRule>
  </conditionalFormatting>
  <conditionalFormatting sqref="P40">
    <cfRule type="containsText" dxfId="332" priority="246" operator="containsText" text="M5">
      <formula>NOT(ISERROR(SEARCH("M5",P40)))</formula>
    </cfRule>
  </conditionalFormatting>
  <conditionalFormatting sqref="P40">
    <cfRule type="containsText" dxfId="331" priority="247" operator="containsText" text="M6">
      <formula>NOT(ISERROR(SEARCH("M6",P40)))</formula>
    </cfRule>
  </conditionalFormatting>
  <conditionalFormatting sqref="P40">
    <cfRule type="containsText" dxfId="330" priority="248" operator="containsText" text="A">
      <formula>NOT(ISERROR(SEARCH("A",P40)))</formula>
    </cfRule>
  </conditionalFormatting>
  <conditionalFormatting sqref="P40">
    <cfRule type="containsText" dxfId="329" priority="249" operator="containsText" text="K">
      <formula>NOT(ISERROR(SEARCH("K",P40)))</formula>
    </cfRule>
  </conditionalFormatting>
  <conditionalFormatting sqref="P40">
    <cfRule type="containsText" dxfId="328" priority="250" operator="containsText" text="Q">
      <formula>NOT(ISERROR(SEARCH("Q",P40)))</formula>
    </cfRule>
  </conditionalFormatting>
  <conditionalFormatting sqref="P40">
    <cfRule type="containsText" dxfId="327" priority="251" operator="containsText" text="J">
      <formula>NOT(ISERROR(SEARCH("J",P40)))</formula>
    </cfRule>
  </conditionalFormatting>
  <conditionalFormatting sqref="P40">
    <cfRule type="containsText" dxfId="326" priority="252" operator="containsText" text="TE">
      <formula>NOT(ISERROR(SEARCH("TE",P40)))</formula>
    </cfRule>
  </conditionalFormatting>
  <conditionalFormatting sqref="P40">
    <cfRule type="containsText" dxfId="325" priority="253" operator="containsText" text="MY">
      <formula>NOT(ISERROR(SEARCH("MY",P40)))</formula>
    </cfRule>
  </conditionalFormatting>
  <conditionalFormatting sqref="Q40">
    <cfRule type="containsText" dxfId="324" priority="230" operator="containsText" text="M1">
      <formula>NOT(ISERROR(SEARCH("M1",Q40)))</formula>
    </cfRule>
  </conditionalFormatting>
  <conditionalFormatting sqref="Q40">
    <cfRule type="containsText" dxfId="323" priority="231" operator="containsText" text="M2">
      <formula>NOT(ISERROR(SEARCH("M2",Q40)))</formula>
    </cfRule>
  </conditionalFormatting>
  <conditionalFormatting sqref="Q40">
    <cfRule type="containsText" dxfId="322" priority="232" operator="containsText" text="M3">
      <formula>NOT(ISERROR(SEARCH("M3",Q40)))</formula>
    </cfRule>
  </conditionalFormatting>
  <conditionalFormatting sqref="Q40">
    <cfRule type="containsText" dxfId="321" priority="233" operator="containsText" text="M4">
      <formula>NOT(ISERROR(SEARCH("M4",Q40)))</formula>
    </cfRule>
  </conditionalFormatting>
  <conditionalFormatting sqref="Q40">
    <cfRule type="containsText" dxfId="320" priority="234" operator="containsText" text="M5">
      <formula>NOT(ISERROR(SEARCH("M5",Q40)))</formula>
    </cfRule>
  </conditionalFormatting>
  <conditionalFormatting sqref="Q40">
    <cfRule type="containsText" dxfId="319" priority="235" operator="containsText" text="M6">
      <formula>NOT(ISERROR(SEARCH("M6",Q40)))</formula>
    </cfRule>
  </conditionalFormatting>
  <conditionalFormatting sqref="Q40">
    <cfRule type="containsText" dxfId="318" priority="236" operator="containsText" text="A">
      <formula>NOT(ISERROR(SEARCH("A",Q40)))</formula>
    </cfRule>
  </conditionalFormatting>
  <conditionalFormatting sqref="Q40">
    <cfRule type="containsText" dxfId="317" priority="237" operator="containsText" text="K">
      <formula>NOT(ISERROR(SEARCH("K",Q40)))</formula>
    </cfRule>
  </conditionalFormatting>
  <conditionalFormatting sqref="Q40">
    <cfRule type="containsText" dxfId="316" priority="238" operator="containsText" text="Q">
      <formula>NOT(ISERROR(SEARCH("Q",Q40)))</formula>
    </cfRule>
  </conditionalFormatting>
  <conditionalFormatting sqref="Q40">
    <cfRule type="containsText" dxfId="315" priority="239" operator="containsText" text="J">
      <formula>NOT(ISERROR(SEARCH("J",Q40)))</formula>
    </cfRule>
  </conditionalFormatting>
  <conditionalFormatting sqref="Q40">
    <cfRule type="containsText" dxfId="314" priority="240" operator="containsText" text="TE">
      <formula>NOT(ISERROR(SEARCH("TE",Q40)))</formula>
    </cfRule>
  </conditionalFormatting>
  <conditionalFormatting sqref="Q40">
    <cfRule type="containsText" dxfId="313" priority="241" operator="containsText" text="MY">
      <formula>NOT(ISERROR(SEARCH("MY",Q40)))</formula>
    </cfRule>
  </conditionalFormatting>
  <conditionalFormatting sqref="R40">
    <cfRule type="containsText" dxfId="312" priority="218" operator="containsText" text="M1">
      <formula>NOT(ISERROR(SEARCH("M1",R40)))</formula>
    </cfRule>
  </conditionalFormatting>
  <conditionalFormatting sqref="R40">
    <cfRule type="containsText" dxfId="311" priority="219" operator="containsText" text="M2">
      <formula>NOT(ISERROR(SEARCH("M2",R40)))</formula>
    </cfRule>
  </conditionalFormatting>
  <conditionalFormatting sqref="R40">
    <cfRule type="containsText" dxfId="310" priority="220" operator="containsText" text="M3">
      <formula>NOT(ISERROR(SEARCH("M3",R40)))</formula>
    </cfRule>
  </conditionalFormatting>
  <conditionalFormatting sqref="R40">
    <cfRule type="containsText" dxfId="309" priority="221" operator="containsText" text="M4">
      <formula>NOT(ISERROR(SEARCH("M4",R40)))</formula>
    </cfRule>
  </conditionalFormatting>
  <conditionalFormatting sqref="R40">
    <cfRule type="containsText" dxfId="308" priority="222" operator="containsText" text="M5">
      <formula>NOT(ISERROR(SEARCH("M5",R40)))</formula>
    </cfRule>
  </conditionalFormatting>
  <conditionalFormatting sqref="R40">
    <cfRule type="containsText" dxfId="307" priority="223" operator="containsText" text="M6">
      <formula>NOT(ISERROR(SEARCH("M6",R40)))</formula>
    </cfRule>
  </conditionalFormatting>
  <conditionalFormatting sqref="R40">
    <cfRule type="containsText" dxfId="306" priority="224" operator="containsText" text="A">
      <formula>NOT(ISERROR(SEARCH("A",R40)))</formula>
    </cfRule>
  </conditionalFormatting>
  <conditionalFormatting sqref="R40">
    <cfRule type="containsText" dxfId="305" priority="225" operator="containsText" text="K">
      <formula>NOT(ISERROR(SEARCH("K",R40)))</formula>
    </cfRule>
  </conditionalFormatting>
  <conditionalFormatting sqref="R40">
    <cfRule type="containsText" dxfId="304" priority="226" operator="containsText" text="Q">
      <formula>NOT(ISERROR(SEARCH("Q",R40)))</formula>
    </cfRule>
  </conditionalFormatting>
  <conditionalFormatting sqref="R40">
    <cfRule type="containsText" dxfId="303" priority="227" operator="containsText" text="J">
      <formula>NOT(ISERROR(SEARCH("J",R40)))</formula>
    </cfRule>
  </conditionalFormatting>
  <conditionalFormatting sqref="R40">
    <cfRule type="containsText" dxfId="302" priority="228" operator="containsText" text="TE">
      <formula>NOT(ISERROR(SEARCH("TE",R40)))</formula>
    </cfRule>
  </conditionalFormatting>
  <conditionalFormatting sqref="R40">
    <cfRule type="containsText" dxfId="301" priority="229" operator="containsText" text="MY">
      <formula>NOT(ISERROR(SEARCH("MY",R40)))</formula>
    </cfRule>
  </conditionalFormatting>
  <conditionalFormatting sqref="BE4:BK39 BE41:BK124">
    <cfRule type="containsText" dxfId="300" priority="206" operator="containsText" text="M1">
      <formula>NOT(ISERROR(SEARCH("M1",BE4)))</formula>
    </cfRule>
  </conditionalFormatting>
  <conditionalFormatting sqref="BE4:BK39 BE41:BK124">
    <cfRule type="containsText" dxfId="299" priority="207" operator="containsText" text="M2">
      <formula>NOT(ISERROR(SEARCH("M2",BE4)))</formula>
    </cfRule>
  </conditionalFormatting>
  <conditionalFormatting sqref="BE4:BK39 BE41:BK124">
    <cfRule type="containsText" dxfId="298" priority="208" operator="containsText" text="M3">
      <formula>NOT(ISERROR(SEARCH("M3",BE4)))</formula>
    </cfRule>
  </conditionalFormatting>
  <conditionalFormatting sqref="BE4:BK39 BE41:BK124">
    <cfRule type="containsText" dxfId="297" priority="209" operator="containsText" text="M4">
      <formula>NOT(ISERROR(SEARCH("M4",BE4)))</formula>
    </cfRule>
  </conditionalFormatting>
  <conditionalFormatting sqref="BE4:BK39 BE41:BK124">
    <cfRule type="containsText" dxfId="296" priority="210" operator="containsText" text="M5">
      <formula>NOT(ISERROR(SEARCH("M5",BE4)))</formula>
    </cfRule>
  </conditionalFormatting>
  <conditionalFormatting sqref="BE4:BK39 BE41:BK124">
    <cfRule type="containsText" dxfId="295" priority="211" operator="containsText" text="M6">
      <formula>NOT(ISERROR(SEARCH("M6",BE4)))</formula>
    </cfRule>
  </conditionalFormatting>
  <conditionalFormatting sqref="BE4:BK39 BE41:BK124">
    <cfRule type="containsText" dxfId="294" priority="212" operator="containsText" text="A">
      <formula>NOT(ISERROR(SEARCH("A",BE4)))</formula>
    </cfRule>
  </conditionalFormatting>
  <conditionalFormatting sqref="BE4:BK39 BE41:BK124">
    <cfRule type="containsText" dxfId="293" priority="213" operator="containsText" text="K">
      <formula>NOT(ISERROR(SEARCH("K",BE4)))</formula>
    </cfRule>
  </conditionalFormatting>
  <conditionalFormatting sqref="BE4:BK39 BE41:BK124">
    <cfRule type="containsText" dxfId="292" priority="214" operator="containsText" text="Q">
      <formula>NOT(ISERROR(SEARCH("Q",BE4)))</formula>
    </cfRule>
  </conditionalFormatting>
  <conditionalFormatting sqref="BE4:BK39 BE41:BK124">
    <cfRule type="containsText" dxfId="291" priority="215" operator="containsText" text="J">
      <formula>NOT(ISERROR(SEARCH("J",BE4)))</formula>
    </cfRule>
  </conditionalFormatting>
  <conditionalFormatting sqref="BE4:BK39 BE41:BK124">
    <cfRule type="containsText" dxfId="290" priority="216" operator="containsText" text="TE">
      <formula>NOT(ISERROR(SEARCH("TE",BE4)))</formula>
    </cfRule>
  </conditionalFormatting>
  <conditionalFormatting sqref="BE4:BK39 BE41:BK124">
    <cfRule type="containsText" dxfId="289" priority="217" operator="containsText" text="MY">
      <formula>NOT(ISERROR(SEARCH("MY",BE4)))</formula>
    </cfRule>
  </conditionalFormatting>
  <conditionalFormatting sqref="BE40">
    <cfRule type="containsText" dxfId="288" priority="194" operator="containsText" text="M1">
      <formula>NOT(ISERROR(SEARCH("M1",BE40)))</formula>
    </cfRule>
  </conditionalFormatting>
  <conditionalFormatting sqref="BE40">
    <cfRule type="containsText" dxfId="287" priority="195" operator="containsText" text="M2">
      <formula>NOT(ISERROR(SEARCH("M2",BE40)))</formula>
    </cfRule>
  </conditionalFormatting>
  <conditionalFormatting sqref="BE40">
    <cfRule type="containsText" dxfId="286" priority="196" operator="containsText" text="M3">
      <formula>NOT(ISERROR(SEARCH("M3",BE40)))</formula>
    </cfRule>
  </conditionalFormatting>
  <conditionalFormatting sqref="BE40">
    <cfRule type="containsText" dxfId="285" priority="197" operator="containsText" text="M4">
      <formula>NOT(ISERROR(SEARCH("M4",BE40)))</formula>
    </cfRule>
  </conditionalFormatting>
  <conditionalFormatting sqref="BE40">
    <cfRule type="containsText" dxfId="284" priority="198" operator="containsText" text="M5">
      <formula>NOT(ISERROR(SEARCH("M5",BE40)))</formula>
    </cfRule>
  </conditionalFormatting>
  <conditionalFormatting sqref="BE40">
    <cfRule type="containsText" dxfId="283" priority="199" operator="containsText" text="M6">
      <formula>NOT(ISERROR(SEARCH("M6",BE40)))</formula>
    </cfRule>
  </conditionalFormatting>
  <conditionalFormatting sqref="BE40">
    <cfRule type="containsText" dxfId="282" priority="200" operator="containsText" text="A">
      <formula>NOT(ISERROR(SEARCH("A",BE40)))</formula>
    </cfRule>
  </conditionalFormatting>
  <conditionalFormatting sqref="BE40">
    <cfRule type="containsText" dxfId="281" priority="201" operator="containsText" text="K">
      <formula>NOT(ISERROR(SEARCH("K",BE40)))</formula>
    </cfRule>
  </conditionalFormatting>
  <conditionalFormatting sqref="BE40">
    <cfRule type="containsText" dxfId="280" priority="202" operator="containsText" text="Q">
      <formula>NOT(ISERROR(SEARCH("Q",BE40)))</formula>
    </cfRule>
  </conditionalFormatting>
  <conditionalFormatting sqref="BE40">
    <cfRule type="containsText" dxfId="279" priority="203" operator="containsText" text="J">
      <formula>NOT(ISERROR(SEARCH("J",BE40)))</formula>
    </cfRule>
  </conditionalFormatting>
  <conditionalFormatting sqref="BE40">
    <cfRule type="containsText" dxfId="278" priority="204" operator="containsText" text="TE">
      <formula>NOT(ISERROR(SEARCH("TE",BE40)))</formula>
    </cfRule>
  </conditionalFormatting>
  <conditionalFormatting sqref="BE40">
    <cfRule type="containsText" dxfId="277" priority="205" operator="containsText" text="MY">
      <formula>NOT(ISERROR(SEARCH("MY",BE40)))</formula>
    </cfRule>
  </conditionalFormatting>
  <conditionalFormatting sqref="BF40">
    <cfRule type="containsText" dxfId="276" priority="182" operator="containsText" text="M1">
      <formula>NOT(ISERROR(SEARCH("M1",BF40)))</formula>
    </cfRule>
  </conditionalFormatting>
  <conditionalFormatting sqref="BF40">
    <cfRule type="containsText" dxfId="275" priority="183" operator="containsText" text="M2">
      <formula>NOT(ISERROR(SEARCH("M2",BF40)))</formula>
    </cfRule>
  </conditionalFormatting>
  <conditionalFormatting sqref="BF40">
    <cfRule type="containsText" dxfId="274" priority="184" operator="containsText" text="M3">
      <formula>NOT(ISERROR(SEARCH("M3",BF40)))</formula>
    </cfRule>
  </conditionalFormatting>
  <conditionalFormatting sqref="BF40">
    <cfRule type="containsText" dxfId="273" priority="185" operator="containsText" text="M4">
      <formula>NOT(ISERROR(SEARCH("M4",BF40)))</formula>
    </cfRule>
  </conditionalFormatting>
  <conditionalFormatting sqref="BF40">
    <cfRule type="containsText" dxfId="272" priority="186" operator="containsText" text="M5">
      <formula>NOT(ISERROR(SEARCH("M5",BF40)))</formula>
    </cfRule>
  </conditionalFormatting>
  <conditionalFormatting sqref="BF40">
    <cfRule type="containsText" dxfId="271" priority="187" operator="containsText" text="M6">
      <formula>NOT(ISERROR(SEARCH("M6",BF40)))</formula>
    </cfRule>
  </conditionalFormatting>
  <conditionalFormatting sqref="BF40">
    <cfRule type="containsText" dxfId="270" priority="188" operator="containsText" text="A">
      <formula>NOT(ISERROR(SEARCH("A",BF40)))</formula>
    </cfRule>
  </conditionalFormatting>
  <conditionalFormatting sqref="BF40">
    <cfRule type="containsText" dxfId="269" priority="189" operator="containsText" text="K">
      <formula>NOT(ISERROR(SEARCH("K",BF40)))</formula>
    </cfRule>
  </conditionalFormatting>
  <conditionalFormatting sqref="BF40">
    <cfRule type="containsText" dxfId="268" priority="190" operator="containsText" text="Q">
      <formula>NOT(ISERROR(SEARCH("Q",BF40)))</formula>
    </cfRule>
  </conditionalFormatting>
  <conditionalFormatting sqref="BF40">
    <cfRule type="containsText" dxfId="267" priority="191" operator="containsText" text="J">
      <formula>NOT(ISERROR(SEARCH("J",BF40)))</formula>
    </cfRule>
  </conditionalFormatting>
  <conditionalFormatting sqref="BF40">
    <cfRule type="containsText" dxfId="266" priority="192" operator="containsText" text="TE">
      <formula>NOT(ISERROR(SEARCH("TE",BF40)))</formula>
    </cfRule>
  </conditionalFormatting>
  <conditionalFormatting sqref="BF40">
    <cfRule type="containsText" dxfId="265" priority="193" operator="containsText" text="MY">
      <formula>NOT(ISERROR(SEARCH("MY",BF40)))</formula>
    </cfRule>
  </conditionalFormatting>
  <conditionalFormatting sqref="BG40">
    <cfRule type="containsText" dxfId="264" priority="170" operator="containsText" text="M1">
      <formula>NOT(ISERROR(SEARCH("M1",BG40)))</formula>
    </cfRule>
  </conditionalFormatting>
  <conditionalFormatting sqref="BG40">
    <cfRule type="containsText" dxfId="263" priority="171" operator="containsText" text="M2">
      <formula>NOT(ISERROR(SEARCH("M2",BG40)))</formula>
    </cfRule>
  </conditionalFormatting>
  <conditionalFormatting sqref="BG40">
    <cfRule type="containsText" dxfId="262" priority="172" operator="containsText" text="M3">
      <formula>NOT(ISERROR(SEARCH("M3",BG40)))</formula>
    </cfRule>
  </conditionalFormatting>
  <conditionalFormatting sqref="BG40">
    <cfRule type="containsText" dxfId="261" priority="173" operator="containsText" text="M4">
      <formula>NOT(ISERROR(SEARCH("M4",BG40)))</formula>
    </cfRule>
  </conditionalFormatting>
  <conditionalFormatting sqref="BG40">
    <cfRule type="containsText" dxfId="260" priority="174" operator="containsText" text="M5">
      <formula>NOT(ISERROR(SEARCH("M5",BG40)))</formula>
    </cfRule>
  </conditionalFormatting>
  <conditionalFormatting sqref="BG40">
    <cfRule type="containsText" dxfId="259" priority="175" operator="containsText" text="M6">
      <formula>NOT(ISERROR(SEARCH("M6",BG40)))</formula>
    </cfRule>
  </conditionalFormatting>
  <conditionalFormatting sqref="BG40">
    <cfRule type="containsText" dxfId="258" priority="176" operator="containsText" text="A">
      <formula>NOT(ISERROR(SEARCH("A",BG40)))</formula>
    </cfRule>
  </conditionalFormatting>
  <conditionalFormatting sqref="BG40">
    <cfRule type="containsText" dxfId="257" priority="177" operator="containsText" text="K">
      <formula>NOT(ISERROR(SEARCH("K",BG40)))</formula>
    </cfRule>
  </conditionalFormatting>
  <conditionalFormatting sqref="BG40">
    <cfRule type="containsText" dxfId="256" priority="178" operator="containsText" text="Q">
      <formula>NOT(ISERROR(SEARCH("Q",BG40)))</formula>
    </cfRule>
  </conditionalFormatting>
  <conditionalFormatting sqref="BG40">
    <cfRule type="containsText" dxfId="255" priority="179" operator="containsText" text="J">
      <formula>NOT(ISERROR(SEARCH("J",BG40)))</formula>
    </cfRule>
  </conditionalFormatting>
  <conditionalFormatting sqref="BG40">
    <cfRule type="containsText" dxfId="254" priority="180" operator="containsText" text="TE">
      <formula>NOT(ISERROR(SEARCH("TE",BG40)))</formula>
    </cfRule>
  </conditionalFormatting>
  <conditionalFormatting sqref="BG40">
    <cfRule type="containsText" dxfId="253" priority="181" operator="containsText" text="MY">
      <formula>NOT(ISERROR(SEARCH("MY",BG40)))</formula>
    </cfRule>
  </conditionalFormatting>
  <conditionalFormatting sqref="BH40">
    <cfRule type="containsText" dxfId="252" priority="158" operator="containsText" text="M1">
      <formula>NOT(ISERROR(SEARCH("M1",BH40)))</formula>
    </cfRule>
  </conditionalFormatting>
  <conditionalFormatting sqref="BH40">
    <cfRule type="containsText" dxfId="251" priority="159" operator="containsText" text="M2">
      <formula>NOT(ISERROR(SEARCH("M2",BH40)))</formula>
    </cfRule>
  </conditionalFormatting>
  <conditionalFormatting sqref="BH40">
    <cfRule type="containsText" dxfId="250" priority="160" operator="containsText" text="M3">
      <formula>NOT(ISERROR(SEARCH("M3",BH40)))</formula>
    </cfRule>
  </conditionalFormatting>
  <conditionalFormatting sqref="BH40">
    <cfRule type="containsText" dxfId="249" priority="161" operator="containsText" text="M4">
      <formula>NOT(ISERROR(SEARCH("M4",BH40)))</formula>
    </cfRule>
  </conditionalFormatting>
  <conditionalFormatting sqref="BH40">
    <cfRule type="containsText" dxfId="248" priority="162" operator="containsText" text="M5">
      <formula>NOT(ISERROR(SEARCH("M5",BH40)))</formula>
    </cfRule>
  </conditionalFormatting>
  <conditionalFormatting sqref="BH40">
    <cfRule type="containsText" dxfId="247" priority="163" operator="containsText" text="M6">
      <formula>NOT(ISERROR(SEARCH("M6",BH40)))</formula>
    </cfRule>
  </conditionalFormatting>
  <conditionalFormatting sqref="BH40">
    <cfRule type="containsText" dxfId="246" priority="164" operator="containsText" text="A">
      <formula>NOT(ISERROR(SEARCH("A",BH40)))</formula>
    </cfRule>
  </conditionalFormatting>
  <conditionalFormatting sqref="BH40">
    <cfRule type="containsText" dxfId="245" priority="165" operator="containsText" text="K">
      <formula>NOT(ISERROR(SEARCH("K",BH40)))</formula>
    </cfRule>
  </conditionalFormatting>
  <conditionalFormatting sqref="BH40">
    <cfRule type="containsText" dxfId="244" priority="166" operator="containsText" text="Q">
      <formula>NOT(ISERROR(SEARCH("Q",BH40)))</formula>
    </cfRule>
  </conditionalFormatting>
  <conditionalFormatting sqref="BH40">
    <cfRule type="containsText" dxfId="243" priority="167" operator="containsText" text="J">
      <formula>NOT(ISERROR(SEARCH("J",BH40)))</formula>
    </cfRule>
  </conditionalFormatting>
  <conditionalFormatting sqref="BH40">
    <cfRule type="containsText" dxfId="242" priority="168" operator="containsText" text="TE">
      <formula>NOT(ISERROR(SEARCH("TE",BH40)))</formula>
    </cfRule>
  </conditionalFormatting>
  <conditionalFormatting sqref="BH40">
    <cfRule type="containsText" dxfId="241" priority="169" operator="containsText" text="MY">
      <formula>NOT(ISERROR(SEARCH("MY",BH40)))</formula>
    </cfRule>
  </conditionalFormatting>
  <conditionalFormatting sqref="BI40">
    <cfRule type="containsText" dxfId="240" priority="146" operator="containsText" text="M1">
      <formula>NOT(ISERROR(SEARCH("M1",BI40)))</formula>
    </cfRule>
  </conditionalFormatting>
  <conditionalFormatting sqref="BI40">
    <cfRule type="containsText" dxfId="239" priority="147" operator="containsText" text="M2">
      <formula>NOT(ISERROR(SEARCH("M2",BI40)))</formula>
    </cfRule>
  </conditionalFormatting>
  <conditionalFormatting sqref="BI40">
    <cfRule type="containsText" dxfId="238" priority="148" operator="containsText" text="M3">
      <formula>NOT(ISERROR(SEARCH("M3",BI40)))</formula>
    </cfRule>
  </conditionalFormatting>
  <conditionalFormatting sqref="BI40">
    <cfRule type="containsText" dxfId="237" priority="149" operator="containsText" text="M4">
      <formula>NOT(ISERROR(SEARCH("M4",BI40)))</formula>
    </cfRule>
  </conditionalFormatting>
  <conditionalFormatting sqref="BI40">
    <cfRule type="containsText" dxfId="236" priority="150" operator="containsText" text="M5">
      <formula>NOT(ISERROR(SEARCH("M5",BI40)))</formula>
    </cfRule>
  </conditionalFormatting>
  <conditionalFormatting sqref="BI40">
    <cfRule type="containsText" dxfId="235" priority="151" operator="containsText" text="M6">
      <formula>NOT(ISERROR(SEARCH("M6",BI40)))</formula>
    </cfRule>
  </conditionalFormatting>
  <conditionalFormatting sqref="BI40">
    <cfRule type="containsText" dxfId="234" priority="152" operator="containsText" text="A">
      <formula>NOT(ISERROR(SEARCH("A",BI40)))</formula>
    </cfRule>
  </conditionalFormatting>
  <conditionalFormatting sqref="BI40">
    <cfRule type="containsText" dxfId="233" priority="153" operator="containsText" text="K">
      <formula>NOT(ISERROR(SEARCH("K",BI40)))</formula>
    </cfRule>
  </conditionalFormatting>
  <conditionalFormatting sqref="BI40">
    <cfRule type="containsText" dxfId="232" priority="154" operator="containsText" text="Q">
      <formula>NOT(ISERROR(SEARCH("Q",BI40)))</formula>
    </cfRule>
  </conditionalFormatting>
  <conditionalFormatting sqref="BI40">
    <cfRule type="containsText" dxfId="231" priority="155" operator="containsText" text="J">
      <formula>NOT(ISERROR(SEARCH("J",BI40)))</formula>
    </cfRule>
  </conditionalFormatting>
  <conditionalFormatting sqref="BI40">
    <cfRule type="containsText" dxfId="230" priority="156" operator="containsText" text="TE">
      <formula>NOT(ISERROR(SEARCH("TE",BI40)))</formula>
    </cfRule>
  </conditionalFormatting>
  <conditionalFormatting sqref="BI40">
    <cfRule type="containsText" dxfId="229" priority="157" operator="containsText" text="MY">
      <formula>NOT(ISERROR(SEARCH("MY",BI40)))</formula>
    </cfRule>
  </conditionalFormatting>
  <conditionalFormatting sqref="BJ40">
    <cfRule type="containsText" dxfId="228" priority="134" operator="containsText" text="M1">
      <formula>NOT(ISERROR(SEARCH("M1",BJ40)))</formula>
    </cfRule>
  </conditionalFormatting>
  <conditionalFormatting sqref="BJ40">
    <cfRule type="containsText" dxfId="227" priority="135" operator="containsText" text="M2">
      <formula>NOT(ISERROR(SEARCH("M2",BJ40)))</formula>
    </cfRule>
  </conditionalFormatting>
  <conditionalFormatting sqref="BJ40">
    <cfRule type="containsText" dxfId="226" priority="136" operator="containsText" text="M3">
      <formula>NOT(ISERROR(SEARCH("M3",BJ40)))</formula>
    </cfRule>
  </conditionalFormatting>
  <conditionalFormatting sqref="BJ40">
    <cfRule type="containsText" dxfId="225" priority="137" operator="containsText" text="M4">
      <formula>NOT(ISERROR(SEARCH("M4",BJ40)))</formula>
    </cfRule>
  </conditionalFormatting>
  <conditionalFormatting sqref="BJ40">
    <cfRule type="containsText" dxfId="224" priority="138" operator="containsText" text="M5">
      <formula>NOT(ISERROR(SEARCH("M5",BJ40)))</formula>
    </cfRule>
  </conditionalFormatting>
  <conditionalFormatting sqref="BJ40">
    <cfRule type="containsText" dxfId="223" priority="139" operator="containsText" text="M6">
      <formula>NOT(ISERROR(SEARCH("M6",BJ40)))</formula>
    </cfRule>
  </conditionalFormatting>
  <conditionalFormatting sqref="BJ40">
    <cfRule type="containsText" dxfId="222" priority="140" operator="containsText" text="A">
      <formula>NOT(ISERROR(SEARCH("A",BJ40)))</formula>
    </cfRule>
  </conditionalFormatting>
  <conditionalFormatting sqref="BJ40">
    <cfRule type="containsText" dxfId="221" priority="141" operator="containsText" text="K">
      <formula>NOT(ISERROR(SEARCH("K",BJ40)))</formula>
    </cfRule>
  </conditionalFormatting>
  <conditionalFormatting sqref="BJ40">
    <cfRule type="containsText" dxfId="220" priority="142" operator="containsText" text="Q">
      <formula>NOT(ISERROR(SEARCH("Q",BJ40)))</formula>
    </cfRule>
  </conditionalFormatting>
  <conditionalFormatting sqref="BJ40">
    <cfRule type="containsText" dxfId="219" priority="143" operator="containsText" text="J">
      <formula>NOT(ISERROR(SEARCH("J",BJ40)))</formula>
    </cfRule>
  </conditionalFormatting>
  <conditionalFormatting sqref="BJ40">
    <cfRule type="containsText" dxfId="218" priority="144" operator="containsText" text="TE">
      <formula>NOT(ISERROR(SEARCH("TE",BJ40)))</formula>
    </cfRule>
  </conditionalFormatting>
  <conditionalFormatting sqref="BJ40">
    <cfRule type="containsText" dxfId="217" priority="145" operator="containsText" text="MY">
      <formula>NOT(ISERROR(SEARCH("MY",BJ40)))</formula>
    </cfRule>
  </conditionalFormatting>
  <conditionalFormatting sqref="BK40">
    <cfRule type="containsText" dxfId="216" priority="122" operator="containsText" text="M1">
      <formula>NOT(ISERROR(SEARCH("M1",BK40)))</formula>
    </cfRule>
  </conditionalFormatting>
  <conditionalFormatting sqref="BK40">
    <cfRule type="containsText" dxfId="215" priority="123" operator="containsText" text="M2">
      <formula>NOT(ISERROR(SEARCH("M2",BK40)))</formula>
    </cfRule>
  </conditionalFormatting>
  <conditionalFormatting sqref="BK40">
    <cfRule type="containsText" dxfId="214" priority="124" operator="containsText" text="M3">
      <formula>NOT(ISERROR(SEARCH("M3",BK40)))</formula>
    </cfRule>
  </conditionalFormatting>
  <conditionalFormatting sqref="BK40">
    <cfRule type="containsText" dxfId="213" priority="125" operator="containsText" text="M4">
      <formula>NOT(ISERROR(SEARCH("M4",BK40)))</formula>
    </cfRule>
  </conditionalFormatting>
  <conditionalFormatting sqref="BK40">
    <cfRule type="containsText" dxfId="212" priority="126" operator="containsText" text="M5">
      <formula>NOT(ISERROR(SEARCH("M5",BK40)))</formula>
    </cfRule>
  </conditionalFormatting>
  <conditionalFormatting sqref="BK40">
    <cfRule type="containsText" dxfId="211" priority="127" operator="containsText" text="M6">
      <formula>NOT(ISERROR(SEARCH("M6",BK40)))</formula>
    </cfRule>
  </conditionalFormatting>
  <conditionalFormatting sqref="BK40">
    <cfRule type="containsText" dxfId="210" priority="128" operator="containsText" text="A">
      <formula>NOT(ISERROR(SEARCH("A",BK40)))</formula>
    </cfRule>
  </conditionalFormatting>
  <conditionalFormatting sqref="BK40">
    <cfRule type="containsText" dxfId="209" priority="129" operator="containsText" text="K">
      <formula>NOT(ISERROR(SEARCH("K",BK40)))</formula>
    </cfRule>
  </conditionalFormatting>
  <conditionalFormatting sqref="BK40">
    <cfRule type="containsText" dxfId="208" priority="130" operator="containsText" text="Q">
      <formula>NOT(ISERROR(SEARCH("Q",BK40)))</formula>
    </cfRule>
  </conditionalFormatting>
  <conditionalFormatting sqref="BK40">
    <cfRule type="containsText" dxfId="207" priority="131" operator="containsText" text="J">
      <formula>NOT(ISERROR(SEARCH("J",BK40)))</formula>
    </cfRule>
  </conditionalFormatting>
  <conditionalFormatting sqref="BK40">
    <cfRule type="containsText" dxfId="206" priority="132" operator="containsText" text="TE">
      <formula>NOT(ISERROR(SEARCH("TE",BK40)))</formula>
    </cfRule>
  </conditionalFormatting>
  <conditionalFormatting sqref="BK40">
    <cfRule type="containsText" dxfId="205" priority="133" operator="containsText" text="MY">
      <formula>NOT(ISERROR(SEARCH("MY",BK40)))</formula>
    </cfRule>
  </conditionalFormatting>
  <conditionalFormatting sqref="DN4:DT124">
    <cfRule type="expression" dxfId="204" priority="97">
      <formula>DN4&lt;&gt;#REF!</formula>
    </cfRule>
  </conditionalFormatting>
  <conditionalFormatting sqref="CX125:DD304">
    <cfRule type="containsText" dxfId="203" priority="98" operator="containsText" text="M1">
      <formula>NOT(ISERROR(SEARCH("M1",CX125)))</formula>
    </cfRule>
  </conditionalFormatting>
  <conditionalFormatting sqref="CX125:DD304">
    <cfRule type="containsText" dxfId="202" priority="99" operator="containsText" text="M2">
      <formula>NOT(ISERROR(SEARCH("M2",CX125)))</formula>
    </cfRule>
  </conditionalFormatting>
  <conditionalFormatting sqref="CX125:DD304">
    <cfRule type="containsText" dxfId="201" priority="100" operator="containsText" text="M3">
      <formula>NOT(ISERROR(SEARCH("M3",CX125)))</formula>
    </cfRule>
  </conditionalFormatting>
  <conditionalFormatting sqref="CX125:DD304">
    <cfRule type="containsText" dxfId="200" priority="101" operator="containsText" text="M4">
      <formula>NOT(ISERROR(SEARCH("M4",CX125)))</formula>
    </cfRule>
  </conditionalFormatting>
  <conditionalFormatting sqref="CX125:DD304">
    <cfRule type="containsText" dxfId="199" priority="102" operator="containsText" text="M5">
      <formula>NOT(ISERROR(SEARCH("M5",CX125)))</formula>
    </cfRule>
  </conditionalFormatting>
  <conditionalFormatting sqref="CX125:DD304">
    <cfRule type="containsText" dxfId="198" priority="103" operator="containsText" text="M6">
      <formula>NOT(ISERROR(SEARCH("M6",CX125)))</formula>
    </cfRule>
  </conditionalFormatting>
  <conditionalFormatting sqref="CX125:DD304">
    <cfRule type="containsText" dxfId="197" priority="104" operator="containsText" text="A">
      <formula>NOT(ISERROR(SEARCH("A",CX125)))</formula>
    </cfRule>
  </conditionalFormatting>
  <conditionalFormatting sqref="CX125:DD304">
    <cfRule type="containsText" dxfId="196" priority="105" operator="containsText" text="K">
      <formula>NOT(ISERROR(SEARCH("K",CX125)))</formula>
    </cfRule>
  </conditionalFormatting>
  <conditionalFormatting sqref="CX125:DD304">
    <cfRule type="containsText" dxfId="195" priority="106" operator="containsText" text="Q">
      <formula>NOT(ISERROR(SEARCH("Q",CX125)))</formula>
    </cfRule>
  </conditionalFormatting>
  <conditionalFormatting sqref="CX125:DD304">
    <cfRule type="containsText" dxfId="194" priority="107" operator="containsText" text="J">
      <formula>NOT(ISERROR(SEARCH("J",CX125)))</formula>
    </cfRule>
  </conditionalFormatting>
  <conditionalFormatting sqref="CX125:DD304">
    <cfRule type="containsText" dxfId="193" priority="108" operator="containsText" text="TE">
      <formula>NOT(ISERROR(SEARCH("TE",CX125)))</formula>
    </cfRule>
  </conditionalFormatting>
  <conditionalFormatting sqref="CX125:DD304">
    <cfRule type="containsText" dxfId="192" priority="109" operator="containsText" text="MY">
      <formula>NOT(ISERROR(SEARCH("MY",CX125)))</formula>
    </cfRule>
  </conditionalFormatting>
  <conditionalFormatting sqref="CM4:CM29">
    <cfRule type="containsText" dxfId="191" priority="110" operator="containsText" text="M1">
      <formula>NOT(ISERROR(SEARCH("M1",CM4)))</formula>
    </cfRule>
  </conditionalFormatting>
  <conditionalFormatting sqref="CM4:CM29">
    <cfRule type="containsText" dxfId="190" priority="111" operator="containsText" text="M2">
      <formula>NOT(ISERROR(SEARCH("M2",CM4)))</formula>
    </cfRule>
  </conditionalFormatting>
  <conditionalFormatting sqref="CM4:CM29">
    <cfRule type="containsText" dxfId="189" priority="112" operator="containsText" text="M3">
      <formula>NOT(ISERROR(SEARCH("M3",CM4)))</formula>
    </cfRule>
  </conditionalFormatting>
  <conditionalFormatting sqref="CM4:CM29">
    <cfRule type="containsText" dxfId="188" priority="113" operator="containsText" text="M4">
      <formula>NOT(ISERROR(SEARCH("M4",CM4)))</formula>
    </cfRule>
  </conditionalFormatting>
  <conditionalFormatting sqref="CM4:CM29">
    <cfRule type="containsText" dxfId="187" priority="114" operator="containsText" text="M5">
      <formula>NOT(ISERROR(SEARCH("M5",CM4)))</formula>
    </cfRule>
  </conditionalFormatting>
  <conditionalFormatting sqref="CM4:CM29">
    <cfRule type="containsText" dxfId="186" priority="115" operator="containsText" text="M6">
      <formula>NOT(ISERROR(SEARCH("M6",CM4)))</formula>
    </cfRule>
  </conditionalFormatting>
  <conditionalFormatting sqref="CM4:CM29">
    <cfRule type="containsText" dxfId="185" priority="116" operator="containsText" text="A">
      <formula>NOT(ISERROR(SEARCH("A",CM4)))</formula>
    </cfRule>
  </conditionalFormatting>
  <conditionalFormatting sqref="CM4:CM29">
    <cfRule type="containsText" dxfId="184" priority="117" operator="containsText" text="K">
      <formula>NOT(ISERROR(SEARCH("K",CM4)))</formula>
    </cfRule>
  </conditionalFormatting>
  <conditionalFormatting sqref="CM4:CM29">
    <cfRule type="containsText" dxfId="183" priority="118" operator="containsText" text="Q">
      <formula>NOT(ISERROR(SEARCH("Q",CM4)))</formula>
    </cfRule>
  </conditionalFormatting>
  <conditionalFormatting sqref="CM4:CM29">
    <cfRule type="containsText" dxfId="182" priority="119" operator="containsText" text="J">
      <formula>NOT(ISERROR(SEARCH("J",CM4)))</formula>
    </cfRule>
  </conditionalFormatting>
  <conditionalFormatting sqref="CM4:CM29">
    <cfRule type="containsText" dxfId="181" priority="120" operator="containsText" text="TE">
      <formula>NOT(ISERROR(SEARCH("TE",CM4)))</formula>
    </cfRule>
  </conditionalFormatting>
  <conditionalFormatting sqref="CM4:CM29">
    <cfRule type="containsText" dxfId="180" priority="121" operator="containsText" text="MY">
      <formula>NOT(ISERROR(SEARCH("MY",CM4)))</formula>
    </cfRule>
  </conditionalFormatting>
  <conditionalFormatting sqref="CX4:DD39 CX41:DD124">
    <cfRule type="containsText" dxfId="179" priority="85" operator="containsText" text="M1">
      <formula>NOT(ISERROR(SEARCH("M1",CX4)))</formula>
    </cfRule>
  </conditionalFormatting>
  <conditionalFormatting sqref="CX4:DD39 CX41:DD124">
    <cfRule type="containsText" dxfId="178" priority="86" operator="containsText" text="M2">
      <formula>NOT(ISERROR(SEARCH("M2",CX4)))</formula>
    </cfRule>
  </conditionalFormatting>
  <conditionalFormatting sqref="CX4:DD39 CX41:DD124">
    <cfRule type="containsText" dxfId="177" priority="87" operator="containsText" text="M3">
      <formula>NOT(ISERROR(SEARCH("M3",CX4)))</formula>
    </cfRule>
  </conditionalFormatting>
  <conditionalFormatting sqref="CX4:DD39 CX41:DD124">
    <cfRule type="containsText" dxfId="176" priority="88" operator="containsText" text="M4">
      <formula>NOT(ISERROR(SEARCH("M4",CX4)))</formula>
    </cfRule>
  </conditionalFormatting>
  <conditionalFormatting sqref="CX4:DD39 CX41:DD124">
    <cfRule type="containsText" dxfId="175" priority="89" operator="containsText" text="M5">
      <formula>NOT(ISERROR(SEARCH("M5",CX4)))</formula>
    </cfRule>
  </conditionalFormatting>
  <conditionalFormatting sqref="CX4:DD39 CX41:DD124">
    <cfRule type="containsText" dxfId="174" priority="90" operator="containsText" text="M6">
      <formula>NOT(ISERROR(SEARCH("M6",CX4)))</formula>
    </cfRule>
  </conditionalFormatting>
  <conditionalFormatting sqref="CX4:DD39 CX41:DD124">
    <cfRule type="containsText" dxfId="173" priority="91" operator="containsText" text="A">
      <formula>NOT(ISERROR(SEARCH("A",CX4)))</formula>
    </cfRule>
  </conditionalFormatting>
  <conditionalFormatting sqref="CX4:DD39 CX41:DD124">
    <cfRule type="containsText" dxfId="172" priority="92" operator="containsText" text="K">
      <formula>NOT(ISERROR(SEARCH("K",CX4)))</formula>
    </cfRule>
  </conditionalFormatting>
  <conditionalFormatting sqref="CX4:DD39 CX41:DD124">
    <cfRule type="containsText" dxfId="171" priority="93" operator="containsText" text="Q">
      <formula>NOT(ISERROR(SEARCH("Q",CX4)))</formula>
    </cfRule>
  </conditionalFormatting>
  <conditionalFormatting sqref="CX4:DD39 CX41:DD124">
    <cfRule type="containsText" dxfId="170" priority="94" operator="containsText" text="J">
      <formula>NOT(ISERROR(SEARCH("J",CX4)))</formula>
    </cfRule>
  </conditionalFormatting>
  <conditionalFormatting sqref="CX4:DD39 CX41:DD124">
    <cfRule type="containsText" dxfId="169" priority="95" operator="containsText" text="TE">
      <formula>NOT(ISERROR(SEARCH("TE",CX4)))</formula>
    </cfRule>
  </conditionalFormatting>
  <conditionalFormatting sqref="CX4:DD39 CX41:DD124">
    <cfRule type="containsText" dxfId="168" priority="96" operator="containsText" text="MY">
      <formula>NOT(ISERROR(SEARCH("MY",CX4)))</formula>
    </cfRule>
  </conditionalFormatting>
  <conditionalFormatting sqref="CX40">
    <cfRule type="containsText" dxfId="167" priority="73" operator="containsText" text="M1">
      <formula>NOT(ISERROR(SEARCH("M1",CX40)))</formula>
    </cfRule>
  </conditionalFormatting>
  <conditionalFormatting sqref="CX40">
    <cfRule type="containsText" dxfId="166" priority="74" operator="containsText" text="M2">
      <formula>NOT(ISERROR(SEARCH("M2",CX40)))</formula>
    </cfRule>
  </conditionalFormatting>
  <conditionalFormatting sqref="CX40">
    <cfRule type="containsText" dxfId="165" priority="75" operator="containsText" text="M3">
      <formula>NOT(ISERROR(SEARCH("M3",CX40)))</formula>
    </cfRule>
  </conditionalFormatting>
  <conditionalFormatting sqref="CX40">
    <cfRule type="containsText" dxfId="164" priority="76" operator="containsText" text="M4">
      <formula>NOT(ISERROR(SEARCH("M4",CX40)))</formula>
    </cfRule>
  </conditionalFormatting>
  <conditionalFormatting sqref="CX40">
    <cfRule type="containsText" dxfId="163" priority="77" operator="containsText" text="M5">
      <formula>NOT(ISERROR(SEARCH("M5",CX40)))</formula>
    </cfRule>
  </conditionalFormatting>
  <conditionalFormatting sqref="CX40">
    <cfRule type="containsText" dxfId="162" priority="78" operator="containsText" text="M6">
      <formula>NOT(ISERROR(SEARCH("M6",CX40)))</formula>
    </cfRule>
  </conditionalFormatting>
  <conditionalFormatting sqref="CX40">
    <cfRule type="containsText" dxfId="161" priority="79" operator="containsText" text="A">
      <formula>NOT(ISERROR(SEARCH("A",CX40)))</formula>
    </cfRule>
  </conditionalFormatting>
  <conditionalFormatting sqref="CX40">
    <cfRule type="containsText" dxfId="160" priority="80" operator="containsText" text="K">
      <formula>NOT(ISERROR(SEARCH("K",CX40)))</formula>
    </cfRule>
  </conditionalFormatting>
  <conditionalFormatting sqref="CX40">
    <cfRule type="containsText" dxfId="159" priority="81" operator="containsText" text="Q">
      <formula>NOT(ISERROR(SEARCH("Q",CX40)))</formula>
    </cfRule>
  </conditionalFormatting>
  <conditionalFormatting sqref="CX40">
    <cfRule type="containsText" dxfId="158" priority="82" operator="containsText" text="J">
      <formula>NOT(ISERROR(SEARCH("J",CX40)))</formula>
    </cfRule>
  </conditionalFormatting>
  <conditionalFormatting sqref="CX40">
    <cfRule type="containsText" dxfId="157" priority="83" operator="containsText" text="TE">
      <formula>NOT(ISERROR(SEARCH("TE",CX40)))</formula>
    </cfRule>
  </conditionalFormatting>
  <conditionalFormatting sqref="CX40">
    <cfRule type="containsText" dxfId="156" priority="84" operator="containsText" text="MY">
      <formula>NOT(ISERROR(SEARCH("MY",CX40)))</formula>
    </cfRule>
  </conditionalFormatting>
  <conditionalFormatting sqref="CY40">
    <cfRule type="containsText" dxfId="155" priority="61" operator="containsText" text="M1">
      <formula>NOT(ISERROR(SEARCH("M1",CY40)))</formula>
    </cfRule>
  </conditionalFormatting>
  <conditionalFormatting sqref="CY40">
    <cfRule type="containsText" dxfId="154" priority="62" operator="containsText" text="M2">
      <formula>NOT(ISERROR(SEARCH("M2",CY40)))</formula>
    </cfRule>
  </conditionalFormatting>
  <conditionalFormatting sqref="CY40">
    <cfRule type="containsText" dxfId="153" priority="63" operator="containsText" text="M3">
      <formula>NOT(ISERROR(SEARCH("M3",CY40)))</formula>
    </cfRule>
  </conditionalFormatting>
  <conditionalFormatting sqref="CY40">
    <cfRule type="containsText" dxfId="152" priority="64" operator="containsText" text="M4">
      <formula>NOT(ISERROR(SEARCH("M4",CY40)))</formula>
    </cfRule>
  </conditionalFormatting>
  <conditionalFormatting sqref="CY40">
    <cfRule type="containsText" dxfId="151" priority="65" operator="containsText" text="M5">
      <formula>NOT(ISERROR(SEARCH("M5",CY40)))</formula>
    </cfRule>
  </conditionalFormatting>
  <conditionalFormatting sqref="CY40">
    <cfRule type="containsText" dxfId="150" priority="66" operator="containsText" text="M6">
      <formula>NOT(ISERROR(SEARCH("M6",CY40)))</formula>
    </cfRule>
  </conditionalFormatting>
  <conditionalFormatting sqref="CY40">
    <cfRule type="containsText" dxfId="149" priority="67" operator="containsText" text="A">
      <formula>NOT(ISERROR(SEARCH("A",CY40)))</formula>
    </cfRule>
  </conditionalFormatting>
  <conditionalFormatting sqref="CY40">
    <cfRule type="containsText" dxfId="148" priority="68" operator="containsText" text="K">
      <formula>NOT(ISERROR(SEARCH("K",CY40)))</formula>
    </cfRule>
  </conditionalFormatting>
  <conditionalFormatting sqref="CY40">
    <cfRule type="containsText" dxfId="147" priority="69" operator="containsText" text="Q">
      <formula>NOT(ISERROR(SEARCH("Q",CY40)))</formula>
    </cfRule>
  </conditionalFormatting>
  <conditionalFormatting sqref="CY40">
    <cfRule type="containsText" dxfId="146" priority="70" operator="containsText" text="J">
      <formula>NOT(ISERROR(SEARCH("J",CY40)))</formula>
    </cfRule>
  </conditionalFormatting>
  <conditionalFormatting sqref="CY40">
    <cfRule type="containsText" dxfId="145" priority="71" operator="containsText" text="TE">
      <formula>NOT(ISERROR(SEARCH("TE",CY40)))</formula>
    </cfRule>
  </conditionalFormatting>
  <conditionalFormatting sqref="CY40">
    <cfRule type="containsText" dxfId="144" priority="72" operator="containsText" text="MY">
      <formula>NOT(ISERROR(SEARCH("MY",CY40)))</formula>
    </cfRule>
  </conditionalFormatting>
  <conditionalFormatting sqref="CZ40">
    <cfRule type="containsText" dxfId="143" priority="49" operator="containsText" text="M1">
      <formula>NOT(ISERROR(SEARCH("M1",CZ40)))</formula>
    </cfRule>
  </conditionalFormatting>
  <conditionalFormatting sqref="CZ40">
    <cfRule type="containsText" dxfId="142" priority="50" operator="containsText" text="M2">
      <formula>NOT(ISERROR(SEARCH("M2",CZ40)))</formula>
    </cfRule>
  </conditionalFormatting>
  <conditionalFormatting sqref="CZ40">
    <cfRule type="containsText" dxfId="141" priority="51" operator="containsText" text="M3">
      <formula>NOT(ISERROR(SEARCH("M3",CZ40)))</formula>
    </cfRule>
  </conditionalFormatting>
  <conditionalFormatting sqref="CZ40">
    <cfRule type="containsText" dxfId="140" priority="52" operator="containsText" text="M4">
      <formula>NOT(ISERROR(SEARCH("M4",CZ40)))</formula>
    </cfRule>
  </conditionalFormatting>
  <conditionalFormatting sqref="CZ40">
    <cfRule type="containsText" dxfId="139" priority="53" operator="containsText" text="M5">
      <formula>NOT(ISERROR(SEARCH("M5",CZ40)))</formula>
    </cfRule>
  </conditionalFormatting>
  <conditionalFormatting sqref="CZ40">
    <cfRule type="containsText" dxfId="138" priority="54" operator="containsText" text="M6">
      <formula>NOT(ISERROR(SEARCH("M6",CZ40)))</formula>
    </cfRule>
  </conditionalFormatting>
  <conditionalFormatting sqref="CZ40">
    <cfRule type="containsText" dxfId="137" priority="55" operator="containsText" text="A">
      <formula>NOT(ISERROR(SEARCH("A",CZ40)))</formula>
    </cfRule>
  </conditionalFormatting>
  <conditionalFormatting sqref="CZ40">
    <cfRule type="containsText" dxfId="136" priority="56" operator="containsText" text="K">
      <formula>NOT(ISERROR(SEARCH("K",CZ40)))</formula>
    </cfRule>
  </conditionalFormatting>
  <conditionalFormatting sqref="CZ40">
    <cfRule type="containsText" dxfId="135" priority="57" operator="containsText" text="Q">
      <formula>NOT(ISERROR(SEARCH("Q",CZ40)))</formula>
    </cfRule>
  </conditionalFormatting>
  <conditionalFormatting sqref="CZ40">
    <cfRule type="containsText" dxfId="134" priority="58" operator="containsText" text="J">
      <formula>NOT(ISERROR(SEARCH("J",CZ40)))</formula>
    </cfRule>
  </conditionalFormatting>
  <conditionalFormatting sqref="CZ40">
    <cfRule type="containsText" dxfId="133" priority="59" operator="containsText" text="TE">
      <formula>NOT(ISERROR(SEARCH("TE",CZ40)))</formula>
    </cfRule>
  </conditionalFormatting>
  <conditionalFormatting sqref="CZ40">
    <cfRule type="containsText" dxfId="132" priority="60" operator="containsText" text="MY">
      <formula>NOT(ISERROR(SEARCH("MY",CZ40)))</formula>
    </cfRule>
  </conditionalFormatting>
  <conditionalFormatting sqref="DA40">
    <cfRule type="containsText" dxfId="131" priority="37" operator="containsText" text="M1">
      <formula>NOT(ISERROR(SEARCH("M1",DA40)))</formula>
    </cfRule>
  </conditionalFormatting>
  <conditionalFormatting sqref="DA40">
    <cfRule type="containsText" dxfId="130" priority="38" operator="containsText" text="M2">
      <formula>NOT(ISERROR(SEARCH("M2",DA40)))</formula>
    </cfRule>
  </conditionalFormatting>
  <conditionalFormatting sqref="DA40">
    <cfRule type="containsText" dxfId="129" priority="39" operator="containsText" text="M3">
      <formula>NOT(ISERROR(SEARCH("M3",DA40)))</formula>
    </cfRule>
  </conditionalFormatting>
  <conditionalFormatting sqref="DA40">
    <cfRule type="containsText" dxfId="128" priority="40" operator="containsText" text="M4">
      <formula>NOT(ISERROR(SEARCH("M4",DA40)))</formula>
    </cfRule>
  </conditionalFormatting>
  <conditionalFormatting sqref="DA40">
    <cfRule type="containsText" dxfId="127" priority="41" operator="containsText" text="M5">
      <formula>NOT(ISERROR(SEARCH("M5",DA40)))</formula>
    </cfRule>
  </conditionalFormatting>
  <conditionalFormatting sqref="DA40">
    <cfRule type="containsText" dxfId="126" priority="42" operator="containsText" text="M6">
      <formula>NOT(ISERROR(SEARCH("M6",DA40)))</formula>
    </cfRule>
  </conditionalFormatting>
  <conditionalFormatting sqref="DA40">
    <cfRule type="containsText" dxfId="125" priority="43" operator="containsText" text="A">
      <formula>NOT(ISERROR(SEARCH("A",DA40)))</formula>
    </cfRule>
  </conditionalFormatting>
  <conditionalFormatting sqref="DA40">
    <cfRule type="containsText" dxfId="124" priority="44" operator="containsText" text="K">
      <formula>NOT(ISERROR(SEARCH("K",DA40)))</formula>
    </cfRule>
  </conditionalFormatting>
  <conditionalFormatting sqref="DA40">
    <cfRule type="containsText" dxfId="123" priority="45" operator="containsText" text="Q">
      <formula>NOT(ISERROR(SEARCH("Q",DA40)))</formula>
    </cfRule>
  </conditionalFormatting>
  <conditionalFormatting sqref="DA40">
    <cfRule type="containsText" dxfId="122" priority="46" operator="containsText" text="J">
      <formula>NOT(ISERROR(SEARCH("J",DA40)))</formula>
    </cfRule>
  </conditionalFormatting>
  <conditionalFormatting sqref="DA40">
    <cfRule type="containsText" dxfId="121" priority="47" operator="containsText" text="TE">
      <formula>NOT(ISERROR(SEARCH("TE",DA40)))</formula>
    </cfRule>
  </conditionalFormatting>
  <conditionalFormatting sqref="DA40">
    <cfRule type="containsText" dxfId="120" priority="48" operator="containsText" text="MY">
      <formula>NOT(ISERROR(SEARCH("MY",DA40)))</formula>
    </cfRule>
  </conditionalFormatting>
  <conditionalFormatting sqref="DB40">
    <cfRule type="containsText" dxfId="119" priority="25" operator="containsText" text="M1">
      <formula>NOT(ISERROR(SEARCH("M1",DB40)))</formula>
    </cfRule>
  </conditionalFormatting>
  <conditionalFormatting sqref="DB40">
    <cfRule type="containsText" dxfId="118" priority="26" operator="containsText" text="M2">
      <formula>NOT(ISERROR(SEARCH("M2",DB40)))</formula>
    </cfRule>
  </conditionalFormatting>
  <conditionalFormatting sqref="DB40">
    <cfRule type="containsText" dxfId="117" priority="27" operator="containsText" text="M3">
      <formula>NOT(ISERROR(SEARCH("M3",DB40)))</formula>
    </cfRule>
  </conditionalFormatting>
  <conditionalFormatting sqref="DB40">
    <cfRule type="containsText" dxfId="116" priority="28" operator="containsText" text="M4">
      <formula>NOT(ISERROR(SEARCH("M4",DB40)))</formula>
    </cfRule>
  </conditionalFormatting>
  <conditionalFormatting sqref="DB40">
    <cfRule type="containsText" dxfId="115" priority="29" operator="containsText" text="M5">
      <formula>NOT(ISERROR(SEARCH("M5",DB40)))</formula>
    </cfRule>
  </conditionalFormatting>
  <conditionalFormatting sqref="DB40">
    <cfRule type="containsText" dxfId="114" priority="30" operator="containsText" text="M6">
      <formula>NOT(ISERROR(SEARCH("M6",DB40)))</formula>
    </cfRule>
  </conditionalFormatting>
  <conditionalFormatting sqref="DB40">
    <cfRule type="containsText" dxfId="113" priority="31" operator="containsText" text="A">
      <formula>NOT(ISERROR(SEARCH("A",DB40)))</formula>
    </cfRule>
  </conditionalFormatting>
  <conditionalFormatting sqref="DB40">
    <cfRule type="containsText" dxfId="112" priority="32" operator="containsText" text="K">
      <formula>NOT(ISERROR(SEARCH("K",DB40)))</formula>
    </cfRule>
  </conditionalFormatting>
  <conditionalFormatting sqref="DB40">
    <cfRule type="containsText" dxfId="111" priority="33" operator="containsText" text="Q">
      <formula>NOT(ISERROR(SEARCH("Q",DB40)))</formula>
    </cfRule>
  </conditionalFormatting>
  <conditionalFormatting sqref="DB40">
    <cfRule type="containsText" dxfId="110" priority="34" operator="containsText" text="J">
      <formula>NOT(ISERROR(SEARCH("J",DB40)))</formula>
    </cfRule>
  </conditionalFormatting>
  <conditionalFormatting sqref="DB40">
    <cfRule type="containsText" dxfId="109" priority="35" operator="containsText" text="TE">
      <formula>NOT(ISERROR(SEARCH("TE",DB40)))</formula>
    </cfRule>
  </conditionalFormatting>
  <conditionalFormatting sqref="DB40">
    <cfRule type="containsText" dxfId="108" priority="36" operator="containsText" text="MY">
      <formula>NOT(ISERROR(SEARCH("MY",DB40)))</formula>
    </cfRule>
  </conditionalFormatting>
  <conditionalFormatting sqref="DC40">
    <cfRule type="containsText" dxfId="107" priority="13" operator="containsText" text="M1">
      <formula>NOT(ISERROR(SEARCH("M1",DC40)))</formula>
    </cfRule>
  </conditionalFormatting>
  <conditionalFormatting sqref="DC40">
    <cfRule type="containsText" dxfId="106" priority="14" operator="containsText" text="M2">
      <formula>NOT(ISERROR(SEARCH("M2",DC40)))</formula>
    </cfRule>
  </conditionalFormatting>
  <conditionalFormatting sqref="DC40">
    <cfRule type="containsText" dxfId="105" priority="15" operator="containsText" text="M3">
      <formula>NOT(ISERROR(SEARCH("M3",DC40)))</formula>
    </cfRule>
  </conditionalFormatting>
  <conditionalFormatting sqref="DC40">
    <cfRule type="containsText" dxfId="104" priority="16" operator="containsText" text="M4">
      <formula>NOT(ISERROR(SEARCH("M4",DC40)))</formula>
    </cfRule>
  </conditionalFormatting>
  <conditionalFormatting sqref="DC40">
    <cfRule type="containsText" dxfId="103" priority="17" operator="containsText" text="M5">
      <formula>NOT(ISERROR(SEARCH("M5",DC40)))</formula>
    </cfRule>
  </conditionalFormatting>
  <conditionalFormatting sqref="DC40">
    <cfRule type="containsText" dxfId="102" priority="18" operator="containsText" text="M6">
      <formula>NOT(ISERROR(SEARCH("M6",DC40)))</formula>
    </cfRule>
  </conditionalFormatting>
  <conditionalFormatting sqref="DC40">
    <cfRule type="containsText" dxfId="101" priority="19" operator="containsText" text="A">
      <formula>NOT(ISERROR(SEARCH("A",DC40)))</formula>
    </cfRule>
  </conditionalFormatting>
  <conditionalFormatting sqref="DC40">
    <cfRule type="containsText" dxfId="100" priority="20" operator="containsText" text="K">
      <formula>NOT(ISERROR(SEARCH("K",DC40)))</formula>
    </cfRule>
  </conditionalFormatting>
  <conditionalFormatting sqref="DC40">
    <cfRule type="containsText" dxfId="99" priority="21" operator="containsText" text="Q">
      <formula>NOT(ISERROR(SEARCH("Q",DC40)))</formula>
    </cfRule>
  </conditionalFormatting>
  <conditionalFormatting sqref="DC40">
    <cfRule type="containsText" dxfId="98" priority="22" operator="containsText" text="J">
      <formula>NOT(ISERROR(SEARCH("J",DC40)))</formula>
    </cfRule>
  </conditionalFormatting>
  <conditionalFormatting sqref="DC40">
    <cfRule type="containsText" dxfId="97" priority="23" operator="containsText" text="TE">
      <formula>NOT(ISERROR(SEARCH("TE",DC40)))</formula>
    </cfRule>
  </conditionalFormatting>
  <conditionalFormatting sqref="DC40">
    <cfRule type="containsText" dxfId="96" priority="24" operator="containsText" text="MY">
      <formula>NOT(ISERROR(SEARCH("MY",DC40)))</formula>
    </cfRule>
  </conditionalFormatting>
  <conditionalFormatting sqref="DD40">
    <cfRule type="containsText" dxfId="95" priority="2" operator="containsText" text="M2">
      <formula>NOT(ISERROR(SEARCH("M2",DD40)))</formula>
    </cfRule>
  </conditionalFormatting>
  <conditionalFormatting sqref="DD40">
    <cfRule type="containsText" dxfId="94" priority="3" operator="containsText" text="M3">
      <formula>NOT(ISERROR(SEARCH("M3",DD40)))</formula>
    </cfRule>
  </conditionalFormatting>
  <conditionalFormatting sqref="DD40">
    <cfRule type="containsText" dxfId="93" priority="4" operator="containsText" text="M4">
      <formula>NOT(ISERROR(SEARCH("M4",DD40)))</formula>
    </cfRule>
  </conditionalFormatting>
  <conditionalFormatting sqref="DD40">
    <cfRule type="containsText" dxfId="92" priority="5" operator="containsText" text="M5">
      <formula>NOT(ISERROR(SEARCH("M5",DD40)))</formula>
    </cfRule>
  </conditionalFormatting>
  <conditionalFormatting sqref="DD40">
    <cfRule type="containsText" dxfId="91" priority="6" operator="containsText" text="M6">
      <formula>NOT(ISERROR(SEARCH("M6",DD40)))</formula>
    </cfRule>
  </conditionalFormatting>
  <conditionalFormatting sqref="DD40">
    <cfRule type="containsText" dxfId="90" priority="7" operator="containsText" text="A">
      <formula>NOT(ISERROR(SEARCH("A",DD40)))</formula>
    </cfRule>
  </conditionalFormatting>
  <conditionalFormatting sqref="DD40">
    <cfRule type="containsText" dxfId="89" priority="8" operator="containsText" text="K">
      <formula>NOT(ISERROR(SEARCH("K",DD40)))</formula>
    </cfRule>
  </conditionalFormatting>
  <conditionalFormatting sqref="DD40">
    <cfRule type="containsText" dxfId="88" priority="9" operator="containsText" text="Q">
      <formula>NOT(ISERROR(SEARCH("Q",DD40)))</formula>
    </cfRule>
  </conditionalFormatting>
  <conditionalFormatting sqref="DD40">
    <cfRule type="containsText" dxfId="87" priority="10" operator="containsText" text="J">
      <formula>NOT(ISERROR(SEARCH("J",DD40)))</formula>
    </cfRule>
  </conditionalFormatting>
  <conditionalFormatting sqref="DD40">
    <cfRule type="containsText" dxfId="86" priority="11" operator="containsText" text="TE">
      <formula>NOT(ISERROR(SEARCH("TE",DD40)))</formula>
    </cfRule>
  </conditionalFormatting>
  <conditionalFormatting sqref="DD40">
    <cfRule type="containsText" dxfId="85" priority="12" operator="containsText" text="MY">
      <formula>NOT(ISERROR(SEARCH("MY",DD40)))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8E86-75F2-4354-9879-57F8D44B8919}">
  <sheetPr codeName="工作表8">
    <tabColor theme="3" tint="0.59999389629810485"/>
  </sheetPr>
  <dimension ref="A1:AR404"/>
  <sheetViews>
    <sheetView zoomScaleNormal="100" workbookViewId="0">
      <selection activeCell="T4" sqref="T4"/>
    </sheetView>
  </sheetViews>
  <sheetFormatPr defaultColWidth="9" defaultRowHeight="15.75"/>
  <cols>
    <col min="1" max="1" width="16.125" style="1" bestFit="1" customWidth="1"/>
    <col min="2" max="6" width="6.7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1" customWidth="1"/>
    <col min="11" max="11" width="9.25" style="1" bestFit="1" customWidth="1"/>
    <col min="12" max="12" width="4.625" style="102" bestFit="1" customWidth="1"/>
    <col min="13" max="14" width="7.5" style="102" bestFit="1" customWidth="1"/>
    <col min="15" max="15" width="7.5" style="102" customWidth="1"/>
    <col min="16" max="16" width="7.5" style="102" bestFit="1" customWidth="1"/>
    <col min="17" max="17" width="4.625" style="102" bestFit="1" customWidth="1"/>
    <col min="18" max="18" width="4.625" style="102" customWidth="1"/>
    <col min="19" max="19" width="8.875" style="1" customWidth="1"/>
    <col min="20" max="20" width="4.75" style="1" customWidth="1"/>
    <col min="21" max="25" width="4.75" style="102" customWidth="1"/>
    <col min="26" max="26" width="4.625" style="1" bestFit="1" customWidth="1"/>
    <col min="27" max="27" width="8.875" style="1" customWidth="1"/>
    <col min="28" max="32" width="4.75" style="102" customWidth="1"/>
    <col min="33" max="33" width="4.625" style="102" customWidth="1"/>
    <col min="34" max="34" width="4.625" style="1" bestFit="1" customWidth="1"/>
    <col min="35" max="16384" width="9" style="1"/>
  </cols>
  <sheetData>
    <row r="1" spans="1:44" ht="16.5">
      <c r="K1" s="3"/>
      <c r="L1" s="110"/>
      <c r="M1" s="110"/>
      <c r="N1" s="110"/>
      <c r="O1" s="110"/>
      <c r="P1" s="110"/>
      <c r="Q1" s="110"/>
      <c r="R1" s="110"/>
      <c r="T1" s="222" t="s">
        <v>120</v>
      </c>
      <c r="U1" s="222"/>
      <c r="V1" s="222"/>
      <c r="W1" s="222"/>
      <c r="X1" s="222"/>
      <c r="Y1" s="222"/>
      <c r="Z1" s="222"/>
    </row>
    <row r="2" spans="1:44" s="14" customFormat="1" ht="15.95" customHeight="1">
      <c r="J2" s="31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14" t="s">
        <v>94</v>
      </c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</row>
    <row r="3" spans="1:44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J3" s="4"/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02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</row>
    <row r="4" spans="1:44" ht="15.95" customHeight="1" thickBot="1">
      <c r="A4" s="15" t="s">
        <v>32</v>
      </c>
      <c r="B4" s="15">
        <f t="shared" ref="B4:B29" si="0">COUNTIF(L$4:L$304,$A4)</f>
        <v>0</v>
      </c>
      <c r="C4" s="15">
        <f t="shared" ref="C4:C29" si="1">COUNTIF(M$4:M$304,$A4)</f>
        <v>0</v>
      </c>
      <c r="D4" s="15">
        <f t="shared" ref="D4:D29" si="2">COUNTIF(N$4:N$304,$A4)</f>
        <v>0</v>
      </c>
      <c r="E4" s="15">
        <f t="shared" ref="E4:E29" si="3">COUNTIF(O$4:O$304,$A4)</f>
        <v>0</v>
      </c>
      <c r="F4" s="15">
        <f t="shared" ref="F4:F29" si="4">COUNTIF(P$4:P$304,$A4)</f>
        <v>0</v>
      </c>
      <c r="G4" s="15">
        <f t="shared" ref="G4:G29" si="5">COUNTIF(Q$4:Q$304,$A4)</f>
        <v>0</v>
      </c>
      <c r="H4" s="15">
        <f t="shared" ref="H4:H29" si="6">COUNTIF(R$4:R$304,$A4)</f>
        <v>0</v>
      </c>
      <c r="I4" s="7">
        <v>0</v>
      </c>
      <c r="J4" s="6"/>
      <c r="K4" s="22">
        <v>0</v>
      </c>
      <c r="L4" s="24" t="s">
        <v>36</v>
      </c>
      <c r="M4" s="24" t="s">
        <v>87</v>
      </c>
      <c r="N4" s="24" t="s">
        <v>33</v>
      </c>
      <c r="O4" s="24" t="s">
        <v>25</v>
      </c>
      <c r="P4" s="24" t="s">
        <v>83</v>
      </c>
      <c r="Q4" s="24" t="s">
        <v>162</v>
      </c>
      <c r="R4" s="24" t="s">
        <v>163</v>
      </c>
      <c r="T4" s="8">
        <f>VLOOKUP(L4, $A$4:$I$29, 9, 0)</f>
        <v>5</v>
      </c>
      <c r="U4" s="8">
        <f t="shared" ref="U4:Z4" si="7">VLOOKUP(M4, $A$4:$I$29, 9, 0)</f>
        <v>19</v>
      </c>
      <c r="V4" s="8">
        <f t="shared" si="7"/>
        <v>2</v>
      </c>
      <c r="W4" s="8">
        <f t="shared" si="7"/>
        <v>8</v>
      </c>
      <c r="X4" s="8">
        <f t="shared" si="7"/>
        <v>14</v>
      </c>
      <c r="Y4" s="8">
        <f t="shared" si="7"/>
        <v>7</v>
      </c>
      <c r="Z4" s="8">
        <f t="shared" si="7"/>
        <v>7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1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</row>
    <row r="5" spans="1:44" ht="15.95" customHeight="1">
      <c r="A5" s="8" t="s">
        <v>37</v>
      </c>
      <c r="B5" s="15">
        <f t="shared" si="0"/>
        <v>0</v>
      </c>
      <c r="C5" s="15">
        <f t="shared" si="1"/>
        <v>0</v>
      </c>
      <c r="D5" s="15">
        <f t="shared" si="2"/>
        <v>0</v>
      </c>
      <c r="E5" s="15">
        <f t="shared" si="3"/>
        <v>0</v>
      </c>
      <c r="F5" s="15">
        <f t="shared" si="4"/>
        <v>0</v>
      </c>
      <c r="G5" s="15">
        <f t="shared" si="5"/>
        <v>0</v>
      </c>
      <c r="H5" s="15">
        <f t="shared" si="6"/>
        <v>0</v>
      </c>
      <c r="I5" s="7">
        <v>1</v>
      </c>
      <c r="J5" s="6"/>
      <c r="K5" s="21">
        <v>1</v>
      </c>
      <c r="L5" s="24" t="s">
        <v>36</v>
      </c>
      <c r="M5" s="24" t="s">
        <v>87</v>
      </c>
      <c r="N5" s="24" t="s">
        <v>30</v>
      </c>
      <c r="O5" s="24" t="s">
        <v>82</v>
      </c>
      <c r="P5" s="24" t="s">
        <v>83</v>
      </c>
      <c r="Q5" s="24" t="s">
        <v>25</v>
      </c>
      <c r="R5" s="24" t="s">
        <v>162</v>
      </c>
      <c r="T5" s="8">
        <f t="shared" ref="T5:T63" si="8">VLOOKUP(L5, $A$4:$I$29, 9, 0)</f>
        <v>5</v>
      </c>
      <c r="U5" s="8">
        <f t="shared" ref="U5:U63" si="9">VLOOKUP(M5, $A$4:$I$29, 9, 0)</f>
        <v>19</v>
      </c>
      <c r="V5" s="8">
        <f t="shared" ref="V5:V63" si="10">VLOOKUP(N5, $A$4:$I$29, 9, 0)</f>
        <v>12</v>
      </c>
      <c r="W5" s="8">
        <f t="shared" ref="W5:W63" si="11">VLOOKUP(O5, $A$4:$I$29, 9, 0)</f>
        <v>13</v>
      </c>
      <c r="X5" s="8">
        <f t="shared" ref="X5:X63" si="12">VLOOKUP(P5, $A$4:$I$29, 9, 0)</f>
        <v>14</v>
      </c>
      <c r="Y5" s="8">
        <f t="shared" ref="Y5:Y63" si="13">VLOOKUP(Q5, $A$4:$I$29, 9, 0)</f>
        <v>8</v>
      </c>
      <c r="Z5" s="8">
        <f t="shared" ref="Z5:Z63" si="14">VLOOKUP(R5, $A$4:$I$29, 9, 0)</f>
        <v>7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73">
        <v>0</v>
      </c>
    </row>
    <row r="6" spans="1:44" ht="15.95" customHeight="1">
      <c r="A6" s="8" t="s">
        <v>33</v>
      </c>
      <c r="B6" s="15">
        <f t="shared" si="0"/>
        <v>0</v>
      </c>
      <c r="C6" s="15">
        <f t="shared" si="1"/>
        <v>9</v>
      </c>
      <c r="D6" s="15">
        <f t="shared" si="2"/>
        <v>3</v>
      </c>
      <c r="E6" s="15">
        <f t="shared" si="3"/>
        <v>0</v>
      </c>
      <c r="F6" s="15">
        <f t="shared" si="4"/>
        <v>0</v>
      </c>
      <c r="G6" s="15">
        <f t="shared" si="5"/>
        <v>0</v>
      </c>
      <c r="H6" s="15">
        <f t="shared" si="6"/>
        <v>4</v>
      </c>
      <c r="I6" s="7">
        <v>2</v>
      </c>
      <c r="J6" s="9"/>
      <c r="K6" s="22">
        <v>2</v>
      </c>
      <c r="L6" s="24" t="s">
        <v>39</v>
      </c>
      <c r="M6" s="24" t="s">
        <v>87</v>
      </c>
      <c r="N6" s="24" t="s">
        <v>30</v>
      </c>
      <c r="O6" s="24" t="s">
        <v>82</v>
      </c>
      <c r="P6" s="24" t="s">
        <v>83</v>
      </c>
      <c r="Q6" s="24" t="s">
        <v>19</v>
      </c>
      <c r="R6" s="24" t="s">
        <v>162</v>
      </c>
      <c r="T6" s="8">
        <f t="shared" si="8"/>
        <v>10</v>
      </c>
      <c r="U6" s="8">
        <f t="shared" si="9"/>
        <v>19</v>
      </c>
      <c r="V6" s="8">
        <f t="shared" si="10"/>
        <v>12</v>
      </c>
      <c r="W6" s="8">
        <f t="shared" si="11"/>
        <v>13</v>
      </c>
      <c r="X6" s="8">
        <f t="shared" si="12"/>
        <v>14</v>
      </c>
      <c r="Y6" s="8">
        <f t="shared" si="13"/>
        <v>5</v>
      </c>
      <c r="Z6" s="8">
        <f t="shared" si="14"/>
        <v>7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5</v>
      </c>
      <c r="AL6" s="91">
        <v>3</v>
      </c>
      <c r="AM6" s="91">
        <v>3</v>
      </c>
      <c r="AN6" s="91">
        <v>5</v>
      </c>
      <c r="AO6" s="91">
        <v>5</v>
      </c>
      <c r="AP6" s="91">
        <v>5</v>
      </c>
      <c r="AQ6" s="92">
        <v>0</v>
      </c>
      <c r="AR6" s="78">
        <v>1</v>
      </c>
    </row>
    <row r="7" spans="1:44" ht="15.95" customHeight="1">
      <c r="A7" s="8" t="s">
        <v>34</v>
      </c>
      <c r="B7" s="15">
        <f t="shared" si="0"/>
        <v>12</v>
      </c>
      <c r="C7" s="15">
        <f t="shared" si="1"/>
        <v>0</v>
      </c>
      <c r="D7" s="15">
        <f t="shared" si="2"/>
        <v>5</v>
      </c>
      <c r="E7" s="15">
        <f t="shared" si="3"/>
        <v>0</v>
      </c>
      <c r="F7" s="15">
        <f t="shared" si="4"/>
        <v>9</v>
      </c>
      <c r="G7" s="15">
        <f t="shared" si="5"/>
        <v>0</v>
      </c>
      <c r="H7" s="15">
        <f t="shared" si="6"/>
        <v>0</v>
      </c>
      <c r="I7" s="7">
        <v>3</v>
      </c>
      <c r="K7" s="21">
        <v>3</v>
      </c>
      <c r="L7" s="24" t="s">
        <v>39</v>
      </c>
      <c r="M7" s="24" t="s">
        <v>33</v>
      </c>
      <c r="N7" s="24" t="s">
        <v>30</v>
      </c>
      <c r="O7" s="24" t="s">
        <v>82</v>
      </c>
      <c r="P7" s="24" t="s">
        <v>85</v>
      </c>
      <c r="Q7" s="24" t="s">
        <v>28</v>
      </c>
      <c r="R7" s="24" t="s">
        <v>162</v>
      </c>
      <c r="T7" s="8">
        <f t="shared" si="8"/>
        <v>10</v>
      </c>
      <c r="U7" s="8">
        <f t="shared" si="9"/>
        <v>2</v>
      </c>
      <c r="V7" s="8">
        <f t="shared" si="10"/>
        <v>12</v>
      </c>
      <c r="W7" s="8">
        <f t="shared" si="11"/>
        <v>13</v>
      </c>
      <c r="X7" s="8">
        <f t="shared" si="12"/>
        <v>16</v>
      </c>
      <c r="Y7" s="8">
        <f t="shared" si="13"/>
        <v>10</v>
      </c>
      <c r="Z7" s="8">
        <f t="shared" si="14"/>
        <v>7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40</v>
      </c>
      <c r="AL7" s="91">
        <v>40</v>
      </c>
      <c r="AM7" s="91">
        <v>20</v>
      </c>
      <c r="AN7" s="91">
        <v>40</v>
      </c>
      <c r="AO7" s="91">
        <v>40</v>
      </c>
      <c r="AP7" s="91">
        <v>1</v>
      </c>
      <c r="AQ7" s="92">
        <v>1</v>
      </c>
      <c r="AR7" s="78">
        <v>2</v>
      </c>
    </row>
    <row r="8" spans="1:44" ht="15.95" customHeight="1">
      <c r="A8" s="8" t="s">
        <v>18</v>
      </c>
      <c r="B8" s="15">
        <f t="shared" si="0"/>
        <v>0</v>
      </c>
      <c r="C8" s="15">
        <f t="shared" si="1"/>
        <v>9</v>
      </c>
      <c r="D8" s="15">
        <f t="shared" si="2"/>
        <v>0</v>
      </c>
      <c r="E8" s="15">
        <f t="shared" si="3"/>
        <v>6</v>
      </c>
      <c r="F8" s="15">
        <f t="shared" si="4"/>
        <v>9</v>
      </c>
      <c r="G8" s="15">
        <f t="shared" si="5"/>
        <v>3</v>
      </c>
      <c r="H8" s="15">
        <f t="shared" si="6"/>
        <v>4</v>
      </c>
      <c r="I8" s="7">
        <v>4</v>
      </c>
      <c r="K8" s="22">
        <v>4</v>
      </c>
      <c r="L8" s="24" t="s">
        <v>29</v>
      </c>
      <c r="M8" s="24" t="s">
        <v>33</v>
      </c>
      <c r="N8" s="24" t="s">
        <v>162</v>
      </c>
      <c r="O8" s="24" t="s">
        <v>25</v>
      </c>
      <c r="P8" s="24" t="s">
        <v>85</v>
      </c>
      <c r="Q8" s="24" t="s">
        <v>29</v>
      </c>
      <c r="R8" s="24" t="s">
        <v>33</v>
      </c>
      <c r="T8" s="8">
        <f t="shared" si="8"/>
        <v>11</v>
      </c>
      <c r="U8" s="8">
        <f t="shared" si="9"/>
        <v>2</v>
      </c>
      <c r="V8" s="8">
        <f t="shared" si="10"/>
        <v>7</v>
      </c>
      <c r="W8" s="8">
        <f t="shared" si="11"/>
        <v>8</v>
      </c>
      <c r="X8" s="8">
        <f t="shared" si="12"/>
        <v>16</v>
      </c>
      <c r="Y8" s="8">
        <f t="shared" si="13"/>
        <v>11</v>
      </c>
      <c r="Z8" s="8">
        <f t="shared" si="14"/>
        <v>2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1</v>
      </c>
      <c r="AJ8" s="100" t="s">
        <v>22</v>
      </c>
      <c r="AK8" s="90">
        <v>10</v>
      </c>
      <c r="AL8" s="91">
        <v>32</v>
      </c>
      <c r="AM8" s="91">
        <v>40</v>
      </c>
      <c r="AN8" s="91">
        <v>40</v>
      </c>
      <c r="AO8" s="91">
        <v>1</v>
      </c>
      <c r="AP8" s="91">
        <v>1</v>
      </c>
      <c r="AQ8" s="92">
        <v>1</v>
      </c>
      <c r="AR8" s="78">
        <v>3</v>
      </c>
    </row>
    <row r="9" spans="1:44" ht="15.95" customHeight="1">
      <c r="A9" s="8" t="s">
        <v>19</v>
      </c>
      <c r="B9" s="15">
        <f t="shared" si="0"/>
        <v>13</v>
      </c>
      <c r="C9" s="15">
        <f t="shared" si="1"/>
        <v>0</v>
      </c>
      <c r="D9" s="15">
        <f t="shared" si="2"/>
        <v>3</v>
      </c>
      <c r="E9" s="15">
        <f t="shared" si="3"/>
        <v>0</v>
      </c>
      <c r="F9" s="15">
        <f t="shared" si="4"/>
        <v>0</v>
      </c>
      <c r="G9" s="15">
        <f t="shared" si="5"/>
        <v>9</v>
      </c>
      <c r="H9" s="15">
        <f t="shared" si="6"/>
        <v>0</v>
      </c>
      <c r="I9" s="7">
        <v>5</v>
      </c>
      <c r="K9" s="21">
        <v>5</v>
      </c>
      <c r="L9" s="24" t="s">
        <v>39</v>
      </c>
      <c r="M9" s="24" t="s">
        <v>33</v>
      </c>
      <c r="N9" s="24" t="s">
        <v>162</v>
      </c>
      <c r="O9" s="24" t="s">
        <v>27</v>
      </c>
      <c r="P9" s="24" t="s">
        <v>28</v>
      </c>
      <c r="Q9" s="24" t="s">
        <v>29</v>
      </c>
      <c r="R9" s="24" t="s">
        <v>33</v>
      </c>
      <c r="T9" s="8">
        <f t="shared" si="8"/>
        <v>10</v>
      </c>
      <c r="U9" s="8">
        <f t="shared" si="9"/>
        <v>2</v>
      </c>
      <c r="V9" s="8">
        <f t="shared" si="10"/>
        <v>7</v>
      </c>
      <c r="W9" s="8">
        <f t="shared" si="11"/>
        <v>9</v>
      </c>
      <c r="X9" s="8">
        <f t="shared" si="12"/>
        <v>10</v>
      </c>
      <c r="Y9" s="8">
        <f t="shared" si="13"/>
        <v>11</v>
      </c>
      <c r="Z9" s="8">
        <f t="shared" si="14"/>
        <v>2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40</v>
      </c>
      <c r="AL9" s="91">
        <v>13</v>
      </c>
      <c r="AM9" s="91">
        <v>15</v>
      </c>
      <c r="AN9" s="91">
        <v>1</v>
      </c>
      <c r="AO9" s="91">
        <v>1</v>
      </c>
      <c r="AP9" s="91">
        <v>40</v>
      </c>
      <c r="AQ9" s="92">
        <v>1</v>
      </c>
      <c r="AR9" s="78">
        <v>4</v>
      </c>
    </row>
    <row r="10" spans="1:44" ht="15.95" customHeight="1">
      <c r="A10" s="8" t="s">
        <v>77</v>
      </c>
      <c r="B10" s="15">
        <f t="shared" si="0"/>
        <v>9</v>
      </c>
      <c r="C10" s="15">
        <f t="shared" si="1"/>
        <v>0</v>
      </c>
      <c r="D10" s="15">
        <f t="shared" si="2"/>
        <v>4</v>
      </c>
      <c r="E10" s="15">
        <f t="shared" si="3"/>
        <v>11</v>
      </c>
      <c r="F10" s="15">
        <f t="shared" si="4"/>
        <v>3</v>
      </c>
      <c r="G10" s="15">
        <f t="shared" si="5"/>
        <v>9</v>
      </c>
      <c r="H10" s="15">
        <f t="shared" si="6"/>
        <v>0</v>
      </c>
      <c r="I10" s="7">
        <v>6</v>
      </c>
      <c r="K10" s="22">
        <v>6</v>
      </c>
      <c r="L10" s="24" t="s">
        <v>22</v>
      </c>
      <c r="M10" s="24" t="s">
        <v>35</v>
      </c>
      <c r="N10" s="24" t="s">
        <v>28</v>
      </c>
      <c r="O10" s="24" t="s">
        <v>27</v>
      </c>
      <c r="P10" s="24" t="s">
        <v>18</v>
      </c>
      <c r="Q10" s="24" t="s">
        <v>162</v>
      </c>
      <c r="R10" s="24" t="s">
        <v>33</v>
      </c>
      <c r="T10" s="8">
        <f t="shared" si="8"/>
        <v>3</v>
      </c>
      <c r="U10" s="8">
        <f t="shared" si="9"/>
        <v>4</v>
      </c>
      <c r="V10" s="8">
        <f t="shared" si="10"/>
        <v>10</v>
      </c>
      <c r="W10" s="8">
        <f t="shared" si="11"/>
        <v>9</v>
      </c>
      <c r="X10" s="8">
        <f t="shared" si="12"/>
        <v>4</v>
      </c>
      <c r="Y10" s="8">
        <f t="shared" si="13"/>
        <v>7</v>
      </c>
      <c r="Z10" s="8">
        <f t="shared" si="14"/>
        <v>2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91">
        <v>40</v>
      </c>
      <c r="AM10" s="91">
        <v>40</v>
      </c>
      <c r="AN10" s="91">
        <v>40</v>
      </c>
      <c r="AO10" s="91">
        <v>8</v>
      </c>
      <c r="AP10" s="91">
        <v>40</v>
      </c>
      <c r="AQ10" s="92">
        <v>1</v>
      </c>
      <c r="AR10" s="78">
        <v>5</v>
      </c>
    </row>
    <row r="11" spans="1:44" ht="15.95" customHeight="1">
      <c r="A11" s="8" t="s">
        <v>163</v>
      </c>
      <c r="B11" s="15">
        <f t="shared" si="0"/>
        <v>0</v>
      </c>
      <c r="C11" s="15">
        <f t="shared" si="1"/>
        <v>9</v>
      </c>
      <c r="D11" s="15">
        <f t="shared" si="2"/>
        <v>11</v>
      </c>
      <c r="E11" s="15">
        <f t="shared" si="3"/>
        <v>6</v>
      </c>
      <c r="F11" s="15">
        <f t="shared" si="4"/>
        <v>3</v>
      </c>
      <c r="G11" s="15">
        <f t="shared" si="5"/>
        <v>12</v>
      </c>
      <c r="H11" s="15">
        <f t="shared" si="6"/>
        <v>16</v>
      </c>
      <c r="I11" s="7">
        <v>7</v>
      </c>
      <c r="K11" s="21">
        <v>7</v>
      </c>
      <c r="L11" s="24" t="s">
        <v>36</v>
      </c>
      <c r="M11" s="24" t="s">
        <v>18</v>
      </c>
      <c r="N11" s="24" t="s">
        <v>28</v>
      </c>
      <c r="O11" s="24" t="s">
        <v>27</v>
      </c>
      <c r="P11" s="24" t="s">
        <v>18</v>
      </c>
      <c r="Q11" s="24" t="s">
        <v>27</v>
      </c>
      <c r="R11" s="24" t="s">
        <v>33</v>
      </c>
      <c r="T11" s="8">
        <f t="shared" si="8"/>
        <v>5</v>
      </c>
      <c r="U11" s="8">
        <f t="shared" si="9"/>
        <v>4</v>
      </c>
      <c r="V11" s="8">
        <f t="shared" si="10"/>
        <v>10</v>
      </c>
      <c r="W11" s="8">
        <f t="shared" si="11"/>
        <v>9</v>
      </c>
      <c r="X11" s="8">
        <f t="shared" si="12"/>
        <v>4</v>
      </c>
      <c r="Y11" s="8">
        <f t="shared" si="13"/>
        <v>9</v>
      </c>
      <c r="Z11" s="8">
        <f t="shared" si="14"/>
        <v>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40</v>
      </c>
      <c r="AL11" s="91">
        <v>8</v>
      </c>
      <c r="AM11" s="91">
        <v>20</v>
      </c>
      <c r="AN11" s="91">
        <v>1</v>
      </c>
      <c r="AO11" s="91">
        <v>40</v>
      </c>
      <c r="AP11" s="91">
        <v>1</v>
      </c>
      <c r="AQ11" s="92">
        <v>1</v>
      </c>
      <c r="AR11" s="78">
        <v>6</v>
      </c>
    </row>
    <row r="12" spans="1:44" ht="15.95" customHeight="1">
      <c r="A12" s="8" t="s">
        <v>25</v>
      </c>
      <c r="B12" s="15">
        <f t="shared" si="0"/>
        <v>0</v>
      </c>
      <c r="C12" s="15">
        <f t="shared" si="1"/>
        <v>7</v>
      </c>
      <c r="D12" s="15">
        <f t="shared" si="2"/>
        <v>0</v>
      </c>
      <c r="E12" s="15">
        <f t="shared" si="3"/>
        <v>4</v>
      </c>
      <c r="F12" s="15">
        <f t="shared" si="4"/>
        <v>3</v>
      </c>
      <c r="G12" s="15">
        <f t="shared" si="5"/>
        <v>3</v>
      </c>
      <c r="H12" s="15">
        <f t="shared" si="6"/>
        <v>16</v>
      </c>
      <c r="I12" s="7">
        <v>8</v>
      </c>
      <c r="K12" s="22">
        <v>8</v>
      </c>
      <c r="L12" s="24" t="s">
        <v>36</v>
      </c>
      <c r="M12" s="24" t="s">
        <v>18</v>
      </c>
      <c r="N12" s="24" t="s">
        <v>33</v>
      </c>
      <c r="O12" s="24" t="s">
        <v>176</v>
      </c>
      <c r="P12" s="24" t="s">
        <v>18</v>
      </c>
      <c r="Q12" s="24" t="s">
        <v>19</v>
      </c>
      <c r="R12" s="24" t="s">
        <v>38</v>
      </c>
      <c r="T12" s="8">
        <f t="shared" si="8"/>
        <v>5</v>
      </c>
      <c r="U12" s="8">
        <f t="shared" si="9"/>
        <v>4</v>
      </c>
      <c r="V12" s="8">
        <f t="shared" si="10"/>
        <v>2</v>
      </c>
      <c r="W12" s="8">
        <f t="shared" si="11"/>
        <v>18</v>
      </c>
      <c r="X12" s="8">
        <f t="shared" si="12"/>
        <v>4</v>
      </c>
      <c r="Y12" s="8">
        <f t="shared" si="13"/>
        <v>5</v>
      </c>
      <c r="Z12" s="8">
        <f t="shared" si="14"/>
        <v>9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1</v>
      </c>
      <c r="AJ12" s="100" t="s">
        <v>162</v>
      </c>
      <c r="AK12" s="90">
        <v>10</v>
      </c>
      <c r="AL12" s="91">
        <v>40</v>
      </c>
      <c r="AM12" s="91">
        <v>40</v>
      </c>
      <c r="AN12" s="91">
        <v>40</v>
      </c>
      <c r="AO12" s="91">
        <v>8</v>
      </c>
      <c r="AP12" s="91">
        <v>40</v>
      </c>
      <c r="AQ12" s="92">
        <v>1</v>
      </c>
      <c r="AR12" s="78">
        <v>7</v>
      </c>
    </row>
    <row r="13" spans="1:44" ht="15.95" customHeight="1">
      <c r="A13" s="8" t="s">
        <v>27</v>
      </c>
      <c r="B13" s="15">
        <f t="shared" si="0"/>
        <v>0</v>
      </c>
      <c r="C13" s="15">
        <f t="shared" si="1"/>
        <v>5</v>
      </c>
      <c r="D13" s="15">
        <f t="shared" si="2"/>
        <v>13</v>
      </c>
      <c r="E13" s="15">
        <f t="shared" si="3"/>
        <v>12</v>
      </c>
      <c r="F13" s="15">
        <f t="shared" si="4"/>
        <v>3</v>
      </c>
      <c r="G13" s="15">
        <f t="shared" si="5"/>
        <v>9</v>
      </c>
      <c r="H13" s="15">
        <f t="shared" si="6"/>
        <v>12</v>
      </c>
      <c r="I13" s="7">
        <v>9</v>
      </c>
      <c r="K13" s="21">
        <v>9</v>
      </c>
      <c r="L13" s="24" t="s">
        <v>29</v>
      </c>
      <c r="M13" s="24" t="s">
        <v>162</v>
      </c>
      <c r="N13" s="24" t="s">
        <v>22</v>
      </c>
      <c r="O13" s="24" t="s">
        <v>176</v>
      </c>
      <c r="P13" s="24" t="s">
        <v>77</v>
      </c>
      <c r="Q13" s="24" t="s">
        <v>162</v>
      </c>
      <c r="R13" s="24" t="s">
        <v>38</v>
      </c>
      <c r="T13" s="8">
        <f t="shared" si="8"/>
        <v>11</v>
      </c>
      <c r="U13" s="8">
        <f t="shared" si="9"/>
        <v>7</v>
      </c>
      <c r="V13" s="8">
        <f t="shared" si="10"/>
        <v>3</v>
      </c>
      <c r="W13" s="8">
        <f t="shared" si="11"/>
        <v>18</v>
      </c>
      <c r="X13" s="8">
        <f t="shared" si="12"/>
        <v>6</v>
      </c>
      <c r="Y13" s="8">
        <f t="shared" si="13"/>
        <v>7</v>
      </c>
      <c r="Z13" s="8">
        <f t="shared" si="14"/>
        <v>9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91">
        <v>10</v>
      </c>
      <c r="AM13" s="91">
        <v>40</v>
      </c>
      <c r="AN13" s="91">
        <v>1</v>
      </c>
      <c r="AO13" s="91">
        <v>40</v>
      </c>
      <c r="AP13" s="91">
        <v>1</v>
      </c>
      <c r="AQ13" s="92">
        <v>1</v>
      </c>
      <c r="AR13" s="78">
        <v>8</v>
      </c>
    </row>
    <row r="14" spans="1:44" ht="15.95" customHeight="1">
      <c r="A14" s="8" t="s">
        <v>28</v>
      </c>
      <c r="B14" s="15">
        <f t="shared" si="0"/>
        <v>13</v>
      </c>
      <c r="C14" s="15">
        <f t="shared" si="1"/>
        <v>0</v>
      </c>
      <c r="D14" s="15">
        <f t="shared" si="2"/>
        <v>6</v>
      </c>
      <c r="E14" s="15">
        <f t="shared" si="3"/>
        <v>0</v>
      </c>
      <c r="F14" s="15">
        <f t="shared" si="4"/>
        <v>3</v>
      </c>
      <c r="G14" s="15">
        <f t="shared" si="5"/>
        <v>9</v>
      </c>
      <c r="H14" s="15">
        <f t="shared" si="6"/>
        <v>0</v>
      </c>
      <c r="I14" s="7">
        <v>10</v>
      </c>
      <c r="K14" s="22">
        <v>10</v>
      </c>
      <c r="L14" s="24" t="s">
        <v>34</v>
      </c>
      <c r="M14" s="24" t="s">
        <v>162</v>
      </c>
      <c r="N14" s="24" t="s">
        <v>27</v>
      </c>
      <c r="O14" s="24" t="s">
        <v>18</v>
      </c>
      <c r="P14" s="24" t="s">
        <v>22</v>
      </c>
      <c r="Q14" s="24" t="s">
        <v>28</v>
      </c>
      <c r="R14" s="24" t="s">
        <v>38</v>
      </c>
      <c r="T14" s="8">
        <f t="shared" si="8"/>
        <v>3</v>
      </c>
      <c r="U14" s="8">
        <f t="shared" si="9"/>
        <v>7</v>
      </c>
      <c r="V14" s="8">
        <f t="shared" si="10"/>
        <v>9</v>
      </c>
      <c r="W14" s="8">
        <f t="shared" si="11"/>
        <v>4</v>
      </c>
      <c r="X14" s="8">
        <f t="shared" si="12"/>
        <v>3</v>
      </c>
      <c r="Y14" s="8">
        <f t="shared" si="13"/>
        <v>10</v>
      </c>
      <c r="Z14" s="8">
        <f t="shared" si="14"/>
        <v>9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91">
        <v>8</v>
      </c>
      <c r="AM14" s="91">
        <v>25</v>
      </c>
      <c r="AN14" s="91">
        <v>10</v>
      </c>
      <c r="AO14" s="91">
        <v>1</v>
      </c>
      <c r="AP14" s="91">
        <v>40</v>
      </c>
      <c r="AQ14" s="92">
        <v>1</v>
      </c>
      <c r="AR14" s="78">
        <v>9</v>
      </c>
    </row>
    <row r="15" spans="1:44" ht="15.95" customHeight="1">
      <c r="A15" s="8" t="s">
        <v>29</v>
      </c>
      <c r="B15" s="15">
        <f t="shared" si="0"/>
        <v>13</v>
      </c>
      <c r="C15" s="15">
        <f t="shared" si="1"/>
        <v>0</v>
      </c>
      <c r="D15" s="15">
        <f t="shared" si="2"/>
        <v>0</v>
      </c>
      <c r="E15" s="15">
        <f t="shared" si="3"/>
        <v>0</v>
      </c>
      <c r="F15" s="15">
        <f t="shared" si="4"/>
        <v>0</v>
      </c>
      <c r="G15" s="15">
        <f t="shared" si="5"/>
        <v>6</v>
      </c>
      <c r="H15" s="15">
        <f t="shared" si="6"/>
        <v>0</v>
      </c>
      <c r="I15" s="7">
        <v>11</v>
      </c>
      <c r="K15" s="21">
        <v>11</v>
      </c>
      <c r="L15" s="24" t="s">
        <v>77</v>
      </c>
      <c r="M15" s="24" t="s">
        <v>38</v>
      </c>
      <c r="N15" s="24" t="s">
        <v>33</v>
      </c>
      <c r="O15" s="24" t="s">
        <v>18</v>
      </c>
      <c r="P15" s="24" t="s">
        <v>88</v>
      </c>
      <c r="Q15" s="24" t="s">
        <v>77</v>
      </c>
      <c r="R15" s="24" t="s">
        <v>38</v>
      </c>
      <c r="T15" s="8">
        <f t="shared" si="8"/>
        <v>6</v>
      </c>
      <c r="U15" s="8">
        <f t="shared" si="9"/>
        <v>9</v>
      </c>
      <c r="V15" s="8">
        <f t="shared" si="10"/>
        <v>2</v>
      </c>
      <c r="W15" s="8">
        <f t="shared" si="11"/>
        <v>4</v>
      </c>
      <c r="X15" s="8">
        <f t="shared" si="12"/>
        <v>20</v>
      </c>
      <c r="Y15" s="8">
        <f t="shared" si="13"/>
        <v>6</v>
      </c>
      <c r="Z15" s="8">
        <f t="shared" si="14"/>
        <v>9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91">
        <v>40</v>
      </c>
      <c r="AM15" s="91">
        <v>40</v>
      </c>
      <c r="AN15" s="91">
        <v>10</v>
      </c>
      <c r="AO15" s="91">
        <v>40</v>
      </c>
      <c r="AP15" s="91">
        <v>1</v>
      </c>
      <c r="AQ15" s="92">
        <v>1</v>
      </c>
      <c r="AR15" s="78">
        <v>10</v>
      </c>
    </row>
    <row r="16" spans="1:44" ht="15.95" customHeight="1">
      <c r="A16" s="8" t="s">
        <v>30</v>
      </c>
      <c r="B16" s="15">
        <f t="shared" si="0"/>
        <v>0</v>
      </c>
      <c r="C16" s="15">
        <f t="shared" si="1"/>
        <v>0</v>
      </c>
      <c r="D16" s="15">
        <f t="shared" si="2"/>
        <v>9</v>
      </c>
      <c r="E16" s="15">
        <f t="shared" si="3"/>
        <v>0</v>
      </c>
      <c r="F16" s="15">
        <f t="shared" si="4"/>
        <v>0</v>
      </c>
      <c r="G16" s="15">
        <f t="shared" si="5"/>
        <v>0</v>
      </c>
      <c r="H16" s="15">
        <f t="shared" si="6"/>
        <v>8</v>
      </c>
      <c r="I16" s="7">
        <v>12</v>
      </c>
      <c r="K16" s="22">
        <v>12</v>
      </c>
      <c r="L16" s="24" t="s">
        <v>77</v>
      </c>
      <c r="M16" s="24" t="s">
        <v>84</v>
      </c>
      <c r="N16" s="24" t="s">
        <v>85</v>
      </c>
      <c r="O16" s="24" t="s">
        <v>27</v>
      </c>
      <c r="P16" s="24" t="s">
        <v>88</v>
      </c>
      <c r="Q16" s="24" t="s">
        <v>27</v>
      </c>
      <c r="R16" s="24" t="s">
        <v>163</v>
      </c>
      <c r="T16" s="8">
        <f t="shared" si="8"/>
        <v>6</v>
      </c>
      <c r="U16" s="8">
        <f t="shared" si="9"/>
        <v>15</v>
      </c>
      <c r="V16" s="8">
        <f t="shared" si="10"/>
        <v>16</v>
      </c>
      <c r="W16" s="8">
        <f t="shared" si="11"/>
        <v>9</v>
      </c>
      <c r="X16" s="8">
        <f t="shared" si="12"/>
        <v>20</v>
      </c>
      <c r="Y16" s="8">
        <f t="shared" si="13"/>
        <v>9</v>
      </c>
      <c r="Z16" s="8">
        <f t="shared" si="14"/>
        <v>7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1</v>
      </c>
      <c r="AJ16" s="100" t="s">
        <v>29</v>
      </c>
      <c r="AK16" s="90">
        <v>40</v>
      </c>
      <c r="AL16" s="91">
        <v>40</v>
      </c>
      <c r="AM16" s="91">
        <v>40</v>
      </c>
      <c r="AN16" s="91">
        <v>1</v>
      </c>
      <c r="AO16" s="91">
        <v>1</v>
      </c>
      <c r="AP16" s="91">
        <v>1</v>
      </c>
      <c r="AQ16" s="92">
        <v>1</v>
      </c>
      <c r="AR16" s="78">
        <v>11</v>
      </c>
    </row>
    <row r="17" spans="1:44" ht="15.95" customHeight="1">
      <c r="A17" s="7" t="s">
        <v>82</v>
      </c>
      <c r="B17" s="15">
        <f t="shared" si="0"/>
        <v>0</v>
      </c>
      <c r="C17" s="15">
        <f t="shared" si="1"/>
        <v>3</v>
      </c>
      <c r="D17" s="15">
        <f t="shared" si="2"/>
        <v>0</v>
      </c>
      <c r="E17" s="15">
        <f t="shared" si="3"/>
        <v>9</v>
      </c>
      <c r="F17" s="15">
        <f t="shared" si="4"/>
        <v>0</v>
      </c>
      <c r="G17" s="15">
        <f t="shared" si="5"/>
        <v>0</v>
      </c>
      <c r="H17" s="15">
        <f t="shared" si="6"/>
        <v>0</v>
      </c>
      <c r="I17" s="7">
        <v>13</v>
      </c>
      <c r="K17" s="21">
        <v>13</v>
      </c>
      <c r="L17" s="24" t="s">
        <v>29</v>
      </c>
      <c r="M17" s="24" t="s">
        <v>84</v>
      </c>
      <c r="N17" s="24" t="s">
        <v>85</v>
      </c>
      <c r="O17" s="24" t="s">
        <v>162</v>
      </c>
      <c r="P17" s="24" t="s">
        <v>25</v>
      </c>
      <c r="Q17" s="24" t="s">
        <v>162</v>
      </c>
      <c r="R17" s="24" t="s">
        <v>162</v>
      </c>
      <c r="T17" s="8">
        <f t="shared" si="8"/>
        <v>11</v>
      </c>
      <c r="U17" s="8">
        <f t="shared" si="9"/>
        <v>15</v>
      </c>
      <c r="V17" s="8">
        <f t="shared" si="10"/>
        <v>16</v>
      </c>
      <c r="W17" s="8">
        <f t="shared" si="11"/>
        <v>7</v>
      </c>
      <c r="X17" s="8">
        <f t="shared" si="12"/>
        <v>8</v>
      </c>
      <c r="Y17" s="8">
        <f t="shared" si="13"/>
        <v>7</v>
      </c>
      <c r="Z17" s="8">
        <f t="shared" si="14"/>
        <v>7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91">
        <v>40</v>
      </c>
      <c r="AM17" s="91">
        <v>20</v>
      </c>
      <c r="AN17" s="91">
        <v>1</v>
      </c>
      <c r="AO17" s="91">
        <v>1</v>
      </c>
      <c r="AP17" s="91">
        <v>1</v>
      </c>
      <c r="AQ17" s="92">
        <v>1</v>
      </c>
      <c r="AR17" s="78">
        <v>12</v>
      </c>
    </row>
    <row r="18" spans="1:44" s="102" customFormat="1" ht="15.95" customHeight="1">
      <c r="A18" s="7" t="s">
        <v>83</v>
      </c>
      <c r="B18" s="15">
        <f t="shared" si="0"/>
        <v>0</v>
      </c>
      <c r="C18" s="15">
        <f t="shared" si="1"/>
        <v>0</v>
      </c>
      <c r="D18" s="15">
        <f t="shared" si="2"/>
        <v>0</v>
      </c>
      <c r="E18" s="15">
        <f t="shared" si="3"/>
        <v>0</v>
      </c>
      <c r="F18" s="15">
        <f t="shared" si="4"/>
        <v>9</v>
      </c>
      <c r="G18" s="15">
        <f t="shared" si="5"/>
        <v>0</v>
      </c>
      <c r="H18" s="15">
        <f t="shared" si="6"/>
        <v>0</v>
      </c>
      <c r="I18" s="7">
        <v>14</v>
      </c>
      <c r="K18" s="22">
        <v>14</v>
      </c>
      <c r="L18" s="24" t="s">
        <v>29</v>
      </c>
      <c r="M18" s="24" t="s">
        <v>38</v>
      </c>
      <c r="N18" s="24" t="s">
        <v>19</v>
      </c>
      <c r="O18" s="24" t="s">
        <v>162</v>
      </c>
      <c r="P18" s="24" t="s">
        <v>162</v>
      </c>
      <c r="Q18" s="24" t="s">
        <v>77</v>
      </c>
      <c r="R18" s="24" t="s">
        <v>162</v>
      </c>
      <c r="T18" s="8">
        <f t="shared" si="8"/>
        <v>11</v>
      </c>
      <c r="U18" s="8">
        <f t="shared" si="9"/>
        <v>9</v>
      </c>
      <c r="V18" s="8">
        <f t="shared" si="10"/>
        <v>5</v>
      </c>
      <c r="W18" s="8">
        <f t="shared" si="11"/>
        <v>7</v>
      </c>
      <c r="X18" s="8">
        <f t="shared" si="12"/>
        <v>7</v>
      </c>
      <c r="Y18" s="8">
        <f t="shared" si="13"/>
        <v>6</v>
      </c>
      <c r="Z18" s="8">
        <f t="shared" si="14"/>
        <v>7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91">
        <v>12</v>
      </c>
      <c r="AM18" s="91">
        <v>3</v>
      </c>
      <c r="AN18" s="91">
        <v>5</v>
      </c>
      <c r="AO18" s="91">
        <v>3</v>
      </c>
      <c r="AP18" s="91">
        <v>0</v>
      </c>
      <c r="AQ18" s="92">
        <v>0</v>
      </c>
      <c r="AR18" s="78">
        <v>13</v>
      </c>
    </row>
    <row r="19" spans="1:44" ht="15.95" customHeight="1">
      <c r="A19" s="52" t="s">
        <v>84</v>
      </c>
      <c r="B19" s="15">
        <f t="shared" si="0"/>
        <v>0</v>
      </c>
      <c r="C19" s="15">
        <f t="shared" si="1"/>
        <v>6</v>
      </c>
      <c r="D19" s="15">
        <f t="shared" si="2"/>
        <v>0</v>
      </c>
      <c r="E19" s="15">
        <f t="shared" si="3"/>
        <v>6</v>
      </c>
      <c r="F19" s="15">
        <f t="shared" si="4"/>
        <v>0</v>
      </c>
      <c r="G19" s="15">
        <f t="shared" si="5"/>
        <v>0</v>
      </c>
      <c r="H19" s="15">
        <f t="shared" si="6"/>
        <v>0</v>
      </c>
      <c r="I19" s="7">
        <v>15</v>
      </c>
      <c r="K19" s="21">
        <v>15</v>
      </c>
      <c r="L19" s="24" t="s">
        <v>78</v>
      </c>
      <c r="M19" s="24" t="s">
        <v>21</v>
      </c>
      <c r="N19" s="24" t="s">
        <v>27</v>
      </c>
      <c r="O19" s="24" t="s">
        <v>77</v>
      </c>
      <c r="P19" s="24" t="s">
        <v>85</v>
      </c>
      <c r="Q19" s="24" t="s">
        <v>18</v>
      </c>
      <c r="R19" s="24" t="s">
        <v>162</v>
      </c>
      <c r="T19" s="8">
        <f t="shared" si="8"/>
        <v>6</v>
      </c>
      <c r="U19" s="8">
        <f t="shared" si="9"/>
        <v>2</v>
      </c>
      <c r="V19" s="8">
        <f t="shared" si="10"/>
        <v>9</v>
      </c>
      <c r="W19" s="8">
        <f t="shared" si="11"/>
        <v>6</v>
      </c>
      <c r="X19" s="8">
        <f t="shared" si="12"/>
        <v>16</v>
      </c>
      <c r="Y19" s="8">
        <f t="shared" si="13"/>
        <v>4</v>
      </c>
      <c r="Z19" s="8">
        <f t="shared" si="14"/>
        <v>7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91">
        <v>8</v>
      </c>
      <c r="AM19" s="91">
        <v>15</v>
      </c>
      <c r="AN19" s="91">
        <v>2</v>
      </c>
      <c r="AO19" s="91">
        <v>2</v>
      </c>
      <c r="AP19" s="91">
        <v>0</v>
      </c>
      <c r="AQ19" s="92">
        <v>0</v>
      </c>
      <c r="AR19" s="78">
        <v>14</v>
      </c>
    </row>
    <row r="20" spans="1:44" ht="15.95" customHeight="1">
      <c r="A20" s="52" t="s">
        <v>85</v>
      </c>
      <c r="B20" s="15">
        <f t="shared" si="0"/>
        <v>0</v>
      </c>
      <c r="C20" s="15">
        <f t="shared" si="1"/>
        <v>0</v>
      </c>
      <c r="D20" s="15">
        <f t="shared" si="2"/>
        <v>6</v>
      </c>
      <c r="E20" s="15">
        <f t="shared" si="3"/>
        <v>0</v>
      </c>
      <c r="F20" s="15">
        <f t="shared" si="4"/>
        <v>12</v>
      </c>
      <c r="G20" s="15">
        <f t="shared" si="5"/>
        <v>0</v>
      </c>
      <c r="H20" s="15">
        <f t="shared" si="6"/>
        <v>0</v>
      </c>
      <c r="I20" s="7">
        <v>16</v>
      </c>
      <c r="K20" s="22">
        <v>16</v>
      </c>
      <c r="L20" s="24" t="s">
        <v>36</v>
      </c>
      <c r="M20" s="24" t="s">
        <v>88</v>
      </c>
      <c r="N20" s="24" t="s">
        <v>27</v>
      </c>
      <c r="O20" s="24" t="s">
        <v>77</v>
      </c>
      <c r="P20" s="24" t="s">
        <v>85</v>
      </c>
      <c r="Q20" s="24" t="s">
        <v>19</v>
      </c>
      <c r="R20" s="24" t="s">
        <v>26</v>
      </c>
      <c r="T20" s="8">
        <f t="shared" si="8"/>
        <v>5</v>
      </c>
      <c r="U20" s="8">
        <f t="shared" si="9"/>
        <v>20</v>
      </c>
      <c r="V20" s="8">
        <f t="shared" si="10"/>
        <v>9</v>
      </c>
      <c r="W20" s="8">
        <f t="shared" si="11"/>
        <v>6</v>
      </c>
      <c r="X20" s="8">
        <f t="shared" si="12"/>
        <v>16</v>
      </c>
      <c r="Y20" s="8">
        <f t="shared" si="13"/>
        <v>5</v>
      </c>
      <c r="Z20" s="8">
        <f t="shared" si="14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1</v>
      </c>
      <c r="AJ20" s="100" t="s">
        <v>84</v>
      </c>
      <c r="AK20" s="90">
        <v>0</v>
      </c>
      <c r="AL20" s="91">
        <v>2</v>
      </c>
      <c r="AM20" s="91">
        <v>7</v>
      </c>
      <c r="AN20" s="91">
        <v>1</v>
      </c>
      <c r="AO20" s="91">
        <v>2</v>
      </c>
      <c r="AP20" s="91">
        <v>0</v>
      </c>
      <c r="AQ20" s="92">
        <v>0</v>
      </c>
      <c r="AR20" s="78">
        <v>15</v>
      </c>
    </row>
    <row r="21" spans="1:44" ht="15.95" customHeight="1">
      <c r="A21" s="52" t="s">
        <v>175</v>
      </c>
      <c r="B21" s="15">
        <f t="shared" si="0"/>
        <v>0</v>
      </c>
      <c r="C21" s="15">
        <f t="shared" si="1"/>
        <v>0</v>
      </c>
      <c r="D21" s="15">
        <f t="shared" si="2"/>
        <v>0</v>
      </c>
      <c r="E21" s="15">
        <f t="shared" si="3"/>
        <v>0</v>
      </c>
      <c r="F21" s="15">
        <f t="shared" si="4"/>
        <v>0</v>
      </c>
      <c r="G21" s="15">
        <f t="shared" si="5"/>
        <v>0</v>
      </c>
      <c r="H21" s="15">
        <f t="shared" si="6"/>
        <v>0</v>
      </c>
      <c r="I21" s="7">
        <v>17</v>
      </c>
      <c r="K21" s="21">
        <v>17</v>
      </c>
      <c r="L21" s="24" t="s">
        <v>39</v>
      </c>
      <c r="M21" s="24" t="s">
        <v>88</v>
      </c>
      <c r="N21" s="24" t="s">
        <v>27</v>
      </c>
      <c r="O21" s="24" t="s">
        <v>77</v>
      </c>
      <c r="P21" s="24" t="s">
        <v>22</v>
      </c>
      <c r="Q21" s="24" t="s">
        <v>28</v>
      </c>
      <c r="R21" s="24" t="s">
        <v>26</v>
      </c>
      <c r="T21" s="8">
        <f t="shared" si="8"/>
        <v>10</v>
      </c>
      <c r="U21" s="8">
        <f t="shared" si="9"/>
        <v>20</v>
      </c>
      <c r="V21" s="8">
        <f t="shared" si="10"/>
        <v>9</v>
      </c>
      <c r="W21" s="8">
        <f t="shared" si="11"/>
        <v>6</v>
      </c>
      <c r="X21" s="8">
        <f t="shared" si="12"/>
        <v>3</v>
      </c>
      <c r="Y21" s="8">
        <f t="shared" si="13"/>
        <v>10</v>
      </c>
      <c r="Z21" s="8">
        <f t="shared" si="14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91">
        <v>5</v>
      </c>
      <c r="AM21" s="91">
        <v>5</v>
      </c>
      <c r="AN21" s="91">
        <v>5</v>
      </c>
      <c r="AO21" s="91">
        <v>2</v>
      </c>
      <c r="AP21" s="91">
        <v>0</v>
      </c>
      <c r="AQ21" s="92">
        <v>0</v>
      </c>
      <c r="AR21" s="78">
        <v>16</v>
      </c>
    </row>
    <row r="22" spans="1:44" ht="15.95" customHeight="1">
      <c r="A22" s="7" t="s">
        <v>177</v>
      </c>
      <c r="B22" s="15">
        <f t="shared" si="0"/>
        <v>0</v>
      </c>
      <c r="C22" s="15">
        <f t="shared" si="1"/>
        <v>0</v>
      </c>
      <c r="D22" s="15">
        <f t="shared" si="2"/>
        <v>0</v>
      </c>
      <c r="E22" s="15">
        <f t="shared" si="3"/>
        <v>6</v>
      </c>
      <c r="F22" s="15">
        <f t="shared" si="4"/>
        <v>0</v>
      </c>
      <c r="G22" s="15">
        <f t="shared" si="5"/>
        <v>0</v>
      </c>
      <c r="H22" s="15">
        <f t="shared" si="6"/>
        <v>0</v>
      </c>
      <c r="I22" s="7">
        <v>18</v>
      </c>
      <c r="K22" s="22">
        <v>18</v>
      </c>
      <c r="L22" s="24" t="s">
        <v>39</v>
      </c>
      <c r="M22" s="24" t="s">
        <v>38</v>
      </c>
      <c r="N22" s="24" t="s">
        <v>77</v>
      </c>
      <c r="O22" s="24" t="s">
        <v>84</v>
      </c>
      <c r="P22" s="24" t="s">
        <v>22</v>
      </c>
      <c r="Q22" s="24" t="s">
        <v>77</v>
      </c>
      <c r="R22" s="24" t="s">
        <v>26</v>
      </c>
      <c r="T22" s="8">
        <f t="shared" si="8"/>
        <v>10</v>
      </c>
      <c r="U22" s="8">
        <f t="shared" si="9"/>
        <v>9</v>
      </c>
      <c r="V22" s="8">
        <f t="shared" si="10"/>
        <v>6</v>
      </c>
      <c r="W22" s="8">
        <f t="shared" si="11"/>
        <v>15</v>
      </c>
      <c r="X22" s="8">
        <f t="shared" si="12"/>
        <v>3</v>
      </c>
      <c r="Y22" s="8">
        <f t="shared" si="13"/>
        <v>6</v>
      </c>
      <c r="Z22" s="8">
        <f t="shared" si="14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91">
        <v>2</v>
      </c>
      <c r="AM22" s="91">
        <v>2</v>
      </c>
      <c r="AN22" s="91">
        <v>1</v>
      </c>
      <c r="AO22" s="91">
        <v>3</v>
      </c>
      <c r="AP22" s="91">
        <v>0</v>
      </c>
      <c r="AQ22" s="92">
        <v>0</v>
      </c>
      <c r="AR22" s="78">
        <v>17</v>
      </c>
    </row>
    <row r="23" spans="1:44" ht="15.95" customHeight="1">
      <c r="A23" s="7" t="s">
        <v>87</v>
      </c>
      <c r="B23" s="15">
        <f t="shared" si="0"/>
        <v>0</v>
      </c>
      <c r="C23" s="15">
        <f t="shared" si="1"/>
        <v>6</v>
      </c>
      <c r="D23" s="15">
        <f t="shared" si="2"/>
        <v>0</v>
      </c>
      <c r="E23" s="15">
        <f t="shared" si="3"/>
        <v>0</v>
      </c>
      <c r="F23" s="15">
        <f t="shared" si="4"/>
        <v>0</v>
      </c>
      <c r="G23" s="15">
        <f t="shared" si="5"/>
        <v>0</v>
      </c>
      <c r="H23" s="15">
        <f t="shared" si="6"/>
        <v>0</v>
      </c>
      <c r="I23" s="7">
        <v>19</v>
      </c>
      <c r="K23" s="21">
        <v>19</v>
      </c>
      <c r="L23" s="24" t="s">
        <v>22</v>
      </c>
      <c r="M23" s="24" t="s">
        <v>162</v>
      </c>
      <c r="N23" s="24" t="s">
        <v>162</v>
      </c>
      <c r="O23" s="24" t="s">
        <v>84</v>
      </c>
      <c r="P23" s="24" t="s">
        <v>27</v>
      </c>
      <c r="Q23" s="24" t="s">
        <v>27</v>
      </c>
      <c r="R23" s="24" t="s">
        <v>26</v>
      </c>
      <c r="T23" s="8">
        <f t="shared" si="8"/>
        <v>3</v>
      </c>
      <c r="U23" s="8">
        <f t="shared" si="9"/>
        <v>7</v>
      </c>
      <c r="V23" s="8">
        <f t="shared" si="10"/>
        <v>7</v>
      </c>
      <c r="W23" s="8">
        <f t="shared" si="11"/>
        <v>15</v>
      </c>
      <c r="X23" s="8">
        <f t="shared" si="12"/>
        <v>9</v>
      </c>
      <c r="Y23" s="8">
        <f t="shared" si="13"/>
        <v>9</v>
      </c>
      <c r="Z23" s="8">
        <f t="shared" si="14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91">
        <v>2</v>
      </c>
      <c r="AM23" s="91">
        <v>2</v>
      </c>
      <c r="AN23" s="91">
        <v>1</v>
      </c>
      <c r="AO23" s="91">
        <v>3</v>
      </c>
      <c r="AP23" s="91">
        <v>0</v>
      </c>
      <c r="AQ23" s="92">
        <v>0</v>
      </c>
      <c r="AR23" s="78">
        <v>18</v>
      </c>
    </row>
    <row r="24" spans="1:44" ht="15.95" customHeight="1">
      <c r="A24" s="7" t="s">
        <v>88</v>
      </c>
      <c r="B24" s="15">
        <f t="shared" si="0"/>
        <v>0</v>
      </c>
      <c r="C24" s="15">
        <f t="shared" si="1"/>
        <v>6</v>
      </c>
      <c r="D24" s="15">
        <f t="shared" si="2"/>
        <v>0</v>
      </c>
      <c r="E24" s="15">
        <f t="shared" si="3"/>
        <v>0</v>
      </c>
      <c r="F24" s="15">
        <f t="shared" si="4"/>
        <v>6</v>
      </c>
      <c r="G24" s="15">
        <f t="shared" si="5"/>
        <v>0</v>
      </c>
      <c r="H24" s="15">
        <f t="shared" si="6"/>
        <v>0</v>
      </c>
      <c r="I24" s="7">
        <v>20</v>
      </c>
      <c r="K24" s="22">
        <v>20</v>
      </c>
      <c r="L24" s="24" t="s">
        <v>34</v>
      </c>
      <c r="M24" s="24" t="s">
        <v>195</v>
      </c>
      <c r="N24" s="24" t="s">
        <v>162</v>
      </c>
      <c r="O24" s="24" t="s">
        <v>77</v>
      </c>
      <c r="P24" s="24" t="s">
        <v>83</v>
      </c>
      <c r="Q24" s="24" t="s">
        <v>162</v>
      </c>
      <c r="R24" s="24" t="s">
        <v>35</v>
      </c>
      <c r="T24" s="8">
        <f t="shared" si="8"/>
        <v>3</v>
      </c>
      <c r="U24" s="8">
        <f t="shared" si="9"/>
        <v>19</v>
      </c>
      <c r="V24" s="8">
        <f t="shared" si="10"/>
        <v>7</v>
      </c>
      <c r="W24" s="8">
        <f t="shared" si="11"/>
        <v>6</v>
      </c>
      <c r="X24" s="8">
        <f t="shared" si="12"/>
        <v>14</v>
      </c>
      <c r="Y24" s="8">
        <f t="shared" si="13"/>
        <v>7</v>
      </c>
      <c r="Z24" s="8">
        <f t="shared" si="14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1</v>
      </c>
      <c r="AJ24" s="100" t="s">
        <v>87</v>
      </c>
      <c r="AK24" s="90">
        <v>0</v>
      </c>
      <c r="AL24" s="91">
        <v>5</v>
      </c>
      <c r="AM24" s="91">
        <v>6</v>
      </c>
      <c r="AN24" s="91">
        <v>1</v>
      </c>
      <c r="AO24" s="91">
        <v>3</v>
      </c>
      <c r="AP24" s="91">
        <v>0</v>
      </c>
      <c r="AQ24" s="92">
        <v>0</v>
      </c>
      <c r="AR24" s="78">
        <v>19</v>
      </c>
    </row>
    <row r="25" spans="1:44" ht="16.5" customHeight="1">
      <c r="A25" s="7" t="s">
        <v>89</v>
      </c>
      <c r="B25" s="15">
        <f t="shared" si="0"/>
        <v>0</v>
      </c>
      <c r="C25" s="15">
        <f t="shared" si="1"/>
        <v>0</v>
      </c>
      <c r="D25" s="15">
        <f t="shared" si="2"/>
        <v>0</v>
      </c>
      <c r="E25" s="15">
        <f t="shared" si="3"/>
        <v>0</v>
      </c>
      <c r="F25" s="15">
        <f t="shared" si="4"/>
        <v>0</v>
      </c>
      <c r="G25" s="15">
        <f t="shared" si="5"/>
        <v>0</v>
      </c>
      <c r="H25" s="15">
        <f t="shared" si="6"/>
        <v>0</v>
      </c>
      <c r="I25" s="7">
        <v>21</v>
      </c>
      <c r="K25" s="21">
        <v>21</v>
      </c>
      <c r="L25" s="24" t="s">
        <v>36</v>
      </c>
      <c r="M25" s="24" t="s">
        <v>87</v>
      </c>
      <c r="N25" s="24" t="s">
        <v>30</v>
      </c>
      <c r="O25" s="24" t="s">
        <v>82</v>
      </c>
      <c r="P25" s="24" t="s">
        <v>83</v>
      </c>
      <c r="Q25" s="24" t="s">
        <v>25</v>
      </c>
      <c r="R25" s="24" t="s">
        <v>35</v>
      </c>
      <c r="T25" s="8">
        <f t="shared" si="8"/>
        <v>5</v>
      </c>
      <c r="U25" s="8">
        <f t="shared" si="9"/>
        <v>19</v>
      </c>
      <c r="V25" s="8">
        <f t="shared" si="10"/>
        <v>12</v>
      </c>
      <c r="W25" s="8">
        <f t="shared" si="11"/>
        <v>13</v>
      </c>
      <c r="X25" s="8">
        <f t="shared" si="12"/>
        <v>14</v>
      </c>
      <c r="Y25" s="8">
        <f t="shared" si="13"/>
        <v>8</v>
      </c>
      <c r="Z25" s="8">
        <f t="shared" si="14"/>
        <v>4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91">
        <v>2</v>
      </c>
      <c r="AM25" s="91">
        <v>6</v>
      </c>
      <c r="AN25" s="91">
        <v>2</v>
      </c>
      <c r="AO25" s="91">
        <v>2</v>
      </c>
      <c r="AP25" s="91">
        <v>0</v>
      </c>
      <c r="AQ25" s="92">
        <v>0</v>
      </c>
      <c r="AR25" s="78">
        <v>20</v>
      </c>
    </row>
    <row r="26" spans="1:44" ht="16.5" customHeight="1">
      <c r="A26" s="7" t="s">
        <v>90</v>
      </c>
      <c r="B26" s="15">
        <f t="shared" si="0"/>
        <v>0</v>
      </c>
      <c r="C26" s="15">
        <f t="shared" si="1"/>
        <v>0</v>
      </c>
      <c r="D26" s="15">
        <f t="shared" si="2"/>
        <v>0</v>
      </c>
      <c r="E26" s="15">
        <f t="shared" si="3"/>
        <v>0</v>
      </c>
      <c r="F26" s="15">
        <f t="shared" si="4"/>
        <v>0</v>
      </c>
      <c r="G26" s="15">
        <f t="shared" si="5"/>
        <v>0</v>
      </c>
      <c r="H26" s="15">
        <f t="shared" si="6"/>
        <v>0</v>
      </c>
      <c r="I26" s="7">
        <v>22</v>
      </c>
      <c r="K26" s="22">
        <v>22</v>
      </c>
      <c r="L26" s="24" t="s">
        <v>39</v>
      </c>
      <c r="M26" s="24" t="s">
        <v>87</v>
      </c>
      <c r="N26" s="24" t="s">
        <v>30</v>
      </c>
      <c r="O26" s="24" t="s">
        <v>82</v>
      </c>
      <c r="P26" s="24" t="s">
        <v>83</v>
      </c>
      <c r="Q26" s="24" t="s">
        <v>19</v>
      </c>
      <c r="R26" s="24" t="s">
        <v>35</v>
      </c>
      <c r="T26" s="8">
        <f t="shared" si="8"/>
        <v>10</v>
      </c>
      <c r="U26" s="8">
        <f t="shared" si="9"/>
        <v>19</v>
      </c>
      <c r="V26" s="8">
        <f t="shared" si="10"/>
        <v>12</v>
      </c>
      <c r="W26" s="8">
        <f t="shared" si="11"/>
        <v>13</v>
      </c>
      <c r="X26" s="8">
        <f t="shared" si="12"/>
        <v>14</v>
      </c>
      <c r="Y26" s="8">
        <f t="shared" si="13"/>
        <v>5</v>
      </c>
      <c r="Z26" s="8">
        <f t="shared" si="14"/>
        <v>4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91">
        <v>10</v>
      </c>
      <c r="AM26" s="91">
        <v>6</v>
      </c>
      <c r="AN26" s="91">
        <v>1</v>
      </c>
      <c r="AO26" s="91">
        <v>4</v>
      </c>
      <c r="AP26" s="91">
        <v>0</v>
      </c>
      <c r="AQ26" s="92">
        <v>0</v>
      </c>
      <c r="AR26" s="78">
        <v>21</v>
      </c>
    </row>
    <row r="27" spans="1:44" ht="16.5" customHeight="1">
      <c r="A27" s="7" t="s">
        <v>91</v>
      </c>
      <c r="B27" s="15">
        <f t="shared" si="0"/>
        <v>0</v>
      </c>
      <c r="C27" s="15">
        <f t="shared" si="1"/>
        <v>0</v>
      </c>
      <c r="D27" s="15">
        <f t="shared" si="2"/>
        <v>0</v>
      </c>
      <c r="E27" s="15">
        <f t="shared" si="3"/>
        <v>0</v>
      </c>
      <c r="F27" s="15">
        <f t="shared" si="4"/>
        <v>0</v>
      </c>
      <c r="G27" s="15">
        <f t="shared" si="5"/>
        <v>0</v>
      </c>
      <c r="H27" s="15">
        <f t="shared" si="6"/>
        <v>0</v>
      </c>
      <c r="I27" s="7">
        <v>23</v>
      </c>
      <c r="K27" s="21">
        <v>23</v>
      </c>
      <c r="L27" s="24" t="s">
        <v>39</v>
      </c>
      <c r="M27" s="24" t="s">
        <v>33</v>
      </c>
      <c r="N27" s="24" t="s">
        <v>30</v>
      </c>
      <c r="O27" s="24" t="s">
        <v>82</v>
      </c>
      <c r="P27" s="24" t="s">
        <v>85</v>
      </c>
      <c r="Q27" s="24" t="s">
        <v>28</v>
      </c>
      <c r="R27" s="24" t="s">
        <v>35</v>
      </c>
      <c r="T27" s="8">
        <f t="shared" si="8"/>
        <v>10</v>
      </c>
      <c r="U27" s="8">
        <f t="shared" si="9"/>
        <v>2</v>
      </c>
      <c r="V27" s="8">
        <f t="shared" si="10"/>
        <v>12</v>
      </c>
      <c r="W27" s="8">
        <f t="shared" si="11"/>
        <v>13</v>
      </c>
      <c r="X27" s="8">
        <f t="shared" si="12"/>
        <v>16</v>
      </c>
      <c r="Y27" s="8">
        <f t="shared" si="13"/>
        <v>10</v>
      </c>
      <c r="Z27" s="8">
        <f t="shared" si="14"/>
        <v>4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91">
        <v>5</v>
      </c>
      <c r="AM27" s="91">
        <v>6</v>
      </c>
      <c r="AN27" s="91">
        <v>1</v>
      </c>
      <c r="AO27" s="91">
        <v>2</v>
      </c>
      <c r="AP27" s="91">
        <v>0</v>
      </c>
      <c r="AQ27" s="92">
        <v>0</v>
      </c>
      <c r="AR27" s="78">
        <v>22</v>
      </c>
    </row>
    <row r="28" spans="1:44" ht="16.5" customHeight="1" thickBot="1">
      <c r="A28" s="7" t="s">
        <v>92</v>
      </c>
      <c r="B28" s="15">
        <f t="shared" si="0"/>
        <v>0</v>
      </c>
      <c r="C28" s="15">
        <f t="shared" si="1"/>
        <v>0</v>
      </c>
      <c r="D28" s="15">
        <f t="shared" si="2"/>
        <v>0</v>
      </c>
      <c r="E28" s="15">
        <f t="shared" si="3"/>
        <v>0</v>
      </c>
      <c r="F28" s="15">
        <f t="shared" si="4"/>
        <v>0</v>
      </c>
      <c r="G28" s="15">
        <f t="shared" si="5"/>
        <v>0</v>
      </c>
      <c r="H28" s="15">
        <f t="shared" si="6"/>
        <v>0</v>
      </c>
      <c r="I28" s="7">
        <v>24</v>
      </c>
      <c r="K28" s="22">
        <v>24</v>
      </c>
      <c r="L28" s="24" t="s">
        <v>29</v>
      </c>
      <c r="M28" s="24" t="s">
        <v>33</v>
      </c>
      <c r="N28" s="24" t="s">
        <v>162</v>
      </c>
      <c r="O28" s="24" t="s">
        <v>25</v>
      </c>
      <c r="P28" s="24" t="s">
        <v>85</v>
      </c>
      <c r="Q28" s="24" t="s">
        <v>29</v>
      </c>
      <c r="R28" s="24" t="s">
        <v>41</v>
      </c>
      <c r="T28" s="8">
        <f t="shared" si="8"/>
        <v>11</v>
      </c>
      <c r="U28" s="8">
        <f t="shared" si="9"/>
        <v>2</v>
      </c>
      <c r="V28" s="8">
        <f t="shared" si="10"/>
        <v>7</v>
      </c>
      <c r="W28" s="8">
        <f t="shared" si="11"/>
        <v>8</v>
      </c>
      <c r="X28" s="8">
        <f t="shared" si="12"/>
        <v>16</v>
      </c>
      <c r="Y28" s="8">
        <f t="shared" si="13"/>
        <v>11</v>
      </c>
      <c r="Z28" s="8">
        <f t="shared" si="14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1</v>
      </c>
      <c r="AJ28" s="101" t="s">
        <v>91</v>
      </c>
      <c r="AK28" s="93">
        <v>0</v>
      </c>
      <c r="AL28" s="94">
        <v>2</v>
      </c>
      <c r="AM28" s="94">
        <v>6</v>
      </c>
      <c r="AN28" s="94">
        <v>1</v>
      </c>
      <c r="AO28" s="94">
        <v>2</v>
      </c>
      <c r="AP28" s="94">
        <v>0</v>
      </c>
      <c r="AQ28" s="95">
        <v>0</v>
      </c>
      <c r="AR28" s="178">
        <v>23</v>
      </c>
    </row>
    <row r="29" spans="1:44" ht="16.5" customHeight="1">
      <c r="A29" s="7" t="s">
        <v>93</v>
      </c>
      <c r="B29" s="15">
        <f t="shared" si="0"/>
        <v>0</v>
      </c>
      <c r="C29" s="15">
        <f t="shared" si="1"/>
        <v>0</v>
      </c>
      <c r="D29" s="15">
        <f t="shared" si="2"/>
        <v>0</v>
      </c>
      <c r="E29" s="15">
        <f t="shared" si="3"/>
        <v>0</v>
      </c>
      <c r="F29" s="15">
        <f t="shared" si="4"/>
        <v>0</v>
      </c>
      <c r="G29" s="15">
        <f t="shared" si="5"/>
        <v>0</v>
      </c>
      <c r="H29" s="15">
        <f t="shared" si="6"/>
        <v>0</v>
      </c>
      <c r="I29" s="7">
        <v>25</v>
      </c>
      <c r="K29" s="21">
        <v>25</v>
      </c>
      <c r="L29" s="24" t="s">
        <v>34</v>
      </c>
      <c r="M29" s="24" t="s">
        <v>33</v>
      </c>
      <c r="N29" s="24" t="s">
        <v>162</v>
      </c>
      <c r="O29" s="24" t="s">
        <v>27</v>
      </c>
      <c r="P29" s="24" t="s">
        <v>28</v>
      </c>
      <c r="Q29" s="24" t="s">
        <v>29</v>
      </c>
      <c r="R29" s="24" t="s">
        <v>41</v>
      </c>
      <c r="T29" s="8">
        <f t="shared" si="8"/>
        <v>3</v>
      </c>
      <c r="U29" s="8">
        <f t="shared" si="9"/>
        <v>2</v>
      </c>
      <c r="V29" s="8">
        <f t="shared" si="10"/>
        <v>7</v>
      </c>
      <c r="W29" s="8">
        <f t="shared" si="11"/>
        <v>9</v>
      </c>
      <c r="X29" s="8">
        <f t="shared" si="12"/>
        <v>10</v>
      </c>
      <c r="Y29" s="8">
        <f t="shared" si="13"/>
        <v>11</v>
      </c>
      <c r="Z29" s="8">
        <f t="shared" si="14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</row>
    <row r="30" spans="1:44" ht="16.5" customHeight="1" thickBot="1">
      <c r="I30" s="18"/>
      <c r="K30" s="22">
        <v>26</v>
      </c>
      <c r="L30" s="24" t="s">
        <v>22</v>
      </c>
      <c r="M30" s="24" t="s">
        <v>35</v>
      </c>
      <c r="N30" s="24" t="s">
        <v>28</v>
      </c>
      <c r="O30" s="24" t="s">
        <v>27</v>
      </c>
      <c r="P30" s="24" t="s">
        <v>18</v>
      </c>
      <c r="Q30" s="24" t="s">
        <v>162</v>
      </c>
      <c r="R30" s="24" t="s">
        <v>41</v>
      </c>
      <c r="T30" s="8">
        <f t="shared" si="8"/>
        <v>3</v>
      </c>
      <c r="U30" s="8">
        <f t="shared" si="9"/>
        <v>4</v>
      </c>
      <c r="V30" s="8">
        <f t="shared" si="10"/>
        <v>10</v>
      </c>
      <c r="W30" s="8">
        <f t="shared" si="11"/>
        <v>9</v>
      </c>
      <c r="X30" s="8">
        <f t="shared" si="12"/>
        <v>4</v>
      </c>
      <c r="Y30" s="8">
        <f t="shared" si="13"/>
        <v>7</v>
      </c>
      <c r="Z30" s="8">
        <f t="shared" si="14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</row>
    <row r="31" spans="1:44" ht="16.5" customHeight="1">
      <c r="A31" s="7" t="s">
        <v>118</v>
      </c>
      <c r="B31" s="20" t="s">
        <v>13</v>
      </c>
      <c r="C31" s="20" t="s">
        <v>7</v>
      </c>
      <c r="D31" s="20" t="s">
        <v>8</v>
      </c>
      <c r="E31" s="20" t="s">
        <v>9</v>
      </c>
      <c r="F31" s="20" t="s">
        <v>10</v>
      </c>
      <c r="G31" s="20" t="s">
        <v>59</v>
      </c>
      <c r="I31" s="18"/>
      <c r="K31" s="21">
        <v>27</v>
      </c>
      <c r="L31" s="24" t="s">
        <v>36</v>
      </c>
      <c r="M31" s="24" t="s">
        <v>18</v>
      </c>
      <c r="N31" s="24" t="s">
        <v>28</v>
      </c>
      <c r="O31" s="24" t="s">
        <v>27</v>
      </c>
      <c r="P31" s="24" t="s">
        <v>18</v>
      </c>
      <c r="Q31" s="24" t="s">
        <v>27</v>
      </c>
      <c r="R31" s="24" t="s">
        <v>41</v>
      </c>
      <c r="T31" s="8">
        <f t="shared" si="8"/>
        <v>5</v>
      </c>
      <c r="U31" s="8">
        <f t="shared" si="9"/>
        <v>4</v>
      </c>
      <c r="V31" s="8">
        <f t="shared" si="10"/>
        <v>10</v>
      </c>
      <c r="W31" s="8">
        <f t="shared" si="11"/>
        <v>9</v>
      </c>
      <c r="X31" s="8">
        <f t="shared" si="12"/>
        <v>4</v>
      </c>
      <c r="Y31" s="8">
        <f t="shared" si="13"/>
        <v>9</v>
      </c>
      <c r="Z31" s="8">
        <f t="shared" si="14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</row>
    <row r="32" spans="1:44" ht="16.5" customHeight="1" thickBot="1">
      <c r="A32" s="7" t="s">
        <v>103</v>
      </c>
      <c r="B32" s="13">
        <v>0</v>
      </c>
      <c r="C32" s="13">
        <v>390</v>
      </c>
      <c r="D32" s="13">
        <v>390</v>
      </c>
      <c r="E32" s="13">
        <v>185</v>
      </c>
      <c r="F32" s="13">
        <v>120</v>
      </c>
      <c r="G32" s="13">
        <v>0</v>
      </c>
      <c r="K32" s="22">
        <v>28</v>
      </c>
      <c r="L32" s="24" t="s">
        <v>36</v>
      </c>
      <c r="M32" s="24" t="s">
        <v>18</v>
      </c>
      <c r="N32" s="24" t="s">
        <v>22</v>
      </c>
      <c r="O32" s="24" t="s">
        <v>176</v>
      </c>
      <c r="P32" s="24" t="s">
        <v>18</v>
      </c>
      <c r="Q32" s="24" t="s">
        <v>19</v>
      </c>
      <c r="R32" s="24" t="s">
        <v>26</v>
      </c>
      <c r="T32" s="8">
        <f t="shared" si="8"/>
        <v>5</v>
      </c>
      <c r="U32" s="8">
        <f t="shared" si="9"/>
        <v>4</v>
      </c>
      <c r="V32" s="8">
        <f t="shared" si="10"/>
        <v>3</v>
      </c>
      <c r="W32" s="8">
        <f t="shared" si="11"/>
        <v>18</v>
      </c>
      <c r="X32" s="8">
        <f t="shared" si="12"/>
        <v>4</v>
      </c>
      <c r="Y32" s="8">
        <f t="shared" si="13"/>
        <v>5</v>
      </c>
      <c r="Z32" s="8">
        <f t="shared" si="14"/>
        <v>8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1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</row>
    <row r="33" spans="1:44" ht="16.5" customHeight="1" thickBot="1">
      <c r="A33" s="7" t="s">
        <v>106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K33" s="21">
        <v>29</v>
      </c>
      <c r="L33" s="24" t="s">
        <v>29</v>
      </c>
      <c r="M33" s="24" t="s">
        <v>162</v>
      </c>
      <c r="N33" s="24" t="s">
        <v>22</v>
      </c>
      <c r="O33" s="24" t="s">
        <v>176</v>
      </c>
      <c r="P33" s="24" t="s">
        <v>77</v>
      </c>
      <c r="Q33" s="24" t="s">
        <v>162</v>
      </c>
      <c r="R33" s="24" t="s">
        <v>26</v>
      </c>
      <c r="T33" s="8">
        <f t="shared" si="8"/>
        <v>11</v>
      </c>
      <c r="U33" s="8">
        <f t="shared" si="9"/>
        <v>7</v>
      </c>
      <c r="V33" s="8">
        <f t="shared" si="10"/>
        <v>3</v>
      </c>
      <c r="W33" s="8">
        <f t="shared" si="11"/>
        <v>18</v>
      </c>
      <c r="X33" s="8">
        <f t="shared" si="12"/>
        <v>6</v>
      </c>
      <c r="Y33" s="8">
        <f t="shared" si="13"/>
        <v>7</v>
      </c>
      <c r="Z33" s="8">
        <f t="shared" si="14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</row>
    <row r="34" spans="1:44" ht="16.5" customHeight="1">
      <c r="A34" s="7" t="s">
        <v>104</v>
      </c>
      <c r="B34" s="13">
        <v>0</v>
      </c>
      <c r="C34" s="13">
        <v>2035</v>
      </c>
      <c r="D34" s="13">
        <v>2010</v>
      </c>
      <c r="E34" s="13">
        <v>1125</v>
      </c>
      <c r="F34" s="13">
        <v>860</v>
      </c>
      <c r="G34" s="13">
        <v>0</v>
      </c>
      <c r="K34" s="22">
        <v>30</v>
      </c>
      <c r="L34" s="24" t="s">
        <v>78</v>
      </c>
      <c r="M34" s="24" t="s">
        <v>162</v>
      </c>
      <c r="N34" s="24" t="s">
        <v>27</v>
      </c>
      <c r="O34" s="24" t="s">
        <v>18</v>
      </c>
      <c r="P34" s="24" t="s">
        <v>22</v>
      </c>
      <c r="Q34" s="24" t="s">
        <v>28</v>
      </c>
      <c r="R34" s="24" t="s">
        <v>26</v>
      </c>
      <c r="T34" s="8">
        <f t="shared" si="8"/>
        <v>6</v>
      </c>
      <c r="U34" s="8">
        <f t="shared" si="9"/>
        <v>7</v>
      </c>
      <c r="V34" s="8">
        <f t="shared" si="10"/>
        <v>9</v>
      </c>
      <c r="W34" s="8">
        <f t="shared" si="11"/>
        <v>4</v>
      </c>
      <c r="X34" s="8">
        <f t="shared" si="12"/>
        <v>3</v>
      </c>
      <c r="Y34" s="8">
        <f t="shared" si="13"/>
        <v>10</v>
      </c>
      <c r="Z34" s="8">
        <f t="shared" si="14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</row>
    <row r="35" spans="1:44" ht="16.5" customHeight="1">
      <c r="A35" s="7" t="s">
        <v>107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24" t="s">
        <v>77</v>
      </c>
      <c r="M35" s="24" t="s">
        <v>26</v>
      </c>
      <c r="N35" s="24" t="s">
        <v>27</v>
      </c>
      <c r="O35" s="24" t="s">
        <v>18</v>
      </c>
      <c r="P35" s="24" t="s">
        <v>88</v>
      </c>
      <c r="Q35" s="24" t="s">
        <v>77</v>
      </c>
      <c r="R35" s="24" t="s">
        <v>26</v>
      </c>
      <c r="T35" s="8">
        <f t="shared" si="8"/>
        <v>6</v>
      </c>
      <c r="U35" s="8">
        <f t="shared" si="9"/>
        <v>8</v>
      </c>
      <c r="V35" s="8">
        <f t="shared" si="10"/>
        <v>9</v>
      </c>
      <c r="W35" s="8">
        <f t="shared" si="11"/>
        <v>4</v>
      </c>
      <c r="X35" s="8">
        <f t="shared" si="12"/>
        <v>20</v>
      </c>
      <c r="Y35" s="8">
        <f t="shared" si="13"/>
        <v>6</v>
      </c>
      <c r="Z35" s="8">
        <f t="shared" si="14"/>
        <v>8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75">
        <v>5</v>
      </c>
      <c r="AL35" s="76">
        <v>5</v>
      </c>
      <c r="AM35" s="76">
        <v>5</v>
      </c>
      <c r="AN35" s="76">
        <v>5</v>
      </c>
      <c r="AO35" s="76">
        <v>5</v>
      </c>
      <c r="AP35" s="76">
        <v>5</v>
      </c>
      <c r="AQ35" s="77">
        <v>0</v>
      </c>
      <c r="AR35" s="78">
        <v>1</v>
      </c>
    </row>
    <row r="36" spans="1:44" ht="16.5" customHeight="1">
      <c r="A36" s="7" t="s">
        <v>105</v>
      </c>
      <c r="B36" s="13">
        <v>0</v>
      </c>
      <c r="C36" s="13">
        <v>290</v>
      </c>
      <c r="D36" s="13">
        <v>283</v>
      </c>
      <c r="E36" s="13">
        <v>803</v>
      </c>
      <c r="F36" s="13">
        <v>520</v>
      </c>
      <c r="G36" s="13">
        <v>0</v>
      </c>
      <c r="K36" s="22">
        <v>32</v>
      </c>
      <c r="L36" s="24" t="s">
        <v>77</v>
      </c>
      <c r="M36" s="24" t="s">
        <v>84</v>
      </c>
      <c r="N36" s="24" t="s">
        <v>85</v>
      </c>
      <c r="O36" s="24" t="s">
        <v>27</v>
      </c>
      <c r="P36" s="24" t="s">
        <v>88</v>
      </c>
      <c r="Q36" s="24" t="s">
        <v>27</v>
      </c>
      <c r="R36" s="24" t="s">
        <v>38</v>
      </c>
      <c r="T36" s="8">
        <f t="shared" si="8"/>
        <v>6</v>
      </c>
      <c r="U36" s="8">
        <f t="shared" si="9"/>
        <v>15</v>
      </c>
      <c r="V36" s="8">
        <f t="shared" si="10"/>
        <v>16</v>
      </c>
      <c r="W36" s="8">
        <f t="shared" si="11"/>
        <v>9</v>
      </c>
      <c r="X36" s="8">
        <f t="shared" si="12"/>
        <v>20</v>
      </c>
      <c r="Y36" s="8">
        <f t="shared" si="13"/>
        <v>9</v>
      </c>
      <c r="Z36" s="8">
        <f t="shared" si="14"/>
        <v>9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1</v>
      </c>
      <c r="AJ36" s="74" t="s">
        <v>21</v>
      </c>
      <c r="AK36" s="75">
        <v>15</v>
      </c>
      <c r="AL36" s="76">
        <v>42</v>
      </c>
      <c r="AM36" s="76">
        <v>20</v>
      </c>
      <c r="AN36" s="76">
        <v>10</v>
      </c>
      <c r="AO36" s="76">
        <v>40</v>
      </c>
      <c r="AP36" s="76">
        <v>5</v>
      </c>
      <c r="AQ36" s="77">
        <v>1</v>
      </c>
      <c r="AR36" s="78">
        <v>2</v>
      </c>
    </row>
    <row r="37" spans="1:44" ht="16.5" customHeight="1">
      <c r="A37" s="7" t="s">
        <v>108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24" t="s">
        <v>29</v>
      </c>
      <c r="M37" s="24" t="s">
        <v>84</v>
      </c>
      <c r="N37" s="24" t="s">
        <v>85</v>
      </c>
      <c r="O37" s="24" t="s">
        <v>162</v>
      </c>
      <c r="P37" s="24" t="s">
        <v>25</v>
      </c>
      <c r="Q37" s="24" t="s">
        <v>162</v>
      </c>
      <c r="R37" s="24" t="s">
        <v>38</v>
      </c>
      <c r="T37" s="8">
        <f t="shared" si="8"/>
        <v>11</v>
      </c>
      <c r="U37" s="8">
        <f t="shared" si="9"/>
        <v>15</v>
      </c>
      <c r="V37" s="8">
        <f t="shared" si="10"/>
        <v>16</v>
      </c>
      <c r="W37" s="8">
        <f t="shared" si="11"/>
        <v>7</v>
      </c>
      <c r="X37" s="8">
        <f t="shared" si="12"/>
        <v>8</v>
      </c>
      <c r="Y37" s="8">
        <f t="shared" si="13"/>
        <v>7</v>
      </c>
      <c r="Z37" s="8">
        <f t="shared" si="14"/>
        <v>9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75">
        <v>40</v>
      </c>
      <c r="AL37" s="76">
        <v>15</v>
      </c>
      <c r="AM37" s="76">
        <v>40</v>
      </c>
      <c r="AN37" s="76">
        <v>42</v>
      </c>
      <c r="AO37" s="76">
        <v>40</v>
      </c>
      <c r="AP37" s="76">
        <v>5</v>
      </c>
      <c r="AQ37" s="77">
        <v>1</v>
      </c>
      <c r="AR37" s="78">
        <v>3</v>
      </c>
    </row>
    <row r="38" spans="1:44" ht="16.5" customHeight="1">
      <c r="A38" s="7" t="s">
        <v>109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24" t="s">
        <v>29</v>
      </c>
      <c r="M38" s="24" t="s">
        <v>38</v>
      </c>
      <c r="N38" s="24" t="s">
        <v>19</v>
      </c>
      <c r="O38" s="24" t="s">
        <v>162</v>
      </c>
      <c r="P38" s="24" t="s">
        <v>162</v>
      </c>
      <c r="Q38" s="24" t="s">
        <v>77</v>
      </c>
      <c r="R38" s="24" t="s">
        <v>38</v>
      </c>
      <c r="T38" s="8">
        <f t="shared" si="8"/>
        <v>11</v>
      </c>
      <c r="U38" s="8">
        <f t="shared" si="9"/>
        <v>9</v>
      </c>
      <c r="V38" s="8">
        <f t="shared" si="10"/>
        <v>5</v>
      </c>
      <c r="W38" s="8">
        <f t="shared" si="11"/>
        <v>7</v>
      </c>
      <c r="X38" s="8">
        <f t="shared" si="12"/>
        <v>7</v>
      </c>
      <c r="Y38" s="8">
        <f t="shared" si="13"/>
        <v>6</v>
      </c>
      <c r="Z38" s="8">
        <f t="shared" si="14"/>
        <v>9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75">
        <v>15</v>
      </c>
      <c r="AL38" s="76">
        <v>40</v>
      </c>
      <c r="AM38" s="76">
        <v>20</v>
      </c>
      <c r="AN38" s="76">
        <v>10</v>
      </c>
      <c r="AO38" s="76">
        <v>5</v>
      </c>
      <c r="AP38" s="76">
        <v>40</v>
      </c>
      <c r="AQ38" s="77">
        <v>1</v>
      </c>
      <c r="AR38" s="78">
        <v>4</v>
      </c>
    </row>
    <row r="39" spans="1:44" ht="16.5" customHeight="1">
      <c r="A39" s="7" t="s">
        <v>110</v>
      </c>
      <c r="B39" s="13">
        <v>0</v>
      </c>
      <c r="C39" s="13">
        <v>880</v>
      </c>
      <c r="D39" s="13">
        <v>830</v>
      </c>
      <c r="E39" s="13">
        <v>850</v>
      </c>
      <c r="F39" s="13">
        <v>1250</v>
      </c>
      <c r="G39" s="13">
        <v>0</v>
      </c>
      <c r="K39" s="21">
        <v>35</v>
      </c>
      <c r="L39" s="24" t="s">
        <v>34</v>
      </c>
      <c r="M39" s="24" t="s">
        <v>21</v>
      </c>
      <c r="N39" s="24" t="s">
        <v>27</v>
      </c>
      <c r="O39" s="24" t="s">
        <v>77</v>
      </c>
      <c r="P39" s="24" t="s">
        <v>85</v>
      </c>
      <c r="Q39" s="24" t="s">
        <v>18</v>
      </c>
      <c r="R39" s="24" t="s">
        <v>38</v>
      </c>
      <c r="T39" s="8">
        <f t="shared" si="8"/>
        <v>3</v>
      </c>
      <c r="U39" s="8">
        <f t="shared" si="9"/>
        <v>2</v>
      </c>
      <c r="V39" s="8">
        <f t="shared" si="10"/>
        <v>9</v>
      </c>
      <c r="W39" s="8">
        <f t="shared" si="11"/>
        <v>6</v>
      </c>
      <c r="X39" s="8">
        <f t="shared" si="12"/>
        <v>16</v>
      </c>
      <c r="Y39" s="8">
        <f t="shared" si="13"/>
        <v>4</v>
      </c>
      <c r="Z39" s="8">
        <f t="shared" si="14"/>
        <v>9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75">
        <v>40</v>
      </c>
      <c r="AL39" s="76">
        <v>15</v>
      </c>
      <c r="AM39" s="76">
        <v>40</v>
      </c>
      <c r="AN39" s="76">
        <v>10</v>
      </c>
      <c r="AO39" s="76">
        <v>5</v>
      </c>
      <c r="AP39" s="76">
        <v>40</v>
      </c>
      <c r="AQ39" s="77">
        <v>1</v>
      </c>
      <c r="AR39" s="78">
        <v>5</v>
      </c>
    </row>
    <row r="40" spans="1:44" ht="16.5" customHeight="1">
      <c r="A40" s="7" t="s">
        <v>111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24" t="s">
        <v>36</v>
      </c>
      <c r="M40" s="24" t="s">
        <v>88</v>
      </c>
      <c r="N40" s="24" t="s">
        <v>27</v>
      </c>
      <c r="O40" s="24" t="s">
        <v>77</v>
      </c>
      <c r="P40" s="24" t="s">
        <v>85</v>
      </c>
      <c r="Q40" s="24" t="s">
        <v>19</v>
      </c>
      <c r="R40" s="24" t="s">
        <v>163</v>
      </c>
      <c r="T40" s="8">
        <f t="shared" si="8"/>
        <v>5</v>
      </c>
      <c r="U40" s="8">
        <f t="shared" si="9"/>
        <v>20</v>
      </c>
      <c r="V40" s="8">
        <f t="shared" si="10"/>
        <v>9</v>
      </c>
      <c r="W40" s="8">
        <f t="shared" si="11"/>
        <v>6</v>
      </c>
      <c r="X40" s="8">
        <f t="shared" si="12"/>
        <v>16</v>
      </c>
      <c r="Y40" s="8">
        <f t="shared" si="13"/>
        <v>5</v>
      </c>
      <c r="Z40" s="8">
        <f t="shared" si="14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1</v>
      </c>
      <c r="AJ40" s="74" t="s">
        <v>77</v>
      </c>
      <c r="AK40" s="75">
        <v>15</v>
      </c>
      <c r="AL40" s="76">
        <v>40</v>
      </c>
      <c r="AM40" s="76">
        <v>20</v>
      </c>
      <c r="AN40" s="76">
        <v>10</v>
      </c>
      <c r="AO40" s="76">
        <v>40</v>
      </c>
      <c r="AP40" s="76">
        <v>5</v>
      </c>
      <c r="AQ40" s="77">
        <v>1</v>
      </c>
      <c r="AR40" s="78">
        <v>6</v>
      </c>
    </row>
    <row r="41" spans="1:44" ht="16.5" customHeight="1">
      <c r="A41" s="7" t="s">
        <v>112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24" t="s">
        <v>39</v>
      </c>
      <c r="M41" s="24" t="s">
        <v>88</v>
      </c>
      <c r="N41" s="24" t="s">
        <v>77</v>
      </c>
      <c r="O41" s="24" t="s">
        <v>77</v>
      </c>
      <c r="P41" s="24" t="s">
        <v>22</v>
      </c>
      <c r="Q41" s="24" t="s">
        <v>28</v>
      </c>
      <c r="R41" s="24" t="s">
        <v>162</v>
      </c>
      <c r="T41" s="8">
        <f t="shared" si="8"/>
        <v>10</v>
      </c>
      <c r="U41" s="8">
        <f t="shared" si="9"/>
        <v>20</v>
      </c>
      <c r="V41" s="8">
        <f t="shared" si="10"/>
        <v>6</v>
      </c>
      <c r="W41" s="8">
        <f t="shared" si="11"/>
        <v>6</v>
      </c>
      <c r="X41" s="8">
        <f t="shared" si="12"/>
        <v>3</v>
      </c>
      <c r="Y41" s="8">
        <f t="shared" si="13"/>
        <v>10</v>
      </c>
      <c r="Z41" s="8">
        <f t="shared" si="14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75">
        <v>40</v>
      </c>
      <c r="AL41" s="76">
        <v>15</v>
      </c>
      <c r="AM41" s="76">
        <v>40</v>
      </c>
      <c r="AN41" s="76">
        <v>10</v>
      </c>
      <c r="AO41" s="76">
        <v>5</v>
      </c>
      <c r="AP41" s="76">
        <v>40</v>
      </c>
      <c r="AQ41" s="77">
        <v>1</v>
      </c>
      <c r="AR41" s="78">
        <v>7</v>
      </c>
    </row>
    <row r="42" spans="1:44" ht="16.5" customHeight="1">
      <c r="A42" s="7" t="s">
        <v>113</v>
      </c>
      <c r="B42" s="13">
        <v>0</v>
      </c>
      <c r="C42" s="13">
        <v>292</v>
      </c>
      <c r="D42" s="13">
        <v>305</v>
      </c>
      <c r="E42" s="13">
        <v>514</v>
      </c>
      <c r="F42" s="13">
        <v>608</v>
      </c>
      <c r="G42" s="13">
        <v>0</v>
      </c>
      <c r="K42" s="22">
        <v>38</v>
      </c>
      <c r="L42" s="24" t="s">
        <v>39</v>
      </c>
      <c r="M42" s="24" t="s">
        <v>26</v>
      </c>
      <c r="N42" s="24" t="s">
        <v>77</v>
      </c>
      <c r="O42" s="24" t="s">
        <v>84</v>
      </c>
      <c r="P42" s="24" t="s">
        <v>22</v>
      </c>
      <c r="Q42" s="24" t="s">
        <v>77</v>
      </c>
      <c r="R42" s="24" t="s">
        <v>162</v>
      </c>
      <c r="T42" s="8">
        <f t="shared" si="8"/>
        <v>10</v>
      </c>
      <c r="U42" s="8">
        <f t="shared" si="9"/>
        <v>8</v>
      </c>
      <c r="V42" s="8">
        <f t="shared" si="10"/>
        <v>6</v>
      </c>
      <c r="W42" s="8">
        <f t="shared" si="11"/>
        <v>15</v>
      </c>
      <c r="X42" s="8">
        <f t="shared" si="12"/>
        <v>3</v>
      </c>
      <c r="Y42" s="8">
        <f t="shared" si="13"/>
        <v>6</v>
      </c>
      <c r="Z42" s="8">
        <f t="shared" si="14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75">
        <v>40</v>
      </c>
      <c r="AL42" s="76">
        <v>15</v>
      </c>
      <c r="AM42" s="76">
        <v>40</v>
      </c>
      <c r="AN42" s="76">
        <v>10</v>
      </c>
      <c r="AO42" s="76">
        <v>10</v>
      </c>
      <c r="AP42" s="76">
        <v>5</v>
      </c>
      <c r="AQ42" s="77">
        <v>1</v>
      </c>
      <c r="AR42" s="78">
        <v>7</v>
      </c>
    </row>
    <row r="43" spans="1:44" ht="16.5" customHeight="1">
      <c r="A43" s="7" t="s">
        <v>114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24" t="s">
        <v>22</v>
      </c>
      <c r="M43" s="24" t="s">
        <v>162</v>
      </c>
      <c r="N43" s="24" t="s">
        <v>162</v>
      </c>
      <c r="O43" s="24" t="s">
        <v>84</v>
      </c>
      <c r="P43" s="24" t="s">
        <v>27</v>
      </c>
      <c r="Q43" s="24" t="s">
        <v>27</v>
      </c>
      <c r="R43" s="24" t="s">
        <v>162</v>
      </c>
      <c r="T43" s="8">
        <f t="shared" si="8"/>
        <v>3</v>
      </c>
      <c r="U43" s="8">
        <f t="shared" si="9"/>
        <v>7</v>
      </c>
      <c r="V43" s="8">
        <f t="shared" si="10"/>
        <v>7</v>
      </c>
      <c r="W43" s="8">
        <f t="shared" si="11"/>
        <v>15</v>
      </c>
      <c r="X43" s="8">
        <f t="shared" si="12"/>
        <v>9</v>
      </c>
      <c r="Y43" s="8">
        <f t="shared" si="13"/>
        <v>9</v>
      </c>
      <c r="Z43" s="8">
        <f t="shared" si="14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75">
        <v>15</v>
      </c>
      <c r="AL43" s="76">
        <v>40</v>
      </c>
      <c r="AM43" s="76">
        <v>20</v>
      </c>
      <c r="AN43" s="76">
        <v>40</v>
      </c>
      <c r="AO43" s="76">
        <v>40</v>
      </c>
      <c r="AP43" s="76">
        <v>40</v>
      </c>
      <c r="AQ43" s="77">
        <v>1</v>
      </c>
      <c r="AR43" s="78">
        <v>8</v>
      </c>
    </row>
    <row r="44" spans="1:44" ht="16.5" customHeight="1">
      <c r="A44" s="7" t="s">
        <v>115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24" t="s">
        <v>34</v>
      </c>
      <c r="M44" s="24" t="s">
        <v>99</v>
      </c>
      <c r="N44" s="24" t="s">
        <v>162</v>
      </c>
      <c r="O44" s="24" t="s">
        <v>77</v>
      </c>
      <c r="P44" s="24" t="s">
        <v>83</v>
      </c>
      <c r="Q44" s="24" t="s">
        <v>162</v>
      </c>
      <c r="R44" s="24" t="s">
        <v>26</v>
      </c>
      <c r="T44" s="8">
        <f t="shared" si="8"/>
        <v>3</v>
      </c>
      <c r="U44" s="8">
        <f t="shared" si="9"/>
        <v>13</v>
      </c>
      <c r="V44" s="8">
        <f t="shared" si="10"/>
        <v>7</v>
      </c>
      <c r="W44" s="8">
        <f t="shared" si="11"/>
        <v>6</v>
      </c>
      <c r="X44" s="8">
        <f t="shared" si="12"/>
        <v>14</v>
      </c>
      <c r="Y44" s="8">
        <f t="shared" si="13"/>
        <v>7</v>
      </c>
      <c r="Z44" s="8">
        <f t="shared" si="14"/>
        <v>8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1</v>
      </c>
      <c r="AJ44" s="74" t="s">
        <v>28</v>
      </c>
      <c r="AK44" s="75">
        <v>40</v>
      </c>
      <c r="AL44" s="76">
        <v>15</v>
      </c>
      <c r="AM44" s="76">
        <v>40</v>
      </c>
      <c r="AN44" s="76">
        <v>10</v>
      </c>
      <c r="AO44" s="76">
        <v>5</v>
      </c>
      <c r="AP44" s="76">
        <v>5</v>
      </c>
      <c r="AQ44" s="77">
        <v>1</v>
      </c>
      <c r="AR44" s="78">
        <v>9</v>
      </c>
    </row>
    <row r="45" spans="1:44" ht="16.5" customHeight="1">
      <c r="A45" s="7" t="s">
        <v>116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24" t="s">
        <v>36</v>
      </c>
      <c r="M45" s="24" t="s">
        <v>99</v>
      </c>
      <c r="N45" s="24" t="s">
        <v>30</v>
      </c>
      <c r="O45" s="24" t="s">
        <v>82</v>
      </c>
      <c r="P45" s="24" t="s">
        <v>83</v>
      </c>
      <c r="Q45" s="24" t="s">
        <v>25</v>
      </c>
      <c r="R45" s="24" t="s">
        <v>26</v>
      </c>
      <c r="T45" s="8">
        <f t="shared" si="8"/>
        <v>5</v>
      </c>
      <c r="U45" s="8">
        <f t="shared" si="9"/>
        <v>13</v>
      </c>
      <c r="V45" s="8">
        <f t="shared" si="10"/>
        <v>12</v>
      </c>
      <c r="W45" s="8">
        <f t="shared" si="11"/>
        <v>13</v>
      </c>
      <c r="X45" s="8">
        <f t="shared" si="12"/>
        <v>14</v>
      </c>
      <c r="Y45" s="8">
        <f t="shared" si="13"/>
        <v>8</v>
      </c>
      <c r="Z45" s="8">
        <f t="shared" si="14"/>
        <v>8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75">
        <v>15</v>
      </c>
      <c r="AL45" s="76">
        <v>40</v>
      </c>
      <c r="AM45" s="76">
        <v>35</v>
      </c>
      <c r="AN45" s="76">
        <v>10</v>
      </c>
      <c r="AO45" s="76">
        <v>5</v>
      </c>
      <c r="AP45" s="76">
        <v>5</v>
      </c>
      <c r="AQ45" s="77">
        <v>1</v>
      </c>
      <c r="AR45" s="78">
        <v>10</v>
      </c>
    </row>
    <row r="46" spans="1:44" ht="16.5" customHeight="1">
      <c r="A46" s="7" t="s">
        <v>117</v>
      </c>
      <c r="B46" s="13">
        <v>1</v>
      </c>
      <c r="C46" s="13">
        <v>470</v>
      </c>
      <c r="D46" s="13">
        <v>640</v>
      </c>
      <c r="E46" s="13">
        <v>360</v>
      </c>
      <c r="F46" s="13">
        <v>290</v>
      </c>
      <c r="G46" s="13">
        <v>1</v>
      </c>
      <c r="K46" s="22">
        <v>42</v>
      </c>
      <c r="L46" s="24" t="s">
        <v>39</v>
      </c>
      <c r="M46" s="24" t="s">
        <v>99</v>
      </c>
      <c r="N46" s="24" t="s">
        <v>30</v>
      </c>
      <c r="O46" s="24" t="s">
        <v>82</v>
      </c>
      <c r="P46" s="24" t="s">
        <v>83</v>
      </c>
      <c r="Q46" s="24" t="s">
        <v>19</v>
      </c>
      <c r="R46" s="24" t="s">
        <v>26</v>
      </c>
      <c r="T46" s="8">
        <f t="shared" si="8"/>
        <v>10</v>
      </c>
      <c r="U46" s="8">
        <f t="shared" si="9"/>
        <v>13</v>
      </c>
      <c r="V46" s="8">
        <f t="shared" si="10"/>
        <v>12</v>
      </c>
      <c r="W46" s="8">
        <f t="shared" si="11"/>
        <v>13</v>
      </c>
      <c r="X46" s="8">
        <f t="shared" si="12"/>
        <v>14</v>
      </c>
      <c r="Y46" s="8">
        <f t="shared" si="13"/>
        <v>5</v>
      </c>
      <c r="Z46" s="8">
        <f t="shared" si="14"/>
        <v>8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75">
        <v>40</v>
      </c>
      <c r="AL46" s="76">
        <v>15</v>
      </c>
      <c r="AM46" s="76">
        <v>15</v>
      </c>
      <c r="AN46" s="76">
        <v>10</v>
      </c>
      <c r="AO46" s="76">
        <v>5</v>
      </c>
      <c r="AP46" s="76">
        <v>5</v>
      </c>
      <c r="AQ46" s="77">
        <v>1</v>
      </c>
      <c r="AR46" s="79">
        <v>11</v>
      </c>
    </row>
    <row r="47" spans="1:44" ht="16.5" customHeight="1" thickBot="1">
      <c r="K47" s="21">
        <v>43</v>
      </c>
      <c r="L47" s="24" t="s">
        <v>39</v>
      </c>
      <c r="M47" s="24" t="s">
        <v>26</v>
      </c>
      <c r="N47" s="24" t="s">
        <v>30</v>
      </c>
      <c r="O47" s="24" t="s">
        <v>82</v>
      </c>
      <c r="P47" s="24" t="s">
        <v>85</v>
      </c>
      <c r="Q47" s="24" t="s">
        <v>28</v>
      </c>
      <c r="R47" s="24" t="s">
        <v>26</v>
      </c>
      <c r="T47" s="8">
        <f t="shared" si="8"/>
        <v>10</v>
      </c>
      <c r="U47" s="8">
        <f t="shared" si="9"/>
        <v>8</v>
      </c>
      <c r="V47" s="8">
        <f t="shared" si="10"/>
        <v>12</v>
      </c>
      <c r="W47" s="8">
        <f t="shared" si="11"/>
        <v>13</v>
      </c>
      <c r="X47" s="8">
        <f t="shared" si="12"/>
        <v>16</v>
      </c>
      <c r="Y47" s="8">
        <f t="shared" si="13"/>
        <v>10</v>
      </c>
      <c r="Z47" s="8">
        <f t="shared" si="14"/>
        <v>8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1</v>
      </c>
      <c r="AJ47" s="74" t="s">
        <v>82</v>
      </c>
      <c r="AK47" s="75">
        <v>0</v>
      </c>
      <c r="AL47" s="76">
        <v>2</v>
      </c>
      <c r="AM47" s="76">
        <v>5</v>
      </c>
      <c r="AN47" s="76">
        <v>2</v>
      </c>
      <c r="AO47" s="76">
        <v>4</v>
      </c>
      <c r="AP47" s="76">
        <v>0</v>
      </c>
      <c r="AQ47" s="77">
        <v>0</v>
      </c>
      <c r="AR47" s="78">
        <v>12</v>
      </c>
    </row>
    <row r="48" spans="1:44" ht="16.5" customHeight="1" thickBot="1">
      <c r="A48" s="149" t="s">
        <v>182</v>
      </c>
      <c r="B48" s="154" t="s">
        <v>183</v>
      </c>
      <c r="K48" s="22">
        <v>44</v>
      </c>
      <c r="L48" s="24" t="s">
        <v>29</v>
      </c>
      <c r="M48" s="24" t="s">
        <v>26</v>
      </c>
      <c r="N48" s="24" t="s">
        <v>162</v>
      </c>
      <c r="O48" s="24" t="s">
        <v>25</v>
      </c>
      <c r="P48" s="24" t="s">
        <v>85</v>
      </c>
      <c r="Q48" s="24" t="s">
        <v>29</v>
      </c>
      <c r="R48" s="24" t="s">
        <v>38</v>
      </c>
      <c r="T48" s="8">
        <f t="shared" si="8"/>
        <v>11</v>
      </c>
      <c r="U48" s="8">
        <f t="shared" si="9"/>
        <v>8</v>
      </c>
      <c r="V48" s="8">
        <f t="shared" si="10"/>
        <v>7</v>
      </c>
      <c r="W48" s="8">
        <f t="shared" si="11"/>
        <v>8</v>
      </c>
      <c r="X48" s="8">
        <f t="shared" si="12"/>
        <v>16</v>
      </c>
      <c r="Y48" s="8">
        <f t="shared" si="13"/>
        <v>11</v>
      </c>
      <c r="Z48" s="8">
        <f t="shared" si="14"/>
        <v>9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75">
        <v>0</v>
      </c>
      <c r="AL48" s="76">
        <v>2</v>
      </c>
      <c r="AM48" s="76">
        <v>2</v>
      </c>
      <c r="AN48" s="76">
        <v>2</v>
      </c>
      <c r="AO48" s="76">
        <v>2</v>
      </c>
      <c r="AP48" s="76">
        <v>0</v>
      </c>
      <c r="AQ48" s="77">
        <v>0</v>
      </c>
      <c r="AR48" s="78">
        <v>13</v>
      </c>
    </row>
    <row r="49" spans="1:44" ht="16.5" customHeight="1">
      <c r="A49" s="151" t="s">
        <v>81</v>
      </c>
      <c r="B49" s="152">
        <v>0</v>
      </c>
      <c r="K49" s="21">
        <v>45</v>
      </c>
      <c r="L49" s="24" t="s">
        <v>34</v>
      </c>
      <c r="M49" s="24" t="s">
        <v>26</v>
      </c>
      <c r="N49" s="24" t="s">
        <v>162</v>
      </c>
      <c r="O49" s="24" t="s">
        <v>27</v>
      </c>
      <c r="P49" s="24" t="s">
        <v>28</v>
      </c>
      <c r="Q49" s="24" t="s">
        <v>29</v>
      </c>
      <c r="R49" s="24" t="s">
        <v>38</v>
      </c>
      <c r="T49" s="8">
        <f t="shared" si="8"/>
        <v>3</v>
      </c>
      <c r="U49" s="8">
        <f t="shared" si="9"/>
        <v>8</v>
      </c>
      <c r="V49" s="8">
        <f t="shared" si="10"/>
        <v>7</v>
      </c>
      <c r="W49" s="8">
        <f t="shared" si="11"/>
        <v>9</v>
      </c>
      <c r="X49" s="8">
        <f t="shared" si="12"/>
        <v>10</v>
      </c>
      <c r="Y49" s="8">
        <f t="shared" si="13"/>
        <v>11</v>
      </c>
      <c r="Z49" s="8">
        <f t="shared" si="14"/>
        <v>9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1</v>
      </c>
      <c r="AJ49" s="74" t="s">
        <v>84</v>
      </c>
      <c r="AK49" s="75">
        <v>0</v>
      </c>
      <c r="AL49" s="76">
        <v>4</v>
      </c>
      <c r="AM49" s="76">
        <v>5</v>
      </c>
      <c r="AN49" s="76">
        <v>2</v>
      </c>
      <c r="AO49" s="76">
        <v>2</v>
      </c>
      <c r="AP49" s="76">
        <v>0</v>
      </c>
      <c r="AQ49" s="77">
        <v>0</v>
      </c>
      <c r="AR49" s="78">
        <v>14</v>
      </c>
    </row>
    <row r="50" spans="1:44" ht="16.5" customHeight="1">
      <c r="A50" s="150" t="s">
        <v>20</v>
      </c>
      <c r="B50" s="153">
        <v>0</v>
      </c>
      <c r="K50" s="22">
        <v>46</v>
      </c>
      <c r="L50" s="24" t="s">
        <v>22</v>
      </c>
      <c r="M50" s="24" t="s">
        <v>35</v>
      </c>
      <c r="N50" s="24" t="s">
        <v>28</v>
      </c>
      <c r="O50" s="24" t="s">
        <v>27</v>
      </c>
      <c r="P50" s="24" t="s">
        <v>18</v>
      </c>
      <c r="Q50" s="24" t="s">
        <v>162</v>
      </c>
      <c r="R50" s="24" t="s">
        <v>38</v>
      </c>
      <c r="T50" s="8">
        <f t="shared" si="8"/>
        <v>3</v>
      </c>
      <c r="U50" s="8">
        <f t="shared" si="9"/>
        <v>4</v>
      </c>
      <c r="V50" s="8">
        <f t="shared" si="10"/>
        <v>10</v>
      </c>
      <c r="W50" s="8">
        <f t="shared" si="11"/>
        <v>9</v>
      </c>
      <c r="X50" s="8">
        <f t="shared" si="12"/>
        <v>4</v>
      </c>
      <c r="Y50" s="8">
        <f t="shared" si="13"/>
        <v>7</v>
      </c>
      <c r="Z50" s="8">
        <f t="shared" si="14"/>
        <v>9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75">
        <v>0</v>
      </c>
      <c r="AL50" s="76">
        <v>2</v>
      </c>
      <c r="AM50" s="76">
        <v>2</v>
      </c>
      <c r="AN50" s="76">
        <v>2</v>
      </c>
      <c r="AO50" s="76">
        <v>2</v>
      </c>
      <c r="AP50" s="76">
        <v>0</v>
      </c>
      <c r="AQ50" s="77">
        <v>0</v>
      </c>
      <c r="AR50" s="78">
        <v>15</v>
      </c>
    </row>
    <row r="51" spans="1:44" ht="16.5" customHeight="1">
      <c r="A51" s="150" t="s">
        <v>21</v>
      </c>
      <c r="B51" s="153">
        <v>2</v>
      </c>
      <c r="K51" s="21">
        <v>47</v>
      </c>
      <c r="L51" s="24" t="s">
        <v>36</v>
      </c>
      <c r="M51" s="24" t="s">
        <v>18</v>
      </c>
      <c r="N51" s="24" t="s">
        <v>28</v>
      </c>
      <c r="O51" s="24" t="s">
        <v>27</v>
      </c>
      <c r="P51" s="24" t="s">
        <v>18</v>
      </c>
      <c r="Q51" s="24" t="s">
        <v>27</v>
      </c>
      <c r="R51" s="24" t="s">
        <v>38</v>
      </c>
      <c r="T51" s="8">
        <f t="shared" si="8"/>
        <v>5</v>
      </c>
      <c r="U51" s="8">
        <f t="shared" si="9"/>
        <v>4</v>
      </c>
      <c r="V51" s="8">
        <f t="shared" si="10"/>
        <v>10</v>
      </c>
      <c r="W51" s="8">
        <f t="shared" si="11"/>
        <v>9</v>
      </c>
      <c r="X51" s="8">
        <f t="shared" si="12"/>
        <v>4</v>
      </c>
      <c r="Y51" s="8">
        <f t="shared" si="13"/>
        <v>9</v>
      </c>
      <c r="Z51" s="8">
        <f t="shared" si="14"/>
        <v>9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75">
        <v>0</v>
      </c>
      <c r="AL51" s="76">
        <v>4</v>
      </c>
      <c r="AM51" s="76">
        <v>5</v>
      </c>
      <c r="AN51" s="76">
        <v>2</v>
      </c>
      <c r="AO51" s="76">
        <v>4</v>
      </c>
      <c r="AP51" s="76">
        <v>0</v>
      </c>
      <c r="AQ51" s="77">
        <v>0</v>
      </c>
      <c r="AR51" s="78">
        <v>16</v>
      </c>
    </row>
    <row r="52" spans="1:44" ht="16.5" customHeight="1">
      <c r="A52" s="150" t="s">
        <v>22</v>
      </c>
      <c r="B52" s="153">
        <v>3</v>
      </c>
      <c r="K52" s="22">
        <v>48</v>
      </c>
      <c r="L52" s="24" t="s">
        <v>36</v>
      </c>
      <c r="M52" s="24" t="s">
        <v>18</v>
      </c>
      <c r="N52" s="24" t="s">
        <v>22</v>
      </c>
      <c r="O52" s="24" t="s">
        <v>176</v>
      </c>
      <c r="P52" s="24" t="s">
        <v>18</v>
      </c>
      <c r="Q52" s="24" t="s">
        <v>19</v>
      </c>
      <c r="R52" s="24" t="s">
        <v>163</v>
      </c>
      <c r="T52" s="8">
        <f t="shared" si="8"/>
        <v>5</v>
      </c>
      <c r="U52" s="8">
        <f t="shared" si="9"/>
        <v>4</v>
      </c>
      <c r="V52" s="8">
        <f t="shared" si="10"/>
        <v>3</v>
      </c>
      <c r="W52" s="8">
        <f t="shared" si="11"/>
        <v>18</v>
      </c>
      <c r="X52" s="8">
        <f t="shared" si="12"/>
        <v>4</v>
      </c>
      <c r="Y52" s="8">
        <f t="shared" si="13"/>
        <v>5</v>
      </c>
      <c r="Z52" s="8">
        <f t="shared" si="14"/>
        <v>7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1</v>
      </c>
      <c r="AJ52" s="74" t="s">
        <v>176</v>
      </c>
      <c r="AK52" s="75">
        <v>0</v>
      </c>
      <c r="AL52" s="76">
        <v>4</v>
      </c>
      <c r="AM52" s="76">
        <v>5</v>
      </c>
      <c r="AN52" s="76">
        <v>2</v>
      </c>
      <c r="AO52" s="76">
        <v>4</v>
      </c>
      <c r="AP52" s="76">
        <v>0</v>
      </c>
      <c r="AQ52" s="77">
        <v>0</v>
      </c>
      <c r="AR52" s="78">
        <v>17</v>
      </c>
    </row>
    <row r="53" spans="1:44" ht="16.5" customHeight="1">
      <c r="A53" s="150" t="s">
        <v>18</v>
      </c>
      <c r="B53" s="153">
        <v>5</v>
      </c>
      <c r="K53" s="21">
        <v>49</v>
      </c>
      <c r="L53" s="24" t="s">
        <v>29</v>
      </c>
      <c r="M53" s="24" t="s">
        <v>162</v>
      </c>
      <c r="N53" s="24" t="s">
        <v>22</v>
      </c>
      <c r="O53" s="24" t="s">
        <v>176</v>
      </c>
      <c r="P53" s="24" t="s">
        <v>77</v>
      </c>
      <c r="Q53" s="24" t="s">
        <v>162</v>
      </c>
      <c r="R53" s="24" t="s">
        <v>163</v>
      </c>
      <c r="T53" s="8">
        <f t="shared" si="8"/>
        <v>11</v>
      </c>
      <c r="U53" s="8">
        <f t="shared" si="9"/>
        <v>7</v>
      </c>
      <c r="V53" s="8">
        <f t="shared" si="10"/>
        <v>3</v>
      </c>
      <c r="W53" s="8">
        <f t="shared" si="11"/>
        <v>18</v>
      </c>
      <c r="X53" s="8">
        <f t="shared" si="12"/>
        <v>6</v>
      </c>
      <c r="Y53" s="8">
        <f t="shared" si="13"/>
        <v>7</v>
      </c>
      <c r="Z53" s="8">
        <f t="shared" si="14"/>
        <v>7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75">
        <v>0</v>
      </c>
      <c r="AL53" s="76">
        <v>4</v>
      </c>
      <c r="AM53" s="76">
        <v>2</v>
      </c>
      <c r="AN53" s="76">
        <v>2</v>
      </c>
      <c r="AO53" s="76">
        <v>4</v>
      </c>
      <c r="AP53" s="76">
        <v>0</v>
      </c>
      <c r="AQ53" s="77">
        <v>0</v>
      </c>
      <c r="AR53" s="78">
        <v>17</v>
      </c>
    </row>
    <row r="54" spans="1:44" ht="16.5" customHeight="1">
      <c r="A54" s="150" t="s">
        <v>19</v>
      </c>
      <c r="B54" s="153">
        <v>8</v>
      </c>
      <c r="K54" s="22">
        <v>50</v>
      </c>
      <c r="L54" s="24" t="s">
        <v>78</v>
      </c>
      <c r="M54" s="24" t="s">
        <v>162</v>
      </c>
      <c r="N54" s="24" t="s">
        <v>27</v>
      </c>
      <c r="O54" s="24" t="s">
        <v>18</v>
      </c>
      <c r="P54" s="24" t="s">
        <v>22</v>
      </c>
      <c r="Q54" s="24" t="s">
        <v>28</v>
      </c>
      <c r="R54" s="24" t="s">
        <v>163</v>
      </c>
      <c r="T54" s="8">
        <f t="shared" si="8"/>
        <v>6</v>
      </c>
      <c r="U54" s="8">
        <f t="shared" si="9"/>
        <v>7</v>
      </c>
      <c r="V54" s="8">
        <f t="shared" si="10"/>
        <v>9</v>
      </c>
      <c r="W54" s="8">
        <f t="shared" si="11"/>
        <v>4</v>
      </c>
      <c r="X54" s="8">
        <f t="shared" si="12"/>
        <v>3</v>
      </c>
      <c r="Y54" s="8">
        <f t="shared" si="13"/>
        <v>10</v>
      </c>
      <c r="Z54" s="8">
        <f t="shared" si="14"/>
        <v>7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75">
        <v>0</v>
      </c>
      <c r="AL54" s="76">
        <v>4</v>
      </c>
      <c r="AM54" s="76">
        <v>2</v>
      </c>
      <c r="AN54" s="76">
        <v>4</v>
      </c>
      <c r="AO54" s="76">
        <v>2</v>
      </c>
      <c r="AP54" s="76">
        <v>0</v>
      </c>
      <c r="AQ54" s="77">
        <v>0</v>
      </c>
      <c r="AR54" s="78">
        <v>18</v>
      </c>
    </row>
    <row r="55" spans="1:44" ht="16.5" customHeight="1">
      <c r="A55" s="150" t="s">
        <v>77</v>
      </c>
      <c r="B55" s="153">
        <v>12</v>
      </c>
      <c r="K55" s="21">
        <v>51</v>
      </c>
      <c r="L55" s="24" t="s">
        <v>77</v>
      </c>
      <c r="M55" s="24" t="s">
        <v>26</v>
      </c>
      <c r="N55" s="24" t="s">
        <v>27</v>
      </c>
      <c r="O55" s="24" t="s">
        <v>18</v>
      </c>
      <c r="P55" s="24" t="s">
        <v>88</v>
      </c>
      <c r="Q55" s="24" t="s">
        <v>77</v>
      </c>
      <c r="R55" s="24" t="s">
        <v>163</v>
      </c>
      <c r="T55" s="8">
        <f t="shared" si="8"/>
        <v>6</v>
      </c>
      <c r="U55" s="8">
        <f t="shared" si="9"/>
        <v>8</v>
      </c>
      <c r="V55" s="8">
        <f t="shared" si="10"/>
        <v>9</v>
      </c>
      <c r="W55" s="8">
        <f t="shared" si="11"/>
        <v>4</v>
      </c>
      <c r="X55" s="8">
        <f t="shared" si="12"/>
        <v>20</v>
      </c>
      <c r="Y55" s="8">
        <f t="shared" si="13"/>
        <v>6</v>
      </c>
      <c r="Z55" s="8">
        <f t="shared" si="14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1</v>
      </c>
      <c r="AJ55" s="74" t="s">
        <v>89</v>
      </c>
      <c r="AK55" s="75">
        <v>0</v>
      </c>
      <c r="AL55" s="76">
        <v>4</v>
      </c>
      <c r="AM55" s="76">
        <v>5</v>
      </c>
      <c r="AN55" s="76">
        <v>2</v>
      </c>
      <c r="AO55" s="76">
        <v>2</v>
      </c>
      <c r="AP55" s="76">
        <v>0</v>
      </c>
      <c r="AQ55" s="77">
        <v>0</v>
      </c>
      <c r="AR55" s="78">
        <v>19</v>
      </c>
    </row>
    <row r="56" spans="1:44" ht="16.5" customHeight="1">
      <c r="A56" s="150" t="s">
        <v>184</v>
      </c>
      <c r="B56" s="153">
        <v>10</v>
      </c>
      <c r="K56" s="22">
        <v>52</v>
      </c>
      <c r="L56" s="24" t="s">
        <v>77</v>
      </c>
      <c r="M56" s="24" t="s">
        <v>84</v>
      </c>
      <c r="N56" s="24" t="s">
        <v>85</v>
      </c>
      <c r="O56" s="24" t="s">
        <v>27</v>
      </c>
      <c r="P56" s="24" t="s">
        <v>88</v>
      </c>
      <c r="Q56" s="24" t="s">
        <v>27</v>
      </c>
      <c r="R56" s="24" t="s">
        <v>26</v>
      </c>
      <c r="T56" s="8">
        <f t="shared" si="8"/>
        <v>6</v>
      </c>
      <c r="U56" s="8">
        <f t="shared" si="9"/>
        <v>15</v>
      </c>
      <c r="V56" s="8">
        <f t="shared" si="10"/>
        <v>16</v>
      </c>
      <c r="W56" s="8">
        <f t="shared" si="11"/>
        <v>9</v>
      </c>
      <c r="X56" s="8">
        <f t="shared" si="12"/>
        <v>20</v>
      </c>
      <c r="Y56" s="8">
        <f t="shared" si="13"/>
        <v>9</v>
      </c>
      <c r="Z56" s="8">
        <f t="shared" si="14"/>
        <v>8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75">
        <v>0</v>
      </c>
      <c r="AL56" s="76">
        <v>2</v>
      </c>
      <c r="AM56" s="76">
        <v>7</v>
      </c>
      <c r="AN56" s="76">
        <v>2</v>
      </c>
      <c r="AO56" s="76">
        <v>2</v>
      </c>
      <c r="AP56" s="76">
        <v>0</v>
      </c>
      <c r="AQ56" s="77">
        <v>0</v>
      </c>
      <c r="AR56" s="78">
        <v>20</v>
      </c>
    </row>
    <row r="57" spans="1:44" ht="16.5" customHeight="1" thickBot="1">
      <c r="A57" s="150" t="s">
        <v>185</v>
      </c>
      <c r="B57" s="153">
        <v>10</v>
      </c>
      <c r="K57" s="21">
        <v>53</v>
      </c>
      <c r="L57" s="24" t="s">
        <v>29</v>
      </c>
      <c r="M57" s="24" t="s">
        <v>84</v>
      </c>
      <c r="N57" s="24" t="s">
        <v>85</v>
      </c>
      <c r="O57" s="24" t="s">
        <v>162</v>
      </c>
      <c r="P57" s="24" t="s">
        <v>25</v>
      </c>
      <c r="Q57" s="24" t="s">
        <v>162</v>
      </c>
      <c r="R57" s="24" t="s">
        <v>26</v>
      </c>
      <c r="T57" s="8">
        <f t="shared" si="8"/>
        <v>11</v>
      </c>
      <c r="U57" s="8">
        <f t="shared" si="9"/>
        <v>15</v>
      </c>
      <c r="V57" s="8">
        <f t="shared" si="10"/>
        <v>16</v>
      </c>
      <c r="W57" s="8">
        <f t="shared" si="11"/>
        <v>7</v>
      </c>
      <c r="X57" s="8">
        <f t="shared" si="12"/>
        <v>8</v>
      </c>
      <c r="Y57" s="8">
        <f t="shared" si="13"/>
        <v>7</v>
      </c>
      <c r="Z57" s="8">
        <f t="shared" si="14"/>
        <v>8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81">
        <v>0</v>
      </c>
      <c r="AL57" s="82">
        <v>4</v>
      </c>
      <c r="AM57" s="82">
        <v>7</v>
      </c>
      <c r="AN57" s="82">
        <v>2</v>
      </c>
      <c r="AO57" s="82">
        <v>2</v>
      </c>
      <c r="AP57" s="82">
        <v>0</v>
      </c>
      <c r="AQ57" s="83">
        <v>0</v>
      </c>
      <c r="AR57" s="84">
        <v>21</v>
      </c>
    </row>
    <row r="58" spans="1:44" ht="16.5" customHeight="1">
      <c r="A58" s="155" t="s">
        <v>38</v>
      </c>
      <c r="B58" s="176">
        <v>10</v>
      </c>
      <c r="K58" s="22">
        <v>54</v>
      </c>
      <c r="L58" s="24" t="s">
        <v>29</v>
      </c>
      <c r="M58" s="24" t="s">
        <v>38</v>
      </c>
      <c r="N58" s="24" t="s">
        <v>19</v>
      </c>
      <c r="O58" s="24" t="s">
        <v>162</v>
      </c>
      <c r="P58" s="24" t="s">
        <v>162</v>
      </c>
      <c r="Q58" s="24" t="s">
        <v>77</v>
      </c>
      <c r="R58" s="24" t="s">
        <v>26</v>
      </c>
      <c r="T58" s="8">
        <f t="shared" si="8"/>
        <v>11</v>
      </c>
      <c r="U58" s="8">
        <f t="shared" si="9"/>
        <v>9</v>
      </c>
      <c r="V58" s="8">
        <f t="shared" si="10"/>
        <v>5</v>
      </c>
      <c r="W58" s="8">
        <f t="shared" si="11"/>
        <v>7</v>
      </c>
      <c r="X58" s="8">
        <f t="shared" si="12"/>
        <v>7</v>
      </c>
      <c r="Y58" s="8">
        <f t="shared" si="13"/>
        <v>6</v>
      </c>
      <c r="Z58" s="8">
        <f t="shared" si="14"/>
        <v>8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1</v>
      </c>
      <c r="AJ58" s="184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183">
        <v>24</v>
      </c>
    </row>
    <row r="59" spans="1:44" ht="16.5" customHeight="1" thickBot="1">
      <c r="A59" s="155" t="s">
        <v>39</v>
      </c>
      <c r="B59" s="176">
        <v>10</v>
      </c>
      <c r="K59" s="21">
        <v>55</v>
      </c>
      <c r="L59" s="24" t="s">
        <v>40</v>
      </c>
      <c r="M59" s="24" t="s">
        <v>21</v>
      </c>
      <c r="N59" s="24" t="s">
        <v>27</v>
      </c>
      <c r="O59" s="24" t="s">
        <v>77</v>
      </c>
      <c r="P59" s="24" t="s">
        <v>85</v>
      </c>
      <c r="Q59" s="24" t="s">
        <v>18</v>
      </c>
      <c r="R59" s="24" t="s">
        <v>26</v>
      </c>
      <c r="T59" s="8">
        <f t="shared" si="8"/>
        <v>11</v>
      </c>
      <c r="U59" s="8">
        <f t="shared" si="9"/>
        <v>2</v>
      </c>
      <c r="V59" s="8">
        <f t="shared" si="10"/>
        <v>9</v>
      </c>
      <c r="W59" s="8">
        <f t="shared" si="11"/>
        <v>6</v>
      </c>
      <c r="X59" s="8">
        <f t="shared" si="12"/>
        <v>16</v>
      </c>
      <c r="Y59" s="8">
        <f t="shared" si="13"/>
        <v>4</v>
      </c>
      <c r="Z59" s="8">
        <f t="shared" si="14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</row>
    <row r="60" spans="1:44" ht="16.5" customHeight="1">
      <c r="A60" s="155" t="s">
        <v>40</v>
      </c>
      <c r="B60" s="176">
        <v>10</v>
      </c>
      <c r="K60" s="22">
        <v>56</v>
      </c>
      <c r="L60" s="24" t="s">
        <v>36</v>
      </c>
      <c r="M60" s="24" t="s">
        <v>88</v>
      </c>
      <c r="N60" s="24" t="s">
        <v>27</v>
      </c>
      <c r="O60" s="24" t="s">
        <v>77</v>
      </c>
      <c r="P60" s="24" t="s">
        <v>85</v>
      </c>
      <c r="Q60" s="24" t="s">
        <v>19</v>
      </c>
      <c r="R60" s="24" t="s">
        <v>41</v>
      </c>
      <c r="T60" s="8">
        <f t="shared" si="8"/>
        <v>5</v>
      </c>
      <c r="U60" s="8">
        <f t="shared" si="9"/>
        <v>20</v>
      </c>
      <c r="V60" s="8">
        <f t="shared" si="10"/>
        <v>9</v>
      </c>
      <c r="W60" s="8">
        <f t="shared" si="11"/>
        <v>6</v>
      </c>
      <c r="X60" s="8">
        <f t="shared" si="12"/>
        <v>16</v>
      </c>
      <c r="Y60" s="8">
        <f t="shared" si="13"/>
        <v>5</v>
      </c>
      <c r="Z60" s="8">
        <f t="shared" si="14"/>
        <v>12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</row>
    <row r="61" spans="1:44" ht="17.25" thickBot="1">
      <c r="A61" s="156" t="s">
        <v>41</v>
      </c>
      <c r="B61" s="177">
        <v>10</v>
      </c>
      <c r="K61" s="21">
        <v>57</v>
      </c>
      <c r="L61" s="24" t="s">
        <v>39</v>
      </c>
      <c r="M61" s="24" t="s">
        <v>88</v>
      </c>
      <c r="N61" s="24" t="s">
        <v>27</v>
      </c>
      <c r="O61" s="24" t="s">
        <v>77</v>
      </c>
      <c r="P61" s="24" t="s">
        <v>22</v>
      </c>
      <c r="Q61" s="24" t="s">
        <v>28</v>
      </c>
      <c r="R61" s="24" t="s">
        <v>41</v>
      </c>
      <c r="T61" s="8">
        <f t="shared" si="8"/>
        <v>10</v>
      </c>
      <c r="U61" s="8">
        <f t="shared" si="9"/>
        <v>20</v>
      </c>
      <c r="V61" s="8">
        <f t="shared" si="10"/>
        <v>9</v>
      </c>
      <c r="W61" s="8">
        <f t="shared" si="11"/>
        <v>6</v>
      </c>
      <c r="X61" s="8">
        <f t="shared" si="12"/>
        <v>3</v>
      </c>
      <c r="Y61" s="8">
        <f t="shared" si="13"/>
        <v>10</v>
      </c>
      <c r="Z61" s="8">
        <f t="shared" si="14"/>
        <v>12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</row>
    <row r="62" spans="1:44" ht="17.25" thickBot="1">
      <c r="K62" s="22">
        <v>58</v>
      </c>
      <c r="L62" s="24" t="s">
        <v>39</v>
      </c>
      <c r="M62" s="24" t="s">
        <v>26</v>
      </c>
      <c r="N62" s="24" t="s">
        <v>77</v>
      </c>
      <c r="O62" s="24" t="s">
        <v>84</v>
      </c>
      <c r="P62" s="24" t="s">
        <v>22</v>
      </c>
      <c r="Q62" s="24" t="s">
        <v>77</v>
      </c>
      <c r="R62" s="24" t="s">
        <v>41</v>
      </c>
      <c r="T62" s="8">
        <f t="shared" si="8"/>
        <v>10</v>
      </c>
      <c r="U62" s="8">
        <f t="shared" si="9"/>
        <v>8</v>
      </c>
      <c r="V62" s="8">
        <f t="shared" si="10"/>
        <v>6</v>
      </c>
      <c r="W62" s="8">
        <f t="shared" si="11"/>
        <v>15</v>
      </c>
      <c r="X62" s="8">
        <f t="shared" si="12"/>
        <v>3</v>
      </c>
      <c r="Y62" s="8">
        <f t="shared" si="13"/>
        <v>6</v>
      </c>
      <c r="Z62" s="8">
        <f t="shared" si="14"/>
        <v>12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</row>
    <row r="63" spans="1:44" ht="16.5" customHeight="1" thickBot="1">
      <c r="A63" s="167" t="s">
        <v>191</v>
      </c>
      <c r="B63" s="168" t="s">
        <v>52</v>
      </c>
      <c r="K63" s="21">
        <v>59</v>
      </c>
      <c r="L63" s="24" t="s">
        <v>22</v>
      </c>
      <c r="M63" s="24" t="s">
        <v>162</v>
      </c>
      <c r="N63" s="24" t="s">
        <v>162</v>
      </c>
      <c r="O63" s="24" t="s">
        <v>84</v>
      </c>
      <c r="P63" s="24" t="s">
        <v>27</v>
      </c>
      <c r="Q63" s="24" t="s">
        <v>27</v>
      </c>
      <c r="R63" s="24" t="s">
        <v>41</v>
      </c>
      <c r="T63" s="8">
        <f t="shared" si="8"/>
        <v>3</v>
      </c>
      <c r="U63" s="8">
        <f t="shared" si="9"/>
        <v>7</v>
      </c>
      <c r="V63" s="8">
        <f t="shared" si="10"/>
        <v>7</v>
      </c>
      <c r="W63" s="8">
        <f t="shared" si="11"/>
        <v>15</v>
      </c>
      <c r="X63" s="8">
        <f t="shared" si="12"/>
        <v>9</v>
      </c>
      <c r="Y63" s="8">
        <f t="shared" si="13"/>
        <v>9</v>
      </c>
      <c r="Z63" s="8">
        <f t="shared" si="14"/>
        <v>12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1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</row>
    <row r="64" spans="1:44" ht="16.5" customHeight="1">
      <c r="A64" s="169">
        <v>0</v>
      </c>
      <c r="B64" s="159">
        <v>0</v>
      </c>
      <c r="K64" s="22">
        <v>60</v>
      </c>
      <c r="L64" s="24" t="s">
        <v>23</v>
      </c>
      <c r="M64" s="24" t="s">
        <v>23</v>
      </c>
      <c r="N64" s="24" t="s">
        <v>23</v>
      </c>
      <c r="O64" s="24" t="s">
        <v>23</v>
      </c>
      <c r="P64" s="24" t="s">
        <v>23</v>
      </c>
      <c r="Q64" s="24" t="s">
        <v>23</v>
      </c>
      <c r="R64" s="24" t="s">
        <v>23</v>
      </c>
      <c r="T64" s="8"/>
      <c r="U64" s="8"/>
      <c r="V64" s="8"/>
      <c r="W64" s="8"/>
      <c r="X64" s="8"/>
      <c r="Y64" s="8"/>
      <c r="Z64" s="8"/>
      <c r="AB64" s="25" t="s">
        <v>23</v>
      </c>
      <c r="AC64" s="25" t="s">
        <v>23</v>
      </c>
      <c r="AD64" s="25" t="s">
        <v>23</v>
      </c>
      <c r="AE64" s="25" t="s">
        <v>23</v>
      </c>
      <c r="AF64" s="25" t="s">
        <v>23</v>
      </c>
      <c r="AG64" s="25" t="s">
        <v>23</v>
      </c>
      <c r="AH64" s="7" t="s">
        <v>23</v>
      </c>
      <c r="AJ64" s="74" t="s">
        <v>20</v>
      </c>
      <c r="AK64" s="90">
        <v>5</v>
      </c>
      <c r="AL64" s="91">
        <v>5</v>
      </c>
      <c r="AM64" s="91">
        <v>5</v>
      </c>
      <c r="AN64" s="91">
        <v>5</v>
      </c>
      <c r="AO64" s="76">
        <v>5</v>
      </c>
      <c r="AP64" s="76">
        <v>5</v>
      </c>
      <c r="AQ64" s="77">
        <v>0</v>
      </c>
      <c r="AR64" s="78">
        <v>1</v>
      </c>
    </row>
    <row r="65" spans="1:44" ht="16.5" customHeight="1">
      <c r="A65" s="170">
        <v>1</v>
      </c>
      <c r="B65" s="160">
        <v>0</v>
      </c>
      <c r="K65" s="21">
        <v>61</v>
      </c>
      <c r="L65" s="24" t="s">
        <v>23</v>
      </c>
      <c r="M65" s="24" t="s">
        <v>23</v>
      </c>
      <c r="N65" s="24" t="s">
        <v>23</v>
      </c>
      <c r="O65" s="24" t="s">
        <v>23</v>
      </c>
      <c r="P65" s="24" t="s">
        <v>23</v>
      </c>
      <c r="Q65" s="24" t="s">
        <v>23</v>
      </c>
      <c r="R65" s="24" t="s">
        <v>23</v>
      </c>
      <c r="T65" s="8"/>
      <c r="U65" s="8"/>
      <c r="V65" s="8"/>
      <c r="W65" s="8"/>
      <c r="X65" s="8"/>
      <c r="Y65" s="8"/>
      <c r="Z65" s="8"/>
      <c r="AB65" s="25" t="s">
        <v>23</v>
      </c>
      <c r="AC65" s="25" t="s">
        <v>23</v>
      </c>
      <c r="AD65" s="25" t="s">
        <v>23</v>
      </c>
      <c r="AE65" s="25" t="s">
        <v>23</v>
      </c>
      <c r="AF65" s="25" t="s">
        <v>23</v>
      </c>
      <c r="AG65" s="25" t="s">
        <v>23</v>
      </c>
      <c r="AH65" s="7" t="s">
        <v>23</v>
      </c>
      <c r="AJ65" s="74" t="s">
        <v>21</v>
      </c>
      <c r="AK65" s="90">
        <v>40</v>
      </c>
      <c r="AL65" s="91">
        <v>1</v>
      </c>
      <c r="AM65" s="91">
        <v>10</v>
      </c>
      <c r="AN65" s="91">
        <v>1</v>
      </c>
      <c r="AO65" s="76">
        <v>40</v>
      </c>
      <c r="AP65" s="76">
        <v>1</v>
      </c>
      <c r="AQ65" s="77">
        <v>0</v>
      </c>
      <c r="AR65" s="78">
        <v>2</v>
      </c>
    </row>
    <row r="66" spans="1:44" ht="16.5" customHeight="1">
      <c r="A66" s="170">
        <v>2</v>
      </c>
      <c r="B66" s="160">
        <v>0</v>
      </c>
      <c r="K66" s="22">
        <v>62</v>
      </c>
      <c r="L66" s="24" t="s">
        <v>23</v>
      </c>
      <c r="M66" s="24" t="s">
        <v>23</v>
      </c>
      <c r="N66" s="24" t="s">
        <v>23</v>
      </c>
      <c r="O66" s="24" t="s">
        <v>23</v>
      </c>
      <c r="P66" s="24" t="s">
        <v>23</v>
      </c>
      <c r="Q66" s="24" t="s">
        <v>23</v>
      </c>
      <c r="R66" s="24" t="s">
        <v>23</v>
      </c>
      <c r="T66" s="8"/>
      <c r="U66" s="8"/>
      <c r="V66" s="8"/>
      <c r="W66" s="8"/>
      <c r="X66" s="8"/>
      <c r="Y66" s="8"/>
      <c r="Z66" s="8"/>
      <c r="AB66" s="25" t="s">
        <v>23</v>
      </c>
      <c r="AC66" s="25" t="s">
        <v>23</v>
      </c>
      <c r="AD66" s="25" t="s">
        <v>23</v>
      </c>
      <c r="AE66" s="25" t="s">
        <v>23</v>
      </c>
      <c r="AF66" s="25" t="s">
        <v>23</v>
      </c>
      <c r="AG66" s="25" t="s">
        <v>23</v>
      </c>
      <c r="AH66" s="7" t="s">
        <v>23</v>
      </c>
      <c r="AJ66" s="74" t="s">
        <v>22</v>
      </c>
      <c r="AK66" s="90">
        <v>1</v>
      </c>
      <c r="AL66" s="91">
        <v>40</v>
      </c>
      <c r="AM66" s="91">
        <v>1</v>
      </c>
      <c r="AN66" s="91">
        <v>40</v>
      </c>
      <c r="AO66" s="76">
        <v>1</v>
      </c>
      <c r="AP66" s="76">
        <v>1</v>
      </c>
      <c r="AQ66" s="77">
        <v>1</v>
      </c>
      <c r="AR66" s="78">
        <v>3</v>
      </c>
    </row>
    <row r="67" spans="1:44" ht="16.5" customHeight="1">
      <c r="A67" s="170">
        <v>3</v>
      </c>
      <c r="B67" s="160">
        <v>0</v>
      </c>
      <c r="K67" s="21">
        <v>63</v>
      </c>
      <c r="L67" s="24" t="s">
        <v>23</v>
      </c>
      <c r="M67" s="24" t="s">
        <v>23</v>
      </c>
      <c r="N67" s="24" t="s">
        <v>23</v>
      </c>
      <c r="O67" s="24" t="s">
        <v>23</v>
      </c>
      <c r="P67" s="24" t="s">
        <v>23</v>
      </c>
      <c r="Q67" s="24" t="s">
        <v>23</v>
      </c>
      <c r="R67" s="24" t="s">
        <v>23</v>
      </c>
      <c r="T67" s="8"/>
      <c r="U67" s="8"/>
      <c r="V67" s="8"/>
      <c r="W67" s="8"/>
      <c r="X67" s="8"/>
      <c r="Y67" s="8"/>
      <c r="Z67" s="8"/>
      <c r="AB67" s="25" t="s">
        <v>23</v>
      </c>
      <c r="AC67" s="25" t="s">
        <v>23</v>
      </c>
      <c r="AD67" s="25" t="s">
        <v>23</v>
      </c>
      <c r="AE67" s="25" t="s">
        <v>23</v>
      </c>
      <c r="AF67" s="25" t="s">
        <v>23</v>
      </c>
      <c r="AG67" s="25" t="s">
        <v>23</v>
      </c>
      <c r="AH67" s="7" t="s">
        <v>23</v>
      </c>
      <c r="AJ67" s="74" t="s">
        <v>18</v>
      </c>
      <c r="AK67" s="90">
        <v>40</v>
      </c>
      <c r="AL67" s="91">
        <v>40</v>
      </c>
      <c r="AM67" s="91">
        <v>40</v>
      </c>
      <c r="AN67" s="91">
        <v>1</v>
      </c>
      <c r="AO67" s="76">
        <v>1</v>
      </c>
      <c r="AP67" s="76">
        <v>40</v>
      </c>
      <c r="AQ67" s="77">
        <v>1</v>
      </c>
      <c r="AR67" s="78">
        <v>4</v>
      </c>
    </row>
    <row r="68" spans="1:44" ht="16.5" customHeight="1">
      <c r="A68" s="170">
        <v>4</v>
      </c>
      <c r="B68" s="160">
        <v>1</v>
      </c>
      <c r="K68" s="22">
        <v>64</v>
      </c>
      <c r="L68" s="24" t="s">
        <v>23</v>
      </c>
      <c r="M68" s="24" t="s">
        <v>23</v>
      </c>
      <c r="N68" s="24" t="s">
        <v>23</v>
      </c>
      <c r="O68" s="24" t="s">
        <v>23</v>
      </c>
      <c r="P68" s="24" t="s">
        <v>23</v>
      </c>
      <c r="Q68" s="24" t="s">
        <v>23</v>
      </c>
      <c r="R68" s="24" t="s">
        <v>23</v>
      </c>
      <c r="T68" s="8"/>
      <c r="U68" s="8"/>
      <c r="V68" s="8"/>
      <c r="W68" s="8"/>
      <c r="X68" s="8"/>
      <c r="Y68" s="8"/>
      <c r="Z68" s="8"/>
      <c r="AB68" s="25" t="s">
        <v>23</v>
      </c>
      <c r="AC68" s="25" t="s">
        <v>23</v>
      </c>
      <c r="AD68" s="25" t="s">
        <v>23</v>
      </c>
      <c r="AE68" s="25" t="s">
        <v>23</v>
      </c>
      <c r="AF68" s="25" t="s">
        <v>23</v>
      </c>
      <c r="AG68" s="25" t="s">
        <v>23</v>
      </c>
      <c r="AH68" s="7" t="s">
        <v>23</v>
      </c>
      <c r="AJ68" s="74" t="s">
        <v>19</v>
      </c>
      <c r="AK68" s="90">
        <v>1</v>
      </c>
      <c r="AL68" s="91">
        <v>40</v>
      </c>
      <c r="AM68" s="91">
        <v>1</v>
      </c>
      <c r="AN68" s="91">
        <v>1</v>
      </c>
      <c r="AO68" s="76">
        <v>1</v>
      </c>
      <c r="AP68" s="76">
        <v>40</v>
      </c>
      <c r="AQ68" s="77">
        <v>1</v>
      </c>
      <c r="AR68" s="78">
        <v>5</v>
      </c>
    </row>
    <row r="69" spans="1:44" ht="16.5" customHeight="1">
      <c r="A69" s="171">
        <v>5</v>
      </c>
      <c r="B69" s="173">
        <v>0</v>
      </c>
      <c r="K69" s="21">
        <v>65</v>
      </c>
      <c r="L69" s="24" t="s">
        <v>23</v>
      </c>
      <c r="M69" s="24" t="s">
        <v>23</v>
      </c>
      <c r="N69" s="24" t="s">
        <v>23</v>
      </c>
      <c r="O69" s="24" t="s">
        <v>23</v>
      </c>
      <c r="P69" s="24" t="s">
        <v>23</v>
      </c>
      <c r="Q69" s="24" t="s">
        <v>23</v>
      </c>
      <c r="R69" s="24" t="s">
        <v>23</v>
      </c>
      <c r="T69" s="8"/>
      <c r="U69" s="8"/>
      <c r="V69" s="8"/>
      <c r="W69" s="8"/>
      <c r="X69" s="8"/>
      <c r="Y69" s="8"/>
      <c r="Z69" s="8"/>
      <c r="AB69" s="25" t="s">
        <v>23</v>
      </c>
      <c r="AC69" s="25" t="s">
        <v>23</v>
      </c>
      <c r="AD69" s="25" t="s">
        <v>23</v>
      </c>
      <c r="AE69" s="25" t="s">
        <v>23</v>
      </c>
      <c r="AF69" s="25" t="s">
        <v>23</v>
      </c>
      <c r="AG69" s="25" t="s">
        <v>23</v>
      </c>
      <c r="AH69" s="7" t="s">
        <v>23</v>
      </c>
      <c r="AJ69" s="74" t="s">
        <v>77</v>
      </c>
      <c r="AK69" s="90">
        <v>1</v>
      </c>
      <c r="AL69" s="91">
        <v>1</v>
      </c>
      <c r="AM69" s="91">
        <v>40</v>
      </c>
      <c r="AN69" s="91">
        <v>1</v>
      </c>
      <c r="AO69" s="76">
        <v>40</v>
      </c>
      <c r="AP69" s="76">
        <v>1</v>
      </c>
      <c r="AQ69" s="77">
        <v>1</v>
      </c>
      <c r="AR69" s="78">
        <v>6</v>
      </c>
    </row>
    <row r="70" spans="1:44" ht="16.5" customHeight="1">
      <c r="A70" s="171">
        <v>6</v>
      </c>
      <c r="B70" s="173">
        <v>0</v>
      </c>
      <c r="K70" s="22">
        <v>66</v>
      </c>
      <c r="L70" s="24" t="s">
        <v>23</v>
      </c>
      <c r="M70" s="24" t="s">
        <v>23</v>
      </c>
      <c r="N70" s="24" t="s">
        <v>23</v>
      </c>
      <c r="O70" s="24" t="s">
        <v>23</v>
      </c>
      <c r="P70" s="24" t="s">
        <v>23</v>
      </c>
      <c r="Q70" s="24" t="s">
        <v>23</v>
      </c>
      <c r="R70" s="24" t="s">
        <v>23</v>
      </c>
      <c r="T70" s="8"/>
      <c r="U70" s="8"/>
      <c r="V70" s="8"/>
      <c r="W70" s="8"/>
      <c r="X70" s="8"/>
      <c r="Y70" s="8"/>
      <c r="Z70" s="8"/>
      <c r="AB70" s="25" t="s">
        <v>23</v>
      </c>
      <c r="AC70" s="25" t="s">
        <v>23</v>
      </c>
      <c r="AD70" s="25" t="s">
        <v>23</v>
      </c>
      <c r="AE70" s="25" t="s">
        <v>23</v>
      </c>
      <c r="AF70" s="25" t="s">
        <v>23</v>
      </c>
      <c r="AG70" s="25" t="s">
        <v>23</v>
      </c>
      <c r="AH70" s="7" t="s">
        <v>23</v>
      </c>
      <c r="AJ70" s="74" t="s">
        <v>162</v>
      </c>
      <c r="AK70" s="90">
        <v>1</v>
      </c>
      <c r="AL70" s="91">
        <v>40</v>
      </c>
      <c r="AM70" s="91">
        <v>1</v>
      </c>
      <c r="AN70" s="91">
        <v>40</v>
      </c>
      <c r="AO70" s="76">
        <v>1</v>
      </c>
      <c r="AP70" s="76">
        <v>1</v>
      </c>
      <c r="AQ70" s="77">
        <v>1</v>
      </c>
      <c r="AR70" s="78">
        <v>7</v>
      </c>
    </row>
    <row r="71" spans="1:44" ht="16.5" customHeight="1" thickBot="1">
      <c r="A71" s="172">
        <v>7</v>
      </c>
      <c r="B71" s="174">
        <v>0</v>
      </c>
      <c r="K71" s="21">
        <v>67</v>
      </c>
      <c r="L71" s="24" t="s">
        <v>23</v>
      </c>
      <c r="M71" s="24" t="s">
        <v>23</v>
      </c>
      <c r="N71" s="24" t="s">
        <v>23</v>
      </c>
      <c r="O71" s="24" t="s">
        <v>23</v>
      </c>
      <c r="P71" s="24" t="s">
        <v>23</v>
      </c>
      <c r="Q71" s="24" t="s">
        <v>23</v>
      </c>
      <c r="R71" s="24" t="s">
        <v>23</v>
      </c>
      <c r="T71" s="8"/>
      <c r="U71" s="8"/>
      <c r="V71" s="8"/>
      <c r="W71" s="8"/>
      <c r="X71" s="8"/>
      <c r="Y71" s="8"/>
      <c r="Z71" s="8"/>
      <c r="AB71" s="25" t="s">
        <v>23</v>
      </c>
      <c r="AC71" s="25" t="s">
        <v>23</v>
      </c>
      <c r="AD71" s="25" t="s">
        <v>23</v>
      </c>
      <c r="AE71" s="25" t="s">
        <v>23</v>
      </c>
      <c r="AF71" s="25" t="s">
        <v>23</v>
      </c>
      <c r="AG71" s="25" t="s">
        <v>23</v>
      </c>
      <c r="AH71" s="7" t="s">
        <v>23</v>
      </c>
      <c r="AJ71" s="74" t="s">
        <v>25</v>
      </c>
      <c r="AK71" s="90">
        <v>1</v>
      </c>
      <c r="AL71" s="91">
        <v>1</v>
      </c>
      <c r="AM71" s="91">
        <v>1</v>
      </c>
      <c r="AN71" s="91">
        <v>1</v>
      </c>
      <c r="AO71" s="76">
        <v>35</v>
      </c>
      <c r="AP71" s="76">
        <v>1</v>
      </c>
      <c r="AQ71" s="77">
        <v>1</v>
      </c>
      <c r="AR71" s="78">
        <v>8</v>
      </c>
    </row>
    <row r="72" spans="1:44" ht="16.5" customHeight="1">
      <c r="K72" s="22">
        <v>68</v>
      </c>
      <c r="L72" s="24" t="s">
        <v>23</v>
      </c>
      <c r="M72" s="24" t="s">
        <v>23</v>
      </c>
      <c r="N72" s="24" t="s">
        <v>23</v>
      </c>
      <c r="O72" s="24" t="s">
        <v>23</v>
      </c>
      <c r="P72" s="24" t="s">
        <v>23</v>
      </c>
      <c r="Q72" s="24" t="s">
        <v>23</v>
      </c>
      <c r="R72" s="24" t="s">
        <v>23</v>
      </c>
      <c r="T72" s="8"/>
      <c r="U72" s="8"/>
      <c r="V72" s="8"/>
      <c r="W72" s="8"/>
      <c r="X72" s="8"/>
      <c r="Y72" s="8"/>
      <c r="Z72" s="8"/>
      <c r="AB72" s="25" t="s">
        <v>23</v>
      </c>
      <c r="AC72" s="25" t="s">
        <v>23</v>
      </c>
      <c r="AD72" s="25" t="s">
        <v>23</v>
      </c>
      <c r="AE72" s="25" t="s">
        <v>23</v>
      </c>
      <c r="AF72" s="25" t="s">
        <v>23</v>
      </c>
      <c r="AG72" s="25" t="s">
        <v>23</v>
      </c>
      <c r="AH72" s="7" t="s">
        <v>23</v>
      </c>
      <c r="AJ72" s="74" t="s">
        <v>27</v>
      </c>
      <c r="AK72" s="90">
        <v>1</v>
      </c>
      <c r="AL72" s="91">
        <v>40</v>
      </c>
      <c r="AM72" s="91">
        <v>1</v>
      </c>
      <c r="AN72" s="91">
        <v>40</v>
      </c>
      <c r="AO72" s="76">
        <v>1</v>
      </c>
      <c r="AP72" s="76">
        <v>40</v>
      </c>
      <c r="AQ72" s="77">
        <v>1</v>
      </c>
      <c r="AR72" s="78">
        <v>9</v>
      </c>
    </row>
    <row r="73" spans="1:44" ht="16.5" customHeight="1">
      <c r="K73" s="21">
        <v>69</v>
      </c>
      <c r="L73" s="24" t="s">
        <v>23</v>
      </c>
      <c r="M73" s="24" t="s">
        <v>23</v>
      </c>
      <c r="N73" s="24" t="s">
        <v>23</v>
      </c>
      <c r="O73" s="24" t="s">
        <v>23</v>
      </c>
      <c r="P73" s="24" t="s">
        <v>23</v>
      </c>
      <c r="Q73" s="24" t="s">
        <v>23</v>
      </c>
      <c r="R73" s="24" t="s">
        <v>23</v>
      </c>
      <c r="T73" s="8"/>
      <c r="U73" s="8"/>
      <c r="V73" s="8"/>
      <c r="W73" s="8"/>
      <c r="X73" s="8"/>
      <c r="Y73" s="8"/>
      <c r="Z73" s="8"/>
      <c r="AB73" s="25" t="s">
        <v>23</v>
      </c>
      <c r="AC73" s="25" t="s">
        <v>23</v>
      </c>
      <c r="AD73" s="25" t="s">
        <v>23</v>
      </c>
      <c r="AE73" s="25" t="s">
        <v>23</v>
      </c>
      <c r="AF73" s="25" t="s">
        <v>23</v>
      </c>
      <c r="AG73" s="25" t="s">
        <v>23</v>
      </c>
      <c r="AH73" s="7" t="s">
        <v>23</v>
      </c>
      <c r="AJ73" s="74" t="s">
        <v>28</v>
      </c>
      <c r="AK73" s="90">
        <v>60</v>
      </c>
      <c r="AL73" s="91">
        <v>40</v>
      </c>
      <c r="AM73" s="91">
        <v>35</v>
      </c>
      <c r="AN73" s="91">
        <v>1</v>
      </c>
      <c r="AO73" s="76">
        <v>1</v>
      </c>
      <c r="AP73" s="76">
        <v>1</v>
      </c>
      <c r="AQ73" s="77">
        <v>1</v>
      </c>
      <c r="AR73" s="78">
        <v>10</v>
      </c>
    </row>
    <row r="74" spans="1:44" ht="16.5" customHeight="1">
      <c r="K74" s="22">
        <v>70</v>
      </c>
      <c r="L74" s="24" t="s">
        <v>23</v>
      </c>
      <c r="M74" s="24" t="s">
        <v>23</v>
      </c>
      <c r="N74" s="24" t="s">
        <v>23</v>
      </c>
      <c r="O74" s="24" t="s">
        <v>23</v>
      </c>
      <c r="P74" s="24" t="s">
        <v>23</v>
      </c>
      <c r="Q74" s="24" t="s">
        <v>23</v>
      </c>
      <c r="R74" s="24" t="s">
        <v>23</v>
      </c>
      <c r="T74" s="8"/>
      <c r="U74" s="8"/>
      <c r="V74" s="8"/>
      <c r="W74" s="8"/>
      <c r="X74" s="8"/>
      <c r="Y74" s="8"/>
      <c r="Z74" s="8"/>
      <c r="AB74" s="25" t="s">
        <v>23</v>
      </c>
      <c r="AC74" s="25" t="s">
        <v>23</v>
      </c>
      <c r="AD74" s="25" t="s">
        <v>23</v>
      </c>
      <c r="AE74" s="25" t="s">
        <v>23</v>
      </c>
      <c r="AF74" s="25" t="s">
        <v>23</v>
      </c>
      <c r="AG74" s="25" t="s">
        <v>23</v>
      </c>
      <c r="AH74" s="7" t="s">
        <v>23</v>
      </c>
      <c r="AJ74" s="74" t="s">
        <v>29</v>
      </c>
      <c r="AK74" s="90">
        <v>1</v>
      </c>
      <c r="AL74" s="91">
        <v>40</v>
      </c>
      <c r="AM74" s="91">
        <v>1</v>
      </c>
      <c r="AN74" s="91">
        <v>1</v>
      </c>
      <c r="AO74" s="76">
        <v>1</v>
      </c>
      <c r="AP74" s="76">
        <v>1</v>
      </c>
      <c r="AQ74" s="77">
        <v>1</v>
      </c>
      <c r="AR74" s="78">
        <v>11</v>
      </c>
    </row>
    <row r="75" spans="1:44" ht="16.5" customHeight="1">
      <c r="K75" s="21">
        <v>71</v>
      </c>
      <c r="L75" s="24" t="s">
        <v>23</v>
      </c>
      <c r="M75" s="24" t="s">
        <v>23</v>
      </c>
      <c r="N75" s="24" t="s">
        <v>23</v>
      </c>
      <c r="O75" s="24" t="s">
        <v>23</v>
      </c>
      <c r="P75" s="24" t="s">
        <v>23</v>
      </c>
      <c r="Q75" s="24" t="s">
        <v>23</v>
      </c>
      <c r="R75" s="24" t="s">
        <v>23</v>
      </c>
      <c r="T75" s="8"/>
      <c r="U75" s="8"/>
      <c r="V75" s="8"/>
      <c r="W75" s="8"/>
      <c r="X75" s="8"/>
      <c r="Y75" s="8"/>
      <c r="Z75" s="8"/>
      <c r="AB75" s="25" t="s">
        <v>23</v>
      </c>
      <c r="AC75" s="25" t="s">
        <v>23</v>
      </c>
      <c r="AD75" s="25" t="s">
        <v>23</v>
      </c>
      <c r="AE75" s="25" t="s">
        <v>23</v>
      </c>
      <c r="AF75" s="25" t="s">
        <v>23</v>
      </c>
      <c r="AG75" s="25" t="s">
        <v>23</v>
      </c>
      <c r="AH75" s="7" t="s">
        <v>23</v>
      </c>
      <c r="AJ75" s="74" t="s">
        <v>30</v>
      </c>
      <c r="AK75" s="90">
        <v>40</v>
      </c>
      <c r="AL75" s="91">
        <v>1</v>
      </c>
      <c r="AM75" s="91">
        <v>1</v>
      </c>
      <c r="AN75" s="91">
        <v>1</v>
      </c>
      <c r="AO75" s="76">
        <v>1</v>
      </c>
      <c r="AP75" s="76">
        <v>1</v>
      </c>
      <c r="AQ75" s="77">
        <v>1</v>
      </c>
      <c r="AR75" s="78">
        <v>12</v>
      </c>
    </row>
    <row r="76" spans="1:44" ht="16.5" customHeight="1">
      <c r="K76" s="22">
        <v>72</v>
      </c>
      <c r="L76" s="24" t="s">
        <v>23</v>
      </c>
      <c r="M76" s="24" t="s">
        <v>23</v>
      </c>
      <c r="N76" s="24" t="s">
        <v>23</v>
      </c>
      <c r="O76" s="24" t="s">
        <v>23</v>
      </c>
      <c r="P76" s="24" t="s">
        <v>23</v>
      </c>
      <c r="Q76" s="24" t="s">
        <v>23</v>
      </c>
      <c r="R76" s="24" t="s">
        <v>23</v>
      </c>
      <c r="T76" s="8"/>
      <c r="U76" s="8"/>
      <c r="V76" s="8"/>
      <c r="W76" s="8"/>
      <c r="X76" s="8"/>
      <c r="Y76" s="8"/>
      <c r="Z76" s="8"/>
      <c r="AB76" s="25" t="s">
        <v>23</v>
      </c>
      <c r="AC76" s="25" t="s">
        <v>23</v>
      </c>
      <c r="AD76" s="25" t="s">
        <v>23</v>
      </c>
      <c r="AE76" s="25" t="s">
        <v>23</v>
      </c>
      <c r="AF76" s="25" t="s">
        <v>23</v>
      </c>
      <c r="AG76" s="25" t="s">
        <v>23</v>
      </c>
      <c r="AH76" s="7" t="s">
        <v>23</v>
      </c>
      <c r="AJ76" s="74" t="s">
        <v>82</v>
      </c>
      <c r="AK76" s="90">
        <v>0</v>
      </c>
      <c r="AL76" s="91">
        <v>2</v>
      </c>
      <c r="AM76" s="91">
        <v>2</v>
      </c>
      <c r="AN76" s="91">
        <v>1</v>
      </c>
      <c r="AO76" s="76">
        <v>2</v>
      </c>
      <c r="AP76" s="76">
        <v>0</v>
      </c>
      <c r="AQ76" s="77">
        <v>0</v>
      </c>
      <c r="AR76" s="78">
        <v>13</v>
      </c>
    </row>
    <row r="77" spans="1:44" ht="16.5" customHeight="1">
      <c r="K77" s="21">
        <v>73</v>
      </c>
      <c r="L77" s="24" t="s">
        <v>23</v>
      </c>
      <c r="M77" s="24" t="s">
        <v>23</v>
      </c>
      <c r="N77" s="24" t="s">
        <v>23</v>
      </c>
      <c r="O77" s="24" t="s">
        <v>23</v>
      </c>
      <c r="P77" s="24" t="s">
        <v>23</v>
      </c>
      <c r="Q77" s="24" t="s">
        <v>23</v>
      </c>
      <c r="R77" s="24" t="s">
        <v>23</v>
      </c>
      <c r="T77" s="8"/>
      <c r="U77" s="8"/>
      <c r="V77" s="8"/>
      <c r="W77" s="8"/>
      <c r="X77" s="8"/>
      <c r="Y77" s="8"/>
      <c r="Z77" s="8"/>
      <c r="AB77" s="25" t="s">
        <v>23</v>
      </c>
      <c r="AC77" s="25" t="s">
        <v>23</v>
      </c>
      <c r="AD77" s="25" t="s">
        <v>23</v>
      </c>
      <c r="AE77" s="25" t="s">
        <v>23</v>
      </c>
      <c r="AF77" s="25" t="s">
        <v>23</v>
      </c>
      <c r="AG77" s="25" t="s">
        <v>23</v>
      </c>
      <c r="AH77" s="7" t="s">
        <v>23</v>
      </c>
      <c r="AJ77" s="74" t="s">
        <v>83</v>
      </c>
      <c r="AK77" s="90">
        <v>0</v>
      </c>
      <c r="AL77" s="91">
        <v>1</v>
      </c>
      <c r="AM77" s="91">
        <v>1</v>
      </c>
      <c r="AN77" s="91">
        <v>2</v>
      </c>
      <c r="AO77" s="76">
        <v>1</v>
      </c>
      <c r="AP77" s="76">
        <v>0</v>
      </c>
      <c r="AQ77" s="77">
        <v>0</v>
      </c>
      <c r="AR77" s="78">
        <v>14</v>
      </c>
    </row>
    <row r="78" spans="1:44" ht="16.5" customHeight="1">
      <c r="K78" s="22">
        <v>74</v>
      </c>
      <c r="L78" s="24" t="s">
        <v>23</v>
      </c>
      <c r="M78" s="24" t="s">
        <v>23</v>
      </c>
      <c r="N78" s="24" t="s">
        <v>23</v>
      </c>
      <c r="O78" s="24" t="s">
        <v>23</v>
      </c>
      <c r="P78" s="24" t="s">
        <v>23</v>
      </c>
      <c r="Q78" s="24" t="s">
        <v>23</v>
      </c>
      <c r="R78" s="24" t="s">
        <v>23</v>
      </c>
      <c r="T78" s="8"/>
      <c r="U78" s="8"/>
      <c r="V78" s="8"/>
      <c r="W78" s="8"/>
      <c r="X78" s="8"/>
      <c r="Y78" s="8"/>
      <c r="Z78" s="8"/>
      <c r="AB78" s="25" t="s">
        <v>23</v>
      </c>
      <c r="AC78" s="25" t="s">
        <v>23</v>
      </c>
      <c r="AD78" s="25" t="s">
        <v>23</v>
      </c>
      <c r="AE78" s="25" t="s">
        <v>23</v>
      </c>
      <c r="AF78" s="25" t="s">
        <v>23</v>
      </c>
      <c r="AG78" s="25" t="s">
        <v>23</v>
      </c>
      <c r="AH78" s="7" t="s">
        <v>23</v>
      </c>
      <c r="AJ78" s="74" t="s">
        <v>84</v>
      </c>
      <c r="AK78" s="90">
        <v>0</v>
      </c>
      <c r="AL78" s="91">
        <v>2</v>
      </c>
      <c r="AM78" s="91">
        <v>2</v>
      </c>
      <c r="AN78" s="91">
        <v>1</v>
      </c>
      <c r="AO78" s="76">
        <v>1</v>
      </c>
      <c r="AP78" s="76">
        <v>0</v>
      </c>
      <c r="AQ78" s="77">
        <v>0</v>
      </c>
      <c r="AR78" s="78">
        <v>15</v>
      </c>
    </row>
    <row r="79" spans="1:44" ht="16.5" customHeight="1">
      <c r="K79" s="21">
        <v>75</v>
      </c>
      <c r="L79" s="24" t="s">
        <v>23</v>
      </c>
      <c r="M79" s="24" t="s">
        <v>23</v>
      </c>
      <c r="N79" s="24" t="s">
        <v>23</v>
      </c>
      <c r="O79" s="24" t="s">
        <v>23</v>
      </c>
      <c r="P79" s="24" t="s">
        <v>23</v>
      </c>
      <c r="Q79" s="24" t="s">
        <v>23</v>
      </c>
      <c r="R79" s="24" t="s">
        <v>23</v>
      </c>
      <c r="T79" s="8"/>
      <c r="U79" s="8"/>
      <c r="V79" s="8"/>
      <c r="W79" s="8"/>
      <c r="X79" s="8"/>
      <c r="Y79" s="8"/>
      <c r="Z79" s="8"/>
      <c r="AB79" s="25" t="s">
        <v>23</v>
      </c>
      <c r="AC79" s="25" t="s">
        <v>23</v>
      </c>
      <c r="AD79" s="25" t="s">
        <v>23</v>
      </c>
      <c r="AE79" s="25" t="s">
        <v>23</v>
      </c>
      <c r="AF79" s="25" t="s">
        <v>23</v>
      </c>
      <c r="AG79" s="25" t="s">
        <v>23</v>
      </c>
      <c r="AH79" s="7" t="s">
        <v>23</v>
      </c>
      <c r="AJ79" s="74" t="s">
        <v>85</v>
      </c>
      <c r="AK79" s="75">
        <v>0</v>
      </c>
      <c r="AL79" s="76">
        <v>1</v>
      </c>
      <c r="AM79" s="76">
        <v>1</v>
      </c>
      <c r="AN79" s="76">
        <v>1</v>
      </c>
      <c r="AO79" s="76">
        <v>1</v>
      </c>
      <c r="AP79" s="76">
        <v>0</v>
      </c>
      <c r="AQ79" s="77">
        <v>0</v>
      </c>
      <c r="AR79" s="78">
        <v>16</v>
      </c>
    </row>
    <row r="80" spans="1:44" ht="16.5">
      <c r="K80" s="22">
        <v>76</v>
      </c>
      <c r="L80" s="24" t="s">
        <v>23</v>
      </c>
      <c r="M80" s="24" t="s">
        <v>23</v>
      </c>
      <c r="N80" s="24" t="s">
        <v>23</v>
      </c>
      <c r="O80" s="24" t="s">
        <v>23</v>
      </c>
      <c r="P80" s="24" t="s">
        <v>23</v>
      </c>
      <c r="Q80" s="24" t="s">
        <v>23</v>
      </c>
      <c r="R80" s="24" t="s">
        <v>23</v>
      </c>
      <c r="T80" s="8"/>
      <c r="U80" s="8"/>
      <c r="V80" s="8"/>
      <c r="W80" s="8"/>
      <c r="X80" s="8"/>
      <c r="Y80" s="8"/>
      <c r="Z80" s="8"/>
      <c r="AB80" s="25" t="s">
        <v>23</v>
      </c>
      <c r="AC80" s="25" t="s">
        <v>23</v>
      </c>
      <c r="AD80" s="25" t="s">
        <v>23</v>
      </c>
      <c r="AE80" s="25" t="s">
        <v>23</v>
      </c>
      <c r="AF80" s="25" t="s">
        <v>23</v>
      </c>
      <c r="AG80" s="25" t="s">
        <v>23</v>
      </c>
      <c r="AH80" s="7" t="s">
        <v>23</v>
      </c>
      <c r="AJ80" s="74" t="s">
        <v>86</v>
      </c>
      <c r="AK80" s="75">
        <v>0</v>
      </c>
      <c r="AL80" s="76">
        <v>2</v>
      </c>
      <c r="AM80" s="76">
        <v>2</v>
      </c>
      <c r="AN80" s="76">
        <v>1</v>
      </c>
      <c r="AO80" s="76">
        <v>2</v>
      </c>
      <c r="AP80" s="76">
        <v>0</v>
      </c>
      <c r="AQ80" s="77">
        <v>0</v>
      </c>
      <c r="AR80" s="78">
        <v>17</v>
      </c>
    </row>
    <row r="81" spans="11:44" ht="16.5">
      <c r="K81" s="21">
        <v>77</v>
      </c>
      <c r="L81" s="24" t="s">
        <v>23</v>
      </c>
      <c r="M81" s="24" t="s">
        <v>23</v>
      </c>
      <c r="N81" s="24" t="s">
        <v>23</v>
      </c>
      <c r="O81" s="24" t="s">
        <v>23</v>
      </c>
      <c r="P81" s="24" t="s">
        <v>23</v>
      </c>
      <c r="Q81" s="24" t="s">
        <v>23</v>
      </c>
      <c r="R81" s="24" t="s">
        <v>23</v>
      </c>
      <c r="T81" s="8"/>
      <c r="U81" s="8"/>
      <c r="V81" s="8"/>
      <c r="W81" s="8"/>
      <c r="X81" s="8"/>
      <c r="Y81" s="8"/>
      <c r="Z81" s="8"/>
      <c r="AB81" s="25" t="s">
        <v>23</v>
      </c>
      <c r="AC81" s="25" t="s">
        <v>23</v>
      </c>
      <c r="AD81" s="25" t="s">
        <v>23</v>
      </c>
      <c r="AE81" s="25" t="s">
        <v>23</v>
      </c>
      <c r="AF81" s="25" t="s">
        <v>23</v>
      </c>
      <c r="AG81" s="25" t="s">
        <v>23</v>
      </c>
      <c r="AH81" s="7" t="s">
        <v>23</v>
      </c>
      <c r="AJ81" s="74" t="s">
        <v>176</v>
      </c>
      <c r="AK81" s="75">
        <v>0</v>
      </c>
      <c r="AL81" s="76">
        <v>2</v>
      </c>
      <c r="AM81" s="76">
        <v>2</v>
      </c>
      <c r="AN81" s="76">
        <v>1</v>
      </c>
      <c r="AO81" s="76">
        <v>2</v>
      </c>
      <c r="AP81" s="76">
        <v>0</v>
      </c>
      <c r="AQ81" s="77">
        <v>0</v>
      </c>
      <c r="AR81" s="78">
        <v>18</v>
      </c>
    </row>
    <row r="82" spans="11:44" ht="16.5">
      <c r="K82" s="22">
        <v>78</v>
      </c>
      <c r="L82" s="24" t="s">
        <v>23</v>
      </c>
      <c r="M82" s="24" t="s">
        <v>23</v>
      </c>
      <c r="N82" s="24" t="s">
        <v>23</v>
      </c>
      <c r="O82" s="24" t="s">
        <v>23</v>
      </c>
      <c r="P82" s="24" t="s">
        <v>23</v>
      </c>
      <c r="Q82" s="24" t="s">
        <v>23</v>
      </c>
      <c r="R82" s="24" t="s">
        <v>23</v>
      </c>
      <c r="T82" s="8"/>
      <c r="U82" s="8"/>
      <c r="V82" s="8"/>
      <c r="W82" s="8"/>
      <c r="X82" s="8"/>
      <c r="Y82" s="8"/>
      <c r="Z82" s="8"/>
      <c r="AB82" s="25" t="s">
        <v>23</v>
      </c>
      <c r="AC82" s="25" t="s">
        <v>23</v>
      </c>
      <c r="AD82" s="25" t="s">
        <v>23</v>
      </c>
      <c r="AE82" s="25" t="s">
        <v>23</v>
      </c>
      <c r="AF82" s="25" t="s">
        <v>23</v>
      </c>
      <c r="AG82" s="25" t="s">
        <v>23</v>
      </c>
      <c r="AH82" s="7" t="s">
        <v>23</v>
      </c>
      <c r="AJ82" s="74" t="s">
        <v>87</v>
      </c>
      <c r="AK82" s="75">
        <v>0</v>
      </c>
      <c r="AL82" s="76">
        <v>2</v>
      </c>
      <c r="AM82" s="76">
        <v>1</v>
      </c>
      <c r="AN82" s="76">
        <v>1</v>
      </c>
      <c r="AO82" s="76">
        <v>7</v>
      </c>
      <c r="AP82" s="76">
        <v>0</v>
      </c>
      <c r="AQ82" s="77">
        <v>0</v>
      </c>
      <c r="AR82" s="78">
        <v>19</v>
      </c>
    </row>
    <row r="83" spans="11:44" ht="16.5">
      <c r="K83" s="21">
        <v>79</v>
      </c>
      <c r="L83" s="24" t="s">
        <v>23</v>
      </c>
      <c r="M83" s="24" t="s">
        <v>23</v>
      </c>
      <c r="N83" s="24" t="s">
        <v>23</v>
      </c>
      <c r="O83" s="24" t="s">
        <v>23</v>
      </c>
      <c r="P83" s="24" t="s">
        <v>23</v>
      </c>
      <c r="Q83" s="24" t="s">
        <v>23</v>
      </c>
      <c r="R83" s="24" t="s">
        <v>23</v>
      </c>
      <c r="T83" s="8"/>
      <c r="U83" s="8"/>
      <c r="V83" s="8"/>
      <c r="W83" s="8"/>
      <c r="X83" s="8"/>
      <c r="Y83" s="8"/>
      <c r="Z83" s="8"/>
      <c r="AB83" s="25" t="s">
        <v>23</v>
      </c>
      <c r="AC83" s="25" t="s">
        <v>23</v>
      </c>
      <c r="AD83" s="25" t="s">
        <v>23</v>
      </c>
      <c r="AE83" s="25" t="s">
        <v>23</v>
      </c>
      <c r="AF83" s="25" t="s">
        <v>23</v>
      </c>
      <c r="AG83" s="25" t="s">
        <v>23</v>
      </c>
      <c r="AH83" s="7" t="s">
        <v>23</v>
      </c>
      <c r="AJ83" s="74" t="s">
        <v>88</v>
      </c>
      <c r="AK83" s="75">
        <v>0</v>
      </c>
      <c r="AL83" s="76">
        <v>2</v>
      </c>
      <c r="AM83" s="76">
        <v>1</v>
      </c>
      <c r="AN83" s="76">
        <v>2</v>
      </c>
      <c r="AO83" s="76">
        <v>1</v>
      </c>
      <c r="AP83" s="76">
        <v>0</v>
      </c>
      <c r="AQ83" s="77">
        <v>0</v>
      </c>
      <c r="AR83" s="78">
        <v>20</v>
      </c>
    </row>
    <row r="84" spans="11:44" ht="16.5">
      <c r="K84" s="22">
        <v>80</v>
      </c>
      <c r="L84" s="24" t="s">
        <v>23</v>
      </c>
      <c r="M84" s="24" t="s">
        <v>23</v>
      </c>
      <c r="N84" s="24" t="s">
        <v>23</v>
      </c>
      <c r="O84" s="24" t="s">
        <v>23</v>
      </c>
      <c r="P84" s="24" t="s">
        <v>23</v>
      </c>
      <c r="Q84" s="24" t="s">
        <v>23</v>
      </c>
      <c r="R84" s="24" t="s">
        <v>23</v>
      </c>
      <c r="T84" s="8"/>
      <c r="U84" s="8"/>
      <c r="V84" s="8"/>
      <c r="W84" s="8"/>
      <c r="X84" s="8"/>
      <c r="Y84" s="8"/>
      <c r="Z84" s="8"/>
      <c r="AB84" s="25" t="s">
        <v>23</v>
      </c>
      <c r="AC84" s="25" t="s">
        <v>23</v>
      </c>
      <c r="AD84" s="25" t="s">
        <v>23</v>
      </c>
      <c r="AE84" s="25" t="s">
        <v>23</v>
      </c>
      <c r="AF84" s="25" t="s">
        <v>23</v>
      </c>
      <c r="AG84" s="25" t="s">
        <v>23</v>
      </c>
      <c r="AH84" s="7" t="s">
        <v>23</v>
      </c>
      <c r="AJ84" s="74" t="s">
        <v>89</v>
      </c>
      <c r="AK84" s="75">
        <v>0</v>
      </c>
      <c r="AL84" s="76">
        <v>2</v>
      </c>
      <c r="AM84" s="76">
        <v>7</v>
      </c>
      <c r="AN84" s="76">
        <v>1</v>
      </c>
      <c r="AO84" s="76">
        <v>1</v>
      </c>
      <c r="AP84" s="76">
        <v>0</v>
      </c>
      <c r="AQ84" s="77">
        <v>0</v>
      </c>
      <c r="AR84" s="78">
        <v>21</v>
      </c>
    </row>
    <row r="85" spans="11:44" ht="16.5">
      <c r="K85" s="21">
        <v>81</v>
      </c>
      <c r="L85" s="24" t="s">
        <v>23</v>
      </c>
      <c r="M85" s="24" t="s">
        <v>23</v>
      </c>
      <c r="N85" s="24" t="s">
        <v>23</v>
      </c>
      <c r="O85" s="24" t="s">
        <v>23</v>
      </c>
      <c r="P85" s="24" t="s">
        <v>23</v>
      </c>
      <c r="Q85" s="24" t="s">
        <v>23</v>
      </c>
      <c r="R85" s="24" t="s">
        <v>23</v>
      </c>
      <c r="T85" s="8"/>
      <c r="U85" s="8"/>
      <c r="V85" s="8"/>
      <c r="W85" s="8"/>
      <c r="X85" s="8"/>
      <c r="Y85" s="8"/>
      <c r="Z85" s="8"/>
      <c r="AB85" s="25" t="s">
        <v>23</v>
      </c>
      <c r="AC85" s="25" t="s">
        <v>23</v>
      </c>
      <c r="AD85" s="25" t="s">
        <v>23</v>
      </c>
      <c r="AE85" s="25" t="s">
        <v>23</v>
      </c>
      <c r="AF85" s="25" t="s">
        <v>23</v>
      </c>
      <c r="AG85" s="25" t="s">
        <v>23</v>
      </c>
      <c r="AH85" s="7" t="s">
        <v>23</v>
      </c>
      <c r="AJ85" s="74" t="s">
        <v>90</v>
      </c>
      <c r="AK85" s="75">
        <v>0</v>
      </c>
      <c r="AL85" s="76">
        <v>1</v>
      </c>
      <c r="AM85" s="76">
        <v>1</v>
      </c>
      <c r="AN85" s="76">
        <v>1</v>
      </c>
      <c r="AO85" s="76">
        <v>1</v>
      </c>
      <c r="AP85" s="76">
        <v>0</v>
      </c>
      <c r="AQ85" s="77">
        <v>0</v>
      </c>
      <c r="AR85" s="78">
        <v>22</v>
      </c>
    </row>
    <row r="86" spans="11:44" ht="17.25" thickBot="1">
      <c r="K86" s="22">
        <v>82</v>
      </c>
      <c r="L86" s="24" t="s">
        <v>23</v>
      </c>
      <c r="M86" s="24" t="s">
        <v>23</v>
      </c>
      <c r="N86" s="24" t="s">
        <v>23</v>
      </c>
      <c r="O86" s="24" t="s">
        <v>23</v>
      </c>
      <c r="P86" s="24" t="s">
        <v>23</v>
      </c>
      <c r="Q86" s="24" t="s">
        <v>23</v>
      </c>
      <c r="R86" s="24" t="s">
        <v>23</v>
      </c>
      <c r="T86" s="8"/>
      <c r="U86" s="8"/>
      <c r="V86" s="8"/>
      <c r="W86" s="8"/>
      <c r="X86" s="8"/>
      <c r="Y86" s="8"/>
      <c r="Z86" s="8"/>
      <c r="AB86" s="25" t="s">
        <v>23</v>
      </c>
      <c r="AC86" s="25" t="s">
        <v>23</v>
      </c>
      <c r="AD86" s="25" t="s">
        <v>23</v>
      </c>
      <c r="AE86" s="25" t="s">
        <v>23</v>
      </c>
      <c r="AF86" s="25" t="s">
        <v>23</v>
      </c>
      <c r="AG86" s="25" t="s">
        <v>23</v>
      </c>
      <c r="AH86" s="7" t="s">
        <v>23</v>
      </c>
      <c r="AJ86" s="80" t="s">
        <v>91</v>
      </c>
      <c r="AK86" s="81">
        <v>0</v>
      </c>
      <c r="AL86" s="82">
        <v>2</v>
      </c>
      <c r="AM86" s="82">
        <v>1</v>
      </c>
      <c r="AN86" s="82">
        <v>1</v>
      </c>
      <c r="AO86" s="82">
        <v>1</v>
      </c>
      <c r="AP86" s="82">
        <v>0</v>
      </c>
      <c r="AQ86" s="83">
        <v>0</v>
      </c>
      <c r="AR86" s="178">
        <v>23</v>
      </c>
    </row>
    <row r="87" spans="11:44" ht="16.5">
      <c r="K87" s="21">
        <v>83</v>
      </c>
      <c r="L87" s="24" t="s">
        <v>23</v>
      </c>
      <c r="M87" s="24" t="s">
        <v>23</v>
      </c>
      <c r="N87" s="24" t="s">
        <v>23</v>
      </c>
      <c r="O87" s="24" t="s">
        <v>23</v>
      </c>
      <c r="P87" s="24" t="s">
        <v>23</v>
      </c>
      <c r="Q87" s="24" t="s">
        <v>23</v>
      </c>
      <c r="R87" s="24" t="s">
        <v>23</v>
      </c>
      <c r="T87" s="8"/>
      <c r="U87" s="8"/>
      <c r="V87" s="8"/>
      <c r="W87" s="8"/>
      <c r="X87" s="8"/>
      <c r="Y87" s="8"/>
      <c r="Z87" s="8"/>
      <c r="AB87" s="25" t="s">
        <v>23</v>
      </c>
      <c r="AC87" s="25" t="s">
        <v>23</v>
      </c>
      <c r="AD87" s="25" t="s">
        <v>23</v>
      </c>
      <c r="AE87" s="25" t="s">
        <v>23</v>
      </c>
      <c r="AF87" s="25" t="s">
        <v>23</v>
      </c>
      <c r="AG87" s="25" t="s">
        <v>23</v>
      </c>
      <c r="AH87" s="7" t="s">
        <v>23</v>
      </c>
      <c r="AJ87" s="184" t="s">
        <v>190</v>
      </c>
      <c r="AK87" s="185">
        <v>0</v>
      </c>
      <c r="AL87" s="186">
        <v>10</v>
      </c>
      <c r="AM87" s="186">
        <v>10</v>
      </c>
      <c r="AN87" s="186">
        <v>10</v>
      </c>
      <c r="AO87" s="186">
        <v>10</v>
      </c>
      <c r="AP87" s="186">
        <v>0</v>
      </c>
      <c r="AQ87" s="187">
        <v>0</v>
      </c>
      <c r="AR87" s="183">
        <v>24</v>
      </c>
    </row>
    <row r="88" spans="11:44" ht="17.25" thickBot="1">
      <c r="K88" s="22">
        <v>84</v>
      </c>
      <c r="L88" s="24" t="s">
        <v>23</v>
      </c>
      <c r="M88" s="24" t="s">
        <v>23</v>
      </c>
      <c r="N88" s="24" t="s">
        <v>23</v>
      </c>
      <c r="O88" s="24" t="s">
        <v>23</v>
      </c>
      <c r="P88" s="24" t="s">
        <v>23</v>
      </c>
      <c r="Q88" s="24" t="s">
        <v>23</v>
      </c>
      <c r="R88" s="24" t="s">
        <v>23</v>
      </c>
      <c r="T88" s="8"/>
      <c r="U88" s="8"/>
      <c r="V88" s="8"/>
      <c r="W88" s="8"/>
      <c r="X88" s="8"/>
      <c r="Y88" s="8"/>
      <c r="Z88" s="8"/>
      <c r="AB88" s="25" t="s">
        <v>23</v>
      </c>
      <c r="AC88" s="25" t="s">
        <v>23</v>
      </c>
      <c r="AD88" s="25" t="s">
        <v>23</v>
      </c>
      <c r="AE88" s="25" t="s">
        <v>23</v>
      </c>
      <c r="AF88" s="25" t="s">
        <v>23</v>
      </c>
      <c r="AG88" s="25" t="s">
        <v>23</v>
      </c>
      <c r="AH88" s="7" t="s">
        <v>23</v>
      </c>
      <c r="AJ88" s="101" t="s">
        <v>201</v>
      </c>
      <c r="AK88" s="93">
        <v>0</v>
      </c>
      <c r="AL88" s="94">
        <v>1</v>
      </c>
      <c r="AM88" s="94">
        <v>1</v>
      </c>
      <c r="AN88" s="94">
        <v>1</v>
      </c>
      <c r="AO88" s="94">
        <v>1</v>
      </c>
      <c r="AP88" s="94">
        <v>0</v>
      </c>
      <c r="AQ88" s="95">
        <v>0</v>
      </c>
      <c r="AR88" s="84">
        <v>25</v>
      </c>
    </row>
    <row r="89" spans="11:44">
      <c r="K89" s="21">
        <v>85</v>
      </c>
      <c r="L89" s="24" t="s">
        <v>23</v>
      </c>
      <c r="M89" s="24" t="s">
        <v>23</v>
      </c>
      <c r="N89" s="24" t="s">
        <v>23</v>
      </c>
      <c r="O89" s="24" t="s">
        <v>23</v>
      </c>
      <c r="P89" s="24" t="s">
        <v>23</v>
      </c>
      <c r="Q89" s="24" t="s">
        <v>23</v>
      </c>
      <c r="R89" s="24" t="s">
        <v>23</v>
      </c>
      <c r="T89" s="8"/>
      <c r="U89" s="8"/>
      <c r="V89" s="8"/>
      <c r="W89" s="8"/>
      <c r="X89" s="8"/>
      <c r="Y89" s="8"/>
      <c r="Z89" s="8"/>
      <c r="AB89" s="25" t="s">
        <v>23</v>
      </c>
      <c r="AC89" s="25" t="s">
        <v>23</v>
      </c>
      <c r="AD89" s="25" t="s">
        <v>23</v>
      </c>
      <c r="AE89" s="25" t="s">
        <v>23</v>
      </c>
      <c r="AF89" s="25" t="s">
        <v>23</v>
      </c>
      <c r="AG89" s="25" t="s">
        <v>23</v>
      </c>
      <c r="AH89" s="7" t="s">
        <v>23</v>
      </c>
      <c r="AJ89" s="103"/>
      <c r="AK89" s="103"/>
      <c r="AL89" s="103"/>
      <c r="AM89" s="103"/>
      <c r="AN89" s="103"/>
      <c r="AO89" s="103"/>
      <c r="AP89" s="103"/>
      <c r="AQ89" s="103"/>
      <c r="AR89" s="103"/>
    </row>
    <row r="90" spans="11:44" ht="16.5" thickBot="1">
      <c r="K90" s="22">
        <v>86</v>
      </c>
      <c r="L90" s="24" t="s">
        <v>23</v>
      </c>
      <c r="M90" s="24" t="s">
        <v>23</v>
      </c>
      <c r="N90" s="24" t="s">
        <v>23</v>
      </c>
      <c r="O90" s="24" t="s">
        <v>23</v>
      </c>
      <c r="P90" s="24" t="s">
        <v>23</v>
      </c>
      <c r="Q90" s="24" t="s">
        <v>23</v>
      </c>
      <c r="R90" s="24" t="s">
        <v>23</v>
      </c>
      <c r="T90" s="8"/>
      <c r="U90" s="8"/>
      <c r="V90" s="8"/>
      <c r="W90" s="8"/>
      <c r="X90" s="8"/>
      <c r="Y90" s="8"/>
      <c r="Z90" s="8"/>
      <c r="AB90" s="25" t="s">
        <v>23</v>
      </c>
      <c r="AC90" s="25" t="s">
        <v>23</v>
      </c>
      <c r="AD90" s="25" t="s">
        <v>23</v>
      </c>
      <c r="AE90" s="25" t="s">
        <v>23</v>
      </c>
      <c r="AF90" s="25" t="s">
        <v>23</v>
      </c>
      <c r="AG90" s="25" t="s">
        <v>23</v>
      </c>
      <c r="AH90" s="7" t="s">
        <v>23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</row>
    <row r="91" spans="11:44" ht="17.25" thickBot="1">
      <c r="K91" s="21">
        <v>87</v>
      </c>
      <c r="L91" s="24" t="s">
        <v>23</v>
      </c>
      <c r="M91" s="24" t="s">
        <v>23</v>
      </c>
      <c r="N91" s="24" t="s">
        <v>23</v>
      </c>
      <c r="O91" s="24" t="s">
        <v>23</v>
      </c>
      <c r="P91" s="24" t="s">
        <v>23</v>
      </c>
      <c r="Q91" s="24" t="s">
        <v>23</v>
      </c>
      <c r="R91" s="24" t="s">
        <v>23</v>
      </c>
      <c r="T91" s="8"/>
      <c r="U91" s="8"/>
      <c r="V91" s="8"/>
      <c r="W91" s="8"/>
      <c r="X91" s="8"/>
      <c r="Y91" s="8"/>
      <c r="Z91" s="8"/>
      <c r="AB91" s="25" t="s">
        <v>23</v>
      </c>
      <c r="AC91" s="25" t="s">
        <v>23</v>
      </c>
      <c r="AD91" s="25" t="s">
        <v>23</v>
      </c>
      <c r="AE91" s="25" t="s">
        <v>23</v>
      </c>
      <c r="AF91" s="25" t="s">
        <v>23</v>
      </c>
      <c r="AG91" s="25" t="s">
        <v>23</v>
      </c>
      <c r="AH91" s="7" t="s">
        <v>23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</row>
    <row r="92" spans="11:44" ht="16.5">
      <c r="K92" s="22">
        <v>88</v>
      </c>
      <c r="L92" s="24" t="s">
        <v>23</v>
      </c>
      <c r="M92" s="24" t="s">
        <v>23</v>
      </c>
      <c r="N92" s="24" t="s">
        <v>23</v>
      </c>
      <c r="O92" s="24" t="s">
        <v>23</v>
      </c>
      <c r="P92" s="24" t="s">
        <v>23</v>
      </c>
      <c r="Q92" s="24" t="s">
        <v>23</v>
      </c>
      <c r="R92" s="24" t="s">
        <v>23</v>
      </c>
      <c r="T92" s="8"/>
      <c r="U92" s="8"/>
      <c r="V92" s="8"/>
      <c r="W92" s="8"/>
      <c r="X92" s="8"/>
      <c r="Y92" s="8"/>
      <c r="Z92" s="8"/>
      <c r="AB92" s="25" t="s">
        <v>23</v>
      </c>
      <c r="AC92" s="25" t="s">
        <v>23</v>
      </c>
      <c r="AD92" s="25" t="s">
        <v>23</v>
      </c>
      <c r="AE92" s="25" t="s">
        <v>23</v>
      </c>
      <c r="AF92" s="25" t="s">
        <v>23</v>
      </c>
      <c r="AG92" s="25" t="s">
        <v>23</v>
      </c>
      <c r="AH92" s="7" t="s">
        <v>23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</row>
    <row r="93" spans="11:44" ht="16.5">
      <c r="K93" s="21">
        <v>89</v>
      </c>
      <c r="L93" s="24" t="s">
        <v>23</v>
      </c>
      <c r="M93" s="24" t="s">
        <v>23</v>
      </c>
      <c r="N93" s="24" t="s">
        <v>23</v>
      </c>
      <c r="O93" s="24" t="s">
        <v>23</v>
      </c>
      <c r="P93" s="24" t="s">
        <v>23</v>
      </c>
      <c r="Q93" s="24" t="s">
        <v>23</v>
      </c>
      <c r="R93" s="24" t="s">
        <v>23</v>
      </c>
      <c r="T93" s="8"/>
      <c r="U93" s="8"/>
      <c r="V93" s="8"/>
      <c r="W93" s="8"/>
      <c r="X93" s="8"/>
      <c r="Y93" s="8"/>
      <c r="Z93" s="8"/>
      <c r="AB93" s="25" t="s">
        <v>23</v>
      </c>
      <c r="AC93" s="25" t="s">
        <v>23</v>
      </c>
      <c r="AD93" s="25" t="s">
        <v>23</v>
      </c>
      <c r="AE93" s="25" t="s">
        <v>23</v>
      </c>
      <c r="AF93" s="25" t="s">
        <v>23</v>
      </c>
      <c r="AG93" s="25" t="s">
        <v>23</v>
      </c>
      <c r="AH93" s="7" t="s">
        <v>23</v>
      </c>
      <c r="AJ93" s="74" t="s">
        <v>20</v>
      </c>
      <c r="AK93" s="75">
        <v>5</v>
      </c>
      <c r="AL93" s="76">
        <v>5</v>
      </c>
      <c r="AM93" s="76">
        <v>5</v>
      </c>
      <c r="AN93" s="76">
        <v>5</v>
      </c>
      <c r="AO93" s="76">
        <v>5</v>
      </c>
      <c r="AP93" s="76">
        <v>5</v>
      </c>
      <c r="AQ93" s="77">
        <v>0</v>
      </c>
      <c r="AR93" s="78">
        <v>1</v>
      </c>
    </row>
    <row r="94" spans="11:44" ht="16.5">
      <c r="K94" s="22">
        <v>90</v>
      </c>
      <c r="L94" s="24" t="s">
        <v>23</v>
      </c>
      <c r="M94" s="24" t="s">
        <v>23</v>
      </c>
      <c r="N94" s="24" t="s">
        <v>23</v>
      </c>
      <c r="O94" s="24" t="s">
        <v>23</v>
      </c>
      <c r="P94" s="24" t="s">
        <v>23</v>
      </c>
      <c r="Q94" s="24" t="s">
        <v>23</v>
      </c>
      <c r="R94" s="24" t="s">
        <v>23</v>
      </c>
      <c r="T94" s="8"/>
      <c r="U94" s="8"/>
      <c r="V94" s="8"/>
      <c r="W94" s="8"/>
      <c r="X94" s="8"/>
      <c r="Y94" s="8"/>
      <c r="Z94" s="8"/>
      <c r="AB94" s="25" t="s">
        <v>23</v>
      </c>
      <c r="AC94" s="25" t="s">
        <v>23</v>
      </c>
      <c r="AD94" s="25" t="s">
        <v>23</v>
      </c>
      <c r="AE94" s="25" t="s">
        <v>23</v>
      </c>
      <c r="AF94" s="25" t="s">
        <v>23</v>
      </c>
      <c r="AG94" s="25" t="s">
        <v>23</v>
      </c>
      <c r="AH94" s="7" t="s">
        <v>23</v>
      </c>
      <c r="AJ94" s="74" t="s">
        <v>21</v>
      </c>
      <c r="AK94" s="75">
        <v>20</v>
      </c>
      <c r="AL94" s="76">
        <v>0</v>
      </c>
      <c r="AM94" s="76">
        <v>4</v>
      </c>
      <c r="AN94" s="76">
        <v>1</v>
      </c>
      <c r="AO94" s="76">
        <v>50</v>
      </c>
      <c r="AP94" s="76">
        <v>1</v>
      </c>
      <c r="AQ94" s="77">
        <v>0</v>
      </c>
      <c r="AR94" s="78">
        <v>2</v>
      </c>
    </row>
    <row r="95" spans="11:44" ht="16.5">
      <c r="K95" s="21">
        <v>91</v>
      </c>
      <c r="L95" s="24" t="s">
        <v>23</v>
      </c>
      <c r="M95" s="24" t="s">
        <v>23</v>
      </c>
      <c r="N95" s="24" t="s">
        <v>23</v>
      </c>
      <c r="O95" s="24" t="s">
        <v>23</v>
      </c>
      <c r="P95" s="24" t="s">
        <v>23</v>
      </c>
      <c r="Q95" s="24" t="s">
        <v>23</v>
      </c>
      <c r="R95" s="24" t="s">
        <v>23</v>
      </c>
      <c r="T95" s="8"/>
      <c r="U95" s="8"/>
      <c r="V95" s="8"/>
      <c r="W95" s="8"/>
      <c r="X95" s="8"/>
      <c r="Y95" s="8"/>
      <c r="Z95" s="8"/>
      <c r="AB95" s="25" t="s">
        <v>23</v>
      </c>
      <c r="AC95" s="25" t="s">
        <v>23</v>
      </c>
      <c r="AD95" s="25" t="s">
        <v>23</v>
      </c>
      <c r="AE95" s="25" t="s">
        <v>23</v>
      </c>
      <c r="AF95" s="25" t="s">
        <v>23</v>
      </c>
      <c r="AG95" s="25" t="s">
        <v>23</v>
      </c>
      <c r="AH95" s="7" t="s">
        <v>23</v>
      </c>
      <c r="AJ95" s="74" t="s">
        <v>22</v>
      </c>
      <c r="AK95" s="75">
        <v>1</v>
      </c>
      <c r="AL95" s="76">
        <v>50</v>
      </c>
      <c r="AM95" s="76">
        <v>1</v>
      </c>
      <c r="AN95" s="76">
        <v>50</v>
      </c>
      <c r="AO95" s="76">
        <v>1</v>
      </c>
      <c r="AP95" s="76">
        <v>1</v>
      </c>
      <c r="AQ95" s="77">
        <v>0</v>
      </c>
      <c r="AR95" s="78">
        <v>3</v>
      </c>
    </row>
    <row r="96" spans="11:44" ht="16.5">
      <c r="K96" s="22">
        <v>92</v>
      </c>
      <c r="L96" s="24" t="s">
        <v>23</v>
      </c>
      <c r="M96" s="24" t="s">
        <v>23</v>
      </c>
      <c r="N96" s="24" t="s">
        <v>23</v>
      </c>
      <c r="O96" s="24" t="s">
        <v>23</v>
      </c>
      <c r="P96" s="24" t="s">
        <v>23</v>
      </c>
      <c r="Q96" s="24" t="s">
        <v>23</v>
      </c>
      <c r="R96" s="24" t="s">
        <v>23</v>
      </c>
      <c r="T96" s="8"/>
      <c r="U96" s="8"/>
      <c r="V96" s="8"/>
      <c r="W96" s="8"/>
      <c r="X96" s="8"/>
      <c r="Y96" s="8"/>
      <c r="Z96" s="8"/>
      <c r="AB96" s="25" t="s">
        <v>23</v>
      </c>
      <c r="AC96" s="25" t="s">
        <v>23</v>
      </c>
      <c r="AD96" s="25" t="s">
        <v>23</v>
      </c>
      <c r="AE96" s="25" t="s">
        <v>23</v>
      </c>
      <c r="AF96" s="25" t="s">
        <v>23</v>
      </c>
      <c r="AG96" s="25" t="s">
        <v>23</v>
      </c>
      <c r="AH96" s="7" t="s">
        <v>23</v>
      </c>
      <c r="AJ96" s="74" t="s">
        <v>18</v>
      </c>
      <c r="AK96" s="75">
        <v>50</v>
      </c>
      <c r="AL96" s="76">
        <v>1</v>
      </c>
      <c r="AM96" s="76">
        <v>60</v>
      </c>
      <c r="AN96" s="76">
        <v>0</v>
      </c>
      <c r="AO96" s="76">
        <v>1</v>
      </c>
      <c r="AP96" s="76">
        <v>50</v>
      </c>
      <c r="AQ96" s="77">
        <v>1</v>
      </c>
      <c r="AR96" s="78">
        <v>4</v>
      </c>
    </row>
    <row r="97" spans="11:44" ht="16.5">
      <c r="K97" s="21">
        <v>93</v>
      </c>
      <c r="L97" s="24" t="s">
        <v>23</v>
      </c>
      <c r="M97" s="24" t="s">
        <v>23</v>
      </c>
      <c r="N97" s="24" t="s">
        <v>23</v>
      </c>
      <c r="O97" s="24" t="s">
        <v>23</v>
      </c>
      <c r="P97" s="24" t="s">
        <v>23</v>
      </c>
      <c r="Q97" s="24" t="s">
        <v>23</v>
      </c>
      <c r="R97" s="24" t="s">
        <v>23</v>
      </c>
      <c r="T97" s="8"/>
      <c r="U97" s="8"/>
      <c r="V97" s="8"/>
      <c r="W97" s="8"/>
      <c r="X97" s="8"/>
      <c r="Y97" s="8"/>
      <c r="Z97" s="8"/>
      <c r="AB97" s="25" t="s">
        <v>23</v>
      </c>
      <c r="AC97" s="25" t="s">
        <v>23</v>
      </c>
      <c r="AD97" s="25" t="s">
        <v>23</v>
      </c>
      <c r="AE97" s="25" t="s">
        <v>23</v>
      </c>
      <c r="AF97" s="25" t="s">
        <v>23</v>
      </c>
      <c r="AG97" s="25" t="s">
        <v>23</v>
      </c>
      <c r="AH97" s="7" t="s">
        <v>23</v>
      </c>
      <c r="AJ97" s="74" t="s">
        <v>19</v>
      </c>
      <c r="AK97" s="75">
        <v>1</v>
      </c>
      <c r="AL97" s="76">
        <v>50</v>
      </c>
      <c r="AM97" s="76">
        <v>1</v>
      </c>
      <c r="AN97" s="76">
        <v>1</v>
      </c>
      <c r="AO97" s="76">
        <v>1</v>
      </c>
      <c r="AP97" s="76">
        <v>50</v>
      </c>
      <c r="AQ97" s="77">
        <v>1</v>
      </c>
      <c r="AR97" s="78">
        <v>5</v>
      </c>
    </row>
    <row r="98" spans="11:44" ht="16.5">
      <c r="K98" s="22">
        <v>94</v>
      </c>
      <c r="L98" s="24" t="s">
        <v>23</v>
      </c>
      <c r="M98" s="24" t="s">
        <v>23</v>
      </c>
      <c r="N98" s="24" t="s">
        <v>23</v>
      </c>
      <c r="O98" s="24" t="s">
        <v>23</v>
      </c>
      <c r="P98" s="24" t="s">
        <v>23</v>
      </c>
      <c r="Q98" s="24" t="s">
        <v>23</v>
      </c>
      <c r="R98" s="24" t="s">
        <v>23</v>
      </c>
      <c r="T98" s="8"/>
      <c r="U98" s="8"/>
      <c r="V98" s="8"/>
      <c r="W98" s="8"/>
      <c r="X98" s="8"/>
      <c r="Y98" s="8"/>
      <c r="Z98" s="8"/>
      <c r="AB98" s="25" t="s">
        <v>23</v>
      </c>
      <c r="AC98" s="25" t="s">
        <v>23</v>
      </c>
      <c r="AD98" s="25" t="s">
        <v>23</v>
      </c>
      <c r="AE98" s="25" t="s">
        <v>23</v>
      </c>
      <c r="AF98" s="25" t="s">
        <v>23</v>
      </c>
      <c r="AG98" s="25" t="s">
        <v>23</v>
      </c>
      <c r="AH98" s="7" t="s">
        <v>23</v>
      </c>
      <c r="AJ98" s="74" t="s">
        <v>77</v>
      </c>
      <c r="AK98" s="75">
        <v>60</v>
      </c>
      <c r="AL98" s="76">
        <v>1</v>
      </c>
      <c r="AM98" s="76">
        <v>50</v>
      </c>
      <c r="AN98" s="76">
        <v>1</v>
      </c>
      <c r="AO98" s="76">
        <v>50</v>
      </c>
      <c r="AP98" s="76">
        <v>1</v>
      </c>
      <c r="AQ98" s="77">
        <v>1</v>
      </c>
      <c r="AR98" s="78">
        <v>6</v>
      </c>
    </row>
    <row r="99" spans="11:44" ht="16.5">
      <c r="K99" s="21">
        <v>95</v>
      </c>
      <c r="L99" s="24" t="s">
        <v>23</v>
      </c>
      <c r="M99" s="24" t="s">
        <v>23</v>
      </c>
      <c r="N99" s="24" t="s">
        <v>23</v>
      </c>
      <c r="O99" s="24" t="s">
        <v>23</v>
      </c>
      <c r="P99" s="24" t="s">
        <v>23</v>
      </c>
      <c r="Q99" s="24" t="s">
        <v>23</v>
      </c>
      <c r="R99" s="24" t="s">
        <v>23</v>
      </c>
      <c r="T99" s="8"/>
      <c r="U99" s="8"/>
      <c r="V99" s="8"/>
      <c r="W99" s="8"/>
      <c r="X99" s="8"/>
      <c r="Y99" s="8"/>
      <c r="Z99" s="8"/>
      <c r="AB99" s="25" t="s">
        <v>23</v>
      </c>
      <c r="AC99" s="25" t="s">
        <v>23</v>
      </c>
      <c r="AD99" s="25" t="s">
        <v>23</v>
      </c>
      <c r="AE99" s="25" t="s">
        <v>23</v>
      </c>
      <c r="AF99" s="25" t="s">
        <v>23</v>
      </c>
      <c r="AG99" s="25" t="s">
        <v>23</v>
      </c>
      <c r="AH99" s="7" t="s">
        <v>23</v>
      </c>
      <c r="AJ99" s="74" t="s">
        <v>162</v>
      </c>
      <c r="AK99" s="75">
        <v>1</v>
      </c>
      <c r="AL99" s="76">
        <v>50</v>
      </c>
      <c r="AM99" s="76">
        <v>1</v>
      </c>
      <c r="AN99" s="76">
        <v>1</v>
      </c>
      <c r="AO99" s="76">
        <v>1</v>
      </c>
      <c r="AP99" s="76">
        <v>50</v>
      </c>
      <c r="AQ99" s="77">
        <v>1</v>
      </c>
      <c r="AR99" s="78">
        <v>7</v>
      </c>
    </row>
    <row r="100" spans="11:44" ht="16.5">
      <c r="K100" s="22">
        <v>96</v>
      </c>
      <c r="L100" s="24" t="s">
        <v>23</v>
      </c>
      <c r="M100" s="24" t="s">
        <v>23</v>
      </c>
      <c r="N100" s="24" t="s">
        <v>23</v>
      </c>
      <c r="O100" s="24" t="s">
        <v>23</v>
      </c>
      <c r="P100" s="24" t="s">
        <v>23</v>
      </c>
      <c r="Q100" s="24" t="s">
        <v>23</v>
      </c>
      <c r="R100" s="24" t="s">
        <v>23</v>
      </c>
      <c r="T100" s="8"/>
      <c r="U100" s="8"/>
      <c r="V100" s="8"/>
      <c r="W100" s="8"/>
      <c r="X100" s="8"/>
      <c r="Y100" s="8"/>
      <c r="Z100" s="8"/>
      <c r="AB100" s="25" t="s">
        <v>23</v>
      </c>
      <c r="AC100" s="25" t="s">
        <v>23</v>
      </c>
      <c r="AD100" s="25" t="s">
        <v>23</v>
      </c>
      <c r="AE100" s="25" t="s">
        <v>23</v>
      </c>
      <c r="AF100" s="25" t="s">
        <v>23</v>
      </c>
      <c r="AG100" s="25" t="s">
        <v>23</v>
      </c>
      <c r="AH100" s="7" t="s">
        <v>23</v>
      </c>
      <c r="AJ100" s="74" t="s">
        <v>25</v>
      </c>
      <c r="AK100" s="75">
        <v>0</v>
      </c>
      <c r="AL100" s="76">
        <v>1</v>
      </c>
      <c r="AM100" s="76">
        <v>40</v>
      </c>
      <c r="AN100" s="76">
        <v>1</v>
      </c>
      <c r="AO100" s="76">
        <v>50</v>
      </c>
      <c r="AP100" s="76">
        <v>1</v>
      </c>
      <c r="AQ100" s="77">
        <v>1</v>
      </c>
      <c r="AR100" s="78">
        <v>8</v>
      </c>
    </row>
    <row r="101" spans="11:44" ht="16.5">
      <c r="K101" s="21">
        <v>97</v>
      </c>
      <c r="L101" s="24" t="s">
        <v>23</v>
      </c>
      <c r="M101" s="24" t="s">
        <v>23</v>
      </c>
      <c r="N101" s="24" t="s">
        <v>23</v>
      </c>
      <c r="O101" s="24" t="s">
        <v>23</v>
      </c>
      <c r="P101" s="24" t="s">
        <v>23</v>
      </c>
      <c r="Q101" s="24" t="s">
        <v>23</v>
      </c>
      <c r="R101" s="24" t="s">
        <v>23</v>
      </c>
      <c r="T101" s="8"/>
      <c r="U101" s="8"/>
      <c r="V101" s="8"/>
      <c r="W101" s="8"/>
      <c r="X101" s="8"/>
      <c r="Y101" s="8"/>
      <c r="Z101" s="8"/>
      <c r="AB101" s="25" t="s">
        <v>23</v>
      </c>
      <c r="AC101" s="25" t="s">
        <v>23</v>
      </c>
      <c r="AD101" s="25" t="s">
        <v>23</v>
      </c>
      <c r="AE101" s="25" t="s">
        <v>23</v>
      </c>
      <c r="AF101" s="25" t="s">
        <v>23</v>
      </c>
      <c r="AG101" s="25" t="s">
        <v>23</v>
      </c>
      <c r="AH101" s="7" t="s">
        <v>23</v>
      </c>
      <c r="AJ101" s="74" t="s">
        <v>27</v>
      </c>
      <c r="AK101" s="75">
        <v>1</v>
      </c>
      <c r="AL101" s="76">
        <v>1</v>
      </c>
      <c r="AM101" s="76">
        <v>1</v>
      </c>
      <c r="AN101" s="76">
        <v>50</v>
      </c>
      <c r="AO101" s="76">
        <v>1</v>
      </c>
      <c r="AP101" s="76">
        <v>50</v>
      </c>
      <c r="AQ101" s="77">
        <v>1</v>
      </c>
      <c r="AR101" s="78">
        <v>9</v>
      </c>
    </row>
    <row r="102" spans="11:44" ht="16.5">
      <c r="K102" s="22">
        <v>98</v>
      </c>
      <c r="L102" s="24" t="s">
        <v>23</v>
      </c>
      <c r="M102" s="24" t="s">
        <v>23</v>
      </c>
      <c r="N102" s="24" t="s">
        <v>23</v>
      </c>
      <c r="O102" s="24" t="s">
        <v>23</v>
      </c>
      <c r="P102" s="24" t="s">
        <v>23</v>
      </c>
      <c r="Q102" s="24" t="s">
        <v>23</v>
      </c>
      <c r="R102" s="24" t="s">
        <v>23</v>
      </c>
      <c r="T102" s="8"/>
      <c r="U102" s="8"/>
      <c r="V102" s="8"/>
      <c r="W102" s="8"/>
      <c r="X102" s="8"/>
      <c r="Y102" s="8"/>
      <c r="Z102" s="8"/>
      <c r="AB102" s="25" t="s">
        <v>23</v>
      </c>
      <c r="AC102" s="25" t="s">
        <v>23</v>
      </c>
      <c r="AD102" s="25" t="s">
        <v>23</v>
      </c>
      <c r="AE102" s="25" t="s">
        <v>23</v>
      </c>
      <c r="AF102" s="25" t="s">
        <v>23</v>
      </c>
      <c r="AG102" s="25" t="s">
        <v>23</v>
      </c>
      <c r="AH102" s="7" t="s">
        <v>23</v>
      </c>
      <c r="AJ102" s="74" t="s">
        <v>28</v>
      </c>
      <c r="AK102" s="75">
        <v>20</v>
      </c>
      <c r="AL102" s="76">
        <v>1</v>
      </c>
      <c r="AM102" s="76">
        <v>15</v>
      </c>
      <c r="AN102" s="76">
        <v>1</v>
      </c>
      <c r="AO102" s="76">
        <v>1</v>
      </c>
      <c r="AP102" s="76">
        <v>1</v>
      </c>
      <c r="AQ102" s="77">
        <v>2</v>
      </c>
      <c r="AR102" s="78">
        <v>10</v>
      </c>
    </row>
    <row r="103" spans="11:44" ht="16.5">
      <c r="K103" s="21">
        <v>99</v>
      </c>
      <c r="L103" s="24" t="s">
        <v>23</v>
      </c>
      <c r="M103" s="24" t="s">
        <v>23</v>
      </c>
      <c r="N103" s="24" t="s">
        <v>23</v>
      </c>
      <c r="O103" s="24" t="s">
        <v>23</v>
      </c>
      <c r="P103" s="24" t="s">
        <v>23</v>
      </c>
      <c r="Q103" s="24" t="s">
        <v>23</v>
      </c>
      <c r="R103" s="24" t="s">
        <v>23</v>
      </c>
      <c r="T103" s="8"/>
      <c r="U103" s="8"/>
      <c r="V103" s="8"/>
      <c r="W103" s="8"/>
      <c r="X103" s="8"/>
      <c r="Y103" s="8"/>
      <c r="Z103" s="8"/>
      <c r="AB103" s="25" t="s">
        <v>23</v>
      </c>
      <c r="AC103" s="25" t="s">
        <v>23</v>
      </c>
      <c r="AD103" s="25" t="s">
        <v>23</v>
      </c>
      <c r="AE103" s="25" t="s">
        <v>23</v>
      </c>
      <c r="AF103" s="25" t="s">
        <v>23</v>
      </c>
      <c r="AG103" s="25" t="s">
        <v>23</v>
      </c>
      <c r="AH103" s="7" t="s">
        <v>23</v>
      </c>
      <c r="AJ103" s="74" t="s">
        <v>29</v>
      </c>
      <c r="AK103" s="75">
        <v>1</v>
      </c>
      <c r="AL103" s="76">
        <v>50</v>
      </c>
      <c r="AM103" s="76">
        <v>1</v>
      </c>
      <c r="AN103" s="76">
        <v>1</v>
      </c>
      <c r="AO103" s="76">
        <v>1</v>
      </c>
      <c r="AP103" s="76">
        <v>1</v>
      </c>
      <c r="AQ103" s="77">
        <v>1</v>
      </c>
      <c r="AR103" s="78">
        <v>11</v>
      </c>
    </row>
    <row r="104" spans="11:44" ht="16.5">
      <c r="K104" s="22">
        <v>100</v>
      </c>
      <c r="L104" s="24" t="s">
        <v>23</v>
      </c>
      <c r="M104" s="24" t="s">
        <v>23</v>
      </c>
      <c r="N104" s="24" t="s">
        <v>23</v>
      </c>
      <c r="O104" s="24" t="s">
        <v>23</v>
      </c>
      <c r="P104" s="24" t="s">
        <v>23</v>
      </c>
      <c r="Q104" s="24" t="s">
        <v>23</v>
      </c>
      <c r="R104" s="24" t="s">
        <v>23</v>
      </c>
      <c r="T104" s="8"/>
      <c r="U104" s="8"/>
      <c r="V104" s="8"/>
      <c r="W104" s="8"/>
      <c r="X104" s="8"/>
      <c r="Y104" s="8"/>
      <c r="Z104" s="8"/>
      <c r="AB104" s="25" t="s">
        <v>23</v>
      </c>
      <c r="AC104" s="25" t="s">
        <v>23</v>
      </c>
      <c r="AD104" s="25" t="s">
        <v>23</v>
      </c>
      <c r="AE104" s="25" t="s">
        <v>23</v>
      </c>
      <c r="AF104" s="25" t="s">
        <v>23</v>
      </c>
      <c r="AG104" s="25" t="s">
        <v>23</v>
      </c>
      <c r="AH104" s="7" t="s">
        <v>23</v>
      </c>
      <c r="AJ104" s="74" t="s">
        <v>30</v>
      </c>
      <c r="AK104" s="75">
        <v>50</v>
      </c>
      <c r="AL104" s="76">
        <v>1</v>
      </c>
      <c r="AM104" s="76">
        <v>1</v>
      </c>
      <c r="AN104" s="76">
        <v>1</v>
      </c>
      <c r="AO104" s="76">
        <v>1</v>
      </c>
      <c r="AP104" s="76">
        <v>1</v>
      </c>
      <c r="AQ104" s="77">
        <v>1</v>
      </c>
      <c r="AR104" s="78">
        <v>12</v>
      </c>
    </row>
    <row r="105" spans="11:44" ht="16.5">
      <c r="K105" s="21">
        <v>101</v>
      </c>
      <c r="L105" s="24" t="s">
        <v>23</v>
      </c>
      <c r="M105" s="24" t="s">
        <v>23</v>
      </c>
      <c r="N105" s="24" t="s">
        <v>23</v>
      </c>
      <c r="O105" s="24" t="s">
        <v>23</v>
      </c>
      <c r="P105" s="24" t="s">
        <v>23</v>
      </c>
      <c r="Q105" s="24" t="s">
        <v>23</v>
      </c>
      <c r="R105" s="24" t="s">
        <v>23</v>
      </c>
      <c r="T105" s="8"/>
      <c r="U105" s="8"/>
      <c r="V105" s="8"/>
      <c r="W105" s="8"/>
      <c r="X105" s="8"/>
      <c r="Y105" s="8"/>
      <c r="Z105" s="8"/>
      <c r="AB105" s="25" t="s">
        <v>23</v>
      </c>
      <c r="AC105" s="25" t="s">
        <v>23</v>
      </c>
      <c r="AD105" s="25" t="s">
        <v>23</v>
      </c>
      <c r="AE105" s="25" t="s">
        <v>23</v>
      </c>
      <c r="AF105" s="25" t="s">
        <v>23</v>
      </c>
      <c r="AG105" s="25" t="s">
        <v>23</v>
      </c>
      <c r="AH105" s="7" t="s">
        <v>23</v>
      </c>
      <c r="AJ105" s="74" t="s">
        <v>82</v>
      </c>
      <c r="AK105" s="75">
        <v>0</v>
      </c>
      <c r="AL105" s="76">
        <v>2</v>
      </c>
      <c r="AM105" s="76">
        <v>2</v>
      </c>
      <c r="AN105" s="76">
        <v>1</v>
      </c>
      <c r="AO105" s="76">
        <v>2</v>
      </c>
      <c r="AP105" s="76">
        <v>0</v>
      </c>
      <c r="AQ105" s="77">
        <v>0</v>
      </c>
      <c r="AR105" s="78">
        <v>13</v>
      </c>
    </row>
    <row r="106" spans="11:44" ht="16.5">
      <c r="K106" s="22">
        <v>102</v>
      </c>
      <c r="L106" s="24" t="s">
        <v>23</v>
      </c>
      <c r="M106" s="24" t="s">
        <v>23</v>
      </c>
      <c r="N106" s="24" t="s">
        <v>23</v>
      </c>
      <c r="O106" s="24" t="s">
        <v>23</v>
      </c>
      <c r="P106" s="24" t="s">
        <v>23</v>
      </c>
      <c r="Q106" s="24" t="s">
        <v>23</v>
      </c>
      <c r="R106" s="24" t="s">
        <v>23</v>
      </c>
      <c r="T106" s="8"/>
      <c r="U106" s="8"/>
      <c r="V106" s="8"/>
      <c r="W106" s="8"/>
      <c r="X106" s="8"/>
      <c r="Y106" s="8"/>
      <c r="Z106" s="8"/>
      <c r="AB106" s="25" t="s">
        <v>23</v>
      </c>
      <c r="AC106" s="25" t="s">
        <v>23</v>
      </c>
      <c r="AD106" s="25" t="s">
        <v>23</v>
      </c>
      <c r="AE106" s="25" t="s">
        <v>23</v>
      </c>
      <c r="AF106" s="25" t="s">
        <v>23</v>
      </c>
      <c r="AG106" s="25" t="s">
        <v>23</v>
      </c>
      <c r="AH106" s="7" t="s">
        <v>23</v>
      </c>
      <c r="AJ106" s="74" t="s">
        <v>83</v>
      </c>
      <c r="AK106" s="75">
        <v>0</v>
      </c>
      <c r="AL106" s="76">
        <v>1</v>
      </c>
      <c r="AM106" s="76">
        <v>1</v>
      </c>
      <c r="AN106" s="76">
        <v>2</v>
      </c>
      <c r="AO106" s="76">
        <v>1</v>
      </c>
      <c r="AP106" s="76">
        <v>0</v>
      </c>
      <c r="AQ106" s="77">
        <v>0</v>
      </c>
      <c r="AR106" s="78">
        <v>14</v>
      </c>
    </row>
    <row r="107" spans="11:44" ht="16.5">
      <c r="K107" s="21">
        <v>103</v>
      </c>
      <c r="L107" s="24" t="s">
        <v>23</v>
      </c>
      <c r="M107" s="24" t="s">
        <v>23</v>
      </c>
      <c r="N107" s="24" t="s">
        <v>23</v>
      </c>
      <c r="O107" s="24" t="s">
        <v>23</v>
      </c>
      <c r="P107" s="24" t="s">
        <v>23</v>
      </c>
      <c r="Q107" s="24" t="s">
        <v>23</v>
      </c>
      <c r="R107" s="24" t="s">
        <v>23</v>
      </c>
      <c r="T107" s="8"/>
      <c r="U107" s="8"/>
      <c r="V107" s="8"/>
      <c r="W107" s="8"/>
      <c r="X107" s="8"/>
      <c r="Y107" s="8"/>
      <c r="Z107" s="8"/>
      <c r="AB107" s="25" t="s">
        <v>23</v>
      </c>
      <c r="AC107" s="25" t="s">
        <v>23</v>
      </c>
      <c r="AD107" s="25" t="s">
        <v>23</v>
      </c>
      <c r="AE107" s="25" t="s">
        <v>23</v>
      </c>
      <c r="AF107" s="25" t="s">
        <v>23</v>
      </c>
      <c r="AG107" s="25" t="s">
        <v>23</v>
      </c>
      <c r="AH107" s="7" t="s">
        <v>23</v>
      </c>
      <c r="AJ107" s="74" t="s">
        <v>84</v>
      </c>
      <c r="AK107" s="75">
        <v>0</v>
      </c>
      <c r="AL107" s="76">
        <v>2</v>
      </c>
      <c r="AM107" s="76">
        <v>2</v>
      </c>
      <c r="AN107" s="76">
        <v>1</v>
      </c>
      <c r="AO107" s="76">
        <v>1</v>
      </c>
      <c r="AP107" s="76">
        <v>0</v>
      </c>
      <c r="AQ107" s="77">
        <v>0</v>
      </c>
      <c r="AR107" s="78">
        <v>15</v>
      </c>
    </row>
    <row r="108" spans="11:44" ht="16.5">
      <c r="K108" s="22">
        <v>104</v>
      </c>
      <c r="L108" s="24" t="s">
        <v>23</v>
      </c>
      <c r="M108" s="24" t="s">
        <v>23</v>
      </c>
      <c r="N108" s="24" t="s">
        <v>23</v>
      </c>
      <c r="O108" s="24" t="s">
        <v>23</v>
      </c>
      <c r="P108" s="24" t="s">
        <v>23</v>
      </c>
      <c r="Q108" s="24" t="s">
        <v>23</v>
      </c>
      <c r="R108" s="24" t="s">
        <v>23</v>
      </c>
      <c r="T108" s="8"/>
      <c r="U108" s="8"/>
      <c r="V108" s="8"/>
      <c r="W108" s="8"/>
      <c r="X108" s="8"/>
      <c r="Y108" s="8"/>
      <c r="Z108" s="8"/>
      <c r="AB108" s="25" t="s">
        <v>23</v>
      </c>
      <c r="AC108" s="25" t="s">
        <v>23</v>
      </c>
      <c r="AD108" s="25" t="s">
        <v>23</v>
      </c>
      <c r="AE108" s="25" t="s">
        <v>23</v>
      </c>
      <c r="AF108" s="25" t="s">
        <v>23</v>
      </c>
      <c r="AG108" s="25" t="s">
        <v>23</v>
      </c>
      <c r="AH108" s="7" t="s">
        <v>23</v>
      </c>
      <c r="AJ108" s="74" t="s">
        <v>85</v>
      </c>
      <c r="AK108" s="75">
        <v>0</v>
      </c>
      <c r="AL108" s="76">
        <v>1</v>
      </c>
      <c r="AM108" s="76">
        <v>1</v>
      </c>
      <c r="AN108" s="76">
        <v>1</v>
      </c>
      <c r="AO108" s="76">
        <v>1</v>
      </c>
      <c r="AP108" s="76">
        <v>0</v>
      </c>
      <c r="AQ108" s="77">
        <v>0</v>
      </c>
      <c r="AR108" s="78">
        <v>16</v>
      </c>
    </row>
    <row r="109" spans="11:44" ht="16.5">
      <c r="K109" s="21">
        <v>105</v>
      </c>
      <c r="L109" s="24" t="s">
        <v>23</v>
      </c>
      <c r="M109" s="24" t="s">
        <v>23</v>
      </c>
      <c r="N109" s="24" t="s">
        <v>23</v>
      </c>
      <c r="O109" s="24" t="s">
        <v>23</v>
      </c>
      <c r="P109" s="24" t="s">
        <v>23</v>
      </c>
      <c r="Q109" s="24" t="s">
        <v>23</v>
      </c>
      <c r="R109" s="24" t="s">
        <v>23</v>
      </c>
      <c r="T109" s="8"/>
      <c r="U109" s="8"/>
      <c r="V109" s="8"/>
      <c r="W109" s="8"/>
      <c r="X109" s="8"/>
      <c r="Y109" s="8"/>
      <c r="Z109" s="8"/>
      <c r="AB109" s="25" t="s">
        <v>23</v>
      </c>
      <c r="AC109" s="25" t="s">
        <v>23</v>
      </c>
      <c r="AD109" s="25" t="s">
        <v>23</v>
      </c>
      <c r="AE109" s="25" t="s">
        <v>23</v>
      </c>
      <c r="AF109" s="25" t="s">
        <v>23</v>
      </c>
      <c r="AG109" s="25" t="s">
        <v>23</v>
      </c>
      <c r="AH109" s="7" t="s">
        <v>23</v>
      </c>
      <c r="AJ109" s="74" t="s">
        <v>86</v>
      </c>
      <c r="AK109" s="75">
        <v>0</v>
      </c>
      <c r="AL109" s="76">
        <v>2</v>
      </c>
      <c r="AM109" s="76">
        <v>2</v>
      </c>
      <c r="AN109" s="76">
        <v>1</v>
      </c>
      <c r="AO109" s="76">
        <v>2</v>
      </c>
      <c r="AP109" s="76">
        <v>0</v>
      </c>
      <c r="AQ109" s="77">
        <v>0</v>
      </c>
      <c r="AR109" s="78">
        <v>17</v>
      </c>
    </row>
    <row r="110" spans="11:44" ht="16.5">
      <c r="K110" s="22">
        <v>106</v>
      </c>
      <c r="L110" s="24" t="s">
        <v>23</v>
      </c>
      <c r="M110" s="24" t="s">
        <v>23</v>
      </c>
      <c r="N110" s="24" t="s">
        <v>23</v>
      </c>
      <c r="O110" s="24" t="s">
        <v>23</v>
      </c>
      <c r="P110" s="24" t="s">
        <v>23</v>
      </c>
      <c r="Q110" s="24" t="s">
        <v>23</v>
      </c>
      <c r="R110" s="24" t="s">
        <v>23</v>
      </c>
      <c r="T110" s="8"/>
      <c r="U110" s="8"/>
      <c r="V110" s="8"/>
      <c r="W110" s="8"/>
      <c r="X110" s="8"/>
      <c r="Y110" s="8"/>
      <c r="Z110" s="8"/>
      <c r="AB110" s="25" t="s">
        <v>23</v>
      </c>
      <c r="AC110" s="25" t="s">
        <v>23</v>
      </c>
      <c r="AD110" s="25" t="s">
        <v>23</v>
      </c>
      <c r="AE110" s="25" t="s">
        <v>23</v>
      </c>
      <c r="AF110" s="25" t="s">
        <v>23</v>
      </c>
      <c r="AG110" s="25" t="s">
        <v>23</v>
      </c>
      <c r="AH110" s="7" t="s">
        <v>23</v>
      </c>
      <c r="AJ110" s="74" t="s">
        <v>176</v>
      </c>
      <c r="AK110" s="75">
        <v>0</v>
      </c>
      <c r="AL110" s="76">
        <v>2</v>
      </c>
      <c r="AM110" s="76">
        <v>2</v>
      </c>
      <c r="AN110" s="76">
        <v>1</v>
      </c>
      <c r="AO110" s="76">
        <v>2</v>
      </c>
      <c r="AP110" s="76">
        <v>0</v>
      </c>
      <c r="AQ110" s="77">
        <v>0</v>
      </c>
      <c r="AR110" s="78">
        <v>18</v>
      </c>
    </row>
    <row r="111" spans="11:44" ht="16.5">
      <c r="K111" s="21">
        <v>107</v>
      </c>
      <c r="L111" s="24" t="s">
        <v>23</v>
      </c>
      <c r="M111" s="24" t="s">
        <v>23</v>
      </c>
      <c r="N111" s="24" t="s">
        <v>23</v>
      </c>
      <c r="O111" s="24" t="s">
        <v>23</v>
      </c>
      <c r="P111" s="24" t="s">
        <v>23</v>
      </c>
      <c r="Q111" s="24" t="s">
        <v>23</v>
      </c>
      <c r="R111" s="24" t="s">
        <v>23</v>
      </c>
      <c r="T111" s="8"/>
      <c r="U111" s="8"/>
      <c r="V111" s="8"/>
      <c r="W111" s="8"/>
      <c r="X111" s="8"/>
      <c r="Y111" s="8"/>
      <c r="Z111" s="8"/>
      <c r="AB111" s="25" t="s">
        <v>23</v>
      </c>
      <c r="AC111" s="25" t="s">
        <v>23</v>
      </c>
      <c r="AD111" s="25" t="s">
        <v>23</v>
      </c>
      <c r="AE111" s="25" t="s">
        <v>23</v>
      </c>
      <c r="AF111" s="25" t="s">
        <v>23</v>
      </c>
      <c r="AG111" s="25" t="s">
        <v>23</v>
      </c>
      <c r="AH111" s="7" t="s">
        <v>23</v>
      </c>
      <c r="AJ111" s="74" t="s">
        <v>87</v>
      </c>
      <c r="AK111" s="75">
        <v>0</v>
      </c>
      <c r="AL111" s="76">
        <v>2</v>
      </c>
      <c r="AM111" s="76">
        <v>1</v>
      </c>
      <c r="AN111" s="76">
        <v>1</v>
      </c>
      <c r="AO111" s="76">
        <v>2</v>
      </c>
      <c r="AP111" s="76">
        <v>0</v>
      </c>
      <c r="AQ111" s="77">
        <v>0</v>
      </c>
      <c r="AR111" s="78">
        <v>19</v>
      </c>
    </row>
    <row r="112" spans="11:44" ht="16.5">
      <c r="K112" s="22">
        <v>108</v>
      </c>
      <c r="L112" s="24" t="s">
        <v>23</v>
      </c>
      <c r="M112" s="24" t="s">
        <v>23</v>
      </c>
      <c r="N112" s="24" t="s">
        <v>23</v>
      </c>
      <c r="O112" s="24" t="s">
        <v>23</v>
      </c>
      <c r="P112" s="24" t="s">
        <v>23</v>
      </c>
      <c r="Q112" s="24" t="s">
        <v>23</v>
      </c>
      <c r="R112" s="24" t="s">
        <v>23</v>
      </c>
      <c r="T112" s="8"/>
      <c r="U112" s="8"/>
      <c r="V112" s="8"/>
      <c r="W112" s="8"/>
      <c r="X112" s="8"/>
      <c r="Y112" s="8"/>
      <c r="Z112" s="8"/>
      <c r="AB112" s="25" t="s">
        <v>23</v>
      </c>
      <c r="AC112" s="25" t="s">
        <v>23</v>
      </c>
      <c r="AD112" s="25" t="s">
        <v>23</v>
      </c>
      <c r="AE112" s="25" t="s">
        <v>23</v>
      </c>
      <c r="AF112" s="25" t="s">
        <v>23</v>
      </c>
      <c r="AG112" s="25" t="s">
        <v>23</v>
      </c>
      <c r="AH112" s="7" t="s">
        <v>23</v>
      </c>
      <c r="AJ112" s="74" t="s">
        <v>88</v>
      </c>
      <c r="AK112" s="75">
        <v>0</v>
      </c>
      <c r="AL112" s="76">
        <v>2</v>
      </c>
      <c r="AM112" s="76">
        <v>1</v>
      </c>
      <c r="AN112" s="76">
        <v>2</v>
      </c>
      <c r="AO112" s="76">
        <v>1</v>
      </c>
      <c r="AP112" s="76">
        <v>0</v>
      </c>
      <c r="AQ112" s="77">
        <v>0</v>
      </c>
      <c r="AR112" s="78">
        <v>20</v>
      </c>
    </row>
    <row r="113" spans="11:44" ht="16.5">
      <c r="K113" s="21">
        <v>109</v>
      </c>
      <c r="L113" s="24" t="s">
        <v>23</v>
      </c>
      <c r="M113" s="24" t="s">
        <v>23</v>
      </c>
      <c r="N113" s="24" t="s">
        <v>23</v>
      </c>
      <c r="O113" s="24" t="s">
        <v>23</v>
      </c>
      <c r="P113" s="24" t="s">
        <v>23</v>
      </c>
      <c r="Q113" s="24" t="s">
        <v>23</v>
      </c>
      <c r="R113" s="24" t="s">
        <v>23</v>
      </c>
      <c r="T113" s="8"/>
      <c r="U113" s="8"/>
      <c r="V113" s="8"/>
      <c r="W113" s="8"/>
      <c r="X113" s="8"/>
      <c r="Y113" s="8"/>
      <c r="Z113" s="8"/>
      <c r="AB113" s="25" t="s">
        <v>23</v>
      </c>
      <c r="AC113" s="25" t="s">
        <v>23</v>
      </c>
      <c r="AD113" s="25" t="s">
        <v>23</v>
      </c>
      <c r="AE113" s="25" t="s">
        <v>23</v>
      </c>
      <c r="AF113" s="25" t="s">
        <v>23</v>
      </c>
      <c r="AG113" s="25" t="s">
        <v>23</v>
      </c>
      <c r="AH113" s="7" t="s">
        <v>23</v>
      </c>
      <c r="AJ113" s="74" t="s">
        <v>89</v>
      </c>
      <c r="AK113" s="75">
        <v>0</v>
      </c>
      <c r="AL113" s="76">
        <v>2</v>
      </c>
      <c r="AM113" s="76">
        <v>2</v>
      </c>
      <c r="AN113" s="76">
        <v>1</v>
      </c>
      <c r="AO113" s="76">
        <v>1</v>
      </c>
      <c r="AP113" s="76">
        <v>0</v>
      </c>
      <c r="AQ113" s="77">
        <v>0</v>
      </c>
      <c r="AR113" s="78">
        <v>21</v>
      </c>
    </row>
    <row r="114" spans="11:44" ht="16.5">
      <c r="K114" s="22">
        <v>110</v>
      </c>
      <c r="L114" s="24" t="s">
        <v>23</v>
      </c>
      <c r="M114" s="24" t="s">
        <v>23</v>
      </c>
      <c r="N114" s="24" t="s">
        <v>23</v>
      </c>
      <c r="O114" s="24" t="s">
        <v>23</v>
      </c>
      <c r="P114" s="24" t="s">
        <v>23</v>
      </c>
      <c r="Q114" s="24" t="s">
        <v>23</v>
      </c>
      <c r="R114" s="24" t="s">
        <v>23</v>
      </c>
      <c r="T114" s="8"/>
      <c r="U114" s="8"/>
      <c r="V114" s="8"/>
      <c r="W114" s="8"/>
      <c r="X114" s="8"/>
      <c r="Y114" s="8"/>
      <c r="Z114" s="8"/>
      <c r="AB114" s="25" t="s">
        <v>23</v>
      </c>
      <c r="AC114" s="25" t="s">
        <v>23</v>
      </c>
      <c r="AD114" s="25" t="s">
        <v>23</v>
      </c>
      <c r="AE114" s="25" t="s">
        <v>23</v>
      </c>
      <c r="AF114" s="25" t="s">
        <v>23</v>
      </c>
      <c r="AG114" s="25" t="s">
        <v>23</v>
      </c>
      <c r="AH114" s="7" t="s">
        <v>23</v>
      </c>
      <c r="AJ114" s="74" t="s">
        <v>90</v>
      </c>
      <c r="AK114" s="75">
        <v>0</v>
      </c>
      <c r="AL114" s="76">
        <v>1</v>
      </c>
      <c r="AM114" s="76">
        <v>1</v>
      </c>
      <c r="AN114" s="76">
        <v>1</v>
      </c>
      <c r="AO114" s="76">
        <v>1</v>
      </c>
      <c r="AP114" s="76">
        <v>0</v>
      </c>
      <c r="AQ114" s="77">
        <v>0</v>
      </c>
      <c r="AR114" s="78">
        <v>22</v>
      </c>
    </row>
    <row r="115" spans="11:44" ht="17.25" thickBot="1">
      <c r="K115" s="21">
        <v>111</v>
      </c>
      <c r="L115" s="24" t="s">
        <v>23</v>
      </c>
      <c r="M115" s="24" t="s">
        <v>23</v>
      </c>
      <c r="N115" s="24" t="s">
        <v>23</v>
      </c>
      <c r="O115" s="24" t="s">
        <v>23</v>
      </c>
      <c r="P115" s="24" t="s">
        <v>23</v>
      </c>
      <c r="Q115" s="24" t="s">
        <v>23</v>
      </c>
      <c r="R115" s="24" t="s">
        <v>23</v>
      </c>
      <c r="T115" s="8"/>
      <c r="U115" s="8"/>
      <c r="V115" s="8"/>
      <c r="W115" s="8"/>
      <c r="X115" s="8"/>
      <c r="Y115" s="8"/>
      <c r="Z115" s="8"/>
      <c r="AB115" s="25" t="s">
        <v>23</v>
      </c>
      <c r="AC115" s="25" t="s">
        <v>23</v>
      </c>
      <c r="AD115" s="25" t="s">
        <v>23</v>
      </c>
      <c r="AE115" s="25" t="s">
        <v>23</v>
      </c>
      <c r="AF115" s="25" t="s">
        <v>23</v>
      </c>
      <c r="AG115" s="25" t="s">
        <v>23</v>
      </c>
      <c r="AH115" s="7" t="s">
        <v>23</v>
      </c>
      <c r="AJ115" s="80" t="s">
        <v>91</v>
      </c>
      <c r="AK115" s="81">
        <v>0</v>
      </c>
      <c r="AL115" s="82">
        <v>2</v>
      </c>
      <c r="AM115" s="82">
        <v>1</v>
      </c>
      <c r="AN115" s="82">
        <v>1</v>
      </c>
      <c r="AO115" s="82">
        <v>1</v>
      </c>
      <c r="AP115" s="82">
        <v>0</v>
      </c>
      <c r="AQ115" s="83">
        <v>0</v>
      </c>
      <c r="AR115" s="178">
        <v>23</v>
      </c>
    </row>
    <row r="116" spans="11:44" ht="16.5">
      <c r="K116" s="22">
        <v>112</v>
      </c>
      <c r="L116" s="24" t="s">
        <v>23</v>
      </c>
      <c r="M116" s="24" t="s">
        <v>23</v>
      </c>
      <c r="N116" s="24" t="s">
        <v>23</v>
      </c>
      <c r="O116" s="24" t="s">
        <v>23</v>
      </c>
      <c r="P116" s="24" t="s">
        <v>23</v>
      </c>
      <c r="Q116" s="24" t="s">
        <v>23</v>
      </c>
      <c r="R116" s="24" t="s">
        <v>23</v>
      </c>
      <c r="T116" s="8"/>
      <c r="U116" s="8"/>
      <c r="V116" s="8"/>
      <c r="W116" s="8"/>
      <c r="X116" s="8"/>
      <c r="Y116" s="8"/>
      <c r="Z116" s="8"/>
      <c r="AB116" s="25" t="s">
        <v>23</v>
      </c>
      <c r="AC116" s="25" t="s">
        <v>23</v>
      </c>
      <c r="AD116" s="25" t="s">
        <v>23</v>
      </c>
      <c r="AE116" s="25" t="s">
        <v>23</v>
      </c>
      <c r="AF116" s="25" t="s">
        <v>23</v>
      </c>
      <c r="AG116" s="25" t="s">
        <v>23</v>
      </c>
      <c r="AH116" s="7" t="s">
        <v>23</v>
      </c>
      <c r="AJ116" s="184" t="s">
        <v>190</v>
      </c>
      <c r="AK116" s="185">
        <v>0</v>
      </c>
      <c r="AL116" s="186">
        <v>10</v>
      </c>
      <c r="AM116" s="186">
        <v>10</v>
      </c>
      <c r="AN116" s="186">
        <v>10</v>
      </c>
      <c r="AO116" s="186">
        <v>10</v>
      </c>
      <c r="AP116" s="186">
        <v>0</v>
      </c>
      <c r="AQ116" s="187">
        <v>0</v>
      </c>
      <c r="AR116" s="183">
        <v>24</v>
      </c>
    </row>
    <row r="117" spans="11:44" ht="17.25" thickBot="1">
      <c r="K117" s="21">
        <v>113</v>
      </c>
      <c r="L117" s="24" t="s">
        <v>23</v>
      </c>
      <c r="M117" s="24" t="s">
        <v>23</v>
      </c>
      <c r="N117" s="24" t="s">
        <v>23</v>
      </c>
      <c r="O117" s="24" t="s">
        <v>23</v>
      </c>
      <c r="P117" s="24" t="s">
        <v>23</v>
      </c>
      <c r="Q117" s="24" t="s">
        <v>23</v>
      </c>
      <c r="R117" s="24" t="s">
        <v>23</v>
      </c>
      <c r="T117" s="8"/>
      <c r="U117" s="8"/>
      <c r="V117" s="8"/>
      <c r="W117" s="8"/>
      <c r="X117" s="8"/>
      <c r="Y117" s="8"/>
      <c r="Z117" s="8"/>
      <c r="AB117" s="25" t="s">
        <v>23</v>
      </c>
      <c r="AC117" s="25" t="s">
        <v>23</v>
      </c>
      <c r="AD117" s="25" t="s">
        <v>23</v>
      </c>
      <c r="AE117" s="25" t="s">
        <v>23</v>
      </c>
      <c r="AF117" s="25" t="s">
        <v>23</v>
      </c>
      <c r="AG117" s="25" t="s">
        <v>23</v>
      </c>
      <c r="AH117" s="7" t="s">
        <v>23</v>
      </c>
      <c r="AJ117" s="101" t="s">
        <v>201</v>
      </c>
      <c r="AK117" s="93">
        <v>0</v>
      </c>
      <c r="AL117" s="94">
        <v>1</v>
      </c>
      <c r="AM117" s="94">
        <v>1</v>
      </c>
      <c r="AN117" s="94">
        <v>1</v>
      </c>
      <c r="AO117" s="94">
        <v>1</v>
      </c>
      <c r="AP117" s="94">
        <v>0</v>
      </c>
      <c r="AQ117" s="95">
        <v>0</v>
      </c>
      <c r="AR117" s="84">
        <v>25</v>
      </c>
    </row>
    <row r="118" spans="11:44">
      <c r="K118" s="22">
        <v>114</v>
      </c>
      <c r="L118" s="24" t="s">
        <v>23</v>
      </c>
      <c r="M118" s="24" t="s">
        <v>23</v>
      </c>
      <c r="N118" s="24" t="s">
        <v>23</v>
      </c>
      <c r="O118" s="24" t="s">
        <v>23</v>
      </c>
      <c r="P118" s="24" t="s">
        <v>23</v>
      </c>
      <c r="Q118" s="24" t="s">
        <v>23</v>
      </c>
      <c r="R118" s="24" t="s">
        <v>23</v>
      </c>
      <c r="T118" s="8"/>
      <c r="U118" s="8"/>
      <c r="V118" s="8"/>
      <c r="W118" s="8"/>
      <c r="X118" s="8"/>
      <c r="Y118" s="8"/>
      <c r="Z118" s="8"/>
      <c r="AB118" s="25" t="s">
        <v>23</v>
      </c>
      <c r="AC118" s="25" t="s">
        <v>23</v>
      </c>
      <c r="AD118" s="25" t="s">
        <v>23</v>
      </c>
      <c r="AE118" s="25" t="s">
        <v>23</v>
      </c>
      <c r="AF118" s="25" t="s">
        <v>23</v>
      </c>
      <c r="AG118" s="25" t="s">
        <v>23</v>
      </c>
      <c r="AH118" s="7" t="s">
        <v>23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</row>
    <row r="119" spans="11:44" ht="16.5" thickBot="1">
      <c r="K119" s="21">
        <v>115</v>
      </c>
      <c r="L119" s="24" t="s">
        <v>23</v>
      </c>
      <c r="M119" s="24" t="s">
        <v>23</v>
      </c>
      <c r="N119" s="24" t="s">
        <v>23</v>
      </c>
      <c r="O119" s="24" t="s">
        <v>23</v>
      </c>
      <c r="P119" s="24" t="s">
        <v>23</v>
      </c>
      <c r="Q119" s="24" t="s">
        <v>23</v>
      </c>
      <c r="R119" s="24" t="s">
        <v>23</v>
      </c>
      <c r="T119" s="8"/>
      <c r="U119" s="8"/>
      <c r="V119" s="8"/>
      <c r="W119" s="8"/>
      <c r="X119" s="8"/>
      <c r="Y119" s="8"/>
      <c r="Z119" s="8"/>
      <c r="AB119" s="25" t="s">
        <v>23</v>
      </c>
      <c r="AC119" s="25" t="s">
        <v>23</v>
      </c>
      <c r="AD119" s="25" t="s">
        <v>23</v>
      </c>
      <c r="AE119" s="25" t="s">
        <v>23</v>
      </c>
      <c r="AF119" s="25" t="s">
        <v>23</v>
      </c>
      <c r="AG119" s="25" t="s">
        <v>23</v>
      </c>
      <c r="AH119" s="7" t="s">
        <v>23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</row>
    <row r="120" spans="11:44" ht="17.25" thickBot="1">
      <c r="K120" s="22">
        <v>116</v>
      </c>
      <c r="L120" s="24" t="s">
        <v>23</v>
      </c>
      <c r="M120" s="24" t="s">
        <v>23</v>
      </c>
      <c r="N120" s="24" t="s">
        <v>23</v>
      </c>
      <c r="O120" s="24" t="s">
        <v>23</v>
      </c>
      <c r="P120" s="24" t="s">
        <v>23</v>
      </c>
      <c r="Q120" s="24" t="s">
        <v>23</v>
      </c>
      <c r="R120" s="24" t="s">
        <v>23</v>
      </c>
      <c r="T120" s="8"/>
      <c r="U120" s="8"/>
      <c r="V120" s="8"/>
      <c r="W120" s="8"/>
      <c r="X120" s="8"/>
      <c r="Y120" s="8"/>
      <c r="Z120" s="8"/>
      <c r="AB120" s="25" t="s">
        <v>23</v>
      </c>
      <c r="AC120" s="25" t="s">
        <v>23</v>
      </c>
      <c r="AD120" s="25" t="s">
        <v>23</v>
      </c>
      <c r="AE120" s="25" t="s">
        <v>23</v>
      </c>
      <c r="AF120" s="25" t="s">
        <v>23</v>
      </c>
      <c r="AG120" s="25" t="s">
        <v>23</v>
      </c>
      <c r="AH120" s="7" t="s">
        <v>23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</row>
    <row r="121" spans="11:44" ht="16.5">
      <c r="K121" s="21">
        <v>117</v>
      </c>
      <c r="L121" s="24" t="s">
        <v>23</v>
      </c>
      <c r="M121" s="24" t="s">
        <v>23</v>
      </c>
      <c r="N121" s="24" t="s">
        <v>23</v>
      </c>
      <c r="O121" s="24" t="s">
        <v>23</v>
      </c>
      <c r="P121" s="24" t="s">
        <v>23</v>
      </c>
      <c r="Q121" s="24" t="s">
        <v>23</v>
      </c>
      <c r="R121" s="24" t="s">
        <v>23</v>
      </c>
      <c r="T121" s="8"/>
      <c r="U121" s="8"/>
      <c r="V121" s="8"/>
      <c r="W121" s="8"/>
      <c r="X121" s="8"/>
      <c r="Y121" s="8"/>
      <c r="Z121" s="8"/>
      <c r="AB121" s="25" t="s">
        <v>23</v>
      </c>
      <c r="AC121" s="25" t="s">
        <v>23</v>
      </c>
      <c r="AD121" s="25" t="s">
        <v>23</v>
      </c>
      <c r="AE121" s="25" t="s">
        <v>23</v>
      </c>
      <c r="AF121" s="25" t="s">
        <v>23</v>
      </c>
      <c r="AG121" s="25" t="s">
        <v>23</v>
      </c>
      <c r="AH121" s="7" t="s">
        <v>23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</row>
    <row r="122" spans="11:44" ht="16.5">
      <c r="K122" s="22">
        <v>118</v>
      </c>
      <c r="L122" s="24" t="s">
        <v>23</v>
      </c>
      <c r="M122" s="24" t="s">
        <v>23</v>
      </c>
      <c r="N122" s="24" t="s">
        <v>23</v>
      </c>
      <c r="O122" s="24" t="s">
        <v>23</v>
      </c>
      <c r="P122" s="24" t="s">
        <v>23</v>
      </c>
      <c r="Q122" s="24" t="s">
        <v>23</v>
      </c>
      <c r="R122" s="24" t="s">
        <v>23</v>
      </c>
      <c r="T122" s="8"/>
      <c r="U122" s="8"/>
      <c r="V122" s="8"/>
      <c r="W122" s="8"/>
      <c r="X122" s="8"/>
      <c r="Y122" s="8"/>
      <c r="Z122" s="8"/>
      <c r="AB122" s="25" t="s">
        <v>23</v>
      </c>
      <c r="AC122" s="25" t="s">
        <v>23</v>
      </c>
      <c r="AD122" s="25" t="s">
        <v>23</v>
      </c>
      <c r="AE122" s="25" t="s">
        <v>23</v>
      </c>
      <c r="AF122" s="25" t="s">
        <v>23</v>
      </c>
      <c r="AG122" s="25" t="s">
        <v>23</v>
      </c>
      <c r="AH122" s="7" t="s">
        <v>23</v>
      </c>
      <c r="AJ122" s="74" t="s">
        <v>20</v>
      </c>
      <c r="AK122" s="75">
        <v>5</v>
      </c>
      <c r="AL122" s="76">
        <v>5</v>
      </c>
      <c r="AM122" s="76">
        <v>5</v>
      </c>
      <c r="AN122" s="76">
        <v>5</v>
      </c>
      <c r="AO122" s="76">
        <v>5</v>
      </c>
      <c r="AP122" s="76">
        <v>5</v>
      </c>
      <c r="AQ122" s="77">
        <v>0</v>
      </c>
      <c r="AR122" s="78">
        <v>1</v>
      </c>
    </row>
    <row r="123" spans="11:44" ht="16.5">
      <c r="K123" s="21">
        <v>119</v>
      </c>
      <c r="L123" s="24" t="s">
        <v>23</v>
      </c>
      <c r="M123" s="24" t="s">
        <v>23</v>
      </c>
      <c r="N123" s="24" t="s">
        <v>23</v>
      </c>
      <c r="O123" s="24" t="s">
        <v>23</v>
      </c>
      <c r="P123" s="24" t="s">
        <v>23</v>
      </c>
      <c r="Q123" s="24" t="s">
        <v>23</v>
      </c>
      <c r="R123" s="24" t="s">
        <v>23</v>
      </c>
      <c r="T123" s="8"/>
      <c r="U123" s="8"/>
      <c r="V123" s="8"/>
      <c r="W123" s="8"/>
      <c r="X123" s="8"/>
      <c r="Y123" s="8"/>
      <c r="Z123" s="8"/>
      <c r="AB123" s="25" t="s">
        <v>23</v>
      </c>
      <c r="AC123" s="25" t="s">
        <v>23</v>
      </c>
      <c r="AD123" s="25" t="s">
        <v>23</v>
      </c>
      <c r="AE123" s="25" t="s">
        <v>23</v>
      </c>
      <c r="AF123" s="25" t="s">
        <v>23</v>
      </c>
      <c r="AG123" s="25" t="s">
        <v>23</v>
      </c>
      <c r="AH123" s="7" t="s">
        <v>23</v>
      </c>
      <c r="AJ123" s="74" t="s">
        <v>21</v>
      </c>
      <c r="AK123" s="75">
        <v>40</v>
      </c>
      <c r="AL123" s="76">
        <v>0</v>
      </c>
      <c r="AM123" s="76">
        <v>1</v>
      </c>
      <c r="AN123" s="76">
        <v>1</v>
      </c>
      <c r="AO123" s="76">
        <v>70</v>
      </c>
      <c r="AP123" s="76">
        <v>1</v>
      </c>
      <c r="AQ123" s="77">
        <v>0</v>
      </c>
      <c r="AR123" s="78">
        <v>2</v>
      </c>
    </row>
    <row r="124" spans="11:44" ht="16.5">
      <c r="K124" s="22">
        <v>120</v>
      </c>
      <c r="L124" s="24" t="s">
        <v>23</v>
      </c>
      <c r="M124" s="24" t="s">
        <v>23</v>
      </c>
      <c r="N124" s="24" t="s">
        <v>23</v>
      </c>
      <c r="O124" s="24" t="s">
        <v>23</v>
      </c>
      <c r="P124" s="24" t="s">
        <v>23</v>
      </c>
      <c r="Q124" s="24" t="s">
        <v>23</v>
      </c>
      <c r="R124" s="24" t="s">
        <v>23</v>
      </c>
      <c r="T124" s="8"/>
      <c r="U124" s="8"/>
      <c r="V124" s="8"/>
      <c r="W124" s="8"/>
      <c r="X124" s="8"/>
      <c r="Y124" s="8"/>
      <c r="Z124" s="8"/>
      <c r="AB124" s="25" t="s">
        <v>23</v>
      </c>
      <c r="AC124" s="25" t="s">
        <v>23</v>
      </c>
      <c r="AD124" s="25" t="s">
        <v>23</v>
      </c>
      <c r="AE124" s="25" t="s">
        <v>23</v>
      </c>
      <c r="AF124" s="25" t="s">
        <v>23</v>
      </c>
      <c r="AG124" s="25" t="s">
        <v>23</v>
      </c>
      <c r="AH124" s="7" t="s">
        <v>23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</row>
    <row r="125" spans="11:44" ht="16.5">
      <c r="K125" s="21">
        <v>121</v>
      </c>
      <c r="L125" s="24" t="s">
        <v>23</v>
      </c>
      <c r="M125" s="24" t="s">
        <v>23</v>
      </c>
      <c r="N125" s="24" t="s">
        <v>23</v>
      </c>
      <c r="O125" s="24" t="s">
        <v>23</v>
      </c>
      <c r="P125" s="24" t="s">
        <v>23</v>
      </c>
      <c r="Q125" s="24" t="s">
        <v>23</v>
      </c>
      <c r="R125" s="24" t="s">
        <v>23</v>
      </c>
      <c r="T125" s="8"/>
      <c r="U125" s="8"/>
      <c r="V125" s="8"/>
      <c r="W125" s="8"/>
      <c r="X125" s="8"/>
      <c r="Y125" s="8"/>
      <c r="Z125" s="8"/>
      <c r="AB125" s="25" t="s">
        <v>23</v>
      </c>
      <c r="AC125" s="25" t="s">
        <v>23</v>
      </c>
      <c r="AD125" s="25" t="s">
        <v>23</v>
      </c>
      <c r="AE125" s="25" t="s">
        <v>23</v>
      </c>
      <c r="AF125" s="25" t="s">
        <v>23</v>
      </c>
      <c r="AG125" s="25" t="s">
        <v>23</v>
      </c>
      <c r="AH125" s="7" t="s">
        <v>23</v>
      </c>
      <c r="AJ125" s="74" t="s">
        <v>18</v>
      </c>
      <c r="AK125" s="75">
        <v>0</v>
      </c>
      <c r="AL125" s="76">
        <v>1</v>
      </c>
      <c r="AM125" s="76">
        <v>5</v>
      </c>
      <c r="AN125" s="76">
        <v>0</v>
      </c>
      <c r="AO125" s="76">
        <v>1</v>
      </c>
      <c r="AP125" s="76">
        <v>70</v>
      </c>
      <c r="AQ125" s="77">
        <v>1</v>
      </c>
      <c r="AR125" s="78">
        <v>4</v>
      </c>
    </row>
    <row r="126" spans="11:44" ht="16.5">
      <c r="K126" s="22">
        <v>122</v>
      </c>
      <c r="L126" s="24" t="s">
        <v>23</v>
      </c>
      <c r="M126" s="24" t="s">
        <v>23</v>
      </c>
      <c r="N126" s="24" t="s">
        <v>23</v>
      </c>
      <c r="O126" s="24" t="s">
        <v>23</v>
      </c>
      <c r="P126" s="24" t="s">
        <v>23</v>
      </c>
      <c r="Q126" s="24" t="s">
        <v>23</v>
      </c>
      <c r="R126" s="24" t="s">
        <v>23</v>
      </c>
      <c r="T126" s="8"/>
      <c r="U126" s="8"/>
      <c r="V126" s="8"/>
      <c r="W126" s="8"/>
      <c r="X126" s="8"/>
      <c r="Y126" s="8"/>
      <c r="Z126" s="8"/>
      <c r="AB126" s="25" t="s">
        <v>23</v>
      </c>
      <c r="AC126" s="25" t="s">
        <v>23</v>
      </c>
      <c r="AD126" s="25" t="s">
        <v>23</v>
      </c>
      <c r="AE126" s="25" t="s">
        <v>23</v>
      </c>
      <c r="AF126" s="25" t="s">
        <v>23</v>
      </c>
      <c r="AG126" s="25" t="s">
        <v>23</v>
      </c>
      <c r="AH126" s="7" t="s">
        <v>23</v>
      </c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</row>
    <row r="127" spans="11:44" ht="16.5">
      <c r="K127" s="21">
        <v>123</v>
      </c>
      <c r="L127" s="24" t="s">
        <v>23</v>
      </c>
      <c r="M127" s="24" t="s">
        <v>23</v>
      </c>
      <c r="N127" s="24" t="s">
        <v>23</v>
      </c>
      <c r="O127" s="24" t="s">
        <v>23</v>
      </c>
      <c r="P127" s="24" t="s">
        <v>23</v>
      </c>
      <c r="Q127" s="24" t="s">
        <v>23</v>
      </c>
      <c r="R127" s="24" t="s">
        <v>23</v>
      </c>
      <c r="T127" s="8"/>
      <c r="U127" s="8"/>
      <c r="V127" s="8"/>
      <c r="W127" s="8"/>
      <c r="X127" s="8"/>
      <c r="Y127" s="8"/>
      <c r="Z127" s="8"/>
      <c r="AB127" s="25" t="s">
        <v>23</v>
      </c>
      <c r="AC127" s="25" t="s">
        <v>23</v>
      </c>
      <c r="AD127" s="25" t="s">
        <v>23</v>
      </c>
      <c r="AE127" s="25" t="s">
        <v>23</v>
      </c>
      <c r="AF127" s="25" t="s">
        <v>23</v>
      </c>
      <c r="AG127" s="25" t="s">
        <v>23</v>
      </c>
      <c r="AH127" s="7" t="s">
        <v>23</v>
      </c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</row>
    <row r="128" spans="11:44" ht="16.5">
      <c r="K128" s="22">
        <v>124</v>
      </c>
      <c r="L128" s="24" t="s">
        <v>23</v>
      </c>
      <c r="M128" s="24" t="s">
        <v>23</v>
      </c>
      <c r="N128" s="24" t="s">
        <v>23</v>
      </c>
      <c r="O128" s="24" t="s">
        <v>23</v>
      </c>
      <c r="P128" s="24" t="s">
        <v>23</v>
      </c>
      <c r="Q128" s="24" t="s">
        <v>23</v>
      </c>
      <c r="R128" s="24" t="s">
        <v>23</v>
      </c>
      <c r="T128" s="8"/>
      <c r="U128" s="8"/>
      <c r="V128" s="8"/>
      <c r="W128" s="8"/>
      <c r="X128" s="8"/>
      <c r="Y128" s="8"/>
      <c r="Z128" s="8"/>
      <c r="AB128" s="25" t="s">
        <v>23</v>
      </c>
      <c r="AC128" s="25" t="s">
        <v>23</v>
      </c>
      <c r="AD128" s="25" t="s">
        <v>23</v>
      </c>
      <c r="AE128" s="25" t="s">
        <v>23</v>
      </c>
      <c r="AF128" s="25" t="s">
        <v>23</v>
      </c>
      <c r="AG128" s="25" t="s">
        <v>23</v>
      </c>
      <c r="AH128" s="7" t="s">
        <v>23</v>
      </c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</row>
    <row r="129" spans="11:44" ht="16.5">
      <c r="K129" s="21">
        <v>125</v>
      </c>
      <c r="L129" s="24" t="s">
        <v>23</v>
      </c>
      <c r="M129" s="24" t="s">
        <v>23</v>
      </c>
      <c r="N129" s="24" t="s">
        <v>23</v>
      </c>
      <c r="O129" s="24" t="s">
        <v>23</v>
      </c>
      <c r="P129" s="24" t="s">
        <v>23</v>
      </c>
      <c r="Q129" s="24" t="s">
        <v>23</v>
      </c>
      <c r="R129" s="24" t="s">
        <v>23</v>
      </c>
      <c r="T129" s="8"/>
      <c r="U129" s="8"/>
      <c r="V129" s="8"/>
      <c r="W129" s="8"/>
      <c r="X129" s="8"/>
      <c r="Y129" s="8"/>
      <c r="Z129" s="8"/>
      <c r="AB129" s="25" t="s">
        <v>23</v>
      </c>
      <c r="AC129" s="25" t="s">
        <v>23</v>
      </c>
      <c r="AD129" s="25" t="s">
        <v>23</v>
      </c>
      <c r="AE129" s="25" t="s">
        <v>23</v>
      </c>
      <c r="AF129" s="25" t="s">
        <v>23</v>
      </c>
      <c r="AG129" s="25" t="s">
        <v>23</v>
      </c>
      <c r="AH129" s="7" t="s">
        <v>23</v>
      </c>
      <c r="AJ129" s="74" t="s">
        <v>25</v>
      </c>
      <c r="AK129" s="75">
        <v>0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</row>
    <row r="130" spans="11:44" ht="16.5">
      <c r="K130" s="22">
        <v>126</v>
      </c>
      <c r="L130" s="24" t="s">
        <v>23</v>
      </c>
      <c r="M130" s="24" t="s">
        <v>23</v>
      </c>
      <c r="N130" s="24" t="s">
        <v>23</v>
      </c>
      <c r="O130" s="24" t="s">
        <v>23</v>
      </c>
      <c r="P130" s="24" t="s">
        <v>23</v>
      </c>
      <c r="Q130" s="24" t="s">
        <v>23</v>
      </c>
      <c r="R130" s="24" t="s">
        <v>23</v>
      </c>
      <c r="T130" s="8"/>
      <c r="U130" s="8"/>
      <c r="V130" s="8"/>
      <c r="W130" s="8"/>
      <c r="X130" s="8"/>
      <c r="Y130" s="8"/>
      <c r="Z130" s="8"/>
      <c r="AB130" s="25" t="s">
        <v>23</v>
      </c>
      <c r="AC130" s="25" t="s">
        <v>23</v>
      </c>
      <c r="AD130" s="25" t="s">
        <v>23</v>
      </c>
      <c r="AE130" s="25" t="s">
        <v>23</v>
      </c>
      <c r="AF130" s="25" t="s">
        <v>23</v>
      </c>
      <c r="AG130" s="25" t="s">
        <v>23</v>
      </c>
      <c r="AH130" s="7" t="s">
        <v>23</v>
      </c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</row>
    <row r="131" spans="11:44" ht="16.5">
      <c r="K131" s="21">
        <v>127</v>
      </c>
      <c r="L131" s="24" t="s">
        <v>23</v>
      </c>
      <c r="M131" s="24" t="s">
        <v>23</v>
      </c>
      <c r="N131" s="24" t="s">
        <v>23</v>
      </c>
      <c r="O131" s="24" t="s">
        <v>23</v>
      </c>
      <c r="P131" s="24" t="s">
        <v>23</v>
      </c>
      <c r="Q131" s="24" t="s">
        <v>23</v>
      </c>
      <c r="R131" s="24" t="s">
        <v>23</v>
      </c>
      <c r="T131" s="8"/>
      <c r="U131" s="8"/>
      <c r="V131" s="8"/>
      <c r="W131" s="8"/>
      <c r="X131" s="8"/>
      <c r="Y131" s="8"/>
      <c r="Z131" s="8"/>
      <c r="AB131" s="25" t="s">
        <v>23</v>
      </c>
      <c r="AC131" s="25" t="s">
        <v>23</v>
      </c>
      <c r="AD131" s="25" t="s">
        <v>23</v>
      </c>
      <c r="AE131" s="25" t="s">
        <v>23</v>
      </c>
      <c r="AF131" s="25" t="s">
        <v>23</v>
      </c>
      <c r="AG131" s="25" t="s">
        <v>23</v>
      </c>
      <c r="AH131" s="7" t="s">
        <v>23</v>
      </c>
      <c r="AJ131" s="74" t="s">
        <v>28</v>
      </c>
      <c r="AK131" s="75">
        <v>0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</row>
    <row r="132" spans="11:44" ht="16.5">
      <c r="K132" s="22">
        <v>128</v>
      </c>
      <c r="L132" s="24" t="s">
        <v>23</v>
      </c>
      <c r="M132" s="24" t="s">
        <v>23</v>
      </c>
      <c r="N132" s="24" t="s">
        <v>23</v>
      </c>
      <c r="O132" s="24" t="s">
        <v>23</v>
      </c>
      <c r="P132" s="24" t="s">
        <v>23</v>
      </c>
      <c r="Q132" s="24" t="s">
        <v>23</v>
      </c>
      <c r="R132" s="24" t="s">
        <v>23</v>
      </c>
      <c r="T132" s="8"/>
      <c r="U132" s="8"/>
      <c r="V132" s="8"/>
      <c r="W132" s="8"/>
      <c r="X132" s="8"/>
      <c r="Y132" s="8"/>
      <c r="Z132" s="8"/>
      <c r="AB132" s="25" t="s">
        <v>23</v>
      </c>
      <c r="AC132" s="25" t="s">
        <v>23</v>
      </c>
      <c r="AD132" s="25" t="s">
        <v>23</v>
      </c>
      <c r="AE132" s="25" t="s">
        <v>23</v>
      </c>
      <c r="AF132" s="25" t="s">
        <v>23</v>
      </c>
      <c r="AG132" s="25" t="s">
        <v>23</v>
      </c>
      <c r="AH132" s="7" t="s">
        <v>23</v>
      </c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</row>
    <row r="133" spans="11:44" ht="16.5">
      <c r="K133" s="21">
        <v>129</v>
      </c>
      <c r="L133" s="24" t="s">
        <v>23</v>
      </c>
      <c r="M133" s="24" t="s">
        <v>23</v>
      </c>
      <c r="N133" s="24" t="s">
        <v>23</v>
      </c>
      <c r="O133" s="24" t="s">
        <v>23</v>
      </c>
      <c r="P133" s="24" t="s">
        <v>23</v>
      </c>
      <c r="Q133" s="24" t="s">
        <v>23</v>
      </c>
      <c r="R133" s="24" t="s">
        <v>23</v>
      </c>
      <c r="T133" s="8"/>
      <c r="U133" s="8"/>
      <c r="V133" s="8"/>
      <c r="W133" s="8"/>
      <c r="X133" s="8"/>
      <c r="Y133" s="8"/>
      <c r="Z133" s="8"/>
      <c r="AB133" s="25" t="s">
        <v>23</v>
      </c>
      <c r="AC133" s="25" t="s">
        <v>23</v>
      </c>
      <c r="AD133" s="25" t="s">
        <v>23</v>
      </c>
      <c r="AE133" s="25" t="s">
        <v>23</v>
      </c>
      <c r="AF133" s="25" t="s">
        <v>23</v>
      </c>
      <c r="AG133" s="25" t="s">
        <v>23</v>
      </c>
      <c r="AH133" s="7" t="s">
        <v>23</v>
      </c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</row>
    <row r="134" spans="11:44" ht="16.5">
      <c r="K134" s="22">
        <v>130</v>
      </c>
      <c r="L134" s="24" t="s">
        <v>23</v>
      </c>
      <c r="M134" s="24" t="s">
        <v>23</v>
      </c>
      <c r="N134" s="24" t="s">
        <v>23</v>
      </c>
      <c r="O134" s="24" t="s">
        <v>23</v>
      </c>
      <c r="P134" s="24" t="s">
        <v>23</v>
      </c>
      <c r="Q134" s="24" t="s">
        <v>23</v>
      </c>
      <c r="R134" s="24" t="s">
        <v>23</v>
      </c>
      <c r="T134" s="8"/>
      <c r="U134" s="8"/>
      <c r="V134" s="8"/>
      <c r="W134" s="8"/>
      <c r="X134" s="8"/>
      <c r="Y134" s="8"/>
      <c r="Z134" s="8"/>
      <c r="AB134" s="25" t="s">
        <v>23</v>
      </c>
      <c r="AC134" s="25" t="s">
        <v>23</v>
      </c>
      <c r="AD134" s="25" t="s">
        <v>23</v>
      </c>
      <c r="AE134" s="25" t="s">
        <v>23</v>
      </c>
      <c r="AF134" s="25" t="s">
        <v>23</v>
      </c>
      <c r="AG134" s="25" t="s">
        <v>23</v>
      </c>
      <c r="AH134" s="7" t="s">
        <v>23</v>
      </c>
      <c r="AJ134" s="74" t="s">
        <v>82</v>
      </c>
      <c r="AK134" s="75">
        <v>0</v>
      </c>
      <c r="AL134" s="76">
        <v>1</v>
      </c>
      <c r="AM134" s="76">
        <v>0</v>
      </c>
      <c r="AN134" s="76">
        <v>1</v>
      </c>
      <c r="AO134" s="76">
        <v>1</v>
      </c>
      <c r="AP134" s="76">
        <v>0</v>
      </c>
      <c r="AQ134" s="77">
        <v>0</v>
      </c>
      <c r="AR134" s="78">
        <v>13</v>
      </c>
    </row>
    <row r="135" spans="11:44" ht="16.5">
      <c r="K135" s="21">
        <v>131</v>
      </c>
      <c r="L135" s="24" t="s">
        <v>23</v>
      </c>
      <c r="M135" s="24" t="s">
        <v>23</v>
      </c>
      <c r="N135" s="24" t="s">
        <v>23</v>
      </c>
      <c r="O135" s="24" t="s">
        <v>23</v>
      </c>
      <c r="P135" s="24" t="s">
        <v>23</v>
      </c>
      <c r="Q135" s="24" t="s">
        <v>23</v>
      </c>
      <c r="R135" s="24" t="s">
        <v>23</v>
      </c>
      <c r="T135" s="8"/>
      <c r="U135" s="8"/>
      <c r="V135" s="8"/>
      <c r="W135" s="8"/>
      <c r="X135" s="8"/>
      <c r="Y135" s="8"/>
      <c r="Z135" s="8"/>
      <c r="AB135" s="25" t="s">
        <v>23</v>
      </c>
      <c r="AC135" s="25" t="s">
        <v>23</v>
      </c>
      <c r="AD135" s="25" t="s">
        <v>23</v>
      </c>
      <c r="AE135" s="25" t="s">
        <v>23</v>
      </c>
      <c r="AF135" s="25" t="s">
        <v>23</v>
      </c>
      <c r="AG135" s="25" t="s">
        <v>23</v>
      </c>
      <c r="AH135" s="7" t="s">
        <v>23</v>
      </c>
      <c r="AJ135" s="74" t="s">
        <v>83</v>
      </c>
      <c r="AK135" s="75">
        <v>0</v>
      </c>
      <c r="AL135" s="76">
        <v>2</v>
      </c>
      <c r="AM135" s="76">
        <v>1</v>
      </c>
      <c r="AN135" s="76">
        <v>2</v>
      </c>
      <c r="AO135" s="76">
        <v>1</v>
      </c>
      <c r="AP135" s="76">
        <v>0</v>
      </c>
      <c r="AQ135" s="77">
        <v>0</v>
      </c>
      <c r="AR135" s="78">
        <v>14</v>
      </c>
    </row>
    <row r="136" spans="11:44" ht="16.5">
      <c r="K136" s="22">
        <v>132</v>
      </c>
      <c r="L136" s="24" t="s">
        <v>23</v>
      </c>
      <c r="M136" s="24" t="s">
        <v>23</v>
      </c>
      <c r="N136" s="24" t="s">
        <v>23</v>
      </c>
      <c r="O136" s="24" t="s">
        <v>23</v>
      </c>
      <c r="P136" s="24" t="s">
        <v>23</v>
      </c>
      <c r="Q136" s="24" t="s">
        <v>23</v>
      </c>
      <c r="R136" s="24" t="s">
        <v>23</v>
      </c>
      <c r="T136" s="8"/>
      <c r="U136" s="8"/>
      <c r="V136" s="8"/>
      <c r="W136" s="8"/>
      <c r="X136" s="8"/>
      <c r="Y136" s="8"/>
      <c r="Z136" s="8"/>
      <c r="AB136" s="25" t="s">
        <v>23</v>
      </c>
      <c r="AC136" s="25" t="s">
        <v>23</v>
      </c>
      <c r="AD136" s="25" t="s">
        <v>23</v>
      </c>
      <c r="AE136" s="25" t="s">
        <v>23</v>
      </c>
      <c r="AF136" s="25" t="s">
        <v>23</v>
      </c>
      <c r="AG136" s="25" t="s">
        <v>23</v>
      </c>
      <c r="AH136" s="7" t="s">
        <v>23</v>
      </c>
      <c r="AJ136" s="74" t="s">
        <v>84</v>
      </c>
      <c r="AK136" s="75">
        <v>0</v>
      </c>
      <c r="AL136" s="76">
        <v>1</v>
      </c>
      <c r="AM136" s="76">
        <v>2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</row>
    <row r="137" spans="11:44" ht="16.5">
      <c r="K137" s="21">
        <v>133</v>
      </c>
      <c r="L137" s="24" t="s">
        <v>23</v>
      </c>
      <c r="M137" s="24" t="s">
        <v>23</v>
      </c>
      <c r="N137" s="24" t="s">
        <v>23</v>
      </c>
      <c r="O137" s="24" t="s">
        <v>23</v>
      </c>
      <c r="P137" s="24" t="s">
        <v>23</v>
      </c>
      <c r="Q137" s="24" t="s">
        <v>23</v>
      </c>
      <c r="R137" s="24" t="s">
        <v>23</v>
      </c>
      <c r="T137" s="8"/>
      <c r="U137" s="8"/>
      <c r="V137" s="8"/>
      <c r="W137" s="8"/>
      <c r="X137" s="8"/>
      <c r="Y137" s="8"/>
      <c r="Z137" s="8"/>
      <c r="AB137" s="25" t="s">
        <v>23</v>
      </c>
      <c r="AC137" s="25" t="s">
        <v>23</v>
      </c>
      <c r="AD137" s="25" t="s">
        <v>23</v>
      </c>
      <c r="AE137" s="25" t="s">
        <v>23</v>
      </c>
      <c r="AF137" s="25" t="s">
        <v>23</v>
      </c>
      <c r="AG137" s="25" t="s">
        <v>23</v>
      </c>
      <c r="AH137" s="7" t="s">
        <v>23</v>
      </c>
      <c r="AJ137" s="74" t="s">
        <v>85</v>
      </c>
      <c r="AK137" s="75">
        <v>0</v>
      </c>
      <c r="AL137" s="76">
        <v>2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</row>
    <row r="138" spans="11:44" ht="16.5">
      <c r="K138" s="22">
        <v>134</v>
      </c>
      <c r="L138" s="24" t="s">
        <v>23</v>
      </c>
      <c r="M138" s="24" t="s">
        <v>23</v>
      </c>
      <c r="N138" s="24" t="s">
        <v>23</v>
      </c>
      <c r="O138" s="24" t="s">
        <v>23</v>
      </c>
      <c r="P138" s="24" t="s">
        <v>23</v>
      </c>
      <c r="Q138" s="24" t="s">
        <v>23</v>
      </c>
      <c r="R138" s="24" t="s">
        <v>23</v>
      </c>
      <c r="T138" s="8"/>
      <c r="U138" s="8"/>
      <c r="V138" s="8"/>
      <c r="W138" s="8"/>
      <c r="X138" s="8"/>
      <c r="Y138" s="8"/>
      <c r="Z138" s="8"/>
      <c r="AB138" s="25" t="s">
        <v>23</v>
      </c>
      <c r="AC138" s="25" t="s">
        <v>23</v>
      </c>
      <c r="AD138" s="25" t="s">
        <v>23</v>
      </c>
      <c r="AE138" s="25" t="s">
        <v>23</v>
      </c>
      <c r="AF138" s="25" t="s">
        <v>23</v>
      </c>
      <c r="AG138" s="25" t="s">
        <v>23</v>
      </c>
      <c r="AH138" s="7" t="s">
        <v>23</v>
      </c>
      <c r="AJ138" s="74" t="s">
        <v>86</v>
      </c>
      <c r="AK138" s="75">
        <v>0</v>
      </c>
      <c r="AL138" s="76">
        <v>0</v>
      </c>
      <c r="AM138" s="76">
        <v>2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</row>
    <row r="139" spans="11:44" ht="16.5">
      <c r="K139" s="21">
        <v>135</v>
      </c>
      <c r="L139" s="24" t="s">
        <v>23</v>
      </c>
      <c r="M139" s="24" t="s">
        <v>23</v>
      </c>
      <c r="N139" s="24" t="s">
        <v>23</v>
      </c>
      <c r="O139" s="24" t="s">
        <v>23</v>
      </c>
      <c r="P139" s="24" t="s">
        <v>23</v>
      </c>
      <c r="Q139" s="24" t="s">
        <v>23</v>
      </c>
      <c r="R139" s="24" t="s">
        <v>23</v>
      </c>
      <c r="T139" s="8"/>
      <c r="U139" s="8"/>
      <c r="V139" s="8"/>
      <c r="W139" s="8"/>
      <c r="X139" s="8"/>
      <c r="Y139" s="8"/>
      <c r="Z139" s="8"/>
      <c r="AB139" s="25" t="s">
        <v>23</v>
      </c>
      <c r="AC139" s="25" t="s">
        <v>23</v>
      </c>
      <c r="AD139" s="25" t="s">
        <v>23</v>
      </c>
      <c r="AE139" s="25" t="s">
        <v>23</v>
      </c>
      <c r="AF139" s="25" t="s">
        <v>23</v>
      </c>
      <c r="AG139" s="25" t="s">
        <v>23</v>
      </c>
      <c r="AH139" s="7" t="s">
        <v>23</v>
      </c>
      <c r="AJ139" s="74" t="s">
        <v>176</v>
      </c>
      <c r="AK139" s="75">
        <v>0</v>
      </c>
      <c r="AL139" s="76">
        <v>2</v>
      </c>
      <c r="AM139" s="76">
        <v>1</v>
      </c>
      <c r="AN139" s="76">
        <v>1</v>
      </c>
      <c r="AO139" s="76">
        <v>2</v>
      </c>
      <c r="AP139" s="76">
        <v>0</v>
      </c>
      <c r="AQ139" s="77">
        <v>0</v>
      </c>
      <c r="AR139" s="78">
        <v>18</v>
      </c>
    </row>
    <row r="140" spans="11:44" ht="16.5">
      <c r="K140" s="22">
        <v>136</v>
      </c>
      <c r="L140" s="24" t="s">
        <v>23</v>
      </c>
      <c r="M140" s="24" t="s">
        <v>23</v>
      </c>
      <c r="N140" s="24" t="s">
        <v>23</v>
      </c>
      <c r="O140" s="24" t="s">
        <v>23</v>
      </c>
      <c r="P140" s="24" t="s">
        <v>23</v>
      </c>
      <c r="Q140" s="24" t="s">
        <v>23</v>
      </c>
      <c r="R140" s="24" t="s">
        <v>23</v>
      </c>
      <c r="T140" s="8"/>
      <c r="U140" s="8"/>
      <c r="V140" s="8"/>
      <c r="W140" s="8"/>
      <c r="X140" s="8"/>
      <c r="Y140" s="8"/>
      <c r="Z140" s="8"/>
      <c r="AB140" s="25" t="s">
        <v>23</v>
      </c>
      <c r="AC140" s="25" t="s">
        <v>23</v>
      </c>
      <c r="AD140" s="25" t="s">
        <v>23</v>
      </c>
      <c r="AE140" s="25" t="s">
        <v>23</v>
      </c>
      <c r="AF140" s="25" t="s">
        <v>23</v>
      </c>
      <c r="AG140" s="25" t="s">
        <v>23</v>
      </c>
      <c r="AH140" s="7" t="s">
        <v>23</v>
      </c>
      <c r="AJ140" s="74" t="s">
        <v>87</v>
      </c>
      <c r="AK140" s="75">
        <v>0</v>
      </c>
      <c r="AL140" s="76">
        <v>2</v>
      </c>
      <c r="AM140" s="76">
        <v>1</v>
      </c>
      <c r="AN140" s="76">
        <v>1</v>
      </c>
      <c r="AO140" s="76">
        <v>2</v>
      </c>
      <c r="AP140" s="76">
        <v>0</v>
      </c>
      <c r="AQ140" s="77">
        <v>0</v>
      </c>
      <c r="AR140" s="78">
        <v>19</v>
      </c>
    </row>
    <row r="141" spans="11:44" ht="16.5">
      <c r="K141" s="21">
        <v>137</v>
      </c>
      <c r="L141" s="24" t="s">
        <v>23</v>
      </c>
      <c r="M141" s="24" t="s">
        <v>23</v>
      </c>
      <c r="N141" s="24" t="s">
        <v>23</v>
      </c>
      <c r="O141" s="24" t="s">
        <v>23</v>
      </c>
      <c r="P141" s="24" t="s">
        <v>23</v>
      </c>
      <c r="Q141" s="24" t="s">
        <v>23</v>
      </c>
      <c r="R141" s="24" t="s">
        <v>23</v>
      </c>
      <c r="T141" s="8"/>
      <c r="U141" s="8"/>
      <c r="V141" s="8"/>
      <c r="W141" s="8"/>
      <c r="X141" s="8"/>
      <c r="Y141" s="8"/>
      <c r="Z141" s="8"/>
      <c r="AB141" s="25" t="s">
        <v>23</v>
      </c>
      <c r="AC141" s="25" t="s">
        <v>23</v>
      </c>
      <c r="AD141" s="25" t="s">
        <v>23</v>
      </c>
      <c r="AE141" s="25" t="s">
        <v>23</v>
      </c>
      <c r="AF141" s="25" t="s">
        <v>23</v>
      </c>
      <c r="AG141" s="25" t="s">
        <v>23</v>
      </c>
      <c r="AH141" s="7" t="s">
        <v>23</v>
      </c>
      <c r="AJ141" s="74" t="s">
        <v>88</v>
      </c>
      <c r="AK141" s="75">
        <v>0</v>
      </c>
      <c r="AL141" s="76">
        <v>2</v>
      </c>
      <c r="AM141" s="76">
        <v>1</v>
      </c>
      <c r="AN141" s="76">
        <v>2</v>
      </c>
      <c r="AO141" s="76">
        <v>1</v>
      </c>
      <c r="AP141" s="76">
        <v>0</v>
      </c>
      <c r="AQ141" s="77">
        <v>0</v>
      </c>
      <c r="AR141" s="78">
        <v>20</v>
      </c>
    </row>
    <row r="142" spans="11:44" ht="16.5">
      <c r="K142" s="22">
        <v>138</v>
      </c>
      <c r="L142" s="24" t="s">
        <v>23</v>
      </c>
      <c r="M142" s="24" t="s">
        <v>23</v>
      </c>
      <c r="N142" s="24" t="s">
        <v>23</v>
      </c>
      <c r="O142" s="24" t="s">
        <v>23</v>
      </c>
      <c r="P142" s="24" t="s">
        <v>23</v>
      </c>
      <c r="Q142" s="24" t="s">
        <v>23</v>
      </c>
      <c r="R142" s="24" t="s">
        <v>23</v>
      </c>
      <c r="T142" s="8"/>
      <c r="U142" s="8"/>
      <c r="V142" s="8"/>
      <c r="W142" s="8"/>
      <c r="X142" s="8"/>
      <c r="Y142" s="8"/>
      <c r="Z142" s="8"/>
      <c r="AB142" s="25" t="s">
        <v>23</v>
      </c>
      <c r="AC142" s="25" t="s">
        <v>23</v>
      </c>
      <c r="AD142" s="25" t="s">
        <v>23</v>
      </c>
      <c r="AE142" s="25" t="s">
        <v>23</v>
      </c>
      <c r="AF142" s="25" t="s">
        <v>23</v>
      </c>
      <c r="AG142" s="25" t="s">
        <v>23</v>
      </c>
      <c r="AH142" s="7" t="s">
        <v>23</v>
      </c>
      <c r="AJ142" s="74" t="s">
        <v>89</v>
      </c>
      <c r="AK142" s="75">
        <v>0</v>
      </c>
      <c r="AL142" s="76">
        <v>0</v>
      </c>
      <c r="AM142" s="76">
        <v>2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</row>
    <row r="143" spans="11:44" ht="16.5">
      <c r="K143" s="21">
        <v>139</v>
      </c>
      <c r="L143" s="24" t="s">
        <v>23</v>
      </c>
      <c r="M143" s="24" t="s">
        <v>23</v>
      </c>
      <c r="N143" s="24" t="s">
        <v>23</v>
      </c>
      <c r="O143" s="24" t="s">
        <v>23</v>
      </c>
      <c r="P143" s="24" t="s">
        <v>23</v>
      </c>
      <c r="Q143" s="24" t="s">
        <v>23</v>
      </c>
      <c r="R143" s="24" t="s">
        <v>23</v>
      </c>
      <c r="T143" s="8"/>
      <c r="U143" s="8"/>
      <c r="V143" s="8"/>
      <c r="W143" s="8"/>
      <c r="X143" s="8"/>
      <c r="Y143" s="8"/>
      <c r="Z143" s="8"/>
      <c r="AB143" s="25" t="s">
        <v>23</v>
      </c>
      <c r="AC143" s="25" t="s">
        <v>23</v>
      </c>
      <c r="AD143" s="25" t="s">
        <v>23</v>
      </c>
      <c r="AE143" s="25" t="s">
        <v>23</v>
      </c>
      <c r="AF143" s="25" t="s">
        <v>23</v>
      </c>
      <c r="AG143" s="25" t="s">
        <v>23</v>
      </c>
      <c r="AH143" s="7" t="s">
        <v>23</v>
      </c>
      <c r="AJ143" s="74" t="s">
        <v>90</v>
      </c>
      <c r="AK143" s="75">
        <v>0</v>
      </c>
      <c r="AL143" s="76">
        <v>4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</row>
    <row r="144" spans="11:44" ht="17.25" thickBot="1">
      <c r="K144" s="22">
        <v>140</v>
      </c>
      <c r="L144" s="24" t="s">
        <v>23</v>
      </c>
      <c r="M144" s="24" t="s">
        <v>23</v>
      </c>
      <c r="N144" s="24" t="s">
        <v>23</v>
      </c>
      <c r="O144" s="24" t="s">
        <v>23</v>
      </c>
      <c r="P144" s="24" t="s">
        <v>23</v>
      </c>
      <c r="Q144" s="24" t="s">
        <v>23</v>
      </c>
      <c r="R144" s="24" t="s">
        <v>23</v>
      </c>
      <c r="T144" s="8"/>
      <c r="U144" s="8"/>
      <c r="V144" s="8"/>
      <c r="W144" s="8"/>
      <c r="X144" s="8"/>
      <c r="Y144" s="8"/>
      <c r="Z144" s="8"/>
      <c r="AB144" s="25" t="s">
        <v>23</v>
      </c>
      <c r="AC144" s="25" t="s">
        <v>23</v>
      </c>
      <c r="AD144" s="25" t="s">
        <v>23</v>
      </c>
      <c r="AE144" s="25" t="s">
        <v>23</v>
      </c>
      <c r="AF144" s="25" t="s">
        <v>23</v>
      </c>
      <c r="AG144" s="25" t="s">
        <v>23</v>
      </c>
      <c r="AH144" s="7" t="s">
        <v>23</v>
      </c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</row>
    <row r="145" spans="11:44" ht="16.5">
      <c r="K145" s="21">
        <v>141</v>
      </c>
      <c r="L145" s="24" t="s">
        <v>23</v>
      </c>
      <c r="M145" s="24" t="s">
        <v>23</v>
      </c>
      <c r="N145" s="24" t="s">
        <v>23</v>
      </c>
      <c r="O145" s="24" t="s">
        <v>23</v>
      </c>
      <c r="P145" s="24" t="s">
        <v>23</v>
      </c>
      <c r="Q145" s="24" t="s">
        <v>23</v>
      </c>
      <c r="R145" s="24" t="s">
        <v>23</v>
      </c>
      <c r="T145" s="8"/>
      <c r="U145" s="8"/>
      <c r="V145" s="8"/>
      <c r="W145" s="8"/>
      <c r="X145" s="8"/>
      <c r="Y145" s="8"/>
      <c r="Z145" s="8"/>
      <c r="AB145" s="25" t="s">
        <v>23</v>
      </c>
      <c r="AC145" s="25" t="s">
        <v>23</v>
      </c>
      <c r="AD145" s="25" t="s">
        <v>23</v>
      </c>
      <c r="AE145" s="25" t="s">
        <v>23</v>
      </c>
      <c r="AF145" s="25" t="s">
        <v>23</v>
      </c>
      <c r="AG145" s="25" t="s">
        <v>23</v>
      </c>
      <c r="AH145" s="7" t="s">
        <v>23</v>
      </c>
      <c r="AJ145" s="184" t="s">
        <v>190</v>
      </c>
      <c r="AK145" s="185">
        <v>0</v>
      </c>
      <c r="AL145" s="186">
        <v>10</v>
      </c>
      <c r="AM145" s="186">
        <v>10</v>
      </c>
      <c r="AN145" s="186">
        <v>10</v>
      </c>
      <c r="AO145" s="186">
        <v>10</v>
      </c>
      <c r="AP145" s="186">
        <v>0</v>
      </c>
      <c r="AQ145" s="187">
        <v>0</v>
      </c>
      <c r="AR145" s="183">
        <v>24</v>
      </c>
    </row>
    <row r="146" spans="11:44" ht="17.25" thickBot="1">
      <c r="K146" s="22">
        <v>142</v>
      </c>
      <c r="L146" s="24" t="s">
        <v>23</v>
      </c>
      <c r="M146" s="24" t="s">
        <v>23</v>
      </c>
      <c r="N146" s="24" t="s">
        <v>23</v>
      </c>
      <c r="O146" s="24" t="s">
        <v>23</v>
      </c>
      <c r="P146" s="24" t="s">
        <v>23</v>
      </c>
      <c r="Q146" s="24" t="s">
        <v>23</v>
      </c>
      <c r="R146" s="24" t="s">
        <v>23</v>
      </c>
      <c r="T146" s="8"/>
      <c r="U146" s="8"/>
      <c r="V146" s="8"/>
      <c r="W146" s="8"/>
      <c r="X146" s="8"/>
      <c r="Y146" s="8"/>
      <c r="Z146" s="8"/>
      <c r="AB146" s="25" t="s">
        <v>23</v>
      </c>
      <c r="AC146" s="25" t="s">
        <v>23</v>
      </c>
      <c r="AD146" s="25" t="s">
        <v>23</v>
      </c>
      <c r="AE146" s="25" t="s">
        <v>23</v>
      </c>
      <c r="AF146" s="25" t="s">
        <v>23</v>
      </c>
      <c r="AG146" s="25" t="s">
        <v>23</v>
      </c>
      <c r="AH146" s="7" t="s">
        <v>23</v>
      </c>
      <c r="AJ146" s="101" t="s">
        <v>201</v>
      </c>
      <c r="AK146" s="93">
        <v>0</v>
      </c>
      <c r="AL146" s="94">
        <v>1</v>
      </c>
      <c r="AM146" s="94">
        <v>1</v>
      </c>
      <c r="AN146" s="94">
        <v>1</v>
      </c>
      <c r="AO146" s="94">
        <v>1</v>
      </c>
      <c r="AP146" s="94">
        <v>0</v>
      </c>
      <c r="AQ146" s="95">
        <v>0</v>
      </c>
      <c r="AR146" s="84">
        <v>25</v>
      </c>
    </row>
    <row r="147" spans="11:44">
      <c r="K147" s="21">
        <v>143</v>
      </c>
      <c r="L147" s="24" t="s">
        <v>23</v>
      </c>
      <c r="M147" s="24" t="s">
        <v>23</v>
      </c>
      <c r="N147" s="24" t="s">
        <v>23</v>
      </c>
      <c r="O147" s="24" t="s">
        <v>23</v>
      </c>
      <c r="P147" s="24" t="s">
        <v>23</v>
      </c>
      <c r="Q147" s="24" t="s">
        <v>23</v>
      </c>
      <c r="R147" s="24" t="s">
        <v>23</v>
      </c>
      <c r="T147" s="8"/>
      <c r="U147" s="8"/>
      <c r="V147" s="8"/>
      <c r="W147" s="8"/>
      <c r="X147" s="8"/>
      <c r="Y147" s="8"/>
      <c r="Z147" s="8"/>
      <c r="AB147" s="25" t="s">
        <v>23</v>
      </c>
      <c r="AC147" s="25" t="s">
        <v>23</v>
      </c>
      <c r="AD147" s="25" t="s">
        <v>23</v>
      </c>
      <c r="AE147" s="25" t="s">
        <v>23</v>
      </c>
      <c r="AF147" s="25" t="s">
        <v>23</v>
      </c>
      <c r="AG147" s="25" t="s">
        <v>23</v>
      </c>
      <c r="AH147" s="7" t="s">
        <v>23</v>
      </c>
      <c r="AN147" s="14"/>
      <c r="AO147" s="14"/>
      <c r="AP147" s="14"/>
      <c r="AQ147" s="14"/>
      <c r="AR147" s="14"/>
    </row>
    <row r="148" spans="11:44">
      <c r="K148" s="22">
        <v>144</v>
      </c>
      <c r="L148" s="24" t="s">
        <v>23</v>
      </c>
      <c r="M148" s="24" t="s">
        <v>23</v>
      </c>
      <c r="N148" s="24" t="s">
        <v>23</v>
      </c>
      <c r="O148" s="24" t="s">
        <v>23</v>
      </c>
      <c r="P148" s="24" t="s">
        <v>23</v>
      </c>
      <c r="Q148" s="24" t="s">
        <v>23</v>
      </c>
      <c r="R148" s="24" t="s">
        <v>23</v>
      </c>
      <c r="T148" s="8"/>
      <c r="U148" s="8"/>
      <c r="V148" s="8"/>
      <c r="W148" s="8"/>
      <c r="X148" s="8"/>
      <c r="Y148" s="8"/>
      <c r="Z148" s="8"/>
      <c r="AB148" s="25" t="s">
        <v>23</v>
      </c>
      <c r="AC148" s="25" t="s">
        <v>23</v>
      </c>
      <c r="AD148" s="25" t="s">
        <v>23</v>
      </c>
      <c r="AE148" s="25" t="s">
        <v>23</v>
      </c>
      <c r="AF148" s="25" t="s">
        <v>23</v>
      </c>
      <c r="AG148" s="25" t="s">
        <v>23</v>
      </c>
      <c r="AH148" s="7" t="s">
        <v>23</v>
      </c>
      <c r="AN148" s="14"/>
      <c r="AO148" s="14"/>
      <c r="AP148" s="14"/>
      <c r="AQ148" s="14"/>
      <c r="AR148" s="14"/>
    </row>
    <row r="149" spans="11:44">
      <c r="K149" s="21">
        <v>145</v>
      </c>
      <c r="L149" s="24" t="s">
        <v>23</v>
      </c>
      <c r="M149" s="24" t="s">
        <v>23</v>
      </c>
      <c r="N149" s="24" t="s">
        <v>23</v>
      </c>
      <c r="O149" s="24" t="s">
        <v>23</v>
      </c>
      <c r="P149" s="24" t="s">
        <v>23</v>
      </c>
      <c r="Q149" s="24" t="s">
        <v>23</v>
      </c>
      <c r="R149" s="24" t="s">
        <v>23</v>
      </c>
      <c r="T149" s="8"/>
      <c r="U149" s="8"/>
      <c r="V149" s="8"/>
      <c r="W149" s="8"/>
      <c r="X149" s="8"/>
      <c r="Y149" s="8"/>
      <c r="Z149" s="8"/>
      <c r="AB149" s="25" t="s">
        <v>23</v>
      </c>
      <c r="AC149" s="25" t="s">
        <v>23</v>
      </c>
      <c r="AD149" s="25" t="s">
        <v>23</v>
      </c>
      <c r="AE149" s="25" t="s">
        <v>23</v>
      </c>
      <c r="AF149" s="25" t="s">
        <v>23</v>
      </c>
      <c r="AG149" s="25" t="s">
        <v>23</v>
      </c>
      <c r="AH149" s="7" t="s">
        <v>23</v>
      </c>
      <c r="AN149" s="14"/>
      <c r="AO149" s="14"/>
      <c r="AP149" s="14"/>
      <c r="AQ149" s="14"/>
      <c r="AR149" s="14"/>
    </row>
    <row r="150" spans="11:44">
      <c r="K150" s="22">
        <v>146</v>
      </c>
      <c r="L150" s="24" t="s">
        <v>23</v>
      </c>
      <c r="M150" s="24" t="s">
        <v>23</v>
      </c>
      <c r="N150" s="24" t="s">
        <v>23</v>
      </c>
      <c r="O150" s="24" t="s">
        <v>23</v>
      </c>
      <c r="P150" s="24" t="s">
        <v>23</v>
      </c>
      <c r="Q150" s="24" t="s">
        <v>23</v>
      </c>
      <c r="R150" s="24" t="s">
        <v>23</v>
      </c>
      <c r="T150" s="8"/>
      <c r="U150" s="8"/>
      <c r="V150" s="8"/>
      <c r="W150" s="8"/>
      <c r="X150" s="8"/>
      <c r="Y150" s="8"/>
      <c r="Z150" s="8"/>
      <c r="AB150" s="25" t="s">
        <v>23</v>
      </c>
      <c r="AC150" s="25" t="s">
        <v>23</v>
      </c>
      <c r="AD150" s="25" t="s">
        <v>23</v>
      </c>
      <c r="AE150" s="25" t="s">
        <v>23</v>
      </c>
      <c r="AF150" s="25" t="s">
        <v>23</v>
      </c>
      <c r="AG150" s="25" t="s">
        <v>23</v>
      </c>
      <c r="AH150" s="7" t="s">
        <v>23</v>
      </c>
      <c r="AN150" s="14"/>
      <c r="AO150" s="14"/>
      <c r="AP150" s="14"/>
      <c r="AQ150" s="14"/>
      <c r="AR150" s="14"/>
    </row>
    <row r="151" spans="11:44">
      <c r="K151" s="21">
        <v>147</v>
      </c>
      <c r="L151" s="24" t="s">
        <v>23</v>
      </c>
      <c r="M151" s="24" t="s">
        <v>23</v>
      </c>
      <c r="N151" s="24" t="s">
        <v>23</v>
      </c>
      <c r="O151" s="24" t="s">
        <v>23</v>
      </c>
      <c r="P151" s="24" t="s">
        <v>23</v>
      </c>
      <c r="Q151" s="24" t="s">
        <v>23</v>
      </c>
      <c r="R151" s="24" t="s">
        <v>23</v>
      </c>
      <c r="T151" s="8"/>
      <c r="U151" s="8"/>
      <c r="V151" s="8"/>
      <c r="W151" s="8"/>
      <c r="X151" s="8"/>
      <c r="Y151" s="8"/>
      <c r="Z151" s="8"/>
      <c r="AB151" s="25" t="s">
        <v>23</v>
      </c>
      <c r="AC151" s="25" t="s">
        <v>23</v>
      </c>
      <c r="AD151" s="25" t="s">
        <v>23</v>
      </c>
      <c r="AE151" s="25" t="s">
        <v>23</v>
      </c>
      <c r="AF151" s="25" t="s">
        <v>23</v>
      </c>
      <c r="AG151" s="25" t="s">
        <v>23</v>
      </c>
      <c r="AH151" s="7" t="s">
        <v>23</v>
      </c>
      <c r="AN151" s="14"/>
      <c r="AO151" s="14"/>
      <c r="AP151" s="14"/>
      <c r="AQ151" s="14"/>
      <c r="AR151" s="14"/>
    </row>
    <row r="152" spans="11:44">
      <c r="K152" s="22">
        <v>148</v>
      </c>
      <c r="L152" s="24" t="s">
        <v>23</v>
      </c>
      <c r="M152" s="24" t="s">
        <v>23</v>
      </c>
      <c r="N152" s="24" t="s">
        <v>23</v>
      </c>
      <c r="O152" s="24" t="s">
        <v>23</v>
      </c>
      <c r="P152" s="24" t="s">
        <v>23</v>
      </c>
      <c r="Q152" s="24" t="s">
        <v>23</v>
      </c>
      <c r="R152" s="24" t="s">
        <v>23</v>
      </c>
      <c r="T152" s="8"/>
      <c r="U152" s="8"/>
      <c r="V152" s="8"/>
      <c r="W152" s="8"/>
      <c r="X152" s="8"/>
      <c r="Y152" s="8"/>
      <c r="Z152" s="8"/>
      <c r="AB152" s="25" t="s">
        <v>23</v>
      </c>
      <c r="AC152" s="25" t="s">
        <v>23</v>
      </c>
      <c r="AD152" s="25" t="s">
        <v>23</v>
      </c>
      <c r="AE152" s="25" t="s">
        <v>23</v>
      </c>
      <c r="AF152" s="25" t="s">
        <v>23</v>
      </c>
      <c r="AG152" s="25" t="s">
        <v>23</v>
      </c>
      <c r="AH152" s="7" t="s">
        <v>23</v>
      </c>
      <c r="AN152" s="14"/>
      <c r="AO152" s="14"/>
      <c r="AP152" s="14"/>
      <c r="AQ152" s="14"/>
      <c r="AR152" s="14"/>
    </row>
    <row r="153" spans="11:44">
      <c r="K153" s="21">
        <v>149</v>
      </c>
      <c r="L153" s="24" t="s">
        <v>23</v>
      </c>
      <c r="M153" s="24" t="s">
        <v>23</v>
      </c>
      <c r="N153" s="24" t="s">
        <v>23</v>
      </c>
      <c r="O153" s="24" t="s">
        <v>23</v>
      </c>
      <c r="P153" s="24" t="s">
        <v>23</v>
      </c>
      <c r="Q153" s="24" t="s">
        <v>23</v>
      </c>
      <c r="R153" s="24" t="s">
        <v>23</v>
      </c>
      <c r="T153" s="8"/>
      <c r="U153" s="8"/>
      <c r="V153" s="8"/>
      <c r="W153" s="8"/>
      <c r="X153" s="8"/>
      <c r="Y153" s="8"/>
      <c r="Z153" s="8"/>
      <c r="AB153" s="25" t="s">
        <v>23</v>
      </c>
      <c r="AC153" s="25" t="s">
        <v>23</v>
      </c>
      <c r="AD153" s="25" t="s">
        <v>23</v>
      </c>
      <c r="AE153" s="25" t="s">
        <v>23</v>
      </c>
      <c r="AF153" s="25" t="s">
        <v>23</v>
      </c>
      <c r="AG153" s="25" t="s">
        <v>23</v>
      </c>
      <c r="AH153" s="7" t="s">
        <v>23</v>
      </c>
      <c r="AN153" s="14"/>
      <c r="AO153" s="14"/>
      <c r="AP153" s="14"/>
      <c r="AQ153" s="14"/>
      <c r="AR153" s="14"/>
    </row>
    <row r="154" spans="11:44">
      <c r="K154" s="22">
        <v>150</v>
      </c>
      <c r="L154" s="24" t="s">
        <v>23</v>
      </c>
      <c r="M154" s="24" t="s">
        <v>23</v>
      </c>
      <c r="N154" s="24" t="s">
        <v>23</v>
      </c>
      <c r="O154" s="24" t="s">
        <v>23</v>
      </c>
      <c r="P154" s="24" t="s">
        <v>23</v>
      </c>
      <c r="Q154" s="24" t="s">
        <v>23</v>
      </c>
      <c r="R154" s="24" t="s">
        <v>23</v>
      </c>
      <c r="T154" s="8"/>
      <c r="U154" s="8"/>
      <c r="V154" s="8"/>
      <c r="W154" s="8"/>
      <c r="X154" s="8"/>
      <c r="Y154" s="8"/>
      <c r="Z154" s="8"/>
      <c r="AB154" s="25" t="s">
        <v>23</v>
      </c>
      <c r="AC154" s="25" t="s">
        <v>23</v>
      </c>
      <c r="AD154" s="25" t="s">
        <v>23</v>
      </c>
      <c r="AE154" s="25" t="s">
        <v>23</v>
      </c>
      <c r="AF154" s="25" t="s">
        <v>23</v>
      </c>
      <c r="AG154" s="25" t="s">
        <v>23</v>
      </c>
      <c r="AH154" s="7" t="s">
        <v>23</v>
      </c>
      <c r="AN154" s="14"/>
      <c r="AO154" s="14"/>
      <c r="AP154" s="14"/>
      <c r="AQ154" s="14"/>
      <c r="AR154" s="14"/>
    </row>
    <row r="155" spans="11:44">
      <c r="K155" s="21">
        <v>151</v>
      </c>
      <c r="L155" s="24" t="s">
        <v>23</v>
      </c>
      <c r="M155" s="24" t="s">
        <v>23</v>
      </c>
      <c r="N155" s="24" t="s">
        <v>23</v>
      </c>
      <c r="O155" s="24" t="s">
        <v>23</v>
      </c>
      <c r="P155" s="24" t="s">
        <v>23</v>
      </c>
      <c r="Q155" s="24" t="s">
        <v>23</v>
      </c>
      <c r="R155" s="24" t="s">
        <v>23</v>
      </c>
      <c r="T155" s="8"/>
      <c r="U155" s="8"/>
      <c r="V155" s="8"/>
      <c r="W155" s="8"/>
      <c r="X155" s="8"/>
      <c r="Y155" s="8"/>
      <c r="Z155" s="8"/>
      <c r="AB155" s="25" t="s">
        <v>23</v>
      </c>
      <c r="AC155" s="25" t="s">
        <v>23</v>
      </c>
      <c r="AD155" s="25" t="s">
        <v>23</v>
      </c>
      <c r="AE155" s="25" t="s">
        <v>23</v>
      </c>
      <c r="AF155" s="25" t="s">
        <v>23</v>
      </c>
      <c r="AG155" s="25" t="s">
        <v>23</v>
      </c>
      <c r="AH155" s="7" t="s">
        <v>23</v>
      </c>
      <c r="AN155" s="14"/>
      <c r="AO155" s="14"/>
      <c r="AP155" s="14"/>
      <c r="AQ155" s="14"/>
      <c r="AR155" s="14"/>
    </row>
    <row r="156" spans="11:44">
      <c r="K156" s="22">
        <v>152</v>
      </c>
      <c r="L156" s="24" t="s">
        <v>23</v>
      </c>
      <c r="M156" s="24" t="s">
        <v>23</v>
      </c>
      <c r="N156" s="24" t="s">
        <v>23</v>
      </c>
      <c r="O156" s="24" t="s">
        <v>23</v>
      </c>
      <c r="P156" s="24" t="s">
        <v>23</v>
      </c>
      <c r="Q156" s="24" t="s">
        <v>23</v>
      </c>
      <c r="R156" s="24" t="s">
        <v>23</v>
      </c>
      <c r="T156" s="8"/>
      <c r="U156" s="8"/>
      <c r="V156" s="8"/>
      <c r="W156" s="8"/>
      <c r="X156" s="8"/>
      <c r="Y156" s="8"/>
      <c r="Z156" s="8"/>
      <c r="AB156" s="25" t="s">
        <v>23</v>
      </c>
      <c r="AC156" s="25" t="s">
        <v>23</v>
      </c>
      <c r="AD156" s="25" t="s">
        <v>23</v>
      </c>
      <c r="AE156" s="25" t="s">
        <v>23</v>
      </c>
      <c r="AF156" s="25" t="s">
        <v>23</v>
      </c>
      <c r="AG156" s="25" t="s">
        <v>23</v>
      </c>
      <c r="AH156" s="7" t="s">
        <v>23</v>
      </c>
      <c r="AN156" s="14"/>
      <c r="AO156" s="14"/>
      <c r="AP156" s="14"/>
      <c r="AQ156" s="14"/>
      <c r="AR156" s="14"/>
    </row>
    <row r="157" spans="11:44">
      <c r="K157" s="21">
        <v>153</v>
      </c>
      <c r="L157" s="24" t="s">
        <v>23</v>
      </c>
      <c r="M157" s="24" t="s">
        <v>23</v>
      </c>
      <c r="N157" s="24" t="s">
        <v>23</v>
      </c>
      <c r="O157" s="24" t="s">
        <v>23</v>
      </c>
      <c r="P157" s="24" t="s">
        <v>23</v>
      </c>
      <c r="Q157" s="24" t="s">
        <v>23</v>
      </c>
      <c r="R157" s="24" t="s">
        <v>23</v>
      </c>
      <c r="T157" s="8"/>
      <c r="U157" s="8"/>
      <c r="V157" s="8"/>
      <c r="W157" s="8"/>
      <c r="X157" s="8"/>
      <c r="Y157" s="8"/>
      <c r="Z157" s="8"/>
      <c r="AB157" s="25" t="s">
        <v>23</v>
      </c>
      <c r="AC157" s="25" t="s">
        <v>23</v>
      </c>
      <c r="AD157" s="25" t="s">
        <v>23</v>
      </c>
      <c r="AE157" s="25" t="s">
        <v>23</v>
      </c>
      <c r="AF157" s="25" t="s">
        <v>23</v>
      </c>
      <c r="AG157" s="25" t="s">
        <v>23</v>
      </c>
      <c r="AH157" s="7" t="s">
        <v>23</v>
      </c>
      <c r="AN157" s="14"/>
      <c r="AO157" s="14"/>
      <c r="AP157" s="14"/>
      <c r="AQ157" s="14"/>
      <c r="AR157" s="14"/>
    </row>
    <row r="158" spans="11:44">
      <c r="K158" s="22">
        <v>154</v>
      </c>
      <c r="L158" s="24" t="s">
        <v>23</v>
      </c>
      <c r="M158" s="24" t="s">
        <v>23</v>
      </c>
      <c r="N158" s="24" t="s">
        <v>23</v>
      </c>
      <c r="O158" s="24" t="s">
        <v>23</v>
      </c>
      <c r="P158" s="24" t="s">
        <v>23</v>
      </c>
      <c r="Q158" s="24" t="s">
        <v>23</v>
      </c>
      <c r="R158" s="24" t="s">
        <v>23</v>
      </c>
      <c r="T158" s="8"/>
      <c r="U158" s="8"/>
      <c r="V158" s="8"/>
      <c r="W158" s="8"/>
      <c r="X158" s="8"/>
      <c r="Y158" s="8"/>
      <c r="Z158" s="8"/>
      <c r="AB158" s="25" t="s">
        <v>23</v>
      </c>
      <c r="AC158" s="25" t="s">
        <v>23</v>
      </c>
      <c r="AD158" s="25" t="s">
        <v>23</v>
      </c>
      <c r="AE158" s="25" t="s">
        <v>23</v>
      </c>
      <c r="AF158" s="25" t="s">
        <v>23</v>
      </c>
      <c r="AG158" s="25" t="s">
        <v>23</v>
      </c>
      <c r="AH158" s="7" t="s">
        <v>23</v>
      </c>
      <c r="AN158" s="14"/>
      <c r="AO158" s="14"/>
      <c r="AP158" s="14"/>
      <c r="AQ158" s="14"/>
      <c r="AR158" s="14"/>
    </row>
    <row r="159" spans="11:44">
      <c r="K159" s="21">
        <v>155</v>
      </c>
      <c r="L159" s="24" t="s">
        <v>23</v>
      </c>
      <c r="M159" s="24" t="s">
        <v>23</v>
      </c>
      <c r="N159" s="24" t="s">
        <v>23</v>
      </c>
      <c r="O159" s="24" t="s">
        <v>23</v>
      </c>
      <c r="P159" s="24" t="s">
        <v>23</v>
      </c>
      <c r="Q159" s="24" t="s">
        <v>23</v>
      </c>
      <c r="R159" s="24" t="s">
        <v>23</v>
      </c>
      <c r="T159" s="8"/>
      <c r="U159" s="8"/>
      <c r="V159" s="8"/>
      <c r="W159" s="8"/>
      <c r="X159" s="8"/>
      <c r="Y159" s="8"/>
      <c r="Z159" s="8"/>
      <c r="AB159" s="25" t="s">
        <v>23</v>
      </c>
      <c r="AC159" s="25" t="s">
        <v>23</v>
      </c>
      <c r="AD159" s="25" t="s">
        <v>23</v>
      </c>
      <c r="AE159" s="25" t="s">
        <v>23</v>
      </c>
      <c r="AF159" s="25" t="s">
        <v>23</v>
      </c>
      <c r="AG159" s="25" t="s">
        <v>23</v>
      </c>
      <c r="AH159" s="7" t="s">
        <v>23</v>
      </c>
      <c r="AN159" s="14"/>
      <c r="AO159" s="14"/>
      <c r="AP159" s="14"/>
      <c r="AQ159" s="14"/>
      <c r="AR159" s="14"/>
    </row>
    <row r="160" spans="11:44">
      <c r="K160" s="22">
        <v>156</v>
      </c>
      <c r="L160" s="24" t="s">
        <v>23</v>
      </c>
      <c r="M160" s="24" t="s">
        <v>23</v>
      </c>
      <c r="N160" s="24" t="s">
        <v>23</v>
      </c>
      <c r="O160" s="24" t="s">
        <v>23</v>
      </c>
      <c r="P160" s="24" t="s">
        <v>23</v>
      </c>
      <c r="Q160" s="24" t="s">
        <v>23</v>
      </c>
      <c r="R160" s="24" t="s">
        <v>23</v>
      </c>
      <c r="T160" s="8"/>
      <c r="U160" s="8"/>
      <c r="V160" s="8"/>
      <c r="W160" s="8"/>
      <c r="X160" s="8"/>
      <c r="Y160" s="8"/>
      <c r="Z160" s="8"/>
      <c r="AB160" s="25" t="s">
        <v>23</v>
      </c>
      <c r="AC160" s="25" t="s">
        <v>23</v>
      </c>
      <c r="AD160" s="25" t="s">
        <v>23</v>
      </c>
      <c r="AE160" s="25" t="s">
        <v>23</v>
      </c>
      <c r="AF160" s="25" t="s">
        <v>23</v>
      </c>
      <c r="AG160" s="25" t="s">
        <v>23</v>
      </c>
      <c r="AH160" s="7" t="s">
        <v>23</v>
      </c>
      <c r="AN160" s="14"/>
      <c r="AO160" s="14"/>
      <c r="AP160" s="14"/>
      <c r="AQ160" s="14"/>
      <c r="AR160" s="14"/>
    </row>
    <row r="161" spans="11:44">
      <c r="K161" s="21">
        <v>157</v>
      </c>
      <c r="L161" s="24" t="s">
        <v>23</v>
      </c>
      <c r="M161" s="24" t="s">
        <v>23</v>
      </c>
      <c r="N161" s="24" t="s">
        <v>23</v>
      </c>
      <c r="O161" s="24" t="s">
        <v>23</v>
      </c>
      <c r="P161" s="24" t="s">
        <v>23</v>
      </c>
      <c r="Q161" s="24" t="s">
        <v>23</v>
      </c>
      <c r="R161" s="24" t="s">
        <v>23</v>
      </c>
      <c r="T161" s="8"/>
      <c r="U161" s="8"/>
      <c r="V161" s="8"/>
      <c r="W161" s="8"/>
      <c r="X161" s="8"/>
      <c r="Y161" s="8"/>
      <c r="Z161" s="8"/>
      <c r="AB161" s="25" t="s">
        <v>23</v>
      </c>
      <c r="AC161" s="25" t="s">
        <v>23</v>
      </c>
      <c r="AD161" s="25" t="s">
        <v>23</v>
      </c>
      <c r="AE161" s="25" t="s">
        <v>23</v>
      </c>
      <c r="AF161" s="25" t="s">
        <v>23</v>
      </c>
      <c r="AG161" s="25" t="s">
        <v>23</v>
      </c>
      <c r="AH161" s="7" t="s">
        <v>23</v>
      </c>
      <c r="AN161" s="14"/>
      <c r="AO161" s="14"/>
      <c r="AP161" s="14"/>
      <c r="AQ161" s="14"/>
      <c r="AR161" s="14"/>
    </row>
    <row r="162" spans="11:44">
      <c r="K162" s="22">
        <v>158</v>
      </c>
      <c r="L162" s="24" t="s">
        <v>23</v>
      </c>
      <c r="M162" s="24" t="s">
        <v>23</v>
      </c>
      <c r="N162" s="24" t="s">
        <v>23</v>
      </c>
      <c r="O162" s="24" t="s">
        <v>23</v>
      </c>
      <c r="P162" s="24" t="s">
        <v>23</v>
      </c>
      <c r="Q162" s="24" t="s">
        <v>23</v>
      </c>
      <c r="R162" s="24" t="s">
        <v>23</v>
      </c>
      <c r="T162" s="8"/>
      <c r="U162" s="8"/>
      <c r="V162" s="8"/>
      <c r="W162" s="8"/>
      <c r="X162" s="8"/>
      <c r="Y162" s="8"/>
      <c r="Z162" s="8"/>
      <c r="AB162" s="25" t="s">
        <v>23</v>
      </c>
      <c r="AC162" s="25" t="s">
        <v>23</v>
      </c>
      <c r="AD162" s="25" t="s">
        <v>23</v>
      </c>
      <c r="AE162" s="25" t="s">
        <v>23</v>
      </c>
      <c r="AF162" s="25" t="s">
        <v>23</v>
      </c>
      <c r="AG162" s="25" t="s">
        <v>23</v>
      </c>
      <c r="AH162" s="7" t="s">
        <v>23</v>
      </c>
      <c r="AN162" s="14"/>
      <c r="AO162" s="14"/>
      <c r="AP162" s="14"/>
      <c r="AQ162" s="14"/>
      <c r="AR162" s="14"/>
    </row>
    <row r="163" spans="11:44">
      <c r="K163" s="21">
        <v>159</v>
      </c>
      <c r="L163" s="24" t="s">
        <v>23</v>
      </c>
      <c r="M163" s="24" t="s">
        <v>23</v>
      </c>
      <c r="N163" s="24" t="s">
        <v>23</v>
      </c>
      <c r="O163" s="24" t="s">
        <v>23</v>
      </c>
      <c r="P163" s="24" t="s">
        <v>23</v>
      </c>
      <c r="Q163" s="24" t="s">
        <v>23</v>
      </c>
      <c r="R163" s="24" t="s">
        <v>23</v>
      </c>
      <c r="T163" s="8"/>
      <c r="U163" s="8"/>
      <c r="V163" s="8"/>
      <c r="W163" s="8"/>
      <c r="X163" s="8"/>
      <c r="Y163" s="8"/>
      <c r="Z163" s="8"/>
      <c r="AB163" s="25" t="s">
        <v>23</v>
      </c>
      <c r="AC163" s="25" t="s">
        <v>23</v>
      </c>
      <c r="AD163" s="25" t="s">
        <v>23</v>
      </c>
      <c r="AE163" s="25" t="s">
        <v>23</v>
      </c>
      <c r="AF163" s="25" t="s">
        <v>23</v>
      </c>
      <c r="AG163" s="25" t="s">
        <v>23</v>
      </c>
      <c r="AH163" s="7" t="s">
        <v>23</v>
      </c>
      <c r="AN163" s="14"/>
      <c r="AO163" s="14"/>
      <c r="AP163" s="14"/>
      <c r="AQ163" s="14"/>
      <c r="AR163" s="14"/>
    </row>
    <row r="164" spans="11:44">
      <c r="K164" s="22">
        <v>160</v>
      </c>
      <c r="L164" s="24" t="s">
        <v>23</v>
      </c>
      <c r="M164" s="24" t="s">
        <v>23</v>
      </c>
      <c r="N164" s="24" t="s">
        <v>23</v>
      </c>
      <c r="O164" s="24" t="s">
        <v>23</v>
      </c>
      <c r="P164" s="24" t="s">
        <v>23</v>
      </c>
      <c r="Q164" s="24" t="s">
        <v>23</v>
      </c>
      <c r="R164" s="24" t="s">
        <v>23</v>
      </c>
      <c r="T164" s="8"/>
      <c r="U164" s="8"/>
      <c r="V164" s="8"/>
      <c r="W164" s="8"/>
      <c r="X164" s="8"/>
      <c r="Y164" s="8"/>
      <c r="Z164" s="8"/>
      <c r="AB164" s="25" t="s">
        <v>23</v>
      </c>
      <c r="AC164" s="25" t="s">
        <v>23</v>
      </c>
      <c r="AD164" s="25" t="s">
        <v>23</v>
      </c>
      <c r="AE164" s="25" t="s">
        <v>23</v>
      </c>
      <c r="AF164" s="25" t="s">
        <v>23</v>
      </c>
      <c r="AG164" s="25" t="s">
        <v>23</v>
      </c>
      <c r="AH164" s="7" t="s">
        <v>23</v>
      </c>
      <c r="AN164" s="14"/>
      <c r="AO164" s="14"/>
      <c r="AP164" s="14"/>
      <c r="AQ164" s="14"/>
      <c r="AR164" s="14"/>
    </row>
    <row r="165" spans="11:44">
      <c r="K165" s="21">
        <v>161</v>
      </c>
      <c r="L165" s="24" t="s">
        <v>23</v>
      </c>
      <c r="M165" s="24" t="s">
        <v>23</v>
      </c>
      <c r="N165" s="24" t="s">
        <v>23</v>
      </c>
      <c r="O165" s="24" t="s">
        <v>23</v>
      </c>
      <c r="P165" s="24" t="s">
        <v>23</v>
      </c>
      <c r="Q165" s="24" t="s">
        <v>23</v>
      </c>
      <c r="R165" s="24" t="s">
        <v>23</v>
      </c>
      <c r="T165" s="8"/>
      <c r="U165" s="8"/>
      <c r="V165" s="8"/>
      <c r="W165" s="8"/>
      <c r="X165" s="8"/>
      <c r="Y165" s="8"/>
      <c r="Z165" s="8"/>
      <c r="AB165" s="25" t="s">
        <v>23</v>
      </c>
      <c r="AC165" s="25" t="s">
        <v>23</v>
      </c>
      <c r="AD165" s="25" t="s">
        <v>23</v>
      </c>
      <c r="AE165" s="25" t="s">
        <v>23</v>
      </c>
      <c r="AF165" s="25" t="s">
        <v>23</v>
      </c>
      <c r="AG165" s="25" t="s">
        <v>23</v>
      </c>
      <c r="AH165" s="7" t="s">
        <v>23</v>
      </c>
      <c r="AN165" s="14"/>
      <c r="AO165" s="14"/>
      <c r="AP165" s="14"/>
      <c r="AQ165" s="14"/>
      <c r="AR165" s="14"/>
    </row>
    <row r="166" spans="11:44">
      <c r="K166" s="22">
        <v>162</v>
      </c>
      <c r="L166" s="24" t="s">
        <v>23</v>
      </c>
      <c r="M166" s="24" t="s">
        <v>23</v>
      </c>
      <c r="N166" s="24" t="s">
        <v>23</v>
      </c>
      <c r="O166" s="24" t="s">
        <v>23</v>
      </c>
      <c r="P166" s="24" t="s">
        <v>23</v>
      </c>
      <c r="Q166" s="24" t="s">
        <v>23</v>
      </c>
      <c r="R166" s="24" t="s">
        <v>23</v>
      </c>
      <c r="T166" s="8"/>
      <c r="U166" s="8"/>
      <c r="V166" s="8"/>
      <c r="W166" s="8"/>
      <c r="X166" s="8"/>
      <c r="Y166" s="8"/>
      <c r="Z166" s="8"/>
      <c r="AB166" s="25" t="s">
        <v>23</v>
      </c>
      <c r="AC166" s="25" t="s">
        <v>23</v>
      </c>
      <c r="AD166" s="25" t="s">
        <v>23</v>
      </c>
      <c r="AE166" s="25" t="s">
        <v>23</v>
      </c>
      <c r="AF166" s="25" t="s">
        <v>23</v>
      </c>
      <c r="AG166" s="25" t="s">
        <v>23</v>
      </c>
      <c r="AH166" s="7" t="s">
        <v>23</v>
      </c>
      <c r="AN166" s="14"/>
      <c r="AO166" s="14"/>
      <c r="AP166" s="14"/>
      <c r="AQ166" s="14"/>
      <c r="AR166" s="14"/>
    </row>
    <row r="167" spans="11:44">
      <c r="K167" s="21">
        <v>163</v>
      </c>
      <c r="L167" s="24" t="s">
        <v>23</v>
      </c>
      <c r="M167" s="24" t="s">
        <v>23</v>
      </c>
      <c r="N167" s="24" t="s">
        <v>23</v>
      </c>
      <c r="O167" s="24" t="s">
        <v>23</v>
      </c>
      <c r="P167" s="24" t="s">
        <v>23</v>
      </c>
      <c r="Q167" s="24" t="s">
        <v>23</v>
      </c>
      <c r="R167" s="24" t="s">
        <v>23</v>
      </c>
      <c r="T167" s="8"/>
      <c r="U167" s="8"/>
      <c r="V167" s="8"/>
      <c r="W167" s="8"/>
      <c r="X167" s="8"/>
      <c r="Y167" s="8"/>
      <c r="Z167" s="8"/>
      <c r="AB167" s="25" t="s">
        <v>23</v>
      </c>
      <c r="AC167" s="25" t="s">
        <v>23</v>
      </c>
      <c r="AD167" s="25" t="s">
        <v>23</v>
      </c>
      <c r="AE167" s="25" t="s">
        <v>23</v>
      </c>
      <c r="AF167" s="25" t="s">
        <v>23</v>
      </c>
      <c r="AG167" s="25" t="s">
        <v>23</v>
      </c>
      <c r="AH167" s="7" t="s">
        <v>23</v>
      </c>
      <c r="AN167" s="14"/>
      <c r="AO167" s="14"/>
      <c r="AP167" s="14"/>
      <c r="AQ167" s="14"/>
      <c r="AR167" s="14"/>
    </row>
    <row r="168" spans="11:44">
      <c r="K168" s="22">
        <v>164</v>
      </c>
      <c r="L168" s="24" t="s">
        <v>23</v>
      </c>
      <c r="M168" s="24" t="s">
        <v>23</v>
      </c>
      <c r="N168" s="24" t="s">
        <v>23</v>
      </c>
      <c r="O168" s="24" t="s">
        <v>23</v>
      </c>
      <c r="P168" s="24" t="s">
        <v>23</v>
      </c>
      <c r="Q168" s="24" t="s">
        <v>23</v>
      </c>
      <c r="R168" s="24" t="s">
        <v>23</v>
      </c>
      <c r="T168" s="8"/>
      <c r="U168" s="8"/>
      <c r="V168" s="8"/>
      <c r="W168" s="8"/>
      <c r="X168" s="8"/>
      <c r="Y168" s="8"/>
      <c r="Z168" s="8"/>
      <c r="AB168" s="25" t="s">
        <v>23</v>
      </c>
      <c r="AC168" s="25" t="s">
        <v>23</v>
      </c>
      <c r="AD168" s="25" t="s">
        <v>23</v>
      </c>
      <c r="AE168" s="25" t="s">
        <v>23</v>
      </c>
      <c r="AF168" s="25" t="s">
        <v>23</v>
      </c>
      <c r="AG168" s="25" t="s">
        <v>23</v>
      </c>
      <c r="AH168" s="7" t="s">
        <v>23</v>
      </c>
      <c r="AN168" s="14"/>
      <c r="AO168" s="14"/>
      <c r="AP168" s="14"/>
      <c r="AQ168" s="14"/>
      <c r="AR168" s="14"/>
    </row>
    <row r="169" spans="11:44">
      <c r="K169" s="21">
        <v>165</v>
      </c>
      <c r="L169" s="24" t="s">
        <v>23</v>
      </c>
      <c r="M169" s="24" t="s">
        <v>23</v>
      </c>
      <c r="N169" s="24" t="s">
        <v>23</v>
      </c>
      <c r="O169" s="24" t="s">
        <v>23</v>
      </c>
      <c r="P169" s="24" t="s">
        <v>23</v>
      </c>
      <c r="Q169" s="24" t="s">
        <v>23</v>
      </c>
      <c r="R169" s="24" t="s">
        <v>23</v>
      </c>
      <c r="T169" s="8"/>
      <c r="U169" s="8"/>
      <c r="V169" s="8"/>
      <c r="W169" s="8"/>
      <c r="X169" s="8"/>
      <c r="Y169" s="8"/>
      <c r="Z169" s="8"/>
      <c r="AB169" s="25" t="s">
        <v>23</v>
      </c>
      <c r="AC169" s="25" t="s">
        <v>23</v>
      </c>
      <c r="AD169" s="25" t="s">
        <v>23</v>
      </c>
      <c r="AE169" s="25" t="s">
        <v>23</v>
      </c>
      <c r="AF169" s="25" t="s">
        <v>23</v>
      </c>
      <c r="AG169" s="25" t="s">
        <v>23</v>
      </c>
      <c r="AH169" s="7" t="s">
        <v>23</v>
      </c>
      <c r="AN169" s="14"/>
      <c r="AO169" s="14"/>
      <c r="AP169" s="14"/>
      <c r="AQ169" s="14"/>
      <c r="AR169" s="14"/>
    </row>
    <row r="170" spans="11:44">
      <c r="K170" s="22">
        <v>166</v>
      </c>
      <c r="L170" s="24" t="s">
        <v>23</v>
      </c>
      <c r="M170" s="24" t="s">
        <v>23</v>
      </c>
      <c r="N170" s="24" t="s">
        <v>23</v>
      </c>
      <c r="O170" s="24" t="s">
        <v>23</v>
      </c>
      <c r="P170" s="24" t="s">
        <v>23</v>
      </c>
      <c r="Q170" s="24" t="s">
        <v>23</v>
      </c>
      <c r="R170" s="24" t="s">
        <v>23</v>
      </c>
      <c r="T170" s="8"/>
      <c r="U170" s="8"/>
      <c r="V170" s="8"/>
      <c r="W170" s="8"/>
      <c r="X170" s="8"/>
      <c r="Y170" s="8"/>
      <c r="Z170" s="8"/>
      <c r="AB170" s="25" t="s">
        <v>23</v>
      </c>
      <c r="AC170" s="25" t="s">
        <v>23</v>
      </c>
      <c r="AD170" s="25" t="s">
        <v>23</v>
      </c>
      <c r="AE170" s="25" t="s">
        <v>23</v>
      </c>
      <c r="AF170" s="25" t="s">
        <v>23</v>
      </c>
      <c r="AG170" s="25" t="s">
        <v>23</v>
      </c>
      <c r="AH170" s="7" t="s">
        <v>23</v>
      </c>
      <c r="AN170" s="14"/>
      <c r="AO170" s="14"/>
      <c r="AP170" s="14"/>
      <c r="AQ170" s="14"/>
      <c r="AR170" s="14"/>
    </row>
    <row r="171" spans="11:44">
      <c r="K171" s="21">
        <v>167</v>
      </c>
      <c r="L171" s="24" t="s">
        <v>23</v>
      </c>
      <c r="M171" s="24" t="s">
        <v>23</v>
      </c>
      <c r="N171" s="24" t="s">
        <v>23</v>
      </c>
      <c r="O171" s="24" t="s">
        <v>23</v>
      </c>
      <c r="P171" s="24" t="s">
        <v>23</v>
      </c>
      <c r="Q171" s="24" t="s">
        <v>23</v>
      </c>
      <c r="R171" s="24" t="s">
        <v>23</v>
      </c>
      <c r="T171" s="8"/>
      <c r="U171" s="8"/>
      <c r="V171" s="8"/>
      <c r="W171" s="8"/>
      <c r="X171" s="8"/>
      <c r="Y171" s="8"/>
      <c r="Z171" s="8"/>
      <c r="AB171" s="25" t="s">
        <v>23</v>
      </c>
      <c r="AC171" s="25" t="s">
        <v>23</v>
      </c>
      <c r="AD171" s="25" t="s">
        <v>23</v>
      </c>
      <c r="AE171" s="25" t="s">
        <v>23</v>
      </c>
      <c r="AF171" s="25" t="s">
        <v>23</v>
      </c>
      <c r="AG171" s="25" t="s">
        <v>23</v>
      </c>
      <c r="AH171" s="7" t="s">
        <v>23</v>
      </c>
      <c r="AN171" s="14"/>
      <c r="AO171" s="14"/>
      <c r="AP171" s="14"/>
      <c r="AQ171" s="14"/>
      <c r="AR171" s="14"/>
    </row>
    <row r="172" spans="11:44">
      <c r="K172" s="22">
        <v>168</v>
      </c>
      <c r="L172" s="24" t="s">
        <v>23</v>
      </c>
      <c r="M172" s="24" t="s">
        <v>23</v>
      </c>
      <c r="N172" s="24" t="s">
        <v>23</v>
      </c>
      <c r="O172" s="24" t="s">
        <v>23</v>
      </c>
      <c r="P172" s="24" t="s">
        <v>23</v>
      </c>
      <c r="Q172" s="24" t="s">
        <v>23</v>
      </c>
      <c r="R172" s="24" t="s">
        <v>23</v>
      </c>
      <c r="T172" s="8"/>
      <c r="U172" s="8"/>
      <c r="V172" s="8"/>
      <c r="W172" s="8"/>
      <c r="X172" s="8"/>
      <c r="Y172" s="8"/>
      <c r="Z172" s="8"/>
      <c r="AB172" s="25" t="s">
        <v>23</v>
      </c>
      <c r="AC172" s="25" t="s">
        <v>23</v>
      </c>
      <c r="AD172" s="25" t="s">
        <v>23</v>
      </c>
      <c r="AE172" s="25" t="s">
        <v>23</v>
      </c>
      <c r="AF172" s="25" t="s">
        <v>23</v>
      </c>
      <c r="AG172" s="25" t="s">
        <v>23</v>
      </c>
      <c r="AH172" s="7" t="s">
        <v>23</v>
      </c>
      <c r="AN172" s="14"/>
      <c r="AO172" s="14"/>
      <c r="AP172" s="14"/>
      <c r="AQ172" s="14"/>
      <c r="AR172" s="14"/>
    </row>
    <row r="173" spans="11:44">
      <c r="K173" s="21">
        <v>169</v>
      </c>
      <c r="L173" s="24" t="s">
        <v>23</v>
      </c>
      <c r="M173" s="24" t="s">
        <v>23</v>
      </c>
      <c r="N173" s="24" t="s">
        <v>23</v>
      </c>
      <c r="O173" s="24" t="s">
        <v>23</v>
      </c>
      <c r="P173" s="24" t="s">
        <v>23</v>
      </c>
      <c r="Q173" s="24" t="s">
        <v>23</v>
      </c>
      <c r="R173" s="24" t="s">
        <v>23</v>
      </c>
      <c r="T173" s="8"/>
      <c r="U173" s="8"/>
      <c r="V173" s="8"/>
      <c r="W173" s="8"/>
      <c r="X173" s="8"/>
      <c r="Y173" s="8"/>
      <c r="Z173" s="8"/>
      <c r="AB173" s="25" t="s">
        <v>23</v>
      </c>
      <c r="AC173" s="25" t="s">
        <v>23</v>
      </c>
      <c r="AD173" s="25" t="s">
        <v>23</v>
      </c>
      <c r="AE173" s="25" t="s">
        <v>23</v>
      </c>
      <c r="AF173" s="25" t="s">
        <v>23</v>
      </c>
      <c r="AG173" s="25" t="s">
        <v>23</v>
      </c>
      <c r="AH173" s="7" t="s">
        <v>23</v>
      </c>
      <c r="AN173" s="14"/>
      <c r="AO173" s="14"/>
      <c r="AP173" s="14"/>
      <c r="AQ173" s="14"/>
      <c r="AR173" s="14"/>
    </row>
    <row r="174" spans="11:44">
      <c r="K174" s="22">
        <v>170</v>
      </c>
      <c r="L174" s="24" t="s">
        <v>23</v>
      </c>
      <c r="M174" s="24" t="s">
        <v>23</v>
      </c>
      <c r="N174" s="24" t="s">
        <v>23</v>
      </c>
      <c r="O174" s="24" t="s">
        <v>23</v>
      </c>
      <c r="P174" s="24" t="s">
        <v>23</v>
      </c>
      <c r="Q174" s="24" t="s">
        <v>23</v>
      </c>
      <c r="R174" s="24" t="s">
        <v>23</v>
      </c>
      <c r="T174" s="8"/>
      <c r="U174" s="8"/>
      <c r="V174" s="8"/>
      <c r="W174" s="8"/>
      <c r="X174" s="8"/>
      <c r="Y174" s="8"/>
      <c r="Z174" s="8"/>
      <c r="AB174" s="25" t="s">
        <v>23</v>
      </c>
      <c r="AC174" s="25" t="s">
        <v>23</v>
      </c>
      <c r="AD174" s="25" t="s">
        <v>23</v>
      </c>
      <c r="AE174" s="25" t="s">
        <v>23</v>
      </c>
      <c r="AF174" s="25" t="s">
        <v>23</v>
      </c>
      <c r="AG174" s="25" t="s">
        <v>23</v>
      </c>
      <c r="AH174" s="7" t="s">
        <v>23</v>
      </c>
      <c r="AN174" s="14"/>
      <c r="AO174" s="14"/>
      <c r="AP174" s="14"/>
      <c r="AQ174" s="14"/>
      <c r="AR174" s="14"/>
    </row>
    <row r="175" spans="11:44">
      <c r="K175" s="21">
        <v>171</v>
      </c>
      <c r="L175" s="24" t="s">
        <v>23</v>
      </c>
      <c r="M175" s="24" t="s">
        <v>23</v>
      </c>
      <c r="N175" s="24" t="s">
        <v>23</v>
      </c>
      <c r="O175" s="24" t="s">
        <v>23</v>
      </c>
      <c r="P175" s="24" t="s">
        <v>23</v>
      </c>
      <c r="Q175" s="24" t="s">
        <v>23</v>
      </c>
      <c r="R175" s="24" t="s">
        <v>23</v>
      </c>
      <c r="T175" s="8"/>
      <c r="U175" s="8"/>
      <c r="V175" s="8"/>
      <c r="W175" s="8"/>
      <c r="X175" s="8"/>
      <c r="Y175" s="8"/>
      <c r="Z175" s="8"/>
      <c r="AB175" s="25" t="s">
        <v>23</v>
      </c>
      <c r="AC175" s="25" t="s">
        <v>23</v>
      </c>
      <c r="AD175" s="25" t="s">
        <v>23</v>
      </c>
      <c r="AE175" s="25" t="s">
        <v>23</v>
      </c>
      <c r="AF175" s="25" t="s">
        <v>23</v>
      </c>
      <c r="AG175" s="25" t="s">
        <v>23</v>
      </c>
      <c r="AH175" s="7" t="s">
        <v>23</v>
      </c>
      <c r="AN175" s="14"/>
      <c r="AO175" s="14"/>
      <c r="AP175" s="14"/>
      <c r="AQ175" s="14"/>
      <c r="AR175" s="14"/>
    </row>
    <row r="176" spans="11:44">
      <c r="K176" s="22">
        <v>172</v>
      </c>
      <c r="L176" s="24" t="s">
        <v>23</v>
      </c>
      <c r="M176" s="24" t="s">
        <v>23</v>
      </c>
      <c r="N176" s="24" t="s">
        <v>23</v>
      </c>
      <c r="O176" s="24" t="s">
        <v>23</v>
      </c>
      <c r="P176" s="24" t="s">
        <v>23</v>
      </c>
      <c r="Q176" s="24" t="s">
        <v>23</v>
      </c>
      <c r="R176" s="24" t="s">
        <v>23</v>
      </c>
      <c r="T176" s="8"/>
      <c r="U176" s="8"/>
      <c r="V176" s="8"/>
      <c r="W176" s="8"/>
      <c r="X176" s="8"/>
      <c r="Y176" s="8"/>
      <c r="Z176" s="8"/>
      <c r="AB176" s="25" t="s">
        <v>23</v>
      </c>
      <c r="AC176" s="25" t="s">
        <v>23</v>
      </c>
      <c r="AD176" s="25" t="s">
        <v>23</v>
      </c>
      <c r="AE176" s="25" t="s">
        <v>23</v>
      </c>
      <c r="AF176" s="25" t="s">
        <v>23</v>
      </c>
      <c r="AG176" s="25" t="s">
        <v>23</v>
      </c>
      <c r="AH176" s="7" t="s">
        <v>23</v>
      </c>
      <c r="AN176" s="14"/>
      <c r="AO176" s="14"/>
      <c r="AP176" s="14"/>
      <c r="AQ176" s="14"/>
      <c r="AR176" s="14"/>
    </row>
    <row r="177" spans="11:44">
      <c r="K177" s="21">
        <v>173</v>
      </c>
      <c r="L177" s="24" t="s">
        <v>23</v>
      </c>
      <c r="M177" s="24" t="s">
        <v>23</v>
      </c>
      <c r="N177" s="24" t="s">
        <v>23</v>
      </c>
      <c r="O177" s="24" t="s">
        <v>23</v>
      </c>
      <c r="P177" s="24" t="s">
        <v>23</v>
      </c>
      <c r="Q177" s="24" t="s">
        <v>23</v>
      </c>
      <c r="R177" s="24" t="s">
        <v>23</v>
      </c>
      <c r="T177" s="8"/>
      <c r="U177" s="8"/>
      <c r="V177" s="8"/>
      <c r="W177" s="8"/>
      <c r="X177" s="8"/>
      <c r="Y177" s="8"/>
      <c r="Z177" s="8"/>
      <c r="AB177" s="25" t="s">
        <v>23</v>
      </c>
      <c r="AC177" s="25" t="s">
        <v>23</v>
      </c>
      <c r="AD177" s="25" t="s">
        <v>23</v>
      </c>
      <c r="AE177" s="25" t="s">
        <v>23</v>
      </c>
      <c r="AF177" s="25" t="s">
        <v>23</v>
      </c>
      <c r="AG177" s="25" t="s">
        <v>23</v>
      </c>
      <c r="AH177" s="7" t="s">
        <v>23</v>
      </c>
      <c r="AN177" s="14"/>
      <c r="AO177" s="14"/>
      <c r="AP177" s="14"/>
      <c r="AQ177" s="14"/>
      <c r="AR177" s="14"/>
    </row>
    <row r="178" spans="11:44">
      <c r="K178" s="22">
        <v>174</v>
      </c>
      <c r="L178" s="24" t="s">
        <v>23</v>
      </c>
      <c r="M178" s="24" t="s">
        <v>23</v>
      </c>
      <c r="N178" s="24" t="s">
        <v>23</v>
      </c>
      <c r="O178" s="24" t="s">
        <v>23</v>
      </c>
      <c r="P178" s="24" t="s">
        <v>23</v>
      </c>
      <c r="Q178" s="24" t="s">
        <v>23</v>
      </c>
      <c r="R178" s="24" t="s">
        <v>23</v>
      </c>
      <c r="T178" s="8"/>
      <c r="U178" s="8"/>
      <c r="V178" s="8"/>
      <c r="W178" s="8"/>
      <c r="X178" s="8"/>
      <c r="Y178" s="8"/>
      <c r="Z178" s="8"/>
      <c r="AB178" s="25" t="s">
        <v>23</v>
      </c>
      <c r="AC178" s="25" t="s">
        <v>23</v>
      </c>
      <c r="AD178" s="25" t="s">
        <v>23</v>
      </c>
      <c r="AE178" s="25" t="s">
        <v>23</v>
      </c>
      <c r="AF178" s="25" t="s">
        <v>23</v>
      </c>
      <c r="AG178" s="25" t="s">
        <v>23</v>
      </c>
      <c r="AH178" s="7" t="s">
        <v>23</v>
      </c>
      <c r="AN178" s="14"/>
      <c r="AO178" s="14"/>
      <c r="AP178" s="14"/>
      <c r="AQ178" s="14"/>
      <c r="AR178" s="14"/>
    </row>
    <row r="179" spans="11:44">
      <c r="K179" s="21">
        <v>175</v>
      </c>
      <c r="L179" s="24" t="s">
        <v>23</v>
      </c>
      <c r="M179" s="24" t="s">
        <v>23</v>
      </c>
      <c r="N179" s="24" t="s">
        <v>23</v>
      </c>
      <c r="O179" s="24" t="s">
        <v>23</v>
      </c>
      <c r="P179" s="24" t="s">
        <v>23</v>
      </c>
      <c r="Q179" s="24" t="s">
        <v>23</v>
      </c>
      <c r="R179" s="24" t="s">
        <v>23</v>
      </c>
      <c r="T179" s="8"/>
      <c r="U179" s="8"/>
      <c r="V179" s="8"/>
      <c r="W179" s="8"/>
      <c r="X179" s="8"/>
      <c r="Y179" s="8"/>
      <c r="Z179" s="8"/>
      <c r="AB179" s="25" t="s">
        <v>23</v>
      </c>
      <c r="AC179" s="25" t="s">
        <v>23</v>
      </c>
      <c r="AD179" s="25" t="s">
        <v>23</v>
      </c>
      <c r="AE179" s="25" t="s">
        <v>23</v>
      </c>
      <c r="AF179" s="25" t="s">
        <v>23</v>
      </c>
      <c r="AG179" s="25" t="s">
        <v>23</v>
      </c>
      <c r="AH179" s="7" t="s">
        <v>23</v>
      </c>
      <c r="AN179" s="14"/>
      <c r="AO179" s="14"/>
      <c r="AP179" s="14"/>
      <c r="AQ179" s="14"/>
      <c r="AR179" s="14"/>
    </row>
    <row r="180" spans="11:44">
      <c r="K180" s="22">
        <v>176</v>
      </c>
      <c r="L180" s="24" t="s">
        <v>23</v>
      </c>
      <c r="M180" s="24" t="s">
        <v>23</v>
      </c>
      <c r="N180" s="24" t="s">
        <v>23</v>
      </c>
      <c r="O180" s="24" t="s">
        <v>23</v>
      </c>
      <c r="P180" s="24" t="s">
        <v>23</v>
      </c>
      <c r="Q180" s="24" t="s">
        <v>23</v>
      </c>
      <c r="R180" s="24" t="s">
        <v>23</v>
      </c>
      <c r="T180" s="8"/>
      <c r="U180" s="8"/>
      <c r="V180" s="8"/>
      <c r="W180" s="8"/>
      <c r="X180" s="8"/>
      <c r="Y180" s="8"/>
      <c r="Z180" s="8"/>
      <c r="AB180" s="25" t="s">
        <v>23</v>
      </c>
      <c r="AC180" s="25" t="s">
        <v>23</v>
      </c>
      <c r="AD180" s="25" t="s">
        <v>23</v>
      </c>
      <c r="AE180" s="25" t="s">
        <v>23</v>
      </c>
      <c r="AF180" s="25" t="s">
        <v>23</v>
      </c>
      <c r="AG180" s="25" t="s">
        <v>23</v>
      </c>
      <c r="AH180" s="7" t="s">
        <v>23</v>
      </c>
      <c r="AN180" s="14"/>
      <c r="AO180" s="14"/>
      <c r="AP180" s="14"/>
      <c r="AQ180" s="14"/>
      <c r="AR180" s="14"/>
    </row>
    <row r="181" spans="11:44">
      <c r="K181" s="21">
        <v>177</v>
      </c>
      <c r="L181" s="24" t="s">
        <v>23</v>
      </c>
      <c r="M181" s="24" t="s">
        <v>23</v>
      </c>
      <c r="N181" s="24" t="s">
        <v>23</v>
      </c>
      <c r="O181" s="24" t="s">
        <v>23</v>
      </c>
      <c r="P181" s="24" t="s">
        <v>23</v>
      </c>
      <c r="Q181" s="24" t="s">
        <v>23</v>
      </c>
      <c r="R181" s="24" t="s">
        <v>23</v>
      </c>
      <c r="T181" s="8"/>
      <c r="U181" s="8"/>
      <c r="V181" s="8"/>
      <c r="W181" s="8"/>
      <c r="X181" s="8"/>
      <c r="Y181" s="8"/>
      <c r="Z181" s="8"/>
      <c r="AB181" s="25" t="s">
        <v>23</v>
      </c>
      <c r="AC181" s="25" t="s">
        <v>23</v>
      </c>
      <c r="AD181" s="25" t="s">
        <v>23</v>
      </c>
      <c r="AE181" s="25" t="s">
        <v>23</v>
      </c>
      <c r="AF181" s="25" t="s">
        <v>23</v>
      </c>
      <c r="AG181" s="25" t="s">
        <v>23</v>
      </c>
      <c r="AH181" s="7" t="s">
        <v>23</v>
      </c>
      <c r="AN181" s="14"/>
      <c r="AO181" s="14"/>
      <c r="AP181" s="14"/>
      <c r="AQ181" s="14"/>
      <c r="AR181" s="14"/>
    </row>
    <row r="182" spans="11:44">
      <c r="K182" s="22">
        <v>178</v>
      </c>
      <c r="L182" s="24" t="s">
        <v>23</v>
      </c>
      <c r="M182" s="24" t="s">
        <v>23</v>
      </c>
      <c r="N182" s="24" t="s">
        <v>23</v>
      </c>
      <c r="O182" s="24" t="s">
        <v>23</v>
      </c>
      <c r="P182" s="24" t="s">
        <v>23</v>
      </c>
      <c r="Q182" s="24" t="s">
        <v>23</v>
      </c>
      <c r="R182" s="24" t="s">
        <v>23</v>
      </c>
      <c r="T182" s="8"/>
      <c r="U182" s="8"/>
      <c r="V182" s="8"/>
      <c r="W182" s="8"/>
      <c r="X182" s="8"/>
      <c r="Y182" s="8"/>
      <c r="Z182" s="8"/>
      <c r="AB182" s="25" t="s">
        <v>23</v>
      </c>
      <c r="AC182" s="25" t="s">
        <v>23</v>
      </c>
      <c r="AD182" s="25" t="s">
        <v>23</v>
      </c>
      <c r="AE182" s="25" t="s">
        <v>23</v>
      </c>
      <c r="AF182" s="25" t="s">
        <v>23</v>
      </c>
      <c r="AG182" s="25" t="s">
        <v>23</v>
      </c>
      <c r="AH182" s="7" t="s">
        <v>23</v>
      </c>
      <c r="AN182" s="14"/>
      <c r="AO182" s="14"/>
      <c r="AP182" s="14"/>
      <c r="AQ182" s="14"/>
      <c r="AR182" s="14"/>
    </row>
    <row r="183" spans="11:44">
      <c r="K183" s="21">
        <v>179</v>
      </c>
      <c r="L183" s="24" t="s">
        <v>23</v>
      </c>
      <c r="M183" s="24" t="s">
        <v>23</v>
      </c>
      <c r="N183" s="24" t="s">
        <v>23</v>
      </c>
      <c r="O183" s="24" t="s">
        <v>23</v>
      </c>
      <c r="P183" s="24" t="s">
        <v>23</v>
      </c>
      <c r="Q183" s="24" t="s">
        <v>23</v>
      </c>
      <c r="R183" s="24" t="s">
        <v>23</v>
      </c>
      <c r="T183" s="8"/>
      <c r="U183" s="8"/>
      <c r="V183" s="8"/>
      <c r="W183" s="8"/>
      <c r="X183" s="8"/>
      <c r="Y183" s="8"/>
      <c r="Z183" s="8"/>
      <c r="AB183" s="25" t="s">
        <v>23</v>
      </c>
      <c r="AC183" s="25" t="s">
        <v>23</v>
      </c>
      <c r="AD183" s="25" t="s">
        <v>23</v>
      </c>
      <c r="AE183" s="25" t="s">
        <v>23</v>
      </c>
      <c r="AF183" s="25" t="s">
        <v>23</v>
      </c>
      <c r="AG183" s="25" t="s">
        <v>23</v>
      </c>
      <c r="AH183" s="7" t="s">
        <v>23</v>
      </c>
      <c r="AN183" s="14"/>
      <c r="AO183" s="14"/>
      <c r="AP183" s="14"/>
      <c r="AQ183" s="14"/>
      <c r="AR183" s="14"/>
    </row>
    <row r="184" spans="11:44">
      <c r="K184" s="22">
        <v>180</v>
      </c>
      <c r="L184" s="24" t="s">
        <v>23</v>
      </c>
      <c r="M184" s="24" t="s">
        <v>23</v>
      </c>
      <c r="N184" s="24" t="s">
        <v>23</v>
      </c>
      <c r="O184" s="24" t="s">
        <v>23</v>
      </c>
      <c r="P184" s="24" t="s">
        <v>23</v>
      </c>
      <c r="Q184" s="24" t="s">
        <v>23</v>
      </c>
      <c r="R184" s="24" t="s">
        <v>23</v>
      </c>
      <c r="T184" s="8"/>
      <c r="U184" s="8"/>
      <c r="V184" s="8"/>
      <c r="W184" s="8"/>
      <c r="X184" s="8"/>
      <c r="Y184" s="8"/>
      <c r="Z184" s="8"/>
      <c r="AB184" s="25" t="s">
        <v>23</v>
      </c>
      <c r="AC184" s="25" t="s">
        <v>23</v>
      </c>
      <c r="AD184" s="25" t="s">
        <v>23</v>
      </c>
      <c r="AE184" s="25" t="s">
        <v>23</v>
      </c>
      <c r="AF184" s="25" t="s">
        <v>23</v>
      </c>
      <c r="AG184" s="25" t="s">
        <v>23</v>
      </c>
      <c r="AH184" s="7" t="s">
        <v>23</v>
      </c>
      <c r="AN184" s="14"/>
      <c r="AO184" s="14"/>
      <c r="AP184" s="14"/>
      <c r="AQ184" s="14"/>
      <c r="AR184" s="14"/>
    </row>
    <row r="185" spans="11:44">
      <c r="K185" s="21">
        <v>181</v>
      </c>
      <c r="L185" s="24" t="s">
        <v>23</v>
      </c>
      <c r="M185" s="24" t="s">
        <v>23</v>
      </c>
      <c r="N185" s="24" t="s">
        <v>23</v>
      </c>
      <c r="O185" s="24" t="s">
        <v>23</v>
      </c>
      <c r="P185" s="24" t="s">
        <v>23</v>
      </c>
      <c r="Q185" s="24" t="s">
        <v>23</v>
      </c>
      <c r="R185" s="24" t="s">
        <v>23</v>
      </c>
      <c r="T185" s="8"/>
      <c r="U185" s="8"/>
      <c r="V185" s="8"/>
      <c r="W185" s="8"/>
      <c r="X185" s="8"/>
      <c r="Y185" s="8"/>
      <c r="Z185" s="8"/>
      <c r="AB185" s="25" t="s">
        <v>23</v>
      </c>
      <c r="AC185" s="25" t="s">
        <v>23</v>
      </c>
      <c r="AD185" s="25" t="s">
        <v>23</v>
      </c>
      <c r="AE185" s="25" t="s">
        <v>23</v>
      </c>
      <c r="AF185" s="25" t="s">
        <v>23</v>
      </c>
      <c r="AG185" s="25" t="s">
        <v>23</v>
      </c>
      <c r="AH185" s="7" t="s">
        <v>23</v>
      </c>
      <c r="AN185" s="14"/>
      <c r="AO185" s="14"/>
      <c r="AP185" s="14"/>
      <c r="AQ185" s="14"/>
      <c r="AR185" s="14"/>
    </row>
    <row r="186" spans="11:44">
      <c r="K186" s="22">
        <v>182</v>
      </c>
      <c r="L186" s="24" t="s">
        <v>23</v>
      </c>
      <c r="M186" s="24" t="s">
        <v>23</v>
      </c>
      <c r="N186" s="24" t="s">
        <v>23</v>
      </c>
      <c r="O186" s="24" t="s">
        <v>23</v>
      </c>
      <c r="P186" s="24" t="s">
        <v>23</v>
      </c>
      <c r="Q186" s="24" t="s">
        <v>23</v>
      </c>
      <c r="R186" s="24" t="s">
        <v>23</v>
      </c>
      <c r="T186" s="8"/>
      <c r="U186" s="8"/>
      <c r="V186" s="8"/>
      <c r="W186" s="8"/>
      <c r="X186" s="8"/>
      <c r="Y186" s="8"/>
      <c r="Z186" s="8"/>
      <c r="AB186" s="25" t="s">
        <v>23</v>
      </c>
      <c r="AC186" s="25" t="s">
        <v>23</v>
      </c>
      <c r="AD186" s="25" t="s">
        <v>23</v>
      </c>
      <c r="AE186" s="25" t="s">
        <v>23</v>
      </c>
      <c r="AF186" s="25" t="s">
        <v>23</v>
      </c>
      <c r="AG186" s="25" t="s">
        <v>23</v>
      </c>
      <c r="AH186" s="7" t="s">
        <v>23</v>
      </c>
      <c r="AN186" s="14"/>
      <c r="AO186" s="14"/>
      <c r="AP186" s="14"/>
      <c r="AQ186" s="14"/>
      <c r="AR186" s="14"/>
    </row>
    <row r="187" spans="11:44">
      <c r="K187" s="21">
        <v>183</v>
      </c>
      <c r="L187" s="24" t="s">
        <v>23</v>
      </c>
      <c r="M187" s="24" t="s">
        <v>23</v>
      </c>
      <c r="N187" s="24" t="s">
        <v>23</v>
      </c>
      <c r="O187" s="24" t="s">
        <v>23</v>
      </c>
      <c r="P187" s="24" t="s">
        <v>23</v>
      </c>
      <c r="Q187" s="24" t="s">
        <v>23</v>
      </c>
      <c r="R187" s="24" t="s">
        <v>23</v>
      </c>
      <c r="T187" s="8"/>
      <c r="U187" s="8"/>
      <c r="V187" s="8"/>
      <c r="W187" s="8"/>
      <c r="X187" s="8"/>
      <c r="Y187" s="8"/>
      <c r="Z187" s="8"/>
      <c r="AB187" s="25" t="s">
        <v>23</v>
      </c>
      <c r="AC187" s="25" t="s">
        <v>23</v>
      </c>
      <c r="AD187" s="25" t="s">
        <v>23</v>
      </c>
      <c r="AE187" s="25" t="s">
        <v>23</v>
      </c>
      <c r="AF187" s="25" t="s">
        <v>23</v>
      </c>
      <c r="AG187" s="25" t="s">
        <v>23</v>
      </c>
      <c r="AH187" s="7" t="s">
        <v>23</v>
      </c>
      <c r="AN187" s="14"/>
      <c r="AO187" s="14"/>
      <c r="AP187" s="14"/>
      <c r="AQ187" s="14"/>
      <c r="AR187" s="14"/>
    </row>
    <row r="188" spans="11:44">
      <c r="K188" s="22">
        <v>184</v>
      </c>
      <c r="L188" s="24" t="s">
        <v>23</v>
      </c>
      <c r="M188" s="24" t="s">
        <v>23</v>
      </c>
      <c r="N188" s="24" t="s">
        <v>23</v>
      </c>
      <c r="O188" s="24" t="s">
        <v>23</v>
      </c>
      <c r="P188" s="24" t="s">
        <v>23</v>
      </c>
      <c r="Q188" s="24" t="s">
        <v>23</v>
      </c>
      <c r="R188" s="24" t="s">
        <v>23</v>
      </c>
      <c r="T188" s="8"/>
      <c r="U188" s="8"/>
      <c r="V188" s="8"/>
      <c r="W188" s="8"/>
      <c r="X188" s="8"/>
      <c r="Y188" s="8"/>
      <c r="Z188" s="8"/>
      <c r="AB188" s="25" t="s">
        <v>23</v>
      </c>
      <c r="AC188" s="25" t="s">
        <v>23</v>
      </c>
      <c r="AD188" s="25" t="s">
        <v>23</v>
      </c>
      <c r="AE188" s="25" t="s">
        <v>23</v>
      </c>
      <c r="AF188" s="25" t="s">
        <v>23</v>
      </c>
      <c r="AG188" s="25" t="s">
        <v>23</v>
      </c>
      <c r="AH188" s="7" t="s">
        <v>23</v>
      </c>
      <c r="AN188" s="14"/>
      <c r="AO188" s="14"/>
      <c r="AP188" s="14"/>
      <c r="AQ188" s="14"/>
      <c r="AR188" s="14"/>
    </row>
    <row r="189" spans="11:44">
      <c r="K189" s="21">
        <v>185</v>
      </c>
      <c r="L189" s="24" t="s">
        <v>23</v>
      </c>
      <c r="M189" s="24" t="s">
        <v>23</v>
      </c>
      <c r="N189" s="24" t="s">
        <v>23</v>
      </c>
      <c r="O189" s="24" t="s">
        <v>23</v>
      </c>
      <c r="P189" s="24" t="s">
        <v>23</v>
      </c>
      <c r="Q189" s="24" t="s">
        <v>23</v>
      </c>
      <c r="R189" s="24" t="s">
        <v>23</v>
      </c>
      <c r="T189" s="8"/>
      <c r="U189" s="8"/>
      <c r="V189" s="8"/>
      <c r="W189" s="8"/>
      <c r="X189" s="8"/>
      <c r="Y189" s="8"/>
      <c r="Z189" s="8"/>
      <c r="AB189" s="25" t="s">
        <v>23</v>
      </c>
      <c r="AC189" s="25" t="s">
        <v>23</v>
      </c>
      <c r="AD189" s="25" t="s">
        <v>23</v>
      </c>
      <c r="AE189" s="25" t="s">
        <v>23</v>
      </c>
      <c r="AF189" s="25" t="s">
        <v>23</v>
      </c>
      <c r="AG189" s="25" t="s">
        <v>23</v>
      </c>
      <c r="AH189" s="7" t="s">
        <v>23</v>
      </c>
      <c r="AN189" s="14"/>
      <c r="AO189" s="14"/>
      <c r="AP189" s="14"/>
      <c r="AQ189" s="14"/>
      <c r="AR189" s="14"/>
    </row>
    <row r="190" spans="11:44">
      <c r="K190" s="22">
        <v>186</v>
      </c>
      <c r="L190" s="24" t="s">
        <v>23</v>
      </c>
      <c r="M190" s="24" t="s">
        <v>23</v>
      </c>
      <c r="N190" s="24" t="s">
        <v>23</v>
      </c>
      <c r="O190" s="24" t="s">
        <v>23</v>
      </c>
      <c r="P190" s="24" t="s">
        <v>23</v>
      </c>
      <c r="Q190" s="24" t="s">
        <v>23</v>
      </c>
      <c r="R190" s="24" t="s">
        <v>23</v>
      </c>
      <c r="T190" s="8"/>
      <c r="U190" s="8"/>
      <c r="V190" s="8"/>
      <c r="W190" s="8"/>
      <c r="X190" s="8"/>
      <c r="Y190" s="8"/>
      <c r="Z190" s="8"/>
      <c r="AB190" s="25" t="s">
        <v>23</v>
      </c>
      <c r="AC190" s="25" t="s">
        <v>23</v>
      </c>
      <c r="AD190" s="25" t="s">
        <v>23</v>
      </c>
      <c r="AE190" s="25" t="s">
        <v>23</v>
      </c>
      <c r="AF190" s="25" t="s">
        <v>23</v>
      </c>
      <c r="AG190" s="25" t="s">
        <v>23</v>
      </c>
      <c r="AH190" s="7" t="s">
        <v>23</v>
      </c>
      <c r="AN190" s="14"/>
      <c r="AO190" s="14"/>
      <c r="AP190" s="14"/>
      <c r="AQ190" s="14"/>
      <c r="AR190" s="14"/>
    </row>
    <row r="191" spans="11:44">
      <c r="K191" s="21">
        <v>187</v>
      </c>
      <c r="L191" s="24" t="s">
        <v>23</v>
      </c>
      <c r="M191" s="24" t="s">
        <v>23</v>
      </c>
      <c r="N191" s="24" t="s">
        <v>23</v>
      </c>
      <c r="O191" s="24" t="s">
        <v>23</v>
      </c>
      <c r="P191" s="24" t="s">
        <v>23</v>
      </c>
      <c r="Q191" s="24" t="s">
        <v>23</v>
      </c>
      <c r="R191" s="24" t="s">
        <v>23</v>
      </c>
      <c r="T191" s="8"/>
      <c r="U191" s="8"/>
      <c r="V191" s="8"/>
      <c r="W191" s="8"/>
      <c r="X191" s="8"/>
      <c r="Y191" s="8"/>
      <c r="Z191" s="8"/>
      <c r="AB191" s="25" t="s">
        <v>23</v>
      </c>
      <c r="AC191" s="25" t="s">
        <v>23</v>
      </c>
      <c r="AD191" s="25" t="s">
        <v>23</v>
      </c>
      <c r="AE191" s="25" t="s">
        <v>23</v>
      </c>
      <c r="AF191" s="25" t="s">
        <v>23</v>
      </c>
      <c r="AG191" s="25" t="s">
        <v>23</v>
      </c>
      <c r="AH191" s="7" t="s">
        <v>23</v>
      </c>
      <c r="AN191" s="14"/>
      <c r="AO191" s="14"/>
      <c r="AP191" s="14"/>
      <c r="AQ191" s="14"/>
      <c r="AR191" s="14"/>
    </row>
    <row r="192" spans="11:44">
      <c r="K192" s="22">
        <v>188</v>
      </c>
      <c r="L192" s="24" t="s">
        <v>23</v>
      </c>
      <c r="M192" s="24" t="s">
        <v>23</v>
      </c>
      <c r="N192" s="24" t="s">
        <v>23</v>
      </c>
      <c r="O192" s="24" t="s">
        <v>23</v>
      </c>
      <c r="P192" s="24" t="s">
        <v>23</v>
      </c>
      <c r="Q192" s="24" t="s">
        <v>23</v>
      </c>
      <c r="R192" s="24" t="s">
        <v>23</v>
      </c>
      <c r="T192" s="8"/>
      <c r="U192" s="8"/>
      <c r="V192" s="8"/>
      <c r="W192" s="8"/>
      <c r="X192" s="8"/>
      <c r="Y192" s="8"/>
      <c r="Z192" s="8"/>
      <c r="AB192" s="25" t="s">
        <v>23</v>
      </c>
      <c r="AC192" s="25" t="s">
        <v>23</v>
      </c>
      <c r="AD192" s="25" t="s">
        <v>23</v>
      </c>
      <c r="AE192" s="25" t="s">
        <v>23</v>
      </c>
      <c r="AF192" s="25" t="s">
        <v>23</v>
      </c>
      <c r="AG192" s="25" t="s">
        <v>23</v>
      </c>
      <c r="AH192" s="7" t="s">
        <v>23</v>
      </c>
      <c r="AN192" s="14"/>
      <c r="AO192" s="14"/>
      <c r="AP192" s="14"/>
      <c r="AQ192" s="14"/>
      <c r="AR192" s="14"/>
    </row>
    <row r="193" spans="11:44">
      <c r="K193" s="21">
        <v>189</v>
      </c>
      <c r="L193" s="24" t="s">
        <v>23</v>
      </c>
      <c r="M193" s="24" t="s">
        <v>23</v>
      </c>
      <c r="N193" s="24" t="s">
        <v>23</v>
      </c>
      <c r="O193" s="24" t="s">
        <v>23</v>
      </c>
      <c r="P193" s="24" t="s">
        <v>23</v>
      </c>
      <c r="Q193" s="24" t="s">
        <v>23</v>
      </c>
      <c r="R193" s="24" t="s">
        <v>23</v>
      </c>
      <c r="T193" s="8"/>
      <c r="U193" s="8"/>
      <c r="V193" s="8"/>
      <c r="W193" s="8"/>
      <c r="X193" s="8"/>
      <c r="Y193" s="8"/>
      <c r="Z193" s="8"/>
      <c r="AB193" s="25" t="s">
        <v>23</v>
      </c>
      <c r="AC193" s="25" t="s">
        <v>23</v>
      </c>
      <c r="AD193" s="25" t="s">
        <v>23</v>
      </c>
      <c r="AE193" s="25" t="s">
        <v>23</v>
      </c>
      <c r="AF193" s="25" t="s">
        <v>23</v>
      </c>
      <c r="AG193" s="25" t="s">
        <v>23</v>
      </c>
      <c r="AH193" s="7" t="s">
        <v>23</v>
      </c>
      <c r="AN193" s="14"/>
      <c r="AO193" s="14"/>
      <c r="AP193" s="14"/>
      <c r="AQ193" s="14"/>
      <c r="AR193" s="14"/>
    </row>
    <row r="194" spans="11:44">
      <c r="K194" s="22">
        <v>190</v>
      </c>
      <c r="L194" s="24" t="s">
        <v>23</v>
      </c>
      <c r="M194" s="24" t="s">
        <v>23</v>
      </c>
      <c r="N194" s="24" t="s">
        <v>23</v>
      </c>
      <c r="O194" s="24" t="s">
        <v>23</v>
      </c>
      <c r="P194" s="24" t="s">
        <v>23</v>
      </c>
      <c r="Q194" s="24" t="s">
        <v>23</v>
      </c>
      <c r="R194" s="24" t="s">
        <v>23</v>
      </c>
      <c r="T194" s="8"/>
      <c r="U194" s="8"/>
      <c r="V194" s="8"/>
      <c r="W194" s="8"/>
      <c r="X194" s="8"/>
      <c r="Y194" s="8"/>
      <c r="Z194" s="8"/>
      <c r="AB194" s="25" t="s">
        <v>23</v>
      </c>
      <c r="AC194" s="25" t="s">
        <v>23</v>
      </c>
      <c r="AD194" s="25" t="s">
        <v>23</v>
      </c>
      <c r="AE194" s="25" t="s">
        <v>23</v>
      </c>
      <c r="AF194" s="25" t="s">
        <v>23</v>
      </c>
      <c r="AG194" s="25" t="s">
        <v>23</v>
      </c>
      <c r="AH194" s="7" t="s">
        <v>23</v>
      </c>
      <c r="AN194" s="14"/>
      <c r="AO194" s="14"/>
      <c r="AP194" s="14"/>
      <c r="AQ194" s="14"/>
      <c r="AR194" s="14"/>
    </row>
    <row r="195" spans="11:44">
      <c r="K195" s="21">
        <v>191</v>
      </c>
      <c r="L195" s="24" t="s">
        <v>23</v>
      </c>
      <c r="M195" s="24" t="s">
        <v>23</v>
      </c>
      <c r="N195" s="24" t="s">
        <v>23</v>
      </c>
      <c r="O195" s="24" t="s">
        <v>23</v>
      </c>
      <c r="P195" s="24" t="s">
        <v>23</v>
      </c>
      <c r="Q195" s="24" t="s">
        <v>23</v>
      </c>
      <c r="R195" s="24" t="s">
        <v>23</v>
      </c>
      <c r="T195" s="8"/>
      <c r="U195" s="8"/>
      <c r="V195" s="8"/>
      <c r="W195" s="8"/>
      <c r="X195" s="8"/>
      <c r="Y195" s="8"/>
      <c r="Z195" s="8"/>
      <c r="AB195" s="25" t="s">
        <v>23</v>
      </c>
      <c r="AC195" s="25" t="s">
        <v>23</v>
      </c>
      <c r="AD195" s="25" t="s">
        <v>23</v>
      </c>
      <c r="AE195" s="25" t="s">
        <v>23</v>
      </c>
      <c r="AF195" s="25" t="s">
        <v>23</v>
      </c>
      <c r="AG195" s="25" t="s">
        <v>23</v>
      </c>
      <c r="AH195" s="7" t="s">
        <v>23</v>
      </c>
      <c r="AN195" s="14"/>
      <c r="AO195" s="14"/>
      <c r="AP195" s="14"/>
      <c r="AQ195" s="14"/>
      <c r="AR195" s="14"/>
    </row>
    <row r="196" spans="11:44">
      <c r="K196" s="22">
        <v>192</v>
      </c>
      <c r="L196" s="24" t="s">
        <v>23</v>
      </c>
      <c r="M196" s="24" t="s">
        <v>23</v>
      </c>
      <c r="N196" s="24" t="s">
        <v>23</v>
      </c>
      <c r="O196" s="24" t="s">
        <v>23</v>
      </c>
      <c r="P196" s="24" t="s">
        <v>23</v>
      </c>
      <c r="Q196" s="24" t="s">
        <v>23</v>
      </c>
      <c r="R196" s="24" t="s">
        <v>23</v>
      </c>
      <c r="T196" s="8"/>
      <c r="U196" s="8"/>
      <c r="V196" s="8"/>
      <c r="W196" s="8"/>
      <c r="X196" s="8"/>
      <c r="Y196" s="8"/>
      <c r="Z196" s="8"/>
      <c r="AB196" s="25" t="s">
        <v>23</v>
      </c>
      <c r="AC196" s="25" t="s">
        <v>23</v>
      </c>
      <c r="AD196" s="25" t="s">
        <v>23</v>
      </c>
      <c r="AE196" s="25" t="s">
        <v>23</v>
      </c>
      <c r="AF196" s="25" t="s">
        <v>23</v>
      </c>
      <c r="AG196" s="25" t="s">
        <v>23</v>
      </c>
      <c r="AH196" s="7" t="s">
        <v>23</v>
      </c>
      <c r="AN196" s="14"/>
      <c r="AO196" s="14"/>
      <c r="AP196" s="14"/>
      <c r="AQ196" s="14"/>
      <c r="AR196" s="14"/>
    </row>
    <row r="197" spans="11:44">
      <c r="K197" s="21">
        <v>193</v>
      </c>
      <c r="L197" s="24" t="s">
        <v>23</v>
      </c>
      <c r="M197" s="24" t="s">
        <v>23</v>
      </c>
      <c r="N197" s="24" t="s">
        <v>23</v>
      </c>
      <c r="O197" s="24" t="s">
        <v>23</v>
      </c>
      <c r="P197" s="24" t="s">
        <v>23</v>
      </c>
      <c r="Q197" s="24" t="s">
        <v>23</v>
      </c>
      <c r="R197" s="24" t="s">
        <v>23</v>
      </c>
      <c r="T197" s="8"/>
      <c r="U197" s="8"/>
      <c r="V197" s="8"/>
      <c r="W197" s="8"/>
      <c r="X197" s="8"/>
      <c r="Y197" s="8"/>
      <c r="Z197" s="8"/>
      <c r="AB197" s="25" t="s">
        <v>23</v>
      </c>
      <c r="AC197" s="25" t="s">
        <v>23</v>
      </c>
      <c r="AD197" s="25" t="s">
        <v>23</v>
      </c>
      <c r="AE197" s="25" t="s">
        <v>23</v>
      </c>
      <c r="AF197" s="25" t="s">
        <v>23</v>
      </c>
      <c r="AG197" s="25" t="s">
        <v>23</v>
      </c>
      <c r="AH197" s="7" t="s">
        <v>23</v>
      </c>
      <c r="AN197" s="14"/>
      <c r="AO197" s="14"/>
      <c r="AP197" s="14"/>
      <c r="AQ197" s="14"/>
      <c r="AR197" s="14"/>
    </row>
    <row r="198" spans="11:44">
      <c r="K198" s="22">
        <v>194</v>
      </c>
      <c r="L198" s="24" t="s">
        <v>23</v>
      </c>
      <c r="M198" s="24" t="s">
        <v>23</v>
      </c>
      <c r="N198" s="24" t="s">
        <v>23</v>
      </c>
      <c r="O198" s="24" t="s">
        <v>23</v>
      </c>
      <c r="P198" s="24" t="s">
        <v>23</v>
      </c>
      <c r="Q198" s="24" t="s">
        <v>23</v>
      </c>
      <c r="R198" s="24" t="s">
        <v>23</v>
      </c>
      <c r="T198" s="8"/>
      <c r="U198" s="8"/>
      <c r="V198" s="8"/>
      <c r="W198" s="8"/>
      <c r="X198" s="8"/>
      <c r="Y198" s="8"/>
      <c r="Z198" s="8"/>
      <c r="AB198" s="7" t="s">
        <v>23</v>
      </c>
      <c r="AC198" s="7" t="s">
        <v>23</v>
      </c>
      <c r="AD198" s="7" t="s">
        <v>23</v>
      </c>
      <c r="AE198" s="7" t="s">
        <v>23</v>
      </c>
      <c r="AF198" s="7" t="s">
        <v>23</v>
      </c>
      <c r="AG198" s="7" t="s">
        <v>23</v>
      </c>
      <c r="AH198" s="7" t="s">
        <v>23</v>
      </c>
      <c r="AN198" s="14"/>
      <c r="AO198" s="14"/>
      <c r="AP198" s="14"/>
      <c r="AQ198" s="14"/>
      <c r="AR198" s="14"/>
    </row>
    <row r="199" spans="11:44">
      <c r="K199" s="21">
        <v>195</v>
      </c>
      <c r="L199" s="24" t="s">
        <v>23</v>
      </c>
      <c r="M199" s="24" t="s">
        <v>23</v>
      </c>
      <c r="N199" s="24" t="s">
        <v>23</v>
      </c>
      <c r="O199" s="24" t="s">
        <v>23</v>
      </c>
      <c r="P199" s="24" t="s">
        <v>23</v>
      </c>
      <c r="Q199" s="24" t="s">
        <v>23</v>
      </c>
      <c r="R199" s="24" t="s">
        <v>23</v>
      </c>
      <c r="T199" s="8"/>
      <c r="U199" s="8"/>
      <c r="V199" s="8"/>
      <c r="W199" s="8"/>
      <c r="X199" s="8"/>
      <c r="Y199" s="8"/>
      <c r="Z199" s="8"/>
      <c r="AB199" s="7" t="s">
        <v>23</v>
      </c>
      <c r="AC199" s="7" t="s">
        <v>23</v>
      </c>
      <c r="AD199" s="7" t="s">
        <v>23</v>
      </c>
      <c r="AE199" s="7" t="s">
        <v>23</v>
      </c>
      <c r="AF199" s="7" t="s">
        <v>23</v>
      </c>
      <c r="AG199" s="7" t="s">
        <v>23</v>
      </c>
      <c r="AH199" s="7" t="s">
        <v>23</v>
      </c>
      <c r="AN199" s="14"/>
      <c r="AO199" s="14"/>
      <c r="AP199" s="14"/>
      <c r="AQ199" s="14"/>
      <c r="AR199" s="14"/>
    </row>
    <row r="200" spans="11:44">
      <c r="K200" s="22">
        <v>196</v>
      </c>
      <c r="L200" s="24" t="s">
        <v>23</v>
      </c>
      <c r="M200" s="24" t="s">
        <v>23</v>
      </c>
      <c r="N200" s="24" t="s">
        <v>23</v>
      </c>
      <c r="O200" s="24" t="s">
        <v>23</v>
      </c>
      <c r="P200" s="24" t="s">
        <v>23</v>
      </c>
      <c r="Q200" s="24" t="s">
        <v>23</v>
      </c>
      <c r="R200" s="24" t="s">
        <v>23</v>
      </c>
      <c r="T200" s="8"/>
      <c r="U200" s="8"/>
      <c r="V200" s="8"/>
      <c r="W200" s="8"/>
      <c r="X200" s="8"/>
      <c r="Y200" s="8"/>
      <c r="Z200" s="8"/>
      <c r="AB200" s="7" t="s">
        <v>23</v>
      </c>
      <c r="AC200" s="7" t="s">
        <v>23</v>
      </c>
      <c r="AD200" s="7" t="s">
        <v>23</v>
      </c>
      <c r="AE200" s="7" t="s">
        <v>23</v>
      </c>
      <c r="AF200" s="7" t="s">
        <v>23</v>
      </c>
      <c r="AG200" s="7" t="s">
        <v>23</v>
      </c>
      <c r="AH200" s="7" t="s">
        <v>23</v>
      </c>
      <c r="AN200" s="14"/>
      <c r="AO200" s="14"/>
      <c r="AP200" s="14"/>
      <c r="AQ200" s="14"/>
      <c r="AR200" s="14"/>
    </row>
    <row r="201" spans="11:44">
      <c r="K201" s="21">
        <v>197</v>
      </c>
      <c r="L201" s="24" t="s">
        <v>23</v>
      </c>
      <c r="M201" s="24" t="s">
        <v>23</v>
      </c>
      <c r="N201" s="24" t="s">
        <v>23</v>
      </c>
      <c r="O201" s="24" t="s">
        <v>23</v>
      </c>
      <c r="P201" s="24" t="s">
        <v>23</v>
      </c>
      <c r="Q201" s="24" t="s">
        <v>23</v>
      </c>
      <c r="R201" s="24" t="s">
        <v>23</v>
      </c>
      <c r="T201" s="8"/>
      <c r="U201" s="8"/>
      <c r="V201" s="8"/>
      <c r="W201" s="8"/>
      <c r="X201" s="8"/>
      <c r="Y201" s="8"/>
      <c r="Z201" s="8"/>
      <c r="AB201" s="7" t="s">
        <v>23</v>
      </c>
      <c r="AC201" s="7" t="s">
        <v>23</v>
      </c>
      <c r="AD201" s="7" t="s">
        <v>23</v>
      </c>
      <c r="AE201" s="7" t="s">
        <v>23</v>
      </c>
      <c r="AF201" s="7" t="s">
        <v>23</v>
      </c>
      <c r="AG201" s="7" t="s">
        <v>23</v>
      </c>
      <c r="AH201" s="7" t="s">
        <v>23</v>
      </c>
      <c r="AN201" s="14"/>
      <c r="AO201" s="14"/>
      <c r="AP201" s="14"/>
      <c r="AQ201" s="14"/>
      <c r="AR201" s="14"/>
    </row>
    <row r="202" spans="11:44">
      <c r="K202" s="22">
        <v>198</v>
      </c>
      <c r="L202" s="24" t="s">
        <v>23</v>
      </c>
      <c r="M202" s="24" t="s">
        <v>23</v>
      </c>
      <c r="N202" s="24" t="s">
        <v>23</v>
      </c>
      <c r="O202" s="24" t="s">
        <v>23</v>
      </c>
      <c r="P202" s="24" t="s">
        <v>23</v>
      </c>
      <c r="Q202" s="24" t="s">
        <v>23</v>
      </c>
      <c r="R202" s="24" t="s">
        <v>23</v>
      </c>
      <c r="T202" s="8"/>
      <c r="U202" s="8"/>
      <c r="V202" s="8"/>
      <c r="W202" s="8"/>
      <c r="X202" s="8"/>
      <c r="Y202" s="8"/>
      <c r="Z202" s="8"/>
      <c r="AB202" s="7" t="s">
        <v>23</v>
      </c>
      <c r="AC202" s="7" t="s">
        <v>23</v>
      </c>
      <c r="AD202" s="7" t="s">
        <v>23</v>
      </c>
      <c r="AE202" s="7" t="s">
        <v>23</v>
      </c>
      <c r="AF202" s="7" t="s">
        <v>23</v>
      </c>
      <c r="AG202" s="7" t="s">
        <v>23</v>
      </c>
      <c r="AH202" s="7" t="s">
        <v>23</v>
      </c>
      <c r="AN202" s="14"/>
      <c r="AO202" s="14"/>
      <c r="AP202" s="14"/>
      <c r="AQ202" s="14"/>
      <c r="AR202" s="14"/>
    </row>
    <row r="203" spans="11:44">
      <c r="K203" s="21">
        <v>199</v>
      </c>
      <c r="L203" s="24" t="s">
        <v>23</v>
      </c>
      <c r="M203" s="24" t="s">
        <v>23</v>
      </c>
      <c r="N203" s="24" t="s">
        <v>23</v>
      </c>
      <c r="O203" s="24" t="s">
        <v>23</v>
      </c>
      <c r="P203" s="24" t="s">
        <v>23</v>
      </c>
      <c r="Q203" s="24" t="s">
        <v>23</v>
      </c>
      <c r="R203" s="24" t="s">
        <v>23</v>
      </c>
      <c r="T203" s="8"/>
      <c r="U203" s="8"/>
      <c r="V203" s="8"/>
      <c r="W203" s="8"/>
      <c r="X203" s="8"/>
      <c r="Y203" s="8"/>
      <c r="Z203" s="8"/>
      <c r="AB203" s="7" t="s">
        <v>23</v>
      </c>
      <c r="AC203" s="7" t="s">
        <v>23</v>
      </c>
      <c r="AD203" s="7" t="s">
        <v>23</v>
      </c>
      <c r="AE203" s="7" t="s">
        <v>23</v>
      </c>
      <c r="AF203" s="7" t="s">
        <v>23</v>
      </c>
      <c r="AG203" s="7" t="s">
        <v>23</v>
      </c>
      <c r="AH203" s="7" t="s">
        <v>23</v>
      </c>
      <c r="AN203" s="14"/>
      <c r="AO203" s="14"/>
      <c r="AP203" s="14"/>
      <c r="AQ203" s="14"/>
      <c r="AR203" s="14"/>
    </row>
    <row r="204" spans="11:44">
      <c r="K204" s="22">
        <v>200</v>
      </c>
      <c r="L204" s="24" t="s">
        <v>23</v>
      </c>
      <c r="M204" s="24" t="s">
        <v>23</v>
      </c>
      <c r="N204" s="24" t="s">
        <v>23</v>
      </c>
      <c r="O204" s="24" t="s">
        <v>23</v>
      </c>
      <c r="P204" s="24" t="s">
        <v>23</v>
      </c>
      <c r="Q204" s="24" t="s">
        <v>23</v>
      </c>
      <c r="R204" s="24" t="s">
        <v>23</v>
      </c>
      <c r="T204" s="8"/>
      <c r="U204" s="8"/>
      <c r="V204" s="8"/>
      <c r="W204" s="8"/>
      <c r="X204" s="8"/>
      <c r="Y204" s="8"/>
      <c r="Z204" s="8"/>
      <c r="AB204" s="7" t="s">
        <v>23</v>
      </c>
      <c r="AC204" s="7" t="s">
        <v>23</v>
      </c>
      <c r="AD204" s="7" t="s">
        <v>23</v>
      </c>
      <c r="AE204" s="7" t="s">
        <v>23</v>
      </c>
      <c r="AF204" s="7" t="s">
        <v>23</v>
      </c>
      <c r="AG204" s="7" t="s">
        <v>23</v>
      </c>
      <c r="AH204" s="7" t="s">
        <v>23</v>
      </c>
      <c r="AN204" s="14"/>
      <c r="AO204" s="14"/>
      <c r="AP204" s="14"/>
      <c r="AQ204" s="14"/>
      <c r="AR204" s="14"/>
    </row>
    <row r="205" spans="11:44">
      <c r="K205" s="21">
        <v>201</v>
      </c>
      <c r="L205" s="24" t="s">
        <v>23</v>
      </c>
      <c r="M205" s="24" t="s">
        <v>23</v>
      </c>
      <c r="N205" s="24" t="s">
        <v>23</v>
      </c>
      <c r="O205" s="24" t="s">
        <v>23</v>
      </c>
      <c r="P205" s="24" t="s">
        <v>23</v>
      </c>
      <c r="Q205" s="24" t="s">
        <v>23</v>
      </c>
      <c r="R205" s="24" t="s">
        <v>23</v>
      </c>
      <c r="T205" s="8"/>
      <c r="U205" s="8"/>
      <c r="V205" s="8"/>
      <c r="W205" s="8"/>
      <c r="X205" s="8"/>
      <c r="Y205" s="8"/>
      <c r="Z205" s="8"/>
      <c r="AB205" s="7" t="s">
        <v>23</v>
      </c>
      <c r="AC205" s="7" t="s">
        <v>23</v>
      </c>
      <c r="AD205" s="7" t="s">
        <v>23</v>
      </c>
      <c r="AE205" s="7" t="s">
        <v>23</v>
      </c>
      <c r="AF205" s="7" t="s">
        <v>23</v>
      </c>
      <c r="AG205" s="7" t="s">
        <v>23</v>
      </c>
      <c r="AH205" s="7" t="s">
        <v>23</v>
      </c>
      <c r="AN205" s="14"/>
      <c r="AO205" s="14"/>
      <c r="AP205" s="14"/>
      <c r="AQ205" s="14"/>
      <c r="AR205" s="14"/>
    </row>
    <row r="206" spans="11:44">
      <c r="K206" s="22">
        <v>202</v>
      </c>
      <c r="L206" s="24" t="s">
        <v>23</v>
      </c>
      <c r="M206" s="24" t="s">
        <v>23</v>
      </c>
      <c r="N206" s="24" t="s">
        <v>23</v>
      </c>
      <c r="O206" s="24" t="s">
        <v>23</v>
      </c>
      <c r="P206" s="24" t="s">
        <v>23</v>
      </c>
      <c r="Q206" s="24" t="s">
        <v>23</v>
      </c>
      <c r="R206" s="24" t="s">
        <v>23</v>
      </c>
      <c r="T206" s="8"/>
      <c r="U206" s="8"/>
      <c r="V206" s="8"/>
      <c r="W206" s="8"/>
      <c r="X206" s="8"/>
      <c r="Y206" s="8"/>
      <c r="Z206" s="8"/>
      <c r="AB206" s="7" t="s">
        <v>23</v>
      </c>
      <c r="AC206" s="7" t="s">
        <v>23</v>
      </c>
      <c r="AD206" s="7" t="s">
        <v>23</v>
      </c>
      <c r="AE206" s="7" t="s">
        <v>23</v>
      </c>
      <c r="AF206" s="7" t="s">
        <v>23</v>
      </c>
      <c r="AG206" s="7" t="s">
        <v>23</v>
      </c>
      <c r="AH206" s="7" t="s">
        <v>23</v>
      </c>
      <c r="AN206" s="14"/>
      <c r="AO206" s="14"/>
      <c r="AP206" s="14"/>
      <c r="AQ206" s="14"/>
      <c r="AR206" s="14"/>
    </row>
    <row r="207" spans="11:44">
      <c r="K207" s="21">
        <v>203</v>
      </c>
      <c r="L207" s="24" t="s">
        <v>23</v>
      </c>
      <c r="M207" s="24" t="s">
        <v>23</v>
      </c>
      <c r="N207" s="24" t="s">
        <v>23</v>
      </c>
      <c r="O207" s="24" t="s">
        <v>23</v>
      </c>
      <c r="P207" s="24" t="s">
        <v>23</v>
      </c>
      <c r="Q207" s="24" t="s">
        <v>23</v>
      </c>
      <c r="R207" s="24" t="s">
        <v>23</v>
      </c>
      <c r="T207" s="8"/>
      <c r="U207" s="8"/>
      <c r="V207" s="8"/>
      <c r="W207" s="8"/>
      <c r="X207" s="8"/>
      <c r="Y207" s="8"/>
      <c r="Z207" s="8"/>
      <c r="AB207" s="7" t="s">
        <v>23</v>
      </c>
      <c r="AC207" s="7" t="s">
        <v>23</v>
      </c>
      <c r="AD207" s="7" t="s">
        <v>23</v>
      </c>
      <c r="AE207" s="7" t="s">
        <v>23</v>
      </c>
      <c r="AF207" s="7" t="s">
        <v>23</v>
      </c>
      <c r="AG207" s="7" t="s">
        <v>23</v>
      </c>
      <c r="AH207" s="7" t="s">
        <v>23</v>
      </c>
      <c r="AN207" s="14"/>
      <c r="AO207" s="14"/>
      <c r="AP207" s="14"/>
      <c r="AQ207" s="14"/>
      <c r="AR207" s="14"/>
    </row>
    <row r="208" spans="11:44">
      <c r="K208" s="22">
        <v>204</v>
      </c>
      <c r="L208" s="24" t="s">
        <v>23</v>
      </c>
      <c r="M208" s="24" t="s">
        <v>23</v>
      </c>
      <c r="N208" s="24" t="s">
        <v>23</v>
      </c>
      <c r="O208" s="24" t="s">
        <v>23</v>
      </c>
      <c r="P208" s="24" t="s">
        <v>23</v>
      </c>
      <c r="Q208" s="24" t="s">
        <v>23</v>
      </c>
      <c r="R208" s="24" t="s">
        <v>23</v>
      </c>
      <c r="T208" s="8"/>
      <c r="U208" s="8"/>
      <c r="V208" s="8"/>
      <c r="W208" s="8"/>
      <c r="X208" s="8"/>
      <c r="Y208" s="8"/>
      <c r="Z208" s="8"/>
      <c r="AB208" s="7" t="s">
        <v>23</v>
      </c>
      <c r="AC208" s="7" t="s">
        <v>23</v>
      </c>
      <c r="AD208" s="7" t="s">
        <v>23</v>
      </c>
      <c r="AE208" s="7" t="s">
        <v>23</v>
      </c>
      <c r="AF208" s="7" t="s">
        <v>23</v>
      </c>
      <c r="AG208" s="7" t="s">
        <v>23</v>
      </c>
      <c r="AH208" s="7" t="s">
        <v>23</v>
      </c>
      <c r="AN208" s="14"/>
      <c r="AO208" s="14"/>
      <c r="AP208" s="14"/>
      <c r="AQ208" s="14"/>
      <c r="AR208" s="14"/>
    </row>
    <row r="209" spans="11:44">
      <c r="K209" s="21">
        <v>205</v>
      </c>
      <c r="L209" s="24" t="s">
        <v>23</v>
      </c>
      <c r="M209" s="24" t="s">
        <v>23</v>
      </c>
      <c r="N209" s="24" t="s">
        <v>23</v>
      </c>
      <c r="O209" s="24" t="s">
        <v>23</v>
      </c>
      <c r="P209" s="24" t="s">
        <v>23</v>
      </c>
      <c r="Q209" s="24" t="s">
        <v>23</v>
      </c>
      <c r="R209" s="24" t="s">
        <v>23</v>
      </c>
      <c r="T209" s="8"/>
      <c r="U209" s="8"/>
      <c r="V209" s="8"/>
      <c r="W209" s="8"/>
      <c r="X209" s="8"/>
      <c r="Y209" s="8"/>
      <c r="Z209" s="8"/>
      <c r="AB209" s="7" t="s">
        <v>23</v>
      </c>
      <c r="AC209" s="7" t="s">
        <v>23</v>
      </c>
      <c r="AD209" s="7" t="s">
        <v>23</v>
      </c>
      <c r="AE209" s="7" t="s">
        <v>23</v>
      </c>
      <c r="AF209" s="7" t="s">
        <v>23</v>
      </c>
      <c r="AG209" s="7" t="s">
        <v>23</v>
      </c>
      <c r="AH209" s="7" t="s">
        <v>23</v>
      </c>
      <c r="AN209" s="14"/>
      <c r="AO209" s="14"/>
      <c r="AP209" s="14"/>
      <c r="AQ209" s="14"/>
      <c r="AR209" s="14"/>
    </row>
    <row r="210" spans="11:44">
      <c r="K210" s="22">
        <v>206</v>
      </c>
      <c r="L210" s="24" t="s">
        <v>23</v>
      </c>
      <c r="M210" s="24" t="s">
        <v>23</v>
      </c>
      <c r="N210" s="24" t="s">
        <v>23</v>
      </c>
      <c r="O210" s="24" t="s">
        <v>23</v>
      </c>
      <c r="P210" s="24" t="s">
        <v>23</v>
      </c>
      <c r="Q210" s="24" t="s">
        <v>23</v>
      </c>
      <c r="R210" s="24" t="s">
        <v>23</v>
      </c>
      <c r="T210" s="8"/>
      <c r="U210" s="8"/>
      <c r="V210" s="8"/>
      <c r="W210" s="8"/>
      <c r="X210" s="8"/>
      <c r="Y210" s="8"/>
      <c r="Z210" s="8"/>
      <c r="AB210" s="7" t="s">
        <v>23</v>
      </c>
      <c r="AC210" s="7" t="s">
        <v>23</v>
      </c>
      <c r="AD210" s="7" t="s">
        <v>23</v>
      </c>
      <c r="AE210" s="7" t="s">
        <v>23</v>
      </c>
      <c r="AF210" s="7" t="s">
        <v>23</v>
      </c>
      <c r="AG210" s="7" t="s">
        <v>23</v>
      </c>
      <c r="AH210" s="7" t="s">
        <v>23</v>
      </c>
      <c r="AN210" s="14"/>
      <c r="AO210" s="14"/>
      <c r="AP210" s="14"/>
      <c r="AQ210" s="14"/>
      <c r="AR210" s="14"/>
    </row>
    <row r="211" spans="11:44">
      <c r="K211" s="21">
        <v>207</v>
      </c>
      <c r="L211" s="24" t="s">
        <v>23</v>
      </c>
      <c r="M211" s="24" t="s">
        <v>23</v>
      </c>
      <c r="N211" s="24" t="s">
        <v>23</v>
      </c>
      <c r="O211" s="24" t="s">
        <v>23</v>
      </c>
      <c r="P211" s="24" t="s">
        <v>23</v>
      </c>
      <c r="Q211" s="24" t="s">
        <v>23</v>
      </c>
      <c r="R211" s="24" t="s">
        <v>23</v>
      </c>
      <c r="T211" s="8"/>
      <c r="U211" s="8"/>
      <c r="V211" s="8"/>
      <c r="W211" s="8"/>
      <c r="X211" s="8"/>
      <c r="Y211" s="8"/>
      <c r="Z211" s="8"/>
      <c r="AB211" s="7" t="s">
        <v>23</v>
      </c>
      <c r="AC211" s="7" t="s">
        <v>23</v>
      </c>
      <c r="AD211" s="7" t="s">
        <v>23</v>
      </c>
      <c r="AE211" s="7" t="s">
        <v>23</v>
      </c>
      <c r="AF211" s="7" t="s">
        <v>23</v>
      </c>
      <c r="AG211" s="7" t="s">
        <v>23</v>
      </c>
      <c r="AH211" s="7" t="s">
        <v>23</v>
      </c>
      <c r="AN211" s="14"/>
      <c r="AO211" s="14"/>
      <c r="AP211" s="14"/>
      <c r="AQ211" s="14"/>
      <c r="AR211" s="14"/>
    </row>
    <row r="212" spans="11:44">
      <c r="K212" s="22">
        <v>208</v>
      </c>
      <c r="L212" s="24" t="s">
        <v>23</v>
      </c>
      <c r="M212" s="24" t="s">
        <v>23</v>
      </c>
      <c r="N212" s="24" t="s">
        <v>23</v>
      </c>
      <c r="O212" s="24" t="s">
        <v>23</v>
      </c>
      <c r="P212" s="24" t="s">
        <v>23</v>
      </c>
      <c r="Q212" s="24" t="s">
        <v>23</v>
      </c>
      <c r="R212" s="24" t="s">
        <v>23</v>
      </c>
      <c r="T212" s="8"/>
      <c r="U212" s="8"/>
      <c r="V212" s="8"/>
      <c r="W212" s="8"/>
      <c r="X212" s="8"/>
      <c r="Y212" s="8"/>
      <c r="Z212" s="8"/>
      <c r="AB212" s="7" t="s">
        <v>23</v>
      </c>
      <c r="AC212" s="7" t="s">
        <v>23</v>
      </c>
      <c r="AD212" s="7" t="s">
        <v>23</v>
      </c>
      <c r="AE212" s="7" t="s">
        <v>23</v>
      </c>
      <c r="AF212" s="7" t="s">
        <v>23</v>
      </c>
      <c r="AG212" s="7" t="s">
        <v>23</v>
      </c>
      <c r="AH212" s="7" t="s">
        <v>23</v>
      </c>
      <c r="AN212" s="14"/>
      <c r="AO212" s="14"/>
      <c r="AP212" s="14"/>
      <c r="AQ212" s="14"/>
      <c r="AR212" s="14"/>
    </row>
    <row r="213" spans="11:44">
      <c r="K213" s="21">
        <v>209</v>
      </c>
      <c r="L213" s="24" t="s">
        <v>23</v>
      </c>
      <c r="M213" s="24" t="s">
        <v>23</v>
      </c>
      <c r="N213" s="24" t="s">
        <v>23</v>
      </c>
      <c r="O213" s="24" t="s">
        <v>23</v>
      </c>
      <c r="P213" s="24" t="s">
        <v>23</v>
      </c>
      <c r="Q213" s="24" t="s">
        <v>23</v>
      </c>
      <c r="R213" s="24" t="s">
        <v>23</v>
      </c>
      <c r="T213" s="8"/>
      <c r="U213" s="8"/>
      <c r="V213" s="8"/>
      <c r="W213" s="8"/>
      <c r="X213" s="8"/>
      <c r="Y213" s="8"/>
      <c r="Z213" s="8"/>
      <c r="AB213" s="7" t="s">
        <v>23</v>
      </c>
      <c r="AC213" s="7" t="s">
        <v>23</v>
      </c>
      <c r="AD213" s="7" t="s">
        <v>23</v>
      </c>
      <c r="AE213" s="7" t="s">
        <v>23</v>
      </c>
      <c r="AF213" s="7" t="s">
        <v>23</v>
      </c>
      <c r="AG213" s="7" t="s">
        <v>23</v>
      </c>
      <c r="AH213" s="7" t="s">
        <v>23</v>
      </c>
      <c r="AN213" s="14"/>
      <c r="AO213" s="14"/>
      <c r="AP213" s="14"/>
      <c r="AQ213" s="14"/>
      <c r="AR213" s="14"/>
    </row>
    <row r="214" spans="11:44">
      <c r="K214" s="22">
        <v>210</v>
      </c>
      <c r="L214" s="24" t="s">
        <v>23</v>
      </c>
      <c r="M214" s="24" t="s">
        <v>23</v>
      </c>
      <c r="N214" s="24" t="s">
        <v>23</v>
      </c>
      <c r="O214" s="24" t="s">
        <v>23</v>
      </c>
      <c r="P214" s="24" t="s">
        <v>23</v>
      </c>
      <c r="Q214" s="24" t="s">
        <v>23</v>
      </c>
      <c r="R214" s="24" t="s">
        <v>23</v>
      </c>
      <c r="T214" s="8"/>
      <c r="U214" s="8"/>
      <c r="V214" s="8"/>
      <c r="W214" s="8"/>
      <c r="X214" s="8"/>
      <c r="Y214" s="8"/>
      <c r="Z214" s="8"/>
      <c r="AB214" s="7" t="s">
        <v>23</v>
      </c>
      <c r="AC214" s="7" t="s">
        <v>23</v>
      </c>
      <c r="AD214" s="7" t="s">
        <v>23</v>
      </c>
      <c r="AE214" s="7" t="s">
        <v>23</v>
      </c>
      <c r="AF214" s="7" t="s">
        <v>23</v>
      </c>
      <c r="AG214" s="7" t="s">
        <v>23</v>
      </c>
      <c r="AH214" s="7" t="s">
        <v>23</v>
      </c>
      <c r="AN214" s="14"/>
      <c r="AO214" s="14"/>
      <c r="AP214" s="14"/>
      <c r="AQ214" s="14"/>
      <c r="AR214" s="14"/>
    </row>
    <row r="215" spans="11:44">
      <c r="K215" s="21">
        <v>211</v>
      </c>
      <c r="L215" s="24" t="s">
        <v>23</v>
      </c>
      <c r="M215" s="24" t="s">
        <v>23</v>
      </c>
      <c r="N215" s="24" t="s">
        <v>23</v>
      </c>
      <c r="O215" s="24" t="s">
        <v>23</v>
      </c>
      <c r="P215" s="24" t="s">
        <v>23</v>
      </c>
      <c r="Q215" s="24" t="s">
        <v>23</v>
      </c>
      <c r="R215" s="24" t="s">
        <v>23</v>
      </c>
      <c r="T215" s="8"/>
      <c r="U215" s="8"/>
      <c r="V215" s="8"/>
      <c r="W215" s="8"/>
      <c r="X215" s="8"/>
      <c r="Y215" s="8"/>
      <c r="Z215" s="8"/>
      <c r="AB215" s="7" t="s">
        <v>23</v>
      </c>
      <c r="AC215" s="7" t="s">
        <v>23</v>
      </c>
      <c r="AD215" s="7" t="s">
        <v>23</v>
      </c>
      <c r="AE215" s="7" t="s">
        <v>23</v>
      </c>
      <c r="AF215" s="7" t="s">
        <v>23</v>
      </c>
      <c r="AG215" s="7" t="s">
        <v>23</v>
      </c>
      <c r="AH215" s="7" t="s">
        <v>23</v>
      </c>
      <c r="AN215" s="14"/>
      <c r="AO215" s="14"/>
      <c r="AP215" s="14"/>
      <c r="AQ215" s="14"/>
      <c r="AR215" s="14"/>
    </row>
    <row r="216" spans="11:44">
      <c r="K216" s="22">
        <v>212</v>
      </c>
      <c r="L216" s="24" t="s">
        <v>23</v>
      </c>
      <c r="M216" s="24" t="s">
        <v>23</v>
      </c>
      <c r="N216" s="24" t="s">
        <v>23</v>
      </c>
      <c r="O216" s="24" t="s">
        <v>23</v>
      </c>
      <c r="P216" s="24" t="s">
        <v>23</v>
      </c>
      <c r="Q216" s="24" t="s">
        <v>23</v>
      </c>
      <c r="R216" s="24" t="s">
        <v>23</v>
      </c>
      <c r="T216" s="8"/>
      <c r="U216" s="8"/>
      <c r="V216" s="8"/>
      <c r="W216" s="8"/>
      <c r="X216" s="8"/>
      <c r="Y216" s="8"/>
      <c r="Z216" s="8"/>
      <c r="AB216" s="7" t="s">
        <v>23</v>
      </c>
      <c r="AC216" s="7" t="s">
        <v>23</v>
      </c>
      <c r="AD216" s="7" t="s">
        <v>23</v>
      </c>
      <c r="AE216" s="7" t="s">
        <v>23</v>
      </c>
      <c r="AF216" s="7" t="s">
        <v>23</v>
      </c>
      <c r="AG216" s="7" t="s">
        <v>23</v>
      </c>
      <c r="AH216" s="7" t="s">
        <v>23</v>
      </c>
      <c r="AN216" s="14"/>
      <c r="AO216" s="14"/>
      <c r="AP216" s="14"/>
      <c r="AQ216" s="14"/>
      <c r="AR216" s="14"/>
    </row>
    <row r="217" spans="11:44">
      <c r="K217" s="21">
        <v>213</v>
      </c>
      <c r="L217" s="24" t="s">
        <v>23</v>
      </c>
      <c r="M217" s="24" t="s">
        <v>23</v>
      </c>
      <c r="N217" s="24" t="s">
        <v>23</v>
      </c>
      <c r="O217" s="24" t="s">
        <v>23</v>
      </c>
      <c r="P217" s="24" t="s">
        <v>23</v>
      </c>
      <c r="Q217" s="24" t="s">
        <v>23</v>
      </c>
      <c r="R217" s="24" t="s">
        <v>23</v>
      </c>
      <c r="T217" s="8"/>
      <c r="U217" s="8"/>
      <c r="V217" s="8"/>
      <c r="W217" s="8"/>
      <c r="X217" s="8"/>
      <c r="Y217" s="8"/>
      <c r="Z217" s="8"/>
      <c r="AB217" s="7" t="s">
        <v>23</v>
      </c>
      <c r="AC217" s="7" t="s">
        <v>23</v>
      </c>
      <c r="AD217" s="7" t="s">
        <v>23</v>
      </c>
      <c r="AE217" s="7" t="s">
        <v>23</v>
      </c>
      <c r="AF217" s="7" t="s">
        <v>23</v>
      </c>
      <c r="AG217" s="7" t="s">
        <v>23</v>
      </c>
      <c r="AH217" s="7" t="s">
        <v>23</v>
      </c>
      <c r="AN217" s="14"/>
      <c r="AO217" s="14"/>
      <c r="AP217" s="14"/>
      <c r="AQ217" s="14"/>
      <c r="AR217" s="14"/>
    </row>
    <row r="218" spans="11:44">
      <c r="K218" s="22">
        <v>214</v>
      </c>
      <c r="L218" s="24" t="s">
        <v>23</v>
      </c>
      <c r="M218" s="24" t="s">
        <v>23</v>
      </c>
      <c r="N218" s="24" t="s">
        <v>23</v>
      </c>
      <c r="O218" s="24" t="s">
        <v>23</v>
      </c>
      <c r="P218" s="24" t="s">
        <v>23</v>
      </c>
      <c r="Q218" s="24" t="s">
        <v>23</v>
      </c>
      <c r="R218" s="24" t="s">
        <v>23</v>
      </c>
      <c r="T218" s="8"/>
      <c r="U218" s="8"/>
      <c r="V218" s="8"/>
      <c r="W218" s="8"/>
      <c r="X218" s="8"/>
      <c r="Y218" s="8"/>
      <c r="Z218" s="8"/>
      <c r="AB218" s="7" t="s">
        <v>23</v>
      </c>
      <c r="AC218" s="7" t="s">
        <v>23</v>
      </c>
      <c r="AD218" s="7" t="s">
        <v>23</v>
      </c>
      <c r="AE218" s="7" t="s">
        <v>23</v>
      </c>
      <c r="AF218" s="7" t="s">
        <v>23</v>
      </c>
      <c r="AG218" s="7" t="s">
        <v>23</v>
      </c>
      <c r="AH218" s="7" t="s">
        <v>23</v>
      </c>
      <c r="AN218" s="14"/>
      <c r="AO218" s="14"/>
      <c r="AP218" s="14"/>
      <c r="AQ218" s="14"/>
      <c r="AR218" s="14"/>
    </row>
    <row r="219" spans="11:44">
      <c r="K219" s="21">
        <v>215</v>
      </c>
      <c r="L219" s="24" t="s">
        <v>23</v>
      </c>
      <c r="M219" s="24" t="s">
        <v>23</v>
      </c>
      <c r="N219" s="24" t="s">
        <v>23</v>
      </c>
      <c r="O219" s="24" t="s">
        <v>23</v>
      </c>
      <c r="P219" s="24" t="s">
        <v>23</v>
      </c>
      <c r="Q219" s="24" t="s">
        <v>23</v>
      </c>
      <c r="R219" s="24" t="s">
        <v>23</v>
      </c>
      <c r="T219" s="8"/>
      <c r="U219" s="8"/>
      <c r="V219" s="8"/>
      <c r="W219" s="8"/>
      <c r="X219" s="8"/>
      <c r="Y219" s="8"/>
      <c r="Z219" s="8"/>
      <c r="AB219" s="7" t="s">
        <v>23</v>
      </c>
      <c r="AC219" s="7" t="s">
        <v>23</v>
      </c>
      <c r="AD219" s="7" t="s">
        <v>23</v>
      </c>
      <c r="AE219" s="7" t="s">
        <v>23</v>
      </c>
      <c r="AF219" s="7" t="s">
        <v>23</v>
      </c>
      <c r="AG219" s="7" t="s">
        <v>23</v>
      </c>
      <c r="AH219" s="7" t="s">
        <v>23</v>
      </c>
      <c r="AN219" s="14"/>
      <c r="AO219" s="14"/>
      <c r="AP219" s="14"/>
      <c r="AQ219" s="14"/>
      <c r="AR219" s="14"/>
    </row>
    <row r="220" spans="11:44">
      <c r="K220" s="22">
        <v>216</v>
      </c>
      <c r="L220" s="24" t="s">
        <v>23</v>
      </c>
      <c r="M220" s="24" t="s">
        <v>23</v>
      </c>
      <c r="N220" s="24" t="s">
        <v>23</v>
      </c>
      <c r="O220" s="24" t="s">
        <v>23</v>
      </c>
      <c r="P220" s="24" t="s">
        <v>23</v>
      </c>
      <c r="Q220" s="24" t="s">
        <v>23</v>
      </c>
      <c r="R220" s="24" t="s">
        <v>23</v>
      </c>
      <c r="T220" s="8"/>
      <c r="U220" s="8"/>
      <c r="V220" s="8"/>
      <c r="W220" s="8"/>
      <c r="X220" s="8"/>
      <c r="Y220" s="8"/>
      <c r="Z220" s="8"/>
      <c r="AB220" s="7" t="s">
        <v>23</v>
      </c>
      <c r="AC220" s="7" t="s">
        <v>23</v>
      </c>
      <c r="AD220" s="7" t="s">
        <v>23</v>
      </c>
      <c r="AE220" s="7" t="s">
        <v>23</v>
      </c>
      <c r="AF220" s="7" t="s">
        <v>23</v>
      </c>
      <c r="AG220" s="7" t="s">
        <v>23</v>
      </c>
      <c r="AH220" s="7" t="s">
        <v>23</v>
      </c>
      <c r="AN220" s="14"/>
      <c r="AO220" s="14"/>
      <c r="AP220" s="14"/>
      <c r="AQ220" s="14"/>
      <c r="AR220" s="14"/>
    </row>
    <row r="221" spans="11:44">
      <c r="K221" s="21">
        <v>217</v>
      </c>
      <c r="L221" s="24" t="s">
        <v>23</v>
      </c>
      <c r="M221" s="24" t="s">
        <v>23</v>
      </c>
      <c r="N221" s="24" t="s">
        <v>23</v>
      </c>
      <c r="O221" s="24" t="s">
        <v>23</v>
      </c>
      <c r="P221" s="24" t="s">
        <v>23</v>
      </c>
      <c r="Q221" s="24" t="s">
        <v>23</v>
      </c>
      <c r="R221" s="24" t="s">
        <v>23</v>
      </c>
      <c r="T221" s="8"/>
      <c r="U221" s="8"/>
      <c r="V221" s="8"/>
      <c r="W221" s="8"/>
      <c r="X221" s="8"/>
      <c r="Y221" s="8"/>
      <c r="Z221" s="8"/>
      <c r="AB221" s="7" t="s">
        <v>23</v>
      </c>
      <c r="AC221" s="7" t="s">
        <v>23</v>
      </c>
      <c r="AD221" s="7" t="s">
        <v>23</v>
      </c>
      <c r="AE221" s="7" t="s">
        <v>23</v>
      </c>
      <c r="AF221" s="7" t="s">
        <v>23</v>
      </c>
      <c r="AG221" s="7" t="s">
        <v>23</v>
      </c>
      <c r="AH221" s="7" t="s">
        <v>23</v>
      </c>
      <c r="AN221" s="14"/>
      <c r="AO221" s="14"/>
      <c r="AP221" s="14"/>
      <c r="AQ221" s="14"/>
      <c r="AR221" s="14"/>
    </row>
    <row r="222" spans="11:44">
      <c r="K222" s="22">
        <v>218</v>
      </c>
      <c r="L222" s="24" t="s">
        <v>23</v>
      </c>
      <c r="M222" s="24" t="s">
        <v>23</v>
      </c>
      <c r="N222" s="24" t="s">
        <v>23</v>
      </c>
      <c r="O222" s="24" t="s">
        <v>23</v>
      </c>
      <c r="P222" s="24" t="s">
        <v>23</v>
      </c>
      <c r="Q222" s="24" t="s">
        <v>23</v>
      </c>
      <c r="R222" s="24" t="s">
        <v>23</v>
      </c>
      <c r="T222" s="8"/>
      <c r="U222" s="8"/>
      <c r="V222" s="8"/>
      <c r="W222" s="8"/>
      <c r="X222" s="8"/>
      <c r="Y222" s="8"/>
      <c r="Z222" s="8"/>
      <c r="AB222" s="7" t="s">
        <v>23</v>
      </c>
      <c r="AC222" s="7" t="s">
        <v>23</v>
      </c>
      <c r="AD222" s="7" t="s">
        <v>23</v>
      </c>
      <c r="AE222" s="7" t="s">
        <v>23</v>
      </c>
      <c r="AF222" s="7" t="s">
        <v>23</v>
      </c>
      <c r="AG222" s="7" t="s">
        <v>23</v>
      </c>
      <c r="AH222" s="7" t="s">
        <v>23</v>
      </c>
      <c r="AN222" s="14"/>
      <c r="AO222" s="14"/>
      <c r="AP222" s="14"/>
      <c r="AQ222" s="14"/>
      <c r="AR222" s="14"/>
    </row>
    <row r="223" spans="11:44">
      <c r="K223" s="21">
        <v>219</v>
      </c>
      <c r="L223" s="24" t="s">
        <v>23</v>
      </c>
      <c r="M223" s="24" t="s">
        <v>23</v>
      </c>
      <c r="N223" s="24" t="s">
        <v>23</v>
      </c>
      <c r="O223" s="24" t="s">
        <v>23</v>
      </c>
      <c r="P223" s="24" t="s">
        <v>23</v>
      </c>
      <c r="Q223" s="24" t="s">
        <v>23</v>
      </c>
      <c r="R223" s="24" t="s">
        <v>23</v>
      </c>
      <c r="T223" s="8"/>
      <c r="U223" s="8"/>
      <c r="V223" s="8"/>
      <c r="W223" s="8"/>
      <c r="X223" s="8"/>
      <c r="Y223" s="8"/>
      <c r="Z223" s="8"/>
      <c r="AB223" s="7" t="s">
        <v>23</v>
      </c>
      <c r="AC223" s="7" t="s">
        <v>23</v>
      </c>
      <c r="AD223" s="7" t="s">
        <v>23</v>
      </c>
      <c r="AE223" s="7" t="s">
        <v>23</v>
      </c>
      <c r="AF223" s="7" t="s">
        <v>23</v>
      </c>
      <c r="AG223" s="7" t="s">
        <v>23</v>
      </c>
      <c r="AH223" s="7" t="s">
        <v>23</v>
      </c>
      <c r="AN223" s="14"/>
      <c r="AO223" s="14"/>
      <c r="AP223" s="14"/>
      <c r="AQ223" s="14"/>
      <c r="AR223" s="14"/>
    </row>
    <row r="224" spans="11:44">
      <c r="K224" s="22">
        <v>220</v>
      </c>
      <c r="L224" s="24" t="s">
        <v>23</v>
      </c>
      <c r="M224" s="24" t="s">
        <v>23</v>
      </c>
      <c r="N224" s="24" t="s">
        <v>23</v>
      </c>
      <c r="O224" s="24" t="s">
        <v>23</v>
      </c>
      <c r="P224" s="24" t="s">
        <v>23</v>
      </c>
      <c r="Q224" s="24" t="s">
        <v>23</v>
      </c>
      <c r="R224" s="24" t="s">
        <v>23</v>
      </c>
      <c r="T224" s="8"/>
      <c r="U224" s="8"/>
      <c r="V224" s="8"/>
      <c r="W224" s="8"/>
      <c r="X224" s="8"/>
      <c r="Y224" s="8"/>
      <c r="Z224" s="8"/>
      <c r="AB224" s="7" t="s">
        <v>23</v>
      </c>
      <c r="AC224" s="7" t="s">
        <v>23</v>
      </c>
      <c r="AD224" s="7" t="s">
        <v>23</v>
      </c>
      <c r="AE224" s="7" t="s">
        <v>23</v>
      </c>
      <c r="AF224" s="7" t="s">
        <v>23</v>
      </c>
      <c r="AG224" s="7" t="s">
        <v>23</v>
      </c>
      <c r="AH224" s="7" t="s">
        <v>23</v>
      </c>
      <c r="AN224" s="14"/>
      <c r="AO224" s="14"/>
      <c r="AP224" s="14"/>
      <c r="AQ224" s="14"/>
      <c r="AR224" s="14"/>
    </row>
    <row r="225" spans="11:44">
      <c r="K225" s="21">
        <v>221</v>
      </c>
      <c r="L225" s="24" t="s">
        <v>23</v>
      </c>
      <c r="M225" s="24" t="s">
        <v>23</v>
      </c>
      <c r="N225" s="24" t="s">
        <v>23</v>
      </c>
      <c r="O225" s="24" t="s">
        <v>23</v>
      </c>
      <c r="P225" s="24" t="s">
        <v>23</v>
      </c>
      <c r="Q225" s="24" t="s">
        <v>23</v>
      </c>
      <c r="R225" s="24" t="s">
        <v>23</v>
      </c>
      <c r="T225" s="8"/>
      <c r="U225" s="8"/>
      <c r="V225" s="8"/>
      <c r="W225" s="8"/>
      <c r="X225" s="8"/>
      <c r="Y225" s="8"/>
      <c r="Z225" s="8"/>
      <c r="AB225" s="7" t="s">
        <v>23</v>
      </c>
      <c r="AC225" s="7" t="s">
        <v>23</v>
      </c>
      <c r="AD225" s="7" t="s">
        <v>23</v>
      </c>
      <c r="AE225" s="7" t="s">
        <v>23</v>
      </c>
      <c r="AF225" s="7" t="s">
        <v>23</v>
      </c>
      <c r="AG225" s="7" t="s">
        <v>23</v>
      </c>
      <c r="AH225" s="7" t="s">
        <v>23</v>
      </c>
      <c r="AN225" s="14"/>
      <c r="AO225" s="14"/>
      <c r="AP225" s="14"/>
      <c r="AQ225" s="14"/>
      <c r="AR225" s="14"/>
    </row>
    <row r="226" spans="11:44">
      <c r="K226" s="22">
        <v>222</v>
      </c>
      <c r="L226" s="24" t="s">
        <v>23</v>
      </c>
      <c r="M226" s="24" t="s">
        <v>23</v>
      </c>
      <c r="N226" s="24" t="s">
        <v>23</v>
      </c>
      <c r="O226" s="24" t="s">
        <v>23</v>
      </c>
      <c r="P226" s="24" t="s">
        <v>23</v>
      </c>
      <c r="Q226" s="24" t="s">
        <v>23</v>
      </c>
      <c r="R226" s="24" t="s">
        <v>23</v>
      </c>
      <c r="T226" s="8"/>
      <c r="U226" s="8"/>
      <c r="V226" s="8"/>
      <c r="W226" s="8"/>
      <c r="X226" s="8"/>
      <c r="Y226" s="8"/>
      <c r="Z226" s="8"/>
      <c r="AB226" s="7" t="s">
        <v>23</v>
      </c>
      <c r="AC226" s="7" t="s">
        <v>23</v>
      </c>
      <c r="AD226" s="7" t="s">
        <v>23</v>
      </c>
      <c r="AE226" s="7" t="s">
        <v>23</v>
      </c>
      <c r="AF226" s="7" t="s">
        <v>23</v>
      </c>
      <c r="AG226" s="7" t="s">
        <v>23</v>
      </c>
      <c r="AH226" s="7" t="s">
        <v>23</v>
      </c>
      <c r="AN226" s="14"/>
      <c r="AO226" s="14"/>
      <c r="AP226" s="14"/>
      <c r="AQ226" s="14"/>
      <c r="AR226" s="14"/>
    </row>
    <row r="227" spans="11:44">
      <c r="K227" s="21">
        <v>223</v>
      </c>
      <c r="L227" s="24" t="s">
        <v>23</v>
      </c>
      <c r="M227" s="24" t="s">
        <v>23</v>
      </c>
      <c r="N227" s="24" t="s">
        <v>23</v>
      </c>
      <c r="O227" s="24" t="s">
        <v>23</v>
      </c>
      <c r="P227" s="24" t="s">
        <v>23</v>
      </c>
      <c r="Q227" s="24" t="s">
        <v>23</v>
      </c>
      <c r="R227" s="24" t="s">
        <v>23</v>
      </c>
      <c r="T227" s="8"/>
      <c r="U227" s="8"/>
      <c r="V227" s="8"/>
      <c r="W227" s="8"/>
      <c r="X227" s="8"/>
      <c r="Y227" s="8"/>
      <c r="Z227" s="8"/>
      <c r="AB227" s="7" t="s">
        <v>23</v>
      </c>
      <c r="AC227" s="7" t="s">
        <v>23</v>
      </c>
      <c r="AD227" s="7" t="s">
        <v>23</v>
      </c>
      <c r="AE227" s="7" t="s">
        <v>23</v>
      </c>
      <c r="AF227" s="7" t="s">
        <v>23</v>
      </c>
      <c r="AG227" s="7" t="s">
        <v>23</v>
      </c>
      <c r="AH227" s="7" t="s">
        <v>23</v>
      </c>
      <c r="AN227" s="14"/>
      <c r="AO227" s="14"/>
      <c r="AP227" s="14"/>
      <c r="AQ227" s="14"/>
      <c r="AR227" s="14"/>
    </row>
    <row r="228" spans="11:44">
      <c r="K228" s="22">
        <v>224</v>
      </c>
      <c r="L228" s="24" t="s">
        <v>23</v>
      </c>
      <c r="M228" s="24" t="s">
        <v>23</v>
      </c>
      <c r="N228" s="24" t="s">
        <v>23</v>
      </c>
      <c r="O228" s="24" t="s">
        <v>23</v>
      </c>
      <c r="P228" s="24" t="s">
        <v>23</v>
      </c>
      <c r="Q228" s="24" t="s">
        <v>23</v>
      </c>
      <c r="R228" s="24" t="s">
        <v>23</v>
      </c>
      <c r="T228" s="8"/>
      <c r="U228" s="8"/>
      <c r="V228" s="8"/>
      <c r="W228" s="8"/>
      <c r="X228" s="8"/>
      <c r="Y228" s="8"/>
      <c r="Z228" s="8"/>
      <c r="AB228" s="7" t="s">
        <v>23</v>
      </c>
      <c r="AC228" s="7" t="s">
        <v>23</v>
      </c>
      <c r="AD228" s="7" t="s">
        <v>23</v>
      </c>
      <c r="AE228" s="7" t="s">
        <v>23</v>
      </c>
      <c r="AF228" s="7" t="s">
        <v>23</v>
      </c>
      <c r="AG228" s="7" t="s">
        <v>23</v>
      </c>
      <c r="AH228" s="7" t="s">
        <v>23</v>
      </c>
      <c r="AN228" s="14"/>
      <c r="AO228" s="14"/>
      <c r="AP228" s="14"/>
      <c r="AQ228" s="14"/>
      <c r="AR228" s="14"/>
    </row>
    <row r="229" spans="11:44">
      <c r="K229" s="21">
        <v>225</v>
      </c>
      <c r="L229" s="24" t="s">
        <v>23</v>
      </c>
      <c r="M229" s="24" t="s">
        <v>23</v>
      </c>
      <c r="N229" s="24" t="s">
        <v>23</v>
      </c>
      <c r="O229" s="24" t="s">
        <v>23</v>
      </c>
      <c r="P229" s="24" t="s">
        <v>23</v>
      </c>
      <c r="Q229" s="24" t="s">
        <v>23</v>
      </c>
      <c r="R229" s="24" t="s">
        <v>23</v>
      </c>
      <c r="T229" s="8"/>
      <c r="U229" s="8"/>
      <c r="V229" s="8"/>
      <c r="W229" s="8"/>
      <c r="X229" s="8"/>
      <c r="Y229" s="8"/>
      <c r="Z229" s="8"/>
      <c r="AB229" s="7" t="s">
        <v>23</v>
      </c>
      <c r="AC229" s="7" t="s">
        <v>23</v>
      </c>
      <c r="AD229" s="7" t="s">
        <v>23</v>
      </c>
      <c r="AE229" s="7" t="s">
        <v>23</v>
      </c>
      <c r="AF229" s="7" t="s">
        <v>23</v>
      </c>
      <c r="AG229" s="7" t="s">
        <v>23</v>
      </c>
      <c r="AH229" s="7" t="s">
        <v>23</v>
      </c>
      <c r="AN229" s="14"/>
      <c r="AO229" s="14"/>
      <c r="AP229" s="14"/>
      <c r="AQ229" s="14"/>
      <c r="AR229" s="14"/>
    </row>
    <row r="230" spans="11:44">
      <c r="K230" s="22">
        <v>226</v>
      </c>
      <c r="L230" s="24" t="s">
        <v>23</v>
      </c>
      <c r="M230" s="24" t="s">
        <v>23</v>
      </c>
      <c r="N230" s="24" t="s">
        <v>23</v>
      </c>
      <c r="O230" s="24" t="s">
        <v>23</v>
      </c>
      <c r="P230" s="24" t="s">
        <v>23</v>
      </c>
      <c r="Q230" s="24" t="s">
        <v>23</v>
      </c>
      <c r="R230" s="24" t="s">
        <v>23</v>
      </c>
      <c r="T230" s="8"/>
      <c r="U230" s="8"/>
      <c r="V230" s="8"/>
      <c r="W230" s="8"/>
      <c r="X230" s="8"/>
      <c r="Y230" s="8"/>
      <c r="Z230" s="8"/>
      <c r="AB230" s="7" t="s">
        <v>23</v>
      </c>
      <c r="AC230" s="7" t="s">
        <v>23</v>
      </c>
      <c r="AD230" s="7" t="s">
        <v>23</v>
      </c>
      <c r="AE230" s="7" t="s">
        <v>23</v>
      </c>
      <c r="AF230" s="7" t="s">
        <v>23</v>
      </c>
      <c r="AG230" s="7" t="s">
        <v>23</v>
      </c>
      <c r="AH230" s="7" t="s">
        <v>23</v>
      </c>
      <c r="AN230" s="14"/>
      <c r="AO230" s="14"/>
      <c r="AP230" s="14"/>
      <c r="AQ230" s="14"/>
      <c r="AR230" s="14"/>
    </row>
    <row r="231" spans="11:44">
      <c r="K231" s="21">
        <v>227</v>
      </c>
      <c r="L231" s="24" t="s">
        <v>23</v>
      </c>
      <c r="M231" s="24" t="s">
        <v>23</v>
      </c>
      <c r="N231" s="24" t="s">
        <v>23</v>
      </c>
      <c r="O231" s="24" t="s">
        <v>23</v>
      </c>
      <c r="P231" s="24" t="s">
        <v>23</v>
      </c>
      <c r="Q231" s="24" t="s">
        <v>23</v>
      </c>
      <c r="R231" s="24" t="s">
        <v>23</v>
      </c>
      <c r="T231" s="8"/>
      <c r="U231" s="8"/>
      <c r="V231" s="8"/>
      <c r="W231" s="8"/>
      <c r="X231" s="8"/>
      <c r="Y231" s="8"/>
      <c r="Z231" s="8"/>
      <c r="AB231" s="7" t="s">
        <v>23</v>
      </c>
      <c r="AC231" s="7" t="s">
        <v>23</v>
      </c>
      <c r="AD231" s="7" t="s">
        <v>23</v>
      </c>
      <c r="AE231" s="7" t="s">
        <v>23</v>
      </c>
      <c r="AF231" s="7" t="s">
        <v>23</v>
      </c>
      <c r="AG231" s="7" t="s">
        <v>23</v>
      </c>
      <c r="AH231" s="7" t="s">
        <v>23</v>
      </c>
      <c r="AN231" s="14"/>
      <c r="AO231" s="14"/>
      <c r="AP231" s="14"/>
      <c r="AQ231" s="14"/>
      <c r="AR231" s="14"/>
    </row>
    <row r="232" spans="11:44">
      <c r="K232" s="22">
        <v>228</v>
      </c>
      <c r="L232" s="24" t="s">
        <v>23</v>
      </c>
      <c r="M232" s="24" t="s">
        <v>23</v>
      </c>
      <c r="N232" s="24" t="s">
        <v>23</v>
      </c>
      <c r="O232" s="24" t="s">
        <v>23</v>
      </c>
      <c r="P232" s="24" t="s">
        <v>23</v>
      </c>
      <c r="Q232" s="24" t="s">
        <v>23</v>
      </c>
      <c r="R232" s="24" t="s">
        <v>23</v>
      </c>
      <c r="T232" s="8"/>
      <c r="U232" s="8"/>
      <c r="V232" s="8"/>
      <c r="W232" s="8"/>
      <c r="X232" s="8"/>
      <c r="Y232" s="8"/>
      <c r="Z232" s="8"/>
      <c r="AB232" s="7" t="s">
        <v>23</v>
      </c>
      <c r="AC232" s="7" t="s">
        <v>23</v>
      </c>
      <c r="AD232" s="7" t="s">
        <v>23</v>
      </c>
      <c r="AE232" s="7" t="s">
        <v>23</v>
      </c>
      <c r="AF232" s="7" t="s">
        <v>23</v>
      </c>
      <c r="AG232" s="7" t="s">
        <v>23</v>
      </c>
      <c r="AH232" s="7" t="s">
        <v>23</v>
      </c>
      <c r="AN232" s="14"/>
      <c r="AO232" s="14"/>
      <c r="AP232" s="14"/>
      <c r="AQ232" s="14"/>
      <c r="AR232" s="14"/>
    </row>
    <row r="233" spans="11:44">
      <c r="K233" s="21">
        <v>229</v>
      </c>
      <c r="L233" s="24" t="s">
        <v>23</v>
      </c>
      <c r="M233" s="24" t="s">
        <v>23</v>
      </c>
      <c r="N233" s="24" t="s">
        <v>23</v>
      </c>
      <c r="O233" s="24" t="s">
        <v>23</v>
      </c>
      <c r="P233" s="24" t="s">
        <v>23</v>
      </c>
      <c r="Q233" s="24" t="s">
        <v>23</v>
      </c>
      <c r="R233" s="24" t="s">
        <v>23</v>
      </c>
      <c r="T233" s="8"/>
      <c r="U233" s="8"/>
      <c r="V233" s="8"/>
      <c r="W233" s="8"/>
      <c r="X233" s="8"/>
      <c r="Y233" s="8"/>
      <c r="Z233" s="8"/>
      <c r="AB233" s="7" t="s">
        <v>23</v>
      </c>
      <c r="AC233" s="7" t="s">
        <v>23</v>
      </c>
      <c r="AD233" s="7" t="s">
        <v>23</v>
      </c>
      <c r="AE233" s="7" t="s">
        <v>23</v>
      </c>
      <c r="AF233" s="7" t="s">
        <v>23</v>
      </c>
      <c r="AG233" s="7" t="s">
        <v>23</v>
      </c>
      <c r="AH233" s="7" t="s">
        <v>23</v>
      </c>
      <c r="AN233" s="14"/>
      <c r="AO233" s="14"/>
      <c r="AP233" s="14"/>
      <c r="AQ233" s="14"/>
      <c r="AR233" s="14"/>
    </row>
    <row r="234" spans="11:44">
      <c r="K234" s="22">
        <v>230</v>
      </c>
      <c r="L234" s="24" t="s">
        <v>23</v>
      </c>
      <c r="M234" s="24" t="s">
        <v>23</v>
      </c>
      <c r="N234" s="24" t="s">
        <v>23</v>
      </c>
      <c r="O234" s="24" t="s">
        <v>23</v>
      </c>
      <c r="P234" s="24" t="s">
        <v>23</v>
      </c>
      <c r="Q234" s="24" t="s">
        <v>23</v>
      </c>
      <c r="R234" s="24" t="s">
        <v>23</v>
      </c>
      <c r="T234" s="8"/>
      <c r="U234" s="8"/>
      <c r="V234" s="8"/>
      <c r="W234" s="8"/>
      <c r="X234" s="8"/>
      <c r="Y234" s="8"/>
      <c r="Z234" s="8"/>
      <c r="AB234" s="7" t="s">
        <v>23</v>
      </c>
      <c r="AC234" s="7" t="s">
        <v>23</v>
      </c>
      <c r="AD234" s="7" t="s">
        <v>23</v>
      </c>
      <c r="AE234" s="7" t="s">
        <v>23</v>
      </c>
      <c r="AF234" s="7" t="s">
        <v>23</v>
      </c>
      <c r="AG234" s="7" t="s">
        <v>23</v>
      </c>
      <c r="AH234" s="7" t="s">
        <v>23</v>
      </c>
      <c r="AN234" s="14"/>
      <c r="AO234" s="14"/>
      <c r="AP234" s="14"/>
      <c r="AQ234" s="14"/>
      <c r="AR234" s="14"/>
    </row>
    <row r="235" spans="11:44">
      <c r="K235" s="21">
        <v>231</v>
      </c>
      <c r="L235" s="24" t="s">
        <v>23</v>
      </c>
      <c r="M235" s="24" t="s">
        <v>23</v>
      </c>
      <c r="N235" s="24" t="s">
        <v>23</v>
      </c>
      <c r="O235" s="24" t="s">
        <v>23</v>
      </c>
      <c r="P235" s="24" t="s">
        <v>23</v>
      </c>
      <c r="Q235" s="24" t="s">
        <v>23</v>
      </c>
      <c r="R235" s="24" t="s">
        <v>23</v>
      </c>
      <c r="T235" s="8"/>
      <c r="U235" s="8"/>
      <c r="V235" s="8"/>
      <c r="W235" s="8"/>
      <c r="X235" s="8"/>
      <c r="Y235" s="8"/>
      <c r="Z235" s="8"/>
      <c r="AB235" s="7" t="s">
        <v>23</v>
      </c>
      <c r="AC235" s="7" t="s">
        <v>23</v>
      </c>
      <c r="AD235" s="7" t="s">
        <v>23</v>
      </c>
      <c r="AE235" s="7" t="s">
        <v>23</v>
      </c>
      <c r="AF235" s="7" t="s">
        <v>23</v>
      </c>
      <c r="AG235" s="7" t="s">
        <v>23</v>
      </c>
      <c r="AH235" s="7" t="s">
        <v>23</v>
      </c>
      <c r="AN235" s="14"/>
      <c r="AO235" s="14"/>
      <c r="AP235" s="14"/>
      <c r="AQ235" s="14"/>
      <c r="AR235" s="14"/>
    </row>
    <row r="236" spans="11:44">
      <c r="K236" s="22">
        <v>232</v>
      </c>
      <c r="L236" s="24" t="s">
        <v>23</v>
      </c>
      <c r="M236" s="24" t="s">
        <v>23</v>
      </c>
      <c r="N236" s="24" t="s">
        <v>23</v>
      </c>
      <c r="O236" s="24" t="s">
        <v>23</v>
      </c>
      <c r="P236" s="24" t="s">
        <v>23</v>
      </c>
      <c r="Q236" s="24" t="s">
        <v>23</v>
      </c>
      <c r="R236" s="24" t="s">
        <v>23</v>
      </c>
      <c r="T236" s="8"/>
      <c r="U236" s="8"/>
      <c r="V236" s="8"/>
      <c r="W236" s="8"/>
      <c r="X236" s="8"/>
      <c r="Y236" s="8"/>
      <c r="Z236" s="8"/>
      <c r="AB236" s="7" t="s">
        <v>23</v>
      </c>
      <c r="AC236" s="7" t="s">
        <v>23</v>
      </c>
      <c r="AD236" s="7" t="s">
        <v>23</v>
      </c>
      <c r="AE236" s="7" t="s">
        <v>23</v>
      </c>
      <c r="AF236" s="7" t="s">
        <v>23</v>
      </c>
      <c r="AG236" s="7" t="s">
        <v>23</v>
      </c>
      <c r="AH236" s="7" t="s">
        <v>23</v>
      </c>
      <c r="AN236" s="14"/>
      <c r="AO236" s="14"/>
      <c r="AP236" s="14"/>
      <c r="AQ236" s="14"/>
      <c r="AR236" s="14"/>
    </row>
    <row r="237" spans="11:44">
      <c r="K237" s="21">
        <v>233</v>
      </c>
      <c r="L237" s="24" t="s">
        <v>23</v>
      </c>
      <c r="M237" s="24" t="s">
        <v>23</v>
      </c>
      <c r="N237" s="24" t="s">
        <v>23</v>
      </c>
      <c r="O237" s="24" t="s">
        <v>23</v>
      </c>
      <c r="P237" s="24" t="s">
        <v>23</v>
      </c>
      <c r="Q237" s="24" t="s">
        <v>23</v>
      </c>
      <c r="R237" s="24" t="s">
        <v>23</v>
      </c>
      <c r="T237" s="8"/>
      <c r="U237" s="8"/>
      <c r="V237" s="8"/>
      <c r="W237" s="8"/>
      <c r="X237" s="8"/>
      <c r="Y237" s="8"/>
      <c r="Z237" s="8"/>
      <c r="AB237" s="7" t="s">
        <v>23</v>
      </c>
      <c r="AC237" s="7" t="s">
        <v>23</v>
      </c>
      <c r="AD237" s="7" t="s">
        <v>23</v>
      </c>
      <c r="AE237" s="7" t="s">
        <v>23</v>
      </c>
      <c r="AF237" s="7" t="s">
        <v>23</v>
      </c>
      <c r="AG237" s="7" t="s">
        <v>23</v>
      </c>
      <c r="AH237" s="7" t="s">
        <v>23</v>
      </c>
      <c r="AN237" s="14"/>
      <c r="AO237" s="14"/>
      <c r="AP237" s="14"/>
      <c r="AQ237" s="14"/>
      <c r="AR237" s="14"/>
    </row>
    <row r="238" spans="11:44">
      <c r="K238" s="22">
        <v>234</v>
      </c>
      <c r="L238" s="24" t="s">
        <v>23</v>
      </c>
      <c r="M238" s="24" t="s">
        <v>23</v>
      </c>
      <c r="N238" s="24" t="s">
        <v>23</v>
      </c>
      <c r="O238" s="24" t="s">
        <v>23</v>
      </c>
      <c r="P238" s="24" t="s">
        <v>23</v>
      </c>
      <c r="Q238" s="24" t="s">
        <v>23</v>
      </c>
      <c r="R238" s="24" t="s">
        <v>23</v>
      </c>
      <c r="T238" s="8"/>
      <c r="U238" s="8"/>
      <c r="V238" s="8"/>
      <c r="W238" s="8"/>
      <c r="X238" s="8"/>
      <c r="Y238" s="8"/>
      <c r="Z238" s="8"/>
      <c r="AB238" s="7" t="s">
        <v>23</v>
      </c>
      <c r="AC238" s="7" t="s">
        <v>23</v>
      </c>
      <c r="AD238" s="7" t="s">
        <v>23</v>
      </c>
      <c r="AE238" s="7" t="s">
        <v>23</v>
      </c>
      <c r="AF238" s="7" t="s">
        <v>23</v>
      </c>
      <c r="AG238" s="7" t="s">
        <v>23</v>
      </c>
      <c r="AH238" s="7" t="s">
        <v>23</v>
      </c>
      <c r="AN238" s="14"/>
      <c r="AO238" s="14"/>
      <c r="AP238" s="14"/>
      <c r="AQ238" s="14"/>
      <c r="AR238" s="14"/>
    </row>
    <row r="239" spans="11:44">
      <c r="K239" s="21">
        <v>235</v>
      </c>
      <c r="L239" s="24" t="s">
        <v>23</v>
      </c>
      <c r="M239" s="24" t="s">
        <v>23</v>
      </c>
      <c r="N239" s="24" t="s">
        <v>23</v>
      </c>
      <c r="O239" s="24" t="s">
        <v>23</v>
      </c>
      <c r="P239" s="24" t="s">
        <v>23</v>
      </c>
      <c r="Q239" s="24" t="s">
        <v>23</v>
      </c>
      <c r="R239" s="24" t="s">
        <v>23</v>
      </c>
      <c r="T239" s="8"/>
      <c r="U239" s="8"/>
      <c r="V239" s="8"/>
      <c r="W239" s="8"/>
      <c r="X239" s="8"/>
      <c r="Y239" s="8"/>
      <c r="Z239" s="8"/>
      <c r="AB239" s="7" t="s">
        <v>23</v>
      </c>
      <c r="AC239" s="7" t="s">
        <v>23</v>
      </c>
      <c r="AD239" s="7" t="s">
        <v>23</v>
      </c>
      <c r="AE239" s="7" t="s">
        <v>23</v>
      </c>
      <c r="AF239" s="7" t="s">
        <v>23</v>
      </c>
      <c r="AG239" s="7" t="s">
        <v>23</v>
      </c>
      <c r="AH239" s="7" t="s">
        <v>23</v>
      </c>
      <c r="AN239" s="14"/>
      <c r="AO239" s="14"/>
      <c r="AP239" s="14"/>
      <c r="AQ239" s="14"/>
      <c r="AR239" s="14"/>
    </row>
    <row r="240" spans="11:44">
      <c r="K240" s="22">
        <v>236</v>
      </c>
      <c r="L240" s="24" t="s">
        <v>23</v>
      </c>
      <c r="M240" s="24" t="s">
        <v>23</v>
      </c>
      <c r="N240" s="24" t="s">
        <v>23</v>
      </c>
      <c r="O240" s="24" t="s">
        <v>23</v>
      </c>
      <c r="P240" s="24" t="s">
        <v>23</v>
      </c>
      <c r="Q240" s="24" t="s">
        <v>23</v>
      </c>
      <c r="R240" s="24" t="s">
        <v>23</v>
      </c>
      <c r="T240" s="8"/>
      <c r="U240" s="8"/>
      <c r="V240" s="8"/>
      <c r="W240" s="8"/>
      <c r="X240" s="8"/>
      <c r="Y240" s="8"/>
      <c r="Z240" s="8"/>
      <c r="AB240" s="7" t="s">
        <v>23</v>
      </c>
      <c r="AC240" s="7" t="s">
        <v>23</v>
      </c>
      <c r="AD240" s="7" t="s">
        <v>23</v>
      </c>
      <c r="AE240" s="7" t="s">
        <v>23</v>
      </c>
      <c r="AF240" s="7" t="s">
        <v>23</v>
      </c>
      <c r="AG240" s="7" t="s">
        <v>23</v>
      </c>
      <c r="AH240" s="7" t="s">
        <v>23</v>
      </c>
      <c r="AN240" s="14"/>
      <c r="AO240" s="14"/>
      <c r="AP240" s="14"/>
      <c r="AQ240" s="14"/>
      <c r="AR240" s="14"/>
    </row>
    <row r="241" spans="11:44">
      <c r="K241" s="21">
        <v>237</v>
      </c>
      <c r="L241" s="24" t="s">
        <v>23</v>
      </c>
      <c r="M241" s="24" t="s">
        <v>23</v>
      </c>
      <c r="N241" s="24" t="s">
        <v>23</v>
      </c>
      <c r="O241" s="24" t="s">
        <v>23</v>
      </c>
      <c r="P241" s="24" t="s">
        <v>23</v>
      </c>
      <c r="Q241" s="24" t="s">
        <v>23</v>
      </c>
      <c r="R241" s="24" t="s">
        <v>23</v>
      </c>
      <c r="T241" s="8"/>
      <c r="U241" s="8"/>
      <c r="V241" s="8"/>
      <c r="W241" s="8"/>
      <c r="X241" s="8"/>
      <c r="Y241" s="8"/>
      <c r="Z241" s="8"/>
      <c r="AB241" s="7" t="s">
        <v>23</v>
      </c>
      <c r="AC241" s="7" t="s">
        <v>23</v>
      </c>
      <c r="AD241" s="7" t="s">
        <v>23</v>
      </c>
      <c r="AE241" s="7" t="s">
        <v>23</v>
      </c>
      <c r="AF241" s="7" t="s">
        <v>23</v>
      </c>
      <c r="AG241" s="7" t="s">
        <v>23</v>
      </c>
      <c r="AH241" s="7" t="s">
        <v>23</v>
      </c>
      <c r="AN241" s="14"/>
      <c r="AO241" s="14"/>
      <c r="AP241" s="14"/>
      <c r="AQ241" s="14"/>
      <c r="AR241" s="14"/>
    </row>
    <row r="242" spans="11:44">
      <c r="K242" s="22">
        <v>238</v>
      </c>
      <c r="L242" s="24" t="s">
        <v>23</v>
      </c>
      <c r="M242" s="24" t="s">
        <v>23</v>
      </c>
      <c r="N242" s="24" t="s">
        <v>23</v>
      </c>
      <c r="O242" s="24" t="s">
        <v>23</v>
      </c>
      <c r="P242" s="24" t="s">
        <v>23</v>
      </c>
      <c r="Q242" s="24" t="s">
        <v>23</v>
      </c>
      <c r="R242" s="24" t="s">
        <v>23</v>
      </c>
      <c r="T242" s="8"/>
      <c r="U242" s="8"/>
      <c r="V242" s="8"/>
      <c r="W242" s="8"/>
      <c r="X242" s="8"/>
      <c r="Y242" s="8"/>
      <c r="Z242" s="8"/>
      <c r="AB242" s="7" t="s">
        <v>23</v>
      </c>
      <c r="AC242" s="7" t="s">
        <v>23</v>
      </c>
      <c r="AD242" s="7" t="s">
        <v>23</v>
      </c>
      <c r="AE242" s="7" t="s">
        <v>23</v>
      </c>
      <c r="AF242" s="7" t="s">
        <v>23</v>
      </c>
      <c r="AG242" s="7" t="s">
        <v>23</v>
      </c>
      <c r="AH242" s="7" t="s">
        <v>23</v>
      </c>
      <c r="AN242" s="14"/>
      <c r="AO242" s="14"/>
      <c r="AP242" s="14"/>
      <c r="AQ242" s="14"/>
      <c r="AR242" s="14"/>
    </row>
    <row r="243" spans="11:44">
      <c r="K243" s="21">
        <v>239</v>
      </c>
      <c r="L243" s="24" t="s">
        <v>23</v>
      </c>
      <c r="M243" s="24" t="s">
        <v>23</v>
      </c>
      <c r="N243" s="24" t="s">
        <v>23</v>
      </c>
      <c r="O243" s="24" t="s">
        <v>23</v>
      </c>
      <c r="P243" s="24" t="s">
        <v>23</v>
      </c>
      <c r="Q243" s="24" t="s">
        <v>23</v>
      </c>
      <c r="R243" s="24" t="s">
        <v>23</v>
      </c>
      <c r="T243" s="8"/>
      <c r="U243" s="8"/>
      <c r="V243" s="8"/>
      <c r="W243" s="8"/>
      <c r="X243" s="8"/>
      <c r="Y243" s="8"/>
      <c r="Z243" s="8"/>
      <c r="AB243" s="7" t="s">
        <v>23</v>
      </c>
      <c r="AC243" s="7" t="s">
        <v>23</v>
      </c>
      <c r="AD243" s="7" t="s">
        <v>23</v>
      </c>
      <c r="AE243" s="7" t="s">
        <v>23</v>
      </c>
      <c r="AF243" s="7" t="s">
        <v>23</v>
      </c>
      <c r="AG243" s="7" t="s">
        <v>23</v>
      </c>
      <c r="AH243" s="7" t="s">
        <v>23</v>
      </c>
      <c r="AN243" s="14"/>
      <c r="AO243" s="14"/>
      <c r="AP243" s="14"/>
      <c r="AQ243" s="14"/>
      <c r="AR243" s="14"/>
    </row>
    <row r="244" spans="11:44">
      <c r="K244" s="22">
        <v>240</v>
      </c>
      <c r="L244" s="24" t="s">
        <v>23</v>
      </c>
      <c r="M244" s="24" t="s">
        <v>23</v>
      </c>
      <c r="N244" s="24" t="s">
        <v>23</v>
      </c>
      <c r="O244" s="24" t="s">
        <v>23</v>
      </c>
      <c r="P244" s="24" t="s">
        <v>23</v>
      </c>
      <c r="Q244" s="24" t="s">
        <v>23</v>
      </c>
      <c r="R244" s="24" t="s">
        <v>23</v>
      </c>
      <c r="T244" s="8"/>
      <c r="U244" s="8"/>
      <c r="V244" s="8"/>
      <c r="W244" s="8"/>
      <c r="X244" s="8"/>
      <c r="Y244" s="8"/>
      <c r="Z244" s="8"/>
      <c r="AB244" s="7" t="s">
        <v>23</v>
      </c>
      <c r="AC244" s="7" t="s">
        <v>23</v>
      </c>
      <c r="AD244" s="7" t="s">
        <v>23</v>
      </c>
      <c r="AE244" s="7" t="s">
        <v>23</v>
      </c>
      <c r="AF244" s="7" t="s">
        <v>23</v>
      </c>
      <c r="AG244" s="7" t="s">
        <v>23</v>
      </c>
      <c r="AH244" s="7" t="s">
        <v>23</v>
      </c>
      <c r="AN244" s="14"/>
      <c r="AO244" s="14"/>
      <c r="AP244" s="14"/>
      <c r="AQ244" s="14"/>
      <c r="AR244" s="14"/>
    </row>
    <row r="245" spans="11:44">
      <c r="K245" s="21">
        <v>241</v>
      </c>
      <c r="L245" s="24" t="s">
        <v>23</v>
      </c>
      <c r="M245" s="24" t="s">
        <v>23</v>
      </c>
      <c r="N245" s="24" t="s">
        <v>23</v>
      </c>
      <c r="O245" s="24" t="s">
        <v>23</v>
      </c>
      <c r="P245" s="24" t="s">
        <v>23</v>
      </c>
      <c r="Q245" s="24" t="s">
        <v>23</v>
      </c>
      <c r="R245" s="24" t="s">
        <v>23</v>
      </c>
      <c r="T245" s="8"/>
      <c r="U245" s="8"/>
      <c r="V245" s="8"/>
      <c r="W245" s="8"/>
      <c r="X245" s="8"/>
      <c r="Y245" s="8"/>
      <c r="Z245" s="8"/>
      <c r="AB245" s="7" t="s">
        <v>23</v>
      </c>
      <c r="AC245" s="7" t="s">
        <v>23</v>
      </c>
      <c r="AD245" s="7" t="s">
        <v>23</v>
      </c>
      <c r="AE245" s="7" t="s">
        <v>23</v>
      </c>
      <c r="AF245" s="7" t="s">
        <v>23</v>
      </c>
      <c r="AG245" s="7" t="s">
        <v>23</v>
      </c>
      <c r="AH245" s="7" t="s">
        <v>23</v>
      </c>
      <c r="AN245" s="14"/>
      <c r="AO245" s="14"/>
      <c r="AP245" s="14"/>
      <c r="AQ245" s="14"/>
      <c r="AR245" s="14"/>
    </row>
    <row r="246" spans="11:44">
      <c r="K246" s="22">
        <v>242</v>
      </c>
      <c r="L246" s="24" t="s">
        <v>23</v>
      </c>
      <c r="M246" s="24" t="s">
        <v>23</v>
      </c>
      <c r="N246" s="24" t="s">
        <v>23</v>
      </c>
      <c r="O246" s="24" t="s">
        <v>23</v>
      </c>
      <c r="P246" s="24" t="s">
        <v>23</v>
      </c>
      <c r="Q246" s="24" t="s">
        <v>23</v>
      </c>
      <c r="R246" s="24" t="s">
        <v>23</v>
      </c>
      <c r="T246" s="8"/>
      <c r="U246" s="8"/>
      <c r="V246" s="8"/>
      <c r="W246" s="8"/>
      <c r="X246" s="8"/>
      <c r="Y246" s="8"/>
      <c r="Z246" s="8"/>
      <c r="AB246" s="7" t="s">
        <v>23</v>
      </c>
      <c r="AC246" s="7" t="s">
        <v>23</v>
      </c>
      <c r="AD246" s="7" t="s">
        <v>23</v>
      </c>
      <c r="AE246" s="7" t="s">
        <v>23</v>
      </c>
      <c r="AF246" s="7" t="s">
        <v>23</v>
      </c>
      <c r="AG246" s="7" t="s">
        <v>23</v>
      </c>
      <c r="AH246" s="7" t="s">
        <v>23</v>
      </c>
      <c r="AN246" s="14"/>
      <c r="AO246" s="14"/>
      <c r="AP246" s="14"/>
      <c r="AQ246" s="14"/>
      <c r="AR246" s="14"/>
    </row>
    <row r="247" spans="11:44">
      <c r="K247" s="21">
        <v>243</v>
      </c>
      <c r="L247" s="24" t="s">
        <v>23</v>
      </c>
      <c r="M247" s="24" t="s">
        <v>23</v>
      </c>
      <c r="N247" s="24" t="s">
        <v>23</v>
      </c>
      <c r="O247" s="24" t="s">
        <v>23</v>
      </c>
      <c r="P247" s="24" t="s">
        <v>23</v>
      </c>
      <c r="Q247" s="24" t="s">
        <v>23</v>
      </c>
      <c r="R247" s="24" t="s">
        <v>23</v>
      </c>
      <c r="T247" s="8"/>
      <c r="U247" s="8"/>
      <c r="V247" s="8"/>
      <c r="W247" s="8"/>
      <c r="X247" s="8"/>
      <c r="Y247" s="8"/>
      <c r="Z247" s="8"/>
      <c r="AB247" s="7" t="s">
        <v>23</v>
      </c>
      <c r="AC247" s="7" t="s">
        <v>23</v>
      </c>
      <c r="AD247" s="7" t="s">
        <v>23</v>
      </c>
      <c r="AE247" s="7" t="s">
        <v>23</v>
      </c>
      <c r="AF247" s="7" t="s">
        <v>23</v>
      </c>
      <c r="AG247" s="7" t="s">
        <v>23</v>
      </c>
      <c r="AH247" s="7" t="s">
        <v>23</v>
      </c>
      <c r="AN247" s="14"/>
      <c r="AO247" s="14"/>
      <c r="AP247" s="14"/>
      <c r="AQ247" s="14"/>
      <c r="AR247" s="14"/>
    </row>
    <row r="248" spans="11:44">
      <c r="K248" s="22">
        <v>244</v>
      </c>
      <c r="L248" s="24" t="s">
        <v>23</v>
      </c>
      <c r="M248" s="24" t="s">
        <v>23</v>
      </c>
      <c r="N248" s="24" t="s">
        <v>23</v>
      </c>
      <c r="O248" s="24" t="s">
        <v>23</v>
      </c>
      <c r="P248" s="24" t="s">
        <v>23</v>
      </c>
      <c r="Q248" s="24" t="s">
        <v>23</v>
      </c>
      <c r="R248" s="24" t="s">
        <v>23</v>
      </c>
      <c r="T248" s="8"/>
      <c r="U248" s="8"/>
      <c r="V248" s="8"/>
      <c r="W248" s="8"/>
      <c r="X248" s="8"/>
      <c r="Y248" s="8"/>
      <c r="Z248" s="8"/>
      <c r="AB248" s="7" t="s">
        <v>23</v>
      </c>
      <c r="AC248" s="7" t="s">
        <v>23</v>
      </c>
      <c r="AD248" s="7" t="s">
        <v>23</v>
      </c>
      <c r="AE248" s="7" t="s">
        <v>23</v>
      </c>
      <c r="AF248" s="7" t="s">
        <v>23</v>
      </c>
      <c r="AG248" s="7" t="s">
        <v>23</v>
      </c>
      <c r="AH248" s="7" t="s">
        <v>23</v>
      </c>
      <c r="AN248" s="14"/>
      <c r="AO248" s="14"/>
      <c r="AP248" s="14"/>
      <c r="AQ248" s="14"/>
      <c r="AR248" s="14"/>
    </row>
    <row r="249" spans="11:44">
      <c r="K249" s="21">
        <v>245</v>
      </c>
      <c r="L249" s="24" t="s">
        <v>23</v>
      </c>
      <c r="M249" s="24" t="s">
        <v>23</v>
      </c>
      <c r="N249" s="24" t="s">
        <v>23</v>
      </c>
      <c r="O249" s="24" t="s">
        <v>23</v>
      </c>
      <c r="P249" s="24" t="s">
        <v>23</v>
      </c>
      <c r="Q249" s="24" t="s">
        <v>23</v>
      </c>
      <c r="R249" s="24" t="s">
        <v>23</v>
      </c>
      <c r="T249" s="8"/>
      <c r="U249" s="8"/>
      <c r="V249" s="8"/>
      <c r="W249" s="8"/>
      <c r="X249" s="8"/>
      <c r="Y249" s="8"/>
      <c r="Z249" s="8"/>
      <c r="AB249" s="7" t="s">
        <v>23</v>
      </c>
      <c r="AC249" s="7" t="s">
        <v>23</v>
      </c>
      <c r="AD249" s="7" t="s">
        <v>23</v>
      </c>
      <c r="AE249" s="7" t="s">
        <v>23</v>
      </c>
      <c r="AF249" s="7" t="s">
        <v>23</v>
      </c>
      <c r="AG249" s="7" t="s">
        <v>23</v>
      </c>
      <c r="AH249" s="7" t="s">
        <v>23</v>
      </c>
      <c r="AN249" s="14"/>
      <c r="AO249" s="14"/>
      <c r="AP249" s="14"/>
      <c r="AQ249" s="14"/>
      <c r="AR249" s="14"/>
    </row>
    <row r="250" spans="11:44">
      <c r="K250" s="22">
        <v>246</v>
      </c>
      <c r="L250" s="24" t="s">
        <v>23</v>
      </c>
      <c r="M250" s="24" t="s">
        <v>23</v>
      </c>
      <c r="N250" s="24" t="s">
        <v>23</v>
      </c>
      <c r="O250" s="24" t="s">
        <v>23</v>
      </c>
      <c r="P250" s="24" t="s">
        <v>23</v>
      </c>
      <c r="Q250" s="24" t="s">
        <v>23</v>
      </c>
      <c r="R250" s="24" t="s">
        <v>23</v>
      </c>
      <c r="T250" s="8"/>
      <c r="U250" s="8"/>
      <c r="V250" s="8"/>
      <c r="W250" s="8"/>
      <c r="X250" s="8"/>
      <c r="Y250" s="8"/>
      <c r="Z250" s="8"/>
      <c r="AB250" s="7" t="s">
        <v>23</v>
      </c>
      <c r="AC250" s="7" t="s">
        <v>23</v>
      </c>
      <c r="AD250" s="7" t="s">
        <v>23</v>
      </c>
      <c r="AE250" s="7" t="s">
        <v>23</v>
      </c>
      <c r="AF250" s="7" t="s">
        <v>23</v>
      </c>
      <c r="AG250" s="7" t="s">
        <v>23</v>
      </c>
      <c r="AH250" s="7" t="s">
        <v>23</v>
      </c>
      <c r="AN250" s="14"/>
      <c r="AO250" s="14"/>
      <c r="AP250" s="14"/>
      <c r="AQ250" s="14"/>
      <c r="AR250" s="14"/>
    </row>
    <row r="251" spans="11:44">
      <c r="K251" s="21">
        <v>247</v>
      </c>
      <c r="L251" s="24" t="s">
        <v>23</v>
      </c>
      <c r="M251" s="24" t="s">
        <v>23</v>
      </c>
      <c r="N251" s="24" t="s">
        <v>23</v>
      </c>
      <c r="O251" s="24" t="s">
        <v>23</v>
      </c>
      <c r="P251" s="24" t="s">
        <v>23</v>
      </c>
      <c r="Q251" s="24" t="s">
        <v>23</v>
      </c>
      <c r="R251" s="24" t="s">
        <v>23</v>
      </c>
      <c r="T251" s="8"/>
      <c r="U251" s="8"/>
      <c r="V251" s="8"/>
      <c r="W251" s="8"/>
      <c r="X251" s="8"/>
      <c r="Y251" s="8"/>
      <c r="Z251" s="8"/>
      <c r="AB251" s="7" t="s">
        <v>23</v>
      </c>
      <c r="AC251" s="7" t="s">
        <v>23</v>
      </c>
      <c r="AD251" s="7" t="s">
        <v>23</v>
      </c>
      <c r="AE251" s="7" t="s">
        <v>23</v>
      </c>
      <c r="AF251" s="7" t="s">
        <v>23</v>
      </c>
      <c r="AG251" s="7" t="s">
        <v>23</v>
      </c>
      <c r="AH251" s="7" t="s">
        <v>23</v>
      </c>
      <c r="AN251" s="14"/>
      <c r="AO251" s="14"/>
      <c r="AP251" s="14"/>
      <c r="AQ251" s="14"/>
      <c r="AR251" s="14"/>
    </row>
    <row r="252" spans="11:44">
      <c r="K252" s="22">
        <v>248</v>
      </c>
      <c r="L252" s="24" t="s">
        <v>23</v>
      </c>
      <c r="M252" s="24" t="s">
        <v>23</v>
      </c>
      <c r="N252" s="24" t="s">
        <v>23</v>
      </c>
      <c r="O252" s="24" t="s">
        <v>23</v>
      </c>
      <c r="P252" s="24" t="s">
        <v>23</v>
      </c>
      <c r="Q252" s="24" t="s">
        <v>23</v>
      </c>
      <c r="R252" s="24" t="s">
        <v>23</v>
      </c>
      <c r="T252" s="8"/>
      <c r="U252" s="8"/>
      <c r="V252" s="8"/>
      <c r="W252" s="8"/>
      <c r="X252" s="8"/>
      <c r="Y252" s="8"/>
      <c r="Z252" s="8"/>
      <c r="AB252" s="7" t="s">
        <v>23</v>
      </c>
      <c r="AC252" s="7" t="s">
        <v>23</v>
      </c>
      <c r="AD252" s="7" t="s">
        <v>23</v>
      </c>
      <c r="AE252" s="7" t="s">
        <v>23</v>
      </c>
      <c r="AF252" s="7" t="s">
        <v>23</v>
      </c>
      <c r="AG252" s="7" t="s">
        <v>23</v>
      </c>
      <c r="AH252" s="7" t="s">
        <v>23</v>
      </c>
      <c r="AN252" s="14"/>
      <c r="AO252" s="14"/>
      <c r="AP252" s="14"/>
      <c r="AQ252" s="14"/>
      <c r="AR252" s="14"/>
    </row>
    <row r="253" spans="11:44">
      <c r="K253" s="21">
        <v>249</v>
      </c>
      <c r="L253" s="24" t="s">
        <v>23</v>
      </c>
      <c r="M253" s="24" t="s">
        <v>23</v>
      </c>
      <c r="N253" s="24" t="s">
        <v>23</v>
      </c>
      <c r="O253" s="24" t="s">
        <v>23</v>
      </c>
      <c r="P253" s="24" t="s">
        <v>23</v>
      </c>
      <c r="Q253" s="24" t="s">
        <v>23</v>
      </c>
      <c r="R253" s="24" t="s">
        <v>23</v>
      </c>
      <c r="T253" s="8"/>
      <c r="U253" s="8"/>
      <c r="V253" s="8"/>
      <c r="W253" s="8"/>
      <c r="X253" s="8"/>
      <c r="Y253" s="8"/>
      <c r="Z253" s="8"/>
      <c r="AB253" s="7" t="s">
        <v>23</v>
      </c>
      <c r="AC253" s="7" t="s">
        <v>23</v>
      </c>
      <c r="AD253" s="7" t="s">
        <v>23</v>
      </c>
      <c r="AE253" s="7" t="s">
        <v>23</v>
      </c>
      <c r="AF253" s="7" t="s">
        <v>23</v>
      </c>
      <c r="AG253" s="7" t="s">
        <v>23</v>
      </c>
      <c r="AH253" s="7" t="s">
        <v>23</v>
      </c>
      <c r="AN253" s="14"/>
      <c r="AO253" s="14"/>
      <c r="AP253" s="14"/>
      <c r="AQ253" s="14"/>
      <c r="AR253" s="14"/>
    </row>
    <row r="254" spans="11:44">
      <c r="K254" s="22">
        <v>250</v>
      </c>
      <c r="L254" s="24" t="s">
        <v>23</v>
      </c>
      <c r="M254" s="24" t="s">
        <v>23</v>
      </c>
      <c r="N254" s="24" t="s">
        <v>23</v>
      </c>
      <c r="O254" s="24" t="s">
        <v>23</v>
      </c>
      <c r="P254" s="24" t="s">
        <v>23</v>
      </c>
      <c r="Q254" s="24" t="s">
        <v>23</v>
      </c>
      <c r="R254" s="24" t="s">
        <v>23</v>
      </c>
      <c r="T254" s="8"/>
      <c r="U254" s="8"/>
      <c r="V254" s="8"/>
      <c r="W254" s="8"/>
      <c r="X254" s="8"/>
      <c r="Y254" s="8"/>
      <c r="Z254" s="8"/>
      <c r="AB254" s="7" t="s">
        <v>23</v>
      </c>
      <c r="AC254" s="7" t="s">
        <v>23</v>
      </c>
      <c r="AD254" s="7" t="s">
        <v>23</v>
      </c>
      <c r="AE254" s="7" t="s">
        <v>23</v>
      </c>
      <c r="AF254" s="7" t="s">
        <v>23</v>
      </c>
      <c r="AG254" s="7" t="s">
        <v>23</v>
      </c>
      <c r="AH254" s="7" t="s">
        <v>23</v>
      </c>
      <c r="AN254" s="14"/>
      <c r="AO254" s="14"/>
      <c r="AP254" s="14"/>
      <c r="AQ254" s="14"/>
      <c r="AR254" s="14"/>
    </row>
    <row r="255" spans="11:44">
      <c r="K255" s="21">
        <v>251</v>
      </c>
      <c r="L255" s="24" t="s">
        <v>23</v>
      </c>
      <c r="M255" s="24" t="s">
        <v>23</v>
      </c>
      <c r="N255" s="24" t="s">
        <v>23</v>
      </c>
      <c r="O255" s="24" t="s">
        <v>23</v>
      </c>
      <c r="P255" s="24" t="s">
        <v>23</v>
      </c>
      <c r="Q255" s="24" t="s">
        <v>23</v>
      </c>
      <c r="R255" s="24" t="s">
        <v>23</v>
      </c>
      <c r="T255" s="8"/>
      <c r="U255" s="8"/>
      <c r="V255" s="8"/>
      <c r="W255" s="8"/>
      <c r="X255" s="8"/>
      <c r="Y255" s="8"/>
      <c r="Z255" s="8"/>
      <c r="AB255" s="7" t="s">
        <v>23</v>
      </c>
      <c r="AC255" s="7" t="s">
        <v>23</v>
      </c>
      <c r="AD255" s="7" t="s">
        <v>23</v>
      </c>
      <c r="AE255" s="7" t="s">
        <v>23</v>
      </c>
      <c r="AF255" s="7" t="s">
        <v>23</v>
      </c>
      <c r="AG255" s="7" t="s">
        <v>23</v>
      </c>
      <c r="AH255" s="7" t="s">
        <v>23</v>
      </c>
      <c r="AN255" s="14"/>
      <c r="AO255" s="14"/>
      <c r="AP255" s="14"/>
      <c r="AQ255" s="14"/>
      <c r="AR255" s="14"/>
    </row>
    <row r="256" spans="11:44">
      <c r="K256" s="22">
        <v>252</v>
      </c>
      <c r="L256" s="24" t="s">
        <v>23</v>
      </c>
      <c r="M256" s="24" t="s">
        <v>23</v>
      </c>
      <c r="N256" s="24" t="s">
        <v>23</v>
      </c>
      <c r="O256" s="24" t="s">
        <v>23</v>
      </c>
      <c r="P256" s="24" t="s">
        <v>23</v>
      </c>
      <c r="Q256" s="24" t="s">
        <v>23</v>
      </c>
      <c r="R256" s="24" t="s">
        <v>23</v>
      </c>
      <c r="T256" s="8"/>
      <c r="U256" s="8"/>
      <c r="V256" s="8"/>
      <c r="W256" s="8"/>
      <c r="X256" s="8"/>
      <c r="Y256" s="8"/>
      <c r="Z256" s="8"/>
      <c r="AB256" s="7" t="s">
        <v>23</v>
      </c>
      <c r="AC256" s="7" t="s">
        <v>23</v>
      </c>
      <c r="AD256" s="7" t="s">
        <v>23</v>
      </c>
      <c r="AE256" s="7" t="s">
        <v>23</v>
      </c>
      <c r="AF256" s="7" t="s">
        <v>23</v>
      </c>
      <c r="AG256" s="7" t="s">
        <v>23</v>
      </c>
      <c r="AH256" s="7" t="s">
        <v>23</v>
      </c>
      <c r="AN256" s="14"/>
      <c r="AO256" s="14"/>
      <c r="AP256" s="14"/>
      <c r="AQ256" s="14"/>
      <c r="AR256" s="14"/>
    </row>
    <row r="257" spans="11:44">
      <c r="K257" s="21">
        <v>253</v>
      </c>
      <c r="L257" s="24" t="s">
        <v>23</v>
      </c>
      <c r="M257" s="24" t="s">
        <v>23</v>
      </c>
      <c r="N257" s="24" t="s">
        <v>23</v>
      </c>
      <c r="O257" s="24" t="s">
        <v>23</v>
      </c>
      <c r="P257" s="24" t="s">
        <v>23</v>
      </c>
      <c r="Q257" s="24" t="s">
        <v>23</v>
      </c>
      <c r="R257" s="24" t="s">
        <v>23</v>
      </c>
      <c r="T257" s="8"/>
      <c r="U257" s="8"/>
      <c r="V257" s="8"/>
      <c r="W257" s="8"/>
      <c r="X257" s="8"/>
      <c r="Y257" s="8"/>
      <c r="Z257" s="8"/>
      <c r="AB257" s="7" t="s">
        <v>23</v>
      </c>
      <c r="AC257" s="7" t="s">
        <v>23</v>
      </c>
      <c r="AD257" s="7" t="s">
        <v>23</v>
      </c>
      <c r="AE257" s="7" t="s">
        <v>23</v>
      </c>
      <c r="AF257" s="7" t="s">
        <v>23</v>
      </c>
      <c r="AG257" s="7" t="s">
        <v>23</v>
      </c>
      <c r="AH257" s="7" t="s">
        <v>23</v>
      </c>
      <c r="AN257" s="14"/>
      <c r="AO257" s="14"/>
      <c r="AP257" s="14"/>
      <c r="AQ257" s="14"/>
      <c r="AR257" s="14"/>
    </row>
    <row r="258" spans="11:44">
      <c r="K258" s="22">
        <v>254</v>
      </c>
      <c r="L258" s="24" t="s">
        <v>23</v>
      </c>
      <c r="M258" s="24" t="s">
        <v>23</v>
      </c>
      <c r="N258" s="24" t="s">
        <v>23</v>
      </c>
      <c r="O258" s="24" t="s">
        <v>23</v>
      </c>
      <c r="P258" s="24" t="s">
        <v>23</v>
      </c>
      <c r="Q258" s="24" t="s">
        <v>23</v>
      </c>
      <c r="R258" s="24" t="s">
        <v>23</v>
      </c>
      <c r="T258" s="8"/>
      <c r="U258" s="8"/>
      <c r="V258" s="8"/>
      <c r="W258" s="8"/>
      <c r="X258" s="8"/>
      <c r="Y258" s="8"/>
      <c r="Z258" s="8"/>
      <c r="AB258" s="7" t="s">
        <v>23</v>
      </c>
      <c r="AC258" s="7" t="s">
        <v>23</v>
      </c>
      <c r="AD258" s="7" t="s">
        <v>23</v>
      </c>
      <c r="AE258" s="7" t="s">
        <v>23</v>
      </c>
      <c r="AF258" s="7" t="s">
        <v>23</v>
      </c>
      <c r="AG258" s="7" t="s">
        <v>23</v>
      </c>
      <c r="AH258" s="7" t="s">
        <v>23</v>
      </c>
      <c r="AN258" s="14"/>
      <c r="AO258" s="14"/>
      <c r="AP258" s="14"/>
      <c r="AQ258" s="14"/>
      <c r="AR258" s="14"/>
    </row>
    <row r="259" spans="11:44">
      <c r="K259" s="21">
        <v>255</v>
      </c>
      <c r="L259" s="24" t="s">
        <v>23</v>
      </c>
      <c r="M259" s="24" t="s">
        <v>23</v>
      </c>
      <c r="N259" s="24" t="s">
        <v>23</v>
      </c>
      <c r="O259" s="24" t="s">
        <v>23</v>
      </c>
      <c r="P259" s="24" t="s">
        <v>23</v>
      </c>
      <c r="Q259" s="24" t="s">
        <v>23</v>
      </c>
      <c r="R259" s="24" t="s">
        <v>23</v>
      </c>
      <c r="T259" s="8"/>
      <c r="U259" s="8"/>
      <c r="V259" s="8"/>
      <c r="W259" s="8"/>
      <c r="X259" s="8"/>
      <c r="Y259" s="8"/>
      <c r="Z259" s="8"/>
      <c r="AB259" s="7" t="s">
        <v>23</v>
      </c>
      <c r="AC259" s="7" t="s">
        <v>23</v>
      </c>
      <c r="AD259" s="7" t="s">
        <v>23</v>
      </c>
      <c r="AE259" s="7" t="s">
        <v>23</v>
      </c>
      <c r="AF259" s="7" t="s">
        <v>23</v>
      </c>
      <c r="AG259" s="7" t="s">
        <v>23</v>
      </c>
      <c r="AH259" s="7" t="s">
        <v>23</v>
      </c>
      <c r="AN259" s="14"/>
      <c r="AO259" s="14"/>
      <c r="AP259" s="14"/>
      <c r="AQ259" s="14"/>
      <c r="AR259" s="14"/>
    </row>
    <row r="260" spans="11:44">
      <c r="K260" s="22">
        <v>256</v>
      </c>
      <c r="L260" s="24" t="s">
        <v>23</v>
      </c>
      <c r="M260" s="24" t="s">
        <v>23</v>
      </c>
      <c r="N260" s="24" t="s">
        <v>23</v>
      </c>
      <c r="O260" s="24" t="s">
        <v>23</v>
      </c>
      <c r="P260" s="24" t="s">
        <v>23</v>
      </c>
      <c r="Q260" s="24" t="s">
        <v>23</v>
      </c>
      <c r="R260" s="24" t="s">
        <v>23</v>
      </c>
      <c r="T260" s="8"/>
      <c r="U260" s="8"/>
      <c r="V260" s="8"/>
      <c r="W260" s="8"/>
      <c r="X260" s="8"/>
      <c r="Y260" s="8"/>
      <c r="Z260" s="8"/>
      <c r="AB260" s="7" t="s">
        <v>23</v>
      </c>
      <c r="AC260" s="7" t="s">
        <v>23</v>
      </c>
      <c r="AD260" s="7" t="s">
        <v>23</v>
      </c>
      <c r="AE260" s="7" t="s">
        <v>23</v>
      </c>
      <c r="AF260" s="7" t="s">
        <v>23</v>
      </c>
      <c r="AG260" s="7" t="s">
        <v>23</v>
      </c>
      <c r="AH260" s="7" t="s">
        <v>23</v>
      </c>
      <c r="AN260" s="14"/>
      <c r="AO260" s="14"/>
      <c r="AP260" s="14"/>
      <c r="AQ260" s="14"/>
      <c r="AR260" s="14"/>
    </row>
    <row r="261" spans="11:44">
      <c r="K261" s="21">
        <v>257</v>
      </c>
      <c r="L261" s="24" t="s">
        <v>23</v>
      </c>
      <c r="M261" s="24" t="s">
        <v>23</v>
      </c>
      <c r="N261" s="24" t="s">
        <v>23</v>
      </c>
      <c r="O261" s="24" t="s">
        <v>23</v>
      </c>
      <c r="P261" s="24" t="s">
        <v>23</v>
      </c>
      <c r="Q261" s="24" t="s">
        <v>23</v>
      </c>
      <c r="R261" s="24" t="s">
        <v>23</v>
      </c>
      <c r="T261" s="8"/>
      <c r="U261" s="8"/>
      <c r="V261" s="8"/>
      <c r="W261" s="8"/>
      <c r="X261" s="8"/>
      <c r="Y261" s="8"/>
      <c r="Z261" s="8"/>
      <c r="AB261" s="7" t="s">
        <v>23</v>
      </c>
      <c r="AC261" s="7" t="s">
        <v>23</v>
      </c>
      <c r="AD261" s="7" t="s">
        <v>23</v>
      </c>
      <c r="AE261" s="7" t="s">
        <v>23</v>
      </c>
      <c r="AF261" s="7" t="s">
        <v>23</v>
      </c>
      <c r="AG261" s="7" t="s">
        <v>23</v>
      </c>
      <c r="AH261" s="7" t="s">
        <v>23</v>
      </c>
      <c r="AN261" s="14"/>
      <c r="AO261" s="14"/>
      <c r="AP261" s="14"/>
      <c r="AQ261" s="14"/>
      <c r="AR261" s="14"/>
    </row>
    <row r="262" spans="11:44">
      <c r="K262" s="22">
        <v>258</v>
      </c>
      <c r="L262" s="24" t="s">
        <v>23</v>
      </c>
      <c r="M262" s="24" t="s">
        <v>23</v>
      </c>
      <c r="N262" s="24" t="s">
        <v>23</v>
      </c>
      <c r="O262" s="24" t="s">
        <v>23</v>
      </c>
      <c r="P262" s="24" t="s">
        <v>23</v>
      </c>
      <c r="Q262" s="24" t="s">
        <v>23</v>
      </c>
      <c r="R262" s="24" t="s">
        <v>23</v>
      </c>
      <c r="T262" s="8"/>
      <c r="U262" s="8"/>
      <c r="V262" s="8"/>
      <c r="W262" s="8"/>
      <c r="X262" s="8"/>
      <c r="Y262" s="8"/>
      <c r="Z262" s="8"/>
      <c r="AB262" s="7" t="s">
        <v>23</v>
      </c>
      <c r="AC262" s="7" t="s">
        <v>23</v>
      </c>
      <c r="AD262" s="7" t="s">
        <v>23</v>
      </c>
      <c r="AE262" s="7" t="s">
        <v>23</v>
      </c>
      <c r="AF262" s="7" t="s">
        <v>23</v>
      </c>
      <c r="AG262" s="7" t="s">
        <v>23</v>
      </c>
      <c r="AH262" s="7" t="s">
        <v>23</v>
      </c>
      <c r="AN262" s="14"/>
      <c r="AO262" s="14"/>
      <c r="AP262" s="14"/>
      <c r="AQ262" s="14"/>
      <c r="AR262" s="14"/>
    </row>
    <row r="263" spans="11:44">
      <c r="K263" s="21">
        <v>259</v>
      </c>
      <c r="L263" s="24" t="s">
        <v>23</v>
      </c>
      <c r="M263" s="24" t="s">
        <v>23</v>
      </c>
      <c r="N263" s="24" t="s">
        <v>23</v>
      </c>
      <c r="O263" s="24" t="s">
        <v>23</v>
      </c>
      <c r="P263" s="24" t="s">
        <v>23</v>
      </c>
      <c r="Q263" s="24" t="s">
        <v>23</v>
      </c>
      <c r="R263" s="24" t="s">
        <v>23</v>
      </c>
      <c r="T263" s="8"/>
      <c r="U263" s="8"/>
      <c r="V263" s="8"/>
      <c r="W263" s="8"/>
      <c r="X263" s="8"/>
      <c r="Y263" s="8"/>
      <c r="Z263" s="8"/>
      <c r="AB263" s="7" t="s">
        <v>23</v>
      </c>
      <c r="AC263" s="7" t="s">
        <v>23</v>
      </c>
      <c r="AD263" s="7" t="s">
        <v>23</v>
      </c>
      <c r="AE263" s="7" t="s">
        <v>23</v>
      </c>
      <c r="AF263" s="7" t="s">
        <v>23</v>
      </c>
      <c r="AG263" s="7" t="s">
        <v>23</v>
      </c>
      <c r="AH263" s="7" t="s">
        <v>23</v>
      </c>
      <c r="AN263" s="14"/>
      <c r="AO263" s="14"/>
      <c r="AP263" s="14"/>
      <c r="AQ263" s="14"/>
      <c r="AR263" s="14"/>
    </row>
    <row r="264" spans="11:44">
      <c r="K264" s="22">
        <v>260</v>
      </c>
      <c r="L264" s="24" t="s">
        <v>23</v>
      </c>
      <c r="M264" s="24" t="s">
        <v>23</v>
      </c>
      <c r="N264" s="24" t="s">
        <v>23</v>
      </c>
      <c r="O264" s="24" t="s">
        <v>23</v>
      </c>
      <c r="P264" s="24" t="s">
        <v>23</v>
      </c>
      <c r="Q264" s="24" t="s">
        <v>23</v>
      </c>
      <c r="R264" s="24" t="s">
        <v>23</v>
      </c>
      <c r="T264" s="8"/>
      <c r="U264" s="8"/>
      <c r="V264" s="8"/>
      <c r="W264" s="8"/>
      <c r="X264" s="8"/>
      <c r="Y264" s="8"/>
      <c r="Z264" s="8"/>
      <c r="AB264" s="7" t="s">
        <v>23</v>
      </c>
      <c r="AC264" s="7" t="s">
        <v>23</v>
      </c>
      <c r="AD264" s="7" t="s">
        <v>23</v>
      </c>
      <c r="AE264" s="7" t="s">
        <v>23</v>
      </c>
      <c r="AF264" s="7" t="s">
        <v>23</v>
      </c>
      <c r="AG264" s="7" t="s">
        <v>23</v>
      </c>
      <c r="AH264" s="7" t="s">
        <v>23</v>
      </c>
      <c r="AN264" s="14"/>
      <c r="AO264" s="14"/>
      <c r="AP264" s="14"/>
      <c r="AQ264" s="14"/>
      <c r="AR264" s="14"/>
    </row>
    <row r="265" spans="11:44">
      <c r="K265" s="21">
        <v>261</v>
      </c>
      <c r="L265" s="24" t="s">
        <v>23</v>
      </c>
      <c r="M265" s="24" t="s">
        <v>23</v>
      </c>
      <c r="N265" s="24" t="s">
        <v>23</v>
      </c>
      <c r="O265" s="24" t="s">
        <v>23</v>
      </c>
      <c r="P265" s="24" t="s">
        <v>23</v>
      </c>
      <c r="Q265" s="24" t="s">
        <v>23</v>
      </c>
      <c r="R265" s="24" t="s">
        <v>23</v>
      </c>
      <c r="T265" s="8"/>
      <c r="U265" s="8"/>
      <c r="V265" s="8"/>
      <c r="W265" s="8"/>
      <c r="X265" s="8"/>
      <c r="Y265" s="8"/>
      <c r="Z265" s="8"/>
      <c r="AB265" s="7" t="s">
        <v>23</v>
      </c>
      <c r="AC265" s="7" t="s">
        <v>23</v>
      </c>
      <c r="AD265" s="7" t="s">
        <v>23</v>
      </c>
      <c r="AE265" s="7" t="s">
        <v>23</v>
      </c>
      <c r="AF265" s="7" t="s">
        <v>23</v>
      </c>
      <c r="AG265" s="7" t="s">
        <v>23</v>
      </c>
      <c r="AH265" s="7" t="s">
        <v>23</v>
      </c>
      <c r="AN265" s="14"/>
      <c r="AO265" s="14"/>
      <c r="AP265" s="14"/>
      <c r="AQ265" s="14"/>
      <c r="AR265" s="14"/>
    </row>
    <row r="266" spans="11:44">
      <c r="K266" s="22">
        <v>262</v>
      </c>
      <c r="L266" s="24" t="s">
        <v>23</v>
      </c>
      <c r="M266" s="24" t="s">
        <v>23</v>
      </c>
      <c r="N266" s="24" t="s">
        <v>23</v>
      </c>
      <c r="O266" s="24" t="s">
        <v>23</v>
      </c>
      <c r="P266" s="24" t="s">
        <v>23</v>
      </c>
      <c r="Q266" s="24" t="s">
        <v>23</v>
      </c>
      <c r="R266" s="24" t="s">
        <v>23</v>
      </c>
      <c r="T266" s="8"/>
      <c r="U266" s="8"/>
      <c r="V266" s="8"/>
      <c r="W266" s="8"/>
      <c r="X266" s="8"/>
      <c r="Y266" s="8"/>
      <c r="Z266" s="8"/>
      <c r="AB266" s="7" t="s">
        <v>23</v>
      </c>
      <c r="AC266" s="7" t="s">
        <v>23</v>
      </c>
      <c r="AD266" s="7" t="s">
        <v>23</v>
      </c>
      <c r="AE266" s="7" t="s">
        <v>23</v>
      </c>
      <c r="AF266" s="7" t="s">
        <v>23</v>
      </c>
      <c r="AG266" s="7" t="s">
        <v>23</v>
      </c>
      <c r="AH266" s="7" t="s">
        <v>23</v>
      </c>
      <c r="AN266" s="14"/>
      <c r="AO266" s="14"/>
      <c r="AP266" s="14"/>
      <c r="AQ266" s="14"/>
      <c r="AR266" s="14"/>
    </row>
    <row r="267" spans="11:44">
      <c r="K267" s="21">
        <v>263</v>
      </c>
      <c r="L267" s="24" t="s">
        <v>23</v>
      </c>
      <c r="M267" s="24" t="s">
        <v>23</v>
      </c>
      <c r="N267" s="24" t="s">
        <v>23</v>
      </c>
      <c r="O267" s="24" t="s">
        <v>23</v>
      </c>
      <c r="P267" s="24" t="s">
        <v>23</v>
      </c>
      <c r="Q267" s="24" t="s">
        <v>23</v>
      </c>
      <c r="R267" s="24" t="s">
        <v>23</v>
      </c>
      <c r="T267" s="8"/>
      <c r="U267" s="8"/>
      <c r="V267" s="8"/>
      <c r="W267" s="8"/>
      <c r="X267" s="8"/>
      <c r="Y267" s="8"/>
      <c r="Z267" s="8"/>
      <c r="AB267" s="7" t="s">
        <v>23</v>
      </c>
      <c r="AC267" s="7" t="s">
        <v>23</v>
      </c>
      <c r="AD267" s="7" t="s">
        <v>23</v>
      </c>
      <c r="AE267" s="7" t="s">
        <v>23</v>
      </c>
      <c r="AF267" s="7" t="s">
        <v>23</v>
      </c>
      <c r="AG267" s="7" t="s">
        <v>23</v>
      </c>
      <c r="AH267" s="7" t="s">
        <v>23</v>
      </c>
      <c r="AN267" s="14"/>
      <c r="AO267" s="14"/>
      <c r="AP267" s="14"/>
      <c r="AQ267" s="14"/>
      <c r="AR267" s="14"/>
    </row>
    <row r="268" spans="11:44">
      <c r="K268" s="22">
        <v>264</v>
      </c>
      <c r="L268" s="24" t="s">
        <v>23</v>
      </c>
      <c r="M268" s="24" t="s">
        <v>23</v>
      </c>
      <c r="N268" s="24" t="s">
        <v>23</v>
      </c>
      <c r="O268" s="24" t="s">
        <v>23</v>
      </c>
      <c r="P268" s="24" t="s">
        <v>23</v>
      </c>
      <c r="Q268" s="24" t="s">
        <v>23</v>
      </c>
      <c r="R268" s="24" t="s">
        <v>23</v>
      </c>
      <c r="T268" s="8"/>
      <c r="U268" s="8"/>
      <c r="V268" s="8"/>
      <c r="W268" s="8"/>
      <c r="X268" s="8"/>
      <c r="Y268" s="8"/>
      <c r="Z268" s="8"/>
      <c r="AB268" s="7" t="s">
        <v>23</v>
      </c>
      <c r="AC268" s="7" t="s">
        <v>23</v>
      </c>
      <c r="AD268" s="7" t="s">
        <v>23</v>
      </c>
      <c r="AE268" s="7" t="s">
        <v>23</v>
      </c>
      <c r="AF268" s="7" t="s">
        <v>23</v>
      </c>
      <c r="AG268" s="7" t="s">
        <v>23</v>
      </c>
      <c r="AH268" s="7" t="s">
        <v>23</v>
      </c>
      <c r="AN268" s="14"/>
      <c r="AO268" s="14"/>
      <c r="AP268" s="14"/>
      <c r="AQ268" s="14"/>
      <c r="AR268" s="14"/>
    </row>
    <row r="269" spans="11:44">
      <c r="K269" s="21">
        <v>265</v>
      </c>
      <c r="L269" s="24" t="s">
        <v>23</v>
      </c>
      <c r="M269" s="24" t="s">
        <v>23</v>
      </c>
      <c r="N269" s="24" t="s">
        <v>23</v>
      </c>
      <c r="O269" s="24" t="s">
        <v>23</v>
      </c>
      <c r="P269" s="24" t="s">
        <v>23</v>
      </c>
      <c r="Q269" s="24" t="s">
        <v>23</v>
      </c>
      <c r="R269" s="24" t="s">
        <v>23</v>
      </c>
      <c r="T269" s="8"/>
      <c r="U269" s="8"/>
      <c r="V269" s="8"/>
      <c r="W269" s="8"/>
      <c r="X269" s="8"/>
      <c r="Y269" s="8"/>
      <c r="Z269" s="8"/>
      <c r="AB269" s="7" t="s">
        <v>23</v>
      </c>
      <c r="AC269" s="7" t="s">
        <v>23</v>
      </c>
      <c r="AD269" s="7" t="s">
        <v>23</v>
      </c>
      <c r="AE269" s="7" t="s">
        <v>23</v>
      </c>
      <c r="AF269" s="7" t="s">
        <v>23</v>
      </c>
      <c r="AG269" s="7" t="s">
        <v>23</v>
      </c>
      <c r="AH269" s="7" t="s">
        <v>23</v>
      </c>
      <c r="AN269" s="14"/>
      <c r="AO269" s="14"/>
      <c r="AP269" s="14"/>
      <c r="AQ269" s="14"/>
      <c r="AR269" s="14"/>
    </row>
    <row r="270" spans="11:44">
      <c r="K270" s="22">
        <v>266</v>
      </c>
      <c r="L270" s="24" t="s">
        <v>23</v>
      </c>
      <c r="M270" s="24" t="s">
        <v>23</v>
      </c>
      <c r="N270" s="24" t="s">
        <v>23</v>
      </c>
      <c r="O270" s="24" t="s">
        <v>23</v>
      </c>
      <c r="P270" s="24" t="s">
        <v>23</v>
      </c>
      <c r="Q270" s="24" t="s">
        <v>23</v>
      </c>
      <c r="R270" s="24" t="s">
        <v>23</v>
      </c>
      <c r="T270" s="8"/>
      <c r="U270" s="8"/>
      <c r="V270" s="8"/>
      <c r="W270" s="8"/>
      <c r="X270" s="8"/>
      <c r="Y270" s="8"/>
      <c r="Z270" s="8"/>
      <c r="AB270" s="7" t="s">
        <v>23</v>
      </c>
      <c r="AC270" s="7" t="s">
        <v>23</v>
      </c>
      <c r="AD270" s="7" t="s">
        <v>23</v>
      </c>
      <c r="AE270" s="7" t="s">
        <v>23</v>
      </c>
      <c r="AF270" s="7" t="s">
        <v>23</v>
      </c>
      <c r="AG270" s="7" t="s">
        <v>23</v>
      </c>
      <c r="AH270" s="7" t="s">
        <v>23</v>
      </c>
      <c r="AN270" s="14"/>
      <c r="AO270" s="14"/>
      <c r="AP270" s="14"/>
      <c r="AQ270" s="14"/>
      <c r="AR270" s="14"/>
    </row>
    <row r="271" spans="11:44">
      <c r="K271" s="21">
        <v>267</v>
      </c>
      <c r="L271" s="24" t="s">
        <v>23</v>
      </c>
      <c r="M271" s="24" t="s">
        <v>23</v>
      </c>
      <c r="N271" s="24" t="s">
        <v>23</v>
      </c>
      <c r="O271" s="24" t="s">
        <v>23</v>
      </c>
      <c r="P271" s="24" t="s">
        <v>23</v>
      </c>
      <c r="Q271" s="24" t="s">
        <v>23</v>
      </c>
      <c r="R271" s="24" t="s">
        <v>23</v>
      </c>
      <c r="T271" s="8"/>
      <c r="U271" s="8"/>
      <c r="V271" s="8"/>
      <c r="W271" s="8"/>
      <c r="X271" s="8"/>
      <c r="Y271" s="8"/>
      <c r="Z271" s="8"/>
      <c r="AB271" s="7" t="s">
        <v>23</v>
      </c>
      <c r="AC271" s="7" t="s">
        <v>23</v>
      </c>
      <c r="AD271" s="7" t="s">
        <v>23</v>
      </c>
      <c r="AE271" s="7" t="s">
        <v>23</v>
      </c>
      <c r="AF271" s="7" t="s">
        <v>23</v>
      </c>
      <c r="AG271" s="7" t="s">
        <v>23</v>
      </c>
      <c r="AH271" s="7" t="s">
        <v>23</v>
      </c>
      <c r="AN271" s="14"/>
      <c r="AO271" s="14"/>
      <c r="AP271" s="14"/>
      <c r="AQ271" s="14"/>
      <c r="AR271" s="14"/>
    </row>
    <row r="272" spans="11:44">
      <c r="K272" s="22">
        <v>268</v>
      </c>
      <c r="L272" s="24" t="s">
        <v>23</v>
      </c>
      <c r="M272" s="24" t="s">
        <v>23</v>
      </c>
      <c r="N272" s="24" t="s">
        <v>23</v>
      </c>
      <c r="O272" s="24" t="s">
        <v>23</v>
      </c>
      <c r="P272" s="24" t="s">
        <v>23</v>
      </c>
      <c r="Q272" s="24" t="s">
        <v>23</v>
      </c>
      <c r="R272" s="24" t="s">
        <v>23</v>
      </c>
      <c r="T272" s="8"/>
      <c r="U272" s="8"/>
      <c r="V272" s="8"/>
      <c r="W272" s="8"/>
      <c r="X272" s="8"/>
      <c r="Y272" s="8"/>
      <c r="Z272" s="8"/>
      <c r="AB272" s="7" t="s">
        <v>23</v>
      </c>
      <c r="AC272" s="7" t="s">
        <v>23</v>
      </c>
      <c r="AD272" s="7" t="s">
        <v>23</v>
      </c>
      <c r="AE272" s="7" t="s">
        <v>23</v>
      </c>
      <c r="AF272" s="7" t="s">
        <v>23</v>
      </c>
      <c r="AG272" s="7" t="s">
        <v>23</v>
      </c>
      <c r="AH272" s="7" t="s">
        <v>23</v>
      </c>
      <c r="AN272" s="14"/>
      <c r="AO272" s="14"/>
      <c r="AP272" s="14"/>
      <c r="AQ272" s="14"/>
      <c r="AR272" s="14"/>
    </row>
    <row r="273" spans="11:44">
      <c r="K273" s="21">
        <v>269</v>
      </c>
      <c r="L273" s="24" t="s">
        <v>23</v>
      </c>
      <c r="M273" s="24" t="s">
        <v>23</v>
      </c>
      <c r="N273" s="24" t="s">
        <v>23</v>
      </c>
      <c r="O273" s="24" t="s">
        <v>23</v>
      </c>
      <c r="P273" s="24" t="s">
        <v>23</v>
      </c>
      <c r="Q273" s="24" t="s">
        <v>23</v>
      </c>
      <c r="R273" s="24" t="s">
        <v>23</v>
      </c>
      <c r="T273" s="8"/>
      <c r="U273" s="8"/>
      <c r="V273" s="8"/>
      <c r="W273" s="8"/>
      <c r="X273" s="8"/>
      <c r="Y273" s="8"/>
      <c r="Z273" s="8"/>
      <c r="AB273" s="7" t="s">
        <v>23</v>
      </c>
      <c r="AC273" s="7" t="s">
        <v>23</v>
      </c>
      <c r="AD273" s="7" t="s">
        <v>23</v>
      </c>
      <c r="AE273" s="7" t="s">
        <v>23</v>
      </c>
      <c r="AF273" s="7" t="s">
        <v>23</v>
      </c>
      <c r="AG273" s="7" t="s">
        <v>23</v>
      </c>
      <c r="AH273" s="7" t="s">
        <v>23</v>
      </c>
      <c r="AN273" s="14"/>
      <c r="AO273" s="14"/>
      <c r="AP273" s="14"/>
      <c r="AQ273" s="14"/>
      <c r="AR273" s="14"/>
    </row>
    <row r="274" spans="11:44">
      <c r="K274" s="22">
        <v>270</v>
      </c>
      <c r="L274" s="24" t="s">
        <v>23</v>
      </c>
      <c r="M274" s="24" t="s">
        <v>23</v>
      </c>
      <c r="N274" s="24" t="s">
        <v>23</v>
      </c>
      <c r="O274" s="24" t="s">
        <v>23</v>
      </c>
      <c r="P274" s="24" t="s">
        <v>23</v>
      </c>
      <c r="Q274" s="24" t="s">
        <v>23</v>
      </c>
      <c r="R274" s="24" t="s">
        <v>23</v>
      </c>
      <c r="T274" s="8"/>
      <c r="U274" s="8"/>
      <c r="V274" s="8"/>
      <c r="W274" s="8"/>
      <c r="X274" s="8"/>
      <c r="Y274" s="8"/>
      <c r="Z274" s="8"/>
      <c r="AB274" s="7" t="s">
        <v>23</v>
      </c>
      <c r="AC274" s="7" t="s">
        <v>23</v>
      </c>
      <c r="AD274" s="7" t="s">
        <v>23</v>
      </c>
      <c r="AE274" s="7" t="s">
        <v>23</v>
      </c>
      <c r="AF274" s="7" t="s">
        <v>23</v>
      </c>
      <c r="AG274" s="7" t="s">
        <v>23</v>
      </c>
      <c r="AH274" s="7" t="s">
        <v>23</v>
      </c>
      <c r="AN274" s="14"/>
      <c r="AO274" s="14"/>
      <c r="AP274" s="14"/>
      <c r="AQ274" s="14"/>
      <c r="AR274" s="14"/>
    </row>
    <row r="275" spans="11:44">
      <c r="K275" s="21">
        <v>271</v>
      </c>
      <c r="L275" s="24" t="s">
        <v>23</v>
      </c>
      <c r="M275" s="24" t="s">
        <v>23</v>
      </c>
      <c r="N275" s="24" t="s">
        <v>23</v>
      </c>
      <c r="O275" s="24" t="s">
        <v>23</v>
      </c>
      <c r="P275" s="24" t="s">
        <v>23</v>
      </c>
      <c r="Q275" s="24" t="s">
        <v>23</v>
      </c>
      <c r="R275" s="24" t="s">
        <v>23</v>
      </c>
      <c r="T275" s="8"/>
      <c r="U275" s="8"/>
      <c r="V275" s="8"/>
      <c r="W275" s="8"/>
      <c r="X275" s="8"/>
      <c r="Y275" s="8"/>
      <c r="Z275" s="8"/>
      <c r="AB275" s="7" t="s">
        <v>23</v>
      </c>
      <c r="AC275" s="7" t="s">
        <v>23</v>
      </c>
      <c r="AD275" s="7" t="s">
        <v>23</v>
      </c>
      <c r="AE275" s="7" t="s">
        <v>23</v>
      </c>
      <c r="AF275" s="7" t="s">
        <v>23</v>
      </c>
      <c r="AG275" s="7" t="s">
        <v>23</v>
      </c>
      <c r="AH275" s="7" t="s">
        <v>23</v>
      </c>
      <c r="AN275" s="14"/>
      <c r="AO275" s="14"/>
      <c r="AP275" s="14"/>
      <c r="AQ275" s="14"/>
      <c r="AR275" s="14"/>
    </row>
    <row r="276" spans="11:44">
      <c r="K276" s="22">
        <v>272</v>
      </c>
      <c r="L276" s="24" t="s">
        <v>23</v>
      </c>
      <c r="M276" s="24" t="s">
        <v>23</v>
      </c>
      <c r="N276" s="24" t="s">
        <v>23</v>
      </c>
      <c r="O276" s="24" t="s">
        <v>23</v>
      </c>
      <c r="P276" s="24" t="s">
        <v>23</v>
      </c>
      <c r="Q276" s="24" t="s">
        <v>23</v>
      </c>
      <c r="R276" s="24" t="s">
        <v>23</v>
      </c>
      <c r="T276" s="8"/>
      <c r="U276" s="8"/>
      <c r="V276" s="8"/>
      <c r="W276" s="8"/>
      <c r="X276" s="8"/>
      <c r="Y276" s="8"/>
      <c r="Z276" s="8"/>
      <c r="AB276" s="7" t="s">
        <v>23</v>
      </c>
      <c r="AC276" s="7" t="s">
        <v>23</v>
      </c>
      <c r="AD276" s="7" t="s">
        <v>23</v>
      </c>
      <c r="AE276" s="7" t="s">
        <v>23</v>
      </c>
      <c r="AF276" s="7" t="s">
        <v>23</v>
      </c>
      <c r="AG276" s="7" t="s">
        <v>23</v>
      </c>
      <c r="AH276" s="7" t="s">
        <v>23</v>
      </c>
      <c r="AN276" s="14"/>
      <c r="AO276" s="14"/>
      <c r="AP276" s="14"/>
      <c r="AQ276" s="14"/>
      <c r="AR276" s="14"/>
    </row>
    <row r="277" spans="11:44">
      <c r="K277" s="21">
        <v>273</v>
      </c>
      <c r="L277" s="24" t="s">
        <v>23</v>
      </c>
      <c r="M277" s="24" t="s">
        <v>23</v>
      </c>
      <c r="N277" s="24" t="s">
        <v>23</v>
      </c>
      <c r="O277" s="24" t="s">
        <v>23</v>
      </c>
      <c r="P277" s="24" t="s">
        <v>23</v>
      </c>
      <c r="Q277" s="24" t="s">
        <v>23</v>
      </c>
      <c r="R277" s="24" t="s">
        <v>23</v>
      </c>
      <c r="T277" s="8"/>
      <c r="U277" s="8"/>
      <c r="V277" s="8"/>
      <c r="W277" s="8"/>
      <c r="X277" s="8"/>
      <c r="Y277" s="8"/>
      <c r="Z277" s="8"/>
      <c r="AB277" s="7" t="s">
        <v>23</v>
      </c>
      <c r="AC277" s="7" t="s">
        <v>23</v>
      </c>
      <c r="AD277" s="7" t="s">
        <v>23</v>
      </c>
      <c r="AE277" s="7" t="s">
        <v>23</v>
      </c>
      <c r="AF277" s="7" t="s">
        <v>23</v>
      </c>
      <c r="AG277" s="7" t="s">
        <v>23</v>
      </c>
      <c r="AH277" s="7" t="s">
        <v>23</v>
      </c>
      <c r="AN277" s="14"/>
      <c r="AO277" s="14"/>
      <c r="AP277" s="14"/>
      <c r="AQ277" s="14"/>
      <c r="AR277" s="14"/>
    </row>
    <row r="278" spans="11:44">
      <c r="K278" s="22">
        <v>274</v>
      </c>
      <c r="L278" s="24" t="s">
        <v>23</v>
      </c>
      <c r="M278" s="24" t="s">
        <v>23</v>
      </c>
      <c r="N278" s="24" t="s">
        <v>23</v>
      </c>
      <c r="O278" s="24" t="s">
        <v>23</v>
      </c>
      <c r="P278" s="24" t="s">
        <v>23</v>
      </c>
      <c r="Q278" s="24" t="s">
        <v>23</v>
      </c>
      <c r="R278" s="24" t="s">
        <v>23</v>
      </c>
      <c r="T278" s="8"/>
      <c r="U278" s="8"/>
      <c r="V278" s="8"/>
      <c r="W278" s="8"/>
      <c r="X278" s="8"/>
      <c r="Y278" s="8"/>
      <c r="Z278" s="8"/>
      <c r="AB278" s="7" t="s">
        <v>23</v>
      </c>
      <c r="AC278" s="7" t="s">
        <v>23</v>
      </c>
      <c r="AD278" s="7" t="s">
        <v>23</v>
      </c>
      <c r="AE278" s="7" t="s">
        <v>23</v>
      </c>
      <c r="AF278" s="7" t="s">
        <v>23</v>
      </c>
      <c r="AG278" s="7" t="s">
        <v>23</v>
      </c>
      <c r="AH278" s="7" t="s">
        <v>23</v>
      </c>
      <c r="AN278" s="14"/>
      <c r="AO278" s="14"/>
      <c r="AP278" s="14"/>
      <c r="AQ278" s="14"/>
      <c r="AR278" s="14"/>
    </row>
    <row r="279" spans="11:44">
      <c r="K279" s="21">
        <v>275</v>
      </c>
      <c r="L279" s="24" t="s">
        <v>23</v>
      </c>
      <c r="M279" s="24" t="s">
        <v>23</v>
      </c>
      <c r="N279" s="24" t="s">
        <v>23</v>
      </c>
      <c r="O279" s="24" t="s">
        <v>23</v>
      </c>
      <c r="P279" s="24" t="s">
        <v>23</v>
      </c>
      <c r="Q279" s="24" t="s">
        <v>23</v>
      </c>
      <c r="R279" s="24" t="s">
        <v>23</v>
      </c>
      <c r="T279" s="8"/>
      <c r="U279" s="8"/>
      <c r="V279" s="8"/>
      <c r="W279" s="8"/>
      <c r="X279" s="8"/>
      <c r="Y279" s="8"/>
      <c r="Z279" s="8"/>
      <c r="AB279" s="7" t="s">
        <v>23</v>
      </c>
      <c r="AC279" s="7" t="s">
        <v>23</v>
      </c>
      <c r="AD279" s="7" t="s">
        <v>23</v>
      </c>
      <c r="AE279" s="7" t="s">
        <v>23</v>
      </c>
      <c r="AF279" s="7" t="s">
        <v>23</v>
      </c>
      <c r="AG279" s="7" t="s">
        <v>23</v>
      </c>
      <c r="AH279" s="7" t="s">
        <v>23</v>
      </c>
      <c r="AN279" s="14"/>
      <c r="AO279" s="14"/>
      <c r="AP279" s="14"/>
      <c r="AQ279" s="14"/>
      <c r="AR279" s="14"/>
    </row>
    <row r="280" spans="11:44">
      <c r="K280" s="22">
        <v>276</v>
      </c>
      <c r="L280" s="24" t="s">
        <v>23</v>
      </c>
      <c r="M280" s="24" t="s">
        <v>23</v>
      </c>
      <c r="N280" s="24" t="s">
        <v>23</v>
      </c>
      <c r="O280" s="24" t="s">
        <v>23</v>
      </c>
      <c r="P280" s="24" t="s">
        <v>23</v>
      </c>
      <c r="Q280" s="24" t="s">
        <v>23</v>
      </c>
      <c r="R280" s="24" t="s">
        <v>23</v>
      </c>
      <c r="T280" s="8"/>
      <c r="U280" s="8"/>
      <c r="V280" s="8"/>
      <c r="W280" s="8"/>
      <c r="X280" s="8"/>
      <c r="Y280" s="8"/>
      <c r="Z280" s="8"/>
      <c r="AB280" s="7" t="s">
        <v>23</v>
      </c>
      <c r="AC280" s="7" t="s">
        <v>23</v>
      </c>
      <c r="AD280" s="7" t="s">
        <v>23</v>
      </c>
      <c r="AE280" s="7" t="s">
        <v>23</v>
      </c>
      <c r="AF280" s="7" t="s">
        <v>23</v>
      </c>
      <c r="AG280" s="7" t="s">
        <v>23</v>
      </c>
      <c r="AH280" s="7" t="s">
        <v>23</v>
      </c>
      <c r="AN280" s="14"/>
      <c r="AO280" s="14"/>
      <c r="AP280" s="14"/>
      <c r="AQ280" s="14"/>
      <c r="AR280" s="14"/>
    </row>
    <row r="281" spans="11:44">
      <c r="K281" s="21">
        <v>277</v>
      </c>
      <c r="L281" s="24" t="s">
        <v>23</v>
      </c>
      <c r="M281" s="24" t="s">
        <v>23</v>
      </c>
      <c r="N281" s="24" t="s">
        <v>23</v>
      </c>
      <c r="O281" s="24" t="s">
        <v>23</v>
      </c>
      <c r="P281" s="24" t="s">
        <v>23</v>
      </c>
      <c r="Q281" s="24" t="s">
        <v>23</v>
      </c>
      <c r="R281" s="24" t="s">
        <v>23</v>
      </c>
      <c r="T281" s="8"/>
      <c r="U281" s="8"/>
      <c r="V281" s="8"/>
      <c r="W281" s="8"/>
      <c r="X281" s="8"/>
      <c r="Y281" s="8"/>
      <c r="Z281" s="8"/>
      <c r="AB281" s="7" t="s">
        <v>23</v>
      </c>
      <c r="AC281" s="7" t="s">
        <v>23</v>
      </c>
      <c r="AD281" s="7" t="s">
        <v>23</v>
      </c>
      <c r="AE281" s="7" t="s">
        <v>23</v>
      </c>
      <c r="AF281" s="7" t="s">
        <v>23</v>
      </c>
      <c r="AG281" s="7" t="s">
        <v>23</v>
      </c>
      <c r="AH281" s="7" t="s">
        <v>23</v>
      </c>
      <c r="AN281" s="14"/>
      <c r="AO281" s="14"/>
      <c r="AP281" s="14"/>
      <c r="AQ281" s="14"/>
      <c r="AR281" s="14"/>
    </row>
    <row r="282" spans="11:44">
      <c r="K282" s="22">
        <v>278</v>
      </c>
      <c r="L282" s="24" t="s">
        <v>23</v>
      </c>
      <c r="M282" s="24" t="s">
        <v>23</v>
      </c>
      <c r="N282" s="24" t="s">
        <v>23</v>
      </c>
      <c r="O282" s="24" t="s">
        <v>23</v>
      </c>
      <c r="P282" s="24" t="s">
        <v>23</v>
      </c>
      <c r="Q282" s="24" t="s">
        <v>23</v>
      </c>
      <c r="R282" s="24" t="s">
        <v>23</v>
      </c>
      <c r="T282" s="8"/>
      <c r="U282" s="8"/>
      <c r="V282" s="8"/>
      <c r="W282" s="8"/>
      <c r="X282" s="8"/>
      <c r="Y282" s="8"/>
      <c r="Z282" s="8"/>
      <c r="AB282" s="7" t="s">
        <v>23</v>
      </c>
      <c r="AC282" s="7" t="s">
        <v>23</v>
      </c>
      <c r="AD282" s="7" t="s">
        <v>23</v>
      </c>
      <c r="AE282" s="7" t="s">
        <v>23</v>
      </c>
      <c r="AF282" s="7" t="s">
        <v>23</v>
      </c>
      <c r="AG282" s="7" t="s">
        <v>23</v>
      </c>
      <c r="AH282" s="7" t="s">
        <v>23</v>
      </c>
      <c r="AN282" s="14"/>
      <c r="AO282" s="14"/>
      <c r="AP282" s="14"/>
      <c r="AQ282" s="14"/>
      <c r="AR282" s="14"/>
    </row>
    <row r="283" spans="11:44">
      <c r="K283" s="21">
        <v>279</v>
      </c>
      <c r="L283" s="24" t="s">
        <v>23</v>
      </c>
      <c r="M283" s="24" t="s">
        <v>23</v>
      </c>
      <c r="N283" s="24" t="s">
        <v>23</v>
      </c>
      <c r="O283" s="24" t="s">
        <v>23</v>
      </c>
      <c r="P283" s="24" t="s">
        <v>23</v>
      </c>
      <c r="Q283" s="24" t="s">
        <v>23</v>
      </c>
      <c r="R283" s="24" t="s">
        <v>23</v>
      </c>
      <c r="T283" s="8"/>
      <c r="U283" s="8"/>
      <c r="V283" s="8"/>
      <c r="W283" s="8"/>
      <c r="X283" s="8"/>
      <c r="Y283" s="8"/>
      <c r="Z283" s="8"/>
      <c r="AB283" s="7" t="s">
        <v>23</v>
      </c>
      <c r="AC283" s="7" t="s">
        <v>23</v>
      </c>
      <c r="AD283" s="7" t="s">
        <v>23</v>
      </c>
      <c r="AE283" s="7" t="s">
        <v>23</v>
      </c>
      <c r="AF283" s="7" t="s">
        <v>23</v>
      </c>
      <c r="AG283" s="7" t="s">
        <v>23</v>
      </c>
      <c r="AH283" s="7" t="s">
        <v>23</v>
      </c>
      <c r="AN283" s="14"/>
      <c r="AO283" s="14"/>
      <c r="AP283" s="14"/>
      <c r="AQ283" s="14"/>
      <c r="AR283" s="14"/>
    </row>
    <row r="284" spans="11:44">
      <c r="K284" s="22">
        <v>280</v>
      </c>
      <c r="L284" s="24" t="s">
        <v>23</v>
      </c>
      <c r="M284" s="24" t="s">
        <v>23</v>
      </c>
      <c r="N284" s="24" t="s">
        <v>23</v>
      </c>
      <c r="O284" s="24" t="s">
        <v>23</v>
      </c>
      <c r="P284" s="24" t="s">
        <v>23</v>
      </c>
      <c r="Q284" s="24" t="s">
        <v>23</v>
      </c>
      <c r="R284" s="24" t="s">
        <v>23</v>
      </c>
      <c r="T284" s="8"/>
      <c r="U284" s="8"/>
      <c r="V284" s="8"/>
      <c r="W284" s="8"/>
      <c r="X284" s="8"/>
      <c r="Y284" s="8"/>
      <c r="Z284" s="8"/>
      <c r="AB284" s="7" t="s">
        <v>23</v>
      </c>
      <c r="AC284" s="7" t="s">
        <v>23</v>
      </c>
      <c r="AD284" s="7" t="s">
        <v>23</v>
      </c>
      <c r="AE284" s="7" t="s">
        <v>23</v>
      </c>
      <c r="AF284" s="7" t="s">
        <v>23</v>
      </c>
      <c r="AG284" s="7" t="s">
        <v>23</v>
      </c>
      <c r="AH284" s="7" t="s">
        <v>23</v>
      </c>
      <c r="AN284" s="14"/>
      <c r="AO284" s="14"/>
      <c r="AP284" s="14"/>
      <c r="AQ284" s="14"/>
      <c r="AR284" s="14"/>
    </row>
    <row r="285" spans="11:44">
      <c r="K285" s="21">
        <v>281</v>
      </c>
      <c r="L285" s="24" t="s">
        <v>23</v>
      </c>
      <c r="M285" s="24" t="s">
        <v>23</v>
      </c>
      <c r="N285" s="24" t="s">
        <v>23</v>
      </c>
      <c r="O285" s="24" t="s">
        <v>23</v>
      </c>
      <c r="P285" s="24" t="s">
        <v>23</v>
      </c>
      <c r="Q285" s="24" t="s">
        <v>23</v>
      </c>
      <c r="R285" s="24" t="s">
        <v>23</v>
      </c>
      <c r="T285" s="8"/>
      <c r="U285" s="8"/>
      <c r="V285" s="8"/>
      <c r="W285" s="8"/>
      <c r="X285" s="8"/>
      <c r="Y285" s="8"/>
      <c r="Z285" s="8"/>
      <c r="AB285" s="7" t="s">
        <v>23</v>
      </c>
      <c r="AC285" s="7" t="s">
        <v>23</v>
      </c>
      <c r="AD285" s="7" t="s">
        <v>23</v>
      </c>
      <c r="AE285" s="7" t="s">
        <v>23</v>
      </c>
      <c r="AF285" s="7" t="s">
        <v>23</v>
      </c>
      <c r="AG285" s="7" t="s">
        <v>23</v>
      </c>
      <c r="AH285" s="7" t="s">
        <v>23</v>
      </c>
      <c r="AN285" s="14"/>
      <c r="AO285" s="14"/>
      <c r="AP285" s="14"/>
      <c r="AQ285" s="14"/>
      <c r="AR285" s="14"/>
    </row>
    <row r="286" spans="11:44">
      <c r="K286" s="22">
        <v>282</v>
      </c>
      <c r="L286" s="24" t="s">
        <v>23</v>
      </c>
      <c r="M286" s="24" t="s">
        <v>23</v>
      </c>
      <c r="N286" s="24" t="s">
        <v>23</v>
      </c>
      <c r="O286" s="24" t="s">
        <v>23</v>
      </c>
      <c r="P286" s="24" t="s">
        <v>23</v>
      </c>
      <c r="Q286" s="24" t="s">
        <v>23</v>
      </c>
      <c r="R286" s="24" t="s">
        <v>23</v>
      </c>
      <c r="T286" s="8"/>
      <c r="U286" s="8"/>
      <c r="V286" s="8"/>
      <c r="W286" s="8"/>
      <c r="X286" s="8"/>
      <c r="Y286" s="8"/>
      <c r="Z286" s="8"/>
      <c r="AB286" s="7" t="s">
        <v>23</v>
      </c>
      <c r="AC286" s="7" t="s">
        <v>23</v>
      </c>
      <c r="AD286" s="7" t="s">
        <v>23</v>
      </c>
      <c r="AE286" s="7" t="s">
        <v>23</v>
      </c>
      <c r="AF286" s="7" t="s">
        <v>23</v>
      </c>
      <c r="AG286" s="7" t="s">
        <v>23</v>
      </c>
      <c r="AH286" s="7" t="s">
        <v>23</v>
      </c>
      <c r="AN286" s="14"/>
      <c r="AO286" s="14"/>
      <c r="AP286" s="14"/>
      <c r="AQ286" s="14"/>
      <c r="AR286" s="14"/>
    </row>
    <row r="287" spans="11:44">
      <c r="K287" s="21">
        <v>283</v>
      </c>
      <c r="L287" s="24" t="s">
        <v>23</v>
      </c>
      <c r="M287" s="24" t="s">
        <v>23</v>
      </c>
      <c r="N287" s="24" t="s">
        <v>23</v>
      </c>
      <c r="O287" s="24" t="s">
        <v>23</v>
      </c>
      <c r="P287" s="24" t="s">
        <v>23</v>
      </c>
      <c r="Q287" s="24" t="s">
        <v>23</v>
      </c>
      <c r="R287" s="24" t="s">
        <v>23</v>
      </c>
      <c r="T287" s="8"/>
      <c r="U287" s="8"/>
      <c r="V287" s="8"/>
      <c r="W287" s="8"/>
      <c r="X287" s="8"/>
      <c r="Y287" s="8"/>
      <c r="Z287" s="8"/>
      <c r="AB287" s="7" t="s">
        <v>23</v>
      </c>
      <c r="AC287" s="7" t="s">
        <v>23</v>
      </c>
      <c r="AD287" s="7" t="s">
        <v>23</v>
      </c>
      <c r="AE287" s="7" t="s">
        <v>23</v>
      </c>
      <c r="AF287" s="7" t="s">
        <v>23</v>
      </c>
      <c r="AG287" s="7" t="s">
        <v>23</v>
      </c>
      <c r="AH287" s="7" t="s">
        <v>23</v>
      </c>
      <c r="AN287" s="14"/>
      <c r="AO287" s="14"/>
      <c r="AP287" s="14"/>
      <c r="AQ287" s="14"/>
      <c r="AR287" s="14"/>
    </row>
    <row r="288" spans="11:44">
      <c r="K288" s="22">
        <v>284</v>
      </c>
      <c r="L288" s="24" t="s">
        <v>23</v>
      </c>
      <c r="M288" s="24" t="s">
        <v>23</v>
      </c>
      <c r="N288" s="24" t="s">
        <v>23</v>
      </c>
      <c r="O288" s="24" t="s">
        <v>23</v>
      </c>
      <c r="P288" s="24" t="s">
        <v>23</v>
      </c>
      <c r="Q288" s="24" t="s">
        <v>23</v>
      </c>
      <c r="R288" s="24" t="s">
        <v>23</v>
      </c>
      <c r="T288" s="8"/>
      <c r="U288" s="8"/>
      <c r="V288" s="8"/>
      <c r="W288" s="8"/>
      <c r="X288" s="8"/>
      <c r="Y288" s="8"/>
      <c r="Z288" s="8"/>
      <c r="AB288" s="7" t="s">
        <v>23</v>
      </c>
      <c r="AC288" s="7" t="s">
        <v>23</v>
      </c>
      <c r="AD288" s="7" t="s">
        <v>23</v>
      </c>
      <c r="AE288" s="7" t="s">
        <v>23</v>
      </c>
      <c r="AF288" s="7" t="s">
        <v>23</v>
      </c>
      <c r="AG288" s="7" t="s">
        <v>23</v>
      </c>
      <c r="AH288" s="7" t="s">
        <v>23</v>
      </c>
      <c r="AN288" s="14"/>
      <c r="AO288" s="14"/>
      <c r="AP288" s="14"/>
      <c r="AQ288" s="14"/>
      <c r="AR288" s="14"/>
    </row>
    <row r="289" spans="11:44">
      <c r="K289" s="21">
        <v>285</v>
      </c>
      <c r="L289" s="24" t="s">
        <v>23</v>
      </c>
      <c r="M289" s="24" t="s">
        <v>23</v>
      </c>
      <c r="N289" s="24" t="s">
        <v>23</v>
      </c>
      <c r="O289" s="24" t="s">
        <v>23</v>
      </c>
      <c r="P289" s="24" t="s">
        <v>23</v>
      </c>
      <c r="Q289" s="24" t="s">
        <v>23</v>
      </c>
      <c r="R289" s="24" t="s">
        <v>23</v>
      </c>
      <c r="T289" s="8"/>
      <c r="U289" s="8"/>
      <c r="V289" s="8"/>
      <c r="W289" s="8"/>
      <c r="X289" s="8"/>
      <c r="Y289" s="8"/>
      <c r="Z289" s="8"/>
      <c r="AB289" s="7" t="s">
        <v>23</v>
      </c>
      <c r="AC289" s="7" t="s">
        <v>23</v>
      </c>
      <c r="AD289" s="7" t="s">
        <v>23</v>
      </c>
      <c r="AE289" s="7" t="s">
        <v>23</v>
      </c>
      <c r="AF289" s="7" t="s">
        <v>23</v>
      </c>
      <c r="AG289" s="7" t="s">
        <v>23</v>
      </c>
      <c r="AH289" s="7" t="s">
        <v>23</v>
      </c>
      <c r="AN289" s="14"/>
      <c r="AO289" s="14"/>
      <c r="AP289" s="14"/>
      <c r="AQ289" s="14"/>
      <c r="AR289" s="14"/>
    </row>
    <row r="290" spans="11:44">
      <c r="K290" s="22">
        <v>286</v>
      </c>
      <c r="L290" s="24" t="s">
        <v>23</v>
      </c>
      <c r="M290" s="24" t="s">
        <v>23</v>
      </c>
      <c r="N290" s="24" t="s">
        <v>23</v>
      </c>
      <c r="O290" s="24" t="s">
        <v>23</v>
      </c>
      <c r="P290" s="24" t="s">
        <v>23</v>
      </c>
      <c r="Q290" s="24" t="s">
        <v>23</v>
      </c>
      <c r="R290" s="24" t="s">
        <v>23</v>
      </c>
      <c r="T290" s="8"/>
      <c r="U290" s="8"/>
      <c r="V290" s="8"/>
      <c r="W290" s="8"/>
      <c r="X290" s="8"/>
      <c r="Y290" s="8"/>
      <c r="Z290" s="8"/>
      <c r="AB290" s="7" t="s">
        <v>23</v>
      </c>
      <c r="AC290" s="7" t="s">
        <v>23</v>
      </c>
      <c r="AD290" s="7" t="s">
        <v>23</v>
      </c>
      <c r="AE290" s="7" t="s">
        <v>23</v>
      </c>
      <c r="AF290" s="7" t="s">
        <v>23</v>
      </c>
      <c r="AG290" s="7" t="s">
        <v>23</v>
      </c>
      <c r="AH290" s="7" t="s">
        <v>23</v>
      </c>
      <c r="AN290" s="14"/>
      <c r="AO290" s="14"/>
      <c r="AP290" s="14"/>
      <c r="AQ290" s="14"/>
      <c r="AR290" s="14"/>
    </row>
    <row r="291" spans="11:44">
      <c r="K291" s="21">
        <v>287</v>
      </c>
      <c r="L291" s="24" t="s">
        <v>23</v>
      </c>
      <c r="M291" s="24" t="s">
        <v>23</v>
      </c>
      <c r="N291" s="24" t="s">
        <v>23</v>
      </c>
      <c r="O291" s="24" t="s">
        <v>23</v>
      </c>
      <c r="P291" s="24" t="s">
        <v>23</v>
      </c>
      <c r="Q291" s="24" t="s">
        <v>23</v>
      </c>
      <c r="R291" s="24" t="s">
        <v>23</v>
      </c>
      <c r="T291" s="8"/>
      <c r="U291" s="8"/>
      <c r="V291" s="8"/>
      <c r="W291" s="8"/>
      <c r="X291" s="8"/>
      <c r="Y291" s="8"/>
      <c r="Z291" s="8"/>
      <c r="AB291" s="7" t="s">
        <v>23</v>
      </c>
      <c r="AC291" s="7" t="s">
        <v>23</v>
      </c>
      <c r="AD291" s="7" t="s">
        <v>23</v>
      </c>
      <c r="AE291" s="7" t="s">
        <v>23</v>
      </c>
      <c r="AF291" s="7" t="s">
        <v>23</v>
      </c>
      <c r="AG291" s="7" t="s">
        <v>23</v>
      </c>
      <c r="AH291" s="7" t="s">
        <v>23</v>
      </c>
      <c r="AN291" s="14"/>
      <c r="AO291" s="14"/>
      <c r="AP291" s="14"/>
      <c r="AQ291" s="14"/>
      <c r="AR291" s="14"/>
    </row>
    <row r="292" spans="11:44">
      <c r="K292" s="22">
        <v>288</v>
      </c>
      <c r="L292" s="24" t="s">
        <v>23</v>
      </c>
      <c r="M292" s="24" t="s">
        <v>23</v>
      </c>
      <c r="N292" s="24" t="s">
        <v>23</v>
      </c>
      <c r="O292" s="24" t="s">
        <v>23</v>
      </c>
      <c r="P292" s="24" t="s">
        <v>23</v>
      </c>
      <c r="Q292" s="24" t="s">
        <v>23</v>
      </c>
      <c r="R292" s="24" t="s">
        <v>23</v>
      </c>
      <c r="T292" s="8"/>
      <c r="U292" s="8"/>
      <c r="V292" s="8"/>
      <c r="W292" s="8"/>
      <c r="X292" s="8"/>
      <c r="Y292" s="8"/>
      <c r="Z292" s="8"/>
      <c r="AB292" s="7" t="s">
        <v>23</v>
      </c>
      <c r="AC292" s="7" t="s">
        <v>23</v>
      </c>
      <c r="AD292" s="7" t="s">
        <v>23</v>
      </c>
      <c r="AE292" s="7" t="s">
        <v>23</v>
      </c>
      <c r="AF292" s="7" t="s">
        <v>23</v>
      </c>
      <c r="AG292" s="7" t="s">
        <v>23</v>
      </c>
      <c r="AH292" s="7" t="s">
        <v>23</v>
      </c>
      <c r="AN292" s="14"/>
      <c r="AO292" s="14"/>
      <c r="AP292" s="14"/>
      <c r="AQ292" s="14"/>
      <c r="AR292" s="14"/>
    </row>
    <row r="293" spans="11:44">
      <c r="K293" s="21">
        <v>289</v>
      </c>
      <c r="L293" s="24" t="s">
        <v>23</v>
      </c>
      <c r="M293" s="24" t="s">
        <v>23</v>
      </c>
      <c r="N293" s="24" t="s">
        <v>23</v>
      </c>
      <c r="O293" s="24" t="s">
        <v>23</v>
      </c>
      <c r="P293" s="24" t="s">
        <v>23</v>
      </c>
      <c r="Q293" s="24" t="s">
        <v>23</v>
      </c>
      <c r="R293" s="24" t="s">
        <v>23</v>
      </c>
      <c r="T293" s="8"/>
      <c r="U293" s="8"/>
      <c r="V293" s="8"/>
      <c r="W293" s="8"/>
      <c r="X293" s="8"/>
      <c r="Y293" s="8"/>
      <c r="Z293" s="8"/>
      <c r="AB293" s="7" t="s">
        <v>23</v>
      </c>
      <c r="AC293" s="7" t="s">
        <v>23</v>
      </c>
      <c r="AD293" s="7" t="s">
        <v>23</v>
      </c>
      <c r="AE293" s="7" t="s">
        <v>23</v>
      </c>
      <c r="AF293" s="7" t="s">
        <v>23</v>
      </c>
      <c r="AG293" s="7" t="s">
        <v>23</v>
      </c>
      <c r="AH293" s="7" t="s">
        <v>23</v>
      </c>
      <c r="AN293" s="14"/>
      <c r="AO293" s="14"/>
      <c r="AP293" s="14"/>
      <c r="AQ293" s="14"/>
      <c r="AR293" s="14"/>
    </row>
    <row r="294" spans="11:44">
      <c r="K294" s="22">
        <v>290</v>
      </c>
      <c r="L294" s="24" t="s">
        <v>23</v>
      </c>
      <c r="M294" s="24" t="s">
        <v>23</v>
      </c>
      <c r="N294" s="24" t="s">
        <v>23</v>
      </c>
      <c r="O294" s="24" t="s">
        <v>23</v>
      </c>
      <c r="P294" s="24" t="s">
        <v>23</v>
      </c>
      <c r="Q294" s="24" t="s">
        <v>23</v>
      </c>
      <c r="R294" s="24" t="s">
        <v>23</v>
      </c>
      <c r="T294" s="8"/>
      <c r="U294" s="8"/>
      <c r="V294" s="8"/>
      <c r="W294" s="8"/>
      <c r="X294" s="8"/>
      <c r="Y294" s="8"/>
      <c r="Z294" s="8"/>
      <c r="AB294" s="7" t="s">
        <v>23</v>
      </c>
      <c r="AC294" s="7" t="s">
        <v>23</v>
      </c>
      <c r="AD294" s="7" t="s">
        <v>23</v>
      </c>
      <c r="AE294" s="7" t="s">
        <v>23</v>
      </c>
      <c r="AF294" s="7" t="s">
        <v>23</v>
      </c>
      <c r="AG294" s="7" t="s">
        <v>23</v>
      </c>
      <c r="AH294" s="7" t="s">
        <v>23</v>
      </c>
      <c r="AN294" s="14"/>
      <c r="AO294" s="14"/>
      <c r="AP294" s="14"/>
      <c r="AQ294" s="14"/>
      <c r="AR294" s="14"/>
    </row>
    <row r="295" spans="11:44">
      <c r="K295" s="21">
        <v>291</v>
      </c>
      <c r="L295" s="24" t="s">
        <v>23</v>
      </c>
      <c r="M295" s="24" t="s">
        <v>23</v>
      </c>
      <c r="N295" s="24" t="s">
        <v>23</v>
      </c>
      <c r="O295" s="24" t="s">
        <v>23</v>
      </c>
      <c r="P295" s="24" t="s">
        <v>23</v>
      </c>
      <c r="Q295" s="24" t="s">
        <v>23</v>
      </c>
      <c r="R295" s="24" t="s">
        <v>23</v>
      </c>
      <c r="T295" s="8"/>
      <c r="U295" s="8"/>
      <c r="V295" s="8"/>
      <c r="W295" s="8"/>
      <c r="X295" s="8"/>
      <c r="Y295" s="8"/>
      <c r="Z295" s="8"/>
      <c r="AB295" s="7" t="s">
        <v>23</v>
      </c>
      <c r="AC295" s="7" t="s">
        <v>23</v>
      </c>
      <c r="AD295" s="7" t="s">
        <v>23</v>
      </c>
      <c r="AE295" s="7" t="s">
        <v>23</v>
      </c>
      <c r="AF295" s="7" t="s">
        <v>23</v>
      </c>
      <c r="AG295" s="7" t="s">
        <v>23</v>
      </c>
      <c r="AH295" s="7" t="s">
        <v>23</v>
      </c>
      <c r="AN295" s="14"/>
      <c r="AO295" s="14"/>
      <c r="AP295" s="14"/>
      <c r="AQ295" s="14"/>
      <c r="AR295" s="14"/>
    </row>
    <row r="296" spans="11:44">
      <c r="K296" s="22">
        <v>292</v>
      </c>
      <c r="L296" s="24" t="s">
        <v>23</v>
      </c>
      <c r="M296" s="24" t="s">
        <v>23</v>
      </c>
      <c r="N296" s="24" t="s">
        <v>23</v>
      </c>
      <c r="O296" s="24" t="s">
        <v>23</v>
      </c>
      <c r="P296" s="24" t="s">
        <v>23</v>
      </c>
      <c r="Q296" s="24" t="s">
        <v>23</v>
      </c>
      <c r="R296" s="24" t="s">
        <v>23</v>
      </c>
      <c r="T296" s="8"/>
      <c r="U296" s="8"/>
      <c r="V296" s="8"/>
      <c r="W296" s="8"/>
      <c r="X296" s="8"/>
      <c r="Y296" s="8"/>
      <c r="Z296" s="8"/>
      <c r="AB296" s="7" t="s">
        <v>23</v>
      </c>
      <c r="AC296" s="7" t="s">
        <v>23</v>
      </c>
      <c r="AD296" s="7" t="s">
        <v>23</v>
      </c>
      <c r="AE296" s="7" t="s">
        <v>23</v>
      </c>
      <c r="AF296" s="7" t="s">
        <v>23</v>
      </c>
      <c r="AG296" s="7" t="s">
        <v>23</v>
      </c>
      <c r="AH296" s="7" t="s">
        <v>23</v>
      </c>
      <c r="AN296" s="14"/>
      <c r="AO296" s="14"/>
      <c r="AP296" s="14"/>
      <c r="AQ296" s="14"/>
      <c r="AR296" s="14"/>
    </row>
    <row r="297" spans="11:44">
      <c r="K297" s="21">
        <v>293</v>
      </c>
      <c r="L297" s="24" t="s">
        <v>23</v>
      </c>
      <c r="M297" s="24" t="s">
        <v>23</v>
      </c>
      <c r="N297" s="24" t="s">
        <v>23</v>
      </c>
      <c r="O297" s="24" t="s">
        <v>23</v>
      </c>
      <c r="P297" s="24" t="s">
        <v>23</v>
      </c>
      <c r="Q297" s="24" t="s">
        <v>23</v>
      </c>
      <c r="R297" s="24" t="s">
        <v>23</v>
      </c>
      <c r="T297" s="8"/>
      <c r="U297" s="8"/>
      <c r="V297" s="8"/>
      <c r="W297" s="8"/>
      <c r="X297" s="8"/>
      <c r="Y297" s="8"/>
      <c r="Z297" s="8"/>
      <c r="AB297" s="7" t="s">
        <v>23</v>
      </c>
      <c r="AC297" s="7" t="s">
        <v>23</v>
      </c>
      <c r="AD297" s="7" t="s">
        <v>23</v>
      </c>
      <c r="AE297" s="7" t="s">
        <v>23</v>
      </c>
      <c r="AF297" s="7" t="s">
        <v>23</v>
      </c>
      <c r="AG297" s="7" t="s">
        <v>23</v>
      </c>
      <c r="AH297" s="7" t="s">
        <v>23</v>
      </c>
      <c r="AN297" s="14"/>
      <c r="AO297" s="14"/>
      <c r="AP297" s="14"/>
      <c r="AQ297" s="14"/>
      <c r="AR297" s="14"/>
    </row>
    <row r="298" spans="11:44">
      <c r="K298" s="22">
        <v>294</v>
      </c>
      <c r="L298" s="24" t="s">
        <v>23</v>
      </c>
      <c r="M298" s="24" t="s">
        <v>23</v>
      </c>
      <c r="N298" s="24" t="s">
        <v>23</v>
      </c>
      <c r="O298" s="24" t="s">
        <v>23</v>
      </c>
      <c r="P298" s="24" t="s">
        <v>23</v>
      </c>
      <c r="Q298" s="24" t="s">
        <v>23</v>
      </c>
      <c r="R298" s="24" t="s">
        <v>23</v>
      </c>
      <c r="T298" s="8"/>
      <c r="U298" s="8"/>
      <c r="V298" s="8"/>
      <c r="W298" s="8"/>
      <c r="X298" s="8"/>
      <c r="Y298" s="8"/>
      <c r="Z298" s="8"/>
      <c r="AB298" s="7" t="s">
        <v>23</v>
      </c>
      <c r="AC298" s="7" t="s">
        <v>23</v>
      </c>
      <c r="AD298" s="7" t="s">
        <v>23</v>
      </c>
      <c r="AE298" s="7" t="s">
        <v>23</v>
      </c>
      <c r="AF298" s="7" t="s">
        <v>23</v>
      </c>
      <c r="AG298" s="7" t="s">
        <v>23</v>
      </c>
      <c r="AH298" s="7" t="s">
        <v>23</v>
      </c>
      <c r="AN298" s="14"/>
      <c r="AO298" s="14"/>
      <c r="AP298" s="14"/>
      <c r="AQ298" s="14"/>
      <c r="AR298" s="14"/>
    </row>
    <row r="299" spans="11:44">
      <c r="K299" s="21">
        <v>295</v>
      </c>
      <c r="L299" s="24" t="s">
        <v>23</v>
      </c>
      <c r="M299" s="24" t="s">
        <v>23</v>
      </c>
      <c r="N299" s="24" t="s">
        <v>23</v>
      </c>
      <c r="O299" s="24" t="s">
        <v>23</v>
      </c>
      <c r="P299" s="24" t="s">
        <v>23</v>
      </c>
      <c r="Q299" s="24" t="s">
        <v>23</v>
      </c>
      <c r="R299" s="24" t="s">
        <v>23</v>
      </c>
      <c r="T299" s="8"/>
      <c r="U299" s="8"/>
      <c r="V299" s="8"/>
      <c r="W299" s="8"/>
      <c r="X299" s="8"/>
      <c r="Y299" s="8"/>
      <c r="Z299" s="8"/>
      <c r="AB299" s="7" t="s">
        <v>23</v>
      </c>
      <c r="AC299" s="7" t="s">
        <v>23</v>
      </c>
      <c r="AD299" s="7" t="s">
        <v>23</v>
      </c>
      <c r="AE299" s="7" t="s">
        <v>23</v>
      </c>
      <c r="AF299" s="7" t="s">
        <v>23</v>
      </c>
      <c r="AG299" s="7" t="s">
        <v>23</v>
      </c>
      <c r="AH299" s="7" t="s">
        <v>23</v>
      </c>
      <c r="AN299" s="14"/>
      <c r="AO299" s="14"/>
      <c r="AP299" s="14"/>
      <c r="AQ299" s="14"/>
      <c r="AR299" s="14"/>
    </row>
    <row r="300" spans="11:44">
      <c r="K300" s="22">
        <v>296</v>
      </c>
      <c r="L300" s="24" t="s">
        <v>23</v>
      </c>
      <c r="M300" s="24" t="s">
        <v>23</v>
      </c>
      <c r="N300" s="24" t="s">
        <v>23</v>
      </c>
      <c r="O300" s="24" t="s">
        <v>23</v>
      </c>
      <c r="P300" s="24" t="s">
        <v>23</v>
      </c>
      <c r="Q300" s="24" t="s">
        <v>23</v>
      </c>
      <c r="R300" s="24" t="s">
        <v>23</v>
      </c>
      <c r="T300" s="8"/>
      <c r="U300" s="8"/>
      <c r="V300" s="8"/>
      <c r="W300" s="8"/>
      <c r="X300" s="8"/>
      <c r="Y300" s="8"/>
      <c r="Z300" s="8"/>
      <c r="AB300" s="7" t="s">
        <v>23</v>
      </c>
      <c r="AC300" s="7" t="s">
        <v>23</v>
      </c>
      <c r="AD300" s="7" t="s">
        <v>23</v>
      </c>
      <c r="AE300" s="7" t="s">
        <v>23</v>
      </c>
      <c r="AF300" s="7" t="s">
        <v>23</v>
      </c>
      <c r="AG300" s="7" t="s">
        <v>23</v>
      </c>
      <c r="AH300" s="7" t="s">
        <v>23</v>
      </c>
      <c r="AN300" s="14"/>
      <c r="AO300" s="14"/>
      <c r="AP300" s="14"/>
      <c r="AQ300" s="14"/>
      <c r="AR300" s="14"/>
    </row>
    <row r="301" spans="11:44">
      <c r="K301" s="21">
        <v>297</v>
      </c>
      <c r="L301" s="24" t="s">
        <v>23</v>
      </c>
      <c r="M301" s="24" t="s">
        <v>23</v>
      </c>
      <c r="N301" s="24" t="s">
        <v>23</v>
      </c>
      <c r="O301" s="24" t="s">
        <v>23</v>
      </c>
      <c r="P301" s="24" t="s">
        <v>23</v>
      </c>
      <c r="Q301" s="24" t="s">
        <v>23</v>
      </c>
      <c r="R301" s="24" t="s">
        <v>23</v>
      </c>
      <c r="T301" s="8"/>
      <c r="U301" s="8"/>
      <c r="V301" s="8"/>
      <c r="W301" s="8"/>
      <c r="X301" s="8"/>
      <c r="Y301" s="8"/>
      <c r="Z301" s="8"/>
      <c r="AB301" s="7" t="s">
        <v>23</v>
      </c>
      <c r="AC301" s="7" t="s">
        <v>23</v>
      </c>
      <c r="AD301" s="7" t="s">
        <v>23</v>
      </c>
      <c r="AE301" s="7" t="s">
        <v>23</v>
      </c>
      <c r="AF301" s="7" t="s">
        <v>23</v>
      </c>
      <c r="AG301" s="7" t="s">
        <v>23</v>
      </c>
      <c r="AH301" s="7" t="s">
        <v>23</v>
      </c>
      <c r="AN301" s="14"/>
      <c r="AO301" s="14"/>
      <c r="AP301" s="14"/>
      <c r="AQ301" s="14"/>
      <c r="AR301" s="14"/>
    </row>
    <row r="302" spans="11:44">
      <c r="K302" s="22">
        <v>298</v>
      </c>
      <c r="L302" s="24" t="s">
        <v>23</v>
      </c>
      <c r="M302" s="24" t="s">
        <v>23</v>
      </c>
      <c r="N302" s="24" t="s">
        <v>23</v>
      </c>
      <c r="O302" s="24" t="s">
        <v>23</v>
      </c>
      <c r="P302" s="24" t="s">
        <v>23</v>
      </c>
      <c r="Q302" s="24" t="s">
        <v>23</v>
      </c>
      <c r="R302" s="24" t="s">
        <v>23</v>
      </c>
      <c r="T302" s="8"/>
      <c r="U302" s="8"/>
      <c r="V302" s="8"/>
      <c r="W302" s="8"/>
      <c r="X302" s="8"/>
      <c r="Y302" s="8"/>
      <c r="Z302" s="8"/>
      <c r="AB302" s="7" t="s">
        <v>23</v>
      </c>
      <c r="AC302" s="7" t="s">
        <v>23</v>
      </c>
      <c r="AD302" s="7" t="s">
        <v>23</v>
      </c>
      <c r="AE302" s="7" t="s">
        <v>23</v>
      </c>
      <c r="AF302" s="7" t="s">
        <v>23</v>
      </c>
      <c r="AG302" s="7" t="s">
        <v>23</v>
      </c>
      <c r="AH302" s="7" t="s">
        <v>23</v>
      </c>
      <c r="AN302" s="14"/>
      <c r="AO302" s="14"/>
      <c r="AP302" s="14"/>
      <c r="AQ302" s="14"/>
      <c r="AR302" s="14"/>
    </row>
    <row r="303" spans="11:44">
      <c r="K303" s="21">
        <v>299</v>
      </c>
      <c r="L303" s="24" t="s">
        <v>23</v>
      </c>
      <c r="M303" s="24" t="s">
        <v>23</v>
      </c>
      <c r="N303" s="24" t="s">
        <v>23</v>
      </c>
      <c r="O303" s="24" t="s">
        <v>23</v>
      </c>
      <c r="P303" s="24" t="s">
        <v>23</v>
      </c>
      <c r="Q303" s="24" t="s">
        <v>23</v>
      </c>
      <c r="R303" s="24" t="s">
        <v>23</v>
      </c>
      <c r="T303" s="8"/>
      <c r="U303" s="8"/>
      <c r="V303" s="8"/>
      <c r="W303" s="8"/>
      <c r="X303" s="8"/>
      <c r="Y303" s="8"/>
      <c r="Z303" s="8"/>
      <c r="AB303" s="7" t="s">
        <v>23</v>
      </c>
      <c r="AC303" s="7" t="s">
        <v>23</v>
      </c>
      <c r="AD303" s="7" t="s">
        <v>23</v>
      </c>
      <c r="AE303" s="7" t="s">
        <v>23</v>
      </c>
      <c r="AF303" s="7" t="s">
        <v>23</v>
      </c>
      <c r="AG303" s="7" t="s">
        <v>23</v>
      </c>
      <c r="AH303" s="7" t="s">
        <v>23</v>
      </c>
      <c r="AN303" s="14"/>
      <c r="AO303" s="14"/>
      <c r="AP303" s="14"/>
      <c r="AQ303" s="14"/>
      <c r="AR303" s="14"/>
    </row>
    <row r="304" spans="11:44" s="32" customFormat="1">
      <c r="K304" s="22">
        <v>300</v>
      </c>
      <c r="L304" s="24" t="s">
        <v>23</v>
      </c>
      <c r="M304" s="24" t="s">
        <v>23</v>
      </c>
      <c r="N304" s="24" t="s">
        <v>23</v>
      </c>
      <c r="O304" s="24" t="s">
        <v>23</v>
      </c>
      <c r="P304" s="24" t="s">
        <v>23</v>
      </c>
      <c r="Q304" s="24" t="s">
        <v>23</v>
      </c>
      <c r="R304" s="24" t="s">
        <v>23</v>
      </c>
      <c r="T304" s="8"/>
      <c r="U304" s="8"/>
      <c r="V304" s="8"/>
      <c r="W304" s="8"/>
      <c r="X304" s="8"/>
      <c r="Y304" s="8"/>
      <c r="Z304" s="8"/>
      <c r="AB304" s="7" t="s">
        <v>23</v>
      </c>
      <c r="AC304" s="7" t="s">
        <v>23</v>
      </c>
      <c r="AD304" s="7" t="s">
        <v>23</v>
      </c>
      <c r="AE304" s="7" t="s">
        <v>23</v>
      </c>
      <c r="AF304" s="7" t="s">
        <v>23</v>
      </c>
      <c r="AG304" s="7" t="s">
        <v>23</v>
      </c>
      <c r="AH304" s="7" t="s">
        <v>23</v>
      </c>
      <c r="AJ304" s="1"/>
      <c r="AK304" s="1"/>
      <c r="AL304" s="1"/>
      <c r="AM304" s="1"/>
      <c r="AN304" s="14"/>
      <c r="AO304" s="14"/>
      <c r="AP304" s="14"/>
      <c r="AQ304" s="14"/>
      <c r="AR304" s="14"/>
    </row>
    <row r="305" spans="11:34">
      <c r="K305" s="21">
        <v>301</v>
      </c>
      <c r="L305" s="24" t="s">
        <v>23</v>
      </c>
      <c r="M305" s="24" t="s">
        <v>23</v>
      </c>
      <c r="N305" s="24" t="s">
        <v>23</v>
      </c>
      <c r="O305" s="24" t="s">
        <v>23</v>
      </c>
      <c r="P305" s="24" t="s">
        <v>23</v>
      </c>
      <c r="Q305" s="24" t="s">
        <v>23</v>
      </c>
      <c r="R305" s="24" t="s">
        <v>23</v>
      </c>
      <c r="T305" s="8"/>
      <c r="U305" s="8"/>
      <c r="V305" s="8"/>
      <c r="W305" s="8"/>
      <c r="X305" s="8"/>
      <c r="Y305" s="8"/>
      <c r="Z305" s="8"/>
      <c r="AB305" s="7" t="s">
        <v>23</v>
      </c>
      <c r="AC305" s="7" t="s">
        <v>23</v>
      </c>
      <c r="AD305" s="7" t="s">
        <v>23</v>
      </c>
      <c r="AE305" s="7" t="s">
        <v>23</v>
      </c>
      <c r="AF305" s="7" t="s">
        <v>23</v>
      </c>
      <c r="AG305" s="7" t="s">
        <v>23</v>
      </c>
      <c r="AH305" s="7" t="s">
        <v>23</v>
      </c>
    </row>
    <row r="306" spans="11:34">
      <c r="K306" s="22">
        <v>302</v>
      </c>
      <c r="L306" s="24" t="s">
        <v>23</v>
      </c>
      <c r="M306" s="24" t="s">
        <v>23</v>
      </c>
      <c r="N306" s="24" t="s">
        <v>23</v>
      </c>
      <c r="O306" s="24" t="s">
        <v>23</v>
      </c>
      <c r="P306" s="24" t="s">
        <v>23</v>
      </c>
      <c r="Q306" s="24" t="s">
        <v>23</v>
      </c>
      <c r="R306" s="24" t="s">
        <v>23</v>
      </c>
      <c r="T306" s="8"/>
      <c r="U306" s="8"/>
      <c r="V306" s="8"/>
      <c r="W306" s="8"/>
      <c r="X306" s="8"/>
      <c r="Y306" s="8"/>
      <c r="Z306" s="8"/>
      <c r="AB306" s="7" t="s">
        <v>23</v>
      </c>
      <c r="AC306" s="7" t="s">
        <v>23</v>
      </c>
      <c r="AD306" s="7" t="s">
        <v>23</v>
      </c>
      <c r="AE306" s="7" t="s">
        <v>23</v>
      </c>
      <c r="AF306" s="7" t="s">
        <v>23</v>
      </c>
      <c r="AG306" s="7" t="s">
        <v>23</v>
      </c>
      <c r="AH306" s="7" t="s">
        <v>23</v>
      </c>
    </row>
    <row r="307" spans="11:34">
      <c r="K307" s="21">
        <v>303</v>
      </c>
      <c r="L307" s="24" t="s">
        <v>23</v>
      </c>
      <c r="M307" s="24" t="s">
        <v>23</v>
      </c>
      <c r="N307" s="24" t="s">
        <v>23</v>
      </c>
      <c r="O307" s="24" t="s">
        <v>23</v>
      </c>
      <c r="P307" s="24" t="s">
        <v>23</v>
      </c>
      <c r="Q307" s="24" t="s">
        <v>23</v>
      </c>
      <c r="R307" s="24" t="s">
        <v>23</v>
      </c>
      <c r="T307" s="8"/>
      <c r="U307" s="8"/>
      <c r="V307" s="8"/>
      <c r="W307" s="8"/>
      <c r="X307" s="8"/>
      <c r="Y307" s="8"/>
      <c r="Z307" s="8"/>
      <c r="AB307" s="7" t="s">
        <v>23</v>
      </c>
      <c r="AC307" s="7" t="s">
        <v>23</v>
      </c>
      <c r="AD307" s="7" t="s">
        <v>23</v>
      </c>
      <c r="AE307" s="7" t="s">
        <v>23</v>
      </c>
      <c r="AF307" s="7" t="s">
        <v>23</v>
      </c>
      <c r="AG307" s="7" t="s">
        <v>23</v>
      </c>
      <c r="AH307" s="7" t="s">
        <v>23</v>
      </c>
    </row>
    <row r="308" spans="11:34">
      <c r="K308" s="22">
        <v>304</v>
      </c>
      <c r="L308" s="24" t="s">
        <v>23</v>
      </c>
      <c r="M308" s="24" t="s">
        <v>23</v>
      </c>
      <c r="N308" s="24" t="s">
        <v>23</v>
      </c>
      <c r="O308" s="24" t="s">
        <v>23</v>
      </c>
      <c r="P308" s="24" t="s">
        <v>23</v>
      </c>
      <c r="Q308" s="24" t="s">
        <v>23</v>
      </c>
      <c r="R308" s="24" t="s">
        <v>23</v>
      </c>
      <c r="T308" s="8"/>
      <c r="U308" s="8"/>
      <c r="V308" s="8"/>
      <c r="W308" s="8"/>
      <c r="X308" s="8"/>
      <c r="Y308" s="8"/>
      <c r="Z308" s="8"/>
      <c r="AB308" s="7" t="s">
        <v>23</v>
      </c>
      <c r="AC308" s="7" t="s">
        <v>23</v>
      </c>
      <c r="AD308" s="7" t="s">
        <v>23</v>
      </c>
      <c r="AE308" s="7" t="s">
        <v>23</v>
      </c>
      <c r="AF308" s="7" t="s">
        <v>23</v>
      </c>
      <c r="AG308" s="7" t="s">
        <v>23</v>
      </c>
      <c r="AH308" s="7" t="s">
        <v>23</v>
      </c>
    </row>
    <row r="309" spans="11:34">
      <c r="K309" s="21">
        <v>305</v>
      </c>
      <c r="L309" s="24" t="s">
        <v>23</v>
      </c>
      <c r="M309" s="24" t="s">
        <v>23</v>
      </c>
      <c r="N309" s="24" t="s">
        <v>23</v>
      </c>
      <c r="O309" s="24" t="s">
        <v>23</v>
      </c>
      <c r="P309" s="24" t="s">
        <v>23</v>
      </c>
      <c r="Q309" s="24" t="s">
        <v>23</v>
      </c>
      <c r="R309" s="24" t="s">
        <v>23</v>
      </c>
      <c r="T309" s="8"/>
      <c r="U309" s="8"/>
      <c r="V309" s="8"/>
      <c r="W309" s="8"/>
      <c r="X309" s="8"/>
      <c r="Y309" s="8"/>
      <c r="Z309" s="8"/>
      <c r="AB309" s="7" t="s">
        <v>23</v>
      </c>
      <c r="AC309" s="7" t="s">
        <v>23</v>
      </c>
      <c r="AD309" s="7" t="s">
        <v>23</v>
      </c>
      <c r="AE309" s="7" t="s">
        <v>23</v>
      </c>
      <c r="AF309" s="7" t="s">
        <v>23</v>
      </c>
      <c r="AG309" s="7" t="s">
        <v>23</v>
      </c>
      <c r="AH309" s="7" t="s">
        <v>23</v>
      </c>
    </row>
    <row r="310" spans="11:34">
      <c r="K310" s="22">
        <v>306</v>
      </c>
      <c r="L310" s="24" t="s">
        <v>23</v>
      </c>
      <c r="M310" s="24" t="s">
        <v>23</v>
      </c>
      <c r="N310" s="24" t="s">
        <v>23</v>
      </c>
      <c r="O310" s="24" t="s">
        <v>23</v>
      </c>
      <c r="P310" s="24" t="s">
        <v>23</v>
      </c>
      <c r="Q310" s="24" t="s">
        <v>23</v>
      </c>
      <c r="R310" s="24" t="s">
        <v>23</v>
      </c>
      <c r="T310" s="8"/>
      <c r="U310" s="8"/>
      <c r="V310" s="8"/>
      <c r="W310" s="8"/>
      <c r="X310" s="8"/>
      <c r="Y310" s="8"/>
      <c r="Z310" s="8"/>
      <c r="AB310" s="7" t="s">
        <v>23</v>
      </c>
      <c r="AC310" s="7" t="s">
        <v>23</v>
      </c>
      <c r="AD310" s="7" t="s">
        <v>23</v>
      </c>
      <c r="AE310" s="7" t="s">
        <v>23</v>
      </c>
      <c r="AF310" s="7" t="s">
        <v>23</v>
      </c>
      <c r="AG310" s="7" t="s">
        <v>23</v>
      </c>
      <c r="AH310" s="7" t="s">
        <v>23</v>
      </c>
    </row>
    <row r="311" spans="11:34">
      <c r="K311" s="21">
        <v>307</v>
      </c>
      <c r="L311" s="24" t="s">
        <v>23</v>
      </c>
      <c r="M311" s="24" t="s">
        <v>23</v>
      </c>
      <c r="N311" s="24" t="s">
        <v>23</v>
      </c>
      <c r="O311" s="24" t="s">
        <v>23</v>
      </c>
      <c r="P311" s="24" t="s">
        <v>23</v>
      </c>
      <c r="Q311" s="24" t="s">
        <v>23</v>
      </c>
      <c r="R311" s="24" t="s">
        <v>23</v>
      </c>
      <c r="T311" s="8"/>
      <c r="U311" s="8"/>
      <c r="V311" s="8"/>
      <c r="W311" s="8"/>
      <c r="X311" s="8"/>
      <c r="Y311" s="8"/>
      <c r="Z311" s="8"/>
      <c r="AB311" s="7" t="s">
        <v>23</v>
      </c>
      <c r="AC311" s="7" t="s">
        <v>23</v>
      </c>
      <c r="AD311" s="7" t="s">
        <v>23</v>
      </c>
      <c r="AE311" s="7" t="s">
        <v>23</v>
      </c>
      <c r="AF311" s="7" t="s">
        <v>23</v>
      </c>
      <c r="AG311" s="7" t="s">
        <v>23</v>
      </c>
      <c r="AH311" s="7" t="s">
        <v>23</v>
      </c>
    </row>
    <row r="312" spans="11:34">
      <c r="K312" s="22">
        <v>308</v>
      </c>
      <c r="L312" s="24" t="s">
        <v>23</v>
      </c>
      <c r="M312" s="24" t="s">
        <v>23</v>
      </c>
      <c r="N312" s="24" t="s">
        <v>23</v>
      </c>
      <c r="O312" s="24" t="s">
        <v>23</v>
      </c>
      <c r="P312" s="24" t="s">
        <v>23</v>
      </c>
      <c r="Q312" s="24" t="s">
        <v>23</v>
      </c>
      <c r="R312" s="24" t="s">
        <v>23</v>
      </c>
      <c r="T312" s="8"/>
      <c r="U312" s="8"/>
      <c r="V312" s="8"/>
      <c r="W312" s="8"/>
      <c r="X312" s="8"/>
      <c r="Y312" s="8"/>
      <c r="Z312" s="8"/>
      <c r="AB312" s="7" t="s">
        <v>23</v>
      </c>
      <c r="AC312" s="7" t="s">
        <v>23</v>
      </c>
      <c r="AD312" s="7" t="s">
        <v>23</v>
      </c>
      <c r="AE312" s="7" t="s">
        <v>23</v>
      </c>
      <c r="AF312" s="7" t="s">
        <v>23</v>
      </c>
      <c r="AG312" s="7" t="s">
        <v>23</v>
      </c>
      <c r="AH312" s="7" t="s">
        <v>23</v>
      </c>
    </row>
    <row r="313" spans="11:34">
      <c r="K313" s="21">
        <v>309</v>
      </c>
      <c r="L313" s="24" t="s">
        <v>23</v>
      </c>
      <c r="M313" s="24" t="s">
        <v>23</v>
      </c>
      <c r="N313" s="24" t="s">
        <v>23</v>
      </c>
      <c r="O313" s="24" t="s">
        <v>23</v>
      </c>
      <c r="P313" s="24" t="s">
        <v>23</v>
      </c>
      <c r="Q313" s="24" t="s">
        <v>23</v>
      </c>
      <c r="R313" s="24" t="s">
        <v>23</v>
      </c>
      <c r="T313" s="8"/>
      <c r="U313" s="8"/>
      <c r="V313" s="8"/>
      <c r="W313" s="8"/>
      <c r="X313" s="8"/>
      <c r="Y313" s="8"/>
      <c r="Z313" s="8"/>
      <c r="AB313" s="7" t="s">
        <v>23</v>
      </c>
      <c r="AC313" s="7" t="s">
        <v>23</v>
      </c>
      <c r="AD313" s="7" t="s">
        <v>23</v>
      </c>
      <c r="AE313" s="7" t="s">
        <v>23</v>
      </c>
      <c r="AF313" s="7" t="s">
        <v>23</v>
      </c>
      <c r="AG313" s="7" t="s">
        <v>23</v>
      </c>
      <c r="AH313" s="7" t="s">
        <v>23</v>
      </c>
    </row>
    <row r="314" spans="11:34">
      <c r="K314" s="22">
        <v>310</v>
      </c>
      <c r="L314" s="24" t="s">
        <v>23</v>
      </c>
      <c r="M314" s="24" t="s">
        <v>23</v>
      </c>
      <c r="N314" s="24" t="s">
        <v>23</v>
      </c>
      <c r="O314" s="24" t="s">
        <v>23</v>
      </c>
      <c r="P314" s="24" t="s">
        <v>23</v>
      </c>
      <c r="Q314" s="24" t="s">
        <v>23</v>
      </c>
      <c r="R314" s="24" t="s">
        <v>23</v>
      </c>
      <c r="T314" s="8"/>
      <c r="U314" s="8"/>
      <c r="V314" s="8"/>
      <c r="W314" s="8"/>
      <c r="X314" s="8"/>
      <c r="Y314" s="8"/>
      <c r="Z314" s="8"/>
      <c r="AB314" s="7" t="s">
        <v>23</v>
      </c>
      <c r="AC314" s="7" t="s">
        <v>23</v>
      </c>
      <c r="AD314" s="7" t="s">
        <v>23</v>
      </c>
      <c r="AE314" s="7" t="s">
        <v>23</v>
      </c>
      <c r="AF314" s="7" t="s">
        <v>23</v>
      </c>
      <c r="AG314" s="7" t="s">
        <v>23</v>
      </c>
      <c r="AH314" s="7" t="s">
        <v>23</v>
      </c>
    </row>
    <row r="315" spans="11:34">
      <c r="K315" s="21">
        <v>311</v>
      </c>
      <c r="L315" s="24" t="s">
        <v>23</v>
      </c>
      <c r="M315" s="24" t="s">
        <v>23</v>
      </c>
      <c r="N315" s="24" t="s">
        <v>23</v>
      </c>
      <c r="O315" s="24" t="s">
        <v>23</v>
      </c>
      <c r="P315" s="24" t="s">
        <v>23</v>
      </c>
      <c r="Q315" s="24" t="s">
        <v>23</v>
      </c>
      <c r="R315" s="24" t="s">
        <v>23</v>
      </c>
      <c r="T315" s="8"/>
      <c r="U315" s="8"/>
      <c r="V315" s="8"/>
      <c r="W315" s="8"/>
      <c r="X315" s="8"/>
      <c r="Y315" s="8"/>
      <c r="Z315" s="8"/>
      <c r="AB315" s="7" t="s">
        <v>23</v>
      </c>
      <c r="AC315" s="7" t="s">
        <v>23</v>
      </c>
      <c r="AD315" s="7" t="s">
        <v>23</v>
      </c>
      <c r="AE315" s="7" t="s">
        <v>23</v>
      </c>
      <c r="AF315" s="7" t="s">
        <v>23</v>
      </c>
      <c r="AG315" s="7" t="s">
        <v>23</v>
      </c>
      <c r="AH315" s="7" t="s">
        <v>23</v>
      </c>
    </row>
    <row r="316" spans="11:34">
      <c r="K316" s="22">
        <v>312</v>
      </c>
      <c r="L316" s="24" t="s">
        <v>23</v>
      </c>
      <c r="M316" s="24" t="s">
        <v>23</v>
      </c>
      <c r="N316" s="24" t="s">
        <v>23</v>
      </c>
      <c r="O316" s="24" t="s">
        <v>23</v>
      </c>
      <c r="P316" s="24" t="s">
        <v>23</v>
      </c>
      <c r="Q316" s="24" t="s">
        <v>23</v>
      </c>
      <c r="R316" s="24" t="s">
        <v>23</v>
      </c>
      <c r="T316" s="8"/>
      <c r="U316" s="8"/>
      <c r="V316" s="8"/>
      <c r="W316" s="8"/>
      <c r="X316" s="8"/>
      <c r="Y316" s="8"/>
      <c r="Z316" s="8"/>
      <c r="AB316" s="7" t="s">
        <v>23</v>
      </c>
      <c r="AC316" s="7" t="s">
        <v>23</v>
      </c>
      <c r="AD316" s="7" t="s">
        <v>23</v>
      </c>
      <c r="AE316" s="7" t="s">
        <v>23</v>
      </c>
      <c r="AF316" s="7" t="s">
        <v>23</v>
      </c>
      <c r="AG316" s="7" t="s">
        <v>23</v>
      </c>
      <c r="AH316" s="7" t="s">
        <v>23</v>
      </c>
    </row>
    <row r="317" spans="11:34">
      <c r="K317" s="21">
        <v>313</v>
      </c>
      <c r="L317" s="24" t="s">
        <v>23</v>
      </c>
      <c r="M317" s="24" t="s">
        <v>23</v>
      </c>
      <c r="N317" s="24" t="s">
        <v>23</v>
      </c>
      <c r="O317" s="24" t="s">
        <v>23</v>
      </c>
      <c r="P317" s="24" t="s">
        <v>23</v>
      </c>
      <c r="Q317" s="24" t="s">
        <v>23</v>
      </c>
      <c r="R317" s="24" t="s">
        <v>23</v>
      </c>
      <c r="T317" s="8"/>
      <c r="U317" s="8"/>
      <c r="V317" s="8"/>
      <c r="W317" s="8"/>
      <c r="X317" s="8"/>
      <c r="Y317" s="8"/>
      <c r="Z317" s="8"/>
      <c r="AB317" s="7" t="s">
        <v>23</v>
      </c>
      <c r="AC317" s="7" t="s">
        <v>23</v>
      </c>
      <c r="AD317" s="7" t="s">
        <v>23</v>
      </c>
      <c r="AE317" s="7" t="s">
        <v>23</v>
      </c>
      <c r="AF317" s="7" t="s">
        <v>23</v>
      </c>
      <c r="AG317" s="7" t="s">
        <v>23</v>
      </c>
      <c r="AH317" s="7" t="s">
        <v>23</v>
      </c>
    </row>
    <row r="318" spans="11:34">
      <c r="K318" s="22">
        <v>314</v>
      </c>
      <c r="L318" s="24" t="s">
        <v>23</v>
      </c>
      <c r="M318" s="24" t="s">
        <v>23</v>
      </c>
      <c r="N318" s="24" t="s">
        <v>23</v>
      </c>
      <c r="O318" s="24" t="s">
        <v>23</v>
      </c>
      <c r="P318" s="24" t="s">
        <v>23</v>
      </c>
      <c r="Q318" s="24" t="s">
        <v>23</v>
      </c>
      <c r="R318" s="24" t="s">
        <v>23</v>
      </c>
      <c r="T318" s="8"/>
      <c r="U318" s="8"/>
      <c r="V318" s="8"/>
      <c r="W318" s="8"/>
      <c r="X318" s="8"/>
      <c r="Y318" s="8"/>
      <c r="Z318" s="8"/>
      <c r="AB318" s="7" t="s">
        <v>23</v>
      </c>
      <c r="AC318" s="7" t="s">
        <v>23</v>
      </c>
      <c r="AD318" s="7" t="s">
        <v>23</v>
      </c>
      <c r="AE318" s="7" t="s">
        <v>23</v>
      </c>
      <c r="AF318" s="7" t="s">
        <v>23</v>
      </c>
      <c r="AG318" s="7" t="s">
        <v>23</v>
      </c>
      <c r="AH318" s="7" t="s">
        <v>23</v>
      </c>
    </row>
    <row r="319" spans="11:34">
      <c r="K319" s="21">
        <v>315</v>
      </c>
      <c r="L319" s="24" t="s">
        <v>23</v>
      </c>
      <c r="M319" s="24" t="s">
        <v>23</v>
      </c>
      <c r="N319" s="24" t="s">
        <v>23</v>
      </c>
      <c r="O319" s="24" t="s">
        <v>23</v>
      </c>
      <c r="P319" s="24" t="s">
        <v>23</v>
      </c>
      <c r="Q319" s="24" t="s">
        <v>23</v>
      </c>
      <c r="R319" s="24" t="s">
        <v>23</v>
      </c>
      <c r="T319" s="8"/>
      <c r="U319" s="8"/>
      <c r="V319" s="8"/>
      <c r="W319" s="8"/>
      <c r="X319" s="8"/>
      <c r="Y319" s="8"/>
      <c r="Z319" s="8"/>
      <c r="AB319" s="7" t="s">
        <v>23</v>
      </c>
      <c r="AC319" s="7" t="s">
        <v>23</v>
      </c>
      <c r="AD319" s="7" t="s">
        <v>23</v>
      </c>
      <c r="AE319" s="7" t="s">
        <v>23</v>
      </c>
      <c r="AF319" s="7" t="s">
        <v>23</v>
      </c>
      <c r="AG319" s="7" t="s">
        <v>23</v>
      </c>
      <c r="AH319" s="7" t="s">
        <v>23</v>
      </c>
    </row>
    <row r="320" spans="11:34">
      <c r="K320" s="22">
        <v>316</v>
      </c>
      <c r="L320" s="24" t="s">
        <v>23</v>
      </c>
      <c r="M320" s="24" t="s">
        <v>23</v>
      </c>
      <c r="N320" s="24" t="s">
        <v>23</v>
      </c>
      <c r="O320" s="24" t="s">
        <v>23</v>
      </c>
      <c r="P320" s="24" t="s">
        <v>23</v>
      </c>
      <c r="Q320" s="24" t="s">
        <v>23</v>
      </c>
      <c r="R320" s="24" t="s">
        <v>23</v>
      </c>
      <c r="T320" s="8"/>
      <c r="U320" s="8"/>
      <c r="V320" s="8"/>
      <c r="W320" s="8"/>
      <c r="X320" s="8"/>
      <c r="Y320" s="8"/>
      <c r="Z320" s="8"/>
      <c r="AB320" s="7" t="s">
        <v>23</v>
      </c>
      <c r="AC320" s="7" t="s">
        <v>23</v>
      </c>
      <c r="AD320" s="7" t="s">
        <v>23</v>
      </c>
      <c r="AE320" s="7" t="s">
        <v>23</v>
      </c>
      <c r="AF320" s="7" t="s">
        <v>23</v>
      </c>
      <c r="AG320" s="7" t="s">
        <v>23</v>
      </c>
      <c r="AH320" s="7" t="s">
        <v>23</v>
      </c>
    </row>
    <row r="321" spans="11:44">
      <c r="K321" s="21">
        <v>317</v>
      </c>
      <c r="L321" s="24" t="s">
        <v>23</v>
      </c>
      <c r="M321" s="24" t="s">
        <v>23</v>
      </c>
      <c r="N321" s="24" t="s">
        <v>23</v>
      </c>
      <c r="O321" s="24" t="s">
        <v>23</v>
      </c>
      <c r="P321" s="24" t="s">
        <v>23</v>
      </c>
      <c r="Q321" s="24" t="s">
        <v>23</v>
      </c>
      <c r="R321" s="24" t="s">
        <v>23</v>
      </c>
      <c r="T321" s="8"/>
      <c r="U321" s="8"/>
      <c r="V321" s="8"/>
      <c r="W321" s="8"/>
      <c r="X321" s="8"/>
      <c r="Y321" s="8"/>
      <c r="Z321" s="8"/>
      <c r="AB321" s="7" t="s">
        <v>23</v>
      </c>
      <c r="AC321" s="7" t="s">
        <v>23</v>
      </c>
      <c r="AD321" s="7" t="s">
        <v>23</v>
      </c>
      <c r="AE321" s="7" t="s">
        <v>23</v>
      </c>
      <c r="AF321" s="7" t="s">
        <v>23</v>
      </c>
      <c r="AG321" s="7" t="s">
        <v>23</v>
      </c>
      <c r="AH321" s="7" t="s">
        <v>23</v>
      </c>
    </row>
    <row r="322" spans="11:44">
      <c r="K322" s="22">
        <v>318</v>
      </c>
      <c r="L322" s="24" t="s">
        <v>23</v>
      </c>
      <c r="M322" s="24" t="s">
        <v>23</v>
      </c>
      <c r="N322" s="24" t="s">
        <v>23</v>
      </c>
      <c r="O322" s="24" t="s">
        <v>23</v>
      </c>
      <c r="P322" s="24" t="s">
        <v>23</v>
      </c>
      <c r="Q322" s="24" t="s">
        <v>23</v>
      </c>
      <c r="R322" s="24" t="s">
        <v>23</v>
      </c>
      <c r="T322" s="8"/>
      <c r="U322" s="8"/>
      <c r="V322" s="8"/>
      <c r="W322" s="8"/>
      <c r="X322" s="8"/>
      <c r="Y322" s="8"/>
      <c r="Z322" s="8"/>
      <c r="AB322" s="7" t="s">
        <v>23</v>
      </c>
      <c r="AC322" s="7" t="s">
        <v>23</v>
      </c>
      <c r="AD322" s="7" t="s">
        <v>23</v>
      </c>
      <c r="AE322" s="7" t="s">
        <v>23</v>
      </c>
      <c r="AF322" s="7" t="s">
        <v>23</v>
      </c>
      <c r="AG322" s="7" t="s">
        <v>23</v>
      </c>
      <c r="AH322" s="7" t="s">
        <v>23</v>
      </c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spans="11:44">
      <c r="K323" s="21">
        <v>319</v>
      </c>
      <c r="L323" s="24" t="s">
        <v>23</v>
      </c>
      <c r="M323" s="24" t="s">
        <v>23</v>
      </c>
      <c r="N323" s="24" t="s">
        <v>23</v>
      </c>
      <c r="O323" s="24" t="s">
        <v>23</v>
      </c>
      <c r="P323" s="24" t="s">
        <v>23</v>
      </c>
      <c r="Q323" s="24" t="s">
        <v>23</v>
      </c>
      <c r="R323" s="24" t="s">
        <v>23</v>
      </c>
      <c r="T323" s="8"/>
      <c r="U323" s="8"/>
      <c r="V323" s="8"/>
      <c r="W323" s="8"/>
      <c r="X323" s="8"/>
      <c r="Y323" s="8"/>
      <c r="Z323" s="8"/>
      <c r="AB323" s="7" t="s">
        <v>23</v>
      </c>
      <c r="AC323" s="7" t="s">
        <v>23</v>
      </c>
      <c r="AD323" s="7" t="s">
        <v>23</v>
      </c>
      <c r="AE323" s="7" t="s">
        <v>23</v>
      </c>
      <c r="AF323" s="7" t="s">
        <v>23</v>
      </c>
      <c r="AG323" s="7" t="s">
        <v>23</v>
      </c>
      <c r="AH323" s="7" t="s">
        <v>23</v>
      </c>
    </row>
    <row r="324" spans="11:44">
      <c r="K324" s="22">
        <v>320</v>
      </c>
      <c r="L324" s="24" t="s">
        <v>23</v>
      </c>
      <c r="M324" s="24" t="s">
        <v>23</v>
      </c>
      <c r="N324" s="24" t="s">
        <v>23</v>
      </c>
      <c r="O324" s="24" t="s">
        <v>23</v>
      </c>
      <c r="P324" s="24" t="s">
        <v>23</v>
      </c>
      <c r="Q324" s="24" t="s">
        <v>23</v>
      </c>
      <c r="R324" s="24" t="s">
        <v>23</v>
      </c>
      <c r="T324" s="8"/>
      <c r="U324" s="8"/>
      <c r="V324" s="8"/>
      <c r="W324" s="8"/>
      <c r="X324" s="8"/>
      <c r="Y324" s="8"/>
      <c r="Z324" s="8"/>
      <c r="AB324" s="7" t="s">
        <v>23</v>
      </c>
      <c r="AC324" s="7" t="s">
        <v>23</v>
      </c>
      <c r="AD324" s="7" t="s">
        <v>23</v>
      </c>
      <c r="AE324" s="7" t="s">
        <v>23</v>
      </c>
      <c r="AF324" s="7" t="s">
        <v>23</v>
      </c>
      <c r="AG324" s="7" t="s">
        <v>23</v>
      </c>
      <c r="AH324" s="7" t="s">
        <v>23</v>
      </c>
    </row>
    <row r="325" spans="11:44">
      <c r="K325" s="21">
        <v>321</v>
      </c>
      <c r="L325" s="24" t="s">
        <v>23</v>
      </c>
      <c r="M325" s="24" t="s">
        <v>23</v>
      </c>
      <c r="N325" s="24" t="s">
        <v>23</v>
      </c>
      <c r="O325" s="24" t="s">
        <v>23</v>
      </c>
      <c r="P325" s="24" t="s">
        <v>23</v>
      </c>
      <c r="Q325" s="24" t="s">
        <v>23</v>
      </c>
      <c r="R325" s="24" t="s">
        <v>23</v>
      </c>
      <c r="T325" s="8"/>
      <c r="U325" s="8"/>
      <c r="V325" s="8"/>
      <c r="W325" s="8"/>
      <c r="X325" s="8"/>
      <c r="Y325" s="8"/>
      <c r="Z325" s="8"/>
      <c r="AB325" s="7" t="s">
        <v>23</v>
      </c>
      <c r="AC325" s="7" t="s">
        <v>23</v>
      </c>
      <c r="AD325" s="7" t="s">
        <v>23</v>
      </c>
      <c r="AE325" s="7" t="s">
        <v>23</v>
      </c>
      <c r="AF325" s="7" t="s">
        <v>23</v>
      </c>
      <c r="AG325" s="7" t="s">
        <v>23</v>
      </c>
      <c r="AH325" s="7" t="s">
        <v>23</v>
      </c>
    </row>
    <row r="326" spans="11:44">
      <c r="K326" s="22">
        <v>322</v>
      </c>
      <c r="L326" s="24" t="s">
        <v>23</v>
      </c>
      <c r="M326" s="24" t="s">
        <v>23</v>
      </c>
      <c r="N326" s="24" t="s">
        <v>23</v>
      </c>
      <c r="O326" s="24" t="s">
        <v>23</v>
      </c>
      <c r="P326" s="24" t="s">
        <v>23</v>
      </c>
      <c r="Q326" s="24" t="s">
        <v>23</v>
      </c>
      <c r="R326" s="24" t="s">
        <v>23</v>
      </c>
      <c r="T326" s="8"/>
      <c r="U326" s="8"/>
      <c r="V326" s="8"/>
      <c r="W326" s="8"/>
      <c r="X326" s="8"/>
      <c r="Y326" s="8"/>
      <c r="Z326" s="8"/>
      <c r="AB326" s="7" t="s">
        <v>23</v>
      </c>
      <c r="AC326" s="7" t="s">
        <v>23</v>
      </c>
      <c r="AD326" s="7" t="s">
        <v>23</v>
      </c>
      <c r="AE326" s="7" t="s">
        <v>23</v>
      </c>
      <c r="AF326" s="7" t="s">
        <v>23</v>
      </c>
      <c r="AG326" s="7" t="s">
        <v>23</v>
      </c>
      <c r="AH326" s="7" t="s">
        <v>23</v>
      </c>
    </row>
    <row r="327" spans="11:44">
      <c r="K327" s="21">
        <v>323</v>
      </c>
      <c r="L327" s="24" t="s">
        <v>23</v>
      </c>
      <c r="M327" s="24" t="s">
        <v>23</v>
      </c>
      <c r="N327" s="24" t="s">
        <v>23</v>
      </c>
      <c r="O327" s="24" t="s">
        <v>23</v>
      </c>
      <c r="P327" s="24" t="s">
        <v>23</v>
      </c>
      <c r="Q327" s="24" t="s">
        <v>23</v>
      </c>
      <c r="R327" s="24" t="s">
        <v>23</v>
      </c>
      <c r="T327" s="8"/>
      <c r="U327" s="8"/>
      <c r="V327" s="8"/>
      <c r="W327" s="8"/>
      <c r="X327" s="8"/>
      <c r="Y327" s="8"/>
      <c r="Z327" s="8"/>
      <c r="AB327" s="7" t="s">
        <v>23</v>
      </c>
      <c r="AC327" s="7" t="s">
        <v>23</v>
      </c>
      <c r="AD327" s="7" t="s">
        <v>23</v>
      </c>
      <c r="AE327" s="7" t="s">
        <v>23</v>
      </c>
      <c r="AF327" s="7" t="s">
        <v>23</v>
      </c>
      <c r="AG327" s="7" t="s">
        <v>23</v>
      </c>
      <c r="AH327" s="7" t="s">
        <v>23</v>
      </c>
    </row>
    <row r="328" spans="11:44">
      <c r="K328" s="22">
        <v>324</v>
      </c>
      <c r="L328" s="24" t="s">
        <v>23</v>
      </c>
      <c r="M328" s="24" t="s">
        <v>23</v>
      </c>
      <c r="N328" s="24" t="s">
        <v>23</v>
      </c>
      <c r="O328" s="24" t="s">
        <v>23</v>
      </c>
      <c r="P328" s="24" t="s">
        <v>23</v>
      </c>
      <c r="Q328" s="24" t="s">
        <v>23</v>
      </c>
      <c r="R328" s="24" t="s">
        <v>23</v>
      </c>
      <c r="T328" s="8"/>
      <c r="U328" s="8"/>
      <c r="V328" s="8"/>
      <c r="W328" s="8"/>
      <c r="X328" s="8"/>
      <c r="Y328" s="8"/>
      <c r="Z328" s="8"/>
      <c r="AB328" s="7" t="s">
        <v>23</v>
      </c>
      <c r="AC328" s="7" t="s">
        <v>23</v>
      </c>
      <c r="AD328" s="7" t="s">
        <v>23</v>
      </c>
      <c r="AE328" s="7" t="s">
        <v>23</v>
      </c>
      <c r="AF328" s="7" t="s">
        <v>23</v>
      </c>
      <c r="AG328" s="7" t="s">
        <v>23</v>
      </c>
      <c r="AH328" s="7" t="s">
        <v>23</v>
      </c>
    </row>
    <row r="329" spans="11:44">
      <c r="K329" s="21">
        <v>325</v>
      </c>
      <c r="L329" s="24" t="s">
        <v>23</v>
      </c>
      <c r="M329" s="24" t="s">
        <v>23</v>
      </c>
      <c r="N329" s="24" t="s">
        <v>23</v>
      </c>
      <c r="O329" s="24" t="s">
        <v>23</v>
      </c>
      <c r="P329" s="24" t="s">
        <v>23</v>
      </c>
      <c r="Q329" s="24" t="s">
        <v>23</v>
      </c>
      <c r="R329" s="24" t="s">
        <v>23</v>
      </c>
      <c r="T329" s="8"/>
      <c r="U329" s="8"/>
      <c r="V329" s="8"/>
      <c r="W329" s="8"/>
      <c r="X329" s="8"/>
      <c r="Y329" s="8"/>
      <c r="Z329" s="8"/>
      <c r="AB329" s="7" t="s">
        <v>23</v>
      </c>
      <c r="AC329" s="7" t="s">
        <v>23</v>
      </c>
      <c r="AD329" s="7" t="s">
        <v>23</v>
      </c>
      <c r="AE329" s="7" t="s">
        <v>23</v>
      </c>
      <c r="AF329" s="7" t="s">
        <v>23</v>
      </c>
      <c r="AG329" s="7" t="s">
        <v>23</v>
      </c>
      <c r="AH329" s="7" t="s">
        <v>23</v>
      </c>
    </row>
    <row r="330" spans="11:44">
      <c r="K330" s="22">
        <v>326</v>
      </c>
      <c r="L330" s="24" t="s">
        <v>23</v>
      </c>
      <c r="M330" s="24" t="s">
        <v>23</v>
      </c>
      <c r="N330" s="24" t="s">
        <v>23</v>
      </c>
      <c r="O330" s="24" t="s">
        <v>23</v>
      </c>
      <c r="P330" s="24" t="s">
        <v>23</v>
      </c>
      <c r="Q330" s="24" t="s">
        <v>23</v>
      </c>
      <c r="R330" s="24" t="s">
        <v>23</v>
      </c>
      <c r="T330" s="8"/>
      <c r="U330" s="8"/>
      <c r="V330" s="8"/>
      <c r="W330" s="8"/>
      <c r="X330" s="8"/>
      <c r="Y330" s="8"/>
      <c r="Z330" s="8"/>
      <c r="AB330" s="7" t="s">
        <v>23</v>
      </c>
      <c r="AC330" s="7" t="s">
        <v>23</v>
      </c>
      <c r="AD330" s="7" t="s">
        <v>23</v>
      </c>
      <c r="AE330" s="7" t="s">
        <v>23</v>
      </c>
      <c r="AF330" s="7" t="s">
        <v>23</v>
      </c>
      <c r="AG330" s="7" t="s">
        <v>23</v>
      </c>
      <c r="AH330" s="7" t="s">
        <v>23</v>
      </c>
    </row>
    <row r="331" spans="11:44">
      <c r="K331" s="21">
        <v>327</v>
      </c>
      <c r="L331" s="24" t="s">
        <v>23</v>
      </c>
      <c r="M331" s="24" t="s">
        <v>23</v>
      </c>
      <c r="N331" s="24" t="s">
        <v>23</v>
      </c>
      <c r="O331" s="24" t="s">
        <v>23</v>
      </c>
      <c r="P331" s="24" t="s">
        <v>23</v>
      </c>
      <c r="Q331" s="24" t="s">
        <v>23</v>
      </c>
      <c r="R331" s="24" t="s">
        <v>23</v>
      </c>
      <c r="T331" s="8"/>
      <c r="U331" s="8"/>
      <c r="V331" s="8"/>
      <c r="W331" s="8"/>
      <c r="X331" s="8"/>
      <c r="Y331" s="8"/>
      <c r="Z331" s="8"/>
      <c r="AB331" s="7" t="s">
        <v>23</v>
      </c>
      <c r="AC331" s="7" t="s">
        <v>23</v>
      </c>
      <c r="AD331" s="7" t="s">
        <v>23</v>
      </c>
      <c r="AE331" s="7" t="s">
        <v>23</v>
      </c>
      <c r="AF331" s="7" t="s">
        <v>23</v>
      </c>
      <c r="AG331" s="7" t="s">
        <v>23</v>
      </c>
      <c r="AH331" s="7" t="s">
        <v>23</v>
      </c>
    </row>
    <row r="332" spans="11:44">
      <c r="K332" s="22">
        <v>328</v>
      </c>
      <c r="L332" s="24" t="s">
        <v>23</v>
      </c>
      <c r="M332" s="24" t="s">
        <v>23</v>
      </c>
      <c r="N332" s="24" t="s">
        <v>23</v>
      </c>
      <c r="O332" s="24" t="s">
        <v>23</v>
      </c>
      <c r="P332" s="24" t="s">
        <v>23</v>
      </c>
      <c r="Q332" s="24" t="s">
        <v>23</v>
      </c>
      <c r="R332" s="24" t="s">
        <v>23</v>
      </c>
      <c r="T332" s="8"/>
      <c r="U332" s="8"/>
      <c r="V332" s="8"/>
      <c r="W332" s="8"/>
      <c r="X332" s="8"/>
      <c r="Y332" s="8"/>
      <c r="Z332" s="8"/>
      <c r="AB332" s="7" t="s">
        <v>23</v>
      </c>
      <c r="AC332" s="7" t="s">
        <v>23</v>
      </c>
      <c r="AD332" s="7" t="s">
        <v>23</v>
      </c>
      <c r="AE332" s="7" t="s">
        <v>23</v>
      </c>
      <c r="AF332" s="7" t="s">
        <v>23</v>
      </c>
      <c r="AG332" s="7" t="s">
        <v>23</v>
      </c>
      <c r="AH332" s="7" t="s">
        <v>23</v>
      </c>
    </row>
    <row r="333" spans="11:44">
      <c r="K333" s="21">
        <v>329</v>
      </c>
      <c r="L333" s="24" t="s">
        <v>23</v>
      </c>
      <c r="M333" s="24" t="s">
        <v>23</v>
      </c>
      <c r="N333" s="24" t="s">
        <v>23</v>
      </c>
      <c r="O333" s="24" t="s">
        <v>23</v>
      </c>
      <c r="P333" s="24" t="s">
        <v>23</v>
      </c>
      <c r="Q333" s="24" t="s">
        <v>23</v>
      </c>
      <c r="R333" s="24" t="s">
        <v>23</v>
      </c>
      <c r="T333" s="8"/>
      <c r="U333" s="8"/>
      <c r="V333" s="8"/>
      <c r="W333" s="8"/>
      <c r="X333" s="8"/>
      <c r="Y333" s="8"/>
      <c r="Z333" s="8"/>
      <c r="AB333" s="7" t="s">
        <v>23</v>
      </c>
      <c r="AC333" s="7" t="s">
        <v>23</v>
      </c>
      <c r="AD333" s="7" t="s">
        <v>23</v>
      </c>
      <c r="AE333" s="7" t="s">
        <v>23</v>
      </c>
      <c r="AF333" s="7" t="s">
        <v>23</v>
      </c>
      <c r="AG333" s="7" t="s">
        <v>23</v>
      </c>
      <c r="AH333" s="7" t="s">
        <v>23</v>
      </c>
    </row>
    <row r="334" spans="11:44">
      <c r="K334" s="22">
        <v>330</v>
      </c>
      <c r="L334" s="24" t="s">
        <v>23</v>
      </c>
      <c r="M334" s="24" t="s">
        <v>23</v>
      </c>
      <c r="N334" s="24" t="s">
        <v>23</v>
      </c>
      <c r="O334" s="24" t="s">
        <v>23</v>
      </c>
      <c r="P334" s="24" t="s">
        <v>23</v>
      </c>
      <c r="Q334" s="24" t="s">
        <v>23</v>
      </c>
      <c r="R334" s="24" t="s">
        <v>23</v>
      </c>
      <c r="T334" s="8"/>
      <c r="U334" s="8"/>
      <c r="V334" s="8"/>
      <c r="W334" s="8"/>
      <c r="X334" s="8"/>
      <c r="Y334" s="8"/>
      <c r="Z334" s="8"/>
      <c r="AB334" s="7" t="s">
        <v>23</v>
      </c>
      <c r="AC334" s="7" t="s">
        <v>23</v>
      </c>
      <c r="AD334" s="7" t="s">
        <v>23</v>
      </c>
      <c r="AE334" s="7" t="s">
        <v>23</v>
      </c>
      <c r="AF334" s="7" t="s">
        <v>23</v>
      </c>
      <c r="AG334" s="7" t="s">
        <v>23</v>
      </c>
      <c r="AH334" s="7" t="s">
        <v>23</v>
      </c>
    </row>
    <row r="335" spans="11:44">
      <c r="K335" s="21">
        <v>331</v>
      </c>
      <c r="L335" s="24" t="s">
        <v>23</v>
      </c>
      <c r="M335" s="24" t="s">
        <v>23</v>
      </c>
      <c r="N335" s="24" t="s">
        <v>23</v>
      </c>
      <c r="O335" s="24" t="s">
        <v>23</v>
      </c>
      <c r="P335" s="24" t="s">
        <v>23</v>
      </c>
      <c r="Q335" s="24" t="s">
        <v>23</v>
      </c>
      <c r="R335" s="24" t="s">
        <v>23</v>
      </c>
      <c r="T335" s="8"/>
      <c r="U335" s="8"/>
      <c r="V335" s="8"/>
      <c r="W335" s="8"/>
      <c r="X335" s="8"/>
      <c r="Y335" s="8"/>
      <c r="Z335" s="8"/>
      <c r="AB335" s="7" t="s">
        <v>23</v>
      </c>
      <c r="AC335" s="7" t="s">
        <v>23</v>
      </c>
      <c r="AD335" s="7" t="s">
        <v>23</v>
      </c>
      <c r="AE335" s="7" t="s">
        <v>23</v>
      </c>
      <c r="AF335" s="7" t="s">
        <v>23</v>
      </c>
      <c r="AG335" s="7" t="s">
        <v>23</v>
      </c>
      <c r="AH335" s="7" t="s">
        <v>23</v>
      </c>
    </row>
    <row r="336" spans="11:44">
      <c r="K336" s="22">
        <v>332</v>
      </c>
      <c r="L336" s="24" t="s">
        <v>23</v>
      </c>
      <c r="M336" s="24" t="s">
        <v>23</v>
      </c>
      <c r="N336" s="24" t="s">
        <v>23</v>
      </c>
      <c r="O336" s="24" t="s">
        <v>23</v>
      </c>
      <c r="P336" s="24" t="s">
        <v>23</v>
      </c>
      <c r="Q336" s="24" t="s">
        <v>23</v>
      </c>
      <c r="R336" s="24" t="s">
        <v>23</v>
      </c>
      <c r="T336" s="8"/>
      <c r="U336" s="8"/>
      <c r="V336" s="8"/>
      <c r="W336" s="8"/>
      <c r="X336" s="8"/>
      <c r="Y336" s="8"/>
      <c r="Z336" s="8"/>
      <c r="AB336" s="7" t="s">
        <v>23</v>
      </c>
      <c r="AC336" s="7" t="s">
        <v>23</v>
      </c>
      <c r="AD336" s="7" t="s">
        <v>23</v>
      </c>
      <c r="AE336" s="7" t="s">
        <v>23</v>
      </c>
      <c r="AF336" s="7" t="s">
        <v>23</v>
      </c>
      <c r="AG336" s="7" t="s">
        <v>23</v>
      </c>
      <c r="AH336" s="7" t="s">
        <v>23</v>
      </c>
    </row>
    <row r="337" spans="11:34">
      <c r="K337" s="21">
        <v>333</v>
      </c>
      <c r="L337" s="24" t="s">
        <v>23</v>
      </c>
      <c r="M337" s="24" t="s">
        <v>23</v>
      </c>
      <c r="N337" s="24" t="s">
        <v>23</v>
      </c>
      <c r="O337" s="24" t="s">
        <v>23</v>
      </c>
      <c r="P337" s="24" t="s">
        <v>23</v>
      </c>
      <c r="Q337" s="24" t="s">
        <v>23</v>
      </c>
      <c r="R337" s="24" t="s">
        <v>23</v>
      </c>
      <c r="T337" s="8"/>
      <c r="U337" s="8"/>
      <c r="V337" s="8"/>
      <c r="W337" s="8"/>
      <c r="X337" s="8"/>
      <c r="Y337" s="8"/>
      <c r="Z337" s="8"/>
      <c r="AB337" s="7" t="s">
        <v>23</v>
      </c>
      <c r="AC337" s="7" t="s">
        <v>23</v>
      </c>
      <c r="AD337" s="7" t="s">
        <v>23</v>
      </c>
      <c r="AE337" s="7" t="s">
        <v>23</v>
      </c>
      <c r="AF337" s="7" t="s">
        <v>23</v>
      </c>
      <c r="AG337" s="7" t="s">
        <v>23</v>
      </c>
      <c r="AH337" s="7" t="s">
        <v>23</v>
      </c>
    </row>
    <row r="338" spans="11:34">
      <c r="K338" s="22">
        <v>334</v>
      </c>
      <c r="L338" s="24" t="s">
        <v>23</v>
      </c>
      <c r="M338" s="24" t="s">
        <v>23</v>
      </c>
      <c r="N338" s="24" t="s">
        <v>23</v>
      </c>
      <c r="O338" s="24" t="s">
        <v>23</v>
      </c>
      <c r="P338" s="24" t="s">
        <v>23</v>
      </c>
      <c r="Q338" s="24" t="s">
        <v>23</v>
      </c>
      <c r="R338" s="24" t="s">
        <v>23</v>
      </c>
      <c r="T338" s="8"/>
      <c r="U338" s="8"/>
      <c r="V338" s="8"/>
      <c r="W338" s="8"/>
      <c r="X338" s="8"/>
      <c r="Y338" s="8"/>
      <c r="Z338" s="8"/>
      <c r="AB338" s="7" t="s">
        <v>23</v>
      </c>
      <c r="AC338" s="7" t="s">
        <v>23</v>
      </c>
      <c r="AD338" s="7" t="s">
        <v>23</v>
      </c>
      <c r="AE338" s="7" t="s">
        <v>23</v>
      </c>
      <c r="AF338" s="7" t="s">
        <v>23</v>
      </c>
      <c r="AG338" s="7" t="s">
        <v>23</v>
      </c>
      <c r="AH338" s="7" t="s">
        <v>23</v>
      </c>
    </row>
    <row r="339" spans="11:34">
      <c r="K339" s="21">
        <v>335</v>
      </c>
      <c r="L339" s="24" t="s">
        <v>23</v>
      </c>
      <c r="M339" s="24" t="s">
        <v>23</v>
      </c>
      <c r="N339" s="24" t="s">
        <v>23</v>
      </c>
      <c r="O339" s="24" t="s">
        <v>23</v>
      </c>
      <c r="P339" s="24" t="s">
        <v>23</v>
      </c>
      <c r="Q339" s="24" t="s">
        <v>23</v>
      </c>
      <c r="R339" s="24" t="s">
        <v>23</v>
      </c>
      <c r="T339" s="8"/>
      <c r="U339" s="8"/>
      <c r="V339" s="8"/>
      <c r="W339" s="8"/>
      <c r="X339" s="8"/>
      <c r="Y339" s="8"/>
      <c r="Z339" s="8"/>
      <c r="AB339" s="7" t="s">
        <v>23</v>
      </c>
      <c r="AC339" s="7" t="s">
        <v>23</v>
      </c>
      <c r="AD339" s="7" t="s">
        <v>23</v>
      </c>
      <c r="AE339" s="7" t="s">
        <v>23</v>
      </c>
      <c r="AF339" s="7" t="s">
        <v>23</v>
      </c>
      <c r="AG339" s="7" t="s">
        <v>23</v>
      </c>
      <c r="AH339" s="7" t="s">
        <v>23</v>
      </c>
    </row>
    <row r="340" spans="11:34">
      <c r="K340" s="22">
        <v>336</v>
      </c>
      <c r="L340" s="24" t="s">
        <v>23</v>
      </c>
      <c r="M340" s="24" t="s">
        <v>23</v>
      </c>
      <c r="N340" s="24" t="s">
        <v>23</v>
      </c>
      <c r="O340" s="24" t="s">
        <v>23</v>
      </c>
      <c r="P340" s="24" t="s">
        <v>23</v>
      </c>
      <c r="Q340" s="24" t="s">
        <v>23</v>
      </c>
      <c r="R340" s="24" t="s">
        <v>23</v>
      </c>
      <c r="T340" s="8"/>
      <c r="U340" s="8"/>
      <c r="V340" s="8"/>
      <c r="W340" s="8"/>
      <c r="X340" s="8"/>
      <c r="Y340" s="8"/>
      <c r="Z340" s="8"/>
      <c r="AB340" s="7" t="s">
        <v>23</v>
      </c>
      <c r="AC340" s="7" t="s">
        <v>23</v>
      </c>
      <c r="AD340" s="7" t="s">
        <v>23</v>
      </c>
      <c r="AE340" s="7" t="s">
        <v>23</v>
      </c>
      <c r="AF340" s="7" t="s">
        <v>23</v>
      </c>
      <c r="AG340" s="7" t="s">
        <v>23</v>
      </c>
      <c r="AH340" s="7" t="s">
        <v>23</v>
      </c>
    </row>
    <row r="341" spans="11:34">
      <c r="K341" s="21">
        <v>337</v>
      </c>
      <c r="L341" s="24" t="s">
        <v>23</v>
      </c>
      <c r="M341" s="24" t="s">
        <v>23</v>
      </c>
      <c r="N341" s="24" t="s">
        <v>23</v>
      </c>
      <c r="O341" s="24" t="s">
        <v>23</v>
      </c>
      <c r="P341" s="24" t="s">
        <v>23</v>
      </c>
      <c r="Q341" s="24" t="s">
        <v>23</v>
      </c>
      <c r="R341" s="24" t="s">
        <v>23</v>
      </c>
      <c r="T341" s="8"/>
      <c r="U341" s="8"/>
      <c r="V341" s="8"/>
      <c r="W341" s="8"/>
      <c r="X341" s="8"/>
      <c r="Y341" s="8"/>
      <c r="Z341" s="8"/>
      <c r="AB341" s="7" t="s">
        <v>23</v>
      </c>
      <c r="AC341" s="7" t="s">
        <v>23</v>
      </c>
      <c r="AD341" s="7" t="s">
        <v>23</v>
      </c>
      <c r="AE341" s="7" t="s">
        <v>23</v>
      </c>
      <c r="AF341" s="7" t="s">
        <v>23</v>
      </c>
      <c r="AG341" s="7" t="s">
        <v>23</v>
      </c>
      <c r="AH341" s="7" t="s">
        <v>23</v>
      </c>
    </row>
    <row r="342" spans="11:34">
      <c r="K342" s="22">
        <v>338</v>
      </c>
      <c r="L342" s="24" t="s">
        <v>23</v>
      </c>
      <c r="M342" s="24" t="s">
        <v>23</v>
      </c>
      <c r="N342" s="24" t="s">
        <v>23</v>
      </c>
      <c r="O342" s="24" t="s">
        <v>23</v>
      </c>
      <c r="P342" s="24" t="s">
        <v>23</v>
      </c>
      <c r="Q342" s="24" t="s">
        <v>23</v>
      </c>
      <c r="R342" s="24" t="s">
        <v>23</v>
      </c>
      <c r="T342" s="8"/>
      <c r="U342" s="8"/>
      <c r="V342" s="8"/>
      <c r="W342" s="8"/>
      <c r="X342" s="8"/>
      <c r="Y342" s="8"/>
      <c r="Z342" s="8"/>
      <c r="AB342" s="7" t="s">
        <v>23</v>
      </c>
      <c r="AC342" s="7" t="s">
        <v>23</v>
      </c>
      <c r="AD342" s="7" t="s">
        <v>23</v>
      </c>
      <c r="AE342" s="7" t="s">
        <v>23</v>
      </c>
      <c r="AF342" s="7" t="s">
        <v>23</v>
      </c>
      <c r="AG342" s="7" t="s">
        <v>23</v>
      </c>
      <c r="AH342" s="7" t="s">
        <v>23</v>
      </c>
    </row>
    <row r="343" spans="11:34">
      <c r="K343" s="21">
        <v>339</v>
      </c>
      <c r="L343" s="24" t="s">
        <v>23</v>
      </c>
      <c r="M343" s="24" t="s">
        <v>23</v>
      </c>
      <c r="N343" s="24" t="s">
        <v>23</v>
      </c>
      <c r="O343" s="24" t="s">
        <v>23</v>
      </c>
      <c r="P343" s="24" t="s">
        <v>23</v>
      </c>
      <c r="Q343" s="24" t="s">
        <v>23</v>
      </c>
      <c r="R343" s="24" t="s">
        <v>23</v>
      </c>
      <c r="T343" s="8"/>
      <c r="U343" s="8"/>
      <c r="V343" s="8"/>
      <c r="W343" s="8"/>
      <c r="X343" s="8"/>
      <c r="Y343" s="8"/>
      <c r="Z343" s="8"/>
      <c r="AB343" s="7" t="s">
        <v>23</v>
      </c>
      <c r="AC343" s="7" t="s">
        <v>23</v>
      </c>
      <c r="AD343" s="7" t="s">
        <v>23</v>
      </c>
      <c r="AE343" s="7" t="s">
        <v>23</v>
      </c>
      <c r="AF343" s="7" t="s">
        <v>23</v>
      </c>
      <c r="AG343" s="7" t="s">
        <v>23</v>
      </c>
      <c r="AH343" s="7" t="s">
        <v>23</v>
      </c>
    </row>
    <row r="344" spans="11:34">
      <c r="K344" s="22">
        <v>340</v>
      </c>
      <c r="L344" s="24" t="s">
        <v>23</v>
      </c>
      <c r="M344" s="24" t="s">
        <v>23</v>
      </c>
      <c r="N344" s="24" t="s">
        <v>23</v>
      </c>
      <c r="O344" s="24" t="s">
        <v>23</v>
      </c>
      <c r="P344" s="24" t="s">
        <v>23</v>
      </c>
      <c r="Q344" s="24" t="s">
        <v>23</v>
      </c>
      <c r="R344" s="24" t="s">
        <v>23</v>
      </c>
      <c r="T344" s="8"/>
      <c r="U344" s="8"/>
      <c r="V344" s="8"/>
      <c r="W344" s="8"/>
      <c r="X344" s="8"/>
      <c r="Y344" s="8"/>
      <c r="Z344" s="8"/>
      <c r="AB344" s="7" t="s">
        <v>23</v>
      </c>
      <c r="AC344" s="7" t="s">
        <v>23</v>
      </c>
      <c r="AD344" s="7" t="s">
        <v>23</v>
      </c>
      <c r="AE344" s="7" t="s">
        <v>23</v>
      </c>
      <c r="AF344" s="7" t="s">
        <v>23</v>
      </c>
      <c r="AG344" s="7" t="s">
        <v>23</v>
      </c>
      <c r="AH344" s="7" t="s">
        <v>23</v>
      </c>
    </row>
    <row r="345" spans="11:34">
      <c r="K345" s="21">
        <v>341</v>
      </c>
      <c r="L345" s="24" t="s">
        <v>23</v>
      </c>
      <c r="M345" s="24" t="s">
        <v>23</v>
      </c>
      <c r="N345" s="24" t="s">
        <v>23</v>
      </c>
      <c r="O345" s="24" t="s">
        <v>23</v>
      </c>
      <c r="P345" s="24" t="s">
        <v>23</v>
      </c>
      <c r="Q345" s="24" t="s">
        <v>23</v>
      </c>
      <c r="R345" s="24" t="s">
        <v>23</v>
      </c>
      <c r="T345" s="8"/>
      <c r="U345" s="8"/>
      <c r="V345" s="8"/>
      <c r="W345" s="8"/>
      <c r="X345" s="8"/>
      <c r="Y345" s="8"/>
      <c r="Z345" s="8"/>
      <c r="AB345" s="7" t="s">
        <v>23</v>
      </c>
      <c r="AC345" s="7" t="s">
        <v>23</v>
      </c>
      <c r="AD345" s="7" t="s">
        <v>23</v>
      </c>
      <c r="AE345" s="7" t="s">
        <v>23</v>
      </c>
      <c r="AF345" s="7" t="s">
        <v>23</v>
      </c>
      <c r="AG345" s="7" t="s">
        <v>23</v>
      </c>
      <c r="AH345" s="7" t="s">
        <v>23</v>
      </c>
    </row>
    <row r="346" spans="11:34">
      <c r="K346" s="22">
        <v>342</v>
      </c>
      <c r="L346" s="24" t="s">
        <v>23</v>
      </c>
      <c r="M346" s="24" t="s">
        <v>23</v>
      </c>
      <c r="N346" s="24" t="s">
        <v>23</v>
      </c>
      <c r="O346" s="24" t="s">
        <v>23</v>
      </c>
      <c r="P346" s="24" t="s">
        <v>23</v>
      </c>
      <c r="Q346" s="24" t="s">
        <v>23</v>
      </c>
      <c r="R346" s="24" t="s">
        <v>23</v>
      </c>
      <c r="T346" s="8"/>
      <c r="U346" s="8"/>
      <c r="V346" s="8"/>
      <c r="W346" s="8"/>
      <c r="X346" s="8"/>
      <c r="Y346" s="8"/>
      <c r="Z346" s="8"/>
      <c r="AB346" s="7" t="s">
        <v>23</v>
      </c>
      <c r="AC346" s="7" t="s">
        <v>23</v>
      </c>
      <c r="AD346" s="7" t="s">
        <v>23</v>
      </c>
      <c r="AE346" s="7" t="s">
        <v>23</v>
      </c>
      <c r="AF346" s="7" t="s">
        <v>23</v>
      </c>
      <c r="AG346" s="7" t="s">
        <v>23</v>
      </c>
      <c r="AH346" s="7" t="s">
        <v>23</v>
      </c>
    </row>
    <row r="347" spans="11:34">
      <c r="K347" s="21">
        <v>343</v>
      </c>
      <c r="L347" s="24" t="s">
        <v>23</v>
      </c>
      <c r="M347" s="24" t="s">
        <v>23</v>
      </c>
      <c r="N347" s="24" t="s">
        <v>23</v>
      </c>
      <c r="O347" s="24" t="s">
        <v>23</v>
      </c>
      <c r="P347" s="24" t="s">
        <v>23</v>
      </c>
      <c r="Q347" s="24" t="s">
        <v>23</v>
      </c>
      <c r="R347" s="24" t="s">
        <v>23</v>
      </c>
      <c r="T347" s="8"/>
      <c r="U347" s="8"/>
      <c r="V347" s="8"/>
      <c r="W347" s="8"/>
      <c r="X347" s="8"/>
      <c r="Y347" s="8"/>
      <c r="Z347" s="8"/>
      <c r="AB347" s="7" t="s">
        <v>23</v>
      </c>
      <c r="AC347" s="7" t="s">
        <v>23</v>
      </c>
      <c r="AD347" s="7" t="s">
        <v>23</v>
      </c>
      <c r="AE347" s="7" t="s">
        <v>23</v>
      </c>
      <c r="AF347" s="7" t="s">
        <v>23</v>
      </c>
      <c r="AG347" s="7" t="s">
        <v>23</v>
      </c>
      <c r="AH347" s="7" t="s">
        <v>23</v>
      </c>
    </row>
    <row r="348" spans="11:34">
      <c r="K348" s="22">
        <v>344</v>
      </c>
      <c r="L348" s="24" t="s">
        <v>23</v>
      </c>
      <c r="M348" s="24" t="s">
        <v>23</v>
      </c>
      <c r="N348" s="24" t="s">
        <v>23</v>
      </c>
      <c r="O348" s="24" t="s">
        <v>23</v>
      </c>
      <c r="P348" s="24" t="s">
        <v>23</v>
      </c>
      <c r="Q348" s="24" t="s">
        <v>23</v>
      </c>
      <c r="R348" s="24" t="s">
        <v>23</v>
      </c>
      <c r="T348" s="8"/>
      <c r="U348" s="8"/>
      <c r="V348" s="8"/>
      <c r="W348" s="8"/>
      <c r="X348" s="8"/>
      <c r="Y348" s="8"/>
      <c r="Z348" s="8"/>
      <c r="AB348" s="7" t="s">
        <v>23</v>
      </c>
      <c r="AC348" s="7" t="s">
        <v>23</v>
      </c>
      <c r="AD348" s="7" t="s">
        <v>23</v>
      </c>
      <c r="AE348" s="7" t="s">
        <v>23</v>
      </c>
      <c r="AF348" s="7" t="s">
        <v>23</v>
      </c>
      <c r="AG348" s="7" t="s">
        <v>23</v>
      </c>
      <c r="AH348" s="7" t="s">
        <v>23</v>
      </c>
    </row>
    <row r="349" spans="11:34">
      <c r="K349" s="21">
        <v>345</v>
      </c>
      <c r="L349" s="24" t="s">
        <v>23</v>
      </c>
      <c r="M349" s="24" t="s">
        <v>23</v>
      </c>
      <c r="N349" s="24" t="s">
        <v>23</v>
      </c>
      <c r="O349" s="24" t="s">
        <v>23</v>
      </c>
      <c r="P349" s="24" t="s">
        <v>23</v>
      </c>
      <c r="Q349" s="24" t="s">
        <v>23</v>
      </c>
      <c r="R349" s="24" t="s">
        <v>23</v>
      </c>
      <c r="T349" s="8"/>
      <c r="U349" s="8"/>
      <c r="V349" s="8"/>
      <c r="W349" s="8"/>
      <c r="X349" s="8"/>
      <c r="Y349" s="8"/>
      <c r="Z349" s="8"/>
      <c r="AB349" s="7" t="s">
        <v>23</v>
      </c>
      <c r="AC349" s="7" t="s">
        <v>23</v>
      </c>
      <c r="AD349" s="7" t="s">
        <v>23</v>
      </c>
      <c r="AE349" s="7" t="s">
        <v>23</v>
      </c>
      <c r="AF349" s="7" t="s">
        <v>23</v>
      </c>
      <c r="AG349" s="7" t="s">
        <v>23</v>
      </c>
      <c r="AH349" s="7" t="s">
        <v>23</v>
      </c>
    </row>
    <row r="350" spans="11:34">
      <c r="K350" s="22">
        <v>346</v>
      </c>
      <c r="L350" s="24" t="s">
        <v>23</v>
      </c>
      <c r="M350" s="24" t="s">
        <v>23</v>
      </c>
      <c r="N350" s="24" t="s">
        <v>23</v>
      </c>
      <c r="O350" s="24" t="s">
        <v>23</v>
      </c>
      <c r="P350" s="24" t="s">
        <v>23</v>
      </c>
      <c r="Q350" s="24" t="s">
        <v>23</v>
      </c>
      <c r="R350" s="24" t="s">
        <v>23</v>
      </c>
      <c r="T350" s="8"/>
      <c r="U350" s="8"/>
      <c r="V350" s="8"/>
      <c r="W350" s="8"/>
      <c r="X350" s="8"/>
      <c r="Y350" s="8"/>
      <c r="Z350" s="8"/>
      <c r="AB350" s="7" t="s">
        <v>23</v>
      </c>
      <c r="AC350" s="7" t="s">
        <v>23</v>
      </c>
      <c r="AD350" s="7" t="s">
        <v>23</v>
      </c>
      <c r="AE350" s="7" t="s">
        <v>23</v>
      </c>
      <c r="AF350" s="7" t="s">
        <v>23</v>
      </c>
      <c r="AG350" s="7" t="s">
        <v>23</v>
      </c>
      <c r="AH350" s="7" t="s">
        <v>23</v>
      </c>
    </row>
    <row r="351" spans="11:34">
      <c r="K351" s="21">
        <v>347</v>
      </c>
      <c r="L351" s="24" t="s">
        <v>23</v>
      </c>
      <c r="M351" s="24" t="s">
        <v>23</v>
      </c>
      <c r="N351" s="24" t="s">
        <v>23</v>
      </c>
      <c r="O351" s="24" t="s">
        <v>23</v>
      </c>
      <c r="P351" s="24" t="s">
        <v>23</v>
      </c>
      <c r="Q351" s="24" t="s">
        <v>23</v>
      </c>
      <c r="R351" s="24" t="s">
        <v>23</v>
      </c>
      <c r="T351" s="8"/>
      <c r="U351" s="8"/>
      <c r="V351" s="8"/>
      <c r="W351" s="8"/>
      <c r="X351" s="8"/>
      <c r="Y351" s="8"/>
      <c r="Z351" s="8"/>
      <c r="AB351" s="7" t="s">
        <v>23</v>
      </c>
      <c r="AC351" s="7" t="s">
        <v>23</v>
      </c>
      <c r="AD351" s="7" t="s">
        <v>23</v>
      </c>
      <c r="AE351" s="7" t="s">
        <v>23</v>
      </c>
      <c r="AF351" s="7" t="s">
        <v>23</v>
      </c>
      <c r="AG351" s="7" t="s">
        <v>23</v>
      </c>
      <c r="AH351" s="7" t="s">
        <v>23</v>
      </c>
    </row>
    <row r="352" spans="11:34">
      <c r="K352" s="22">
        <v>348</v>
      </c>
      <c r="L352" s="24" t="s">
        <v>23</v>
      </c>
      <c r="M352" s="24" t="s">
        <v>23</v>
      </c>
      <c r="N352" s="24" t="s">
        <v>23</v>
      </c>
      <c r="O352" s="24" t="s">
        <v>23</v>
      </c>
      <c r="P352" s="24" t="s">
        <v>23</v>
      </c>
      <c r="Q352" s="24" t="s">
        <v>23</v>
      </c>
      <c r="R352" s="24" t="s">
        <v>23</v>
      </c>
      <c r="T352" s="8"/>
      <c r="U352" s="8"/>
      <c r="V352" s="8"/>
      <c r="W352" s="8"/>
      <c r="X352" s="8"/>
      <c r="Y352" s="8"/>
      <c r="Z352" s="8"/>
      <c r="AB352" s="7" t="s">
        <v>23</v>
      </c>
      <c r="AC352" s="7" t="s">
        <v>23</v>
      </c>
      <c r="AD352" s="7" t="s">
        <v>23</v>
      </c>
      <c r="AE352" s="7" t="s">
        <v>23</v>
      </c>
      <c r="AF352" s="7" t="s">
        <v>23</v>
      </c>
      <c r="AG352" s="7" t="s">
        <v>23</v>
      </c>
      <c r="AH352" s="7" t="s">
        <v>23</v>
      </c>
    </row>
    <row r="353" spans="11:34">
      <c r="K353" s="21">
        <v>349</v>
      </c>
      <c r="L353" s="24" t="s">
        <v>23</v>
      </c>
      <c r="M353" s="24" t="s">
        <v>23</v>
      </c>
      <c r="N353" s="24" t="s">
        <v>23</v>
      </c>
      <c r="O353" s="24" t="s">
        <v>23</v>
      </c>
      <c r="P353" s="24" t="s">
        <v>23</v>
      </c>
      <c r="Q353" s="24" t="s">
        <v>23</v>
      </c>
      <c r="R353" s="24" t="s">
        <v>23</v>
      </c>
      <c r="T353" s="8"/>
      <c r="U353" s="8"/>
      <c r="V353" s="8"/>
      <c r="W353" s="8"/>
      <c r="X353" s="8"/>
      <c r="Y353" s="8"/>
      <c r="Z353" s="8"/>
      <c r="AB353" s="7" t="s">
        <v>23</v>
      </c>
      <c r="AC353" s="7" t="s">
        <v>23</v>
      </c>
      <c r="AD353" s="7" t="s">
        <v>23</v>
      </c>
      <c r="AE353" s="7" t="s">
        <v>23</v>
      </c>
      <c r="AF353" s="7" t="s">
        <v>23</v>
      </c>
      <c r="AG353" s="7" t="s">
        <v>23</v>
      </c>
      <c r="AH353" s="7" t="s">
        <v>23</v>
      </c>
    </row>
    <row r="354" spans="11:34">
      <c r="K354" s="22">
        <v>350</v>
      </c>
      <c r="L354" s="24" t="s">
        <v>23</v>
      </c>
      <c r="M354" s="24" t="s">
        <v>23</v>
      </c>
      <c r="N354" s="24" t="s">
        <v>23</v>
      </c>
      <c r="O354" s="24" t="s">
        <v>23</v>
      </c>
      <c r="P354" s="24" t="s">
        <v>23</v>
      </c>
      <c r="Q354" s="24" t="s">
        <v>23</v>
      </c>
      <c r="R354" s="24" t="s">
        <v>23</v>
      </c>
      <c r="T354" s="8"/>
      <c r="U354" s="8"/>
      <c r="V354" s="8"/>
      <c r="W354" s="8"/>
      <c r="X354" s="8"/>
      <c r="Y354" s="8"/>
      <c r="Z354" s="8"/>
      <c r="AB354" s="7" t="s">
        <v>23</v>
      </c>
      <c r="AC354" s="7" t="s">
        <v>23</v>
      </c>
      <c r="AD354" s="7" t="s">
        <v>23</v>
      </c>
      <c r="AE354" s="7" t="s">
        <v>23</v>
      </c>
      <c r="AF354" s="7" t="s">
        <v>23</v>
      </c>
      <c r="AG354" s="7" t="s">
        <v>23</v>
      </c>
      <c r="AH354" s="7" t="s">
        <v>23</v>
      </c>
    </row>
    <row r="355" spans="11:34">
      <c r="K355" s="21">
        <v>351</v>
      </c>
      <c r="L355" s="24" t="s">
        <v>23</v>
      </c>
      <c r="M355" s="24" t="s">
        <v>23</v>
      </c>
      <c r="N355" s="24" t="s">
        <v>23</v>
      </c>
      <c r="O355" s="24" t="s">
        <v>23</v>
      </c>
      <c r="P355" s="24" t="s">
        <v>23</v>
      </c>
      <c r="Q355" s="24" t="s">
        <v>23</v>
      </c>
      <c r="R355" s="24" t="s">
        <v>23</v>
      </c>
      <c r="T355" s="8"/>
      <c r="U355" s="8"/>
      <c r="V355" s="8"/>
      <c r="W355" s="8"/>
      <c r="X355" s="8"/>
      <c r="Y355" s="8"/>
      <c r="Z355" s="8"/>
      <c r="AB355" s="7" t="s">
        <v>23</v>
      </c>
      <c r="AC355" s="7" t="s">
        <v>23</v>
      </c>
      <c r="AD355" s="7" t="s">
        <v>23</v>
      </c>
      <c r="AE355" s="7" t="s">
        <v>23</v>
      </c>
      <c r="AF355" s="7" t="s">
        <v>23</v>
      </c>
      <c r="AG355" s="7" t="s">
        <v>23</v>
      </c>
      <c r="AH355" s="7" t="s">
        <v>23</v>
      </c>
    </row>
    <row r="356" spans="11:34">
      <c r="K356" s="22">
        <v>352</v>
      </c>
      <c r="L356" s="24" t="s">
        <v>23</v>
      </c>
      <c r="M356" s="24" t="s">
        <v>23</v>
      </c>
      <c r="N356" s="24" t="s">
        <v>23</v>
      </c>
      <c r="O356" s="24" t="s">
        <v>23</v>
      </c>
      <c r="P356" s="24" t="s">
        <v>23</v>
      </c>
      <c r="Q356" s="24" t="s">
        <v>23</v>
      </c>
      <c r="R356" s="24" t="s">
        <v>23</v>
      </c>
      <c r="T356" s="8"/>
      <c r="U356" s="8"/>
      <c r="V356" s="8"/>
      <c r="W356" s="8"/>
      <c r="X356" s="8"/>
      <c r="Y356" s="8"/>
      <c r="Z356" s="8"/>
      <c r="AB356" s="7" t="s">
        <v>23</v>
      </c>
      <c r="AC356" s="7" t="s">
        <v>23</v>
      </c>
      <c r="AD356" s="7" t="s">
        <v>23</v>
      </c>
      <c r="AE356" s="7" t="s">
        <v>23</v>
      </c>
      <c r="AF356" s="7" t="s">
        <v>23</v>
      </c>
      <c r="AG356" s="7" t="s">
        <v>23</v>
      </c>
      <c r="AH356" s="7" t="s">
        <v>23</v>
      </c>
    </row>
    <row r="357" spans="11:34">
      <c r="K357" s="21">
        <v>353</v>
      </c>
      <c r="L357" s="24" t="s">
        <v>23</v>
      </c>
      <c r="M357" s="24" t="s">
        <v>23</v>
      </c>
      <c r="N357" s="24" t="s">
        <v>23</v>
      </c>
      <c r="O357" s="24" t="s">
        <v>23</v>
      </c>
      <c r="P357" s="24" t="s">
        <v>23</v>
      </c>
      <c r="Q357" s="24" t="s">
        <v>23</v>
      </c>
      <c r="R357" s="24" t="s">
        <v>23</v>
      </c>
      <c r="T357" s="8"/>
      <c r="U357" s="8"/>
      <c r="V357" s="8"/>
      <c r="W357" s="8"/>
      <c r="X357" s="8"/>
      <c r="Y357" s="8"/>
      <c r="Z357" s="8"/>
      <c r="AB357" s="7" t="s">
        <v>23</v>
      </c>
      <c r="AC357" s="7" t="s">
        <v>23</v>
      </c>
      <c r="AD357" s="7" t="s">
        <v>23</v>
      </c>
      <c r="AE357" s="7" t="s">
        <v>23</v>
      </c>
      <c r="AF357" s="7" t="s">
        <v>23</v>
      </c>
      <c r="AG357" s="7" t="s">
        <v>23</v>
      </c>
      <c r="AH357" s="7" t="s">
        <v>23</v>
      </c>
    </row>
    <row r="358" spans="11:34">
      <c r="K358" s="22">
        <v>354</v>
      </c>
      <c r="L358" s="24" t="s">
        <v>23</v>
      </c>
      <c r="M358" s="24" t="s">
        <v>23</v>
      </c>
      <c r="N358" s="24" t="s">
        <v>23</v>
      </c>
      <c r="O358" s="24" t="s">
        <v>23</v>
      </c>
      <c r="P358" s="24" t="s">
        <v>23</v>
      </c>
      <c r="Q358" s="24" t="s">
        <v>23</v>
      </c>
      <c r="R358" s="24" t="s">
        <v>23</v>
      </c>
      <c r="T358" s="8"/>
      <c r="U358" s="8"/>
      <c r="V358" s="8"/>
      <c r="W358" s="8"/>
      <c r="X358" s="8"/>
      <c r="Y358" s="8"/>
      <c r="Z358" s="8"/>
      <c r="AB358" s="7" t="s">
        <v>23</v>
      </c>
      <c r="AC358" s="7" t="s">
        <v>23</v>
      </c>
      <c r="AD358" s="7" t="s">
        <v>23</v>
      </c>
      <c r="AE358" s="7" t="s">
        <v>23</v>
      </c>
      <c r="AF358" s="7" t="s">
        <v>23</v>
      </c>
      <c r="AG358" s="7" t="s">
        <v>23</v>
      </c>
      <c r="AH358" s="7" t="s">
        <v>23</v>
      </c>
    </row>
    <row r="359" spans="11:34">
      <c r="K359" s="21">
        <v>355</v>
      </c>
      <c r="L359" s="24" t="s">
        <v>23</v>
      </c>
      <c r="M359" s="24" t="s">
        <v>23</v>
      </c>
      <c r="N359" s="24" t="s">
        <v>23</v>
      </c>
      <c r="O359" s="24" t="s">
        <v>23</v>
      </c>
      <c r="P359" s="24" t="s">
        <v>23</v>
      </c>
      <c r="Q359" s="24" t="s">
        <v>23</v>
      </c>
      <c r="R359" s="24" t="s">
        <v>23</v>
      </c>
      <c r="T359" s="8"/>
      <c r="U359" s="8"/>
      <c r="V359" s="8"/>
      <c r="W359" s="8"/>
      <c r="X359" s="8"/>
      <c r="Y359" s="8"/>
      <c r="Z359" s="8"/>
      <c r="AB359" s="7" t="s">
        <v>23</v>
      </c>
      <c r="AC359" s="7" t="s">
        <v>23</v>
      </c>
      <c r="AD359" s="7" t="s">
        <v>23</v>
      </c>
      <c r="AE359" s="7" t="s">
        <v>23</v>
      </c>
      <c r="AF359" s="7" t="s">
        <v>23</v>
      </c>
      <c r="AG359" s="7" t="s">
        <v>23</v>
      </c>
      <c r="AH359" s="7" t="s">
        <v>23</v>
      </c>
    </row>
    <row r="360" spans="11:34">
      <c r="K360" s="22">
        <v>356</v>
      </c>
      <c r="L360" s="24" t="s">
        <v>23</v>
      </c>
      <c r="M360" s="24" t="s">
        <v>23</v>
      </c>
      <c r="N360" s="24" t="s">
        <v>23</v>
      </c>
      <c r="O360" s="24" t="s">
        <v>23</v>
      </c>
      <c r="P360" s="24" t="s">
        <v>23</v>
      </c>
      <c r="Q360" s="24" t="s">
        <v>23</v>
      </c>
      <c r="R360" s="24" t="s">
        <v>23</v>
      </c>
      <c r="T360" s="8"/>
      <c r="U360" s="8"/>
      <c r="V360" s="8"/>
      <c r="W360" s="8"/>
      <c r="X360" s="8"/>
      <c r="Y360" s="8"/>
      <c r="Z360" s="8"/>
      <c r="AB360" s="7" t="s">
        <v>23</v>
      </c>
      <c r="AC360" s="7" t="s">
        <v>23</v>
      </c>
      <c r="AD360" s="7" t="s">
        <v>23</v>
      </c>
      <c r="AE360" s="7" t="s">
        <v>23</v>
      </c>
      <c r="AF360" s="7" t="s">
        <v>23</v>
      </c>
      <c r="AG360" s="7" t="s">
        <v>23</v>
      </c>
      <c r="AH360" s="7" t="s">
        <v>23</v>
      </c>
    </row>
    <row r="361" spans="11:34">
      <c r="K361" s="21">
        <v>357</v>
      </c>
      <c r="L361" s="24" t="s">
        <v>23</v>
      </c>
      <c r="M361" s="24" t="s">
        <v>23</v>
      </c>
      <c r="N361" s="24" t="s">
        <v>23</v>
      </c>
      <c r="O361" s="24" t="s">
        <v>23</v>
      </c>
      <c r="P361" s="24" t="s">
        <v>23</v>
      </c>
      <c r="Q361" s="24" t="s">
        <v>23</v>
      </c>
      <c r="R361" s="24" t="s">
        <v>23</v>
      </c>
      <c r="T361" s="8"/>
      <c r="U361" s="8"/>
      <c r="V361" s="8"/>
      <c r="W361" s="8"/>
      <c r="X361" s="8"/>
      <c r="Y361" s="8"/>
      <c r="Z361" s="8"/>
      <c r="AB361" s="7" t="s">
        <v>23</v>
      </c>
      <c r="AC361" s="7" t="s">
        <v>23</v>
      </c>
      <c r="AD361" s="7" t="s">
        <v>23</v>
      </c>
      <c r="AE361" s="7" t="s">
        <v>23</v>
      </c>
      <c r="AF361" s="7" t="s">
        <v>23</v>
      </c>
      <c r="AG361" s="7" t="s">
        <v>23</v>
      </c>
      <c r="AH361" s="7" t="s">
        <v>23</v>
      </c>
    </row>
    <row r="362" spans="11:34">
      <c r="K362" s="22">
        <v>358</v>
      </c>
      <c r="L362" s="24" t="s">
        <v>23</v>
      </c>
      <c r="M362" s="24" t="s">
        <v>23</v>
      </c>
      <c r="N362" s="24" t="s">
        <v>23</v>
      </c>
      <c r="O362" s="24" t="s">
        <v>23</v>
      </c>
      <c r="P362" s="24" t="s">
        <v>23</v>
      </c>
      <c r="Q362" s="24" t="s">
        <v>23</v>
      </c>
      <c r="R362" s="24" t="s">
        <v>23</v>
      </c>
      <c r="T362" s="8"/>
      <c r="U362" s="8"/>
      <c r="V362" s="8"/>
      <c r="W362" s="8"/>
      <c r="X362" s="8"/>
      <c r="Y362" s="8"/>
      <c r="Z362" s="8"/>
      <c r="AB362" s="7" t="s">
        <v>23</v>
      </c>
      <c r="AC362" s="7" t="s">
        <v>23</v>
      </c>
      <c r="AD362" s="7" t="s">
        <v>23</v>
      </c>
      <c r="AE362" s="7" t="s">
        <v>23</v>
      </c>
      <c r="AF362" s="7" t="s">
        <v>23</v>
      </c>
      <c r="AG362" s="7" t="s">
        <v>23</v>
      </c>
      <c r="AH362" s="7" t="s">
        <v>23</v>
      </c>
    </row>
    <row r="363" spans="11:34">
      <c r="K363" s="21">
        <v>359</v>
      </c>
      <c r="L363" s="24" t="s">
        <v>23</v>
      </c>
      <c r="M363" s="24" t="s">
        <v>23</v>
      </c>
      <c r="N363" s="24" t="s">
        <v>23</v>
      </c>
      <c r="O363" s="24" t="s">
        <v>23</v>
      </c>
      <c r="P363" s="24" t="s">
        <v>23</v>
      </c>
      <c r="Q363" s="24" t="s">
        <v>23</v>
      </c>
      <c r="R363" s="24" t="s">
        <v>23</v>
      </c>
      <c r="T363" s="8"/>
      <c r="U363" s="8"/>
      <c r="V363" s="8"/>
      <c r="W363" s="8"/>
      <c r="X363" s="8"/>
      <c r="Y363" s="8"/>
      <c r="Z363" s="8"/>
      <c r="AB363" s="7" t="s">
        <v>23</v>
      </c>
      <c r="AC363" s="7" t="s">
        <v>23</v>
      </c>
      <c r="AD363" s="7" t="s">
        <v>23</v>
      </c>
      <c r="AE363" s="7" t="s">
        <v>23</v>
      </c>
      <c r="AF363" s="7" t="s">
        <v>23</v>
      </c>
      <c r="AG363" s="7" t="s">
        <v>23</v>
      </c>
      <c r="AH363" s="7" t="s">
        <v>23</v>
      </c>
    </row>
    <row r="364" spans="11:34">
      <c r="K364" s="22">
        <v>360</v>
      </c>
      <c r="L364" s="24" t="s">
        <v>23</v>
      </c>
      <c r="M364" s="24" t="s">
        <v>23</v>
      </c>
      <c r="N364" s="24" t="s">
        <v>23</v>
      </c>
      <c r="O364" s="24" t="s">
        <v>23</v>
      </c>
      <c r="P364" s="24" t="s">
        <v>23</v>
      </c>
      <c r="Q364" s="24" t="s">
        <v>23</v>
      </c>
      <c r="R364" s="24" t="s">
        <v>23</v>
      </c>
      <c r="T364" s="8"/>
      <c r="U364" s="8"/>
      <c r="V364" s="8"/>
      <c r="W364" s="8"/>
      <c r="X364" s="8"/>
      <c r="Y364" s="8"/>
      <c r="Z364" s="8"/>
      <c r="AB364" s="7" t="s">
        <v>23</v>
      </c>
      <c r="AC364" s="7" t="s">
        <v>23</v>
      </c>
      <c r="AD364" s="7" t="s">
        <v>23</v>
      </c>
      <c r="AE364" s="7" t="s">
        <v>23</v>
      </c>
      <c r="AF364" s="7" t="s">
        <v>23</v>
      </c>
      <c r="AG364" s="7" t="s">
        <v>23</v>
      </c>
      <c r="AH364" s="7" t="s">
        <v>23</v>
      </c>
    </row>
    <row r="365" spans="11:34">
      <c r="K365" s="21">
        <v>361</v>
      </c>
      <c r="L365" s="24" t="s">
        <v>23</v>
      </c>
      <c r="M365" s="24" t="s">
        <v>23</v>
      </c>
      <c r="N365" s="24" t="s">
        <v>23</v>
      </c>
      <c r="O365" s="24" t="s">
        <v>23</v>
      </c>
      <c r="P365" s="24" t="s">
        <v>23</v>
      </c>
      <c r="Q365" s="24" t="s">
        <v>23</v>
      </c>
      <c r="R365" s="24" t="s">
        <v>23</v>
      </c>
      <c r="T365" s="8"/>
      <c r="U365" s="8"/>
      <c r="V365" s="8"/>
      <c r="W365" s="8"/>
      <c r="X365" s="8"/>
      <c r="Y365" s="8"/>
      <c r="Z365" s="8"/>
      <c r="AB365" s="7" t="s">
        <v>23</v>
      </c>
      <c r="AC365" s="7" t="s">
        <v>23</v>
      </c>
      <c r="AD365" s="7" t="s">
        <v>23</v>
      </c>
      <c r="AE365" s="7" t="s">
        <v>23</v>
      </c>
      <c r="AF365" s="7" t="s">
        <v>23</v>
      </c>
      <c r="AG365" s="7" t="s">
        <v>23</v>
      </c>
      <c r="AH365" s="7" t="s">
        <v>23</v>
      </c>
    </row>
    <row r="366" spans="11:34">
      <c r="K366" s="22">
        <v>362</v>
      </c>
      <c r="L366" s="24" t="s">
        <v>23</v>
      </c>
      <c r="M366" s="24" t="s">
        <v>23</v>
      </c>
      <c r="N366" s="24" t="s">
        <v>23</v>
      </c>
      <c r="O366" s="24" t="s">
        <v>23</v>
      </c>
      <c r="P366" s="24" t="s">
        <v>23</v>
      </c>
      <c r="Q366" s="24" t="s">
        <v>23</v>
      </c>
      <c r="R366" s="24" t="s">
        <v>23</v>
      </c>
      <c r="T366" s="8"/>
      <c r="U366" s="8"/>
      <c r="V366" s="8"/>
      <c r="W366" s="8"/>
      <c r="X366" s="8"/>
      <c r="Y366" s="8"/>
      <c r="Z366" s="8"/>
      <c r="AB366" s="7" t="s">
        <v>23</v>
      </c>
      <c r="AC366" s="7" t="s">
        <v>23</v>
      </c>
      <c r="AD366" s="7" t="s">
        <v>23</v>
      </c>
      <c r="AE366" s="7" t="s">
        <v>23</v>
      </c>
      <c r="AF366" s="7" t="s">
        <v>23</v>
      </c>
      <c r="AG366" s="7" t="s">
        <v>23</v>
      </c>
      <c r="AH366" s="7" t="s">
        <v>23</v>
      </c>
    </row>
    <row r="367" spans="11:34">
      <c r="K367" s="21">
        <v>363</v>
      </c>
      <c r="L367" s="24" t="s">
        <v>23</v>
      </c>
      <c r="M367" s="24" t="s">
        <v>23</v>
      </c>
      <c r="N367" s="24" t="s">
        <v>23</v>
      </c>
      <c r="O367" s="24" t="s">
        <v>23</v>
      </c>
      <c r="P367" s="24" t="s">
        <v>23</v>
      </c>
      <c r="Q367" s="24" t="s">
        <v>23</v>
      </c>
      <c r="R367" s="24" t="s">
        <v>23</v>
      </c>
      <c r="T367" s="8"/>
      <c r="U367" s="8"/>
      <c r="V367" s="8"/>
      <c r="W367" s="8"/>
      <c r="X367" s="8"/>
      <c r="Y367" s="8"/>
      <c r="Z367" s="8"/>
      <c r="AB367" s="7" t="s">
        <v>23</v>
      </c>
      <c r="AC367" s="7" t="s">
        <v>23</v>
      </c>
      <c r="AD367" s="7" t="s">
        <v>23</v>
      </c>
      <c r="AE367" s="7" t="s">
        <v>23</v>
      </c>
      <c r="AF367" s="7" t="s">
        <v>23</v>
      </c>
      <c r="AG367" s="7" t="s">
        <v>23</v>
      </c>
      <c r="AH367" s="7" t="s">
        <v>23</v>
      </c>
    </row>
    <row r="368" spans="11:34">
      <c r="K368" s="22">
        <v>364</v>
      </c>
      <c r="L368" s="24" t="s">
        <v>23</v>
      </c>
      <c r="M368" s="24" t="s">
        <v>23</v>
      </c>
      <c r="N368" s="24" t="s">
        <v>23</v>
      </c>
      <c r="O368" s="24" t="s">
        <v>23</v>
      </c>
      <c r="P368" s="24" t="s">
        <v>23</v>
      </c>
      <c r="Q368" s="24" t="s">
        <v>23</v>
      </c>
      <c r="R368" s="24" t="s">
        <v>23</v>
      </c>
      <c r="T368" s="8"/>
      <c r="U368" s="8"/>
      <c r="V368" s="8"/>
      <c r="W368" s="8"/>
      <c r="X368" s="8"/>
      <c r="Y368" s="8"/>
      <c r="Z368" s="8"/>
      <c r="AB368" s="7" t="s">
        <v>23</v>
      </c>
      <c r="AC368" s="7" t="s">
        <v>23</v>
      </c>
      <c r="AD368" s="7" t="s">
        <v>23</v>
      </c>
      <c r="AE368" s="7" t="s">
        <v>23</v>
      </c>
      <c r="AF368" s="7" t="s">
        <v>23</v>
      </c>
      <c r="AG368" s="7" t="s">
        <v>23</v>
      </c>
      <c r="AH368" s="7" t="s">
        <v>23</v>
      </c>
    </row>
    <row r="369" spans="11:34">
      <c r="K369" s="21">
        <v>365</v>
      </c>
      <c r="L369" s="24" t="s">
        <v>23</v>
      </c>
      <c r="M369" s="24" t="s">
        <v>23</v>
      </c>
      <c r="N369" s="24" t="s">
        <v>23</v>
      </c>
      <c r="O369" s="24" t="s">
        <v>23</v>
      </c>
      <c r="P369" s="24" t="s">
        <v>23</v>
      </c>
      <c r="Q369" s="24" t="s">
        <v>23</v>
      </c>
      <c r="R369" s="24" t="s">
        <v>23</v>
      </c>
      <c r="T369" s="8"/>
      <c r="U369" s="8"/>
      <c r="V369" s="8"/>
      <c r="W369" s="8"/>
      <c r="X369" s="8"/>
      <c r="Y369" s="8"/>
      <c r="Z369" s="8"/>
      <c r="AB369" s="7" t="s">
        <v>23</v>
      </c>
      <c r="AC369" s="7" t="s">
        <v>23</v>
      </c>
      <c r="AD369" s="7" t="s">
        <v>23</v>
      </c>
      <c r="AE369" s="7" t="s">
        <v>23</v>
      </c>
      <c r="AF369" s="7" t="s">
        <v>23</v>
      </c>
      <c r="AG369" s="7" t="s">
        <v>23</v>
      </c>
      <c r="AH369" s="7" t="s">
        <v>23</v>
      </c>
    </row>
    <row r="370" spans="11:34">
      <c r="K370" s="22">
        <v>366</v>
      </c>
      <c r="L370" s="24" t="s">
        <v>23</v>
      </c>
      <c r="M370" s="24" t="s">
        <v>23</v>
      </c>
      <c r="N370" s="24" t="s">
        <v>23</v>
      </c>
      <c r="O370" s="24" t="s">
        <v>23</v>
      </c>
      <c r="P370" s="24" t="s">
        <v>23</v>
      </c>
      <c r="Q370" s="24" t="s">
        <v>23</v>
      </c>
      <c r="R370" s="24" t="s">
        <v>23</v>
      </c>
      <c r="T370" s="8"/>
      <c r="U370" s="8"/>
      <c r="V370" s="8"/>
      <c r="W370" s="8"/>
      <c r="X370" s="8"/>
      <c r="Y370" s="8"/>
      <c r="Z370" s="8"/>
      <c r="AB370" s="7" t="s">
        <v>23</v>
      </c>
      <c r="AC370" s="7" t="s">
        <v>23</v>
      </c>
      <c r="AD370" s="7" t="s">
        <v>23</v>
      </c>
      <c r="AE370" s="7" t="s">
        <v>23</v>
      </c>
      <c r="AF370" s="7" t="s">
        <v>23</v>
      </c>
      <c r="AG370" s="7" t="s">
        <v>23</v>
      </c>
      <c r="AH370" s="7" t="s">
        <v>23</v>
      </c>
    </row>
    <row r="371" spans="11:34">
      <c r="K371" s="21">
        <v>367</v>
      </c>
      <c r="L371" s="24" t="s">
        <v>23</v>
      </c>
      <c r="M371" s="24" t="s">
        <v>23</v>
      </c>
      <c r="N371" s="24" t="s">
        <v>23</v>
      </c>
      <c r="O371" s="24" t="s">
        <v>23</v>
      </c>
      <c r="P371" s="24" t="s">
        <v>23</v>
      </c>
      <c r="Q371" s="24" t="s">
        <v>23</v>
      </c>
      <c r="R371" s="24" t="s">
        <v>23</v>
      </c>
      <c r="T371" s="8"/>
      <c r="U371" s="8"/>
      <c r="V371" s="8"/>
      <c r="W371" s="8"/>
      <c r="X371" s="8"/>
      <c r="Y371" s="8"/>
      <c r="Z371" s="8"/>
      <c r="AB371" s="7" t="s">
        <v>23</v>
      </c>
      <c r="AC371" s="7" t="s">
        <v>23</v>
      </c>
      <c r="AD371" s="7" t="s">
        <v>23</v>
      </c>
      <c r="AE371" s="7" t="s">
        <v>23</v>
      </c>
      <c r="AF371" s="7" t="s">
        <v>23</v>
      </c>
      <c r="AG371" s="7" t="s">
        <v>23</v>
      </c>
      <c r="AH371" s="7" t="s">
        <v>23</v>
      </c>
    </row>
    <row r="372" spans="11:34">
      <c r="K372" s="22">
        <v>368</v>
      </c>
      <c r="L372" s="24" t="s">
        <v>23</v>
      </c>
      <c r="M372" s="24" t="s">
        <v>23</v>
      </c>
      <c r="N372" s="24" t="s">
        <v>23</v>
      </c>
      <c r="O372" s="24" t="s">
        <v>23</v>
      </c>
      <c r="P372" s="24" t="s">
        <v>23</v>
      </c>
      <c r="Q372" s="24" t="s">
        <v>23</v>
      </c>
      <c r="R372" s="24" t="s">
        <v>23</v>
      </c>
      <c r="T372" s="8"/>
      <c r="U372" s="8"/>
      <c r="V372" s="8"/>
      <c r="W372" s="8"/>
      <c r="X372" s="8"/>
      <c r="Y372" s="8"/>
      <c r="Z372" s="8"/>
      <c r="AB372" s="7" t="s">
        <v>23</v>
      </c>
      <c r="AC372" s="7" t="s">
        <v>23</v>
      </c>
      <c r="AD372" s="7" t="s">
        <v>23</v>
      </c>
      <c r="AE372" s="7" t="s">
        <v>23</v>
      </c>
      <c r="AF372" s="7" t="s">
        <v>23</v>
      </c>
      <c r="AG372" s="7" t="s">
        <v>23</v>
      </c>
      <c r="AH372" s="7" t="s">
        <v>23</v>
      </c>
    </row>
    <row r="373" spans="11:34">
      <c r="K373" s="21">
        <v>369</v>
      </c>
      <c r="L373" s="24" t="s">
        <v>23</v>
      </c>
      <c r="M373" s="24" t="s">
        <v>23</v>
      </c>
      <c r="N373" s="24" t="s">
        <v>23</v>
      </c>
      <c r="O373" s="24" t="s">
        <v>23</v>
      </c>
      <c r="P373" s="24" t="s">
        <v>23</v>
      </c>
      <c r="Q373" s="24" t="s">
        <v>23</v>
      </c>
      <c r="R373" s="24" t="s">
        <v>23</v>
      </c>
      <c r="T373" s="8"/>
      <c r="U373" s="8"/>
      <c r="V373" s="8"/>
      <c r="W373" s="8"/>
      <c r="X373" s="8"/>
      <c r="Y373" s="8"/>
      <c r="Z373" s="8"/>
      <c r="AB373" s="7" t="s">
        <v>23</v>
      </c>
      <c r="AC373" s="7" t="s">
        <v>23</v>
      </c>
      <c r="AD373" s="7" t="s">
        <v>23</v>
      </c>
      <c r="AE373" s="7" t="s">
        <v>23</v>
      </c>
      <c r="AF373" s="7" t="s">
        <v>23</v>
      </c>
      <c r="AG373" s="7" t="s">
        <v>23</v>
      </c>
      <c r="AH373" s="7" t="s">
        <v>23</v>
      </c>
    </row>
    <row r="374" spans="11:34">
      <c r="K374" s="22">
        <v>370</v>
      </c>
      <c r="L374" s="24" t="s">
        <v>23</v>
      </c>
      <c r="M374" s="24" t="s">
        <v>23</v>
      </c>
      <c r="N374" s="24" t="s">
        <v>23</v>
      </c>
      <c r="O374" s="24" t="s">
        <v>23</v>
      </c>
      <c r="P374" s="24" t="s">
        <v>23</v>
      </c>
      <c r="Q374" s="24" t="s">
        <v>23</v>
      </c>
      <c r="R374" s="24" t="s">
        <v>23</v>
      </c>
      <c r="T374" s="8"/>
      <c r="U374" s="8"/>
      <c r="V374" s="8"/>
      <c r="W374" s="8"/>
      <c r="X374" s="8"/>
      <c r="Y374" s="8"/>
      <c r="Z374" s="8"/>
      <c r="AB374" s="7" t="s">
        <v>23</v>
      </c>
      <c r="AC374" s="7" t="s">
        <v>23</v>
      </c>
      <c r="AD374" s="7" t="s">
        <v>23</v>
      </c>
      <c r="AE374" s="7" t="s">
        <v>23</v>
      </c>
      <c r="AF374" s="7" t="s">
        <v>23</v>
      </c>
      <c r="AG374" s="7" t="s">
        <v>23</v>
      </c>
      <c r="AH374" s="7" t="s">
        <v>23</v>
      </c>
    </row>
    <row r="375" spans="11:34">
      <c r="K375" s="21">
        <v>371</v>
      </c>
      <c r="L375" s="24" t="s">
        <v>23</v>
      </c>
      <c r="M375" s="24" t="s">
        <v>23</v>
      </c>
      <c r="N375" s="24" t="s">
        <v>23</v>
      </c>
      <c r="O375" s="24" t="s">
        <v>23</v>
      </c>
      <c r="P375" s="24" t="s">
        <v>23</v>
      </c>
      <c r="Q375" s="24" t="s">
        <v>23</v>
      </c>
      <c r="R375" s="24" t="s">
        <v>23</v>
      </c>
      <c r="T375" s="8"/>
      <c r="U375" s="8"/>
      <c r="V375" s="8"/>
      <c r="W375" s="8"/>
      <c r="X375" s="8"/>
      <c r="Y375" s="8"/>
      <c r="Z375" s="8"/>
      <c r="AB375" s="7" t="s">
        <v>23</v>
      </c>
      <c r="AC375" s="7" t="s">
        <v>23</v>
      </c>
      <c r="AD375" s="7" t="s">
        <v>23</v>
      </c>
      <c r="AE375" s="7" t="s">
        <v>23</v>
      </c>
      <c r="AF375" s="7" t="s">
        <v>23</v>
      </c>
      <c r="AG375" s="7" t="s">
        <v>23</v>
      </c>
      <c r="AH375" s="7" t="s">
        <v>23</v>
      </c>
    </row>
    <row r="376" spans="11:34">
      <c r="K376" s="22">
        <v>372</v>
      </c>
      <c r="L376" s="24" t="s">
        <v>23</v>
      </c>
      <c r="M376" s="24" t="s">
        <v>23</v>
      </c>
      <c r="N376" s="24" t="s">
        <v>23</v>
      </c>
      <c r="O376" s="24" t="s">
        <v>23</v>
      </c>
      <c r="P376" s="24" t="s">
        <v>23</v>
      </c>
      <c r="Q376" s="24" t="s">
        <v>23</v>
      </c>
      <c r="R376" s="24" t="s">
        <v>23</v>
      </c>
      <c r="T376" s="8"/>
      <c r="U376" s="8"/>
      <c r="V376" s="8"/>
      <c r="W376" s="8"/>
      <c r="X376" s="8"/>
      <c r="Y376" s="8"/>
      <c r="Z376" s="8"/>
      <c r="AB376" s="7" t="s">
        <v>23</v>
      </c>
      <c r="AC376" s="7" t="s">
        <v>23</v>
      </c>
      <c r="AD376" s="7" t="s">
        <v>23</v>
      </c>
      <c r="AE376" s="7" t="s">
        <v>23</v>
      </c>
      <c r="AF376" s="7" t="s">
        <v>23</v>
      </c>
      <c r="AG376" s="7" t="s">
        <v>23</v>
      </c>
      <c r="AH376" s="7" t="s">
        <v>23</v>
      </c>
    </row>
    <row r="377" spans="11:34">
      <c r="K377" s="21">
        <v>373</v>
      </c>
      <c r="L377" s="24" t="s">
        <v>23</v>
      </c>
      <c r="M377" s="24" t="s">
        <v>23</v>
      </c>
      <c r="N377" s="24" t="s">
        <v>23</v>
      </c>
      <c r="O377" s="24" t="s">
        <v>23</v>
      </c>
      <c r="P377" s="24" t="s">
        <v>23</v>
      </c>
      <c r="Q377" s="24" t="s">
        <v>23</v>
      </c>
      <c r="R377" s="24" t="s">
        <v>23</v>
      </c>
      <c r="T377" s="8"/>
      <c r="U377" s="8"/>
      <c r="V377" s="8"/>
      <c r="W377" s="8"/>
      <c r="X377" s="8"/>
      <c r="Y377" s="8"/>
      <c r="Z377" s="8"/>
      <c r="AB377" s="7" t="s">
        <v>23</v>
      </c>
      <c r="AC377" s="7" t="s">
        <v>23</v>
      </c>
      <c r="AD377" s="7" t="s">
        <v>23</v>
      </c>
      <c r="AE377" s="7" t="s">
        <v>23</v>
      </c>
      <c r="AF377" s="7" t="s">
        <v>23</v>
      </c>
      <c r="AG377" s="7" t="s">
        <v>23</v>
      </c>
      <c r="AH377" s="7" t="s">
        <v>23</v>
      </c>
    </row>
    <row r="378" spans="11:34">
      <c r="K378" s="22">
        <v>374</v>
      </c>
      <c r="L378" s="24" t="s">
        <v>23</v>
      </c>
      <c r="M378" s="24" t="s">
        <v>23</v>
      </c>
      <c r="N378" s="24" t="s">
        <v>23</v>
      </c>
      <c r="O378" s="24" t="s">
        <v>23</v>
      </c>
      <c r="P378" s="24" t="s">
        <v>23</v>
      </c>
      <c r="Q378" s="24" t="s">
        <v>23</v>
      </c>
      <c r="R378" s="24" t="s">
        <v>23</v>
      </c>
      <c r="T378" s="8"/>
      <c r="U378" s="8"/>
      <c r="V378" s="8"/>
      <c r="W378" s="8"/>
      <c r="X378" s="8"/>
      <c r="Y378" s="8"/>
      <c r="Z378" s="8"/>
      <c r="AB378" s="7" t="s">
        <v>23</v>
      </c>
      <c r="AC378" s="7" t="s">
        <v>23</v>
      </c>
      <c r="AD378" s="7" t="s">
        <v>23</v>
      </c>
      <c r="AE378" s="7" t="s">
        <v>23</v>
      </c>
      <c r="AF378" s="7" t="s">
        <v>23</v>
      </c>
      <c r="AG378" s="7" t="s">
        <v>23</v>
      </c>
      <c r="AH378" s="7" t="s">
        <v>23</v>
      </c>
    </row>
    <row r="379" spans="11:34">
      <c r="K379" s="21">
        <v>375</v>
      </c>
      <c r="L379" s="24" t="s">
        <v>23</v>
      </c>
      <c r="M379" s="24" t="s">
        <v>23</v>
      </c>
      <c r="N379" s="24" t="s">
        <v>23</v>
      </c>
      <c r="O379" s="24" t="s">
        <v>23</v>
      </c>
      <c r="P379" s="24" t="s">
        <v>23</v>
      </c>
      <c r="Q379" s="24" t="s">
        <v>23</v>
      </c>
      <c r="R379" s="24" t="s">
        <v>23</v>
      </c>
      <c r="T379" s="8"/>
      <c r="U379" s="8"/>
      <c r="V379" s="8"/>
      <c r="W379" s="8"/>
      <c r="X379" s="8"/>
      <c r="Y379" s="8"/>
      <c r="Z379" s="8"/>
      <c r="AB379" s="7" t="s">
        <v>23</v>
      </c>
      <c r="AC379" s="7" t="s">
        <v>23</v>
      </c>
      <c r="AD379" s="7" t="s">
        <v>23</v>
      </c>
      <c r="AE379" s="7" t="s">
        <v>23</v>
      </c>
      <c r="AF379" s="7" t="s">
        <v>23</v>
      </c>
      <c r="AG379" s="7" t="s">
        <v>23</v>
      </c>
      <c r="AH379" s="7" t="s">
        <v>23</v>
      </c>
    </row>
    <row r="380" spans="11:34">
      <c r="K380" s="22">
        <v>376</v>
      </c>
      <c r="L380" s="24" t="s">
        <v>23</v>
      </c>
      <c r="M380" s="24" t="s">
        <v>23</v>
      </c>
      <c r="N380" s="24" t="s">
        <v>23</v>
      </c>
      <c r="O380" s="24" t="s">
        <v>23</v>
      </c>
      <c r="P380" s="24" t="s">
        <v>23</v>
      </c>
      <c r="Q380" s="24" t="s">
        <v>23</v>
      </c>
      <c r="R380" s="24" t="s">
        <v>23</v>
      </c>
      <c r="T380" s="8"/>
      <c r="U380" s="8"/>
      <c r="V380" s="8"/>
      <c r="W380" s="8"/>
      <c r="X380" s="8"/>
      <c r="Y380" s="8"/>
      <c r="Z380" s="8"/>
      <c r="AB380" s="7" t="s">
        <v>23</v>
      </c>
      <c r="AC380" s="7" t="s">
        <v>23</v>
      </c>
      <c r="AD380" s="7" t="s">
        <v>23</v>
      </c>
      <c r="AE380" s="7" t="s">
        <v>23</v>
      </c>
      <c r="AF380" s="7" t="s">
        <v>23</v>
      </c>
      <c r="AG380" s="7" t="s">
        <v>23</v>
      </c>
      <c r="AH380" s="7" t="s">
        <v>23</v>
      </c>
    </row>
    <row r="381" spans="11:34">
      <c r="K381" s="21">
        <v>377</v>
      </c>
      <c r="L381" s="24" t="s">
        <v>23</v>
      </c>
      <c r="M381" s="24" t="s">
        <v>23</v>
      </c>
      <c r="N381" s="24" t="s">
        <v>23</v>
      </c>
      <c r="O381" s="24" t="s">
        <v>23</v>
      </c>
      <c r="P381" s="24" t="s">
        <v>23</v>
      </c>
      <c r="Q381" s="24" t="s">
        <v>23</v>
      </c>
      <c r="R381" s="24" t="s">
        <v>23</v>
      </c>
      <c r="T381" s="8"/>
      <c r="U381" s="8"/>
      <c r="V381" s="8"/>
      <c r="W381" s="8"/>
      <c r="X381" s="8"/>
      <c r="Y381" s="8"/>
      <c r="Z381" s="8"/>
      <c r="AB381" s="7" t="s">
        <v>23</v>
      </c>
      <c r="AC381" s="7" t="s">
        <v>23</v>
      </c>
      <c r="AD381" s="7" t="s">
        <v>23</v>
      </c>
      <c r="AE381" s="7" t="s">
        <v>23</v>
      </c>
      <c r="AF381" s="7" t="s">
        <v>23</v>
      </c>
      <c r="AG381" s="7" t="s">
        <v>23</v>
      </c>
      <c r="AH381" s="7" t="s">
        <v>23</v>
      </c>
    </row>
    <row r="382" spans="11:34">
      <c r="K382" s="22">
        <v>378</v>
      </c>
      <c r="L382" s="24" t="s">
        <v>23</v>
      </c>
      <c r="M382" s="24" t="s">
        <v>23</v>
      </c>
      <c r="N382" s="24" t="s">
        <v>23</v>
      </c>
      <c r="O382" s="24" t="s">
        <v>23</v>
      </c>
      <c r="P382" s="24" t="s">
        <v>23</v>
      </c>
      <c r="Q382" s="24" t="s">
        <v>23</v>
      </c>
      <c r="R382" s="24" t="s">
        <v>23</v>
      </c>
      <c r="T382" s="8"/>
      <c r="U382" s="8"/>
      <c r="V382" s="8"/>
      <c r="W382" s="8"/>
      <c r="X382" s="8"/>
      <c r="Y382" s="8"/>
      <c r="Z382" s="8"/>
      <c r="AB382" s="7" t="s">
        <v>23</v>
      </c>
      <c r="AC382" s="7" t="s">
        <v>23</v>
      </c>
      <c r="AD382" s="7" t="s">
        <v>23</v>
      </c>
      <c r="AE382" s="7" t="s">
        <v>23</v>
      </c>
      <c r="AF382" s="7" t="s">
        <v>23</v>
      </c>
      <c r="AG382" s="7" t="s">
        <v>23</v>
      </c>
      <c r="AH382" s="7" t="s">
        <v>23</v>
      </c>
    </row>
    <row r="383" spans="11:34">
      <c r="K383" s="21">
        <v>379</v>
      </c>
      <c r="L383" s="24" t="s">
        <v>23</v>
      </c>
      <c r="M383" s="24" t="s">
        <v>23</v>
      </c>
      <c r="N383" s="24" t="s">
        <v>23</v>
      </c>
      <c r="O383" s="24" t="s">
        <v>23</v>
      </c>
      <c r="P383" s="24" t="s">
        <v>23</v>
      </c>
      <c r="Q383" s="24" t="s">
        <v>23</v>
      </c>
      <c r="R383" s="24" t="s">
        <v>23</v>
      </c>
      <c r="T383" s="8"/>
      <c r="U383" s="8"/>
      <c r="V383" s="8"/>
      <c r="W383" s="8"/>
      <c r="X383" s="8"/>
      <c r="Y383" s="8"/>
      <c r="Z383" s="8"/>
      <c r="AB383" s="7" t="s">
        <v>23</v>
      </c>
      <c r="AC383" s="7" t="s">
        <v>23</v>
      </c>
      <c r="AD383" s="7" t="s">
        <v>23</v>
      </c>
      <c r="AE383" s="7" t="s">
        <v>23</v>
      </c>
      <c r="AF383" s="7" t="s">
        <v>23</v>
      </c>
      <c r="AG383" s="7" t="s">
        <v>23</v>
      </c>
      <c r="AH383" s="7" t="s">
        <v>23</v>
      </c>
    </row>
    <row r="384" spans="11:34">
      <c r="K384" s="22">
        <v>380</v>
      </c>
      <c r="L384" s="24" t="s">
        <v>23</v>
      </c>
      <c r="M384" s="24" t="s">
        <v>23</v>
      </c>
      <c r="N384" s="24" t="s">
        <v>23</v>
      </c>
      <c r="O384" s="24" t="s">
        <v>23</v>
      </c>
      <c r="P384" s="24" t="s">
        <v>23</v>
      </c>
      <c r="Q384" s="24" t="s">
        <v>23</v>
      </c>
      <c r="R384" s="24" t="s">
        <v>23</v>
      </c>
      <c r="T384" s="8"/>
      <c r="U384" s="8"/>
      <c r="V384" s="8"/>
      <c r="W384" s="8"/>
      <c r="X384" s="8"/>
      <c r="Y384" s="8"/>
      <c r="Z384" s="8"/>
      <c r="AB384" s="7" t="s">
        <v>23</v>
      </c>
      <c r="AC384" s="7" t="s">
        <v>23</v>
      </c>
      <c r="AD384" s="7" t="s">
        <v>23</v>
      </c>
      <c r="AE384" s="7" t="s">
        <v>23</v>
      </c>
      <c r="AF384" s="7" t="s">
        <v>23</v>
      </c>
      <c r="AG384" s="7" t="s">
        <v>23</v>
      </c>
      <c r="AH384" s="7" t="s">
        <v>23</v>
      </c>
    </row>
    <row r="385" spans="11:34">
      <c r="K385" s="21">
        <v>381</v>
      </c>
      <c r="L385" s="24" t="s">
        <v>23</v>
      </c>
      <c r="M385" s="24" t="s">
        <v>23</v>
      </c>
      <c r="N385" s="24" t="s">
        <v>23</v>
      </c>
      <c r="O385" s="24" t="s">
        <v>23</v>
      </c>
      <c r="P385" s="24" t="s">
        <v>23</v>
      </c>
      <c r="Q385" s="24" t="s">
        <v>23</v>
      </c>
      <c r="R385" s="24" t="s">
        <v>23</v>
      </c>
      <c r="T385" s="8"/>
      <c r="U385" s="8"/>
      <c r="V385" s="8"/>
      <c r="W385" s="8"/>
      <c r="X385" s="8"/>
      <c r="Y385" s="8"/>
      <c r="Z385" s="8"/>
      <c r="AB385" s="7" t="s">
        <v>23</v>
      </c>
      <c r="AC385" s="7" t="s">
        <v>23</v>
      </c>
      <c r="AD385" s="7" t="s">
        <v>23</v>
      </c>
      <c r="AE385" s="7" t="s">
        <v>23</v>
      </c>
      <c r="AF385" s="7" t="s">
        <v>23</v>
      </c>
      <c r="AG385" s="7" t="s">
        <v>23</v>
      </c>
      <c r="AH385" s="7" t="s">
        <v>23</v>
      </c>
    </row>
    <row r="386" spans="11:34">
      <c r="K386" s="22">
        <v>382</v>
      </c>
      <c r="L386" s="24" t="s">
        <v>23</v>
      </c>
      <c r="M386" s="24" t="s">
        <v>23</v>
      </c>
      <c r="N386" s="24" t="s">
        <v>23</v>
      </c>
      <c r="O386" s="24" t="s">
        <v>23</v>
      </c>
      <c r="P386" s="24" t="s">
        <v>23</v>
      </c>
      <c r="Q386" s="24" t="s">
        <v>23</v>
      </c>
      <c r="R386" s="24" t="s">
        <v>23</v>
      </c>
      <c r="T386" s="8"/>
      <c r="U386" s="8"/>
      <c r="V386" s="8"/>
      <c r="W386" s="8"/>
      <c r="X386" s="8"/>
      <c r="Y386" s="8"/>
      <c r="Z386" s="8"/>
      <c r="AB386" s="7" t="s">
        <v>23</v>
      </c>
      <c r="AC386" s="7" t="s">
        <v>23</v>
      </c>
      <c r="AD386" s="7" t="s">
        <v>23</v>
      </c>
      <c r="AE386" s="7" t="s">
        <v>23</v>
      </c>
      <c r="AF386" s="7" t="s">
        <v>23</v>
      </c>
      <c r="AG386" s="7" t="s">
        <v>23</v>
      </c>
      <c r="AH386" s="7" t="s">
        <v>23</v>
      </c>
    </row>
    <row r="387" spans="11:34">
      <c r="K387" s="21">
        <v>383</v>
      </c>
      <c r="L387" s="24" t="s">
        <v>23</v>
      </c>
      <c r="M387" s="24" t="s">
        <v>23</v>
      </c>
      <c r="N387" s="24" t="s">
        <v>23</v>
      </c>
      <c r="O387" s="24" t="s">
        <v>23</v>
      </c>
      <c r="P387" s="24" t="s">
        <v>23</v>
      </c>
      <c r="Q387" s="24" t="s">
        <v>23</v>
      </c>
      <c r="R387" s="24" t="s">
        <v>23</v>
      </c>
      <c r="T387" s="8"/>
      <c r="U387" s="8"/>
      <c r="V387" s="8"/>
      <c r="W387" s="8"/>
      <c r="X387" s="8"/>
      <c r="Y387" s="8"/>
      <c r="Z387" s="8"/>
      <c r="AB387" s="7" t="s">
        <v>23</v>
      </c>
      <c r="AC387" s="7" t="s">
        <v>23</v>
      </c>
      <c r="AD387" s="7" t="s">
        <v>23</v>
      </c>
      <c r="AE387" s="7" t="s">
        <v>23</v>
      </c>
      <c r="AF387" s="7" t="s">
        <v>23</v>
      </c>
      <c r="AG387" s="7" t="s">
        <v>23</v>
      </c>
      <c r="AH387" s="7" t="s">
        <v>23</v>
      </c>
    </row>
    <row r="388" spans="11:34">
      <c r="K388" s="22">
        <v>384</v>
      </c>
      <c r="L388" s="24" t="s">
        <v>23</v>
      </c>
      <c r="M388" s="24" t="s">
        <v>23</v>
      </c>
      <c r="N388" s="24" t="s">
        <v>23</v>
      </c>
      <c r="O388" s="24" t="s">
        <v>23</v>
      </c>
      <c r="P388" s="24" t="s">
        <v>23</v>
      </c>
      <c r="Q388" s="24" t="s">
        <v>23</v>
      </c>
      <c r="R388" s="24" t="s">
        <v>23</v>
      </c>
      <c r="T388" s="8"/>
      <c r="U388" s="8"/>
      <c r="V388" s="8"/>
      <c r="W388" s="8"/>
      <c r="X388" s="8"/>
      <c r="Y388" s="8"/>
      <c r="Z388" s="8"/>
      <c r="AB388" s="7" t="s">
        <v>23</v>
      </c>
      <c r="AC388" s="7" t="s">
        <v>23</v>
      </c>
      <c r="AD388" s="7" t="s">
        <v>23</v>
      </c>
      <c r="AE388" s="7" t="s">
        <v>23</v>
      </c>
      <c r="AF388" s="7" t="s">
        <v>23</v>
      </c>
      <c r="AG388" s="7" t="s">
        <v>23</v>
      </c>
      <c r="AH388" s="7" t="s">
        <v>23</v>
      </c>
    </row>
    <row r="389" spans="11:34">
      <c r="K389" s="21">
        <v>385</v>
      </c>
      <c r="L389" s="24" t="s">
        <v>23</v>
      </c>
      <c r="M389" s="24" t="s">
        <v>23</v>
      </c>
      <c r="N389" s="24" t="s">
        <v>23</v>
      </c>
      <c r="O389" s="24" t="s">
        <v>23</v>
      </c>
      <c r="P389" s="24" t="s">
        <v>23</v>
      </c>
      <c r="Q389" s="24" t="s">
        <v>23</v>
      </c>
      <c r="R389" s="24" t="s">
        <v>23</v>
      </c>
      <c r="T389" s="8"/>
      <c r="U389" s="8"/>
      <c r="V389" s="8"/>
      <c r="W389" s="8"/>
      <c r="X389" s="8"/>
      <c r="Y389" s="8"/>
      <c r="Z389" s="8"/>
      <c r="AB389" s="7" t="s">
        <v>23</v>
      </c>
      <c r="AC389" s="7" t="s">
        <v>23</v>
      </c>
      <c r="AD389" s="7" t="s">
        <v>23</v>
      </c>
      <c r="AE389" s="7" t="s">
        <v>23</v>
      </c>
      <c r="AF389" s="7" t="s">
        <v>23</v>
      </c>
      <c r="AG389" s="7" t="s">
        <v>23</v>
      </c>
      <c r="AH389" s="7" t="s">
        <v>23</v>
      </c>
    </row>
    <row r="390" spans="11:34">
      <c r="K390" s="22">
        <v>386</v>
      </c>
      <c r="L390" s="24" t="s">
        <v>23</v>
      </c>
      <c r="M390" s="24" t="s">
        <v>23</v>
      </c>
      <c r="N390" s="24" t="s">
        <v>23</v>
      </c>
      <c r="O390" s="24" t="s">
        <v>23</v>
      </c>
      <c r="P390" s="24" t="s">
        <v>23</v>
      </c>
      <c r="Q390" s="24" t="s">
        <v>23</v>
      </c>
      <c r="R390" s="24" t="s">
        <v>23</v>
      </c>
      <c r="T390" s="8"/>
      <c r="U390" s="8"/>
      <c r="V390" s="8"/>
      <c r="W390" s="8"/>
      <c r="X390" s="8"/>
      <c r="Y390" s="8"/>
      <c r="Z390" s="8"/>
      <c r="AB390" s="7" t="s">
        <v>23</v>
      </c>
      <c r="AC390" s="7" t="s">
        <v>23</v>
      </c>
      <c r="AD390" s="7" t="s">
        <v>23</v>
      </c>
      <c r="AE390" s="7" t="s">
        <v>23</v>
      </c>
      <c r="AF390" s="7" t="s">
        <v>23</v>
      </c>
      <c r="AG390" s="7" t="s">
        <v>23</v>
      </c>
      <c r="AH390" s="7" t="s">
        <v>23</v>
      </c>
    </row>
    <row r="391" spans="11:34">
      <c r="K391" s="21">
        <v>387</v>
      </c>
      <c r="L391" s="24" t="s">
        <v>23</v>
      </c>
      <c r="M391" s="24" t="s">
        <v>23</v>
      </c>
      <c r="N391" s="24" t="s">
        <v>23</v>
      </c>
      <c r="O391" s="24" t="s">
        <v>23</v>
      </c>
      <c r="P391" s="24" t="s">
        <v>23</v>
      </c>
      <c r="Q391" s="24" t="s">
        <v>23</v>
      </c>
      <c r="R391" s="24" t="s">
        <v>23</v>
      </c>
      <c r="T391" s="8"/>
      <c r="U391" s="8"/>
      <c r="V391" s="8"/>
      <c r="W391" s="8"/>
      <c r="X391" s="8"/>
      <c r="Y391" s="8"/>
      <c r="Z391" s="8"/>
      <c r="AB391" s="7" t="s">
        <v>23</v>
      </c>
      <c r="AC391" s="7" t="s">
        <v>23</v>
      </c>
      <c r="AD391" s="7" t="s">
        <v>23</v>
      </c>
      <c r="AE391" s="7" t="s">
        <v>23</v>
      </c>
      <c r="AF391" s="7" t="s">
        <v>23</v>
      </c>
      <c r="AG391" s="7" t="s">
        <v>23</v>
      </c>
      <c r="AH391" s="7" t="s">
        <v>23</v>
      </c>
    </row>
    <row r="392" spans="11:34">
      <c r="K392" s="22">
        <v>388</v>
      </c>
      <c r="L392" s="24" t="s">
        <v>23</v>
      </c>
      <c r="M392" s="24" t="s">
        <v>23</v>
      </c>
      <c r="N392" s="24" t="s">
        <v>23</v>
      </c>
      <c r="O392" s="24" t="s">
        <v>23</v>
      </c>
      <c r="P392" s="24" t="s">
        <v>23</v>
      </c>
      <c r="Q392" s="24" t="s">
        <v>23</v>
      </c>
      <c r="R392" s="24" t="s">
        <v>23</v>
      </c>
      <c r="T392" s="8"/>
      <c r="U392" s="8"/>
      <c r="V392" s="8"/>
      <c r="W392" s="8"/>
      <c r="X392" s="8"/>
      <c r="Y392" s="8"/>
      <c r="Z392" s="8"/>
      <c r="AB392" s="7" t="s">
        <v>23</v>
      </c>
      <c r="AC392" s="7" t="s">
        <v>23</v>
      </c>
      <c r="AD392" s="7" t="s">
        <v>23</v>
      </c>
      <c r="AE392" s="7" t="s">
        <v>23</v>
      </c>
      <c r="AF392" s="7" t="s">
        <v>23</v>
      </c>
      <c r="AG392" s="7" t="s">
        <v>23</v>
      </c>
      <c r="AH392" s="7" t="s">
        <v>23</v>
      </c>
    </row>
    <row r="393" spans="11:34">
      <c r="K393" s="21">
        <v>389</v>
      </c>
      <c r="L393" s="24" t="s">
        <v>23</v>
      </c>
      <c r="M393" s="24" t="s">
        <v>23</v>
      </c>
      <c r="N393" s="24" t="s">
        <v>23</v>
      </c>
      <c r="O393" s="24" t="s">
        <v>23</v>
      </c>
      <c r="P393" s="24" t="s">
        <v>23</v>
      </c>
      <c r="Q393" s="24" t="s">
        <v>23</v>
      </c>
      <c r="R393" s="24" t="s">
        <v>23</v>
      </c>
      <c r="T393" s="8"/>
      <c r="U393" s="8"/>
      <c r="V393" s="8"/>
      <c r="W393" s="8"/>
      <c r="X393" s="8"/>
      <c r="Y393" s="8"/>
      <c r="Z393" s="8"/>
      <c r="AB393" s="7" t="s">
        <v>23</v>
      </c>
      <c r="AC393" s="7" t="s">
        <v>23</v>
      </c>
      <c r="AD393" s="7" t="s">
        <v>23</v>
      </c>
      <c r="AE393" s="7" t="s">
        <v>23</v>
      </c>
      <c r="AF393" s="7" t="s">
        <v>23</v>
      </c>
      <c r="AG393" s="7" t="s">
        <v>23</v>
      </c>
      <c r="AH393" s="7" t="s">
        <v>23</v>
      </c>
    </row>
    <row r="394" spans="11:34">
      <c r="K394" s="22">
        <v>390</v>
      </c>
      <c r="L394" s="24" t="s">
        <v>23</v>
      </c>
      <c r="M394" s="24" t="s">
        <v>23</v>
      </c>
      <c r="N394" s="24" t="s">
        <v>23</v>
      </c>
      <c r="O394" s="24" t="s">
        <v>23</v>
      </c>
      <c r="P394" s="24" t="s">
        <v>23</v>
      </c>
      <c r="Q394" s="24" t="s">
        <v>23</v>
      </c>
      <c r="R394" s="24" t="s">
        <v>23</v>
      </c>
      <c r="T394" s="8"/>
      <c r="U394" s="8"/>
      <c r="V394" s="8"/>
      <c r="W394" s="8"/>
      <c r="X394" s="8"/>
      <c r="Y394" s="8"/>
      <c r="Z394" s="8"/>
      <c r="AB394" s="7" t="s">
        <v>23</v>
      </c>
      <c r="AC394" s="7" t="s">
        <v>23</v>
      </c>
      <c r="AD394" s="7" t="s">
        <v>23</v>
      </c>
      <c r="AE394" s="7" t="s">
        <v>23</v>
      </c>
      <c r="AF394" s="7" t="s">
        <v>23</v>
      </c>
      <c r="AG394" s="7" t="s">
        <v>23</v>
      </c>
      <c r="AH394" s="7" t="s">
        <v>23</v>
      </c>
    </row>
    <row r="395" spans="11:34">
      <c r="K395" s="21">
        <v>391</v>
      </c>
      <c r="L395" s="24" t="s">
        <v>23</v>
      </c>
      <c r="M395" s="24" t="s">
        <v>23</v>
      </c>
      <c r="N395" s="24" t="s">
        <v>23</v>
      </c>
      <c r="O395" s="24" t="s">
        <v>23</v>
      </c>
      <c r="P395" s="24" t="s">
        <v>23</v>
      </c>
      <c r="Q395" s="24" t="s">
        <v>23</v>
      </c>
      <c r="R395" s="24" t="s">
        <v>23</v>
      </c>
      <c r="T395" s="8"/>
      <c r="U395" s="8"/>
      <c r="V395" s="8"/>
      <c r="W395" s="8"/>
      <c r="X395" s="8"/>
      <c r="Y395" s="8"/>
      <c r="Z395" s="8"/>
      <c r="AB395" s="7" t="s">
        <v>23</v>
      </c>
      <c r="AC395" s="7" t="s">
        <v>23</v>
      </c>
      <c r="AD395" s="7" t="s">
        <v>23</v>
      </c>
      <c r="AE395" s="7" t="s">
        <v>23</v>
      </c>
      <c r="AF395" s="7" t="s">
        <v>23</v>
      </c>
      <c r="AG395" s="7" t="s">
        <v>23</v>
      </c>
      <c r="AH395" s="7" t="s">
        <v>23</v>
      </c>
    </row>
    <row r="396" spans="11:34">
      <c r="K396" s="22">
        <v>392</v>
      </c>
      <c r="L396" s="24" t="s">
        <v>23</v>
      </c>
      <c r="M396" s="24" t="s">
        <v>23</v>
      </c>
      <c r="N396" s="24" t="s">
        <v>23</v>
      </c>
      <c r="O396" s="24" t="s">
        <v>23</v>
      </c>
      <c r="P396" s="24" t="s">
        <v>23</v>
      </c>
      <c r="Q396" s="24" t="s">
        <v>23</v>
      </c>
      <c r="R396" s="24" t="s">
        <v>23</v>
      </c>
      <c r="T396" s="8"/>
      <c r="U396" s="8"/>
      <c r="V396" s="8"/>
      <c r="W396" s="8"/>
      <c r="X396" s="8"/>
      <c r="Y396" s="8"/>
      <c r="Z396" s="8"/>
      <c r="AB396" s="7" t="s">
        <v>23</v>
      </c>
      <c r="AC396" s="7" t="s">
        <v>23</v>
      </c>
      <c r="AD396" s="7" t="s">
        <v>23</v>
      </c>
      <c r="AE396" s="7" t="s">
        <v>23</v>
      </c>
      <c r="AF396" s="7" t="s">
        <v>23</v>
      </c>
      <c r="AG396" s="7" t="s">
        <v>23</v>
      </c>
      <c r="AH396" s="7" t="s">
        <v>23</v>
      </c>
    </row>
    <row r="397" spans="11:34">
      <c r="K397" s="21">
        <v>393</v>
      </c>
      <c r="L397" s="24" t="s">
        <v>23</v>
      </c>
      <c r="M397" s="24" t="s">
        <v>23</v>
      </c>
      <c r="N397" s="24" t="s">
        <v>23</v>
      </c>
      <c r="O397" s="24" t="s">
        <v>23</v>
      </c>
      <c r="P397" s="24" t="s">
        <v>23</v>
      </c>
      <c r="Q397" s="24" t="s">
        <v>23</v>
      </c>
      <c r="R397" s="24" t="s">
        <v>23</v>
      </c>
      <c r="T397" s="8"/>
      <c r="U397" s="8"/>
      <c r="V397" s="8"/>
      <c r="W397" s="8"/>
      <c r="X397" s="8"/>
      <c r="Y397" s="8"/>
      <c r="Z397" s="8"/>
      <c r="AB397" s="7" t="s">
        <v>23</v>
      </c>
      <c r="AC397" s="7" t="s">
        <v>23</v>
      </c>
      <c r="AD397" s="7" t="s">
        <v>23</v>
      </c>
      <c r="AE397" s="7" t="s">
        <v>23</v>
      </c>
      <c r="AF397" s="7" t="s">
        <v>23</v>
      </c>
      <c r="AG397" s="7" t="s">
        <v>23</v>
      </c>
      <c r="AH397" s="7" t="s">
        <v>23</v>
      </c>
    </row>
    <row r="398" spans="11:34">
      <c r="K398" s="22">
        <v>394</v>
      </c>
      <c r="L398" s="24" t="s">
        <v>23</v>
      </c>
      <c r="M398" s="24" t="s">
        <v>23</v>
      </c>
      <c r="N398" s="24" t="s">
        <v>23</v>
      </c>
      <c r="O398" s="24" t="s">
        <v>23</v>
      </c>
      <c r="P398" s="24" t="s">
        <v>23</v>
      </c>
      <c r="Q398" s="24" t="s">
        <v>23</v>
      </c>
      <c r="R398" s="24" t="s">
        <v>23</v>
      </c>
      <c r="T398" s="8"/>
      <c r="U398" s="8"/>
      <c r="V398" s="8"/>
      <c r="W398" s="8"/>
      <c r="X398" s="8"/>
      <c r="Y398" s="8"/>
      <c r="Z398" s="8"/>
      <c r="AB398" s="7" t="s">
        <v>23</v>
      </c>
      <c r="AC398" s="7" t="s">
        <v>23</v>
      </c>
      <c r="AD398" s="7" t="s">
        <v>23</v>
      </c>
      <c r="AE398" s="7" t="s">
        <v>23</v>
      </c>
      <c r="AF398" s="7" t="s">
        <v>23</v>
      </c>
      <c r="AG398" s="7" t="s">
        <v>23</v>
      </c>
      <c r="AH398" s="7" t="s">
        <v>23</v>
      </c>
    </row>
    <row r="399" spans="11:34">
      <c r="K399" s="21">
        <v>395</v>
      </c>
      <c r="L399" s="24" t="s">
        <v>23</v>
      </c>
      <c r="M399" s="24" t="s">
        <v>23</v>
      </c>
      <c r="N399" s="24" t="s">
        <v>23</v>
      </c>
      <c r="O399" s="24" t="s">
        <v>23</v>
      </c>
      <c r="P399" s="24" t="s">
        <v>23</v>
      </c>
      <c r="Q399" s="24" t="s">
        <v>23</v>
      </c>
      <c r="R399" s="24" t="s">
        <v>23</v>
      </c>
      <c r="T399" s="8"/>
      <c r="U399" s="8"/>
      <c r="V399" s="8"/>
      <c r="W399" s="8"/>
      <c r="X399" s="8"/>
      <c r="Y399" s="8"/>
      <c r="Z399" s="8"/>
      <c r="AB399" s="7" t="s">
        <v>23</v>
      </c>
      <c r="AC399" s="7" t="s">
        <v>23</v>
      </c>
      <c r="AD399" s="7" t="s">
        <v>23</v>
      </c>
      <c r="AE399" s="7" t="s">
        <v>23</v>
      </c>
      <c r="AF399" s="7" t="s">
        <v>23</v>
      </c>
      <c r="AG399" s="7" t="s">
        <v>23</v>
      </c>
      <c r="AH399" s="7" t="s">
        <v>23</v>
      </c>
    </row>
    <row r="400" spans="11:34">
      <c r="K400" s="22">
        <v>396</v>
      </c>
      <c r="L400" s="24" t="s">
        <v>23</v>
      </c>
      <c r="M400" s="24" t="s">
        <v>23</v>
      </c>
      <c r="N400" s="24" t="s">
        <v>23</v>
      </c>
      <c r="O400" s="24" t="s">
        <v>23</v>
      </c>
      <c r="P400" s="24" t="s">
        <v>23</v>
      </c>
      <c r="Q400" s="24" t="s">
        <v>23</v>
      </c>
      <c r="R400" s="24" t="s">
        <v>23</v>
      </c>
      <c r="T400" s="8"/>
      <c r="U400" s="8"/>
      <c r="V400" s="8"/>
      <c r="W400" s="8"/>
      <c r="X400" s="8"/>
      <c r="Y400" s="8"/>
      <c r="Z400" s="8"/>
      <c r="AB400" s="7" t="s">
        <v>23</v>
      </c>
      <c r="AC400" s="7" t="s">
        <v>23</v>
      </c>
      <c r="AD400" s="7" t="s">
        <v>23</v>
      </c>
      <c r="AE400" s="7" t="s">
        <v>23</v>
      </c>
      <c r="AF400" s="7" t="s">
        <v>23</v>
      </c>
      <c r="AG400" s="7" t="s">
        <v>23</v>
      </c>
      <c r="AH400" s="7" t="s">
        <v>23</v>
      </c>
    </row>
    <row r="401" spans="11:34">
      <c r="K401" s="21">
        <v>397</v>
      </c>
      <c r="L401" s="24" t="s">
        <v>23</v>
      </c>
      <c r="M401" s="24" t="s">
        <v>23</v>
      </c>
      <c r="N401" s="24" t="s">
        <v>23</v>
      </c>
      <c r="O401" s="24" t="s">
        <v>23</v>
      </c>
      <c r="P401" s="24" t="s">
        <v>23</v>
      </c>
      <c r="Q401" s="24" t="s">
        <v>23</v>
      </c>
      <c r="R401" s="24" t="s">
        <v>23</v>
      </c>
      <c r="T401" s="8"/>
      <c r="U401" s="8"/>
      <c r="V401" s="8"/>
      <c r="W401" s="8"/>
      <c r="X401" s="8"/>
      <c r="Y401" s="8"/>
      <c r="Z401" s="8"/>
      <c r="AB401" s="7" t="s">
        <v>23</v>
      </c>
      <c r="AC401" s="7" t="s">
        <v>23</v>
      </c>
      <c r="AD401" s="7" t="s">
        <v>23</v>
      </c>
      <c r="AE401" s="7" t="s">
        <v>23</v>
      </c>
      <c r="AF401" s="7" t="s">
        <v>23</v>
      </c>
      <c r="AG401" s="7" t="s">
        <v>23</v>
      </c>
      <c r="AH401" s="7" t="s">
        <v>23</v>
      </c>
    </row>
    <row r="402" spans="11:34">
      <c r="K402" s="22">
        <v>398</v>
      </c>
      <c r="L402" s="24" t="s">
        <v>23</v>
      </c>
      <c r="M402" s="24" t="s">
        <v>23</v>
      </c>
      <c r="N402" s="24" t="s">
        <v>23</v>
      </c>
      <c r="O402" s="24" t="s">
        <v>23</v>
      </c>
      <c r="P402" s="24" t="s">
        <v>23</v>
      </c>
      <c r="Q402" s="24" t="s">
        <v>23</v>
      </c>
      <c r="R402" s="24" t="s">
        <v>23</v>
      </c>
      <c r="T402" s="8"/>
      <c r="U402" s="8"/>
      <c r="V402" s="8"/>
      <c r="W402" s="8"/>
      <c r="X402" s="8"/>
      <c r="Y402" s="8"/>
      <c r="Z402" s="8"/>
      <c r="AB402" s="7" t="s">
        <v>23</v>
      </c>
      <c r="AC402" s="7" t="s">
        <v>23</v>
      </c>
      <c r="AD402" s="7" t="s">
        <v>23</v>
      </c>
      <c r="AE402" s="7" t="s">
        <v>23</v>
      </c>
      <c r="AF402" s="7" t="s">
        <v>23</v>
      </c>
      <c r="AG402" s="7" t="s">
        <v>23</v>
      </c>
      <c r="AH402" s="7" t="s">
        <v>23</v>
      </c>
    </row>
    <row r="403" spans="11:34">
      <c r="K403" s="21">
        <v>399</v>
      </c>
      <c r="L403" s="24" t="s">
        <v>23</v>
      </c>
      <c r="M403" s="24" t="s">
        <v>23</v>
      </c>
      <c r="N403" s="24" t="s">
        <v>23</v>
      </c>
      <c r="O403" s="24" t="s">
        <v>23</v>
      </c>
      <c r="P403" s="24" t="s">
        <v>23</v>
      </c>
      <c r="Q403" s="24" t="s">
        <v>23</v>
      </c>
      <c r="R403" s="24" t="s">
        <v>23</v>
      </c>
      <c r="T403" s="8"/>
      <c r="U403" s="8"/>
      <c r="V403" s="8"/>
      <c r="W403" s="8"/>
      <c r="X403" s="8"/>
      <c r="Y403" s="8"/>
      <c r="Z403" s="8"/>
      <c r="AB403" s="7" t="s">
        <v>23</v>
      </c>
      <c r="AC403" s="7" t="s">
        <v>23</v>
      </c>
      <c r="AD403" s="7" t="s">
        <v>23</v>
      </c>
      <c r="AE403" s="7" t="s">
        <v>23</v>
      </c>
      <c r="AF403" s="7" t="s">
        <v>23</v>
      </c>
      <c r="AG403" s="7" t="s">
        <v>23</v>
      </c>
      <c r="AH403" s="7" t="s">
        <v>23</v>
      </c>
    </row>
    <row r="404" spans="11:34">
      <c r="T404" s="8"/>
      <c r="U404" s="8"/>
      <c r="V404" s="8"/>
      <c r="W404" s="8"/>
      <c r="X404" s="8"/>
      <c r="Y404" s="8"/>
      <c r="Z404" s="8"/>
      <c r="AB404" s="7" t="s">
        <v>23</v>
      </c>
      <c r="AC404" s="7" t="s">
        <v>23</v>
      </c>
      <c r="AD404" s="7" t="s">
        <v>23</v>
      </c>
      <c r="AE404" s="7" t="s">
        <v>23</v>
      </c>
      <c r="AF404" s="7" t="s">
        <v>23</v>
      </c>
      <c r="AG404" s="7" t="s">
        <v>23</v>
      </c>
      <c r="AH404" s="7" t="s">
        <v>23</v>
      </c>
    </row>
  </sheetData>
  <mergeCells count="9">
    <mergeCell ref="T1:Z1"/>
    <mergeCell ref="K2:R2"/>
    <mergeCell ref="T2:Z2"/>
    <mergeCell ref="AK3:AR3"/>
    <mergeCell ref="AK119:AR119"/>
    <mergeCell ref="AJ2:AR2"/>
    <mergeCell ref="AK32:AR32"/>
    <mergeCell ref="AK61:AR61"/>
    <mergeCell ref="AK90:AR90"/>
  </mergeCells>
  <phoneticPr fontId="20" type="noConversion"/>
  <conditionalFormatting sqref="L404:R1048576">
    <cfRule type="cellIs" dxfId="84" priority="19" operator="equal">
      <formula>"TE"</formula>
    </cfRule>
    <cfRule type="cellIs" dxfId="83" priority="20" operator="equal">
      <formula>"J"</formula>
    </cfRule>
    <cfRule type="cellIs" dxfId="82" priority="21" operator="equal">
      <formula>"Q"</formula>
    </cfRule>
    <cfRule type="cellIs" dxfId="81" priority="22" operator="equal">
      <formula>"K"</formula>
    </cfRule>
    <cfRule type="cellIs" dxfId="80" priority="23" operator="equal">
      <formula>"A"</formula>
    </cfRule>
    <cfRule type="cellIs" dxfId="79" priority="24" operator="equal">
      <formula>"M4"</formula>
    </cfRule>
    <cfRule type="cellIs" dxfId="78" priority="25" operator="equal">
      <formula>"M3"</formula>
    </cfRule>
    <cfRule type="cellIs" dxfId="77" priority="26" operator="equal">
      <formula>"M2"</formula>
    </cfRule>
    <cfRule type="cellIs" dxfId="76" priority="27" operator="equal">
      <formula>"M1"</formula>
    </cfRule>
  </conditionalFormatting>
  <conditionalFormatting sqref="L1:R1">
    <cfRule type="cellIs" dxfId="75" priority="1" operator="equal">
      <formula>"TE"</formula>
    </cfRule>
    <cfRule type="cellIs" dxfId="74" priority="2" operator="equal">
      <formula>"J"</formula>
    </cfRule>
    <cfRule type="cellIs" dxfId="73" priority="3" operator="equal">
      <formula>"Q"</formula>
    </cfRule>
    <cfRule type="cellIs" dxfId="72" priority="4" operator="equal">
      <formula>"K"</formula>
    </cfRule>
    <cfRule type="cellIs" dxfId="71" priority="5" operator="equal">
      <formula>"A"</formula>
    </cfRule>
    <cfRule type="cellIs" dxfId="70" priority="6" operator="equal">
      <formula>"M4"</formula>
    </cfRule>
    <cfRule type="cellIs" dxfId="69" priority="7" operator="equal">
      <formula>"M3"</formula>
    </cfRule>
    <cfRule type="cellIs" dxfId="68" priority="8" operator="equal">
      <formula>"M2"</formula>
    </cfRule>
    <cfRule type="cellIs" dxfId="67" priority="9" operator="equal">
      <formula>"M1"</formula>
    </cfRule>
  </conditionalFormatting>
  <conditionalFormatting sqref="L4:R304">
    <cfRule type="containsText" dxfId="66" priority="28" operator="containsText" text="M1">
      <formula>NOT(ISERROR(SEARCH("M1",L4)))</formula>
    </cfRule>
  </conditionalFormatting>
  <conditionalFormatting sqref="L4:R304">
    <cfRule type="containsText" dxfId="65" priority="29" operator="containsText" text="M2">
      <formula>NOT(ISERROR(SEARCH("M2",L4)))</formula>
    </cfRule>
  </conditionalFormatting>
  <conditionalFormatting sqref="L4:R304">
    <cfRule type="containsText" dxfId="64" priority="30" operator="containsText" text="M3">
      <formula>NOT(ISERROR(SEARCH("M3",L4)))</formula>
    </cfRule>
  </conditionalFormatting>
  <conditionalFormatting sqref="L4:R304">
    <cfRule type="containsText" dxfId="63" priority="31" operator="containsText" text="M4">
      <formula>NOT(ISERROR(SEARCH("M4",L4)))</formula>
    </cfRule>
  </conditionalFormatting>
  <conditionalFormatting sqref="L4:R304">
    <cfRule type="containsText" dxfId="62" priority="32" operator="containsText" text="M5">
      <formula>NOT(ISERROR(SEARCH("M5",L4)))</formula>
    </cfRule>
  </conditionalFormatting>
  <conditionalFormatting sqref="L4:R304">
    <cfRule type="containsText" dxfId="61" priority="33" operator="containsText" text="M6">
      <formula>NOT(ISERROR(SEARCH("M6",L4)))</formula>
    </cfRule>
  </conditionalFormatting>
  <conditionalFormatting sqref="L4:R304">
    <cfRule type="containsText" dxfId="60" priority="34" operator="containsText" text="A">
      <formula>NOT(ISERROR(SEARCH("A",L4)))</formula>
    </cfRule>
  </conditionalFormatting>
  <conditionalFormatting sqref="L4:R304">
    <cfRule type="containsText" dxfId="59" priority="35" operator="containsText" text="K">
      <formula>NOT(ISERROR(SEARCH("K",L4)))</formula>
    </cfRule>
  </conditionalFormatting>
  <conditionalFormatting sqref="L4:R304">
    <cfRule type="containsText" dxfId="58" priority="36" operator="containsText" text="Q">
      <formula>NOT(ISERROR(SEARCH("Q",L4)))</formula>
    </cfRule>
  </conditionalFormatting>
  <conditionalFormatting sqref="L4:R304">
    <cfRule type="containsText" dxfId="57" priority="37" operator="containsText" text="J">
      <formula>NOT(ISERROR(SEARCH("J",L4)))</formula>
    </cfRule>
  </conditionalFormatting>
  <conditionalFormatting sqref="L4:R304">
    <cfRule type="containsText" dxfId="56" priority="38" operator="containsText" text="TE">
      <formula>NOT(ISERROR(SEARCH("TE",L4)))</formula>
    </cfRule>
  </conditionalFormatting>
  <conditionalFormatting sqref="L4:R304">
    <cfRule type="containsText" dxfId="55" priority="39" operator="containsText" text="MY">
      <formula>NOT(ISERROR(SEARCH("MY",L4)))</formula>
    </cfRule>
  </conditionalFormatting>
  <conditionalFormatting sqref="A4:A29">
    <cfRule type="containsText" dxfId="54" priority="52" operator="containsText" text="M1">
      <formula>NOT(ISERROR(SEARCH("M1",A4)))</formula>
    </cfRule>
  </conditionalFormatting>
  <conditionalFormatting sqref="A4:A29">
    <cfRule type="containsText" dxfId="53" priority="53" operator="containsText" text="M2">
      <formula>NOT(ISERROR(SEARCH("M2",A4)))</formula>
    </cfRule>
  </conditionalFormatting>
  <conditionalFormatting sqref="A4:A29">
    <cfRule type="containsText" dxfId="52" priority="54" operator="containsText" text="M3">
      <formula>NOT(ISERROR(SEARCH("M3",A4)))</formula>
    </cfRule>
  </conditionalFormatting>
  <conditionalFormatting sqref="A4:A29">
    <cfRule type="containsText" dxfId="51" priority="55" operator="containsText" text="M4">
      <formula>NOT(ISERROR(SEARCH("M4",A4)))</formula>
    </cfRule>
  </conditionalFormatting>
  <conditionalFormatting sqref="A4:A29">
    <cfRule type="containsText" dxfId="50" priority="56" operator="containsText" text="M5">
      <formula>NOT(ISERROR(SEARCH("M5",A4)))</formula>
    </cfRule>
  </conditionalFormatting>
  <conditionalFormatting sqref="A4:A29">
    <cfRule type="containsText" dxfId="49" priority="57" operator="containsText" text="M6">
      <formula>NOT(ISERROR(SEARCH("M6",A4)))</formula>
    </cfRule>
  </conditionalFormatting>
  <conditionalFormatting sqref="A4:A29">
    <cfRule type="containsText" dxfId="48" priority="58" operator="containsText" text="A">
      <formula>NOT(ISERROR(SEARCH("A",A4)))</formula>
    </cfRule>
  </conditionalFormatting>
  <conditionalFormatting sqref="A4:A29">
    <cfRule type="containsText" dxfId="47" priority="59" operator="containsText" text="K">
      <formula>NOT(ISERROR(SEARCH("K",A4)))</formula>
    </cfRule>
  </conditionalFormatting>
  <conditionalFormatting sqref="A4:A29">
    <cfRule type="containsText" dxfId="46" priority="60" operator="containsText" text="Q">
      <formula>NOT(ISERROR(SEARCH("Q",A4)))</formula>
    </cfRule>
  </conditionalFormatting>
  <conditionalFormatting sqref="A4:A29">
    <cfRule type="containsText" dxfId="45" priority="61" operator="containsText" text="J">
      <formula>NOT(ISERROR(SEARCH("J",A4)))</formula>
    </cfRule>
  </conditionalFormatting>
  <conditionalFormatting sqref="A4:A29">
    <cfRule type="containsText" dxfId="44" priority="62" operator="containsText" text="TE">
      <formula>NOT(ISERROR(SEARCH("TE",A4)))</formula>
    </cfRule>
  </conditionalFormatting>
  <conditionalFormatting sqref="A4:A29">
    <cfRule type="containsText" dxfId="43" priority="63" operator="containsText" text="MY">
      <formula>NOT(ISERROR(SEARCH("MY",A4)))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>
    <tabColor theme="3" tint="0.59999389629810485"/>
  </sheetPr>
  <dimension ref="A1:AX404"/>
  <sheetViews>
    <sheetView workbookViewId="0">
      <selection activeCell="T4" sqref="T4"/>
    </sheetView>
  </sheetViews>
  <sheetFormatPr defaultRowHeight="16.5"/>
  <cols>
    <col min="9" max="9" width="4.75" style="1" customWidth="1"/>
    <col min="11" max="11" width="9.25" style="1" bestFit="1" customWidth="1"/>
    <col min="12" max="12" width="4.625" style="197" bestFit="1" customWidth="1"/>
    <col min="13" max="14" width="7.5" style="197" bestFit="1" customWidth="1"/>
    <col min="15" max="15" width="7.5" style="197" customWidth="1"/>
    <col min="16" max="16" width="7.5" style="197" bestFit="1" customWidth="1"/>
    <col min="17" max="17" width="4.625" style="197" bestFit="1" customWidth="1"/>
    <col min="18" max="18" width="4.625" style="197" customWidth="1"/>
    <col min="19" max="19" width="8.875" style="1" customWidth="1"/>
    <col min="20" max="20" width="4.75" style="1" customWidth="1"/>
    <col min="21" max="25" width="4.75" style="197" customWidth="1"/>
    <col min="26" max="26" width="4.625" style="1" bestFit="1" customWidth="1"/>
    <col min="27" max="27" width="8.875" style="1" customWidth="1"/>
    <col min="28" max="32" width="4.75" style="197" customWidth="1"/>
    <col min="33" max="33" width="4.625" style="197" customWidth="1"/>
    <col min="34" max="34" width="4.625" style="1" bestFit="1" customWidth="1"/>
    <col min="35" max="35" width="9" style="1"/>
    <col min="36" max="36" width="4.875" style="1" customWidth="1"/>
    <col min="37" max="42" width="4.625" style="1" bestFit="1" customWidth="1"/>
    <col min="44" max="50" width="9" style="1"/>
  </cols>
  <sheetData>
    <row r="1" spans="1:50">
      <c r="A1" s="1"/>
      <c r="B1" s="1"/>
      <c r="C1" s="1"/>
      <c r="D1" s="1"/>
      <c r="E1" s="1"/>
      <c r="F1" s="1"/>
      <c r="G1" s="1"/>
      <c r="H1" s="1"/>
      <c r="J1" s="180"/>
      <c r="K1" s="3"/>
    </row>
    <row r="2" spans="1:50">
      <c r="A2" s="14"/>
      <c r="B2" s="14"/>
      <c r="C2" s="14"/>
      <c r="D2" s="14"/>
      <c r="E2" s="14"/>
      <c r="F2" s="14"/>
      <c r="G2" s="14"/>
      <c r="H2" s="14"/>
      <c r="I2" s="14"/>
      <c r="J2" s="180"/>
      <c r="K2" s="220" t="s">
        <v>3</v>
      </c>
      <c r="L2" s="220"/>
      <c r="M2" s="220"/>
      <c r="N2" s="220"/>
      <c r="O2" s="220"/>
      <c r="P2" s="220"/>
      <c r="Q2" s="220"/>
      <c r="R2" s="220"/>
      <c r="S2" s="14"/>
      <c r="T2" s="14" t="s">
        <v>4</v>
      </c>
      <c r="U2" s="14"/>
      <c r="V2" s="14"/>
      <c r="W2" s="14"/>
      <c r="X2" s="14"/>
      <c r="Y2" s="14"/>
      <c r="Z2" s="14"/>
      <c r="AA2" s="14"/>
      <c r="AB2" s="14" t="s">
        <v>94</v>
      </c>
      <c r="AC2" s="14"/>
      <c r="AD2" s="14"/>
      <c r="AE2" s="14"/>
      <c r="AF2" s="14"/>
      <c r="AG2" s="14"/>
      <c r="AH2" s="14"/>
      <c r="AI2" s="14"/>
      <c r="AJ2" s="14" t="s">
        <v>211</v>
      </c>
      <c r="AK2" s="14"/>
      <c r="AL2" s="14"/>
      <c r="AM2" s="14"/>
      <c r="AN2" s="14"/>
      <c r="AO2" s="14"/>
      <c r="AP2" s="14"/>
      <c r="AR2" s="14"/>
      <c r="AS2" s="14"/>
      <c r="AT2" s="14"/>
      <c r="AU2" s="14"/>
      <c r="AV2" s="14"/>
      <c r="AW2" s="14"/>
      <c r="AX2" s="14"/>
    </row>
    <row r="3" spans="1:50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J3" s="181"/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97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99" t="s">
        <v>42</v>
      </c>
      <c r="AK3" s="99" t="s">
        <v>43</v>
      </c>
      <c r="AL3" s="99" t="s">
        <v>44</v>
      </c>
      <c r="AM3" s="99" t="s">
        <v>45</v>
      </c>
      <c r="AN3" s="99" t="s">
        <v>46</v>
      </c>
      <c r="AO3" s="99" t="s">
        <v>24</v>
      </c>
      <c r="AP3" s="99" t="s">
        <v>79</v>
      </c>
    </row>
    <row r="4" spans="1:50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181"/>
      <c r="K4" s="22">
        <v>0</v>
      </c>
      <c r="L4" s="24" t="s">
        <v>33</v>
      </c>
      <c r="M4" s="24" t="s">
        <v>36</v>
      </c>
      <c r="N4" s="24" t="s">
        <v>33</v>
      </c>
      <c r="O4" s="24" t="s">
        <v>33</v>
      </c>
      <c r="P4" s="24" t="s">
        <v>84</v>
      </c>
      <c r="Q4" s="24" t="s">
        <v>25</v>
      </c>
      <c r="R4" s="24" t="s">
        <v>21</v>
      </c>
      <c r="T4" s="8">
        <f>VLOOKUP(L4, $A$4:$I$29, 9, 0)</f>
        <v>2</v>
      </c>
      <c r="U4" s="8">
        <f t="shared" ref="U4:Z4" si="1">VLOOKUP(M4, $A$4:$I$29, 9, 0)</f>
        <v>5</v>
      </c>
      <c r="V4" s="8">
        <f t="shared" si="1"/>
        <v>2</v>
      </c>
      <c r="W4" s="8">
        <f t="shared" si="1"/>
        <v>2</v>
      </c>
      <c r="X4" s="8">
        <f t="shared" si="1"/>
        <v>15</v>
      </c>
      <c r="Y4" s="8">
        <f t="shared" si="1"/>
        <v>8</v>
      </c>
      <c r="Z4" s="8">
        <f t="shared" si="1"/>
        <v>2</v>
      </c>
      <c r="AB4" s="25">
        <v>5</v>
      </c>
      <c r="AC4" s="25">
        <v>5</v>
      </c>
      <c r="AD4" s="25">
        <v>5</v>
      </c>
      <c r="AE4" s="25">
        <v>5</v>
      </c>
      <c r="AF4" s="25">
        <v>6</v>
      </c>
      <c r="AG4" s="25">
        <v>5</v>
      </c>
      <c r="AH4" s="25">
        <v>5</v>
      </c>
      <c r="AJ4" s="7">
        <v>1</v>
      </c>
      <c r="AK4" s="7">
        <v>3</v>
      </c>
      <c r="AL4" s="7">
        <v>1</v>
      </c>
      <c r="AM4" s="7">
        <v>1</v>
      </c>
      <c r="AN4" s="7">
        <v>3</v>
      </c>
      <c r="AO4" s="7">
        <v>1</v>
      </c>
      <c r="AP4" s="7">
        <v>1</v>
      </c>
    </row>
    <row r="5" spans="1:50">
      <c r="A5" s="7" t="s">
        <v>20</v>
      </c>
      <c r="B5" s="15">
        <f t="shared" ref="B5:B29" si="2">COUNTIF(L$4:L$304,$A5)</f>
        <v>3</v>
      </c>
      <c r="C5" s="15">
        <f t="shared" ref="C5:C29" si="3">COUNTIF(M$4:M$304,$A5)</f>
        <v>4</v>
      </c>
      <c r="D5" s="15">
        <f t="shared" ref="D5:D29" si="4">COUNTIF(N$4:N$304,$A5)</f>
        <v>7</v>
      </c>
      <c r="E5" s="15">
        <f t="shared" ref="E5:E29" si="5">COUNTIF(O$4:O$304,$A5)</f>
        <v>11</v>
      </c>
      <c r="F5" s="15">
        <f t="shared" ref="F5:F29" si="6">COUNTIF(P$4:P$304,$A5)</f>
        <v>5</v>
      </c>
      <c r="G5" s="15">
        <f t="shared" ref="G5:G29" si="7">COUNTIF(Q$4:Q$304,$A5)</f>
        <v>2</v>
      </c>
      <c r="H5" s="15">
        <f t="shared" ref="H5:H29" si="8">COUNTIF(R$4:R$304,$A5)</f>
        <v>3</v>
      </c>
      <c r="I5" s="7">
        <v>1</v>
      </c>
      <c r="J5" s="181"/>
      <c r="K5" s="21">
        <v>1</v>
      </c>
      <c r="L5" s="24" t="s">
        <v>27</v>
      </c>
      <c r="M5" s="24" t="s">
        <v>36</v>
      </c>
      <c r="N5" s="24" t="s">
        <v>35</v>
      </c>
      <c r="O5" s="24" t="s">
        <v>83</v>
      </c>
      <c r="P5" s="24" t="s">
        <v>84</v>
      </c>
      <c r="Q5" s="24" t="s">
        <v>27</v>
      </c>
      <c r="R5" s="24" t="s">
        <v>25</v>
      </c>
      <c r="T5" s="8">
        <f t="shared" ref="T5:T63" si="9">VLOOKUP(L5, $A$4:$I$29, 9, 0)</f>
        <v>9</v>
      </c>
      <c r="U5" s="8">
        <f t="shared" ref="U5:U63" si="10">VLOOKUP(M5, $A$4:$I$29, 9, 0)</f>
        <v>5</v>
      </c>
      <c r="V5" s="8">
        <f t="shared" ref="V5:V63" si="11">VLOOKUP(N5, $A$4:$I$29, 9, 0)</f>
        <v>4</v>
      </c>
      <c r="W5" s="8">
        <f t="shared" ref="W5:W63" si="12">VLOOKUP(O5, $A$4:$I$29, 9, 0)</f>
        <v>14</v>
      </c>
      <c r="X5" s="8">
        <f t="shared" ref="X5:X63" si="13">VLOOKUP(P5, $A$4:$I$29, 9, 0)</f>
        <v>15</v>
      </c>
      <c r="Y5" s="8">
        <f t="shared" ref="Y5:Y63" si="14">VLOOKUP(Q5, $A$4:$I$29, 9, 0)</f>
        <v>9</v>
      </c>
      <c r="Z5" s="8">
        <f t="shared" ref="Z5:Z63" si="15">VLOOKUP(R5, $A$4:$I$29, 9, 0)</f>
        <v>8</v>
      </c>
      <c r="AB5" s="25">
        <v>5</v>
      </c>
      <c r="AC5" s="25">
        <v>0</v>
      </c>
      <c r="AD5" s="25">
        <v>0</v>
      </c>
      <c r="AE5" s="25">
        <v>0</v>
      </c>
      <c r="AF5" s="25">
        <v>0</v>
      </c>
      <c r="AG5" s="25">
        <v>5</v>
      </c>
      <c r="AH5" s="25">
        <v>5</v>
      </c>
      <c r="AJ5" s="7">
        <v>1</v>
      </c>
      <c r="AK5" s="7">
        <v>0</v>
      </c>
      <c r="AL5" s="7">
        <v>3</v>
      </c>
      <c r="AM5" s="7">
        <v>3</v>
      </c>
      <c r="AN5" s="7">
        <v>0</v>
      </c>
      <c r="AO5" s="7">
        <v>1</v>
      </c>
      <c r="AP5" s="7">
        <v>1</v>
      </c>
    </row>
    <row r="6" spans="1:50">
      <c r="A6" s="7" t="s">
        <v>21</v>
      </c>
      <c r="B6" s="15">
        <f t="shared" si="2"/>
        <v>3</v>
      </c>
      <c r="C6" s="15">
        <f t="shared" si="3"/>
        <v>3</v>
      </c>
      <c r="D6" s="15">
        <f t="shared" si="4"/>
        <v>1</v>
      </c>
      <c r="E6" s="15">
        <f t="shared" si="5"/>
        <v>2</v>
      </c>
      <c r="F6" s="15">
        <f t="shared" si="6"/>
        <v>2</v>
      </c>
      <c r="G6" s="15">
        <f t="shared" si="7"/>
        <v>2</v>
      </c>
      <c r="H6" s="15">
        <f t="shared" si="8"/>
        <v>6</v>
      </c>
      <c r="I6" s="7">
        <v>2</v>
      </c>
      <c r="J6" s="181"/>
      <c r="K6" s="22">
        <v>2</v>
      </c>
      <c r="L6" s="24" t="s">
        <v>28</v>
      </c>
      <c r="M6" s="24" t="s">
        <v>36</v>
      </c>
      <c r="N6" s="24" t="s">
        <v>35</v>
      </c>
      <c r="O6" s="24" t="s">
        <v>83</v>
      </c>
      <c r="P6" s="24" t="s">
        <v>84</v>
      </c>
      <c r="Q6" s="24" t="s">
        <v>19</v>
      </c>
      <c r="R6" s="24" t="s">
        <v>25</v>
      </c>
      <c r="T6" s="8">
        <f t="shared" si="9"/>
        <v>10</v>
      </c>
      <c r="U6" s="8">
        <f t="shared" si="10"/>
        <v>5</v>
      </c>
      <c r="V6" s="8">
        <f t="shared" si="11"/>
        <v>4</v>
      </c>
      <c r="W6" s="8">
        <f t="shared" si="12"/>
        <v>14</v>
      </c>
      <c r="X6" s="8">
        <f t="shared" si="13"/>
        <v>15</v>
      </c>
      <c r="Y6" s="8">
        <f t="shared" si="14"/>
        <v>5</v>
      </c>
      <c r="Z6" s="8">
        <f t="shared" si="15"/>
        <v>8</v>
      </c>
      <c r="AB6" s="25">
        <v>5</v>
      </c>
      <c r="AC6" s="25">
        <v>0</v>
      </c>
      <c r="AD6" s="25">
        <v>0</v>
      </c>
      <c r="AE6" s="25">
        <v>0</v>
      </c>
      <c r="AF6" s="25">
        <v>0</v>
      </c>
      <c r="AG6" s="25">
        <v>5</v>
      </c>
      <c r="AH6" s="25">
        <v>5</v>
      </c>
      <c r="AJ6" s="7">
        <v>1</v>
      </c>
      <c r="AK6" s="7">
        <v>0</v>
      </c>
      <c r="AL6" s="7">
        <v>0</v>
      </c>
      <c r="AM6" s="7">
        <v>0</v>
      </c>
      <c r="AN6" s="7">
        <v>0</v>
      </c>
      <c r="AO6" s="7">
        <v>1</v>
      </c>
      <c r="AP6" s="7">
        <v>1</v>
      </c>
    </row>
    <row r="7" spans="1:50">
      <c r="A7" s="26" t="s">
        <v>22</v>
      </c>
      <c r="B7" s="15">
        <f t="shared" si="2"/>
        <v>6</v>
      </c>
      <c r="C7" s="15">
        <f t="shared" si="3"/>
        <v>3</v>
      </c>
      <c r="D7" s="15">
        <f t="shared" si="4"/>
        <v>3</v>
      </c>
      <c r="E7" s="15">
        <f t="shared" si="5"/>
        <v>2</v>
      </c>
      <c r="F7" s="15">
        <f t="shared" si="6"/>
        <v>9</v>
      </c>
      <c r="G7" s="15">
        <f t="shared" si="7"/>
        <v>1</v>
      </c>
      <c r="H7" s="15">
        <f t="shared" si="8"/>
        <v>1</v>
      </c>
      <c r="I7" s="7">
        <v>3</v>
      </c>
      <c r="J7" s="181"/>
      <c r="K7" s="21">
        <v>3</v>
      </c>
      <c r="L7" s="24" t="s">
        <v>28</v>
      </c>
      <c r="M7" s="24" t="s">
        <v>34</v>
      </c>
      <c r="N7" s="24" t="s">
        <v>35</v>
      </c>
      <c r="O7" s="24" t="s">
        <v>83</v>
      </c>
      <c r="P7" s="24" t="s">
        <v>86</v>
      </c>
      <c r="Q7" s="24" t="s">
        <v>29</v>
      </c>
      <c r="R7" s="24" t="s">
        <v>25</v>
      </c>
      <c r="T7" s="8">
        <f t="shared" si="9"/>
        <v>10</v>
      </c>
      <c r="U7" s="8">
        <f t="shared" si="10"/>
        <v>3</v>
      </c>
      <c r="V7" s="8">
        <f t="shared" si="11"/>
        <v>4</v>
      </c>
      <c r="W7" s="8">
        <f t="shared" si="12"/>
        <v>14</v>
      </c>
      <c r="X7" s="8">
        <f t="shared" si="13"/>
        <v>17</v>
      </c>
      <c r="Y7" s="8">
        <f t="shared" si="14"/>
        <v>11</v>
      </c>
      <c r="Z7" s="8">
        <f t="shared" si="15"/>
        <v>8</v>
      </c>
      <c r="AB7" s="25">
        <v>5</v>
      </c>
      <c r="AC7" s="25">
        <v>0</v>
      </c>
      <c r="AD7" s="25">
        <v>0</v>
      </c>
      <c r="AE7" s="25">
        <v>0</v>
      </c>
      <c r="AF7" s="25">
        <v>0</v>
      </c>
      <c r="AG7" s="25">
        <v>5</v>
      </c>
      <c r="AH7" s="25">
        <v>5</v>
      </c>
      <c r="AJ7" s="7">
        <v>1</v>
      </c>
      <c r="AK7" s="7">
        <v>2</v>
      </c>
      <c r="AL7" s="7">
        <v>0</v>
      </c>
      <c r="AM7" s="7">
        <v>0</v>
      </c>
      <c r="AN7" s="7">
        <v>2</v>
      </c>
      <c r="AO7" s="7">
        <v>1</v>
      </c>
      <c r="AP7" s="7">
        <v>1</v>
      </c>
    </row>
    <row r="8" spans="1:50">
      <c r="A8" s="27" t="s">
        <v>18</v>
      </c>
      <c r="B8" s="15">
        <f t="shared" si="2"/>
        <v>4</v>
      </c>
      <c r="C8" s="15">
        <f t="shared" si="3"/>
        <v>6</v>
      </c>
      <c r="D8" s="15">
        <f t="shared" si="4"/>
        <v>3</v>
      </c>
      <c r="E8" s="15">
        <f t="shared" si="5"/>
        <v>6</v>
      </c>
      <c r="F8" s="15">
        <f t="shared" si="6"/>
        <v>9</v>
      </c>
      <c r="G8" s="15">
        <f t="shared" si="7"/>
        <v>2</v>
      </c>
      <c r="H8" s="15">
        <f t="shared" si="8"/>
        <v>12</v>
      </c>
      <c r="I8" s="7">
        <v>4</v>
      </c>
      <c r="J8" s="181"/>
      <c r="K8" s="22">
        <v>4</v>
      </c>
      <c r="L8" s="24" t="s">
        <v>30</v>
      </c>
      <c r="M8" s="24" t="s">
        <v>34</v>
      </c>
      <c r="N8" s="24" t="s">
        <v>25</v>
      </c>
      <c r="O8" s="24" t="s">
        <v>27</v>
      </c>
      <c r="P8" s="24" t="s">
        <v>86</v>
      </c>
      <c r="Q8" s="24" t="s">
        <v>30</v>
      </c>
      <c r="R8" s="24" t="s">
        <v>18</v>
      </c>
      <c r="T8" s="8">
        <f t="shared" si="9"/>
        <v>12</v>
      </c>
      <c r="U8" s="8">
        <f t="shared" si="10"/>
        <v>3</v>
      </c>
      <c r="V8" s="8">
        <f t="shared" si="11"/>
        <v>8</v>
      </c>
      <c r="W8" s="8">
        <f t="shared" si="12"/>
        <v>9</v>
      </c>
      <c r="X8" s="8">
        <f t="shared" si="13"/>
        <v>17</v>
      </c>
      <c r="Y8" s="8">
        <f t="shared" si="14"/>
        <v>12</v>
      </c>
      <c r="Z8" s="8">
        <f t="shared" si="15"/>
        <v>4</v>
      </c>
      <c r="AB8" s="25">
        <v>5</v>
      </c>
      <c r="AC8" s="25">
        <v>0</v>
      </c>
      <c r="AD8" s="25">
        <v>0</v>
      </c>
      <c r="AE8" s="25">
        <v>0</v>
      </c>
      <c r="AF8" s="25">
        <v>0</v>
      </c>
      <c r="AG8" s="25">
        <v>5</v>
      </c>
      <c r="AH8" s="25">
        <v>5</v>
      </c>
      <c r="AJ8" s="7">
        <v>1</v>
      </c>
      <c r="AK8" s="7">
        <v>0</v>
      </c>
      <c r="AL8" s="7">
        <v>1</v>
      </c>
      <c r="AM8" s="7">
        <v>1</v>
      </c>
      <c r="AN8" s="7">
        <v>0</v>
      </c>
      <c r="AO8" s="7">
        <v>1</v>
      </c>
      <c r="AP8" s="7">
        <v>1</v>
      </c>
    </row>
    <row r="9" spans="1:50">
      <c r="A9" s="28" t="s">
        <v>19</v>
      </c>
      <c r="B9" s="15">
        <f t="shared" si="2"/>
        <v>2</v>
      </c>
      <c r="C9" s="15">
        <f t="shared" si="3"/>
        <v>3</v>
      </c>
      <c r="D9" s="15">
        <f t="shared" si="4"/>
        <v>3</v>
      </c>
      <c r="E9" s="15">
        <f t="shared" si="5"/>
        <v>0</v>
      </c>
      <c r="F9" s="15">
        <f t="shared" si="6"/>
        <v>3</v>
      </c>
      <c r="G9" s="15">
        <f t="shared" si="7"/>
        <v>9</v>
      </c>
      <c r="H9" s="15">
        <f t="shared" si="8"/>
        <v>6</v>
      </c>
      <c r="I9" s="7">
        <v>5</v>
      </c>
      <c r="J9" s="181"/>
      <c r="K9" s="21">
        <v>5</v>
      </c>
      <c r="L9" s="24" t="s">
        <v>33</v>
      </c>
      <c r="M9" s="24" t="s">
        <v>34</v>
      </c>
      <c r="N9" s="24" t="s">
        <v>25</v>
      </c>
      <c r="O9" s="24" t="s">
        <v>28</v>
      </c>
      <c r="P9" s="24" t="s">
        <v>37</v>
      </c>
      <c r="Q9" s="24" t="s">
        <v>30</v>
      </c>
      <c r="R9" s="24" t="s">
        <v>18</v>
      </c>
      <c r="T9" s="8">
        <f t="shared" si="9"/>
        <v>2</v>
      </c>
      <c r="U9" s="8">
        <f t="shared" si="10"/>
        <v>3</v>
      </c>
      <c r="V9" s="8">
        <f t="shared" si="11"/>
        <v>8</v>
      </c>
      <c r="W9" s="8">
        <f t="shared" si="12"/>
        <v>10</v>
      </c>
      <c r="X9" s="8">
        <f t="shared" si="13"/>
        <v>1</v>
      </c>
      <c r="Y9" s="8">
        <f t="shared" si="14"/>
        <v>12</v>
      </c>
      <c r="Z9" s="8">
        <f t="shared" si="15"/>
        <v>4</v>
      </c>
      <c r="AB9" s="25">
        <v>5</v>
      </c>
      <c r="AC9" s="25">
        <v>5</v>
      </c>
      <c r="AD9" s="25">
        <v>5</v>
      </c>
      <c r="AE9" s="25">
        <v>5</v>
      </c>
      <c r="AF9" s="25">
        <v>4</v>
      </c>
      <c r="AG9" s="25">
        <v>5</v>
      </c>
      <c r="AH9" s="25">
        <v>5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</row>
    <row r="10" spans="1:50">
      <c r="A10" s="29" t="s">
        <v>77</v>
      </c>
      <c r="B10" s="15">
        <f t="shared" si="2"/>
        <v>6</v>
      </c>
      <c r="C10" s="15">
        <f t="shared" si="3"/>
        <v>3</v>
      </c>
      <c r="D10" s="15">
        <f t="shared" si="4"/>
        <v>3</v>
      </c>
      <c r="E10" s="15">
        <f t="shared" si="5"/>
        <v>4</v>
      </c>
      <c r="F10" s="15">
        <f t="shared" si="6"/>
        <v>2</v>
      </c>
      <c r="G10" s="15">
        <f t="shared" si="7"/>
        <v>9</v>
      </c>
      <c r="H10" s="15">
        <f t="shared" si="8"/>
        <v>10</v>
      </c>
      <c r="I10" s="7">
        <v>6</v>
      </c>
      <c r="J10" s="181"/>
      <c r="K10" s="22">
        <v>6</v>
      </c>
      <c r="L10" s="24" t="s">
        <v>22</v>
      </c>
      <c r="M10" s="24" t="s">
        <v>77</v>
      </c>
      <c r="N10" s="24" t="s">
        <v>29</v>
      </c>
      <c r="O10" s="24" t="s">
        <v>28</v>
      </c>
      <c r="P10" s="24" t="s">
        <v>18</v>
      </c>
      <c r="Q10" s="24" t="s">
        <v>25</v>
      </c>
      <c r="R10" s="24" t="s">
        <v>18</v>
      </c>
      <c r="T10" s="8">
        <f t="shared" si="9"/>
        <v>3</v>
      </c>
      <c r="U10" s="8">
        <f t="shared" si="10"/>
        <v>6</v>
      </c>
      <c r="V10" s="8">
        <f t="shared" si="11"/>
        <v>11</v>
      </c>
      <c r="W10" s="8">
        <f t="shared" si="12"/>
        <v>10</v>
      </c>
      <c r="X10" s="8">
        <f t="shared" si="13"/>
        <v>4</v>
      </c>
      <c r="Y10" s="8">
        <f t="shared" si="14"/>
        <v>8</v>
      </c>
      <c r="Z10" s="8">
        <f t="shared" si="15"/>
        <v>4</v>
      </c>
      <c r="AB10" s="25">
        <v>5</v>
      </c>
      <c r="AC10" s="25">
        <v>0</v>
      </c>
      <c r="AD10" s="25">
        <v>0</v>
      </c>
      <c r="AE10" s="25">
        <v>0</v>
      </c>
      <c r="AF10" s="25">
        <v>1</v>
      </c>
      <c r="AG10" s="25">
        <v>5</v>
      </c>
      <c r="AH10" s="25">
        <v>5</v>
      </c>
      <c r="AJ10" s="7">
        <v>1</v>
      </c>
      <c r="AK10" s="7">
        <v>1</v>
      </c>
      <c r="AL10" s="7">
        <v>1</v>
      </c>
      <c r="AM10" s="7">
        <v>1</v>
      </c>
      <c r="AN10" s="7">
        <v>3</v>
      </c>
      <c r="AO10" s="7">
        <v>1</v>
      </c>
      <c r="AP10" s="7">
        <v>1</v>
      </c>
    </row>
    <row r="11" spans="1:50">
      <c r="A11" s="29" t="s">
        <v>162</v>
      </c>
      <c r="B11" s="15">
        <f t="shared" si="2"/>
        <v>3</v>
      </c>
      <c r="C11" s="15">
        <f t="shared" si="3"/>
        <v>3</v>
      </c>
      <c r="D11" s="15">
        <f t="shared" si="4"/>
        <v>4</v>
      </c>
      <c r="E11" s="15">
        <f t="shared" si="5"/>
        <v>0</v>
      </c>
      <c r="F11" s="15">
        <f t="shared" si="6"/>
        <v>0</v>
      </c>
      <c r="G11" s="15">
        <f t="shared" si="7"/>
        <v>0</v>
      </c>
      <c r="H11" s="15">
        <f t="shared" si="8"/>
        <v>0</v>
      </c>
      <c r="I11" s="7">
        <v>7</v>
      </c>
      <c r="J11" s="181"/>
      <c r="K11" s="21">
        <v>7</v>
      </c>
      <c r="L11" s="24" t="s">
        <v>37</v>
      </c>
      <c r="M11" s="24" t="s">
        <v>18</v>
      </c>
      <c r="N11" s="24" t="s">
        <v>29</v>
      </c>
      <c r="O11" s="24" t="s">
        <v>38</v>
      </c>
      <c r="P11" s="24" t="s">
        <v>18</v>
      </c>
      <c r="Q11" s="24" t="s">
        <v>28</v>
      </c>
      <c r="R11" s="24" t="s">
        <v>77</v>
      </c>
      <c r="T11" s="8">
        <f t="shared" si="9"/>
        <v>1</v>
      </c>
      <c r="U11" s="8">
        <f t="shared" si="10"/>
        <v>4</v>
      </c>
      <c r="V11" s="8">
        <f t="shared" si="11"/>
        <v>11</v>
      </c>
      <c r="W11" s="8">
        <f t="shared" si="12"/>
        <v>9</v>
      </c>
      <c r="X11" s="8">
        <f t="shared" si="13"/>
        <v>4</v>
      </c>
      <c r="Y11" s="8">
        <f t="shared" si="14"/>
        <v>10</v>
      </c>
      <c r="Z11" s="8">
        <f t="shared" si="15"/>
        <v>6</v>
      </c>
      <c r="AB11" s="25">
        <v>5</v>
      </c>
      <c r="AC11" s="25">
        <v>0</v>
      </c>
      <c r="AD11" s="25">
        <v>0</v>
      </c>
      <c r="AE11" s="25">
        <v>0</v>
      </c>
      <c r="AF11" s="25">
        <v>0</v>
      </c>
      <c r="AG11" s="25">
        <v>5</v>
      </c>
      <c r="AH11" s="25">
        <v>5</v>
      </c>
      <c r="AJ11" s="7">
        <v>1</v>
      </c>
      <c r="AK11" s="7">
        <v>2</v>
      </c>
      <c r="AL11" s="7">
        <v>1</v>
      </c>
      <c r="AM11" s="7">
        <v>1</v>
      </c>
      <c r="AN11" s="7">
        <v>0</v>
      </c>
      <c r="AO11" s="7">
        <v>1</v>
      </c>
      <c r="AP11" s="7">
        <v>1</v>
      </c>
    </row>
    <row r="12" spans="1:50">
      <c r="A12" s="26" t="s">
        <v>25</v>
      </c>
      <c r="B12" s="15">
        <f t="shared" si="2"/>
        <v>2</v>
      </c>
      <c r="C12" s="15">
        <f t="shared" si="3"/>
        <v>8</v>
      </c>
      <c r="D12" s="15">
        <f t="shared" si="4"/>
        <v>9</v>
      </c>
      <c r="E12" s="15">
        <f t="shared" si="5"/>
        <v>3</v>
      </c>
      <c r="F12" s="15">
        <f t="shared" si="6"/>
        <v>2</v>
      </c>
      <c r="G12" s="15">
        <f t="shared" si="7"/>
        <v>12</v>
      </c>
      <c r="H12" s="15">
        <f t="shared" si="8"/>
        <v>10</v>
      </c>
      <c r="I12" s="7">
        <v>8</v>
      </c>
      <c r="J12" s="181"/>
      <c r="K12" s="22">
        <v>8</v>
      </c>
      <c r="L12" s="24" t="s">
        <v>163</v>
      </c>
      <c r="M12" s="24" t="s">
        <v>18</v>
      </c>
      <c r="N12" s="24" t="s">
        <v>163</v>
      </c>
      <c r="O12" s="24" t="s">
        <v>37</v>
      </c>
      <c r="P12" s="24" t="s">
        <v>18</v>
      </c>
      <c r="Q12" s="24" t="s">
        <v>19</v>
      </c>
      <c r="R12" s="24" t="s">
        <v>77</v>
      </c>
      <c r="T12" s="8">
        <f t="shared" si="9"/>
        <v>7</v>
      </c>
      <c r="U12" s="8">
        <f t="shared" si="10"/>
        <v>4</v>
      </c>
      <c r="V12" s="8">
        <f t="shared" si="11"/>
        <v>7</v>
      </c>
      <c r="W12" s="8">
        <f t="shared" si="12"/>
        <v>1</v>
      </c>
      <c r="X12" s="8">
        <f t="shared" si="13"/>
        <v>4</v>
      </c>
      <c r="Y12" s="8">
        <f t="shared" si="14"/>
        <v>5</v>
      </c>
      <c r="Z12" s="8">
        <f t="shared" si="15"/>
        <v>6</v>
      </c>
      <c r="AB12" s="25">
        <v>5</v>
      </c>
      <c r="AC12" s="25">
        <v>0</v>
      </c>
      <c r="AD12" s="25">
        <v>0</v>
      </c>
      <c r="AE12" s="25">
        <v>0</v>
      </c>
      <c r="AF12" s="25">
        <v>0</v>
      </c>
      <c r="AG12" s="25">
        <v>5</v>
      </c>
      <c r="AH12" s="25">
        <v>5</v>
      </c>
      <c r="AJ12" s="7">
        <v>1</v>
      </c>
      <c r="AK12" s="7">
        <v>0</v>
      </c>
      <c r="AL12" s="7">
        <v>1</v>
      </c>
      <c r="AM12" s="7">
        <v>2</v>
      </c>
      <c r="AN12" s="7">
        <v>0</v>
      </c>
      <c r="AO12" s="7">
        <v>1</v>
      </c>
      <c r="AP12" s="7">
        <v>1</v>
      </c>
    </row>
    <row r="13" spans="1:50">
      <c r="A13" s="27" t="s">
        <v>27</v>
      </c>
      <c r="B13" s="15">
        <f t="shared" si="2"/>
        <v>9</v>
      </c>
      <c r="C13" s="15">
        <f t="shared" si="3"/>
        <v>1</v>
      </c>
      <c r="D13" s="15">
        <f t="shared" si="4"/>
        <v>0</v>
      </c>
      <c r="E13" s="15">
        <f t="shared" si="5"/>
        <v>4</v>
      </c>
      <c r="F13" s="15">
        <f t="shared" si="6"/>
        <v>2</v>
      </c>
      <c r="G13" s="15">
        <f t="shared" si="7"/>
        <v>3</v>
      </c>
      <c r="H13" s="15">
        <f t="shared" si="8"/>
        <v>0</v>
      </c>
      <c r="I13" s="7">
        <v>9</v>
      </c>
      <c r="J13" s="181"/>
      <c r="K13" s="21">
        <v>9</v>
      </c>
      <c r="L13" s="24" t="s">
        <v>30</v>
      </c>
      <c r="M13" s="24" t="s">
        <v>25</v>
      </c>
      <c r="N13" s="24" t="s">
        <v>22</v>
      </c>
      <c r="O13" s="24" t="s">
        <v>37</v>
      </c>
      <c r="P13" s="24" t="s">
        <v>33</v>
      </c>
      <c r="Q13" s="24" t="s">
        <v>25</v>
      </c>
      <c r="R13" s="24" t="s">
        <v>77</v>
      </c>
      <c r="T13" s="8">
        <f t="shared" si="9"/>
        <v>12</v>
      </c>
      <c r="U13" s="8">
        <f t="shared" si="10"/>
        <v>8</v>
      </c>
      <c r="V13" s="8">
        <f t="shared" si="11"/>
        <v>3</v>
      </c>
      <c r="W13" s="8">
        <f t="shared" si="12"/>
        <v>1</v>
      </c>
      <c r="X13" s="8">
        <f t="shared" si="13"/>
        <v>2</v>
      </c>
      <c r="Y13" s="8">
        <f t="shared" si="14"/>
        <v>8</v>
      </c>
      <c r="Z13" s="8">
        <f t="shared" si="15"/>
        <v>6</v>
      </c>
      <c r="AB13" s="25">
        <v>5</v>
      </c>
      <c r="AC13" s="25">
        <v>0</v>
      </c>
      <c r="AD13" s="25">
        <v>0</v>
      </c>
      <c r="AE13" s="25">
        <v>0</v>
      </c>
      <c r="AF13" s="25">
        <v>1</v>
      </c>
      <c r="AG13" s="25">
        <v>5</v>
      </c>
      <c r="AH13" s="25">
        <v>5</v>
      </c>
      <c r="AJ13" s="7">
        <v>1</v>
      </c>
      <c r="AK13" s="7">
        <v>1</v>
      </c>
      <c r="AL13" s="7">
        <v>1</v>
      </c>
      <c r="AM13" s="7">
        <v>0</v>
      </c>
      <c r="AN13" s="7">
        <v>1</v>
      </c>
      <c r="AO13" s="7">
        <v>1</v>
      </c>
      <c r="AP13" s="7">
        <v>1</v>
      </c>
    </row>
    <row r="14" spans="1:50">
      <c r="A14" s="28" t="s">
        <v>28</v>
      </c>
      <c r="B14" s="15">
        <f t="shared" si="2"/>
        <v>8</v>
      </c>
      <c r="C14" s="15">
        <f t="shared" si="3"/>
        <v>0</v>
      </c>
      <c r="D14" s="15">
        <f t="shared" si="4"/>
        <v>9</v>
      </c>
      <c r="E14" s="15">
        <f t="shared" si="5"/>
        <v>9</v>
      </c>
      <c r="F14" s="15">
        <f t="shared" si="6"/>
        <v>2</v>
      </c>
      <c r="G14" s="15">
        <f t="shared" si="7"/>
        <v>8</v>
      </c>
      <c r="H14" s="15">
        <f t="shared" si="8"/>
        <v>0</v>
      </c>
      <c r="I14" s="7">
        <v>10</v>
      </c>
      <c r="J14" s="181"/>
      <c r="K14" s="22">
        <v>10</v>
      </c>
      <c r="L14" s="24" t="s">
        <v>40</v>
      </c>
      <c r="M14" s="24" t="s">
        <v>25</v>
      </c>
      <c r="N14" s="24" t="s">
        <v>28</v>
      </c>
      <c r="O14" s="24" t="s">
        <v>18</v>
      </c>
      <c r="P14" s="24" t="s">
        <v>22</v>
      </c>
      <c r="Q14" s="24" t="s">
        <v>33</v>
      </c>
      <c r="R14" s="24" t="s">
        <v>29</v>
      </c>
      <c r="T14" s="8">
        <f t="shared" si="9"/>
        <v>11</v>
      </c>
      <c r="U14" s="8">
        <f t="shared" si="10"/>
        <v>8</v>
      </c>
      <c r="V14" s="8">
        <f t="shared" si="11"/>
        <v>10</v>
      </c>
      <c r="W14" s="8">
        <f t="shared" si="12"/>
        <v>4</v>
      </c>
      <c r="X14" s="8">
        <f t="shared" si="13"/>
        <v>3</v>
      </c>
      <c r="Y14" s="8">
        <f t="shared" si="14"/>
        <v>2</v>
      </c>
      <c r="Z14" s="8">
        <f t="shared" si="15"/>
        <v>11</v>
      </c>
      <c r="AB14" s="25">
        <v>5</v>
      </c>
      <c r="AC14" s="25">
        <v>5</v>
      </c>
      <c r="AD14" s="25">
        <v>5</v>
      </c>
      <c r="AE14" s="25">
        <v>5</v>
      </c>
      <c r="AF14" s="25">
        <v>5</v>
      </c>
      <c r="AG14" s="25">
        <v>5</v>
      </c>
      <c r="AH14" s="25">
        <v>5</v>
      </c>
      <c r="AJ14" s="7">
        <v>1</v>
      </c>
      <c r="AK14" s="7">
        <v>1</v>
      </c>
      <c r="AL14" s="7">
        <v>1</v>
      </c>
      <c r="AM14" s="7">
        <v>2</v>
      </c>
      <c r="AN14" s="7">
        <v>1</v>
      </c>
      <c r="AO14" s="7">
        <v>1</v>
      </c>
      <c r="AP14" s="7">
        <v>1</v>
      </c>
    </row>
    <row r="15" spans="1:50">
      <c r="A15" s="29" t="s">
        <v>29</v>
      </c>
      <c r="B15" s="15">
        <f t="shared" si="2"/>
        <v>3</v>
      </c>
      <c r="C15" s="15">
        <f t="shared" si="3"/>
        <v>3</v>
      </c>
      <c r="D15" s="15">
        <f t="shared" si="4"/>
        <v>6</v>
      </c>
      <c r="E15" s="15">
        <f t="shared" si="5"/>
        <v>0</v>
      </c>
      <c r="F15" s="15">
        <f t="shared" si="6"/>
        <v>2</v>
      </c>
      <c r="G15" s="15">
        <f t="shared" si="7"/>
        <v>8</v>
      </c>
      <c r="H15" s="15">
        <f t="shared" si="8"/>
        <v>9</v>
      </c>
      <c r="I15" s="7">
        <v>11</v>
      </c>
      <c r="K15" s="21">
        <v>11</v>
      </c>
      <c r="L15" s="24" t="s">
        <v>77</v>
      </c>
      <c r="M15" s="24" t="s">
        <v>20</v>
      </c>
      <c r="N15" s="24" t="s">
        <v>163</v>
      </c>
      <c r="O15" s="24" t="s">
        <v>18</v>
      </c>
      <c r="P15" s="24" t="s">
        <v>90</v>
      </c>
      <c r="Q15" s="24" t="s">
        <v>77</v>
      </c>
      <c r="R15" s="24" t="s">
        <v>29</v>
      </c>
      <c r="T15" s="8">
        <f t="shared" si="9"/>
        <v>6</v>
      </c>
      <c r="U15" s="8">
        <f t="shared" si="10"/>
        <v>1</v>
      </c>
      <c r="V15" s="8">
        <f t="shared" si="11"/>
        <v>7</v>
      </c>
      <c r="W15" s="8">
        <f t="shared" si="12"/>
        <v>4</v>
      </c>
      <c r="X15" s="8">
        <f t="shared" si="13"/>
        <v>22</v>
      </c>
      <c r="Y15" s="8">
        <f t="shared" si="14"/>
        <v>6</v>
      </c>
      <c r="Z15" s="8">
        <f t="shared" si="15"/>
        <v>11</v>
      </c>
      <c r="AB15" s="25">
        <v>5</v>
      </c>
      <c r="AC15" s="25">
        <v>0</v>
      </c>
      <c r="AD15" s="25">
        <v>0</v>
      </c>
      <c r="AE15" s="25">
        <v>0</v>
      </c>
      <c r="AF15" s="25">
        <v>0</v>
      </c>
      <c r="AG15" s="25">
        <v>5</v>
      </c>
      <c r="AH15" s="25">
        <v>5</v>
      </c>
      <c r="AJ15" s="7">
        <v>1</v>
      </c>
      <c r="AK15" s="7">
        <v>1</v>
      </c>
      <c r="AL15" s="7">
        <v>1</v>
      </c>
      <c r="AM15" s="7">
        <v>0</v>
      </c>
      <c r="AN15" s="7">
        <v>2</v>
      </c>
      <c r="AO15" s="7">
        <v>1</v>
      </c>
      <c r="AP15" s="7">
        <v>1</v>
      </c>
    </row>
    <row r="16" spans="1:50">
      <c r="A16" s="30" t="s">
        <v>30</v>
      </c>
      <c r="B16" s="15">
        <f t="shared" si="2"/>
        <v>11</v>
      </c>
      <c r="C16" s="15">
        <f t="shared" si="3"/>
        <v>3</v>
      </c>
      <c r="D16" s="15">
        <f t="shared" si="4"/>
        <v>0</v>
      </c>
      <c r="E16" s="15">
        <f t="shared" si="5"/>
        <v>0</v>
      </c>
      <c r="F16" s="15">
        <f t="shared" si="6"/>
        <v>0</v>
      </c>
      <c r="G16" s="15">
        <f t="shared" si="7"/>
        <v>4</v>
      </c>
      <c r="H16" s="15">
        <f t="shared" si="8"/>
        <v>3</v>
      </c>
      <c r="I16" s="7">
        <v>12</v>
      </c>
      <c r="K16" s="22">
        <v>12</v>
      </c>
      <c r="L16" s="24" t="s">
        <v>77</v>
      </c>
      <c r="M16" s="24" t="s">
        <v>85</v>
      </c>
      <c r="N16" s="24" t="s">
        <v>86</v>
      </c>
      <c r="O16" s="24" t="s">
        <v>28</v>
      </c>
      <c r="P16" s="24" t="s">
        <v>90</v>
      </c>
      <c r="Q16" s="24" t="s">
        <v>28</v>
      </c>
      <c r="R16" s="24" t="s">
        <v>29</v>
      </c>
      <c r="T16" s="8">
        <f t="shared" si="9"/>
        <v>6</v>
      </c>
      <c r="U16" s="8">
        <f t="shared" si="10"/>
        <v>16</v>
      </c>
      <c r="V16" s="8">
        <f t="shared" si="11"/>
        <v>17</v>
      </c>
      <c r="W16" s="8">
        <f t="shared" si="12"/>
        <v>10</v>
      </c>
      <c r="X16" s="8">
        <f t="shared" si="13"/>
        <v>22</v>
      </c>
      <c r="Y16" s="8">
        <f t="shared" si="14"/>
        <v>10</v>
      </c>
      <c r="Z16" s="8">
        <f t="shared" si="15"/>
        <v>11</v>
      </c>
      <c r="AB16" s="25">
        <v>5</v>
      </c>
      <c r="AC16" s="25">
        <v>0</v>
      </c>
      <c r="AD16" s="25">
        <v>0</v>
      </c>
      <c r="AE16" s="25">
        <v>0</v>
      </c>
      <c r="AF16" s="25">
        <v>0</v>
      </c>
      <c r="AG16" s="25">
        <v>5</v>
      </c>
      <c r="AH16" s="25">
        <v>5</v>
      </c>
      <c r="AJ16" s="7">
        <v>1</v>
      </c>
      <c r="AK16" s="7">
        <v>2</v>
      </c>
      <c r="AL16" s="7">
        <v>2</v>
      </c>
      <c r="AM16" s="7">
        <v>1</v>
      </c>
      <c r="AN16" s="7">
        <v>0</v>
      </c>
      <c r="AO16" s="7">
        <v>1</v>
      </c>
      <c r="AP16" s="7">
        <v>1</v>
      </c>
    </row>
    <row r="17" spans="1:42">
      <c r="A17" s="30" t="s">
        <v>82</v>
      </c>
      <c r="B17" s="15">
        <f t="shared" si="2"/>
        <v>0</v>
      </c>
      <c r="C17" s="15">
        <f t="shared" si="3"/>
        <v>1</v>
      </c>
      <c r="D17" s="15">
        <f t="shared" si="4"/>
        <v>6</v>
      </c>
      <c r="E17" s="15">
        <f t="shared" si="5"/>
        <v>0</v>
      </c>
      <c r="F17" s="15">
        <f t="shared" si="6"/>
        <v>0</v>
      </c>
      <c r="G17" s="15">
        <f t="shared" si="7"/>
        <v>0</v>
      </c>
      <c r="H17" s="15">
        <f t="shared" si="8"/>
        <v>0</v>
      </c>
      <c r="I17" s="7">
        <v>13</v>
      </c>
      <c r="K17" s="21">
        <v>13</v>
      </c>
      <c r="L17" s="24" t="s">
        <v>30</v>
      </c>
      <c r="M17" s="24" t="s">
        <v>85</v>
      </c>
      <c r="N17" s="24" t="s">
        <v>86</v>
      </c>
      <c r="O17" s="24" t="s">
        <v>33</v>
      </c>
      <c r="P17" s="24" t="s">
        <v>27</v>
      </c>
      <c r="Q17" s="24" t="s">
        <v>25</v>
      </c>
      <c r="R17" s="24" t="s">
        <v>34</v>
      </c>
      <c r="T17" s="8">
        <f t="shared" si="9"/>
        <v>12</v>
      </c>
      <c r="U17" s="8">
        <f t="shared" si="10"/>
        <v>16</v>
      </c>
      <c r="V17" s="8">
        <f t="shared" si="11"/>
        <v>17</v>
      </c>
      <c r="W17" s="8">
        <f t="shared" si="12"/>
        <v>2</v>
      </c>
      <c r="X17" s="8">
        <f t="shared" si="13"/>
        <v>9</v>
      </c>
      <c r="Y17" s="8">
        <f t="shared" si="14"/>
        <v>8</v>
      </c>
      <c r="Z17" s="8">
        <f t="shared" si="15"/>
        <v>3</v>
      </c>
      <c r="AB17" s="25">
        <v>5</v>
      </c>
      <c r="AC17" s="25">
        <v>0</v>
      </c>
      <c r="AD17" s="25">
        <v>0</v>
      </c>
      <c r="AE17" s="25">
        <v>0</v>
      </c>
      <c r="AF17" s="25">
        <v>0</v>
      </c>
      <c r="AG17" s="25">
        <v>5</v>
      </c>
      <c r="AH17" s="25">
        <v>5</v>
      </c>
      <c r="AJ17" s="7">
        <v>1</v>
      </c>
      <c r="AK17" s="7">
        <v>0</v>
      </c>
      <c r="AL17" s="7">
        <v>0</v>
      </c>
      <c r="AM17" s="7">
        <v>1</v>
      </c>
      <c r="AN17" s="7">
        <v>1</v>
      </c>
      <c r="AO17" s="7">
        <v>1</v>
      </c>
      <c r="AP17" s="7">
        <v>1</v>
      </c>
    </row>
    <row r="18" spans="1:42">
      <c r="A18" s="30" t="s">
        <v>83</v>
      </c>
      <c r="B18" s="15">
        <f t="shared" si="2"/>
        <v>0</v>
      </c>
      <c r="C18" s="15">
        <f t="shared" si="3"/>
        <v>0</v>
      </c>
      <c r="D18" s="15">
        <f t="shared" si="4"/>
        <v>0</v>
      </c>
      <c r="E18" s="15">
        <f t="shared" si="5"/>
        <v>9</v>
      </c>
      <c r="F18" s="15">
        <f t="shared" si="6"/>
        <v>0</v>
      </c>
      <c r="G18" s="15">
        <f t="shared" si="7"/>
        <v>0</v>
      </c>
      <c r="H18" s="15">
        <f t="shared" si="8"/>
        <v>0</v>
      </c>
      <c r="I18" s="7">
        <v>14</v>
      </c>
      <c r="K18" s="22">
        <v>14</v>
      </c>
      <c r="L18" s="24" t="s">
        <v>30</v>
      </c>
      <c r="M18" s="24" t="s">
        <v>29</v>
      </c>
      <c r="N18" s="24" t="s">
        <v>19</v>
      </c>
      <c r="O18" s="24" t="s">
        <v>25</v>
      </c>
      <c r="P18" s="24" t="s">
        <v>37</v>
      </c>
      <c r="Q18" s="24" t="s">
        <v>77</v>
      </c>
      <c r="R18" s="24" t="s">
        <v>19</v>
      </c>
      <c r="S18" s="197"/>
      <c r="T18" s="8">
        <f t="shared" si="9"/>
        <v>12</v>
      </c>
      <c r="U18" s="8">
        <f t="shared" si="10"/>
        <v>11</v>
      </c>
      <c r="V18" s="8">
        <f t="shared" si="11"/>
        <v>5</v>
      </c>
      <c r="W18" s="8">
        <f t="shared" si="12"/>
        <v>8</v>
      </c>
      <c r="X18" s="8">
        <f t="shared" si="13"/>
        <v>1</v>
      </c>
      <c r="Y18" s="8">
        <f t="shared" si="14"/>
        <v>6</v>
      </c>
      <c r="Z18" s="8">
        <f t="shared" si="15"/>
        <v>5</v>
      </c>
      <c r="AA18" s="197"/>
      <c r="AB18" s="25">
        <v>5</v>
      </c>
      <c r="AC18" s="25">
        <v>0</v>
      </c>
      <c r="AD18" s="25">
        <v>0</v>
      </c>
      <c r="AE18" s="25">
        <v>0</v>
      </c>
      <c r="AF18" s="25">
        <v>1</v>
      </c>
      <c r="AG18" s="25">
        <v>5</v>
      </c>
      <c r="AH18" s="25">
        <v>5</v>
      </c>
      <c r="AI18" s="197"/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</row>
    <row r="19" spans="1:42">
      <c r="A19" s="30" t="s">
        <v>84</v>
      </c>
      <c r="B19" s="15">
        <f t="shared" si="2"/>
        <v>0</v>
      </c>
      <c r="C19" s="15">
        <f t="shared" si="3"/>
        <v>0</v>
      </c>
      <c r="D19" s="15">
        <f t="shared" si="4"/>
        <v>0</v>
      </c>
      <c r="E19" s="15">
        <f t="shared" si="5"/>
        <v>0</v>
      </c>
      <c r="F19" s="15">
        <f t="shared" si="6"/>
        <v>6</v>
      </c>
      <c r="G19" s="15">
        <f t="shared" si="7"/>
        <v>0</v>
      </c>
      <c r="H19" s="15">
        <f t="shared" si="8"/>
        <v>0</v>
      </c>
      <c r="I19" s="7">
        <v>15</v>
      </c>
      <c r="K19" s="21">
        <v>15</v>
      </c>
      <c r="L19" s="24" t="s">
        <v>33</v>
      </c>
      <c r="M19" s="24" t="s">
        <v>21</v>
      </c>
      <c r="N19" s="24" t="s">
        <v>28</v>
      </c>
      <c r="O19" s="24" t="s">
        <v>34</v>
      </c>
      <c r="P19" s="24" t="s">
        <v>86</v>
      </c>
      <c r="Q19" s="24" t="s">
        <v>34</v>
      </c>
      <c r="R19" s="24" t="s">
        <v>19</v>
      </c>
      <c r="T19" s="8">
        <f t="shared" si="9"/>
        <v>2</v>
      </c>
      <c r="U19" s="8">
        <f t="shared" si="10"/>
        <v>2</v>
      </c>
      <c r="V19" s="8">
        <f t="shared" si="11"/>
        <v>10</v>
      </c>
      <c r="W19" s="8">
        <f t="shared" si="12"/>
        <v>3</v>
      </c>
      <c r="X19" s="8">
        <f t="shared" si="13"/>
        <v>17</v>
      </c>
      <c r="Y19" s="8">
        <f t="shared" si="14"/>
        <v>3</v>
      </c>
      <c r="Z19" s="8">
        <f t="shared" si="15"/>
        <v>5</v>
      </c>
      <c r="AB19" s="25">
        <v>5</v>
      </c>
      <c r="AC19" s="25">
        <v>5</v>
      </c>
      <c r="AD19" s="25">
        <v>5</v>
      </c>
      <c r="AE19" s="25">
        <v>5</v>
      </c>
      <c r="AF19" s="25">
        <v>6</v>
      </c>
      <c r="AG19" s="25">
        <v>5</v>
      </c>
      <c r="AH19" s="25">
        <v>5</v>
      </c>
      <c r="AJ19" s="7">
        <v>1</v>
      </c>
      <c r="AK19" s="7">
        <v>1</v>
      </c>
      <c r="AL19" s="7">
        <v>1</v>
      </c>
      <c r="AM19" s="7">
        <v>2</v>
      </c>
      <c r="AN19" s="7">
        <v>2</v>
      </c>
      <c r="AO19" s="7">
        <v>1</v>
      </c>
      <c r="AP19" s="7">
        <v>1</v>
      </c>
    </row>
    <row r="20" spans="1:42">
      <c r="A20" s="30" t="s">
        <v>85</v>
      </c>
      <c r="B20" s="15">
        <f t="shared" si="2"/>
        <v>0</v>
      </c>
      <c r="C20" s="15">
        <f t="shared" si="3"/>
        <v>6</v>
      </c>
      <c r="D20" s="15">
        <f t="shared" si="4"/>
        <v>0</v>
      </c>
      <c r="E20" s="15">
        <f t="shared" si="5"/>
        <v>6</v>
      </c>
      <c r="F20" s="15">
        <f t="shared" si="6"/>
        <v>0</v>
      </c>
      <c r="G20" s="15">
        <f t="shared" si="7"/>
        <v>0</v>
      </c>
      <c r="H20" s="15">
        <f t="shared" si="8"/>
        <v>0</v>
      </c>
      <c r="I20" s="7">
        <v>16</v>
      </c>
      <c r="K20" s="22">
        <v>16</v>
      </c>
      <c r="L20" s="24" t="s">
        <v>27</v>
      </c>
      <c r="M20" s="24" t="s">
        <v>90</v>
      </c>
      <c r="N20" s="24" t="s">
        <v>28</v>
      </c>
      <c r="O20" s="24" t="s">
        <v>34</v>
      </c>
      <c r="P20" s="24" t="s">
        <v>86</v>
      </c>
      <c r="Q20" s="24" t="s">
        <v>19</v>
      </c>
      <c r="R20" s="24" t="s">
        <v>37</v>
      </c>
      <c r="T20" s="8">
        <f t="shared" si="9"/>
        <v>9</v>
      </c>
      <c r="U20" s="8">
        <f t="shared" si="10"/>
        <v>22</v>
      </c>
      <c r="V20" s="8">
        <f t="shared" si="11"/>
        <v>10</v>
      </c>
      <c r="W20" s="8">
        <f t="shared" si="12"/>
        <v>3</v>
      </c>
      <c r="X20" s="8">
        <f t="shared" si="13"/>
        <v>17</v>
      </c>
      <c r="Y20" s="8">
        <f t="shared" si="14"/>
        <v>5</v>
      </c>
      <c r="Z20" s="8">
        <f t="shared" si="15"/>
        <v>1</v>
      </c>
      <c r="AB20" s="25">
        <v>5</v>
      </c>
      <c r="AC20" s="25">
        <v>0</v>
      </c>
      <c r="AD20" s="25">
        <v>0</v>
      </c>
      <c r="AE20" s="25">
        <v>0</v>
      </c>
      <c r="AF20" s="25">
        <v>0</v>
      </c>
      <c r="AG20" s="25">
        <v>5</v>
      </c>
      <c r="AH20" s="25">
        <v>5</v>
      </c>
      <c r="AJ20" s="7">
        <v>1</v>
      </c>
      <c r="AK20" s="7">
        <v>2</v>
      </c>
      <c r="AL20" s="7">
        <v>1</v>
      </c>
      <c r="AM20" s="7">
        <v>0</v>
      </c>
      <c r="AN20" s="7">
        <v>0</v>
      </c>
      <c r="AO20" s="7">
        <v>1</v>
      </c>
      <c r="AP20" s="7">
        <v>1</v>
      </c>
    </row>
    <row r="21" spans="1:42">
      <c r="A21" s="30" t="s">
        <v>86</v>
      </c>
      <c r="B21" s="15">
        <f t="shared" si="2"/>
        <v>0</v>
      </c>
      <c r="C21" s="15">
        <f t="shared" si="3"/>
        <v>0</v>
      </c>
      <c r="D21" s="15">
        <f t="shared" si="4"/>
        <v>6</v>
      </c>
      <c r="E21" s="15">
        <f t="shared" si="5"/>
        <v>0</v>
      </c>
      <c r="F21" s="15">
        <f t="shared" si="6"/>
        <v>10</v>
      </c>
      <c r="G21" s="15">
        <f t="shared" si="7"/>
        <v>0</v>
      </c>
      <c r="H21" s="15">
        <f t="shared" si="8"/>
        <v>0</v>
      </c>
      <c r="I21" s="7">
        <v>17</v>
      </c>
      <c r="K21" s="21">
        <v>17</v>
      </c>
      <c r="L21" s="24" t="s">
        <v>28</v>
      </c>
      <c r="M21" s="24" t="s">
        <v>90</v>
      </c>
      <c r="N21" s="24" t="s">
        <v>163</v>
      </c>
      <c r="O21" s="24" t="s">
        <v>20</v>
      </c>
      <c r="P21" s="24" t="s">
        <v>22</v>
      </c>
      <c r="Q21" s="24" t="s">
        <v>29</v>
      </c>
      <c r="R21" s="24" t="s">
        <v>30</v>
      </c>
      <c r="T21" s="8">
        <f t="shared" si="9"/>
        <v>10</v>
      </c>
      <c r="U21" s="8">
        <f t="shared" si="10"/>
        <v>22</v>
      </c>
      <c r="V21" s="8">
        <f>VLOOKUP(N21, $A$4:$I$29, 9, 0)</f>
        <v>7</v>
      </c>
      <c r="W21" s="8">
        <f t="shared" si="12"/>
        <v>1</v>
      </c>
      <c r="X21" s="8">
        <f t="shared" si="13"/>
        <v>3</v>
      </c>
      <c r="Y21" s="8">
        <f t="shared" si="14"/>
        <v>11</v>
      </c>
      <c r="Z21" s="8">
        <f t="shared" si="15"/>
        <v>12</v>
      </c>
      <c r="AB21" s="25">
        <v>5</v>
      </c>
      <c r="AC21" s="25">
        <v>0</v>
      </c>
      <c r="AD21" s="25">
        <v>0</v>
      </c>
      <c r="AE21" s="25">
        <v>0</v>
      </c>
      <c r="AF21" s="25">
        <v>0</v>
      </c>
      <c r="AG21" s="25">
        <v>5</v>
      </c>
      <c r="AH21" s="25">
        <v>5</v>
      </c>
      <c r="AJ21" s="7">
        <v>1</v>
      </c>
      <c r="AK21" s="7">
        <v>0</v>
      </c>
      <c r="AL21" s="7">
        <v>1</v>
      </c>
      <c r="AM21" s="7">
        <v>1</v>
      </c>
      <c r="AN21" s="7">
        <v>2</v>
      </c>
      <c r="AO21" s="7">
        <v>1</v>
      </c>
      <c r="AP21" s="7">
        <v>1</v>
      </c>
    </row>
    <row r="22" spans="1:42">
      <c r="A22" s="30" t="s">
        <v>176</v>
      </c>
      <c r="B22" s="15">
        <f t="shared" si="2"/>
        <v>0</v>
      </c>
      <c r="C22" s="15">
        <f t="shared" si="3"/>
        <v>0</v>
      </c>
      <c r="D22" s="15">
        <f t="shared" si="4"/>
        <v>0</v>
      </c>
      <c r="E22" s="15">
        <f t="shared" si="5"/>
        <v>0</v>
      </c>
      <c r="F22" s="15">
        <f t="shared" si="6"/>
        <v>0</v>
      </c>
      <c r="G22" s="15">
        <f t="shared" si="7"/>
        <v>0</v>
      </c>
      <c r="H22" s="15">
        <f t="shared" si="8"/>
        <v>0</v>
      </c>
      <c r="I22" s="7">
        <v>18</v>
      </c>
      <c r="K22" s="22">
        <v>18</v>
      </c>
      <c r="L22" s="24" t="s">
        <v>28</v>
      </c>
      <c r="M22" s="24" t="s">
        <v>20</v>
      </c>
      <c r="N22" s="24" t="s">
        <v>77</v>
      </c>
      <c r="O22" s="24" t="s">
        <v>85</v>
      </c>
      <c r="P22" s="24" t="s">
        <v>22</v>
      </c>
      <c r="Q22" s="24" t="s">
        <v>77</v>
      </c>
      <c r="R22" s="24" t="s">
        <v>18</v>
      </c>
      <c r="T22" s="8">
        <f t="shared" si="9"/>
        <v>10</v>
      </c>
      <c r="U22" s="8">
        <f t="shared" si="10"/>
        <v>1</v>
      </c>
      <c r="V22" s="8">
        <f t="shared" si="11"/>
        <v>6</v>
      </c>
      <c r="W22" s="8">
        <f t="shared" si="12"/>
        <v>16</v>
      </c>
      <c r="X22" s="8">
        <f t="shared" si="13"/>
        <v>3</v>
      </c>
      <c r="Y22" s="8">
        <f t="shared" si="14"/>
        <v>6</v>
      </c>
      <c r="Z22" s="8">
        <f t="shared" si="15"/>
        <v>4</v>
      </c>
      <c r="AB22" s="25">
        <v>5</v>
      </c>
      <c r="AC22" s="25">
        <v>0</v>
      </c>
      <c r="AD22" s="25">
        <v>0</v>
      </c>
      <c r="AE22" s="25">
        <v>0</v>
      </c>
      <c r="AF22" s="25">
        <v>0</v>
      </c>
      <c r="AG22" s="25">
        <v>5</v>
      </c>
      <c r="AH22" s="25">
        <v>5</v>
      </c>
      <c r="AJ22" s="7">
        <v>1</v>
      </c>
      <c r="AK22" s="7">
        <v>1</v>
      </c>
      <c r="AL22" s="7">
        <v>1</v>
      </c>
      <c r="AM22" s="7">
        <v>2</v>
      </c>
      <c r="AN22" s="7">
        <v>0</v>
      </c>
      <c r="AO22" s="7">
        <v>1</v>
      </c>
      <c r="AP22" s="7">
        <v>1</v>
      </c>
    </row>
    <row r="23" spans="1:42">
      <c r="A23" s="30" t="s">
        <v>87</v>
      </c>
      <c r="B23" s="15">
        <f t="shared" si="2"/>
        <v>0</v>
      </c>
      <c r="C23" s="15">
        <f t="shared" si="3"/>
        <v>6</v>
      </c>
      <c r="D23" s="15">
        <f t="shared" si="4"/>
        <v>0</v>
      </c>
      <c r="E23" s="15">
        <f t="shared" si="5"/>
        <v>0</v>
      </c>
      <c r="F23" s="15">
        <f t="shared" si="6"/>
        <v>0</v>
      </c>
      <c r="G23" s="15">
        <f t="shared" si="7"/>
        <v>0</v>
      </c>
      <c r="H23" s="15">
        <f t="shared" si="8"/>
        <v>0</v>
      </c>
      <c r="I23" s="7">
        <v>19</v>
      </c>
      <c r="K23" s="21">
        <v>19</v>
      </c>
      <c r="L23" s="24" t="s">
        <v>22</v>
      </c>
      <c r="M23" s="24" t="s">
        <v>38</v>
      </c>
      <c r="N23" s="24" t="s">
        <v>25</v>
      </c>
      <c r="O23" s="24" t="s">
        <v>85</v>
      </c>
      <c r="P23" s="24" t="s">
        <v>33</v>
      </c>
      <c r="Q23" s="24" t="s">
        <v>33</v>
      </c>
      <c r="R23" s="24" t="s">
        <v>21</v>
      </c>
      <c r="T23" s="8">
        <f t="shared" si="9"/>
        <v>3</v>
      </c>
      <c r="U23" s="8">
        <f t="shared" si="10"/>
        <v>9</v>
      </c>
      <c r="V23" s="8">
        <f t="shared" si="11"/>
        <v>8</v>
      </c>
      <c r="W23" s="8">
        <f t="shared" si="12"/>
        <v>16</v>
      </c>
      <c r="X23" s="8">
        <f t="shared" si="13"/>
        <v>2</v>
      </c>
      <c r="Y23" s="8">
        <f t="shared" si="14"/>
        <v>2</v>
      </c>
      <c r="Z23" s="8">
        <f t="shared" si="15"/>
        <v>2</v>
      </c>
      <c r="AB23" s="25">
        <v>5</v>
      </c>
      <c r="AC23" s="25">
        <v>0</v>
      </c>
      <c r="AD23" s="25">
        <v>0</v>
      </c>
      <c r="AE23" s="25">
        <v>0</v>
      </c>
      <c r="AF23" s="25">
        <v>0</v>
      </c>
      <c r="AG23" s="25">
        <v>5</v>
      </c>
      <c r="AH23" s="25">
        <v>5</v>
      </c>
      <c r="AJ23" s="7">
        <v>1</v>
      </c>
      <c r="AK23" s="7">
        <v>1</v>
      </c>
      <c r="AL23" s="7">
        <v>1</v>
      </c>
      <c r="AM23" s="7">
        <v>0</v>
      </c>
      <c r="AN23" s="7">
        <v>1</v>
      </c>
      <c r="AO23" s="7">
        <v>1</v>
      </c>
      <c r="AP23" s="7">
        <v>1</v>
      </c>
    </row>
    <row r="24" spans="1:42">
      <c r="A24" s="30" t="s">
        <v>88</v>
      </c>
      <c r="B24" s="15">
        <f t="shared" si="2"/>
        <v>0</v>
      </c>
      <c r="C24" s="15">
        <f t="shared" si="3"/>
        <v>1</v>
      </c>
      <c r="D24" s="15">
        <f t="shared" si="4"/>
        <v>0</v>
      </c>
      <c r="E24" s="15">
        <f t="shared" si="5"/>
        <v>4</v>
      </c>
      <c r="F24" s="15">
        <f t="shared" si="6"/>
        <v>0</v>
      </c>
      <c r="G24" s="15">
        <f t="shared" si="7"/>
        <v>0</v>
      </c>
      <c r="H24" s="15">
        <f t="shared" si="8"/>
        <v>0</v>
      </c>
      <c r="I24" s="7">
        <v>20</v>
      </c>
      <c r="K24" s="22">
        <v>20</v>
      </c>
      <c r="L24" s="24" t="s">
        <v>35</v>
      </c>
      <c r="M24" s="24" t="s">
        <v>87</v>
      </c>
      <c r="N24" s="24" t="s">
        <v>163</v>
      </c>
      <c r="O24" s="24" t="s">
        <v>20</v>
      </c>
      <c r="P24" s="24" t="s">
        <v>36</v>
      </c>
      <c r="Q24" s="24" t="s">
        <v>25</v>
      </c>
      <c r="R24" s="24" t="s">
        <v>21</v>
      </c>
      <c r="T24" s="8">
        <f t="shared" si="9"/>
        <v>4</v>
      </c>
      <c r="U24" s="8">
        <f t="shared" si="10"/>
        <v>19</v>
      </c>
      <c r="V24" s="8">
        <f t="shared" si="11"/>
        <v>7</v>
      </c>
      <c r="W24" s="8">
        <f t="shared" si="12"/>
        <v>1</v>
      </c>
      <c r="X24" s="8">
        <f t="shared" si="13"/>
        <v>5</v>
      </c>
      <c r="Y24" s="8">
        <f t="shared" si="14"/>
        <v>8</v>
      </c>
      <c r="Z24" s="8">
        <f t="shared" si="15"/>
        <v>2</v>
      </c>
      <c r="AB24" s="25">
        <v>5</v>
      </c>
      <c r="AC24" s="25">
        <v>5</v>
      </c>
      <c r="AD24" s="25">
        <v>5</v>
      </c>
      <c r="AE24" s="25">
        <v>5</v>
      </c>
      <c r="AF24" s="25">
        <v>6</v>
      </c>
      <c r="AG24" s="25">
        <v>5</v>
      </c>
      <c r="AH24" s="25">
        <v>5</v>
      </c>
      <c r="AJ24" s="7">
        <v>1</v>
      </c>
      <c r="AK24" s="7">
        <v>3</v>
      </c>
      <c r="AL24" s="7">
        <v>1</v>
      </c>
      <c r="AM24" s="7">
        <v>1</v>
      </c>
      <c r="AN24" s="7">
        <v>3</v>
      </c>
      <c r="AO24" s="7">
        <v>1</v>
      </c>
      <c r="AP24" s="7">
        <v>1</v>
      </c>
    </row>
    <row r="25" spans="1:42">
      <c r="A25" s="30" t="s">
        <v>89</v>
      </c>
      <c r="B25" s="15">
        <f t="shared" si="2"/>
        <v>0</v>
      </c>
      <c r="C25" s="15">
        <f t="shared" si="3"/>
        <v>0</v>
      </c>
      <c r="D25" s="15">
        <f t="shared" si="4"/>
        <v>0</v>
      </c>
      <c r="E25" s="15">
        <f t="shared" si="5"/>
        <v>0</v>
      </c>
      <c r="F25" s="15">
        <f t="shared" si="6"/>
        <v>0</v>
      </c>
      <c r="G25" s="15">
        <f t="shared" si="7"/>
        <v>0</v>
      </c>
      <c r="H25" s="15">
        <f t="shared" si="8"/>
        <v>0</v>
      </c>
      <c r="I25" s="7">
        <v>21</v>
      </c>
      <c r="K25" s="21">
        <v>21</v>
      </c>
      <c r="L25" s="24" t="s">
        <v>27</v>
      </c>
      <c r="M25" s="24" t="s">
        <v>87</v>
      </c>
      <c r="N25" s="24" t="s">
        <v>82</v>
      </c>
      <c r="O25" s="24" t="s">
        <v>83</v>
      </c>
      <c r="P25" s="24" t="s">
        <v>36</v>
      </c>
      <c r="Q25" s="24" t="s">
        <v>27</v>
      </c>
      <c r="R25" s="24" t="s">
        <v>25</v>
      </c>
      <c r="T25" s="8">
        <f t="shared" si="9"/>
        <v>9</v>
      </c>
      <c r="U25" s="8">
        <f t="shared" si="10"/>
        <v>19</v>
      </c>
      <c r="V25" s="8">
        <f t="shared" si="11"/>
        <v>13</v>
      </c>
      <c r="W25" s="8">
        <f t="shared" si="12"/>
        <v>14</v>
      </c>
      <c r="X25" s="8">
        <f t="shared" si="13"/>
        <v>5</v>
      </c>
      <c r="Y25" s="8">
        <f t="shared" si="14"/>
        <v>9</v>
      </c>
      <c r="Z25" s="8">
        <f t="shared" si="15"/>
        <v>8</v>
      </c>
      <c r="AB25" s="25">
        <v>5</v>
      </c>
      <c r="AC25" s="25">
        <v>0</v>
      </c>
      <c r="AD25" s="25">
        <v>0</v>
      </c>
      <c r="AE25" s="25">
        <v>0</v>
      </c>
      <c r="AF25" s="25">
        <v>0</v>
      </c>
      <c r="AG25" s="25">
        <v>5</v>
      </c>
      <c r="AH25" s="25">
        <v>5</v>
      </c>
      <c r="AJ25" s="7">
        <v>1</v>
      </c>
      <c r="AK25" s="7">
        <v>0</v>
      </c>
      <c r="AL25" s="7">
        <v>3</v>
      </c>
      <c r="AM25" s="7">
        <v>3</v>
      </c>
      <c r="AN25" s="7">
        <v>0</v>
      </c>
      <c r="AO25" s="7">
        <v>1</v>
      </c>
      <c r="AP25" s="7">
        <v>1</v>
      </c>
    </row>
    <row r="26" spans="1:42">
      <c r="A26" s="30" t="s">
        <v>90</v>
      </c>
      <c r="B26" s="15">
        <f t="shared" si="2"/>
        <v>0</v>
      </c>
      <c r="C26" s="15">
        <f t="shared" si="3"/>
        <v>6</v>
      </c>
      <c r="D26" s="15">
        <f t="shared" si="4"/>
        <v>0</v>
      </c>
      <c r="E26" s="15">
        <f t="shared" si="5"/>
        <v>0</v>
      </c>
      <c r="F26" s="15">
        <f t="shared" si="6"/>
        <v>6</v>
      </c>
      <c r="G26" s="15">
        <f t="shared" si="7"/>
        <v>0</v>
      </c>
      <c r="H26" s="15">
        <f t="shared" si="8"/>
        <v>0</v>
      </c>
      <c r="I26" s="7">
        <v>22</v>
      </c>
      <c r="K26" s="22">
        <v>22</v>
      </c>
      <c r="L26" s="24" t="s">
        <v>40</v>
      </c>
      <c r="M26" s="24" t="s">
        <v>87</v>
      </c>
      <c r="N26" s="24" t="s">
        <v>82</v>
      </c>
      <c r="O26" s="24" t="s">
        <v>83</v>
      </c>
      <c r="P26" s="24" t="s">
        <v>36</v>
      </c>
      <c r="Q26" s="24" t="s">
        <v>19</v>
      </c>
      <c r="R26" s="24" t="s">
        <v>25</v>
      </c>
      <c r="T26" s="8">
        <f t="shared" si="9"/>
        <v>11</v>
      </c>
      <c r="U26" s="8">
        <f t="shared" si="10"/>
        <v>19</v>
      </c>
      <c r="V26" s="8">
        <f t="shared" si="11"/>
        <v>13</v>
      </c>
      <c r="W26" s="8">
        <f t="shared" si="12"/>
        <v>14</v>
      </c>
      <c r="X26" s="8">
        <f t="shared" si="13"/>
        <v>5</v>
      </c>
      <c r="Y26" s="8">
        <f t="shared" si="14"/>
        <v>5</v>
      </c>
      <c r="Z26" s="8">
        <f t="shared" si="15"/>
        <v>8</v>
      </c>
      <c r="AB26" s="25">
        <v>5</v>
      </c>
      <c r="AC26" s="25">
        <v>0</v>
      </c>
      <c r="AD26" s="25">
        <v>0</v>
      </c>
      <c r="AE26" s="25">
        <v>0</v>
      </c>
      <c r="AF26" s="25">
        <v>0</v>
      </c>
      <c r="AG26" s="25">
        <v>5</v>
      </c>
      <c r="AH26" s="25">
        <v>5</v>
      </c>
      <c r="AJ26" s="7">
        <v>1</v>
      </c>
      <c r="AK26" s="7">
        <v>0</v>
      </c>
      <c r="AL26" s="7">
        <v>0</v>
      </c>
      <c r="AM26" s="7">
        <v>0</v>
      </c>
      <c r="AN26" s="7">
        <v>0</v>
      </c>
      <c r="AO26" s="7">
        <v>1</v>
      </c>
      <c r="AP26" s="7">
        <v>1</v>
      </c>
    </row>
    <row r="27" spans="1:42">
      <c r="A27" s="30" t="s">
        <v>91</v>
      </c>
      <c r="B27" s="15">
        <f t="shared" si="2"/>
        <v>0</v>
      </c>
      <c r="C27" s="15">
        <f t="shared" si="3"/>
        <v>0</v>
      </c>
      <c r="D27" s="15">
        <f t="shared" si="4"/>
        <v>0</v>
      </c>
      <c r="E27" s="15">
        <f t="shared" si="5"/>
        <v>0</v>
      </c>
      <c r="F27" s="15">
        <f t="shared" si="6"/>
        <v>0</v>
      </c>
      <c r="G27" s="15">
        <f t="shared" si="7"/>
        <v>0</v>
      </c>
      <c r="H27" s="15">
        <f t="shared" si="8"/>
        <v>0</v>
      </c>
      <c r="I27" s="7">
        <v>23</v>
      </c>
      <c r="K27" s="21">
        <v>23</v>
      </c>
      <c r="L27" s="24" t="s">
        <v>40</v>
      </c>
      <c r="M27" s="24" t="s">
        <v>163</v>
      </c>
      <c r="N27" s="24" t="s">
        <v>82</v>
      </c>
      <c r="O27" s="24" t="s">
        <v>83</v>
      </c>
      <c r="P27" s="24" t="s">
        <v>37</v>
      </c>
      <c r="Q27" s="24" t="s">
        <v>29</v>
      </c>
      <c r="R27" s="24" t="s">
        <v>37</v>
      </c>
      <c r="T27" s="8">
        <f t="shared" si="9"/>
        <v>11</v>
      </c>
      <c r="U27" s="8">
        <f t="shared" si="10"/>
        <v>7</v>
      </c>
      <c r="V27" s="8">
        <f t="shared" si="11"/>
        <v>13</v>
      </c>
      <c r="W27" s="8">
        <f t="shared" si="12"/>
        <v>14</v>
      </c>
      <c r="X27" s="8">
        <f t="shared" si="13"/>
        <v>1</v>
      </c>
      <c r="Y27" s="8">
        <f t="shared" si="14"/>
        <v>11</v>
      </c>
      <c r="Z27" s="8">
        <f t="shared" si="15"/>
        <v>1</v>
      </c>
      <c r="AB27" s="25">
        <v>5</v>
      </c>
      <c r="AC27" s="25">
        <v>0</v>
      </c>
      <c r="AD27" s="25">
        <v>0</v>
      </c>
      <c r="AE27" s="25">
        <v>0</v>
      </c>
      <c r="AF27" s="25">
        <v>0</v>
      </c>
      <c r="AG27" s="25">
        <v>5</v>
      </c>
      <c r="AH27" s="25">
        <v>5</v>
      </c>
      <c r="AJ27" s="7">
        <v>1</v>
      </c>
      <c r="AK27" s="7">
        <v>2</v>
      </c>
      <c r="AL27" s="7">
        <v>0</v>
      </c>
      <c r="AM27" s="7">
        <v>0</v>
      </c>
      <c r="AN27" s="7">
        <v>2</v>
      </c>
      <c r="AO27" s="7">
        <v>1</v>
      </c>
      <c r="AP27" s="7">
        <v>1</v>
      </c>
    </row>
    <row r="28" spans="1:42">
      <c r="A28" s="30" t="s">
        <v>92</v>
      </c>
      <c r="B28" s="15">
        <f t="shared" si="2"/>
        <v>0</v>
      </c>
      <c r="C28" s="15">
        <f t="shared" si="3"/>
        <v>0</v>
      </c>
      <c r="D28" s="15">
        <f t="shared" si="4"/>
        <v>0</v>
      </c>
      <c r="E28" s="15">
        <f t="shared" si="5"/>
        <v>0</v>
      </c>
      <c r="F28" s="15">
        <f t="shared" si="6"/>
        <v>0</v>
      </c>
      <c r="G28" s="15">
        <f t="shared" si="7"/>
        <v>0</v>
      </c>
      <c r="H28" s="15">
        <f t="shared" si="8"/>
        <v>0</v>
      </c>
      <c r="I28" s="7">
        <v>24</v>
      </c>
      <c r="K28" s="22">
        <v>24</v>
      </c>
      <c r="L28" s="24" t="s">
        <v>37</v>
      </c>
      <c r="M28" s="24" t="s">
        <v>163</v>
      </c>
      <c r="N28" s="24" t="s">
        <v>25</v>
      </c>
      <c r="O28" s="24" t="s">
        <v>27</v>
      </c>
      <c r="P28" s="24" t="s">
        <v>37</v>
      </c>
      <c r="Q28" s="24" t="s">
        <v>37</v>
      </c>
      <c r="R28" s="24" t="s">
        <v>18</v>
      </c>
      <c r="T28" s="8">
        <f t="shared" si="9"/>
        <v>1</v>
      </c>
      <c r="U28" s="8">
        <f t="shared" si="10"/>
        <v>7</v>
      </c>
      <c r="V28" s="8">
        <f t="shared" si="11"/>
        <v>8</v>
      </c>
      <c r="W28" s="8">
        <f t="shared" si="12"/>
        <v>9</v>
      </c>
      <c r="X28" s="8">
        <f t="shared" si="13"/>
        <v>1</v>
      </c>
      <c r="Y28" s="8">
        <f t="shared" si="14"/>
        <v>1</v>
      </c>
      <c r="Z28" s="8">
        <f t="shared" si="15"/>
        <v>4</v>
      </c>
      <c r="AB28" s="25">
        <v>5</v>
      </c>
      <c r="AC28" s="25">
        <v>0</v>
      </c>
      <c r="AD28" s="25">
        <v>0</v>
      </c>
      <c r="AE28" s="25">
        <v>0</v>
      </c>
      <c r="AF28" s="25">
        <v>0</v>
      </c>
      <c r="AG28" s="25">
        <v>5</v>
      </c>
      <c r="AH28" s="25">
        <v>5</v>
      </c>
      <c r="AJ28" s="7">
        <v>1</v>
      </c>
      <c r="AK28" s="7">
        <v>0</v>
      </c>
      <c r="AL28" s="7">
        <v>1</v>
      </c>
      <c r="AM28" s="7">
        <v>1</v>
      </c>
      <c r="AN28" s="7">
        <v>0</v>
      </c>
      <c r="AO28" s="7">
        <v>1</v>
      </c>
      <c r="AP28" s="7">
        <v>1</v>
      </c>
    </row>
    <row r="29" spans="1:42">
      <c r="A29" s="30" t="s">
        <v>93</v>
      </c>
      <c r="B29" s="15">
        <f t="shared" si="2"/>
        <v>0</v>
      </c>
      <c r="C29" s="15">
        <f t="shared" si="3"/>
        <v>0</v>
      </c>
      <c r="D29" s="15">
        <f t="shared" si="4"/>
        <v>0</v>
      </c>
      <c r="E29" s="15">
        <f t="shared" si="5"/>
        <v>0</v>
      </c>
      <c r="F29" s="15">
        <f t="shared" si="6"/>
        <v>0</v>
      </c>
      <c r="G29" s="15">
        <f t="shared" si="7"/>
        <v>0</v>
      </c>
      <c r="H29" s="15">
        <f t="shared" si="8"/>
        <v>0</v>
      </c>
      <c r="I29" s="7">
        <v>25</v>
      </c>
      <c r="K29" s="21">
        <v>25</v>
      </c>
      <c r="L29" s="24" t="s">
        <v>35</v>
      </c>
      <c r="M29" s="24" t="s">
        <v>163</v>
      </c>
      <c r="N29" s="24" t="s">
        <v>25</v>
      </c>
      <c r="O29" s="24" t="s">
        <v>28</v>
      </c>
      <c r="P29" s="24" t="s">
        <v>29</v>
      </c>
      <c r="Q29" s="24" t="s">
        <v>37</v>
      </c>
      <c r="R29" s="24" t="s">
        <v>18</v>
      </c>
      <c r="T29" s="8">
        <f t="shared" si="9"/>
        <v>4</v>
      </c>
      <c r="U29" s="8">
        <f t="shared" si="10"/>
        <v>7</v>
      </c>
      <c r="V29" s="8">
        <f t="shared" si="11"/>
        <v>8</v>
      </c>
      <c r="W29" s="8">
        <f t="shared" si="12"/>
        <v>10</v>
      </c>
      <c r="X29" s="8">
        <f t="shared" si="13"/>
        <v>11</v>
      </c>
      <c r="Y29" s="8">
        <f t="shared" si="14"/>
        <v>1</v>
      </c>
      <c r="Z29" s="8">
        <f t="shared" si="15"/>
        <v>4</v>
      </c>
      <c r="AB29" s="25">
        <v>5</v>
      </c>
      <c r="AC29" s="25">
        <v>5</v>
      </c>
      <c r="AD29" s="25">
        <v>5</v>
      </c>
      <c r="AE29" s="25">
        <v>5</v>
      </c>
      <c r="AF29" s="25">
        <v>4</v>
      </c>
      <c r="AG29" s="25">
        <v>5</v>
      </c>
      <c r="AH29" s="25">
        <v>5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</row>
    <row r="30" spans="1:42">
      <c r="A30" s="197"/>
      <c r="B30" s="1"/>
      <c r="C30" s="1"/>
      <c r="D30" s="1"/>
      <c r="E30" s="1"/>
      <c r="F30" s="1"/>
      <c r="G30" s="1"/>
      <c r="H30" s="1"/>
      <c r="I30" s="18"/>
      <c r="K30" s="22">
        <v>26</v>
      </c>
      <c r="L30" s="24" t="s">
        <v>22</v>
      </c>
      <c r="M30" s="24" t="s">
        <v>77</v>
      </c>
      <c r="N30" s="24" t="s">
        <v>29</v>
      </c>
      <c r="O30" s="24" t="s">
        <v>28</v>
      </c>
      <c r="P30" s="24" t="s">
        <v>18</v>
      </c>
      <c r="Q30" s="24" t="s">
        <v>25</v>
      </c>
      <c r="R30" s="24" t="s">
        <v>18</v>
      </c>
      <c r="T30" s="8">
        <f t="shared" si="9"/>
        <v>3</v>
      </c>
      <c r="U30" s="8">
        <f t="shared" si="10"/>
        <v>6</v>
      </c>
      <c r="V30" s="8">
        <f t="shared" si="11"/>
        <v>11</v>
      </c>
      <c r="W30" s="8">
        <f t="shared" si="12"/>
        <v>10</v>
      </c>
      <c r="X30" s="8">
        <f t="shared" si="13"/>
        <v>4</v>
      </c>
      <c r="Y30" s="8">
        <f t="shared" si="14"/>
        <v>8</v>
      </c>
      <c r="Z30" s="8">
        <f t="shared" si="15"/>
        <v>4</v>
      </c>
      <c r="AB30" s="25">
        <v>5</v>
      </c>
      <c r="AC30" s="25">
        <v>0</v>
      </c>
      <c r="AD30" s="25">
        <v>0</v>
      </c>
      <c r="AE30" s="25">
        <v>0</v>
      </c>
      <c r="AF30" s="25">
        <v>1</v>
      </c>
      <c r="AG30" s="25">
        <v>5</v>
      </c>
      <c r="AH30" s="25">
        <v>5</v>
      </c>
      <c r="AJ30" s="7">
        <v>1</v>
      </c>
      <c r="AK30" s="7">
        <v>1</v>
      </c>
      <c r="AL30" s="7">
        <v>1</v>
      </c>
      <c r="AM30" s="7">
        <v>1</v>
      </c>
      <c r="AN30" s="7">
        <v>3</v>
      </c>
      <c r="AO30" s="7">
        <v>1</v>
      </c>
      <c r="AP30" s="7">
        <v>1</v>
      </c>
    </row>
    <row r="31" spans="1:42">
      <c r="A31" s="147"/>
      <c r="B31" s="147"/>
      <c r="C31" s="147"/>
      <c r="D31" s="147"/>
      <c r="E31" s="147"/>
      <c r="F31" s="96"/>
      <c r="G31" s="1"/>
      <c r="H31" s="1"/>
      <c r="I31" s="18"/>
      <c r="K31" s="21">
        <v>27</v>
      </c>
      <c r="L31" s="24" t="s">
        <v>27</v>
      </c>
      <c r="M31" s="24" t="s">
        <v>18</v>
      </c>
      <c r="N31" s="24" t="s">
        <v>29</v>
      </c>
      <c r="O31" s="24" t="s">
        <v>20</v>
      </c>
      <c r="P31" s="24" t="s">
        <v>18</v>
      </c>
      <c r="Q31" s="24" t="s">
        <v>28</v>
      </c>
      <c r="R31" s="24" t="s">
        <v>77</v>
      </c>
      <c r="T31" s="8">
        <f t="shared" si="9"/>
        <v>9</v>
      </c>
      <c r="U31" s="8">
        <f t="shared" si="10"/>
        <v>4</v>
      </c>
      <c r="V31" s="8">
        <f t="shared" si="11"/>
        <v>11</v>
      </c>
      <c r="W31" s="8">
        <f t="shared" si="12"/>
        <v>1</v>
      </c>
      <c r="X31" s="8">
        <f t="shared" si="13"/>
        <v>4</v>
      </c>
      <c r="Y31" s="8">
        <f t="shared" si="14"/>
        <v>10</v>
      </c>
      <c r="Z31" s="8">
        <f t="shared" si="15"/>
        <v>6</v>
      </c>
      <c r="AB31" s="25">
        <v>5</v>
      </c>
      <c r="AC31" s="25">
        <v>0</v>
      </c>
      <c r="AD31" s="25">
        <v>0</v>
      </c>
      <c r="AE31" s="25">
        <v>0</v>
      </c>
      <c r="AF31" s="25">
        <v>0</v>
      </c>
      <c r="AG31" s="25">
        <v>5</v>
      </c>
      <c r="AH31" s="25">
        <v>5</v>
      </c>
      <c r="AJ31" s="7">
        <v>1</v>
      </c>
      <c r="AK31" s="7">
        <v>2</v>
      </c>
      <c r="AL31" s="7">
        <v>1</v>
      </c>
      <c r="AM31" s="7">
        <v>1</v>
      </c>
      <c r="AN31" s="7">
        <v>0</v>
      </c>
      <c r="AO31" s="7">
        <v>1</v>
      </c>
      <c r="AP31" s="7">
        <v>1</v>
      </c>
    </row>
    <row r="32" spans="1:42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H32" s="1"/>
      <c r="K32" s="22">
        <v>28</v>
      </c>
      <c r="L32" s="24" t="s">
        <v>27</v>
      </c>
      <c r="M32" s="24" t="s">
        <v>18</v>
      </c>
      <c r="N32" s="24" t="s">
        <v>20</v>
      </c>
      <c r="O32" s="24" t="s">
        <v>88</v>
      </c>
      <c r="P32" s="24" t="s">
        <v>18</v>
      </c>
      <c r="Q32" s="24" t="s">
        <v>19</v>
      </c>
      <c r="R32" s="24" t="s">
        <v>77</v>
      </c>
      <c r="T32" s="8">
        <f t="shared" si="9"/>
        <v>9</v>
      </c>
      <c r="U32" s="8">
        <f t="shared" si="10"/>
        <v>4</v>
      </c>
      <c r="V32" s="8">
        <f t="shared" si="11"/>
        <v>1</v>
      </c>
      <c r="W32" s="8">
        <f t="shared" si="12"/>
        <v>20</v>
      </c>
      <c r="X32" s="8">
        <f t="shared" si="13"/>
        <v>4</v>
      </c>
      <c r="Y32" s="8">
        <f t="shared" si="14"/>
        <v>5</v>
      </c>
      <c r="Z32" s="8">
        <f t="shared" si="15"/>
        <v>6</v>
      </c>
      <c r="AB32" s="25">
        <v>5</v>
      </c>
      <c r="AC32" s="25">
        <v>0</v>
      </c>
      <c r="AD32" s="25">
        <v>0</v>
      </c>
      <c r="AE32" s="25">
        <v>0</v>
      </c>
      <c r="AF32" s="25">
        <v>0</v>
      </c>
      <c r="AG32" s="25">
        <v>5</v>
      </c>
      <c r="AH32" s="25">
        <v>5</v>
      </c>
      <c r="AJ32" s="7">
        <v>1</v>
      </c>
      <c r="AK32" s="7">
        <v>0</v>
      </c>
      <c r="AL32" s="7">
        <v>1</v>
      </c>
      <c r="AM32" s="7">
        <v>2</v>
      </c>
      <c r="AN32" s="7">
        <v>0</v>
      </c>
      <c r="AO32" s="7">
        <v>1</v>
      </c>
      <c r="AP32" s="7">
        <v>1</v>
      </c>
    </row>
    <row r="33" spans="1:42">
      <c r="A33" s="7" t="s">
        <v>103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H33" s="1"/>
      <c r="K33" s="21">
        <v>29</v>
      </c>
      <c r="L33" s="24" t="s">
        <v>30</v>
      </c>
      <c r="M33" s="24" t="s">
        <v>25</v>
      </c>
      <c r="N33" s="24" t="s">
        <v>22</v>
      </c>
      <c r="O33" s="24" t="s">
        <v>88</v>
      </c>
      <c r="P33" s="24" t="s">
        <v>77</v>
      </c>
      <c r="Q33" s="24" t="s">
        <v>25</v>
      </c>
      <c r="R33" s="24" t="s">
        <v>77</v>
      </c>
      <c r="T33" s="8">
        <f t="shared" si="9"/>
        <v>12</v>
      </c>
      <c r="U33" s="8">
        <f t="shared" si="10"/>
        <v>8</v>
      </c>
      <c r="V33" s="8">
        <f t="shared" si="11"/>
        <v>3</v>
      </c>
      <c r="W33" s="8">
        <f t="shared" si="12"/>
        <v>20</v>
      </c>
      <c r="X33" s="8">
        <f t="shared" si="13"/>
        <v>6</v>
      </c>
      <c r="Y33" s="8">
        <f t="shared" si="14"/>
        <v>8</v>
      </c>
      <c r="Z33" s="8">
        <f t="shared" si="15"/>
        <v>6</v>
      </c>
      <c r="AB33" s="25">
        <v>5</v>
      </c>
      <c r="AC33" s="25">
        <v>0</v>
      </c>
      <c r="AD33" s="25">
        <v>0</v>
      </c>
      <c r="AE33" s="25">
        <v>0</v>
      </c>
      <c r="AF33" s="25">
        <v>1</v>
      </c>
      <c r="AG33" s="25">
        <v>5</v>
      </c>
      <c r="AH33" s="25">
        <v>5</v>
      </c>
      <c r="AJ33" s="7">
        <v>1</v>
      </c>
      <c r="AK33" s="7">
        <v>1</v>
      </c>
      <c r="AL33" s="7">
        <v>1</v>
      </c>
      <c r="AM33" s="7">
        <v>0</v>
      </c>
      <c r="AN33" s="7">
        <v>1</v>
      </c>
      <c r="AO33" s="7">
        <v>1</v>
      </c>
      <c r="AP33" s="7">
        <v>1</v>
      </c>
    </row>
    <row r="34" spans="1:42">
      <c r="A34" s="7" t="s">
        <v>106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H34" s="1"/>
      <c r="K34" s="22">
        <v>30</v>
      </c>
      <c r="L34" s="24" t="s">
        <v>36</v>
      </c>
      <c r="M34" s="24" t="s">
        <v>25</v>
      </c>
      <c r="N34" s="24" t="s">
        <v>28</v>
      </c>
      <c r="O34" s="24" t="s">
        <v>18</v>
      </c>
      <c r="P34" s="24" t="s">
        <v>22</v>
      </c>
      <c r="Q34" s="24" t="s">
        <v>29</v>
      </c>
      <c r="R34" s="24" t="s">
        <v>29</v>
      </c>
      <c r="T34" s="8">
        <f t="shared" si="9"/>
        <v>5</v>
      </c>
      <c r="U34" s="8">
        <f t="shared" si="10"/>
        <v>8</v>
      </c>
      <c r="V34" s="8">
        <f t="shared" si="11"/>
        <v>10</v>
      </c>
      <c r="W34" s="8">
        <f t="shared" si="12"/>
        <v>4</v>
      </c>
      <c r="X34" s="8">
        <f t="shared" si="13"/>
        <v>3</v>
      </c>
      <c r="Y34" s="8">
        <f t="shared" si="14"/>
        <v>11</v>
      </c>
      <c r="Z34" s="8">
        <f t="shared" si="15"/>
        <v>11</v>
      </c>
      <c r="AB34" s="25">
        <v>5</v>
      </c>
      <c r="AC34" s="25">
        <v>5</v>
      </c>
      <c r="AD34" s="25">
        <v>5</v>
      </c>
      <c r="AE34" s="25">
        <v>5</v>
      </c>
      <c r="AF34" s="25">
        <v>5</v>
      </c>
      <c r="AG34" s="25">
        <v>5</v>
      </c>
      <c r="AH34" s="25">
        <v>5</v>
      </c>
      <c r="AJ34" s="7">
        <v>1</v>
      </c>
      <c r="AK34" s="7">
        <v>1</v>
      </c>
      <c r="AL34" s="7">
        <v>1</v>
      </c>
      <c r="AM34" s="7">
        <v>2</v>
      </c>
      <c r="AN34" s="7">
        <v>1</v>
      </c>
      <c r="AO34" s="7">
        <v>1</v>
      </c>
      <c r="AP34" s="7">
        <v>1</v>
      </c>
    </row>
    <row r="35" spans="1:42">
      <c r="A35" s="7" t="s">
        <v>104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H35" s="1"/>
      <c r="K35" s="21">
        <v>31</v>
      </c>
      <c r="L35" s="24" t="s">
        <v>77</v>
      </c>
      <c r="M35" s="24" t="s">
        <v>99</v>
      </c>
      <c r="N35" s="24" t="s">
        <v>20</v>
      </c>
      <c r="O35" s="24" t="s">
        <v>18</v>
      </c>
      <c r="P35" s="24" t="s">
        <v>90</v>
      </c>
      <c r="Q35" s="24" t="s">
        <v>77</v>
      </c>
      <c r="R35" s="24" t="s">
        <v>29</v>
      </c>
      <c r="T35" s="8">
        <f t="shared" si="9"/>
        <v>6</v>
      </c>
      <c r="U35" s="8">
        <f t="shared" si="10"/>
        <v>13</v>
      </c>
      <c r="V35" s="8">
        <f t="shared" si="11"/>
        <v>1</v>
      </c>
      <c r="W35" s="8">
        <f t="shared" si="12"/>
        <v>4</v>
      </c>
      <c r="X35" s="8">
        <f t="shared" si="13"/>
        <v>22</v>
      </c>
      <c r="Y35" s="8">
        <f t="shared" si="14"/>
        <v>6</v>
      </c>
      <c r="Z35" s="8">
        <f t="shared" si="15"/>
        <v>11</v>
      </c>
      <c r="AB35" s="25">
        <v>5</v>
      </c>
      <c r="AC35" s="25">
        <v>0</v>
      </c>
      <c r="AD35" s="25">
        <v>0</v>
      </c>
      <c r="AE35" s="25">
        <v>0</v>
      </c>
      <c r="AF35" s="25">
        <v>0</v>
      </c>
      <c r="AG35" s="25">
        <v>5</v>
      </c>
      <c r="AH35" s="25">
        <v>5</v>
      </c>
      <c r="AJ35" s="7">
        <v>1</v>
      </c>
      <c r="AK35" s="7">
        <v>1</v>
      </c>
      <c r="AL35" s="7">
        <v>1</v>
      </c>
      <c r="AM35" s="7">
        <v>0</v>
      </c>
      <c r="AN35" s="7">
        <v>2</v>
      </c>
      <c r="AO35" s="7">
        <v>1</v>
      </c>
      <c r="AP35" s="7">
        <v>1</v>
      </c>
    </row>
    <row r="36" spans="1:42">
      <c r="A36" s="7" t="s">
        <v>107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H36" s="1"/>
      <c r="K36" s="22">
        <v>32</v>
      </c>
      <c r="L36" s="24" t="s">
        <v>77</v>
      </c>
      <c r="M36" s="24" t="s">
        <v>85</v>
      </c>
      <c r="N36" s="24" t="s">
        <v>86</v>
      </c>
      <c r="O36" s="24" t="s">
        <v>28</v>
      </c>
      <c r="P36" s="24" t="s">
        <v>90</v>
      </c>
      <c r="Q36" s="24" t="s">
        <v>28</v>
      </c>
      <c r="R36" s="24" t="s">
        <v>29</v>
      </c>
      <c r="T36" s="8">
        <f t="shared" si="9"/>
        <v>6</v>
      </c>
      <c r="U36" s="8">
        <f t="shared" si="10"/>
        <v>16</v>
      </c>
      <c r="V36" s="8">
        <f t="shared" si="11"/>
        <v>17</v>
      </c>
      <c r="W36" s="8">
        <f t="shared" si="12"/>
        <v>10</v>
      </c>
      <c r="X36" s="8">
        <f t="shared" si="13"/>
        <v>22</v>
      </c>
      <c r="Y36" s="8">
        <f t="shared" si="14"/>
        <v>10</v>
      </c>
      <c r="Z36" s="8">
        <f t="shared" si="15"/>
        <v>11</v>
      </c>
      <c r="AB36" s="25">
        <v>5</v>
      </c>
      <c r="AC36" s="25">
        <v>0</v>
      </c>
      <c r="AD36" s="25">
        <v>0</v>
      </c>
      <c r="AE36" s="25">
        <v>0</v>
      </c>
      <c r="AF36" s="25">
        <v>0</v>
      </c>
      <c r="AG36" s="25">
        <v>5</v>
      </c>
      <c r="AH36" s="25">
        <v>5</v>
      </c>
      <c r="AJ36" s="7">
        <v>1</v>
      </c>
      <c r="AK36" s="7">
        <v>2</v>
      </c>
      <c r="AL36" s="7">
        <v>2</v>
      </c>
      <c r="AM36" s="7">
        <v>1</v>
      </c>
      <c r="AN36" s="7">
        <v>0</v>
      </c>
      <c r="AO36" s="7">
        <v>1</v>
      </c>
      <c r="AP36" s="7">
        <v>1</v>
      </c>
    </row>
    <row r="37" spans="1:42">
      <c r="A37" s="7" t="s">
        <v>105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H37" s="1"/>
      <c r="K37" s="21">
        <v>33</v>
      </c>
      <c r="L37" s="24" t="s">
        <v>30</v>
      </c>
      <c r="M37" s="24" t="s">
        <v>85</v>
      </c>
      <c r="N37" s="24" t="s">
        <v>86</v>
      </c>
      <c r="O37" s="24" t="s">
        <v>20</v>
      </c>
      <c r="P37" s="24" t="s">
        <v>27</v>
      </c>
      <c r="Q37" s="24" t="s">
        <v>25</v>
      </c>
      <c r="R37" s="24" t="s">
        <v>77</v>
      </c>
      <c r="T37" s="8">
        <f t="shared" si="9"/>
        <v>12</v>
      </c>
      <c r="U37" s="8">
        <f t="shared" si="10"/>
        <v>16</v>
      </c>
      <c r="V37" s="8">
        <f t="shared" si="11"/>
        <v>17</v>
      </c>
      <c r="W37" s="8">
        <f t="shared" si="12"/>
        <v>1</v>
      </c>
      <c r="X37" s="8">
        <f t="shared" si="13"/>
        <v>9</v>
      </c>
      <c r="Y37" s="8">
        <f t="shared" si="14"/>
        <v>8</v>
      </c>
      <c r="Z37" s="8">
        <f t="shared" si="15"/>
        <v>6</v>
      </c>
      <c r="AB37" s="25">
        <v>5</v>
      </c>
      <c r="AC37" s="25">
        <v>0</v>
      </c>
      <c r="AD37" s="25">
        <v>0</v>
      </c>
      <c r="AE37" s="25">
        <v>0</v>
      </c>
      <c r="AF37" s="25">
        <v>0</v>
      </c>
      <c r="AG37" s="25">
        <v>5</v>
      </c>
      <c r="AH37" s="25">
        <v>5</v>
      </c>
      <c r="AJ37" s="7">
        <v>1</v>
      </c>
      <c r="AK37" s="7">
        <v>0</v>
      </c>
      <c r="AL37" s="7">
        <v>0</v>
      </c>
      <c r="AM37" s="7">
        <v>1</v>
      </c>
      <c r="AN37" s="7">
        <v>1</v>
      </c>
      <c r="AO37" s="7">
        <v>1</v>
      </c>
      <c r="AP37" s="7">
        <v>1</v>
      </c>
    </row>
    <row r="38" spans="1:42">
      <c r="A38" s="7" t="s">
        <v>108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H38" s="1"/>
      <c r="K38" s="22">
        <v>34</v>
      </c>
      <c r="L38" s="24" t="s">
        <v>30</v>
      </c>
      <c r="M38" s="24" t="s">
        <v>29</v>
      </c>
      <c r="N38" s="24" t="s">
        <v>19</v>
      </c>
      <c r="O38" s="24" t="s">
        <v>25</v>
      </c>
      <c r="P38" s="24" t="s">
        <v>25</v>
      </c>
      <c r="Q38" s="24" t="s">
        <v>77</v>
      </c>
      <c r="R38" s="24" t="s">
        <v>19</v>
      </c>
      <c r="T38" s="8">
        <f t="shared" si="9"/>
        <v>12</v>
      </c>
      <c r="U38" s="8">
        <f t="shared" si="10"/>
        <v>11</v>
      </c>
      <c r="V38" s="8">
        <f t="shared" si="11"/>
        <v>5</v>
      </c>
      <c r="W38" s="8">
        <f t="shared" si="12"/>
        <v>8</v>
      </c>
      <c r="X38" s="8">
        <f t="shared" si="13"/>
        <v>8</v>
      </c>
      <c r="Y38" s="8">
        <f t="shared" si="14"/>
        <v>6</v>
      </c>
      <c r="Z38" s="8">
        <f t="shared" si="15"/>
        <v>5</v>
      </c>
      <c r="AB38" s="25">
        <v>5</v>
      </c>
      <c r="AC38" s="25">
        <v>0</v>
      </c>
      <c r="AD38" s="25">
        <v>0</v>
      </c>
      <c r="AE38" s="25">
        <v>0</v>
      </c>
      <c r="AF38" s="25">
        <v>1</v>
      </c>
      <c r="AG38" s="25">
        <v>5</v>
      </c>
      <c r="AH38" s="25">
        <v>5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</row>
    <row r="39" spans="1:42">
      <c r="A39" s="7" t="s">
        <v>109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H39" s="1"/>
      <c r="K39" s="21">
        <v>35</v>
      </c>
      <c r="L39" s="24" t="s">
        <v>26</v>
      </c>
      <c r="M39" s="24" t="s">
        <v>21</v>
      </c>
      <c r="N39" s="24" t="s">
        <v>28</v>
      </c>
      <c r="O39" s="24" t="s">
        <v>77</v>
      </c>
      <c r="P39" s="24" t="s">
        <v>86</v>
      </c>
      <c r="Q39" s="24" t="s">
        <v>18</v>
      </c>
      <c r="R39" s="24" t="s">
        <v>19</v>
      </c>
      <c r="T39" s="8">
        <f t="shared" si="9"/>
        <v>8</v>
      </c>
      <c r="U39" s="8">
        <f t="shared" si="10"/>
        <v>2</v>
      </c>
      <c r="V39" s="8">
        <f t="shared" si="11"/>
        <v>10</v>
      </c>
      <c r="W39" s="8">
        <f t="shared" si="12"/>
        <v>6</v>
      </c>
      <c r="X39" s="8">
        <f t="shared" si="13"/>
        <v>17</v>
      </c>
      <c r="Y39" s="8">
        <f t="shared" si="14"/>
        <v>4</v>
      </c>
      <c r="Z39" s="8">
        <f t="shared" si="15"/>
        <v>5</v>
      </c>
      <c r="AB39" s="25">
        <v>5</v>
      </c>
      <c r="AC39" s="25">
        <v>5</v>
      </c>
      <c r="AD39" s="25">
        <v>5</v>
      </c>
      <c r="AE39" s="25">
        <v>5</v>
      </c>
      <c r="AF39" s="25">
        <v>6</v>
      </c>
      <c r="AG39" s="25">
        <v>5</v>
      </c>
      <c r="AH39" s="25">
        <v>5</v>
      </c>
      <c r="AJ39" s="7">
        <v>1</v>
      </c>
      <c r="AK39" s="7">
        <v>1</v>
      </c>
      <c r="AL39" s="7">
        <v>1</v>
      </c>
      <c r="AM39" s="7">
        <v>2</v>
      </c>
      <c r="AN39" s="7">
        <v>2</v>
      </c>
      <c r="AO39" s="7">
        <v>1</v>
      </c>
      <c r="AP39" s="7">
        <v>1</v>
      </c>
    </row>
    <row r="40" spans="1:42">
      <c r="A40" s="7" t="s">
        <v>110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H40" s="1"/>
      <c r="K40" s="22">
        <v>36</v>
      </c>
      <c r="L40" s="24" t="s">
        <v>27</v>
      </c>
      <c r="M40" s="24" t="s">
        <v>90</v>
      </c>
      <c r="N40" s="24" t="s">
        <v>28</v>
      </c>
      <c r="O40" s="24" t="s">
        <v>77</v>
      </c>
      <c r="P40" s="24" t="s">
        <v>86</v>
      </c>
      <c r="Q40" s="24" t="s">
        <v>19</v>
      </c>
      <c r="R40" s="24" t="s">
        <v>25</v>
      </c>
      <c r="T40" s="8">
        <f t="shared" si="9"/>
        <v>9</v>
      </c>
      <c r="U40" s="8">
        <f t="shared" si="10"/>
        <v>22</v>
      </c>
      <c r="V40" s="8">
        <f t="shared" si="11"/>
        <v>10</v>
      </c>
      <c r="W40" s="8">
        <f t="shared" si="12"/>
        <v>6</v>
      </c>
      <c r="X40" s="8">
        <f t="shared" si="13"/>
        <v>17</v>
      </c>
      <c r="Y40" s="8">
        <f t="shared" si="14"/>
        <v>5</v>
      </c>
      <c r="Z40" s="8">
        <f t="shared" si="15"/>
        <v>8</v>
      </c>
      <c r="AB40" s="25">
        <v>5</v>
      </c>
      <c r="AC40" s="25">
        <v>0</v>
      </c>
      <c r="AD40" s="25">
        <v>0</v>
      </c>
      <c r="AE40" s="25">
        <v>0</v>
      </c>
      <c r="AF40" s="25">
        <v>0</v>
      </c>
      <c r="AG40" s="25">
        <v>5</v>
      </c>
      <c r="AH40" s="25">
        <v>5</v>
      </c>
      <c r="AJ40" s="7">
        <v>1</v>
      </c>
      <c r="AK40" s="7">
        <v>2</v>
      </c>
      <c r="AL40" s="7">
        <v>1</v>
      </c>
      <c r="AM40" s="7">
        <v>0</v>
      </c>
      <c r="AN40" s="7">
        <v>0</v>
      </c>
      <c r="AO40" s="7">
        <v>1</v>
      </c>
      <c r="AP40" s="7">
        <v>1</v>
      </c>
    </row>
    <row r="41" spans="1:42">
      <c r="A41" s="7" t="s">
        <v>111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H41" s="1"/>
      <c r="K41" s="21">
        <v>37</v>
      </c>
      <c r="L41" s="24" t="s">
        <v>28</v>
      </c>
      <c r="M41" s="24" t="s">
        <v>90</v>
      </c>
      <c r="N41" s="24" t="s">
        <v>20</v>
      </c>
      <c r="O41" s="24" t="s">
        <v>20</v>
      </c>
      <c r="P41" s="24" t="s">
        <v>22</v>
      </c>
      <c r="Q41" s="24" t="s">
        <v>29</v>
      </c>
      <c r="R41" s="24" t="s">
        <v>30</v>
      </c>
      <c r="T41" s="8">
        <f t="shared" si="9"/>
        <v>10</v>
      </c>
      <c r="U41" s="8">
        <f t="shared" si="10"/>
        <v>22</v>
      </c>
      <c r="V41" s="8">
        <f t="shared" si="11"/>
        <v>1</v>
      </c>
      <c r="W41" s="8">
        <f t="shared" si="12"/>
        <v>1</v>
      </c>
      <c r="X41" s="8">
        <f t="shared" si="13"/>
        <v>3</v>
      </c>
      <c r="Y41" s="8">
        <f t="shared" si="14"/>
        <v>11</v>
      </c>
      <c r="Z41" s="8">
        <f t="shared" si="15"/>
        <v>12</v>
      </c>
      <c r="AB41" s="25">
        <v>5</v>
      </c>
      <c r="AC41" s="25">
        <v>0</v>
      </c>
      <c r="AD41" s="25">
        <v>0</v>
      </c>
      <c r="AE41" s="25">
        <v>0</v>
      </c>
      <c r="AF41" s="25">
        <v>0</v>
      </c>
      <c r="AG41" s="25">
        <v>5</v>
      </c>
      <c r="AH41" s="25">
        <v>5</v>
      </c>
      <c r="AJ41" s="7">
        <v>1</v>
      </c>
      <c r="AK41" s="7">
        <v>0</v>
      </c>
      <c r="AL41" s="7">
        <v>1</v>
      </c>
      <c r="AM41" s="7">
        <v>1</v>
      </c>
      <c r="AN41" s="7">
        <v>2</v>
      </c>
      <c r="AO41" s="7">
        <v>1</v>
      </c>
      <c r="AP41" s="7">
        <v>1</v>
      </c>
    </row>
    <row r="42" spans="1:42">
      <c r="A42" s="7" t="s">
        <v>112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H42" s="1"/>
      <c r="K42" s="22">
        <v>38</v>
      </c>
      <c r="L42" s="24" t="s">
        <v>28</v>
      </c>
      <c r="M42" s="24" t="s">
        <v>203</v>
      </c>
      <c r="N42" s="24" t="s">
        <v>77</v>
      </c>
      <c r="O42" s="24" t="s">
        <v>85</v>
      </c>
      <c r="P42" s="24" t="s">
        <v>22</v>
      </c>
      <c r="Q42" s="24" t="s">
        <v>77</v>
      </c>
      <c r="R42" s="24" t="s">
        <v>18</v>
      </c>
      <c r="T42" s="8">
        <f t="shared" si="9"/>
        <v>10</v>
      </c>
      <c r="U42" s="8">
        <f t="shared" si="10"/>
        <v>20</v>
      </c>
      <c r="V42" s="8">
        <f t="shared" si="11"/>
        <v>6</v>
      </c>
      <c r="W42" s="8">
        <f t="shared" si="12"/>
        <v>16</v>
      </c>
      <c r="X42" s="8">
        <f t="shared" si="13"/>
        <v>3</v>
      </c>
      <c r="Y42" s="8">
        <f t="shared" si="14"/>
        <v>6</v>
      </c>
      <c r="Z42" s="8">
        <f t="shared" si="15"/>
        <v>4</v>
      </c>
      <c r="AB42" s="25">
        <v>5</v>
      </c>
      <c r="AC42" s="25">
        <v>0</v>
      </c>
      <c r="AD42" s="25">
        <v>0</v>
      </c>
      <c r="AE42" s="25">
        <v>0</v>
      </c>
      <c r="AF42" s="25">
        <v>0</v>
      </c>
      <c r="AG42" s="25">
        <v>5</v>
      </c>
      <c r="AH42" s="25">
        <v>5</v>
      </c>
      <c r="AJ42" s="7">
        <v>1</v>
      </c>
      <c r="AK42" s="7">
        <v>1</v>
      </c>
      <c r="AL42" s="7">
        <v>1</v>
      </c>
      <c r="AM42" s="7">
        <v>2</v>
      </c>
      <c r="AN42" s="7">
        <v>0</v>
      </c>
      <c r="AO42" s="7">
        <v>1</v>
      </c>
      <c r="AP42" s="7">
        <v>1</v>
      </c>
    </row>
    <row r="43" spans="1:42">
      <c r="A43" s="7" t="s">
        <v>113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H43" s="1"/>
      <c r="K43" s="21">
        <v>39</v>
      </c>
      <c r="L43" s="24" t="s">
        <v>22</v>
      </c>
      <c r="M43" s="24" t="s">
        <v>25</v>
      </c>
      <c r="N43" s="24" t="s">
        <v>25</v>
      </c>
      <c r="O43" s="24" t="s">
        <v>85</v>
      </c>
      <c r="P43" s="24" t="s">
        <v>28</v>
      </c>
      <c r="Q43" s="24" t="s">
        <v>28</v>
      </c>
      <c r="R43" s="24" t="s">
        <v>21</v>
      </c>
      <c r="T43" s="8">
        <f t="shared" si="9"/>
        <v>3</v>
      </c>
      <c r="U43" s="8">
        <f t="shared" si="10"/>
        <v>8</v>
      </c>
      <c r="V43" s="8">
        <f t="shared" si="11"/>
        <v>8</v>
      </c>
      <c r="W43" s="8">
        <f t="shared" si="12"/>
        <v>16</v>
      </c>
      <c r="X43" s="8">
        <f t="shared" si="13"/>
        <v>10</v>
      </c>
      <c r="Y43" s="8">
        <f t="shared" si="14"/>
        <v>10</v>
      </c>
      <c r="Z43" s="8">
        <f t="shared" si="15"/>
        <v>2</v>
      </c>
      <c r="AB43" s="25">
        <v>5</v>
      </c>
      <c r="AC43" s="25">
        <v>0</v>
      </c>
      <c r="AD43" s="25">
        <v>0</v>
      </c>
      <c r="AE43" s="25">
        <v>0</v>
      </c>
      <c r="AF43" s="25">
        <v>0</v>
      </c>
      <c r="AG43" s="25">
        <v>5</v>
      </c>
      <c r="AH43" s="25">
        <v>5</v>
      </c>
      <c r="AJ43" s="7">
        <v>1</v>
      </c>
      <c r="AK43" s="7">
        <v>1</v>
      </c>
      <c r="AL43" s="7">
        <v>1</v>
      </c>
      <c r="AM43" s="7">
        <v>0</v>
      </c>
      <c r="AN43" s="7">
        <v>1</v>
      </c>
      <c r="AO43" s="7">
        <v>1</v>
      </c>
      <c r="AP43" s="7">
        <v>1</v>
      </c>
    </row>
    <row r="44" spans="1:42">
      <c r="A44" s="7" t="s">
        <v>114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H44" s="1"/>
      <c r="K44" s="22">
        <v>40</v>
      </c>
      <c r="L44" s="24" t="s">
        <v>26</v>
      </c>
      <c r="M44" s="24" t="s">
        <v>87</v>
      </c>
      <c r="N44" s="24" t="s">
        <v>20</v>
      </c>
      <c r="O44" s="24" t="s">
        <v>20</v>
      </c>
      <c r="P44" s="24" t="s">
        <v>84</v>
      </c>
      <c r="Q44" s="24" t="s">
        <v>25</v>
      </c>
      <c r="R44" s="24" t="s">
        <v>21</v>
      </c>
      <c r="T44" s="8">
        <f t="shared" si="9"/>
        <v>8</v>
      </c>
      <c r="U44" s="8">
        <f t="shared" si="10"/>
        <v>19</v>
      </c>
      <c r="V44" s="8">
        <f t="shared" si="11"/>
        <v>1</v>
      </c>
      <c r="W44" s="8">
        <f t="shared" si="12"/>
        <v>1</v>
      </c>
      <c r="X44" s="8">
        <f t="shared" si="13"/>
        <v>15</v>
      </c>
      <c r="Y44" s="8">
        <f t="shared" si="14"/>
        <v>8</v>
      </c>
      <c r="Z44" s="8">
        <f t="shared" si="15"/>
        <v>2</v>
      </c>
      <c r="AB44" s="25">
        <v>5</v>
      </c>
      <c r="AC44" s="25">
        <v>5</v>
      </c>
      <c r="AD44" s="25">
        <v>5</v>
      </c>
      <c r="AE44" s="25">
        <v>5</v>
      </c>
      <c r="AF44" s="25">
        <v>6</v>
      </c>
      <c r="AG44" s="25">
        <v>5</v>
      </c>
      <c r="AH44" s="25">
        <v>5</v>
      </c>
      <c r="AJ44" s="7">
        <v>1</v>
      </c>
      <c r="AK44" s="7">
        <v>3</v>
      </c>
      <c r="AL44" s="7">
        <v>1</v>
      </c>
      <c r="AM44" s="7">
        <v>1</v>
      </c>
      <c r="AN44" s="7">
        <v>3</v>
      </c>
      <c r="AO44" s="7">
        <v>1</v>
      </c>
      <c r="AP44" s="7">
        <v>1</v>
      </c>
    </row>
    <row r="45" spans="1:42">
      <c r="A45" s="7" t="s">
        <v>115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H45" s="1"/>
      <c r="K45" s="21">
        <v>41</v>
      </c>
      <c r="L45" s="24" t="s">
        <v>27</v>
      </c>
      <c r="M45" s="24" t="s">
        <v>87</v>
      </c>
      <c r="N45" s="24" t="s">
        <v>82</v>
      </c>
      <c r="O45" s="24" t="s">
        <v>83</v>
      </c>
      <c r="P45" s="24" t="s">
        <v>84</v>
      </c>
      <c r="Q45" s="24" t="s">
        <v>27</v>
      </c>
      <c r="R45" s="24" t="s">
        <v>25</v>
      </c>
      <c r="T45" s="8">
        <f t="shared" si="9"/>
        <v>9</v>
      </c>
      <c r="U45" s="8">
        <f t="shared" si="10"/>
        <v>19</v>
      </c>
      <c r="V45" s="8">
        <f t="shared" si="11"/>
        <v>13</v>
      </c>
      <c r="W45" s="8">
        <f t="shared" si="12"/>
        <v>14</v>
      </c>
      <c r="X45" s="8">
        <f t="shared" si="13"/>
        <v>15</v>
      </c>
      <c r="Y45" s="8">
        <f t="shared" si="14"/>
        <v>9</v>
      </c>
      <c r="Z45" s="8">
        <f t="shared" si="15"/>
        <v>8</v>
      </c>
      <c r="AB45" s="25">
        <v>5</v>
      </c>
      <c r="AC45" s="25">
        <v>0</v>
      </c>
      <c r="AD45" s="25">
        <v>0</v>
      </c>
      <c r="AE45" s="25">
        <v>0</v>
      </c>
      <c r="AF45" s="25">
        <v>0</v>
      </c>
      <c r="AG45" s="25">
        <v>5</v>
      </c>
      <c r="AH45" s="25">
        <v>5</v>
      </c>
      <c r="AJ45" s="7">
        <v>1</v>
      </c>
      <c r="AK45" s="7">
        <v>0</v>
      </c>
      <c r="AL45" s="7">
        <v>3</v>
      </c>
      <c r="AM45" s="7">
        <v>3</v>
      </c>
      <c r="AN45" s="7">
        <v>0</v>
      </c>
      <c r="AO45" s="7">
        <v>1</v>
      </c>
      <c r="AP45" s="7">
        <v>1</v>
      </c>
    </row>
    <row r="46" spans="1:42">
      <c r="A46" s="7" t="s">
        <v>116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H46" s="1"/>
      <c r="K46" s="22">
        <v>42</v>
      </c>
      <c r="L46" s="24" t="s">
        <v>163</v>
      </c>
      <c r="M46" s="24" t="s">
        <v>87</v>
      </c>
      <c r="N46" s="24" t="s">
        <v>82</v>
      </c>
      <c r="O46" s="24" t="s">
        <v>83</v>
      </c>
      <c r="P46" s="24" t="s">
        <v>84</v>
      </c>
      <c r="Q46" s="24" t="s">
        <v>19</v>
      </c>
      <c r="R46" s="24" t="s">
        <v>25</v>
      </c>
      <c r="T46" s="8">
        <f t="shared" si="9"/>
        <v>7</v>
      </c>
      <c r="U46" s="8">
        <f t="shared" si="10"/>
        <v>19</v>
      </c>
      <c r="V46" s="8">
        <f t="shared" si="11"/>
        <v>13</v>
      </c>
      <c r="W46" s="8">
        <f t="shared" si="12"/>
        <v>14</v>
      </c>
      <c r="X46" s="8">
        <f t="shared" si="13"/>
        <v>15</v>
      </c>
      <c r="Y46" s="8">
        <f t="shared" si="14"/>
        <v>5</v>
      </c>
      <c r="Z46" s="8">
        <f t="shared" si="15"/>
        <v>8</v>
      </c>
      <c r="AB46" s="25">
        <v>5</v>
      </c>
      <c r="AC46" s="25">
        <v>0</v>
      </c>
      <c r="AD46" s="25">
        <v>0</v>
      </c>
      <c r="AE46" s="25">
        <v>0</v>
      </c>
      <c r="AF46" s="25">
        <v>0</v>
      </c>
      <c r="AG46" s="25">
        <v>5</v>
      </c>
      <c r="AH46" s="25">
        <v>5</v>
      </c>
      <c r="AJ46" s="7">
        <v>1</v>
      </c>
      <c r="AK46" s="7">
        <v>0</v>
      </c>
      <c r="AL46" s="7">
        <v>0</v>
      </c>
      <c r="AM46" s="7">
        <v>0</v>
      </c>
      <c r="AN46" s="7">
        <v>0</v>
      </c>
      <c r="AO46" s="7">
        <v>1</v>
      </c>
      <c r="AP46" s="7">
        <v>1</v>
      </c>
    </row>
    <row r="47" spans="1:42">
      <c r="A47" s="7" t="s">
        <v>117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H47" s="1"/>
      <c r="K47" s="21">
        <v>43</v>
      </c>
      <c r="L47" s="24" t="s">
        <v>163</v>
      </c>
      <c r="M47" s="24" t="s">
        <v>41</v>
      </c>
      <c r="N47" s="24" t="s">
        <v>82</v>
      </c>
      <c r="O47" s="24" t="s">
        <v>83</v>
      </c>
      <c r="P47" s="24" t="s">
        <v>86</v>
      </c>
      <c r="Q47" s="24" t="s">
        <v>29</v>
      </c>
      <c r="R47" s="24" t="s">
        <v>25</v>
      </c>
      <c r="T47" s="8">
        <f t="shared" si="9"/>
        <v>7</v>
      </c>
      <c r="U47" s="8">
        <f t="shared" si="10"/>
        <v>12</v>
      </c>
      <c r="V47" s="8">
        <f t="shared" si="11"/>
        <v>13</v>
      </c>
      <c r="W47" s="8">
        <f t="shared" si="12"/>
        <v>14</v>
      </c>
      <c r="X47" s="8">
        <f t="shared" si="13"/>
        <v>17</v>
      </c>
      <c r="Y47" s="8">
        <f t="shared" si="14"/>
        <v>11</v>
      </c>
      <c r="Z47" s="8">
        <f t="shared" si="15"/>
        <v>8</v>
      </c>
      <c r="AB47" s="25">
        <v>5</v>
      </c>
      <c r="AC47" s="25">
        <v>0</v>
      </c>
      <c r="AD47" s="25">
        <v>0</v>
      </c>
      <c r="AE47" s="25">
        <v>0</v>
      </c>
      <c r="AF47" s="25">
        <v>0</v>
      </c>
      <c r="AG47" s="25">
        <v>5</v>
      </c>
      <c r="AH47" s="25">
        <v>5</v>
      </c>
      <c r="AJ47" s="7">
        <v>1</v>
      </c>
      <c r="AK47" s="7">
        <v>2</v>
      </c>
      <c r="AL47" s="7">
        <v>0</v>
      </c>
      <c r="AM47" s="7">
        <v>0</v>
      </c>
      <c r="AN47" s="7">
        <v>2</v>
      </c>
      <c r="AO47" s="7">
        <v>1</v>
      </c>
      <c r="AP47" s="7">
        <v>1</v>
      </c>
    </row>
    <row r="48" spans="1:42" ht="17.25" thickBot="1">
      <c r="A48" s="96"/>
      <c r="B48" s="96"/>
      <c r="C48" s="96"/>
      <c r="D48" s="96"/>
      <c r="E48" s="96"/>
      <c r="F48" s="96"/>
      <c r="G48" s="96"/>
      <c r="H48" s="1"/>
      <c r="K48" s="22">
        <v>44</v>
      </c>
      <c r="L48" s="24" t="s">
        <v>30</v>
      </c>
      <c r="M48" s="24" t="s">
        <v>41</v>
      </c>
      <c r="N48" s="24" t="s">
        <v>25</v>
      </c>
      <c r="O48" s="24" t="s">
        <v>27</v>
      </c>
      <c r="P48" s="24" t="s">
        <v>86</v>
      </c>
      <c r="Q48" s="24" t="s">
        <v>30</v>
      </c>
      <c r="R48" s="24" t="s">
        <v>18</v>
      </c>
      <c r="T48" s="8">
        <f t="shared" si="9"/>
        <v>12</v>
      </c>
      <c r="U48" s="8">
        <f t="shared" si="10"/>
        <v>12</v>
      </c>
      <c r="V48" s="8">
        <f t="shared" si="11"/>
        <v>8</v>
      </c>
      <c r="W48" s="8">
        <f t="shared" si="12"/>
        <v>9</v>
      </c>
      <c r="X48" s="8">
        <f t="shared" si="13"/>
        <v>17</v>
      </c>
      <c r="Y48" s="8">
        <f t="shared" si="14"/>
        <v>12</v>
      </c>
      <c r="Z48" s="8">
        <f t="shared" si="15"/>
        <v>4</v>
      </c>
      <c r="AB48" s="25">
        <v>5</v>
      </c>
      <c r="AC48" s="25">
        <v>0</v>
      </c>
      <c r="AD48" s="25">
        <v>0</v>
      </c>
      <c r="AE48" s="25">
        <v>0</v>
      </c>
      <c r="AF48" s="25">
        <v>0</v>
      </c>
      <c r="AG48" s="25">
        <v>5</v>
      </c>
      <c r="AH48" s="25">
        <v>5</v>
      </c>
      <c r="AJ48" s="7">
        <v>1</v>
      </c>
      <c r="AK48" s="7">
        <v>0</v>
      </c>
      <c r="AL48" s="7">
        <v>1</v>
      </c>
      <c r="AM48" s="7">
        <v>1</v>
      </c>
      <c r="AN48" s="7">
        <v>0</v>
      </c>
      <c r="AO48" s="7">
        <v>1</v>
      </c>
      <c r="AP48" s="7">
        <v>1</v>
      </c>
    </row>
    <row r="49" spans="1:42" ht="17.25" thickBot="1">
      <c r="A49" s="149" t="s">
        <v>182</v>
      </c>
      <c r="B49" s="154" t="s">
        <v>183</v>
      </c>
      <c r="C49" s="1"/>
      <c r="D49" s="1"/>
      <c r="E49" s="1"/>
      <c r="F49" s="1"/>
      <c r="G49" s="1"/>
      <c r="H49" s="1"/>
      <c r="K49" s="21">
        <v>45</v>
      </c>
      <c r="L49" s="24" t="s">
        <v>36</v>
      </c>
      <c r="M49" s="24" t="s">
        <v>41</v>
      </c>
      <c r="N49" s="24" t="s">
        <v>25</v>
      </c>
      <c r="O49" s="24" t="s">
        <v>28</v>
      </c>
      <c r="P49" s="24" t="s">
        <v>29</v>
      </c>
      <c r="Q49" s="24" t="s">
        <v>30</v>
      </c>
      <c r="R49" s="24" t="s">
        <v>18</v>
      </c>
      <c r="T49" s="8">
        <f t="shared" si="9"/>
        <v>5</v>
      </c>
      <c r="U49" s="8">
        <f t="shared" si="10"/>
        <v>12</v>
      </c>
      <c r="V49" s="8">
        <f t="shared" si="11"/>
        <v>8</v>
      </c>
      <c r="W49" s="8">
        <f t="shared" si="12"/>
        <v>10</v>
      </c>
      <c r="X49" s="8">
        <f t="shared" si="13"/>
        <v>11</v>
      </c>
      <c r="Y49" s="8">
        <f t="shared" si="14"/>
        <v>12</v>
      </c>
      <c r="Z49" s="8">
        <f t="shared" si="15"/>
        <v>4</v>
      </c>
      <c r="AB49" s="25">
        <v>5</v>
      </c>
      <c r="AC49" s="25">
        <v>5</v>
      </c>
      <c r="AD49" s="25">
        <v>5</v>
      </c>
      <c r="AE49" s="25">
        <v>5</v>
      </c>
      <c r="AF49" s="25">
        <v>4</v>
      </c>
      <c r="AG49" s="25">
        <v>5</v>
      </c>
      <c r="AH49" s="25">
        <v>5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</row>
    <row r="50" spans="1:42">
      <c r="A50" s="151" t="s">
        <v>81</v>
      </c>
      <c r="B50" s="152">
        <v>0</v>
      </c>
      <c r="C50" s="1"/>
      <c r="D50" s="1"/>
      <c r="E50" s="1"/>
      <c r="F50" s="1"/>
      <c r="G50" s="1"/>
      <c r="H50" s="1"/>
      <c r="K50" s="22">
        <v>46</v>
      </c>
      <c r="L50" s="24" t="s">
        <v>22</v>
      </c>
      <c r="M50" s="24" t="s">
        <v>77</v>
      </c>
      <c r="N50" s="24" t="s">
        <v>29</v>
      </c>
      <c r="O50" s="24" t="s">
        <v>28</v>
      </c>
      <c r="P50" s="24" t="s">
        <v>18</v>
      </c>
      <c r="Q50" s="24" t="s">
        <v>25</v>
      </c>
      <c r="R50" s="24" t="s">
        <v>18</v>
      </c>
      <c r="T50" s="8">
        <f t="shared" si="9"/>
        <v>3</v>
      </c>
      <c r="U50" s="8">
        <f t="shared" si="10"/>
        <v>6</v>
      </c>
      <c r="V50" s="8">
        <f t="shared" si="11"/>
        <v>11</v>
      </c>
      <c r="W50" s="8">
        <f t="shared" si="12"/>
        <v>10</v>
      </c>
      <c r="X50" s="8">
        <f t="shared" si="13"/>
        <v>4</v>
      </c>
      <c r="Y50" s="8">
        <f t="shared" si="14"/>
        <v>8</v>
      </c>
      <c r="Z50" s="8">
        <f t="shared" si="15"/>
        <v>4</v>
      </c>
      <c r="AB50" s="25">
        <v>5</v>
      </c>
      <c r="AC50" s="25">
        <v>0</v>
      </c>
      <c r="AD50" s="25">
        <v>0</v>
      </c>
      <c r="AE50" s="25">
        <v>0</v>
      </c>
      <c r="AF50" s="25">
        <v>1</v>
      </c>
      <c r="AG50" s="25">
        <v>5</v>
      </c>
      <c r="AH50" s="25">
        <v>5</v>
      </c>
      <c r="AJ50" s="7">
        <v>1</v>
      </c>
      <c r="AK50" s="7">
        <v>1</v>
      </c>
      <c r="AL50" s="7">
        <v>1</v>
      </c>
      <c r="AM50" s="7">
        <v>1</v>
      </c>
      <c r="AN50" s="7">
        <v>3</v>
      </c>
      <c r="AO50" s="7">
        <v>1</v>
      </c>
      <c r="AP50" s="7">
        <v>1</v>
      </c>
    </row>
    <row r="51" spans="1:42">
      <c r="A51" s="150" t="s">
        <v>20</v>
      </c>
      <c r="B51" s="153">
        <v>0</v>
      </c>
      <c r="C51" s="1"/>
      <c r="D51" s="1"/>
      <c r="E51" s="1"/>
      <c r="F51" s="1"/>
      <c r="G51" s="1"/>
      <c r="H51" s="1"/>
      <c r="K51" s="21">
        <v>47</v>
      </c>
      <c r="L51" s="24" t="s">
        <v>37</v>
      </c>
      <c r="M51" s="24" t="s">
        <v>18</v>
      </c>
      <c r="N51" s="24" t="s">
        <v>29</v>
      </c>
      <c r="O51" s="24" t="s">
        <v>20</v>
      </c>
      <c r="P51" s="24" t="s">
        <v>18</v>
      </c>
      <c r="Q51" s="24" t="s">
        <v>28</v>
      </c>
      <c r="R51" s="24" t="s">
        <v>77</v>
      </c>
      <c r="T51" s="8">
        <f t="shared" si="9"/>
        <v>1</v>
      </c>
      <c r="U51" s="8">
        <f t="shared" si="10"/>
        <v>4</v>
      </c>
      <c r="V51" s="8">
        <f t="shared" si="11"/>
        <v>11</v>
      </c>
      <c r="W51" s="8">
        <f t="shared" si="12"/>
        <v>1</v>
      </c>
      <c r="X51" s="8">
        <f t="shared" si="13"/>
        <v>4</v>
      </c>
      <c r="Y51" s="8">
        <f t="shared" si="14"/>
        <v>10</v>
      </c>
      <c r="Z51" s="8">
        <f t="shared" si="15"/>
        <v>6</v>
      </c>
      <c r="AB51" s="25">
        <v>5</v>
      </c>
      <c r="AC51" s="25">
        <v>0</v>
      </c>
      <c r="AD51" s="25">
        <v>0</v>
      </c>
      <c r="AE51" s="25">
        <v>0</v>
      </c>
      <c r="AF51" s="25">
        <v>0</v>
      </c>
      <c r="AG51" s="25">
        <v>5</v>
      </c>
      <c r="AH51" s="25">
        <v>5</v>
      </c>
      <c r="AJ51" s="7">
        <v>1</v>
      </c>
      <c r="AK51" s="7">
        <v>2</v>
      </c>
      <c r="AL51" s="7">
        <v>1</v>
      </c>
      <c r="AM51" s="7">
        <v>1</v>
      </c>
      <c r="AN51" s="7">
        <v>0</v>
      </c>
      <c r="AO51" s="7">
        <v>1</v>
      </c>
      <c r="AP51" s="7">
        <v>1</v>
      </c>
    </row>
    <row r="52" spans="1:42">
      <c r="A52" s="150" t="s">
        <v>21</v>
      </c>
      <c r="B52" s="153">
        <v>2</v>
      </c>
      <c r="C52" s="1"/>
      <c r="D52" s="1"/>
      <c r="E52" s="1"/>
      <c r="F52" s="1"/>
      <c r="G52" s="1"/>
      <c r="H52" s="1"/>
      <c r="K52" s="22">
        <v>48</v>
      </c>
      <c r="L52" s="24" t="s">
        <v>27</v>
      </c>
      <c r="M52" s="24" t="s">
        <v>18</v>
      </c>
      <c r="N52" s="24" t="s">
        <v>20</v>
      </c>
      <c r="O52" s="24" t="s">
        <v>88</v>
      </c>
      <c r="P52" s="24" t="s">
        <v>18</v>
      </c>
      <c r="Q52" s="24" t="s">
        <v>19</v>
      </c>
      <c r="R52" s="24" t="s">
        <v>77</v>
      </c>
      <c r="T52" s="8">
        <f t="shared" si="9"/>
        <v>9</v>
      </c>
      <c r="U52" s="8">
        <f t="shared" si="10"/>
        <v>4</v>
      </c>
      <c r="V52" s="8">
        <f t="shared" si="11"/>
        <v>1</v>
      </c>
      <c r="W52" s="8">
        <f t="shared" si="12"/>
        <v>20</v>
      </c>
      <c r="X52" s="8">
        <f t="shared" si="13"/>
        <v>4</v>
      </c>
      <c r="Y52" s="8">
        <f t="shared" si="14"/>
        <v>5</v>
      </c>
      <c r="Z52" s="8">
        <f t="shared" si="15"/>
        <v>6</v>
      </c>
      <c r="AB52" s="25">
        <v>5</v>
      </c>
      <c r="AC52" s="25">
        <v>0</v>
      </c>
      <c r="AD52" s="25">
        <v>0</v>
      </c>
      <c r="AE52" s="25">
        <v>0</v>
      </c>
      <c r="AF52" s="25">
        <v>0</v>
      </c>
      <c r="AG52" s="25">
        <v>5</v>
      </c>
      <c r="AH52" s="25">
        <v>5</v>
      </c>
      <c r="AJ52" s="7">
        <v>1</v>
      </c>
      <c r="AK52" s="7">
        <v>0</v>
      </c>
      <c r="AL52" s="7">
        <v>1</v>
      </c>
      <c r="AM52" s="7">
        <v>2</v>
      </c>
      <c r="AN52" s="7">
        <v>0</v>
      </c>
      <c r="AO52" s="7">
        <v>1</v>
      </c>
      <c r="AP52" s="7">
        <v>1</v>
      </c>
    </row>
    <row r="53" spans="1:42">
      <c r="A53" s="150" t="s">
        <v>22</v>
      </c>
      <c r="B53" s="153">
        <v>3</v>
      </c>
      <c r="C53" s="1"/>
      <c r="D53" s="1"/>
      <c r="E53" s="1"/>
      <c r="F53" s="1"/>
      <c r="G53" s="1"/>
      <c r="H53" s="1"/>
      <c r="K53" s="21">
        <v>49</v>
      </c>
      <c r="L53" s="24" t="s">
        <v>30</v>
      </c>
      <c r="M53" s="24" t="s">
        <v>25</v>
      </c>
      <c r="N53" s="24" t="s">
        <v>22</v>
      </c>
      <c r="O53" s="24" t="s">
        <v>88</v>
      </c>
      <c r="P53" s="24" t="s">
        <v>77</v>
      </c>
      <c r="Q53" s="24" t="s">
        <v>25</v>
      </c>
      <c r="R53" s="24" t="s">
        <v>37</v>
      </c>
      <c r="T53" s="8">
        <f t="shared" si="9"/>
        <v>12</v>
      </c>
      <c r="U53" s="8">
        <f t="shared" si="10"/>
        <v>8</v>
      </c>
      <c r="V53" s="8">
        <f t="shared" si="11"/>
        <v>3</v>
      </c>
      <c r="W53" s="8">
        <f t="shared" si="12"/>
        <v>20</v>
      </c>
      <c r="X53" s="8">
        <f t="shared" si="13"/>
        <v>6</v>
      </c>
      <c r="Y53" s="8">
        <f t="shared" si="14"/>
        <v>8</v>
      </c>
      <c r="Z53" s="8">
        <f t="shared" si="15"/>
        <v>1</v>
      </c>
      <c r="AB53" s="25">
        <v>5</v>
      </c>
      <c r="AC53" s="25">
        <v>0</v>
      </c>
      <c r="AD53" s="25">
        <v>0</v>
      </c>
      <c r="AE53" s="25">
        <v>0</v>
      </c>
      <c r="AF53" s="25">
        <v>1</v>
      </c>
      <c r="AG53" s="25">
        <v>5</v>
      </c>
      <c r="AH53" s="25">
        <v>5</v>
      </c>
      <c r="AJ53" s="7">
        <v>1</v>
      </c>
      <c r="AK53" s="7">
        <v>1</v>
      </c>
      <c r="AL53" s="7">
        <v>1</v>
      </c>
      <c r="AM53" s="7">
        <v>0</v>
      </c>
      <c r="AN53" s="7">
        <v>1</v>
      </c>
      <c r="AO53" s="7">
        <v>1</v>
      </c>
      <c r="AP53" s="7">
        <v>1</v>
      </c>
    </row>
    <row r="54" spans="1:42">
      <c r="A54" s="150" t="s">
        <v>18</v>
      </c>
      <c r="B54" s="153">
        <v>5</v>
      </c>
      <c r="C54" s="1"/>
      <c r="D54" s="1"/>
      <c r="E54" s="1"/>
      <c r="F54" s="1"/>
      <c r="G54" s="1"/>
      <c r="H54" s="1"/>
      <c r="K54" s="22">
        <v>50</v>
      </c>
      <c r="L54" s="24" t="s">
        <v>35</v>
      </c>
      <c r="M54" s="24" t="s">
        <v>25</v>
      </c>
      <c r="N54" s="24" t="s">
        <v>28</v>
      </c>
      <c r="O54" s="24" t="s">
        <v>18</v>
      </c>
      <c r="P54" s="24" t="s">
        <v>22</v>
      </c>
      <c r="Q54" s="24" t="s">
        <v>29</v>
      </c>
      <c r="R54" s="24" t="s">
        <v>29</v>
      </c>
      <c r="T54" s="8">
        <f t="shared" si="9"/>
        <v>4</v>
      </c>
      <c r="U54" s="8">
        <f t="shared" si="10"/>
        <v>8</v>
      </c>
      <c r="V54" s="8">
        <f t="shared" si="11"/>
        <v>10</v>
      </c>
      <c r="W54" s="8">
        <f t="shared" si="12"/>
        <v>4</v>
      </c>
      <c r="X54" s="8">
        <f t="shared" si="13"/>
        <v>3</v>
      </c>
      <c r="Y54" s="8">
        <f t="shared" si="14"/>
        <v>11</v>
      </c>
      <c r="Z54" s="8">
        <f t="shared" si="15"/>
        <v>11</v>
      </c>
      <c r="AB54" s="25">
        <v>5</v>
      </c>
      <c r="AC54" s="25">
        <v>5</v>
      </c>
      <c r="AD54" s="25">
        <v>5</v>
      </c>
      <c r="AE54" s="25">
        <v>5</v>
      </c>
      <c r="AF54" s="25">
        <v>5</v>
      </c>
      <c r="AG54" s="25">
        <v>5</v>
      </c>
      <c r="AH54" s="25">
        <v>5</v>
      </c>
      <c r="AJ54" s="7">
        <v>1</v>
      </c>
      <c r="AK54" s="7">
        <v>1</v>
      </c>
      <c r="AL54" s="7">
        <v>1</v>
      </c>
      <c r="AM54" s="7">
        <v>2</v>
      </c>
      <c r="AN54" s="7">
        <v>1</v>
      </c>
      <c r="AO54" s="7">
        <v>1</v>
      </c>
      <c r="AP54" s="7">
        <v>1</v>
      </c>
    </row>
    <row r="55" spans="1:42">
      <c r="A55" s="150" t="s">
        <v>19</v>
      </c>
      <c r="B55" s="153">
        <v>8</v>
      </c>
      <c r="C55" s="1"/>
      <c r="D55" s="1"/>
      <c r="E55" s="1"/>
      <c r="F55" s="1"/>
      <c r="G55" s="1"/>
      <c r="H55" s="1"/>
      <c r="K55" s="21">
        <v>51</v>
      </c>
      <c r="L55" s="24" t="s">
        <v>77</v>
      </c>
      <c r="M55" s="24" t="s">
        <v>20</v>
      </c>
      <c r="N55" s="24" t="s">
        <v>20</v>
      </c>
      <c r="O55" s="24" t="s">
        <v>18</v>
      </c>
      <c r="P55" s="24" t="s">
        <v>90</v>
      </c>
      <c r="Q55" s="24" t="s">
        <v>77</v>
      </c>
      <c r="R55" s="24" t="s">
        <v>29</v>
      </c>
      <c r="T55" s="8">
        <f t="shared" si="9"/>
        <v>6</v>
      </c>
      <c r="U55" s="8">
        <f t="shared" si="10"/>
        <v>1</v>
      </c>
      <c r="V55" s="8">
        <f t="shared" si="11"/>
        <v>1</v>
      </c>
      <c r="W55" s="8">
        <f t="shared" si="12"/>
        <v>4</v>
      </c>
      <c r="X55" s="8">
        <f t="shared" si="13"/>
        <v>22</v>
      </c>
      <c r="Y55" s="8">
        <f t="shared" si="14"/>
        <v>6</v>
      </c>
      <c r="Z55" s="8">
        <f t="shared" si="15"/>
        <v>11</v>
      </c>
      <c r="AB55" s="25">
        <v>5</v>
      </c>
      <c r="AC55" s="25">
        <v>0</v>
      </c>
      <c r="AD55" s="25">
        <v>0</v>
      </c>
      <c r="AE55" s="25">
        <v>0</v>
      </c>
      <c r="AF55" s="25">
        <v>0</v>
      </c>
      <c r="AG55" s="25">
        <v>5</v>
      </c>
      <c r="AH55" s="25">
        <v>5</v>
      </c>
      <c r="AJ55" s="7">
        <v>1</v>
      </c>
      <c r="AK55" s="7">
        <v>1</v>
      </c>
      <c r="AL55" s="7">
        <v>1</v>
      </c>
      <c r="AM55" s="7">
        <v>0</v>
      </c>
      <c r="AN55" s="7">
        <v>2</v>
      </c>
      <c r="AO55" s="7">
        <v>1</v>
      </c>
      <c r="AP55" s="7">
        <v>1</v>
      </c>
    </row>
    <row r="56" spans="1:42">
      <c r="A56" s="150" t="s">
        <v>77</v>
      </c>
      <c r="B56" s="153">
        <v>12</v>
      </c>
      <c r="C56" s="1"/>
      <c r="D56" s="1"/>
      <c r="E56" s="1"/>
      <c r="F56" s="1"/>
      <c r="G56" s="1"/>
      <c r="H56" s="1"/>
      <c r="K56" s="22">
        <v>52</v>
      </c>
      <c r="L56" s="24" t="s">
        <v>77</v>
      </c>
      <c r="M56" s="24" t="s">
        <v>85</v>
      </c>
      <c r="N56" s="24" t="s">
        <v>86</v>
      </c>
      <c r="O56" s="24" t="s">
        <v>28</v>
      </c>
      <c r="P56" s="24" t="s">
        <v>90</v>
      </c>
      <c r="Q56" s="24" t="s">
        <v>28</v>
      </c>
      <c r="R56" s="24" t="s">
        <v>29</v>
      </c>
      <c r="T56" s="8">
        <f t="shared" si="9"/>
        <v>6</v>
      </c>
      <c r="U56" s="8">
        <f t="shared" si="10"/>
        <v>16</v>
      </c>
      <c r="V56" s="8">
        <f t="shared" si="11"/>
        <v>17</v>
      </c>
      <c r="W56" s="8">
        <f t="shared" si="12"/>
        <v>10</v>
      </c>
      <c r="X56" s="8">
        <f t="shared" si="13"/>
        <v>22</v>
      </c>
      <c r="Y56" s="8">
        <f t="shared" si="14"/>
        <v>10</v>
      </c>
      <c r="Z56" s="8">
        <f t="shared" si="15"/>
        <v>11</v>
      </c>
      <c r="AB56" s="25">
        <v>5</v>
      </c>
      <c r="AC56" s="25">
        <v>0</v>
      </c>
      <c r="AD56" s="25">
        <v>0</v>
      </c>
      <c r="AE56" s="25">
        <v>0</v>
      </c>
      <c r="AF56" s="25">
        <v>0</v>
      </c>
      <c r="AG56" s="25">
        <v>5</v>
      </c>
      <c r="AH56" s="25">
        <v>5</v>
      </c>
      <c r="AJ56" s="7">
        <v>1</v>
      </c>
      <c r="AK56" s="7">
        <v>2</v>
      </c>
      <c r="AL56" s="7">
        <v>2</v>
      </c>
      <c r="AM56" s="7">
        <v>1</v>
      </c>
      <c r="AN56" s="7">
        <v>0</v>
      </c>
      <c r="AO56" s="7">
        <v>1</v>
      </c>
      <c r="AP56" s="7">
        <v>1</v>
      </c>
    </row>
    <row r="57" spans="1:42">
      <c r="A57" s="150" t="s">
        <v>184</v>
      </c>
      <c r="B57" s="153">
        <v>10</v>
      </c>
      <c r="C57" s="1"/>
      <c r="D57" s="1"/>
      <c r="E57" s="1"/>
      <c r="F57" s="1"/>
      <c r="G57" s="1"/>
      <c r="H57" s="1"/>
      <c r="K57" s="21">
        <v>53</v>
      </c>
      <c r="L57" s="24" t="s">
        <v>30</v>
      </c>
      <c r="M57" s="24" t="s">
        <v>85</v>
      </c>
      <c r="N57" s="24" t="s">
        <v>86</v>
      </c>
      <c r="O57" s="24" t="s">
        <v>20</v>
      </c>
      <c r="P57" s="24" t="s">
        <v>37</v>
      </c>
      <c r="Q57" s="24" t="s">
        <v>25</v>
      </c>
      <c r="R57" s="24" t="s">
        <v>77</v>
      </c>
      <c r="T57" s="8">
        <f t="shared" si="9"/>
        <v>12</v>
      </c>
      <c r="U57" s="8">
        <f t="shared" si="10"/>
        <v>16</v>
      </c>
      <c r="V57" s="8">
        <f t="shared" si="11"/>
        <v>17</v>
      </c>
      <c r="W57" s="8">
        <f t="shared" si="12"/>
        <v>1</v>
      </c>
      <c r="X57" s="8">
        <f t="shared" si="13"/>
        <v>1</v>
      </c>
      <c r="Y57" s="8">
        <f t="shared" si="14"/>
        <v>8</v>
      </c>
      <c r="Z57" s="8">
        <f t="shared" si="15"/>
        <v>6</v>
      </c>
      <c r="AB57" s="25">
        <v>5</v>
      </c>
      <c r="AC57" s="25">
        <v>0</v>
      </c>
      <c r="AD57" s="25">
        <v>0</v>
      </c>
      <c r="AE57" s="25">
        <v>0</v>
      </c>
      <c r="AF57" s="25">
        <v>0</v>
      </c>
      <c r="AG57" s="25">
        <v>5</v>
      </c>
      <c r="AH57" s="25">
        <v>5</v>
      </c>
      <c r="AJ57" s="7">
        <v>1</v>
      </c>
      <c r="AK57" s="7">
        <v>0</v>
      </c>
      <c r="AL57" s="7">
        <v>0</v>
      </c>
      <c r="AM57" s="7">
        <v>1</v>
      </c>
      <c r="AN57" s="7">
        <v>1</v>
      </c>
      <c r="AO57" s="7">
        <v>1</v>
      </c>
      <c r="AP57" s="7">
        <v>1</v>
      </c>
    </row>
    <row r="58" spans="1:42">
      <c r="A58" s="150" t="s">
        <v>185</v>
      </c>
      <c r="B58" s="153">
        <v>10</v>
      </c>
      <c r="C58" s="1"/>
      <c r="D58" s="1"/>
      <c r="E58" s="1"/>
      <c r="F58" s="1"/>
      <c r="G58" s="1"/>
      <c r="H58" s="1"/>
      <c r="K58" s="22">
        <v>54</v>
      </c>
      <c r="L58" s="24" t="s">
        <v>30</v>
      </c>
      <c r="M58" s="24" t="s">
        <v>29</v>
      </c>
      <c r="N58" s="24" t="s">
        <v>19</v>
      </c>
      <c r="O58" s="24" t="s">
        <v>25</v>
      </c>
      <c r="P58" s="24" t="s">
        <v>25</v>
      </c>
      <c r="Q58" s="24" t="s">
        <v>77</v>
      </c>
      <c r="R58" s="24" t="s">
        <v>19</v>
      </c>
      <c r="T58" s="8">
        <f t="shared" si="9"/>
        <v>12</v>
      </c>
      <c r="U58" s="8">
        <f t="shared" si="10"/>
        <v>11</v>
      </c>
      <c r="V58" s="8">
        <f t="shared" si="11"/>
        <v>5</v>
      </c>
      <c r="W58" s="8">
        <f t="shared" si="12"/>
        <v>8</v>
      </c>
      <c r="X58" s="8">
        <f t="shared" si="13"/>
        <v>8</v>
      </c>
      <c r="Y58" s="8">
        <f t="shared" si="14"/>
        <v>6</v>
      </c>
      <c r="Z58" s="8">
        <f t="shared" si="15"/>
        <v>5</v>
      </c>
      <c r="AB58" s="25">
        <v>5</v>
      </c>
      <c r="AC58" s="25">
        <v>0</v>
      </c>
      <c r="AD58" s="25">
        <v>0</v>
      </c>
      <c r="AE58" s="25">
        <v>0</v>
      </c>
      <c r="AF58" s="25">
        <v>1</v>
      </c>
      <c r="AG58" s="25">
        <v>5</v>
      </c>
      <c r="AH58" s="25">
        <v>5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</row>
    <row r="59" spans="1:42">
      <c r="A59" s="155" t="s">
        <v>38</v>
      </c>
      <c r="B59" s="176">
        <v>10</v>
      </c>
      <c r="C59" s="1"/>
      <c r="D59" s="1"/>
      <c r="E59" s="1"/>
      <c r="F59" s="1"/>
      <c r="G59" s="1"/>
      <c r="H59" s="1"/>
      <c r="K59" s="21">
        <v>55</v>
      </c>
      <c r="L59" s="24" t="s">
        <v>35</v>
      </c>
      <c r="M59" s="24" t="s">
        <v>21</v>
      </c>
      <c r="N59" s="24" t="s">
        <v>28</v>
      </c>
      <c r="O59" s="24" t="s">
        <v>77</v>
      </c>
      <c r="P59" s="24" t="s">
        <v>86</v>
      </c>
      <c r="Q59" s="24" t="s">
        <v>18</v>
      </c>
      <c r="R59" s="24" t="s">
        <v>19</v>
      </c>
      <c r="T59" s="8">
        <f t="shared" si="9"/>
        <v>4</v>
      </c>
      <c r="U59" s="8">
        <f t="shared" si="10"/>
        <v>2</v>
      </c>
      <c r="V59" s="8">
        <f t="shared" si="11"/>
        <v>10</v>
      </c>
      <c r="W59" s="8">
        <f t="shared" si="12"/>
        <v>6</v>
      </c>
      <c r="X59" s="8">
        <f t="shared" si="13"/>
        <v>17</v>
      </c>
      <c r="Y59" s="8">
        <f t="shared" si="14"/>
        <v>4</v>
      </c>
      <c r="Z59" s="8">
        <f t="shared" si="15"/>
        <v>5</v>
      </c>
      <c r="AB59" s="25">
        <v>5</v>
      </c>
      <c r="AC59" s="25">
        <v>5</v>
      </c>
      <c r="AD59" s="25">
        <v>5</v>
      </c>
      <c r="AE59" s="25">
        <v>5</v>
      </c>
      <c r="AF59" s="25">
        <v>6</v>
      </c>
      <c r="AG59" s="25">
        <v>5</v>
      </c>
      <c r="AH59" s="25">
        <v>5</v>
      </c>
      <c r="AJ59" s="7">
        <v>1</v>
      </c>
      <c r="AK59" s="7">
        <v>1</v>
      </c>
      <c r="AL59" s="7">
        <v>1</v>
      </c>
      <c r="AM59" s="7">
        <v>2</v>
      </c>
      <c r="AN59" s="7">
        <v>2</v>
      </c>
      <c r="AO59" s="7">
        <v>1</v>
      </c>
      <c r="AP59" s="7">
        <v>1</v>
      </c>
    </row>
    <row r="60" spans="1:42">
      <c r="A60" s="155" t="s">
        <v>39</v>
      </c>
      <c r="B60" s="176">
        <v>10</v>
      </c>
      <c r="C60" s="1"/>
      <c r="D60" s="1"/>
      <c r="E60" s="1"/>
      <c r="F60" s="1"/>
      <c r="G60" s="1"/>
      <c r="H60" s="1"/>
      <c r="K60" s="22">
        <v>56</v>
      </c>
      <c r="L60" s="24" t="s">
        <v>27</v>
      </c>
      <c r="M60" s="24" t="s">
        <v>90</v>
      </c>
      <c r="N60" s="24" t="s">
        <v>28</v>
      </c>
      <c r="O60" s="24" t="s">
        <v>77</v>
      </c>
      <c r="P60" s="24" t="s">
        <v>86</v>
      </c>
      <c r="Q60" s="24" t="s">
        <v>19</v>
      </c>
      <c r="R60" s="24" t="s">
        <v>25</v>
      </c>
      <c r="T60" s="8">
        <f t="shared" si="9"/>
        <v>9</v>
      </c>
      <c r="U60" s="8">
        <f t="shared" si="10"/>
        <v>22</v>
      </c>
      <c r="V60" s="8">
        <f t="shared" si="11"/>
        <v>10</v>
      </c>
      <c r="W60" s="8">
        <f t="shared" si="12"/>
        <v>6</v>
      </c>
      <c r="X60" s="8">
        <f t="shared" si="13"/>
        <v>17</v>
      </c>
      <c r="Y60" s="8">
        <f t="shared" si="14"/>
        <v>5</v>
      </c>
      <c r="Z60" s="8">
        <f t="shared" si="15"/>
        <v>8</v>
      </c>
      <c r="AB60" s="25">
        <v>5</v>
      </c>
      <c r="AC60" s="25">
        <v>0</v>
      </c>
      <c r="AD60" s="25">
        <v>0</v>
      </c>
      <c r="AE60" s="25">
        <v>0</v>
      </c>
      <c r="AF60" s="25">
        <v>0</v>
      </c>
      <c r="AG60" s="25">
        <v>5</v>
      </c>
      <c r="AH60" s="25">
        <v>5</v>
      </c>
      <c r="AJ60" s="7">
        <v>1</v>
      </c>
      <c r="AK60" s="7">
        <v>2</v>
      </c>
      <c r="AL60" s="7">
        <v>1</v>
      </c>
      <c r="AM60" s="7">
        <v>0</v>
      </c>
      <c r="AN60" s="7">
        <v>0</v>
      </c>
      <c r="AO60" s="7">
        <v>1</v>
      </c>
      <c r="AP60" s="7">
        <v>1</v>
      </c>
    </row>
    <row r="61" spans="1:42">
      <c r="A61" s="155" t="s">
        <v>40</v>
      </c>
      <c r="B61" s="176">
        <v>10</v>
      </c>
      <c r="C61" s="1"/>
      <c r="D61" s="1"/>
      <c r="E61" s="1"/>
      <c r="F61" s="1"/>
      <c r="G61" s="1"/>
      <c r="H61" s="1"/>
      <c r="K61" s="21">
        <v>57</v>
      </c>
      <c r="L61" s="24" t="s">
        <v>28</v>
      </c>
      <c r="M61" s="24" t="s">
        <v>90</v>
      </c>
      <c r="N61" s="24" t="s">
        <v>20</v>
      </c>
      <c r="O61" s="24" t="s">
        <v>20</v>
      </c>
      <c r="P61" s="24" t="s">
        <v>22</v>
      </c>
      <c r="Q61" s="24" t="s">
        <v>29</v>
      </c>
      <c r="R61" s="24" t="s">
        <v>30</v>
      </c>
      <c r="T61" s="8">
        <f t="shared" si="9"/>
        <v>10</v>
      </c>
      <c r="U61" s="8">
        <f t="shared" si="10"/>
        <v>22</v>
      </c>
      <c r="V61" s="8">
        <f t="shared" si="11"/>
        <v>1</v>
      </c>
      <c r="W61" s="8">
        <f t="shared" si="12"/>
        <v>1</v>
      </c>
      <c r="X61" s="8">
        <f t="shared" si="13"/>
        <v>3</v>
      </c>
      <c r="Y61" s="8">
        <f t="shared" si="14"/>
        <v>11</v>
      </c>
      <c r="Z61" s="8">
        <f t="shared" si="15"/>
        <v>12</v>
      </c>
      <c r="AB61" s="25">
        <v>5</v>
      </c>
      <c r="AC61" s="25">
        <v>0</v>
      </c>
      <c r="AD61" s="25">
        <v>0</v>
      </c>
      <c r="AE61" s="25">
        <v>0</v>
      </c>
      <c r="AF61" s="25">
        <v>0</v>
      </c>
      <c r="AG61" s="25">
        <v>5</v>
      </c>
      <c r="AH61" s="25">
        <v>5</v>
      </c>
      <c r="AJ61" s="7">
        <v>1</v>
      </c>
      <c r="AK61" s="7">
        <v>0</v>
      </c>
      <c r="AL61" s="7">
        <v>1</v>
      </c>
      <c r="AM61" s="7">
        <v>1</v>
      </c>
      <c r="AN61" s="7">
        <v>2</v>
      </c>
      <c r="AO61" s="7">
        <v>1</v>
      </c>
      <c r="AP61" s="7">
        <v>1</v>
      </c>
    </row>
    <row r="62" spans="1:42" ht="17.25" thickBot="1">
      <c r="A62" s="156" t="s">
        <v>41</v>
      </c>
      <c r="B62" s="177">
        <v>10</v>
      </c>
      <c r="C62" s="1"/>
      <c r="D62" s="1"/>
      <c r="E62" s="1"/>
      <c r="F62" s="1"/>
      <c r="G62" s="1"/>
      <c r="H62" s="1"/>
      <c r="K62" s="22">
        <v>58</v>
      </c>
      <c r="L62" s="24" t="s">
        <v>28</v>
      </c>
      <c r="M62" s="24" t="s">
        <v>20</v>
      </c>
      <c r="N62" s="24" t="s">
        <v>77</v>
      </c>
      <c r="O62" s="24" t="s">
        <v>85</v>
      </c>
      <c r="P62" s="24" t="s">
        <v>22</v>
      </c>
      <c r="Q62" s="24" t="s">
        <v>77</v>
      </c>
      <c r="R62" s="24" t="s">
        <v>18</v>
      </c>
      <c r="T62" s="8">
        <f t="shared" si="9"/>
        <v>10</v>
      </c>
      <c r="U62" s="8">
        <f t="shared" si="10"/>
        <v>1</v>
      </c>
      <c r="V62" s="8">
        <f t="shared" si="11"/>
        <v>6</v>
      </c>
      <c r="W62" s="8">
        <f t="shared" si="12"/>
        <v>16</v>
      </c>
      <c r="X62" s="8">
        <f t="shared" si="13"/>
        <v>3</v>
      </c>
      <c r="Y62" s="8">
        <f t="shared" si="14"/>
        <v>6</v>
      </c>
      <c r="Z62" s="8">
        <f t="shared" si="15"/>
        <v>4</v>
      </c>
      <c r="AB62" s="25">
        <v>5</v>
      </c>
      <c r="AC62" s="25">
        <v>0</v>
      </c>
      <c r="AD62" s="25">
        <v>0</v>
      </c>
      <c r="AE62" s="25">
        <v>0</v>
      </c>
      <c r="AF62" s="25">
        <v>0</v>
      </c>
      <c r="AG62" s="25">
        <v>5</v>
      </c>
      <c r="AH62" s="25">
        <v>5</v>
      </c>
      <c r="AJ62" s="7">
        <v>1</v>
      </c>
      <c r="AK62" s="7">
        <v>1</v>
      </c>
      <c r="AL62" s="7">
        <v>1</v>
      </c>
      <c r="AM62" s="7">
        <v>2</v>
      </c>
      <c r="AN62" s="7">
        <v>0</v>
      </c>
      <c r="AO62" s="7">
        <v>1</v>
      </c>
      <c r="AP62" s="7">
        <v>1</v>
      </c>
    </row>
    <row r="63" spans="1:42" ht="17.25" thickBot="1">
      <c r="A63" s="1"/>
      <c r="B63" s="1"/>
      <c r="C63" s="1"/>
      <c r="D63" s="1"/>
      <c r="E63" s="1"/>
      <c r="F63" s="1"/>
      <c r="G63" s="1"/>
      <c r="H63" s="1"/>
      <c r="K63" s="21">
        <v>59</v>
      </c>
      <c r="L63" s="24" t="s">
        <v>22</v>
      </c>
      <c r="M63" s="24" t="s">
        <v>25</v>
      </c>
      <c r="N63" s="24" t="s">
        <v>25</v>
      </c>
      <c r="O63" s="24" t="s">
        <v>85</v>
      </c>
      <c r="P63" s="24" t="s">
        <v>28</v>
      </c>
      <c r="Q63" s="24" t="s">
        <v>28</v>
      </c>
      <c r="R63" s="24" t="s">
        <v>21</v>
      </c>
      <c r="T63" s="8">
        <f t="shared" si="9"/>
        <v>3</v>
      </c>
      <c r="U63" s="8">
        <f t="shared" si="10"/>
        <v>8</v>
      </c>
      <c r="V63" s="8">
        <f t="shared" si="11"/>
        <v>8</v>
      </c>
      <c r="W63" s="8">
        <f t="shared" si="12"/>
        <v>16</v>
      </c>
      <c r="X63" s="8">
        <f t="shared" si="13"/>
        <v>10</v>
      </c>
      <c r="Y63" s="8">
        <f t="shared" si="14"/>
        <v>10</v>
      </c>
      <c r="Z63" s="8">
        <f t="shared" si="15"/>
        <v>2</v>
      </c>
      <c r="AB63" s="25">
        <v>5</v>
      </c>
      <c r="AC63" s="25">
        <v>0</v>
      </c>
      <c r="AD63" s="25">
        <v>0</v>
      </c>
      <c r="AE63" s="25">
        <v>0</v>
      </c>
      <c r="AF63" s="25">
        <v>0</v>
      </c>
      <c r="AG63" s="25">
        <v>5</v>
      </c>
      <c r="AH63" s="25">
        <v>5</v>
      </c>
      <c r="AJ63" s="7">
        <v>1</v>
      </c>
      <c r="AK63" s="7">
        <v>1</v>
      </c>
      <c r="AL63" s="7">
        <v>1</v>
      </c>
      <c r="AM63" s="7">
        <v>0</v>
      </c>
      <c r="AN63" s="7">
        <v>1</v>
      </c>
      <c r="AO63" s="7">
        <v>1</v>
      </c>
      <c r="AP63" s="7">
        <v>1</v>
      </c>
    </row>
    <row r="64" spans="1:42" ht="17.25" thickBot="1">
      <c r="A64" s="167" t="s">
        <v>191</v>
      </c>
      <c r="B64" s="168" t="s">
        <v>52</v>
      </c>
      <c r="C64" s="1"/>
      <c r="D64" s="1"/>
      <c r="E64" s="1"/>
      <c r="F64" s="1"/>
      <c r="G64" s="1"/>
      <c r="H64" s="1"/>
      <c r="K64" s="22">
        <v>60</v>
      </c>
      <c r="L64" s="24" t="str">
        <f t="shared" ref="L64:L127" si="16">IF(T64&lt;&gt;"",_xlfn.XLOOKUP(T64,$K$4:$K$27,$A$4:$A$27),"")</f>
        <v/>
      </c>
      <c r="M64" s="24" t="str">
        <f t="shared" ref="M64:M127" si="17">IF(U64&lt;&gt;"",_xlfn.XLOOKUP(U64,$K$4:$K$27,$A$4:$A$27),"")</f>
        <v/>
      </c>
      <c r="N64" s="24" t="str">
        <f t="shared" ref="N64:N127" si="18">IF(V64&lt;&gt;"",_xlfn.XLOOKUP(V64,$K$4:$K$27,$A$4:$A$27),"")</f>
        <v/>
      </c>
      <c r="O64" s="24" t="str">
        <f t="shared" ref="O64:O127" si="19">IF(W64&lt;&gt;"",_xlfn.XLOOKUP(W64,$K$4:$K$27,$A$4:$A$27),"")</f>
        <v/>
      </c>
      <c r="P64" s="24" t="str">
        <f t="shared" ref="P64:P127" si="20">IF(X64&lt;&gt;"",_xlfn.XLOOKUP(X64,$K$4:$K$27,$A$4:$A$27),"")</f>
        <v/>
      </c>
      <c r="Q64" s="24" t="str">
        <f t="shared" ref="Q64:Q127" si="21">IF(Y64&lt;&gt;"",_xlfn.XLOOKUP(Y64,$K$4:$K$27,$A$4:$A$27),"")</f>
        <v/>
      </c>
      <c r="R64" s="24" t="str">
        <f t="shared" ref="R64:R127" si="22">IF(Z64&lt;&gt;"",_xlfn.XLOOKUP(Z64,$K$4:$K$27,$A$4:$A$27),"")</f>
        <v/>
      </c>
      <c r="T64" s="8" t="s">
        <v>23</v>
      </c>
      <c r="U64" s="8" t="s">
        <v>23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B64" s="25" t="s">
        <v>23</v>
      </c>
      <c r="AC64" s="25" t="s">
        <v>23</v>
      </c>
      <c r="AD64" s="25" t="s">
        <v>23</v>
      </c>
      <c r="AE64" s="25" t="s">
        <v>23</v>
      </c>
      <c r="AF64" s="25" t="s">
        <v>23</v>
      </c>
      <c r="AG64" s="25" t="s">
        <v>23</v>
      </c>
      <c r="AH64" s="7" t="s">
        <v>23</v>
      </c>
      <c r="AJ64" s="7" t="s">
        <v>23</v>
      </c>
      <c r="AK64" s="7" t="s">
        <v>23</v>
      </c>
      <c r="AL64" s="7" t="s">
        <v>23</v>
      </c>
      <c r="AM64" s="7" t="s">
        <v>23</v>
      </c>
      <c r="AN64" s="7" t="s">
        <v>23</v>
      </c>
      <c r="AO64" s="7" t="s">
        <v>23</v>
      </c>
      <c r="AP64" s="7" t="s">
        <v>23</v>
      </c>
    </row>
    <row r="65" spans="1:42">
      <c r="A65" s="169">
        <v>0</v>
      </c>
      <c r="B65" s="159">
        <v>1000</v>
      </c>
      <c r="C65" s="1"/>
      <c r="D65" s="1"/>
      <c r="E65" s="1"/>
      <c r="F65" s="1"/>
      <c r="G65" s="1"/>
      <c r="H65" s="1"/>
      <c r="K65" s="21">
        <v>61</v>
      </c>
      <c r="L65" s="24" t="str">
        <f t="shared" si="16"/>
        <v/>
      </c>
      <c r="M65" s="24" t="str">
        <f t="shared" si="17"/>
        <v/>
      </c>
      <c r="N65" s="24" t="str">
        <f t="shared" si="18"/>
        <v/>
      </c>
      <c r="O65" s="24" t="str">
        <f t="shared" si="19"/>
        <v/>
      </c>
      <c r="P65" s="24" t="str">
        <f t="shared" si="20"/>
        <v/>
      </c>
      <c r="Q65" s="24" t="str">
        <f t="shared" si="21"/>
        <v/>
      </c>
      <c r="R65" s="24" t="str">
        <f t="shared" si="22"/>
        <v/>
      </c>
      <c r="T65" s="8" t="s">
        <v>23</v>
      </c>
      <c r="U65" s="8" t="s">
        <v>23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B65" s="25" t="s">
        <v>23</v>
      </c>
      <c r="AC65" s="25" t="s">
        <v>23</v>
      </c>
      <c r="AD65" s="25" t="s">
        <v>23</v>
      </c>
      <c r="AE65" s="25" t="s">
        <v>23</v>
      </c>
      <c r="AF65" s="25" t="s">
        <v>23</v>
      </c>
      <c r="AG65" s="25" t="s">
        <v>23</v>
      </c>
      <c r="AH65" s="7" t="s">
        <v>23</v>
      </c>
      <c r="AJ65" s="7" t="s">
        <v>23</v>
      </c>
      <c r="AK65" s="7" t="s">
        <v>23</v>
      </c>
      <c r="AL65" s="7" t="s">
        <v>23</v>
      </c>
      <c r="AM65" s="7" t="s">
        <v>23</v>
      </c>
      <c r="AN65" s="7" t="s">
        <v>23</v>
      </c>
      <c r="AO65" s="7" t="s">
        <v>23</v>
      </c>
      <c r="AP65" s="7" t="s">
        <v>23</v>
      </c>
    </row>
    <row r="66" spans="1:42">
      <c r="A66" s="170">
        <v>1</v>
      </c>
      <c r="B66" s="160">
        <v>120</v>
      </c>
      <c r="C66" s="1"/>
      <c r="D66" s="1"/>
      <c r="E66" s="1"/>
      <c r="F66" s="1"/>
      <c r="G66" s="1"/>
      <c r="H66" s="1"/>
      <c r="K66" s="22">
        <v>62</v>
      </c>
      <c r="L66" s="24" t="str">
        <f t="shared" si="16"/>
        <v/>
      </c>
      <c r="M66" s="24" t="str">
        <f t="shared" si="17"/>
        <v/>
      </c>
      <c r="N66" s="24" t="str">
        <f t="shared" si="18"/>
        <v/>
      </c>
      <c r="O66" s="24" t="str">
        <f t="shared" si="19"/>
        <v/>
      </c>
      <c r="P66" s="24" t="str">
        <f t="shared" si="20"/>
        <v/>
      </c>
      <c r="Q66" s="24" t="str">
        <f t="shared" si="21"/>
        <v/>
      </c>
      <c r="R66" s="24" t="str">
        <f t="shared" si="22"/>
        <v/>
      </c>
      <c r="T66" s="8" t="s">
        <v>23</v>
      </c>
      <c r="U66" s="8" t="s">
        <v>23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B66" s="25" t="s">
        <v>23</v>
      </c>
      <c r="AC66" s="25" t="s">
        <v>23</v>
      </c>
      <c r="AD66" s="25" t="s">
        <v>23</v>
      </c>
      <c r="AE66" s="25" t="s">
        <v>23</v>
      </c>
      <c r="AF66" s="25" t="s">
        <v>23</v>
      </c>
      <c r="AG66" s="25" t="s">
        <v>23</v>
      </c>
      <c r="AH66" s="7" t="s">
        <v>23</v>
      </c>
      <c r="AJ66" s="7" t="s">
        <v>23</v>
      </c>
      <c r="AK66" s="7" t="s">
        <v>23</v>
      </c>
      <c r="AL66" s="7" t="s">
        <v>23</v>
      </c>
      <c r="AM66" s="7" t="s">
        <v>23</v>
      </c>
      <c r="AN66" s="7" t="s">
        <v>23</v>
      </c>
      <c r="AO66" s="7" t="s">
        <v>23</v>
      </c>
      <c r="AP66" s="7" t="s">
        <v>23</v>
      </c>
    </row>
    <row r="67" spans="1:42">
      <c r="A67" s="170">
        <v>2</v>
      </c>
      <c r="B67" s="160">
        <v>20</v>
      </c>
      <c r="C67" s="1"/>
      <c r="D67" s="1"/>
      <c r="E67" s="1"/>
      <c r="F67" s="1"/>
      <c r="G67" s="1"/>
      <c r="H67" s="1"/>
      <c r="K67" s="21">
        <v>63</v>
      </c>
      <c r="L67" s="24" t="str">
        <f t="shared" si="16"/>
        <v/>
      </c>
      <c r="M67" s="24" t="str">
        <f t="shared" si="17"/>
        <v/>
      </c>
      <c r="N67" s="24" t="str">
        <f t="shared" si="18"/>
        <v/>
      </c>
      <c r="O67" s="24" t="str">
        <f t="shared" si="19"/>
        <v/>
      </c>
      <c r="P67" s="24" t="str">
        <f t="shared" si="20"/>
        <v/>
      </c>
      <c r="Q67" s="24" t="str">
        <f t="shared" si="21"/>
        <v/>
      </c>
      <c r="R67" s="24" t="str">
        <f t="shared" si="22"/>
        <v/>
      </c>
      <c r="T67" s="8" t="s">
        <v>23</v>
      </c>
      <c r="U67" s="8" t="s">
        <v>23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B67" s="25" t="s">
        <v>23</v>
      </c>
      <c r="AC67" s="25" t="s">
        <v>23</v>
      </c>
      <c r="AD67" s="25" t="s">
        <v>23</v>
      </c>
      <c r="AE67" s="25" t="s">
        <v>23</v>
      </c>
      <c r="AF67" s="25" t="s">
        <v>23</v>
      </c>
      <c r="AG67" s="25" t="s">
        <v>23</v>
      </c>
      <c r="AH67" s="7" t="s">
        <v>23</v>
      </c>
      <c r="AJ67" s="7" t="s">
        <v>23</v>
      </c>
      <c r="AK67" s="7" t="s">
        <v>23</v>
      </c>
      <c r="AL67" s="7" t="s">
        <v>23</v>
      </c>
      <c r="AM67" s="7" t="s">
        <v>23</v>
      </c>
      <c r="AN67" s="7" t="s">
        <v>23</v>
      </c>
      <c r="AO67" s="7" t="s">
        <v>23</v>
      </c>
      <c r="AP67" s="7" t="s">
        <v>23</v>
      </c>
    </row>
    <row r="68" spans="1:42">
      <c r="A68" s="170">
        <v>3</v>
      </c>
      <c r="B68" s="160">
        <v>10</v>
      </c>
      <c r="C68" s="1"/>
      <c r="D68" s="1"/>
      <c r="E68" s="1"/>
      <c r="F68" s="1"/>
      <c r="G68" s="1"/>
      <c r="H68" s="1"/>
      <c r="K68" s="22">
        <v>64</v>
      </c>
      <c r="L68" s="24" t="str">
        <f t="shared" si="16"/>
        <v/>
      </c>
      <c r="M68" s="24" t="str">
        <f t="shared" si="17"/>
        <v/>
      </c>
      <c r="N68" s="24" t="str">
        <f t="shared" si="18"/>
        <v/>
      </c>
      <c r="O68" s="24" t="str">
        <f t="shared" si="19"/>
        <v/>
      </c>
      <c r="P68" s="24" t="str">
        <f t="shared" si="20"/>
        <v/>
      </c>
      <c r="Q68" s="24" t="str">
        <f t="shared" si="21"/>
        <v/>
      </c>
      <c r="R68" s="24" t="str">
        <f t="shared" si="22"/>
        <v/>
      </c>
      <c r="T68" s="8" t="s">
        <v>23</v>
      </c>
      <c r="U68" s="8" t="s">
        <v>23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B68" s="25" t="s">
        <v>23</v>
      </c>
      <c r="AC68" s="25" t="s">
        <v>23</v>
      </c>
      <c r="AD68" s="25" t="s">
        <v>23</v>
      </c>
      <c r="AE68" s="25" t="s">
        <v>23</v>
      </c>
      <c r="AF68" s="25" t="s">
        <v>23</v>
      </c>
      <c r="AG68" s="25" t="s">
        <v>23</v>
      </c>
      <c r="AH68" s="7" t="s">
        <v>23</v>
      </c>
      <c r="AJ68" s="7" t="s">
        <v>23</v>
      </c>
      <c r="AK68" s="7" t="s">
        <v>23</v>
      </c>
      <c r="AL68" s="7" t="s">
        <v>23</v>
      </c>
      <c r="AM68" s="7" t="s">
        <v>23</v>
      </c>
      <c r="AN68" s="7" t="s">
        <v>23</v>
      </c>
      <c r="AO68" s="7" t="s">
        <v>23</v>
      </c>
      <c r="AP68" s="7" t="s">
        <v>23</v>
      </c>
    </row>
    <row r="69" spans="1:42">
      <c r="A69" s="170">
        <v>4</v>
      </c>
      <c r="B69" s="160">
        <v>1</v>
      </c>
      <c r="C69" s="1"/>
      <c r="D69" s="1"/>
      <c r="E69" s="1"/>
      <c r="F69" s="1"/>
      <c r="G69" s="1"/>
      <c r="H69" s="1"/>
      <c r="K69" s="21">
        <v>65</v>
      </c>
      <c r="L69" s="24" t="str">
        <f t="shared" si="16"/>
        <v/>
      </c>
      <c r="M69" s="24" t="str">
        <f t="shared" si="17"/>
        <v/>
      </c>
      <c r="N69" s="24" t="str">
        <f t="shared" si="18"/>
        <v/>
      </c>
      <c r="O69" s="24" t="str">
        <f t="shared" si="19"/>
        <v/>
      </c>
      <c r="P69" s="24" t="str">
        <f t="shared" si="20"/>
        <v/>
      </c>
      <c r="Q69" s="24" t="str">
        <f t="shared" si="21"/>
        <v/>
      </c>
      <c r="R69" s="24" t="str">
        <f t="shared" si="22"/>
        <v/>
      </c>
      <c r="T69" s="8" t="s">
        <v>23</v>
      </c>
      <c r="U69" s="8" t="s">
        <v>23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B69" s="25" t="s">
        <v>23</v>
      </c>
      <c r="AC69" s="25" t="s">
        <v>23</v>
      </c>
      <c r="AD69" s="25" t="s">
        <v>23</v>
      </c>
      <c r="AE69" s="25" t="s">
        <v>23</v>
      </c>
      <c r="AF69" s="25" t="s">
        <v>23</v>
      </c>
      <c r="AG69" s="25" t="s">
        <v>23</v>
      </c>
      <c r="AH69" s="7" t="s">
        <v>23</v>
      </c>
      <c r="AJ69" s="7" t="s">
        <v>23</v>
      </c>
      <c r="AK69" s="7" t="s">
        <v>23</v>
      </c>
      <c r="AL69" s="7" t="s">
        <v>23</v>
      </c>
      <c r="AM69" s="7" t="s">
        <v>23</v>
      </c>
      <c r="AN69" s="7" t="s">
        <v>23</v>
      </c>
      <c r="AO69" s="7" t="s">
        <v>23</v>
      </c>
      <c r="AP69" s="7" t="s">
        <v>23</v>
      </c>
    </row>
    <row r="70" spans="1:42">
      <c r="A70" s="171">
        <v>5</v>
      </c>
      <c r="B70" s="173">
        <v>0</v>
      </c>
      <c r="C70" s="1"/>
      <c r="D70" s="1"/>
      <c r="E70" s="1"/>
      <c r="F70" s="1"/>
      <c r="G70" s="1"/>
      <c r="H70" s="1"/>
      <c r="K70" s="22">
        <v>66</v>
      </c>
      <c r="L70" s="24" t="str">
        <f t="shared" si="16"/>
        <v/>
      </c>
      <c r="M70" s="24" t="str">
        <f t="shared" si="17"/>
        <v/>
      </c>
      <c r="N70" s="24" t="str">
        <f t="shared" si="18"/>
        <v/>
      </c>
      <c r="O70" s="24" t="str">
        <f t="shared" si="19"/>
        <v/>
      </c>
      <c r="P70" s="24" t="str">
        <f t="shared" si="20"/>
        <v/>
      </c>
      <c r="Q70" s="24" t="str">
        <f t="shared" si="21"/>
        <v/>
      </c>
      <c r="R70" s="24" t="str">
        <f t="shared" si="22"/>
        <v/>
      </c>
      <c r="T70" s="8" t="s">
        <v>23</v>
      </c>
      <c r="U70" s="8" t="s">
        <v>23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B70" s="25" t="s">
        <v>23</v>
      </c>
      <c r="AC70" s="25" t="s">
        <v>23</v>
      </c>
      <c r="AD70" s="25" t="s">
        <v>23</v>
      </c>
      <c r="AE70" s="25" t="s">
        <v>23</v>
      </c>
      <c r="AF70" s="25" t="s">
        <v>23</v>
      </c>
      <c r="AG70" s="25" t="s">
        <v>23</v>
      </c>
      <c r="AH70" s="7" t="s">
        <v>23</v>
      </c>
      <c r="AJ70" s="7" t="s">
        <v>23</v>
      </c>
      <c r="AK70" s="7" t="s">
        <v>23</v>
      </c>
      <c r="AL70" s="7" t="s">
        <v>23</v>
      </c>
      <c r="AM70" s="7" t="s">
        <v>23</v>
      </c>
      <c r="AN70" s="7" t="s">
        <v>23</v>
      </c>
      <c r="AO70" s="7" t="s">
        <v>23</v>
      </c>
      <c r="AP70" s="7" t="s">
        <v>23</v>
      </c>
    </row>
    <row r="71" spans="1:42">
      <c r="A71" s="171">
        <v>6</v>
      </c>
      <c r="B71" s="173">
        <v>0</v>
      </c>
      <c r="C71" s="1"/>
      <c r="D71" s="1"/>
      <c r="E71" s="1"/>
      <c r="F71" s="1"/>
      <c r="G71" s="1"/>
      <c r="H71" s="1"/>
      <c r="K71" s="21">
        <v>67</v>
      </c>
      <c r="L71" s="24" t="str">
        <f t="shared" si="16"/>
        <v/>
      </c>
      <c r="M71" s="24" t="str">
        <f t="shared" si="17"/>
        <v/>
      </c>
      <c r="N71" s="24" t="str">
        <f t="shared" si="18"/>
        <v/>
      </c>
      <c r="O71" s="24" t="str">
        <f t="shared" si="19"/>
        <v/>
      </c>
      <c r="P71" s="24" t="str">
        <f t="shared" si="20"/>
        <v/>
      </c>
      <c r="Q71" s="24" t="str">
        <f t="shared" si="21"/>
        <v/>
      </c>
      <c r="R71" s="24" t="str">
        <f t="shared" si="22"/>
        <v/>
      </c>
      <c r="T71" s="8" t="s">
        <v>23</v>
      </c>
      <c r="U71" s="8" t="s">
        <v>23</v>
      </c>
      <c r="V71" s="8" t="s">
        <v>23</v>
      </c>
      <c r="W71" s="8" t="s">
        <v>23</v>
      </c>
      <c r="X71" s="8" t="s">
        <v>23</v>
      </c>
      <c r="Y71" s="8" t="s">
        <v>23</v>
      </c>
      <c r="Z71" s="8" t="s">
        <v>23</v>
      </c>
      <c r="AB71" s="25" t="s">
        <v>23</v>
      </c>
      <c r="AC71" s="25" t="s">
        <v>23</v>
      </c>
      <c r="AD71" s="25" t="s">
        <v>23</v>
      </c>
      <c r="AE71" s="25" t="s">
        <v>23</v>
      </c>
      <c r="AF71" s="25" t="s">
        <v>23</v>
      </c>
      <c r="AG71" s="25" t="s">
        <v>23</v>
      </c>
      <c r="AH71" s="7" t="s">
        <v>23</v>
      </c>
      <c r="AJ71" s="7" t="s">
        <v>23</v>
      </c>
      <c r="AK71" s="7" t="s">
        <v>23</v>
      </c>
      <c r="AL71" s="7" t="s">
        <v>23</v>
      </c>
      <c r="AM71" s="7" t="s">
        <v>23</v>
      </c>
      <c r="AN71" s="7" t="s">
        <v>23</v>
      </c>
      <c r="AO71" s="7" t="s">
        <v>23</v>
      </c>
      <c r="AP71" s="7" t="s">
        <v>23</v>
      </c>
    </row>
    <row r="72" spans="1:42" ht="17.25" thickBot="1">
      <c r="A72" s="172">
        <v>7</v>
      </c>
      <c r="B72" s="174">
        <v>0</v>
      </c>
      <c r="C72" s="1"/>
      <c r="D72" s="1"/>
      <c r="E72" s="1"/>
      <c r="F72" s="1"/>
      <c r="G72" s="1"/>
      <c r="H72" s="1"/>
      <c r="K72" s="22">
        <v>68</v>
      </c>
      <c r="L72" s="24" t="str">
        <f t="shared" si="16"/>
        <v/>
      </c>
      <c r="M72" s="24" t="str">
        <f t="shared" si="17"/>
        <v/>
      </c>
      <c r="N72" s="24" t="str">
        <f t="shared" si="18"/>
        <v/>
      </c>
      <c r="O72" s="24" t="str">
        <f t="shared" si="19"/>
        <v/>
      </c>
      <c r="P72" s="24" t="str">
        <f t="shared" si="20"/>
        <v/>
      </c>
      <c r="Q72" s="24" t="str">
        <f t="shared" si="21"/>
        <v/>
      </c>
      <c r="R72" s="24" t="str">
        <f t="shared" si="22"/>
        <v/>
      </c>
      <c r="T72" s="8" t="s">
        <v>23</v>
      </c>
      <c r="U72" s="8" t="s">
        <v>23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B72" s="25" t="s">
        <v>23</v>
      </c>
      <c r="AC72" s="25" t="s">
        <v>23</v>
      </c>
      <c r="AD72" s="25" t="s">
        <v>23</v>
      </c>
      <c r="AE72" s="25" t="s">
        <v>23</v>
      </c>
      <c r="AF72" s="25" t="s">
        <v>23</v>
      </c>
      <c r="AG72" s="25" t="s">
        <v>23</v>
      </c>
      <c r="AH72" s="7" t="s">
        <v>23</v>
      </c>
      <c r="AJ72" s="7" t="s">
        <v>23</v>
      </c>
      <c r="AK72" s="7" t="s">
        <v>23</v>
      </c>
      <c r="AL72" s="7" t="s">
        <v>23</v>
      </c>
      <c r="AM72" s="7" t="s">
        <v>23</v>
      </c>
      <c r="AN72" s="7" t="s">
        <v>23</v>
      </c>
      <c r="AO72" s="7" t="s">
        <v>23</v>
      </c>
      <c r="AP72" s="7" t="s">
        <v>23</v>
      </c>
    </row>
    <row r="73" spans="1:42">
      <c r="A73" s="1"/>
      <c r="B73" s="1"/>
      <c r="C73" s="1"/>
      <c r="D73" s="1"/>
      <c r="E73" s="1"/>
      <c r="F73" s="1"/>
      <c r="G73" s="1"/>
      <c r="H73" s="1"/>
      <c r="K73" s="21">
        <v>69</v>
      </c>
      <c r="L73" s="24" t="str">
        <f t="shared" si="16"/>
        <v/>
      </c>
      <c r="M73" s="24" t="str">
        <f t="shared" si="17"/>
        <v/>
      </c>
      <c r="N73" s="24" t="str">
        <f t="shared" si="18"/>
        <v/>
      </c>
      <c r="O73" s="24" t="str">
        <f t="shared" si="19"/>
        <v/>
      </c>
      <c r="P73" s="24" t="str">
        <f t="shared" si="20"/>
        <v/>
      </c>
      <c r="Q73" s="24" t="str">
        <f t="shared" si="21"/>
        <v/>
      </c>
      <c r="R73" s="24" t="str">
        <f t="shared" si="22"/>
        <v/>
      </c>
      <c r="T73" s="8" t="s">
        <v>23</v>
      </c>
      <c r="U73" s="8" t="s">
        <v>23</v>
      </c>
      <c r="V73" s="8" t="s">
        <v>23</v>
      </c>
      <c r="W73" s="8" t="s">
        <v>23</v>
      </c>
      <c r="X73" s="8" t="s">
        <v>23</v>
      </c>
      <c r="Y73" s="8" t="s">
        <v>23</v>
      </c>
      <c r="Z73" s="8" t="s">
        <v>23</v>
      </c>
      <c r="AB73" s="25" t="s">
        <v>23</v>
      </c>
      <c r="AC73" s="25" t="s">
        <v>23</v>
      </c>
      <c r="AD73" s="25" t="s">
        <v>23</v>
      </c>
      <c r="AE73" s="25" t="s">
        <v>23</v>
      </c>
      <c r="AF73" s="25" t="s">
        <v>23</v>
      </c>
      <c r="AG73" s="25" t="s">
        <v>23</v>
      </c>
      <c r="AH73" s="7" t="s">
        <v>23</v>
      </c>
      <c r="AJ73" s="7" t="s">
        <v>23</v>
      </c>
      <c r="AK73" s="7" t="s">
        <v>23</v>
      </c>
      <c r="AL73" s="7" t="s">
        <v>23</v>
      </c>
      <c r="AM73" s="7" t="s">
        <v>23</v>
      </c>
      <c r="AN73" s="7" t="s">
        <v>23</v>
      </c>
      <c r="AO73" s="7" t="s">
        <v>23</v>
      </c>
      <c r="AP73" s="7" t="s">
        <v>23</v>
      </c>
    </row>
    <row r="74" spans="1:42">
      <c r="A74" s="1"/>
      <c r="B74" s="1"/>
      <c r="C74" s="1"/>
      <c r="D74" s="1"/>
      <c r="E74" s="1"/>
      <c r="F74" s="1"/>
      <c r="G74" s="1"/>
      <c r="H74" s="1"/>
      <c r="K74" s="22">
        <v>70</v>
      </c>
      <c r="L74" s="24" t="str">
        <f t="shared" si="16"/>
        <v/>
      </c>
      <c r="M74" s="24" t="str">
        <f t="shared" si="17"/>
        <v/>
      </c>
      <c r="N74" s="24" t="str">
        <f t="shared" si="18"/>
        <v/>
      </c>
      <c r="O74" s="24" t="str">
        <f t="shared" si="19"/>
        <v/>
      </c>
      <c r="P74" s="24" t="str">
        <f t="shared" si="20"/>
        <v/>
      </c>
      <c r="Q74" s="24" t="str">
        <f t="shared" si="21"/>
        <v/>
      </c>
      <c r="R74" s="24" t="str">
        <f t="shared" si="22"/>
        <v/>
      </c>
      <c r="T74" s="8" t="s">
        <v>23</v>
      </c>
      <c r="U74" s="8" t="s">
        <v>23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B74" s="25" t="s">
        <v>23</v>
      </c>
      <c r="AC74" s="25" t="s">
        <v>23</v>
      </c>
      <c r="AD74" s="25" t="s">
        <v>23</v>
      </c>
      <c r="AE74" s="25" t="s">
        <v>23</v>
      </c>
      <c r="AF74" s="25" t="s">
        <v>23</v>
      </c>
      <c r="AG74" s="25" t="s">
        <v>23</v>
      </c>
      <c r="AH74" s="7" t="s">
        <v>23</v>
      </c>
      <c r="AJ74" s="7" t="s">
        <v>23</v>
      </c>
      <c r="AK74" s="7" t="s">
        <v>23</v>
      </c>
      <c r="AL74" s="7" t="s">
        <v>23</v>
      </c>
      <c r="AM74" s="7" t="s">
        <v>23</v>
      </c>
      <c r="AN74" s="7" t="s">
        <v>23</v>
      </c>
      <c r="AO74" s="7" t="s">
        <v>23</v>
      </c>
      <c r="AP74" s="7" t="s">
        <v>23</v>
      </c>
    </row>
    <row r="75" spans="1:42">
      <c r="A75" s="1"/>
      <c r="B75" s="1"/>
      <c r="C75" s="1"/>
      <c r="D75" s="1"/>
      <c r="E75" s="1"/>
      <c r="F75" s="1"/>
      <c r="G75" s="1"/>
      <c r="H75" s="1"/>
      <c r="K75" s="21">
        <v>71</v>
      </c>
      <c r="L75" s="24" t="str">
        <f t="shared" si="16"/>
        <v/>
      </c>
      <c r="M75" s="24" t="str">
        <f t="shared" si="17"/>
        <v/>
      </c>
      <c r="N75" s="24" t="str">
        <f t="shared" si="18"/>
        <v/>
      </c>
      <c r="O75" s="24" t="str">
        <f t="shared" si="19"/>
        <v/>
      </c>
      <c r="P75" s="24" t="str">
        <f t="shared" si="20"/>
        <v/>
      </c>
      <c r="Q75" s="24" t="str">
        <f t="shared" si="21"/>
        <v/>
      </c>
      <c r="R75" s="24" t="str">
        <f t="shared" si="22"/>
        <v/>
      </c>
      <c r="T75" s="8" t="s">
        <v>23</v>
      </c>
      <c r="U75" s="8" t="s">
        <v>23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B75" s="25" t="s">
        <v>23</v>
      </c>
      <c r="AC75" s="25" t="s">
        <v>23</v>
      </c>
      <c r="AD75" s="25" t="s">
        <v>23</v>
      </c>
      <c r="AE75" s="25" t="s">
        <v>23</v>
      </c>
      <c r="AF75" s="25" t="s">
        <v>23</v>
      </c>
      <c r="AG75" s="25" t="s">
        <v>23</v>
      </c>
      <c r="AH75" s="7" t="s">
        <v>23</v>
      </c>
      <c r="AJ75" s="7" t="s">
        <v>23</v>
      </c>
      <c r="AK75" s="7" t="s">
        <v>23</v>
      </c>
      <c r="AL75" s="7" t="s">
        <v>23</v>
      </c>
      <c r="AM75" s="7" t="s">
        <v>23</v>
      </c>
      <c r="AN75" s="7" t="s">
        <v>23</v>
      </c>
      <c r="AO75" s="7" t="s">
        <v>23</v>
      </c>
      <c r="AP75" s="7" t="s">
        <v>23</v>
      </c>
    </row>
    <row r="76" spans="1:42">
      <c r="A76" s="1"/>
      <c r="B76" s="1"/>
      <c r="C76" s="1"/>
      <c r="D76" s="1"/>
      <c r="E76" s="1"/>
      <c r="F76" s="1"/>
      <c r="G76" s="1"/>
      <c r="H76" s="1"/>
      <c r="K76" s="22">
        <v>72</v>
      </c>
      <c r="L76" s="24" t="str">
        <f t="shared" si="16"/>
        <v/>
      </c>
      <c r="M76" s="24" t="str">
        <f t="shared" si="17"/>
        <v/>
      </c>
      <c r="N76" s="24" t="str">
        <f t="shared" si="18"/>
        <v/>
      </c>
      <c r="O76" s="24" t="str">
        <f t="shared" si="19"/>
        <v/>
      </c>
      <c r="P76" s="24" t="str">
        <f t="shared" si="20"/>
        <v/>
      </c>
      <c r="Q76" s="24" t="str">
        <f t="shared" si="21"/>
        <v/>
      </c>
      <c r="R76" s="24" t="str">
        <f t="shared" si="22"/>
        <v/>
      </c>
      <c r="T76" s="8" t="s">
        <v>23</v>
      </c>
      <c r="U76" s="8" t="s">
        <v>23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B76" s="25" t="s">
        <v>23</v>
      </c>
      <c r="AC76" s="25" t="s">
        <v>23</v>
      </c>
      <c r="AD76" s="25" t="s">
        <v>23</v>
      </c>
      <c r="AE76" s="25" t="s">
        <v>23</v>
      </c>
      <c r="AF76" s="25" t="s">
        <v>23</v>
      </c>
      <c r="AG76" s="25" t="s">
        <v>23</v>
      </c>
      <c r="AH76" s="7" t="s">
        <v>23</v>
      </c>
      <c r="AJ76" s="7" t="s">
        <v>23</v>
      </c>
      <c r="AK76" s="7" t="s">
        <v>23</v>
      </c>
      <c r="AL76" s="7" t="s">
        <v>23</v>
      </c>
      <c r="AM76" s="7" t="s">
        <v>23</v>
      </c>
      <c r="AN76" s="7" t="s">
        <v>23</v>
      </c>
      <c r="AO76" s="7" t="s">
        <v>23</v>
      </c>
      <c r="AP76" s="7" t="s">
        <v>23</v>
      </c>
    </row>
    <row r="77" spans="1:42">
      <c r="A77" s="1"/>
      <c r="B77" s="1"/>
      <c r="C77" s="1"/>
      <c r="D77" s="1"/>
      <c r="E77" s="1"/>
      <c r="F77" s="1"/>
      <c r="G77" s="1"/>
      <c r="H77" s="1"/>
      <c r="K77" s="21">
        <v>73</v>
      </c>
      <c r="L77" s="24" t="str">
        <f t="shared" si="16"/>
        <v/>
      </c>
      <c r="M77" s="24" t="str">
        <f t="shared" si="17"/>
        <v/>
      </c>
      <c r="N77" s="24" t="str">
        <f t="shared" si="18"/>
        <v/>
      </c>
      <c r="O77" s="24" t="str">
        <f t="shared" si="19"/>
        <v/>
      </c>
      <c r="P77" s="24" t="str">
        <f t="shared" si="20"/>
        <v/>
      </c>
      <c r="Q77" s="24" t="str">
        <f t="shared" si="21"/>
        <v/>
      </c>
      <c r="R77" s="24" t="str">
        <f t="shared" si="22"/>
        <v/>
      </c>
      <c r="T77" s="8" t="s">
        <v>23</v>
      </c>
      <c r="U77" s="8" t="s">
        <v>23</v>
      </c>
      <c r="V77" s="8" t="s">
        <v>23</v>
      </c>
      <c r="W77" s="8" t="s">
        <v>23</v>
      </c>
      <c r="X77" s="8" t="s">
        <v>23</v>
      </c>
      <c r="Y77" s="8" t="s">
        <v>23</v>
      </c>
      <c r="Z77" s="8" t="s">
        <v>23</v>
      </c>
      <c r="AB77" s="25" t="s">
        <v>23</v>
      </c>
      <c r="AC77" s="25" t="s">
        <v>23</v>
      </c>
      <c r="AD77" s="25" t="s">
        <v>23</v>
      </c>
      <c r="AE77" s="25" t="s">
        <v>23</v>
      </c>
      <c r="AF77" s="25" t="s">
        <v>23</v>
      </c>
      <c r="AG77" s="25" t="s">
        <v>23</v>
      </c>
      <c r="AH77" s="7" t="s">
        <v>23</v>
      </c>
      <c r="AJ77" s="7" t="s">
        <v>23</v>
      </c>
      <c r="AK77" s="7" t="s">
        <v>23</v>
      </c>
      <c r="AL77" s="7" t="s">
        <v>23</v>
      </c>
      <c r="AM77" s="7" t="s">
        <v>23</v>
      </c>
      <c r="AN77" s="7" t="s">
        <v>23</v>
      </c>
      <c r="AO77" s="7" t="s">
        <v>23</v>
      </c>
      <c r="AP77" s="7" t="s">
        <v>23</v>
      </c>
    </row>
    <row r="78" spans="1:42">
      <c r="K78" s="22">
        <v>74</v>
      </c>
      <c r="L78" s="24" t="str">
        <f t="shared" si="16"/>
        <v/>
      </c>
      <c r="M78" s="24" t="str">
        <f t="shared" si="17"/>
        <v/>
      </c>
      <c r="N78" s="24" t="str">
        <f t="shared" si="18"/>
        <v/>
      </c>
      <c r="O78" s="24" t="str">
        <f t="shared" si="19"/>
        <v/>
      </c>
      <c r="P78" s="24" t="str">
        <f t="shared" si="20"/>
        <v/>
      </c>
      <c r="Q78" s="24" t="str">
        <f t="shared" si="21"/>
        <v/>
      </c>
      <c r="R78" s="24" t="str">
        <f t="shared" si="22"/>
        <v/>
      </c>
      <c r="T78" s="8" t="s">
        <v>23</v>
      </c>
      <c r="U78" s="8" t="s">
        <v>23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B78" s="25" t="s">
        <v>23</v>
      </c>
      <c r="AC78" s="25" t="s">
        <v>23</v>
      </c>
      <c r="AD78" s="25" t="s">
        <v>23</v>
      </c>
      <c r="AE78" s="25" t="s">
        <v>23</v>
      </c>
      <c r="AF78" s="25" t="s">
        <v>23</v>
      </c>
      <c r="AG78" s="25" t="s">
        <v>23</v>
      </c>
      <c r="AH78" s="7" t="s">
        <v>23</v>
      </c>
      <c r="AJ78" s="7" t="s">
        <v>23</v>
      </c>
      <c r="AK78" s="7" t="s">
        <v>23</v>
      </c>
      <c r="AL78" s="7" t="s">
        <v>23</v>
      </c>
      <c r="AM78" s="7" t="s">
        <v>23</v>
      </c>
      <c r="AN78" s="7" t="s">
        <v>23</v>
      </c>
      <c r="AO78" s="7" t="s">
        <v>23</v>
      </c>
      <c r="AP78" s="7" t="s">
        <v>23</v>
      </c>
    </row>
    <row r="79" spans="1:42">
      <c r="K79" s="21">
        <v>75</v>
      </c>
      <c r="L79" s="24" t="str">
        <f t="shared" si="16"/>
        <v/>
      </c>
      <c r="M79" s="24" t="str">
        <f t="shared" si="17"/>
        <v/>
      </c>
      <c r="N79" s="24" t="str">
        <f t="shared" si="18"/>
        <v/>
      </c>
      <c r="O79" s="24" t="str">
        <f t="shared" si="19"/>
        <v/>
      </c>
      <c r="P79" s="24" t="str">
        <f t="shared" si="20"/>
        <v/>
      </c>
      <c r="Q79" s="24" t="str">
        <f t="shared" si="21"/>
        <v/>
      </c>
      <c r="R79" s="24" t="str">
        <f t="shared" si="22"/>
        <v/>
      </c>
      <c r="T79" s="8" t="s">
        <v>23</v>
      </c>
      <c r="U79" s="8" t="s">
        <v>23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B79" s="25" t="s">
        <v>23</v>
      </c>
      <c r="AC79" s="25" t="s">
        <v>23</v>
      </c>
      <c r="AD79" s="25" t="s">
        <v>23</v>
      </c>
      <c r="AE79" s="25" t="s">
        <v>23</v>
      </c>
      <c r="AF79" s="25" t="s">
        <v>23</v>
      </c>
      <c r="AG79" s="25" t="s">
        <v>23</v>
      </c>
      <c r="AH79" s="7" t="s">
        <v>23</v>
      </c>
      <c r="AJ79" s="7" t="s">
        <v>23</v>
      </c>
      <c r="AK79" s="7" t="s">
        <v>23</v>
      </c>
      <c r="AL79" s="7" t="s">
        <v>23</v>
      </c>
      <c r="AM79" s="7" t="s">
        <v>23</v>
      </c>
      <c r="AN79" s="7" t="s">
        <v>23</v>
      </c>
      <c r="AO79" s="7" t="s">
        <v>23</v>
      </c>
      <c r="AP79" s="7" t="s">
        <v>23</v>
      </c>
    </row>
    <row r="80" spans="1:42">
      <c r="K80" s="22">
        <v>76</v>
      </c>
      <c r="L80" s="24" t="str">
        <f t="shared" si="16"/>
        <v/>
      </c>
      <c r="M80" s="24" t="str">
        <f t="shared" si="17"/>
        <v/>
      </c>
      <c r="N80" s="24" t="str">
        <f t="shared" si="18"/>
        <v/>
      </c>
      <c r="O80" s="24" t="str">
        <f t="shared" si="19"/>
        <v/>
      </c>
      <c r="P80" s="24" t="str">
        <f t="shared" si="20"/>
        <v/>
      </c>
      <c r="Q80" s="24" t="str">
        <f t="shared" si="21"/>
        <v/>
      </c>
      <c r="R80" s="24" t="str">
        <f t="shared" si="22"/>
        <v/>
      </c>
      <c r="T80" s="8" t="s">
        <v>23</v>
      </c>
      <c r="U80" s="8" t="s">
        <v>23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B80" s="25" t="s">
        <v>23</v>
      </c>
      <c r="AC80" s="25" t="s">
        <v>23</v>
      </c>
      <c r="AD80" s="25" t="s">
        <v>23</v>
      </c>
      <c r="AE80" s="25" t="s">
        <v>23</v>
      </c>
      <c r="AF80" s="25" t="s">
        <v>23</v>
      </c>
      <c r="AG80" s="25" t="s">
        <v>23</v>
      </c>
      <c r="AH80" s="7" t="s">
        <v>23</v>
      </c>
      <c r="AJ80" s="7" t="s">
        <v>23</v>
      </c>
      <c r="AK80" s="7" t="s">
        <v>23</v>
      </c>
      <c r="AL80" s="7" t="s">
        <v>23</v>
      </c>
      <c r="AM80" s="7" t="s">
        <v>23</v>
      </c>
      <c r="AN80" s="7" t="s">
        <v>23</v>
      </c>
      <c r="AO80" s="7" t="s">
        <v>23</v>
      </c>
      <c r="AP80" s="7" t="s">
        <v>23</v>
      </c>
    </row>
    <row r="81" spans="11:42">
      <c r="K81" s="21">
        <v>77</v>
      </c>
      <c r="L81" s="24" t="str">
        <f t="shared" si="16"/>
        <v/>
      </c>
      <c r="M81" s="24" t="str">
        <f t="shared" si="17"/>
        <v/>
      </c>
      <c r="N81" s="24" t="str">
        <f t="shared" si="18"/>
        <v/>
      </c>
      <c r="O81" s="24" t="str">
        <f t="shared" si="19"/>
        <v/>
      </c>
      <c r="P81" s="24" t="str">
        <f t="shared" si="20"/>
        <v/>
      </c>
      <c r="Q81" s="24" t="str">
        <f t="shared" si="21"/>
        <v/>
      </c>
      <c r="R81" s="24" t="str">
        <f t="shared" si="22"/>
        <v/>
      </c>
      <c r="T81" s="8" t="s">
        <v>23</v>
      </c>
      <c r="U81" s="8" t="s">
        <v>23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B81" s="25" t="s">
        <v>23</v>
      </c>
      <c r="AC81" s="25" t="s">
        <v>23</v>
      </c>
      <c r="AD81" s="25" t="s">
        <v>23</v>
      </c>
      <c r="AE81" s="25" t="s">
        <v>23</v>
      </c>
      <c r="AF81" s="25" t="s">
        <v>23</v>
      </c>
      <c r="AG81" s="25" t="s">
        <v>23</v>
      </c>
      <c r="AH81" s="7" t="s">
        <v>23</v>
      </c>
      <c r="AJ81" s="7" t="s">
        <v>23</v>
      </c>
      <c r="AK81" s="7" t="s">
        <v>23</v>
      </c>
      <c r="AL81" s="7" t="s">
        <v>23</v>
      </c>
      <c r="AM81" s="7" t="s">
        <v>23</v>
      </c>
      <c r="AN81" s="7" t="s">
        <v>23</v>
      </c>
      <c r="AO81" s="7" t="s">
        <v>23</v>
      </c>
      <c r="AP81" s="7" t="s">
        <v>23</v>
      </c>
    </row>
    <row r="82" spans="11:42">
      <c r="K82" s="22">
        <v>78</v>
      </c>
      <c r="L82" s="24" t="str">
        <f t="shared" si="16"/>
        <v/>
      </c>
      <c r="M82" s="24" t="str">
        <f t="shared" si="17"/>
        <v/>
      </c>
      <c r="N82" s="24" t="str">
        <f t="shared" si="18"/>
        <v/>
      </c>
      <c r="O82" s="24" t="str">
        <f t="shared" si="19"/>
        <v/>
      </c>
      <c r="P82" s="24" t="str">
        <f t="shared" si="20"/>
        <v/>
      </c>
      <c r="Q82" s="24" t="str">
        <f t="shared" si="21"/>
        <v/>
      </c>
      <c r="R82" s="24" t="str">
        <f t="shared" si="22"/>
        <v/>
      </c>
      <c r="T82" s="8" t="s">
        <v>23</v>
      </c>
      <c r="U82" s="8" t="s">
        <v>23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B82" s="25" t="s">
        <v>23</v>
      </c>
      <c r="AC82" s="25" t="s">
        <v>23</v>
      </c>
      <c r="AD82" s="25" t="s">
        <v>23</v>
      </c>
      <c r="AE82" s="25" t="s">
        <v>23</v>
      </c>
      <c r="AF82" s="25" t="s">
        <v>23</v>
      </c>
      <c r="AG82" s="25" t="s">
        <v>23</v>
      </c>
      <c r="AH82" s="7" t="s">
        <v>23</v>
      </c>
      <c r="AJ82" s="7" t="s">
        <v>23</v>
      </c>
      <c r="AK82" s="7" t="s">
        <v>23</v>
      </c>
      <c r="AL82" s="7" t="s">
        <v>23</v>
      </c>
      <c r="AM82" s="7" t="s">
        <v>23</v>
      </c>
      <c r="AN82" s="7" t="s">
        <v>23</v>
      </c>
      <c r="AO82" s="7" t="s">
        <v>23</v>
      </c>
      <c r="AP82" s="7" t="s">
        <v>23</v>
      </c>
    </row>
    <row r="83" spans="11:42">
      <c r="K83" s="21">
        <v>79</v>
      </c>
      <c r="L83" s="24" t="str">
        <f t="shared" si="16"/>
        <v/>
      </c>
      <c r="M83" s="24" t="str">
        <f t="shared" si="17"/>
        <v/>
      </c>
      <c r="N83" s="24" t="str">
        <f t="shared" si="18"/>
        <v/>
      </c>
      <c r="O83" s="24" t="str">
        <f t="shared" si="19"/>
        <v/>
      </c>
      <c r="P83" s="24" t="str">
        <f t="shared" si="20"/>
        <v/>
      </c>
      <c r="Q83" s="24" t="str">
        <f t="shared" si="21"/>
        <v/>
      </c>
      <c r="R83" s="24" t="str">
        <f t="shared" si="22"/>
        <v/>
      </c>
      <c r="T83" s="8" t="s">
        <v>23</v>
      </c>
      <c r="U83" s="8" t="s">
        <v>23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B83" s="25" t="s">
        <v>23</v>
      </c>
      <c r="AC83" s="25" t="s">
        <v>23</v>
      </c>
      <c r="AD83" s="25" t="s">
        <v>23</v>
      </c>
      <c r="AE83" s="25" t="s">
        <v>23</v>
      </c>
      <c r="AF83" s="25" t="s">
        <v>23</v>
      </c>
      <c r="AG83" s="25" t="s">
        <v>23</v>
      </c>
      <c r="AH83" s="7" t="s">
        <v>23</v>
      </c>
      <c r="AJ83" s="7" t="s">
        <v>23</v>
      </c>
      <c r="AK83" s="7" t="s">
        <v>23</v>
      </c>
      <c r="AL83" s="7" t="s">
        <v>23</v>
      </c>
      <c r="AM83" s="7" t="s">
        <v>23</v>
      </c>
      <c r="AN83" s="7" t="s">
        <v>23</v>
      </c>
      <c r="AO83" s="7" t="s">
        <v>23</v>
      </c>
      <c r="AP83" s="7" t="s">
        <v>23</v>
      </c>
    </row>
    <row r="84" spans="11:42">
      <c r="K84" s="22">
        <v>80</v>
      </c>
      <c r="L84" s="24" t="str">
        <f t="shared" si="16"/>
        <v/>
      </c>
      <c r="M84" s="24" t="str">
        <f t="shared" si="17"/>
        <v/>
      </c>
      <c r="N84" s="24" t="str">
        <f t="shared" si="18"/>
        <v/>
      </c>
      <c r="O84" s="24" t="str">
        <f t="shared" si="19"/>
        <v/>
      </c>
      <c r="P84" s="24" t="str">
        <f t="shared" si="20"/>
        <v/>
      </c>
      <c r="Q84" s="24" t="str">
        <f t="shared" si="21"/>
        <v/>
      </c>
      <c r="R84" s="24" t="str">
        <f t="shared" si="22"/>
        <v/>
      </c>
      <c r="T84" s="8" t="s">
        <v>23</v>
      </c>
      <c r="U84" s="8" t="s">
        <v>23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B84" s="25" t="s">
        <v>23</v>
      </c>
      <c r="AC84" s="25" t="s">
        <v>23</v>
      </c>
      <c r="AD84" s="25" t="s">
        <v>23</v>
      </c>
      <c r="AE84" s="25" t="s">
        <v>23</v>
      </c>
      <c r="AF84" s="25" t="s">
        <v>23</v>
      </c>
      <c r="AG84" s="25" t="s">
        <v>23</v>
      </c>
      <c r="AH84" s="7" t="s">
        <v>23</v>
      </c>
      <c r="AJ84" s="7" t="s">
        <v>23</v>
      </c>
      <c r="AK84" s="7" t="s">
        <v>23</v>
      </c>
      <c r="AL84" s="7" t="s">
        <v>23</v>
      </c>
      <c r="AM84" s="7" t="s">
        <v>23</v>
      </c>
      <c r="AN84" s="7" t="s">
        <v>23</v>
      </c>
      <c r="AO84" s="7" t="s">
        <v>23</v>
      </c>
      <c r="AP84" s="7" t="s">
        <v>23</v>
      </c>
    </row>
    <row r="85" spans="11:42">
      <c r="K85" s="21">
        <v>81</v>
      </c>
      <c r="L85" s="24" t="str">
        <f t="shared" si="16"/>
        <v/>
      </c>
      <c r="M85" s="24" t="str">
        <f t="shared" si="17"/>
        <v/>
      </c>
      <c r="N85" s="24" t="str">
        <f t="shared" si="18"/>
        <v/>
      </c>
      <c r="O85" s="24" t="str">
        <f t="shared" si="19"/>
        <v/>
      </c>
      <c r="P85" s="24" t="str">
        <f t="shared" si="20"/>
        <v/>
      </c>
      <c r="Q85" s="24" t="str">
        <f t="shared" si="21"/>
        <v/>
      </c>
      <c r="R85" s="24" t="str">
        <f t="shared" si="22"/>
        <v/>
      </c>
      <c r="T85" s="8" t="s">
        <v>23</v>
      </c>
      <c r="U85" s="8" t="s">
        <v>23</v>
      </c>
      <c r="V85" s="8" t="s">
        <v>23</v>
      </c>
      <c r="W85" s="8" t="s">
        <v>23</v>
      </c>
      <c r="X85" s="8" t="s">
        <v>23</v>
      </c>
      <c r="Y85" s="8" t="s">
        <v>23</v>
      </c>
      <c r="Z85" s="8" t="s">
        <v>23</v>
      </c>
      <c r="AB85" s="25" t="s">
        <v>23</v>
      </c>
      <c r="AC85" s="25" t="s">
        <v>23</v>
      </c>
      <c r="AD85" s="25" t="s">
        <v>23</v>
      </c>
      <c r="AE85" s="25" t="s">
        <v>23</v>
      </c>
      <c r="AF85" s="25" t="s">
        <v>23</v>
      </c>
      <c r="AG85" s="25" t="s">
        <v>23</v>
      </c>
      <c r="AH85" s="7" t="s">
        <v>23</v>
      </c>
      <c r="AJ85" s="7" t="s">
        <v>23</v>
      </c>
      <c r="AK85" s="7" t="s">
        <v>23</v>
      </c>
      <c r="AL85" s="7" t="s">
        <v>23</v>
      </c>
      <c r="AM85" s="7" t="s">
        <v>23</v>
      </c>
      <c r="AN85" s="7" t="s">
        <v>23</v>
      </c>
      <c r="AO85" s="7" t="s">
        <v>23</v>
      </c>
      <c r="AP85" s="7" t="s">
        <v>23</v>
      </c>
    </row>
    <row r="86" spans="11:42">
      <c r="K86" s="22">
        <v>82</v>
      </c>
      <c r="L86" s="24" t="str">
        <f t="shared" si="16"/>
        <v/>
      </c>
      <c r="M86" s="24" t="str">
        <f t="shared" si="17"/>
        <v/>
      </c>
      <c r="N86" s="24" t="str">
        <f t="shared" si="18"/>
        <v/>
      </c>
      <c r="O86" s="24" t="str">
        <f t="shared" si="19"/>
        <v/>
      </c>
      <c r="P86" s="24" t="str">
        <f t="shared" si="20"/>
        <v/>
      </c>
      <c r="Q86" s="24" t="str">
        <f t="shared" si="21"/>
        <v/>
      </c>
      <c r="R86" s="24" t="str">
        <f t="shared" si="22"/>
        <v/>
      </c>
      <c r="T86" s="8" t="s">
        <v>23</v>
      </c>
      <c r="U86" s="8" t="s">
        <v>23</v>
      </c>
      <c r="V86" s="8" t="s">
        <v>23</v>
      </c>
      <c r="W86" s="8" t="s">
        <v>23</v>
      </c>
      <c r="X86" s="8" t="s">
        <v>23</v>
      </c>
      <c r="Y86" s="8" t="s">
        <v>23</v>
      </c>
      <c r="Z86" s="8" t="s">
        <v>23</v>
      </c>
      <c r="AB86" s="25" t="s">
        <v>23</v>
      </c>
      <c r="AC86" s="25" t="s">
        <v>23</v>
      </c>
      <c r="AD86" s="25" t="s">
        <v>23</v>
      </c>
      <c r="AE86" s="25" t="s">
        <v>23</v>
      </c>
      <c r="AF86" s="25" t="s">
        <v>23</v>
      </c>
      <c r="AG86" s="25" t="s">
        <v>23</v>
      </c>
      <c r="AH86" s="7" t="s">
        <v>23</v>
      </c>
      <c r="AJ86" s="7" t="s">
        <v>23</v>
      </c>
      <c r="AK86" s="7" t="s">
        <v>23</v>
      </c>
      <c r="AL86" s="7" t="s">
        <v>23</v>
      </c>
      <c r="AM86" s="7" t="s">
        <v>23</v>
      </c>
      <c r="AN86" s="7" t="s">
        <v>23</v>
      </c>
      <c r="AO86" s="7" t="s">
        <v>23</v>
      </c>
      <c r="AP86" s="7" t="s">
        <v>23</v>
      </c>
    </row>
    <row r="87" spans="11:42">
      <c r="K87" s="21">
        <v>83</v>
      </c>
      <c r="L87" s="24" t="str">
        <f t="shared" si="16"/>
        <v/>
      </c>
      <c r="M87" s="24" t="str">
        <f t="shared" si="17"/>
        <v/>
      </c>
      <c r="N87" s="24" t="str">
        <f t="shared" si="18"/>
        <v/>
      </c>
      <c r="O87" s="24" t="str">
        <f t="shared" si="19"/>
        <v/>
      </c>
      <c r="P87" s="24" t="str">
        <f t="shared" si="20"/>
        <v/>
      </c>
      <c r="Q87" s="24" t="str">
        <f t="shared" si="21"/>
        <v/>
      </c>
      <c r="R87" s="24" t="str">
        <f t="shared" si="22"/>
        <v/>
      </c>
      <c r="T87" s="8" t="s">
        <v>23</v>
      </c>
      <c r="U87" s="8" t="s">
        <v>23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B87" s="25" t="s">
        <v>23</v>
      </c>
      <c r="AC87" s="25" t="s">
        <v>23</v>
      </c>
      <c r="AD87" s="25" t="s">
        <v>23</v>
      </c>
      <c r="AE87" s="25" t="s">
        <v>23</v>
      </c>
      <c r="AF87" s="25" t="s">
        <v>23</v>
      </c>
      <c r="AG87" s="25" t="s">
        <v>23</v>
      </c>
      <c r="AH87" s="7" t="s">
        <v>23</v>
      </c>
      <c r="AJ87" s="7" t="s">
        <v>23</v>
      </c>
      <c r="AK87" s="7" t="s">
        <v>23</v>
      </c>
      <c r="AL87" s="7" t="s">
        <v>23</v>
      </c>
      <c r="AM87" s="7" t="s">
        <v>23</v>
      </c>
      <c r="AN87" s="7" t="s">
        <v>23</v>
      </c>
      <c r="AO87" s="7" t="s">
        <v>23</v>
      </c>
      <c r="AP87" s="7" t="s">
        <v>23</v>
      </c>
    </row>
    <row r="88" spans="11:42">
      <c r="K88" s="22">
        <v>84</v>
      </c>
      <c r="L88" s="24" t="str">
        <f t="shared" si="16"/>
        <v/>
      </c>
      <c r="M88" s="24" t="str">
        <f t="shared" si="17"/>
        <v/>
      </c>
      <c r="N88" s="24" t="str">
        <f t="shared" si="18"/>
        <v/>
      </c>
      <c r="O88" s="24" t="str">
        <f t="shared" si="19"/>
        <v/>
      </c>
      <c r="P88" s="24" t="str">
        <f t="shared" si="20"/>
        <v/>
      </c>
      <c r="Q88" s="24" t="str">
        <f t="shared" si="21"/>
        <v/>
      </c>
      <c r="R88" s="24" t="str">
        <f t="shared" si="22"/>
        <v/>
      </c>
      <c r="T88" s="8" t="s">
        <v>23</v>
      </c>
      <c r="U88" s="8" t="s">
        <v>23</v>
      </c>
      <c r="V88" s="8" t="s">
        <v>23</v>
      </c>
      <c r="W88" s="8" t="s">
        <v>23</v>
      </c>
      <c r="X88" s="8" t="s">
        <v>23</v>
      </c>
      <c r="Y88" s="8" t="s">
        <v>23</v>
      </c>
      <c r="Z88" s="8" t="s">
        <v>23</v>
      </c>
      <c r="AB88" s="25" t="s">
        <v>23</v>
      </c>
      <c r="AC88" s="25" t="s">
        <v>23</v>
      </c>
      <c r="AD88" s="25" t="s">
        <v>23</v>
      </c>
      <c r="AE88" s="25" t="s">
        <v>23</v>
      </c>
      <c r="AF88" s="25" t="s">
        <v>23</v>
      </c>
      <c r="AG88" s="25" t="s">
        <v>23</v>
      </c>
      <c r="AH88" s="7" t="s">
        <v>23</v>
      </c>
      <c r="AJ88" s="7" t="s">
        <v>23</v>
      </c>
      <c r="AK88" s="7" t="s">
        <v>23</v>
      </c>
      <c r="AL88" s="7" t="s">
        <v>23</v>
      </c>
      <c r="AM88" s="7" t="s">
        <v>23</v>
      </c>
      <c r="AN88" s="7" t="s">
        <v>23</v>
      </c>
      <c r="AO88" s="7" t="s">
        <v>23</v>
      </c>
      <c r="AP88" s="7" t="s">
        <v>23</v>
      </c>
    </row>
    <row r="89" spans="11:42">
      <c r="K89" s="21">
        <v>85</v>
      </c>
      <c r="L89" s="24" t="str">
        <f t="shared" si="16"/>
        <v/>
      </c>
      <c r="M89" s="24" t="str">
        <f t="shared" si="17"/>
        <v/>
      </c>
      <c r="N89" s="24" t="str">
        <f t="shared" si="18"/>
        <v/>
      </c>
      <c r="O89" s="24" t="str">
        <f t="shared" si="19"/>
        <v/>
      </c>
      <c r="P89" s="24" t="str">
        <f t="shared" si="20"/>
        <v/>
      </c>
      <c r="Q89" s="24" t="str">
        <f t="shared" si="21"/>
        <v/>
      </c>
      <c r="R89" s="24" t="str">
        <f t="shared" si="22"/>
        <v/>
      </c>
      <c r="T89" s="8" t="s">
        <v>23</v>
      </c>
      <c r="U89" s="8" t="s">
        <v>23</v>
      </c>
      <c r="V89" s="8" t="s">
        <v>23</v>
      </c>
      <c r="W89" s="8" t="s">
        <v>23</v>
      </c>
      <c r="X89" s="8" t="s">
        <v>23</v>
      </c>
      <c r="Y89" s="8" t="s">
        <v>23</v>
      </c>
      <c r="Z89" s="8" t="s">
        <v>23</v>
      </c>
      <c r="AB89" s="25" t="s">
        <v>23</v>
      </c>
      <c r="AC89" s="25" t="s">
        <v>23</v>
      </c>
      <c r="AD89" s="25" t="s">
        <v>23</v>
      </c>
      <c r="AE89" s="25" t="s">
        <v>23</v>
      </c>
      <c r="AF89" s="25" t="s">
        <v>23</v>
      </c>
      <c r="AG89" s="25" t="s">
        <v>23</v>
      </c>
      <c r="AH89" s="7" t="s">
        <v>23</v>
      </c>
      <c r="AJ89" s="7" t="s">
        <v>23</v>
      </c>
      <c r="AK89" s="7" t="s">
        <v>23</v>
      </c>
      <c r="AL89" s="7" t="s">
        <v>23</v>
      </c>
      <c r="AM89" s="7" t="s">
        <v>23</v>
      </c>
      <c r="AN89" s="7" t="s">
        <v>23</v>
      </c>
      <c r="AO89" s="7" t="s">
        <v>23</v>
      </c>
      <c r="AP89" s="7" t="s">
        <v>23</v>
      </c>
    </row>
    <row r="90" spans="11:42">
      <c r="K90" s="22">
        <v>86</v>
      </c>
      <c r="L90" s="24" t="str">
        <f t="shared" si="16"/>
        <v/>
      </c>
      <c r="M90" s="24" t="str">
        <f t="shared" si="17"/>
        <v/>
      </c>
      <c r="N90" s="24" t="str">
        <f t="shared" si="18"/>
        <v/>
      </c>
      <c r="O90" s="24" t="str">
        <f t="shared" si="19"/>
        <v/>
      </c>
      <c r="P90" s="24" t="str">
        <f t="shared" si="20"/>
        <v/>
      </c>
      <c r="Q90" s="24" t="str">
        <f t="shared" si="21"/>
        <v/>
      </c>
      <c r="R90" s="24" t="str">
        <f t="shared" si="22"/>
        <v/>
      </c>
      <c r="T90" s="8" t="s">
        <v>23</v>
      </c>
      <c r="U90" s="8" t="s">
        <v>23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B90" s="25" t="s">
        <v>23</v>
      </c>
      <c r="AC90" s="25" t="s">
        <v>23</v>
      </c>
      <c r="AD90" s="25" t="s">
        <v>23</v>
      </c>
      <c r="AE90" s="25" t="s">
        <v>23</v>
      </c>
      <c r="AF90" s="25" t="s">
        <v>23</v>
      </c>
      <c r="AG90" s="25" t="s">
        <v>23</v>
      </c>
      <c r="AH90" s="7" t="s">
        <v>23</v>
      </c>
      <c r="AJ90" s="7" t="s">
        <v>23</v>
      </c>
      <c r="AK90" s="7" t="s">
        <v>23</v>
      </c>
      <c r="AL90" s="7" t="s">
        <v>23</v>
      </c>
      <c r="AM90" s="7" t="s">
        <v>23</v>
      </c>
      <c r="AN90" s="7" t="s">
        <v>23</v>
      </c>
      <c r="AO90" s="7" t="s">
        <v>23</v>
      </c>
      <c r="AP90" s="7" t="s">
        <v>23</v>
      </c>
    </row>
    <row r="91" spans="11:42">
      <c r="K91" s="21">
        <v>87</v>
      </c>
      <c r="L91" s="24" t="str">
        <f t="shared" si="16"/>
        <v/>
      </c>
      <c r="M91" s="24" t="str">
        <f t="shared" si="17"/>
        <v/>
      </c>
      <c r="N91" s="24" t="str">
        <f t="shared" si="18"/>
        <v/>
      </c>
      <c r="O91" s="24" t="str">
        <f t="shared" si="19"/>
        <v/>
      </c>
      <c r="P91" s="24" t="str">
        <f t="shared" si="20"/>
        <v/>
      </c>
      <c r="Q91" s="24" t="str">
        <f t="shared" si="21"/>
        <v/>
      </c>
      <c r="R91" s="24" t="str">
        <f t="shared" si="22"/>
        <v/>
      </c>
      <c r="T91" s="8" t="s">
        <v>23</v>
      </c>
      <c r="U91" s="8" t="s">
        <v>23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B91" s="25" t="s">
        <v>23</v>
      </c>
      <c r="AC91" s="25" t="s">
        <v>23</v>
      </c>
      <c r="AD91" s="25" t="s">
        <v>23</v>
      </c>
      <c r="AE91" s="25" t="s">
        <v>23</v>
      </c>
      <c r="AF91" s="25" t="s">
        <v>23</v>
      </c>
      <c r="AG91" s="25" t="s">
        <v>23</v>
      </c>
      <c r="AH91" s="7" t="s">
        <v>23</v>
      </c>
      <c r="AJ91" s="7" t="s">
        <v>23</v>
      </c>
      <c r="AK91" s="7" t="s">
        <v>23</v>
      </c>
      <c r="AL91" s="7" t="s">
        <v>23</v>
      </c>
      <c r="AM91" s="7" t="s">
        <v>23</v>
      </c>
      <c r="AN91" s="7" t="s">
        <v>23</v>
      </c>
      <c r="AO91" s="7" t="s">
        <v>23</v>
      </c>
      <c r="AP91" s="7" t="s">
        <v>23</v>
      </c>
    </row>
    <row r="92" spans="11:42">
      <c r="K92" s="22">
        <v>88</v>
      </c>
      <c r="L92" s="24" t="str">
        <f t="shared" si="16"/>
        <v/>
      </c>
      <c r="M92" s="24" t="str">
        <f t="shared" si="17"/>
        <v/>
      </c>
      <c r="N92" s="24" t="str">
        <f t="shared" si="18"/>
        <v/>
      </c>
      <c r="O92" s="24" t="str">
        <f t="shared" si="19"/>
        <v/>
      </c>
      <c r="P92" s="24" t="str">
        <f t="shared" si="20"/>
        <v/>
      </c>
      <c r="Q92" s="24" t="str">
        <f t="shared" si="21"/>
        <v/>
      </c>
      <c r="R92" s="24" t="str">
        <f t="shared" si="22"/>
        <v/>
      </c>
      <c r="T92" s="8" t="s">
        <v>23</v>
      </c>
      <c r="U92" s="8" t="s">
        <v>23</v>
      </c>
      <c r="V92" s="8" t="s">
        <v>23</v>
      </c>
      <c r="W92" s="8" t="s">
        <v>23</v>
      </c>
      <c r="X92" s="8" t="s">
        <v>23</v>
      </c>
      <c r="Y92" s="8" t="s">
        <v>23</v>
      </c>
      <c r="Z92" s="8" t="s">
        <v>23</v>
      </c>
      <c r="AB92" s="25" t="s">
        <v>23</v>
      </c>
      <c r="AC92" s="25" t="s">
        <v>23</v>
      </c>
      <c r="AD92" s="25" t="s">
        <v>23</v>
      </c>
      <c r="AE92" s="25" t="s">
        <v>23</v>
      </c>
      <c r="AF92" s="25" t="s">
        <v>23</v>
      </c>
      <c r="AG92" s="25" t="s">
        <v>23</v>
      </c>
      <c r="AH92" s="7" t="s">
        <v>23</v>
      </c>
      <c r="AJ92" s="7" t="s">
        <v>23</v>
      </c>
      <c r="AK92" s="7" t="s">
        <v>23</v>
      </c>
      <c r="AL92" s="7" t="s">
        <v>23</v>
      </c>
      <c r="AM92" s="7" t="s">
        <v>23</v>
      </c>
      <c r="AN92" s="7" t="s">
        <v>23</v>
      </c>
      <c r="AO92" s="7" t="s">
        <v>23</v>
      </c>
      <c r="AP92" s="7" t="s">
        <v>23</v>
      </c>
    </row>
    <row r="93" spans="11:42">
      <c r="K93" s="21">
        <v>89</v>
      </c>
      <c r="L93" s="24" t="str">
        <f t="shared" si="16"/>
        <v/>
      </c>
      <c r="M93" s="24" t="str">
        <f t="shared" si="17"/>
        <v/>
      </c>
      <c r="N93" s="24" t="str">
        <f t="shared" si="18"/>
        <v/>
      </c>
      <c r="O93" s="24" t="str">
        <f t="shared" si="19"/>
        <v/>
      </c>
      <c r="P93" s="24" t="str">
        <f t="shared" si="20"/>
        <v/>
      </c>
      <c r="Q93" s="24" t="str">
        <f t="shared" si="21"/>
        <v/>
      </c>
      <c r="R93" s="24" t="str">
        <f t="shared" si="22"/>
        <v/>
      </c>
      <c r="T93" s="8" t="s">
        <v>23</v>
      </c>
      <c r="U93" s="8" t="s">
        <v>23</v>
      </c>
      <c r="V93" s="8" t="s">
        <v>23</v>
      </c>
      <c r="W93" s="8" t="s">
        <v>23</v>
      </c>
      <c r="X93" s="8" t="s">
        <v>23</v>
      </c>
      <c r="Y93" s="8" t="s">
        <v>23</v>
      </c>
      <c r="Z93" s="8" t="s">
        <v>23</v>
      </c>
      <c r="AB93" s="25" t="s">
        <v>23</v>
      </c>
      <c r="AC93" s="25" t="s">
        <v>23</v>
      </c>
      <c r="AD93" s="25" t="s">
        <v>23</v>
      </c>
      <c r="AE93" s="25" t="s">
        <v>23</v>
      </c>
      <c r="AF93" s="25" t="s">
        <v>23</v>
      </c>
      <c r="AG93" s="25" t="s">
        <v>23</v>
      </c>
      <c r="AH93" s="7" t="s">
        <v>23</v>
      </c>
      <c r="AJ93" s="7" t="s">
        <v>23</v>
      </c>
      <c r="AK93" s="7" t="s">
        <v>23</v>
      </c>
      <c r="AL93" s="7" t="s">
        <v>23</v>
      </c>
      <c r="AM93" s="7" t="s">
        <v>23</v>
      </c>
      <c r="AN93" s="7" t="s">
        <v>23</v>
      </c>
      <c r="AO93" s="7" t="s">
        <v>23</v>
      </c>
      <c r="AP93" s="7" t="s">
        <v>23</v>
      </c>
    </row>
    <row r="94" spans="11:42">
      <c r="K94" s="22">
        <v>90</v>
      </c>
      <c r="L94" s="24" t="str">
        <f t="shared" si="16"/>
        <v/>
      </c>
      <c r="M94" s="24" t="str">
        <f t="shared" si="17"/>
        <v/>
      </c>
      <c r="N94" s="24" t="str">
        <f t="shared" si="18"/>
        <v/>
      </c>
      <c r="O94" s="24" t="str">
        <f t="shared" si="19"/>
        <v/>
      </c>
      <c r="P94" s="24" t="str">
        <f t="shared" si="20"/>
        <v/>
      </c>
      <c r="Q94" s="24" t="str">
        <f t="shared" si="21"/>
        <v/>
      </c>
      <c r="R94" s="24" t="str">
        <f t="shared" si="22"/>
        <v/>
      </c>
      <c r="T94" s="8" t="s">
        <v>23</v>
      </c>
      <c r="U94" s="8" t="s">
        <v>23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B94" s="25" t="s">
        <v>23</v>
      </c>
      <c r="AC94" s="25" t="s">
        <v>23</v>
      </c>
      <c r="AD94" s="25" t="s">
        <v>23</v>
      </c>
      <c r="AE94" s="25" t="s">
        <v>23</v>
      </c>
      <c r="AF94" s="25" t="s">
        <v>23</v>
      </c>
      <c r="AG94" s="25" t="s">
        <v>23</v>
      </c>
      <c r="AH94" s="7" t="s">
        <v>23</v>
      </c>
      <c r="AJ94" s="7" t="s">
        <v>23</v>
      </c>
      <c r="AK94" s="7" t="s">
        <v>23</v>
      </c>
      <c r="AL94" s="7" t="s">
        <v>23</v>
      </c>
      <c r="AM94" s="7" t="s">
        <v>23</v>
      </c>
      <c r="AN94" s="7" t="s">
        <v>23</v>
      </c>
      <c r="AO94" s="7" t="s">
        <v>23</v>
      </c>
      <c r="AP94" s="7" t="s">
        <v>23</v>
      </c>
    </row>
    <row r="95" spans="11:42">
      <c r="K95" s="21">
        <v>91</v>
      </c>
      <c r="L95" s="24" t="str">
        <f t="shared" si="16"/>
        <v/>
      </c>
      <c r="M95" s="24" t="str">
        <f t="shared" si="17"/>
        <v/>
      </c>
      <c r="N95" s="24" t="str">
        <f t="shared" si="18"/>
        <v/>
      </c>
      <c r="O95" s="24" t="str">
        <f t="shared" si="19"/>
        <v/>
      </c>
      <c r="P95" s="24" t="str">
        <f t="shared" si="20"/>
        <v/>
      </c>
      <c r="Q95" s="24" t="str">
        <f t="shared" si="21"/>
        <v/>
      </c>
      <c r="R95" s="24" t="str">
        <f t="shared" si="22"/>
        <v/>
      </c>
      <c r="T95" s="8" t="s">
        <v>23</v>
      </c>
      <c r="U95" s="8" t="s">
        <v>23</v>
      </c>
      <c r="V95" s="8" t="s">
        <v>23</v>
      </c>
      <c r="W95" s="8" t="s">
        <v>23</v>
      </c>
      <c r="X95" s="8" t="s">
        <v>23</v>
      </c>
      <c r="Y95" s="8" t="s">
        <v>23</v>
      </c>
      <c r="Z95" s="8" t="s">
        <v>23</v>
      </c>
      <c r="AB95" s="25" t="s">
        <v>23</v>
      </c>
      <c r="AC95" s="25" t="s">
        <v>23</v>
      </c>
      <c r="AD95" s="25" t="s">
        <v>23</v>
      </c>
      <c r="AE95" s="25" t="s">
        <v>23</v>
      </c>
      <c r="AF95" s="25" t="s">
        <v>23</v>
      </c>
      <c r="AG95" s="25" t="s">
        <v>23</v>
      </c>
      <c r="AH95" s="7" t="s">
        <v>23</v>
      </c>
      <c r="AJ95" s="7" t="s">
        <v>23</v>
      </c>
      <c r="AK95" s="7" t="s">
        <v>23</v>
      </c>
      <c r="AL95" s="7" t="s">
        <v>23</v>
      </c>
      <c r="AM95" s="7" t="s">
        <v>23</v>
      </c>
      <c r="AN95" s="7" t="s">
        <v>23</v>
      </c>
      <c r="AO95" s="7" t="s">
        <v>23</v>
      </c>
      <c r="AP95" s="7" t="s">
        <v>23</v>
      </c>
    </row>
    <row r="96" spans="11:42">
      <c r="K96" s="22">
        <v>92</v>
      </c>
      <c r="L96" s="24" t="str">
        <f t="shared" si="16"/>
        <v/>
      </c>
      <c r="M96" s="24" t="str">
        <f t="shared" si="17"/>
        <v/>
      </c>
      <c r="N96" s="24" t="str">
        <f t="shared" si="18"/>
        <v/>
      </c>
      <c r="O96" s="24" t="str">
        <f t="shared" si="19"/>
        <v/>
      </c>
      <c r="P96" s="24" t="str">
        <f t="shared" si="20"/>
        <v/>
      </c>
      <c r="Q96" s="24" t="str">
        <f t="shared" si="21"/>
        <v/>
      </c>
      <c r="R96" s="24" t="str">
        <f t="shared" si="22"/>
        <v/>
      </c>
      <c r="T96" s="8" t="s">
        <v>23</v>
      </c>
      <c r="U96" s="8" t="s">
        <v>23</v>
      </c>
      <c r="V96" s="8" t="s">
        <v>23</v>
      </c>
      <c r="W96" s="8" t="s">
        <v>23</v>
      </c>
      <c r="X96" s="8" t="s">
        <v>23</v>
      </c>
      <c r="Y96" s="8" t="s">
        <v>23</v>
      </c>
      <c r="Z96" s="8" t="s">
        <v>23</v>
      </c>
      <c r="AB96" s="25" t="s">
        <v>23</v>
      </c>
      <c r="AC96" s="25" t="s">
        <v>23</v>
      </c>
      <c r="AD96" s="25" t="s">
        <v>23</v>
      </c>
      <c r="AE96" s="25" t="s">
        <v>23</v>
      </c>
      <c r="AF96" s="25" t="s">
        <v>23</v>
      </c>
      <c r="AG96" s="25" t="s">
        <v>23</v>
      </c>
      <c r="AH96" s="7" t="s">
        <v>23</v>
      </c>
      <c r="AJ96" s="7" t="s">
        <v>23</v>
      </c>
      <c r="AK96" s="7" t="s">
        <v>23</v>
      </c>
      <c r="AL96" s="7" t="s">
        <v>23</v>
      </c>
      <c r="AM96" s="7" t="s">
        <v>23</v>
      </c>
      <c r="AN96" s="7" t="s">
        <v>23</v>
      </c>
      <c r="AO96" s="7" t="s">
        <v>23</v>
      </c>
      <c r="AP96" s="7" t="s">
        <v>23</v>
      </c>
    </row>
    <row r="97" spans="11:42">
      <c r="K97" s="21">
        <v>93</v>
      </c>
      <c r="L97" s="24" t="str">
        <f t="shared" si="16"/>
        <v/>
      </c>
      <c r="M97" s="24" t="str">
        <f t="shared" si="17"/>
        <v/>
      </c>
      <c r="N97" s="24" t="str">
        <f t="shared" si="18"/>
        <v/>
      </c>
      <c r="O97" s="24" t="str">
        <f t="shared" si="19"/>
        <v/>
      </c>
      <c r="P97" s="24" t="str">
        <f t="shared" si="20"/>
        <v/>
      </c>
      <c r="Q97" s="24" t="str">
        <f t="shared" si="21"/>
        <v/>
      </c>
      <c r="R97" s="24" t="str">
        <f t="shared" si="22"/>
        <v/>
      </c>
      <c r="T97" s="8" t="s">
        <v>23</v>
      </c>
      <c r="U97" s="8" t="s">
        <v>23</v>
      </c>
      <c r="V97" s="8" t="s">
        <v>23</v>
      </c>
      <c r="W97" s="8" t="s">
        <v>23</v>
      </c>
      <c r="X97" s="8" t="s">
        <v>23</v>
      </c>
      <c r="Y97" s="8" t="s">
        <v>23</v>
      </c>
      <c r="Z97" s="8" t="s">
        <v>23</v>
      </c>
      <c r="AB97" s="25" t="s">
        <v>23</v>
      </c>
      <c r="AC97" s="25" t="s">
        <v>23</v>
      </c>
      <c r="AD97" s="25" t="s">
        <v>23</v>
      </c>
      <c r="AE97" s="25" t="s">
        <v>23</v>
      </c>
      <c r="AF97" s="25" t="s">
        <v>23</v>
      </c>
      <c r="AG97" s="25" t="s">
        <v>23</v>
      </c>
      <c r="AH97" s="7" t="s">
        <v>23</v>
      </c>
      <c r="AJ97" s="7" t="s">
        <v>23</v>
      </c>
      <c r="AK97" s="7" t="s">
        <v>23</v>
      </c>
      <c r="AL97" s="7" t="s">
        <v>23</v>
      </c>
      <c r="AM97" s="7" t="s">
        <v>23</v>
      </c>
      <c r="AN97" s="7" t="s">
        <v>23</v>
      </c>
      <c r="AO97" s="7" t="s">
        <v>23</v>
      </c>
      <c r="AP97" s="7" t="s">
        <v>23</v>
      </c>
    </row>
    <row r="98" spans="11:42">
      <c r="K98" s="22">
        <v>94</v>
      </c>
      <c r="L98" s="24" t="str">
        <f t="shared" si="16"/>
        <v/>
      </c>
      <c r="M98" s="24" t="str">
        <f t="shared" si="17"/>
        <v/>
      </c>
      <c r="N98" s="24" t="str">
        <f t="shared" si="18"/>
        <v/>
      </c>
      <c r="O98" s="24" t="str">
        <f t="shared" si="19"/>
        <v/>
      </c>
      <c r="P98" s="24" t="str">
        <f t="shared" si="20"/>
        <v/>
      </c>
      <c r="Q98" s="24" t="str">
        <f t="shared" si="21"/>
        <v/>
      </c>
      <c r="R98" s="24" t="str">
        <f t="shared" si="22"/>
        <v/>
      </c>
      <c r="T98" s="8" t="s">
        <v>23</v>
      </c>
      <c r="U98" s="8" t="s">
        <v>23</v>
      </c>
      <c r="V98" s="8" t="s">
        <v>23</v>
      </c>
      <c r="W98" s="8" t="s">
        <v>23</v>
      </c>
      <c r="X98" s="8" t="s">
        <v>23</v>
      </c>
      <c r="Y98" s="8" t="s">
        <v>23</v>
      </c>
      <c r="Z98" s="8" t="s">
        <v>23</v>
      </c>
      <c r="AB98" s="25" t="s">
        <v>23</v>
      </c>
      <c r="AC98" s="25" t="s">
        <v>23</v>
      </c>
      <c r="AD98" s="25" t="s">
        <v>23</v>
      </c>
      <c r="AE98" s="25" t="s">
        <v>23</v>
      </c>
      <c r="AF98" s="25" t="s">
        <v>23</v>
      </c>
      <c r="AG98" s="25" t="s">
        <v>23</v>
      </c>
      <c r="AH98" s="7" t="s">
        <v>23</v>
      </c>
      <c r="AJ98" s="7" t="s">
        <v>23</v>
      </c>
      <c r="AK98" s="7" t="s">
        <v>23</v>
      </c>
      <c r="AL98" s="7" t="s">
        <v>23</v>
      </c>
      <c r="AM98" s="7" t="s">
        <v>23</v>
      </c>
      <c r="AN98" s="7" t="s">
        <v>23</v>
      </c>
      <c r="AO98" s="7" t="s">
        <v>23</v>
      </c>
      <c r="AP98" s="7" t="s">
        <v>23</v>
      </c>
    </row>
    <row r="99" spans="11:42">
      <c r="K99" s="21">
        <v>95</v>
      </c>
      <c r="L99" s="24" t="str">
        <f t="shared" si="16"/>
        <v/>
      </c>
      <c r="M99" s="24" t="str">
        <f t="shared" si="17"/>
        <v/>
      </c>
      <c r="N99" s="24" t="str">
        <f t="shared" si="18"/>
        <v/>
      </c>
      <c r="O99" s="24" t="str">
        <f t="shared" si="19"/>
        <v/>
      </c>
      <c r="P99" s="24" t="str">
        <f t="shared" si="20"/>
        <v/>
      </c>
      <c r="Q99" s="24" t="str">
        <f t="shared" si="21"/>
        <v/>
      </c>
      <c r="R99" s="24" t="str">
        <f t="shared" si="22"/>
        <v/>
      </c>
      <c r="T99" s="8" t="s">
        <v>23</v>
      </c>
      <c r="U99" s="8" t="s">
        <v>23</v>
      </c>
      <c r="V99" s="8" t="s">
        <v>23</v>
      </c>
      <c r="W99" s="8" t="s">
        <v>23</v>
      </c>
      <c r="X99" s="8" t="s">
        <v>23</v>
      </c>
      <c r="Y99" s="8" t="s">
        <v>23</v>
      </c>
      <c r="Z99" s="8" t="s">
        <v>23</v>
      </c>
      <c r="AB99" s="25" t="s">
        <v>23</v>
      </c>
      <c r="AC99" s="25" t="s">
        <v>23</v>
      </c>
      <c r="AD99" s="25" t="s">
        <v>23</v>
      </c>
      <c r="AE99" s="25" t="s">
        <v>23</v>
      </c>
      <c r="AF99" s="25" t="s">
        <v>23</v>
      </c>
      <c r="AG99" s="25" t="s">
        <v>23</v>
      </c>
      <c r="AH99" s="7" t="s">
        <v>23</v>
      </c>
      <c r="AJ99" s="7" t="s">
        <v>23</v>
      </c>
      <c r="AK99" s="7" t="s">
        <v>23</v>
      </c>
      <c r="AL99" s="7" t="s">
        <v>23</v>
      </c>
      <c r="AM99" s="7" t="s">
        <v>23</v>
      </c>
      <c r="AN99" s="7" t="s">
        <v>23</v>
      </c>
      <c r="AO99" s="7" t="s">
        <v>23</v>
      </c>
      <c r="AP99" s="7" t="s">
        <v>23</v>
      </c>
    </row>
    <row r="100" spans="11:42">
      <c r="K100" s="22">
        <v>96</v>
      </c>
      <c r="L100" s="24" t="str">
        <f t="shared" si="16"/>
        <v/>
      </c>
      <c r="M100" s="24" t="str">
        <f t="shared" si="17"/>
        <v/>
      </c>
      <c r="N100" s="24" t="str">
        <f t="shared" si="18"/>
        <v/>
      </c>
      <c r="O100" s="24" t="str">
        <f t="shared" si="19"/>
        <v/>
      </c>
      <c r="P100" s="24" t="str">
        <f t="shared" si="20"/>
        <v/>
      </c>
      <c r="Q100" s="24" t="str">
        <f t="shared" si="21"/>
        <v/>
      </c>
      <c r="R100" s="24" t="str">
        <f t="shared" si="22"/>
        <v/>
      </c>
      <c r="T100" s="8" t="s">
        <v>23</v>
      </c>
      <c r="U100" s="8" t="s">
        <v>23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B100" s="25" t="s">
        <v>23</v>
      </c>
      <c r="AC100" s="25" t="s">
        <v>23</v>
      </c>
      <c r="AD100" s="25" t="s">
        <v>23</v>
      </c>
      <c r="AE100" s="25" t="s">
        <v>23</v>
      </c>
      <c r="AF100" s="25" t="s">
        <v>23</v>
      </c>
      <c r="AG100" s="25" t="s">
        <v>23</v>
      </c>
      <c r="AH100" s="7" t="s">
        <v>23</v>
      </c>
      <c r="AJ100" s="7" t="s">
        <v>23</v>
      </c>
      <c r="AK100" s="7" t="s">
        <v>23</v>
      </c>
      <c r="AL100" s="7" t="s">
        <v>23</v>
      </c>
      <c r="AM100" s="7" t="s">
        <v>23</v>
      </c>
      <c r="AN100" s="7" t="s">
        <v>23</v>
      </c>
      <c r="AO100" s="7" t="s">
        <v>23</v>
      </c>
      <c r="AP100" s="7" t="s">
        <v>23</v>
      </c>
    </row>
    <row r="101" spans="11:42">
      <c r="K101" s="21">
        <v>97</v>
      </c>
      <c r="L101" s="24" t="str">
        <f t="shared" si="16"/>
        <v/>
      </c>
      <c r="M101" s="24" t="str">
        <f t="shared" si="17"/>
        <v/>
      </c>
      <c r="N101" s="24" t="str">
        <f t="shared" si="18"/>
        <v/>
      </c>
      <c r="O101" s="24" t="str">
        <f t="shared" si="19"/>
        <v/>
      </c>
      <c r="P101" s="24" t="str">
        <f t="shared" si="20"/>
        <v/>
      </c>
      <c r="Q101" s="24" t="str">
        <f t="shared" si="21"/>
        <v/>
      </c>
      <c r="R101" s="24" t="str">
        <f t="shared" si="22"/>
        <v/>
      </c>
      <c r="T101" s="8" t="s">
        <v>23</v>
      </c>
      <c r="U101" s="8" t="s">
        <v>23</v>
      </c>
      <c r="V101" s="8" t="s">
        <v>23</v>
      </c>
      <c r="W101" s="8" t="s">
        <v>23</v>
      </c>
      <c r="X101" s="8" t="s">
        <v>23</v>
      </c>
      <c r="Y101" s="8" t="s">
        <v>23</v>
      </c>
      <c r="Z101" s="8" t="s">
        <v>23</v>
      </c>
      <c r="AB101" s="25" t="s">
        <v>23</v>
      </c>
      <c r="AC101" s="25" t="s">
        <v>23</v>
      </c>
      <c r="AD101" s="25" t="s">
        <v>23</v>
      </c>
      <c r="AE101" s="25" t="s">
        <v>23</v>
      </c>
      <c r="AF101" s="25" t="s">
        <v>23</v>
      </c>
      <c r="AG101" s="25" t="s">
        <v>23</v>
      </c>
      <c r="AH101" s="7" t="s">
        <v>23</v>
      </c>
      <c r="AJ101" s="7" t="s">
        <v>23</v>
      </c>
      <c r="AK101" s="7" t="s">
        <v>23</v>
      </c>
      <c r="AL101" s="7" t="s">
        <v>23</v>
      </c>
      <c r="AM101" s="7" t="s">
        <v>23</v>
      </c>
      <c r="AN101" s="7" t="s">
        <v>23</v>
      </c>
      <c r="AO101" s="7" t="s">
        <v>23</v>
      </c>
      <c r="AP101" s="7" t="s">
        <v>23</v>
      </c>
    </row>
    <row r="102" spans="11:42">
      <c r="K102" s="22">
        <v>98</v>
      </c>
      <c r="L102" s="24" t="str">
        <f t="shared" si="16"/>
        <v/>
      </c>
      <c r="M102" s="24" t="str">
        <f t="shared" si="17"/>
        <v/>
      </c>
      <c r="N102" s="24" t="str">
        <f t="shared" si="18"/>
        <v/>
      </c>
      <c r="O102" s="24" t="str">
        <f t="shared" si="19"/>
        <v/>
      </c>
      <c r="P102" s="24" t="str">
        <f t="shared" si="20"/>
        <v/>
      </c>
      <c r="Q102" s="24" t="str">
        <f t="shared" si="21"/>
        <v/>
      </c>
      <c r="R102" s="24" t="str">
        <f t="shared" si="22"/>
        <v/>
      </c>
      <c r="T102" s="8" t="s">
        <v>23</v>
      </c>
      <c r="U102" s="8" t="s">
        <v>23</v>
      </c>
      <c r="V102" s="8" t="s">
        <v>23</v>
      </c>
      <c r="W102" s="8" t="s">
        <v>23</v>
      </c>
      <c r="X102" s="8" t="s">
        <v>23</v>
      </c>
      <c r="Y102" s="8" t="s">
        <v>23</v>
      </c>
      <c r="Z102" s="8" t="s">
        <v>23</v>
      </c>
      <c r="AB102" s="25" t="s">
        <v>23</v>
      </c>
      <c r="AC102" s="25" t="s">
        <v>23</v>
      </c>
      <c r="AD102" s="25" t="s">
        <v>23</v>
      </c>
      <c r="AE102" s="25" t="s">
        <v>23</v>
      </c>
      <c r="AF102" s="25" t="s">
        <v>23</v>
      </c>
      <c r="AG102" s="25" t="s">
        <v>23</v>
      </c>
      <c r="AH102" s="7" t="s">
        <v>23</v>
      </c>
      <c r="AJ102" s="7" t="s">
        <v>23</v>
      </c>
      <c r="AK102" s="7" t="s">
        <v>23</v>
      </c>
      <c r="AL102" s="7" t="s">
        <v>23</v>
      </c>
      <c r="AM102" s="7" t="s">
        <v>23</v>
      </c>
      <c r="AN102" s="7" t="s">
        <v>23</v>
      </c>
      <c r="AO102" s="7" t="s">
        <v>23</v>
      </c>
      <c r="AP102" s="7" t="s">
        <v>23</v>
      </c>
    </row>
    <row r="103" spans="11:42">
      <c r="K103" s="21">
        <v>99</v>
      </c>
      <c r="L103" s="24" t="str">
        <f t="shared" si="16"/>
        <v/>
      </c>
      <c r="M103" s="24" t="str">
        <f t="shared" si="17"/>
        <v/>
      </c>
      <c r="N103" s="24" t="str">
        <f t="shared" si="18"/>
        <v/>
      </c>
      <c r="O103" s="24" t="str">
        <f t="shared" si="19"/>
        <v/>
      </c>
      <c r="P103" s="24" t="str">
        <f t="shared" si="20"/>
        <v/>
      </c>
      <c r="Q103" s="24" t="str">
        <f t="shared" si="21"/>
        <v/>
      </c>
      <c r="R103" s="24" t="str">
        <f t="shared" si="22"/>
        <v/>
      </c>
      <c r="T103" s="8" t="s">
        <v>23</v>
      </c>
      <c r="U103" s="8" t="s">
        <v>23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B103" s="25" t="s">
        <v>23</v>
      </c>
      <c r="AC103" s="25" t="s">
        <v>23</v>
      </c>
      <c r="AD103" s="25" t="s">
        <v>23</v>
      </c>
      <c r="AE103" s="25" t="s">
        <v>23</v>
      </c>
      <c r="AF103" s="25" t="s">
        <v>23</v>
      </c>
      <c r="AG103" s="25" t="s">
        <v>23</v>
      </c>
      <c r="AH103" s="7" t="s">
        <v>23</v>
      </c>
      <c r="AJ103" s="7" t="s">
        <v>23</v>
      </c>
      <c r="AK103" s="7" t="s">
        <v>23</v>
      </c>
      <c r="AL103" s="7" t="s">
        <v>23</v>
      </c>
      <c r="AM103" s="7" t="s">
        <v>23</v>
      </c>
      <c r="AN103" s="7" t="s">
        <v>23</v>
      </c>
      <c r="AO103" s="7" t="s">
        <v>23</v>
      </c>
      <c r="AP103" s="7" t="s">
        <v>23</v>
      </c>
    </row>
    <row r="104" spans="11:42">
      <c r="K104" s="22">
        <v>100</v>
      </c>
      <c r="L104" s="24" t="str">
        <f t="shared" si="16"/>
        <v/>
      </c>
      <c r="M104" s="24" t="str">
        <f t="shared" si="17"/>
        <v/>
      </c>
      <c r="N104" s="24" t="str">
        <f t="shared" si="18"/>
        <v/>
      </c>
      <c r="O104" s="24" t="str">
        <f t="shared" si="19"/>
        <v/>
      </c>
      <c r="P104" s="24" t="str">
        <f t="shared" si="20"/>
        <v/>
      </c>
      <c r="Q104" s="24" t="str">
        <f t="shared" si="21"/>
        <v/>
      </c>
      <c r="R104" s="24" t="str">
        <f t="shared" si="22"/>
        <v/>
      </c>
      <c r="T104" s="8" t="s">
        <v>23</v>
      </c>
      <c r="U104" s="8" t="s">
        <v>23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B104" s="25" t="s">
        <v>23</v>
      </c>
      <c r="AC104" s="25" t="s">
        <v>23</v>
      </c>
      <c r="AD104" s="25" t="s">
        <v>23</v>
      </c>
      <c r="AE104" s="25" t="s">
        <v>23</v>
      </c>
      <c r="AF104" s="25" t="s">
        <v>23</v>
      </c>
      <c r="AG104" s="25" t="s">
        <v>23</v>
      </c>
      <c r="AH104" s="7" t="s">
        <v>23</v>
      </c>
      <c r="AJ104" s="7" t="s">
        <v>23</v>
      </c>
      <c r="AK104" s="7" t="s">
        <v>23</v>
      </c>
      <c r="AL104" s="7" t="s">
        <v>23</v>
      </c>
      <c r="AM104" s="7" t="s">
        <v>23</v>
      </c>
      <c r="AN104" s="7" t="s">
        <v>23</v>
      </c>
      <c r="AO104" s="7" t="s">
        <v>23</v>
      </c>
      <c r="AP104" s="7" t="s">
        <v>23</v>
      </c>
    </row>
    <row r="105" spans="11:42">
      <c r="K105" s="21">
        <v>101</v>
      </c>
      <c r="L105" s="24" t="str">
        <f t="shared" si="16"/>
        <v/>
      </c>
      <c r="M105" s="24" t="str">
        <f t="shared" si="17"/>
        <v/>
      </c>
      <c r="N105" s="24" t="str">
        <f t="shared" si="18"/>
        <v/>
      </c>
      <c r="O105" s="24" t="str">
        <f t="shared" si="19"/>
        <v/>
      </c>
      <c r="P105" s="24" t="str">
        <f t="shared" si="20"/>
        <v/>
      </c>
      <c r="Q105" s="24" t="str">
        <f t="shared" si="21"/>
        <v/>
      </c>
      <c r="R105" s="24" t="str">
        <f t="shared" si="22"/>
        <v/>
      </c>
      <c r="T105" s="8" t="s">
        <v>23</v>
      </c>
      <c r="U105" s="8" t="s">
        <v>23</v>
      </c>
      <c r="V105" s="8" t="s">
        <v>23</v>
      </c>
      <c r="W105" s="8" t="s">
        <v>23</v>
      </c>
      <c r="X105" s="8" t="s">
        <v>23</v>
      </c>
      <c r="Y105" s="8" t="s">
        <v>23</v>
      </c>
      <c r="Z105" s="8" t="s">
        <v>23</v>
      </c>
      <c r="AB105" s="25" t="s">
        <v>23</v>
      </c>
      <c r="AC105" s="25" t="s">
        <v>23</v>
      </c>
      <c r="AD105" s="25" t="s">
        <v>23</v>
      </c>
      <c r="AE105" s="25" t="s">
        <v>23</v>
      </c>
      <c r="AF105" s="25" t="s">
        <v>23</v>
      </c>
      <c r="AG105" s="25" t="s">
        <v>23</v>
      </c>
      <c r="AH105" s="7" t="s">
        <v>23</v>
      </c>
      <c r="AJ105" s="7" t="s">
        <v>23</v>
      </c>
      <c r="AK105" s="7" t="s">
        <v>23</v>
      </c>
      <c r="AL105" s="7" t="s">
        <v>23</v>
      </c>
      <c r="AM105" s="7" t="s">
        <v>23</v>
      </c>
      <c r="AN105" s="7" t="s">
        <v>23</v>
      </c>
      <c r="AO105" s="7" t="s">
        <v>23</v>
      </c>
      <c r="AP105" s="7" t="s">
        <v>23</v>
      </c>
    </row>
    <row r="106" spans="11:42">
      <c r="K106" s="22">
        <v>102</v>
      </c>
      <c r="L106" s="24" t="str">
        <f t="shared" si="16"/>
        <v/>
      </c>
      <c r="M106" s="24" t="str">
        <f t="shared" si="17"/>
        <v/>
      </c>
      <c r="N106" s="24" t="str">
        <f t="shared" si="18"/>
        <v/>
      </c>
      <c r="O106" s="24" t="str">
        <f t="shared" si="19"/>
        <v/>
      </c>
      <c r="P106" s="24" t="str">
        <f t="shared" si="20"/>
        <v/>
      </c>
      <c r="Q106" s="24" t="str">
        <f t="shared" si="21"/>
        <v/>
      </c>
      <c r="R106" s="24" t="str">
        <f t="shared" si="22"/>
        <v/>
      </c>
      <c r="T106" s="8" t="s">
        <v>23</v>
      </c>
      <c r="U106" s="8" t="s">
        <v>23</v>
      </c>
      <c r="V106" s="8" t="s">
        <v>23</v>
      </c>
      <c r="W106" s="8" t="s">
        <v>23</v>
      </c>
      <c r="X106" s="8" t="s">
        <v>23</v>
      </c>
      <c r="Y106" s="8" t="s">
        <v>23</v>
      </c>
      <c r="Z106" s="8" t="s">
        <v>23</v>
      </c>
      <c r="AB106" s="25" t="s">
        <v>23</v>
      </c>
      <c r="AC106" s="25" t="s">
        <v>23</v>
      </c>
      <c r="AD106" s="25" t="s">
        <v>23</v>
      </c>
      <c r="AE106" s="25" t="s">
        <v>23</v>
      </c>
      <c r="AF106" s="25" t="s">
        <v>23</v>
      </c>
      <c r="AG106" s="25" t="s">
        <v>23</v>
      </c>
      <c r="AH106" s="7" t="s">
        <v>23</v>
      </c>
      <c r="AJ106" s="7" t="s">
        <v>23</v>
      </c>
      <c r="AK106" s="7" t="s">
        <v>23</v>
      </c>
      <c r="AL106" s="7" t="s">
        <v>23</v>
      </c>
      <c r="AM106" s="7" t="s">
        <v>23</v>
      </c>
      <c r="AN106" s="7" t="s">
        <v>23</v>
      </c>
      <c r="AO106" s="7" t="s">
        <v>23</v>
      </c>
      <c r="AP106" s="7" t="s">
        <v>23</v>
      </c>
    </row>
    <row r="107" spans="11:42">
      <c r="K107" s="21">
        <v>103</v>
      </c>
      <c r="L107" s="24" t="str">
        <f t="shared" si="16"/>
        <v/>
      </c>
      <c r="M107" s="24" t="str">
        <f t="shared" si="17"/>
        <v/>
      </c>
      <c r="N107" s="24" t="str">
        <f t="shared" si="18"/>
        <v/>
      </c>
      <c r="O107" s="24" t="str">
        <f t="shared" si="19"/>
        <v/>
      </c>
      <c r="P107" s="24" t="str">
        <f t="shared" si="20"/>
        <v/>
      </c>
      <c r="Q107" s="24" t="str">
        <f t="shared" si="21"/>
        <v/>
      </c>
      <c r="R107" s="24" t="str">
        <f t="shared" si="22"/>
        <v/>
      </c>
      <c r="T107" s="8" t="s">
        <v>23</v>
      </c>
      <c r="U107" s="8" t="s">
        <v>23</v>
      </c>
      <c r="V107" s="8" t="s">
        <v>23</v>
      </c>
      <c r="W107" s="8" t="s">
        <v>23</v>
      </c>
      <c r="X107" s="8" t="s">
        <v>23</v>
      </c>
      <c r="Y107" s="8" t="s">
        <v>23</v>
      </c>
      <c r="Z107" s="8" t="s">
        <v>23</v>
      </c>
      <c r="AB107" s="25" t="s">
        <v>23</v>
      </c>
      <c r="AC107" s="25" t="s">
        <v>23</v>
      </c>
      <c r="AD107" s="25" t="s">
        <v>23</v>
      </c>
      <c r="AE107" s="25" t="s">
        <v>23</v>
      </c>
      <c r="AF107" s="25" t="s">
        <v>23</v>
      </c>
      <c r="AG107" s="25" t="s">
        <v>23</v>
      </c>
      <c r="AH107" s="7" t="s">
        <v>23</v>
      </c>
      <c r="AJ107" s="7" t="s">
        <v>23</v>
      </c>
      <c r="AK107" s="7" t="s">
        <v>23</v>
      </c>
      <c r="AL107" s="7" t="s">
        <v>23</v>
      </c>
      <c r="AM107" s="7" t="s">
        <v>23</v>
      </c>
      <c r="AN107" s="7" t="s">
        <v>23</v>
      </c>
      <c r="AO107" s="7" t="s">
        <v>23</v>
      </c>
      <c r="AP107" s="7" t="s">
        <v>23</v>
      </c>
    </row>
    <row r="108" spans="11:42">
      <c r="K108" s="22">
        <v>104</v>
      </c>
      <c r="L108" s="24" t="str">
        <f t="shared" si="16"/>
        <v/>
      </c>
      <c r="M108" s="24" t="str">
        <f t="shared" si="17"/>
        <v/>
      </c>
      <c r="N108" s="24" t="str">
        <f t="shared" si="18"/>
        <v/>
      </c>
      <c r="O108" s="24" t="str">
        <f t="shared" si="19"/>
        <v/>
      </c>
      <c r="P108" s="24" t="str">
        <f t="shared" si="20"/>
        <v/>
      </c>
      <c r="Q108" s="24" t="str">
        <f t="shared" si="21"/>
        <v/>
      </c>
      <c r="R108" s="24" t="str">
        <f t="shared" si="22"/>
        <v/>
      </c>
      <c r="T108" s="8" t="s">
        <v>23</v>
      </c>
      <c r="U108" s="8" t="s">
        <v>23</v>
      </c>
      <c r="V108" s="8" t="s">
        <v>23</v>
      </c>
      <c r="W108" s="8" t="s">
        <v>23</v>
      </c>
      <c r="X108" s="8" t="s">
        <v>23</v>
      </c>
      <c r="Y108" s="8" t="s">
        <v>23</v>
      </c>
      <c r="Z108" s="8" t="s">
        <v>23</v>
      </c>
      <c r="AB108" s="25" t="s">
        <v>23</v>
      </c>
      <c r="AC108" s="25" t="s">
        <v>23</v>
      </c>
      <c r="AD108" s="25" t="s">
        <v>23</v>
      </c>
      <c r="AE108" s="25" t="s">
        <v>23</v>
      </c>
      <c r="AF108" s="25" t="s">
        <v>23</v>
      </c>
      <c r="AG108" s="25" t="s">
        <v>23</v>
      </c>
      <c r="AH108" s="7" t="s">
        <v>23</v>
      </c>
      <c r="AJ108" s="7" t="s">
        <v>23</v>
      </c>
      <c r="AK108" s="7" t="s">
        <v>23</v>
      </c>
      <c r="AL108" s="7" t="s">
        <v>23</v>
      </c>
      <c r="AM108" s="7" t="s">
        <v>23</v>
      </c>
      <c r="AN108" s="7" t="s">
        <v>23</v>
      </c>
      <c r="AO108" s="7" t="s">
        <v>23</v>
      </c>
      <c r="AP108" s="7" t="s">
        <v>23</v>
      </c>
    </row>
    <row r="109" spans="11:42">
      <c r="K109" s="21">
        <v>105</v>
      </c>
      <c r="L109" s="24" t="str">
        <f t="shared" si="16"/>
        <v/>
      </c>
      <c r="M109" s="24" t="str">
        <f t="shared" si="17"/>
        <v/>
      </c>
      <c r="N109" s="24" t="str">
        <f t="shared" si="18"/>
        <v/>
      </c>
      <c r="O109" s="24" t="str">
        <f t="shared" si="19"/>
        <v/>
      </c>
      <c r="P109" s="24" t="str">
        <f t="shared" si="20"/>
        <v/>
      </c>
      <c r="Q109" s="24" t="str">
        <f t="shared" si="21"/>
        <v/>
      </c>
      <c r="R109" s="24" t="str">
        <f t="shared" si="22"/>
        <v/>
      </c>
      <c r="T109" s="8" t="s">
        <v>23</v>
      </c>
      <c r="U109" s="8" t="s">
        <v>23</v>
      </c>
      <c r="V109" s="8" t="s">
        <v>23</v>
      </c>
      <c r="W109" s="8" t="s">
        <v>23</v>
      </c>
      <c r="X109" s="8" t="s">
        <v>23</v>
      </c>
      <c r="Y109" s="8" t="s">
        <v>23</v>
      </c>
      <c r="Z109" s="8" t="s">
        <v>23</v>
      </c>
      <c r="AB109" s="25" t="s">
        <v>23</v>
      </c>
      <c r="AC109" s="25" t="s">
        <v>23</v>
      </c>
      <c r="AD109" s="25" t="s">
        <v>23</v>
      </c>
      <c r="AE109" s="25" t="s">
        <v>23</v>
      </c>
      <c r="AF109" s="25" t="s">
        <v>23</v>
      </c>
      <c r="AG109" s="25" t="s">
        <v>23</v>
      </c>
      <c r="AH109" s="7" t="s">
        <v>23</v>
      </c>
      <c r="AJ109" s="7" t="s">
        <v>23</v>
      </c>
      <c r="AK109" s="7" t="s">
        <v>23</v>
      </c>
      <c r="AL109" s="7" t="s">
        <v>23</v>
      </c>
      <c r="AM109" s="7" t="s">
        <v>23</v>
      </c>
      <c r="AN109" s="7" t="s">
        <v>23</v>
      </c>
      <c r="AO109" s="7" t="s">
        <v>23</v>
      </c>
      <c r="AP109" s="7" t="s">
        <v>23</v>
      </c>
    </row>
    <row r="110" spans="11:42">
      <c r="K110" s="22">
        <v>106</v>
      </c>
      <c r="L110" s="24" t="str">
        <f t="shared" si="16"/>
        <v/>
      </c>
      <c r="M110" s="24" t="str">
        <f t="shared" si="17"/>
        <v/>
      </c>
      <c r="N110" s="24" t="str">
        <f t="shared" si="18"/>
        <v/>
      </c>
      <c r="O110" s="24" t="str">
        <f t="shared" si="19"/>
        <v/>
      </c>
      <c r="P110" s="24" t="str">
        <f t="shared" si="20"/>
        <v/>
      </c>
      <c r="Q110" s="24" t="str">
        <f t="shared" si="21"/>
        <v/>
      </c>
      <c r="R110" s="24" t="str">
        <f t="shared" si="22"/>
        <v/>
      </c>
      <c r="T110" s="8" t="s">
        <v>23</v>
      </c>
      <c r="U110" s="8" t="s">
        <v>23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B110" s="25" t="s">
        <v>23</v>
      </c>
      <c r="AC110" s="25" t="s">
        <v>23</v>
      </c>
      <c r="AD110" s="25" t="s">
        <v>23</v>
      </c>
      <c r="AE110" s="25" t="s">
        <v>23</v>
      </c>
      <c r="AF110" s="25" t="s">
        <v>23</v>
      </c>
      <c r="AG110" s="25" t="s">
        <v>23</v>
      </c>
      <c r="AH110" s="7" t="s">
        <v>23</v>
      </c>
      <c r="AJ110" s="7" t="s">
        <v>23</v>
      </c>
      <c r="AK110" s="7" t="s">
        <v>23</v>
      </c>
      <c r="AL110" s="7" t="s">
        <v>23</v>
      </c>
      <c r="AM110" s="7" t="s">
        <v>23</v>
      </c>
      <c r="AN110" s="7" t="s">
        <v>23</v>
      </c>
      <c r="AO110" s="7" t="s">
        <v>23</v>
      </c>
      <c r="AP110" s="7" t="s">
        <v>23</v>
      </c>
    </row>
    <row r="111" spans="11:42">
      <c r="K111" s="21">
        <v>107</v>
      </c>
      <c r="L111" s="24" t="str">
        <f t="shared" si="16"/>
        <v/>
      </c>
      <c r="M111" s="24" t="str">
        <f t="shared" si="17"/>
        <v/>
      </c>
      <c r="N111" s="24" t="str">
        <f t="shared" si="18"/>
        <v/>
      </c>
      <c r="O111" s="24" t="str">
        <f t="shared" si="19"/>
        <v/>
      </c>
      <c r="P111" s="24" t="str">
        <f t="shared" si="20"/>
        <v/>
      </c>
      <c r="Q111" s="24" t="str">
        <f t="shared" si="21"/>
        <v/>
      </c>
      <c r="R111" s="24" t="str">
        <f t="shared" si="22"/>
        <v/>
      </c>
      <c r="T111" s="8" t="s">
        <v>23</v>
      </c>
      <c r="U111" s="8" t="s">
        <v>23</v>
      </c>
      <c r="V111" s="8" t="s">
        <v>23</v>
      </c>
      <c r="W111" s="8" t="s">
        <v>23</v>
      </c>
      <c r="X111" s="8" t="s">
        <v>23</v>
      </c>
      <c r="Y111" s="8" t="s">
        <v>23</v>
      </c>
      <c r="Z111" s="8" t="s">
        <v>23</v>
      </c>
      <c r="AB111" s="25" t="s">
        <v>23</v>
      </c>
      <c r="AC111" s="25" t="s">
        <v>23</v>
      </c>
      <c r="AD111" s="25" t="s">
        <v>23</v>
      </c>
      <c r="AE111" s="25" t="s">
        <v>23</v>
      </c>
      <c r="AF111" s="25" t="s">
        <v>23</v>
      </c>
      <c r="AG111" s="25" t="s">
        <v>23</v>
      </c>
      <c r="AH111" s="7" t="s">
        <v>23</v>
      </c>
      <c r="AJ111" s="7" t="s">
        <v>23</v>
      </c>
      <c r="AK111" s="7" t="s">
        <v>23</v>
      </c>
      <c r="AL111" s="7" t="s">
        <v>23</v>
      </c>
      <c r="AM111" s="7" t="s">
        <v>23</v>
      </c>
      <c r="AN111" s="7" t="s">
        <v>23</v>
      </c>
      <c r="AO111" s="7" t="s">
        <v>23</v>
      </c>
      <c r="AP111" s="7" t="s">
        <v>23</v>
      </c>
    </row>
    <row r="112" spans="11:42">
      <c r="K112" s="22">
        <v>108</v>
      </c>
      <c r="L112" s="24" t="str">
        <f t="shared" si="16"/>
        <v/>
      </c>
      <c r="M112" s="24" t="str">
        <f t="shared" si="17"/>
        <v/>
      </c>
      <c r="N112" s="24" t="str">
        <f t="shared" si="18"/>
        <v/>
      </c>
      <c r="O112" s="24" t="str">
        <f t="shared" si="19"/>
        <v/>
      </c>
      <c r="P112" s="24" t="str">
        <f t="shared" si="20"/>
        <v/>
      </c>
      <c r="Q112" s="24" t="str">
        <f t="shared" si="21"/>
        <v/>
      </c>
      <c r="R112" s="24" t="str">
        <f t="shared" si="22"/>
        <v/>
      </c>
      <c r="T112" s="8" t="s">
        <v>23</v>
      </c>
      <c r="U112" s="8" t="s">
        <v>23</v>
      </c>
      <c r="V112" s="8" t="s">
        <v>23</v>
      </c>
      <c r="W112" s="8" t="s">
        <v>23</v>
      </c>
      <c r="X112" s="8" t="s">
        <v>23</v>
      </c>
      <c r="Y112" s="8" t="s">
        <v>23</v>
      </c>
      <c r="Z112" s="8" t="s">
        <v>23</v>
      </c>
      <c r="AB112" s="25" t="s">
        <v>23</v>
      </c>
      <c r="AC112" s="25" t="s">
        <v>23</v>
      </c>
      <c r="AD112" s="25" t="s">
        <v>23</v>
      </c>
      <c r="AE112" s="25" t="s">
        <v>23</v>
      </c>
      <c r="AF112" s="25" t="s">
        <v>23</v>
      </c>
      <c r="AG112" s="25" t="s">
        <v>23</v>
      </c>
      <c r="AH112" s="7" t="s">
        <v>23</v>
      </c>
      <c r="AJ112" s="7" t="s">
        <v>23</v>
      </c>
      <c r="AK112" s="7" t="s">
        <v>23</v>
      </c>
      <c r="AL112" s="7" t="s">
        <v>23</v>
      </c>
      <c r="AM112" s="7" t="s">
        <v>23</v>
      </c>
      <c r="AN112" s="7" t="s">
        <v>23</v>
      </c>
      <c r="AO112" s="7" t="s">
        <v>23</v>
      </c>
      <c r="AP112" s="7" t="s">
        <v>23</v>
      </c>
    </row>
    <row r="113" spans="11:42">
      <c r="K113" s="21">
        <v>109</v>
      </c>
      <c r="L113" s="24" t="str">
        <f t="shared" si="16"/>
        <v/>
      </c>
      <c r="M113" s="24" t="str">
        <f t="shared" si="17"/>
        <v/>
      </c>
      <c r="N113" s="24" t="str">
        <f t="shared" si="18"/>
        <v/>
      </c>
      <c r="O113" s="24" t="str">
        <f t="shared" si="19"/>
        <v/>
      </c>
      <c r="P113" s="24" t="str">
        <f t="shared" si="20"/>
        <v/>
      </c>
      <c r="Q113" s="24" t="str">
        <f t="shared" si="21"/>
        <v/>
      </c>
      <c r="R113" s="24" t="str">
        <f t="shared" si="22"/>
        <v/>
      </c>
      <c r="T113" s="8" t="s">
        <v>23</v>
      </c>
      <c r="U113" s="8" t="s">
        <v>23</v>
      </c>
      <c r="V113" s="8" t="s">
        <v>23</v>
      </c>
      <c r="W113" s="8" t="s">
        <v>23</v>
      </c>
      <c r="X113" s="8" t="s">
        <v>23</v>
      </c>
      <c r="Y113" s="8" t="s">
        <v>23</v>
      </c>
      <c r="Z113" s="8" t="s">
        <v>23</v>
      </c>
      <c r="AB113" s="25" t="s">
        <v>23</v>
      </c>
      <c r="AC113" s="25" t="s">
        <v>23</v>
      </c>
      <c r="AD113" s="25" t="s">
        <v>23</v>
      </c>
      <c r="AE113" s="25" t="s">
        <v>23</v>
      </c>
      <c r="AF113" s="25" t="s">
        <v>23</v>
      </c>
      <c r="AG113" s="25" t="s">
        <v>23</v>
      </c>
      <c r="AH113" s="7" t="s">
        <v>23</v>
      </c>
      <c r="AJ113" s="7" t="s">
        <v>23</v>
      </c>
      <c r="AK113" s="7" t="s">
        <v>23</v>
      </c>
      <c r="AL113" s="7" t="s">
        <v>23</v>
      </c>
      <c r="AM113" s="7" t="s">
        <v>23</v>
      </c>
      <c r="AN113" s="7" t="s">
        <v>23</v>
      </c>
      <c r="AO113" s="7" t="s">
        <v>23</v>
      </c>
      <c r="AP113" s="7" t="s">
        <v>23</v>
      </c>
    </row>
    <row r="114" spans="11:42">
      <c r="K114" s="22">
        <v>110</v>
      </c>
      <c r="L114" s="24" t="str">
        <f t="shared" si="16"/>
        <v/>
      </c>
      <c r="M114" s="24" t="str">
        <f t="shared" si="17"/>
        <v/>
      </c>
      <c r="N114" s="24" t="str">
        <f t="shared" si="18"/>
        <v/>
      </c>
      <c r="O114" s="24" t="str">
        <f t="shared" si="19"/>
        <v/>
      </c>
      <c r="P114" s="24" t="str">
        <f t="shared" si="20"/>
        <v/>
      </c>
      <c r="Q114" s="24" t="str">
        <f t="shared" si="21"/>
        <v/>
      </c>
      <c r="R114" s="24" t="str">
        <f t="shared" si="22"/>
        <v/>
      </c>
      <c r="T114" s="8" t="s">
        <v>23</v>
      </c>
      <c r="U114" s="8" t="s">
        <v>23</v>
      </c>
      <c r="V114" s="8" t="s">
        <v>23</v>
      </c>
      <c r="W114" s="8" t="s">
        <v>23</v>
      </c>
      <c r="X114" s="8" t="s">
        <v>23</v>
      </c>
      <c r="Y114" s="8" t="s">
        <v>23</v>
      </c>
      <c r="Z114" s="8" t="s">
        <v>23</v>
      </c>
      <c r="AB114" s="25" t="s">
        <v>23</v>
      </c>
      <c r="AC114" s="25" t="s">
        <v>23</v>
      </c>
      <c r="AD114" s="25" t="s">
        <v>23</v>
      </c>
      <c r="AE114" s="25" t="s">
        <v>23</v>
      </c>
      <c r="AF114" s="25" t="s">
        <v>23</v>
      </c>
      <c r="AG114" s="25" t="s">
        <v>23</v>
      </c>
      <c r="AH114" s="7" t="s">
        <v>23</v>
      </c>
      <c r="AJ114" s="7" t="s">
        <v>23</v>
      </c>
      <c r="AK114" s="7" t="s">
        <v>23</v>
      </c>
      <c r="AL114" s="7" t="s">
        <v>23</v>
      </c>
      <c r="AM114" s="7" t="s">
        <v>23</v>
      </c>
      <c r="AN114" s="7" t="s">
        <v>23</v>
      </c>
      <c r="AO114" s="7" t="s">
        <v>23</v>
      </c>
      <c r="AP114" s="7" t="s">
        <v>23</v>
      </c>
    </row>
    <row r="115" spans="11:42">
      <c r="K115" s="21">
        <v>111</v>
      </c>
      <c r="L115" s="24" t="str">
        <f t="shared" si="16"/>
        <v/>
      </c>
      <c r="M115" s="24" t="str">
        <f t="shared" si="17"/>
        <v/>
      </c>
      <c r="N115" s="24" t="str">
        <f t="shared" si="18"/>
        <v/>
      </c>
      <c r="O115" s="24" t="str">
        <f t="shared" si="19"/>
        <v/>
      </c>
      <c r="P115" s="24" t="str">
        <f t="shared" si="20"/>
        <v/>
      </c>
      <c r="Q115" s="24" t="str">
        <f t="shared" si="21"/>
        <v/>
      </c>
      <c r="R115" s="24" t="str">
        <f t="shared" si="22"/>
        <v/>
      </c>
      <c r="T115" s="8" t="s">
        <v>23</v>
      </c>
      <c r="U115" s="8" t="s">
        <v>23</v>
      </c>
      <c r="V115" s="8" t="s">
        <v>23</v>
      </c>
      <c r="W115" s="8" t="s">
        <v>23</v>
      </c>
      <c r="X115" s="8" t="s">
        <v>23</v>
      </c>
      <c r="Y115" s="8" t="s">
        <v>23</v>
      </c>
      <c r="Z115" s="8" t="s">
        <v>23</v>
      </c>
      <c r="AB115" s="25" t="s">
        <v>23</v>
      </c>
      <c r="AC115" s="25" t="s">
        <v>23</v>
      </c>
      <c r="AD115" s="25" t="s">
        <v>23</v>
      </c>
      <c r="AE115" s="25" t="s">
        <v>23</v>
      </c>
      <c r="AF115" s="25" t="s">
        <v>23</v>
      </c>
      <c r="AG115" s="25" t="s">
        <v>23</v>
      </c>
      <c r="AH115" s="7" t="s">
        <v>23</v>
      </c>
      <c r="AJ115" s="7" t="s">
        <v>23</v>
      </c>
      <c r="AK115" s="7" t="s">
        <v>23</v>
      </c>
      <c r="AL115" s="7" t="s">
        <v>23</v>
      </c>
      <c r="AM115" s="7" t="s">
        <v>23</v>
      </c>
      <c r="AN115" s="7" t="s">
        <v>23</v>
      </c>
      <c r="AO115" s="7" t="s">
        <v>23</v>
      </c>
      <c r="AP115" s="7" t="s">
        <v>23</v>
      </c>
    </row>
    <row r="116" spans="11:42">
      <c r="K116" s="22">
        <v>112</v>
      </c>
      <c r="L116" s="24" t="str">
        <f t="shared" si="16"/>
        <v/>
      </c>
      <c r="M116" s="24" t="str">
        <f t="shared" si="17"/>
        <v/>
      </c>
      <c r="N116" s="24" t="str">
        <f t="shared" si="18"/>
        <v/>
      </c>
      <c r="O116" s="24" t="str">
        <f t="shared" si="19"/>
        <v/>
      </c>
      <c r="P116" s="24" t="str">
        <f t="shared" si="20"/>
        <v/>
      </c>
      <c r="Q116" s="24" t="str">
        <f t="shared" si="21"/>
        <v/>
      </c>
      <c r="R116" s="24" t="str">
        <f t="shared" si="22"/>
        <v/>
      </c>
      <c r="T116" s="8" t="s">
        <v>23</v>
      </c>
      <c r="U116" s="8" t="s">
        <v>23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B116" s="25" t="s">
        <v>23</v>
      </c>
      <c r="AC116" s="25" t="s">
        <v>23</v>
      </c>
      <c r="AD116" s="25" t="s">
        <v>23</v>
      </c>
      <c r="AE116" s="25" t="s">
        <v>23</v>
      </c>
      <c r="AF116" s="25" t="s">
        <v>23</v>
      </c>
      <c r="AG116" s="25" t="s">
        <v>23</v>
      </c>
      <c r="AH116" s="7" t="s">
        <v>23</v>
      </c>
      <c r="AJ116" s="7" t="s">
        <v>23</v>
      </c>
      <c r="AK116" s="7" t="s">
        <v>23</v>
      </c>
      <c r="AL116" s="7" t="s">
        <v>23</v>
      </c>
      <c r="AM116" s="7" t="s">
        <v>23</v>
      </c>
      <c r="AN116" s="7" t="s">
        <v>23</v>
      </c>
      <c r="AO116" s="7" t="s">
        <v>23</v>
      </c>
      <c r="AP116" s="7" t="s">
        <v>23</v>
      </c>
    </row>
    <row r="117" spans="11:42">
      <c r="K117" s="21">
        <v>113</v>
      </c>
      <c r="L117" s="24" t="str">
        <f t="shared" si="16"/>
        <v/>
      </c>
      <c r="M117" s="24" t="str">
        <f t="shared" si="17"/>
        <v/>
      </c>
      <c r="N117" s="24" t="str">
        <f t="shared" si="18"/>
        <v/>
      </c>
      <c r="O117" s="24" t="str">
        <f t="shared" si="19"/>
        <v/>
      </c>
      <c r="P117" s="24" t="str">
        <f t="shared" si="20"/>
        <v/>
      </c>
      <c r="Q117" s="24" t="str">
        <f t="shared" si="21"/>
        <v/>
      </c>
      <c r="R117" s="24" t="str">
        <f t="shared" si="22"/>
        <v/>
      </c>
      <c r="T117" s="8" t="s">
        <v>23</v>
      </c>
      <c r="U117" s="8" t="s">
        <v>23</v>
      </c>
      <c r="V117" s="8" t="s">
        <v>23</v>
      </c>
      <c r="W117" s="8" t="s">
        <v>23</v>
      </c>
      <c r="X117" s="8" t="s">
        <v>23</v>
      </c>
      <c r="Y117" s="8" t="s">
        <v>23</v>
      </c>
      <c r="Z117" s="8" t="s">
        <v>23</v>
      </c>
      <c r="AB117" s="25" t="s">
        <v>23</v>
      </c>
      <c r="AC117" s="25" t="s">
        <v>23</v>
      </c>
      <c r="AD117" s="25" t="s">
        <v>23</v>
      </c>
      <c r="AE117" s="25" t="s">
        <v>23</v>
      </c>
      <c r="AF117" s="25" t="s">
        <v>23</v>
      </c>
      <c r="AG117" s="25" t="s">
        <v>23</v>
      </c>
      <c r="AH117" s="7" t="s">
        <v>23</v>
      </c>
      <c r="AJ117" s="7" t="s">
        <v>23</v>
      </c>
      <c r="AK117" s="7" t="s">
        <v>23</v>
      </c>
      <c r="AL117" s="7" t="s">
        <v>23</v>
      </c>
      <c r="AM117" s="7" t="s">
        <v>23</v>
      </c>
      <c r="AN117" s="7" t="s">
        <v>23</v>
      </c>
      <c r="AO117" s="7" t="s">
        <v>23</v>
      </c>
      <c r="AP117" s="7" t="s">
        <v>23</v>
      </c>
    </row>
    <row r="118" spans="11:42">
      <c r="K118" s="22">
        <v>114</v>
      </c>
      <c r="L118" s="24" t="str">
        <f t="shared" si="16"/>
        <v/>
      </c>
      <c r="M118" s="24" t="str">
        <f t="shared" si="17"/>
        <v/>
      </c>
      <c r="N118" s="24" t="str">
        <f t="shared" si="18"/>
        <v/>
      </c>
      <c r="O118" s="24" t="str">
        <f t="shared" si="19"/>
        <v/>
      </c>
      <c r="P118" s="24" t="str">
        <f t="shared" si="20"/>
        <v/>
      </c>
      <c r="Q118" s="24" t="str">
        <f t="shared" si="21"/>
        <v/>
      </c>
      <c r="R118" s="24" t="str">
        <f t="shared" si="22"/>
        <v/>
      </c>
      <c r="T118" s="8" t="s">
        <v>23</v>
      </c>
      <c r="U118" s="8" t="s">
        <v>23</v>
      </c>
      <c r="V118" s="8" t="s">
        <v>23</v>
      </c>
      <c r="W118" s="8" t="s">
        <v>23</v>
      </c>
      <c r="X118" s="8" t="s">
        <v>23</v>
      </c>
      <c r="Y118" s="8" t="s">
        <v>23</v>
      </c>
      <c r="Z118" s="8" t="s">
        <v>23</v>
      </c>
      <c r="AB118" s="25" t="s">
        <v>23</v>
      </c>
      <c r="AC118" s="25" t="s">
        <v>23</v>
      </c>
      <c r="AD118" s="25" t="s">
        <v>23</v>
      </c>
      <c r="AE118" s="25" t="s">
        <v>23</v>
      </c>
      <c r="AF118" s="25" t="s">
        <v>23</v>
      </c>
      <c r="AG118" s="25" t="s">
        <v>23</v>
      </c>
      <c r="AH118" s="7" t="s">
        <v>23</v>
      </c>
      <c r="AJ118" s="7" t="s">
        <v>23</v>
      </c>
      <c r="AK118" s="7" t="s">
        <v>23</v>
      </c>
      <c r="AL118" s="7" t="s">
        <v>23</v>
      </c>
      <c r="AM118" s="7" t="s">
        <v>23</v>
      </c>
      <c r="AN118" s="7" t="s">
        <v>23</v>
      </c>
      <c r="AO118" s="7" t="s">
        <v>23</v>
      </c>
      <c r="AP118" s="7" t="s">
        <v>23</v>
      </c>
    </row>
    <row r="119" spans="11:42">
      <c r="K119" s="21">
        <v>115</v>
      </c>
      <c r="L119" s="24" t="str">
        <f t="shared" si="16"/>
        <v/>
      </c>
      <c r="M119" s="24" t="str">
        <f t="shared" si="17"/>
        <v/>
      </c>
      <c r="N119" s="24" t="str">
        <f t="shared" si="18"/>
        <v/>
      </c>
      <c r="O119" s="24" t="str">
        <f t="shared" si="19"/>
        <v/>
      </c>
      <c r="P119" s="24" t="str">
        <f t="shared" si="20"/>
        <v/>
      </c>
      <c r="Q119" s="24" t="str">
        <f t="shared" si="21"/>
        <v/>
      </c>
      <c r="R119" s="24" t="str">
        <f t="shared" si="22"/>
        <v/>
      </c>
      <c r="T119" s="8" t="s">
        <v>23</v>
      </c>
      <c r="U119" s="8" t="s">
        <v>23</v>
      </c>
      <c r="V119" s="8" t="s">
        <v>23</v>
      </c>
      <c r="W119" s="8" t="s">
        <v>23</v>
      </c>
      <c r="X119" s="8" t="s">
        <v>23</v>
      </c>
      <c r="Y119" s="8" t="s">
        <v>23</v>
      </c>
      <c r="Z119" s="8" t="s">
        <v>23</v>
      </c>
      <c r="AB119" s="25" t="s">
        <v>23</v>
      </c>
      <c r="AC119" s="25" t="s">
        <v>23</v>
      </c>
      <c r="AD119" s="25" t="s">
        <v>23</v>
      </c>
      <c r="AE119" s="25" t="s">
        <v>23</v>
      </c>
      <c r="AF119" s="25" t="s">
        <v>23</v>
      </c>
      <c r="AG119" s="25" t="s">
        <v>23</v>
      </c>
      <c r="AH119" s="7" t="s">
        <v>23</v>
      </c>
      <c r="AJ119" s="7" t="s">
        <v>23</v>
      </c>
      <c r="AK119" s="7" t="s">
        <v>23</v>
      </c>
      <c r="AL119" s="7" t="s">
        <v>23</v>
      </c>
      <c r="AM119" s="7" t="s">
        <v>23</v>
      </c>
      <c r="AN119" s="7" t="s">
        <v>23</v>
      </c>
      <c r="AO119" s="7" t="s">
        <v>23</v>
      </c>
      <c r="AP119" s="7" t="s">
        <v>23</v>
      </c>
    </row>
    <row r="120" spans="11:42">
      <c r="K120" s="22">
        <v>116</v>
      </c>
      <c r="L120" s="24" t="str">
        <f t="shared" si="16"/>
        <v/>
      </c>
      <c r="M120" s="24" t="str">
        <f t="shared" si="17"/>
        <v/>
      </c>
      <c r="N120" s="24" t="str">
        <f t="shared" si="18"/>
        <v/>
      </c>
      <c r="O120" s="24" t="str">
        <f t="shared" si="19"/>
        <v/>
      </c>
      <c r="P120" s="24" t="str">
        <f t="shared" si="20"/>
        <v/>
      </c>
      <c r="Q120" s="24" t="str">
        <f t="shared" si="21"/>
        <v/>
      </c>
      <c r="R120" s="24" t="str">
        <f t="shared" si="22"/>
        <v/>
      </c>
      <c r="T120" s="8" t="s">
        <v>23</v>
      </c>
      <c r="U120" s="8" t="s">
        <v>23</v>
      </c>
      <c r="V120" s="8" t="s">
        <v>23</v>
      </c>
      <c r="W120" s="8" t="s">
        <v>23</v>
      </c>
      <c r="X120" s="8" t="s">
        <v>23</v>
      </c>
      <c r="Y120" s="8" t="s">
        <v>23</v>
      </c>
      <c r="Z120" s="8" t="s">
        <v>23</v>
      </c>
      <c r="AB120" s="25" t="s">
        <v>23</v>
      </c>
      <c r="AC120" s="25" t="s">
        <v>23</v>
      </c>
      <c r="AD120" s="25" t="s">
        <v>23</v>
      </c>
      <c r="AE120" s="25" t="s">
        <v>23</v>
      </c>
      <c r="AF120" s="25" t="s">
        <v>23</v>
      </c>
      <c r="AG120" s="25" t="s">
        <v>23</v>
      </c>
      <c r="AH120" s="7" t="s">
        <v>23</v>
      </c>
      <c r="AJ120" s="7" t="s">
        <v>23</v>
      </c>
      <c r="AK120" s="7" t="s">
        <v>23</v>
      </c>
      <c r="AL120" s="7" t="s">
        <v>23</v>
      </c>
      <c r="AM120" s="7" t="s">
        <v>23</v>
      </c>
      <c r="AN120" s="7" t="s">
        <v>23</v>
      </c>
      <c r="AO120" s="7" t="s">
        <v>23</v>
      </c>
      <c r="AP120" s="7" t="s">
        <v>23</v>
      </c>
    </row>
    <row r="121" spans="11:42">
      <c r="K121" s="21">
        <v>117</v>
      </c>
      <c r="L121" s="24" t="str">
        <f t="shared" si="16"/>
        <v/>
      </c>
      <c r="M121" s="24" t="str">
        <f t="shared" si="17"/>
        <v/>
      </c>
      <c r="N121" s="24" t="str">
        <f t="shared" si="18"/>
        <v/>
      </c>
      <c r="O121" s="24" t="str">
        <f t="shared" si="19"/>
        <v/>
      </c>
      <c r="P121" s="24" t="str">
        <f t="shared" si="20"/>
        <v/>
      </c>
      <c r="Q121" s="24" t="str">
        <f t="shared" si="21"/>
        <v/>
      </c>
      <c r="R121" s="24" t="str">
        <f t="shared" si="22"/>
        <v/>
      </c>
      <c r="T121" s="8" t="s">
        <v>23</v>
      </c>
      <c r="U121" s="8" t="s">
        <v>23</v>
      </c>
      <c r="V121" s="8" t="s">
        <v>23</v>
      </c>
      <c r="W121" s="8" t="s">
        <v>23</v>
      </c>
      <c r="X121" s="8" t="s">
        <v>23</v>
      </c>
      <c r="Y121" s="8" t="s">
        <v>23</v>
      </c>
      <c r="Z121" s="8" t="s">
        <v>23</v>
      </c>
      <c r="AB121" s="25" t="s">
        <v>23</v>
      </c>
      <c r="AC121" s="25" t="s">
        <v>23</v>
      </c>
      <c r="AD121" s="25" t="s">
        <v>23</v>
      </c>
      <c r="AE121" s="25" t="s">
        <v>23</v>
      </c>
      <c r="AF121" s="25" t="s">
        <v>23</v>
      </c>
      <c r="AG121" s="25" t="s">
        <v>23</v>
      </c>
      <c r="AH121" s="7" t="s">
        <v>23</v>
      </c>
      <c r="AJ121" s="7" t="s">
        <v>23</v>
      </c>
      <c r="AK121" s="7" t="s">
        <v>23</v>
      </c>
      <c r="AL121" s="7" t="s">
        <v>23</v>
      </c>
      <c r="AM121" s="7" t="s">
        <v>23</v>
      </c>
      <c r="AN121" s="7" t="s">
        <v>23</v>
      </c>
      <c r="AO121" s="7" t="s">
        <v>23</v>
      </c>
      <c r="AP121" s="7" t="s">
        <v>23</v>
      </c>
    </row>
    <row r="122" spans="11:42">
      <c r="K122" s="22">
        <v>118</v>
      </c>
      <c r="L122" s="24" t="str">
        <f t="shared" si="16"/>
        <v/>
      </c>
      <c r="M122" s="24" t="str">
        <f t="shared" si="17"/>
        <v/>
      </c>
      <c r="N122" s="24" t="str">
        <f t="shared" si="18"/>
        <v/>
      </c>
      <c r="O122" s="24" t="str">
        <f t="shared" si="19"/>
        <v/>
      </c>
      <c r="P122" s="24" t="str">
        <f t="shared" si="20"/>
        <v/>
      </c>
      <c r="Q122" s="24" t="str">
        <f t="shared" si="21"/>
        <v/>
      </c>
      <c r="R122" s="24" t="str">
        <f t="shared" si="22"/>
        <v/>
      </c>
      <c r="T122" s="8" t="s">
        <v>23</v>
      </c>
      <c r="U122" s="8" t="s">
        <v>23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B122" s="25" t="s">
        <v>23</v>
      </c>
      <c r="AC122" s="25" t="s">
        <v>23</v>
      </c>
      <c r="AD122" s="25" t="s">
        <v>23</v>
      </c>
      <c r="AE122" s="25" t="s">
        <v>23</v>
      </c>
      <c r="AF122" s="25" t="s">
        <v>23</v>
      </c>
      <c r="AG122" s="25" t="s">
        <v>23</v>
      </c>
      <c r="AH122" s="7" t="s">
        <v>23</v>
      </c>
      <c r="AJ122" s="7" t="s">
        <v>23</v>
      </c>
      <c r="AK122" s="7" t="s">
        <v>23</v>
      </c>
      <c r="AL122" s="7" t="s">
        <v>23</v>
      </c>
      <c r="AM122" s="7" t="s">
        <v>23</v>
      </c>
      <c r="AN122" s="7" t="s">
        <v>23</v>
      </c>
      <c r="AO122" s="7" t="s">
        <v>23</v>
      </c>
      <c r="AP122" s="7" t="s">
        <v>23</v>
      </c>
    </row>
    <row r="123" spans="11:42">
      <c r="K123" s="21">
        <v>119</v>
      </c>
      <c r="L123" s="24" t="str">
        <f t="shared" si="16"/>
        <v/>
      </c>
      <c r="M123" s="24" t="str">
        <f t="shared" si="17"/>
        <v/>
      </c>
      <c r="N123" s="24" t="str">
        <f t="shared" si="18"/>
        <v/>
      </c>
      <c r="O123" s="24" t="str">
        <f t="shared" si="19"/>
        <v/>
      </c>
      <c r="P123" s="24" t="str">
        <f t="shared" si="20"/>
        <v/>
      </c>
      <c r="Q123" s="24" t="str">
        <f t="shared" si="21"/>
        <v/>
      </c>
      <c r="R123" s="24" t="str">
        <f t="shared" si="22"/>
        <v/>
      </c>
      <c r="T123" s="8" t="s">
        <v>23</v>
      </c>
      <c r="U123" s="8" t="s">
        <v>23</v>
      </c>
      <c r="V123" s="8" t="s">
        <v>23</v>
      </c>
      <c r="W123" s="8" t="s">
        <v>23</v>
      </c>
      <c r="X123" s="8" t="s">
        <v>23</v>
      </c>
      <c r="Y123" s="8" t="s">
        <v>23</v>
      </c>
      <c r="Z123" s="8" t="s">
        <v>23</v>
      </c>
      <c r="AB123" s="25" t="s">
        <v>23</v>
      </c>
      <c r="AC123" s="25" t="s">
        <v>23</v>
      </c>
      <c r="AD123" s="25" t="s">
        <v>23</v>
      </c>
      <c r="AE123" s="25" t="s">
        <v>23</v>
      </c>
      <c r="AF123" s="25" t="s">
        <v>23</v>
      </c>
      <c r="AG123" s="25" t="s">
        <v>23</v>
      </c>
      <c r="AH123" s="7" t="s">
        <v>23</v>
      </c>
      <c r="AJ123" s="7" t="s">
        <v>23</v>
      </c>
      <c r="AK123" s="7" t="s">
        <v>23</v>
      </c>
      <c r="AL123" s="7" t="s">
        <v>23</v>
      </c>
      <c r="AM123" s="7" t="s">
        <v>23</v>
      </c>
      <c r="AN123" s="7" t="s">
        <v>23</v>
      </c>
      <c r="AO123" s="7" t="s">
        <v>23</v>
      </c>
      <c r="AP123" s="7" t="s">
        <v>23</v>
      </c>
    </row>
    <row r="124" spans="11:42">
      <c r="K124" s="22">
        <v>120</v>
      </c>
      <c r="L124" s="24" t="str">
        <f t="shared" si="16"/>
        <v/>
      </c>
      <c r="M124" s="24" t="str">
        <f t="shared" si="17"/>
        <v/>
      </c>
      <c r="N124" s="24" t="str">
        <f t="shared" si="18"/>
        <v/>
      </c>
      <c r="O124" s="24" t="str">
        <f t="shared" si="19"/>
        <v/>
      </c>
      <c r="P124" s="24" t="str">
        <f t="shared" si="20"/>
        <v/>
      </c>
      <c r="Q124" s="24" t="str">
        <f t="shared" si="21"/>
        <v/>
      </c>
      <c r="R124" s="24" t="str">
        <f t="shared" si="22"/>
        <v/>
      </c>
      <c r="T124" s="8" t="s">
        <v>23</v>
      </c>
      <c r="U124" s="8" t="s">
        <v>23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B124" s="25" t="s">
        <v>23</v>
      </c>
      <c r="AC124" s="25" t="s">
        <v>23</v>
      </c>
      <c r="AD124" s="25" t="s">
        <v>23</v>
      </c>
      <c r="AE124" s="25" t="s">
        <v>23</v>
      </c>
      <c r="AF124" s="25" t="s">
        <v>23</v>
      </c>
      <c r="AG124" s="25" t="s">
        <v>23</v>
      </c>
      <c r="AH124" s="7" t="s">
        <v>23</v>
      </c>
      <c r="AJ124" s="7" t="s">
        <v>23</v>
      </c>
      <c r="AK124" s="7" t="s">
        <v>23</v>
      </c>
      <c r="AL124" s="7" t="s">
        <v>23</v>
      </c>
      <c r="AM124" s="7" t="s">
        <v>23</v>
      </c>
      <c r="AN124" s="7" t="s">
        <v>23</v>
      </c>
      <c r="AO124" s="7" t="s">
        <v>23</v>
      </c>
      <c r="AP124" s="7" t="s">
        <v>23</v>
      </c>
    </row>
    <row r="125" spans="11:42">
      <c r="K125" s="21">
        <v>121</v>
      </c>
      <c r="L125" s="24" t="str">
        <f t="shared" si="16"/>
        <v/>
      </c>
      <c r="M125" s="24" t="str">
        <f t="shared" si="17"/>
        <v/>
      </c>
      <c r="N125" s="24" t="str">
        <f t="shared" si="18"/>
        <v/>
      </c>
      <c r="O125" s="24" t="str">
        <f t="shared" si="19"/>
        <v/>
      </c>
      <c r="P125" s="24" t="str">
        <f t="shared" si="20"/>
        <v/>
      </c>
      <c r="Q125" s="24" t="str">
        <f t="shared" si="21"/>
        <v/>
      </c>
      <c r="R125" s="24" t="str">
        <f t="shared" si="22"/>
        <v/>
      </c>
      <c r="T125" s="8" t="s">
        <v>23</v>
      </c>
      <c r="U125" s="8" t="s">
        <v>23</v>
      </c>
      <c r="V125" s="8" t="s">
        <v>23</v>
      </c>
      <c r="W125" s="8" t="s">
        <v>23</v>
      </c>
      <c r="X125" s="8" t="s">
        <v>23</v>
      </c>
      <c r="Y125" s="8" t="s">
        <v>23</v>
      </c>
      <c r="Z125" s="8" t="s">
        <v>23</v>
      </c>
      <c r="AB125" s="25" t="s">
        <v>23</v>
      </c>
      <c r="AC125" s="25" t="s">
        <v>23</v>
      </c>
      <c r="AD125" s="25" t="s">
        <v>23</v>
      </c>
      <c r="AE125" s="25" t="s">
        <v>23</v>
      </c>
      <c r="AF125" s="25" t="s">
        <v>23</v>
      </c>
      <c r="AG125" s="25" t="s">
        <v>23</v>
      </c>
      <c r="AH125" s="7" t="s">
        <v>23</v>
      </c>
      <c r="AJ125" s="7" t="s">
        <v>23</v>
      </c>
      <c r="AK125" s="7" t="s">
        <v>23</v>
      </c>
      <c r="AL125" s="7" t="s">
        <v>23</v>
      </c>
      <c r="AM125" s="7" t="s">
        <v>23</v>
      </c>
      <c r="AN125" s="7" t="s">
        <v>23</v>
      </c>
      <c r="AO125" s="7" t="s">
        <v>23</v>
      </c>
      <c r="AP125" s="7" t="s">
        <v>23</v>
      </c>
    </row>
    <row r="126" spans="11:42">
      <c r="K126" s="22">
        <v>122</v>
      </c>
      <c r="L126" s="24" t="str">
        <f t="shared" si="16"/>
        <v/>
      </c>
      <c r="M126" s="24" t="str">
        <f t="shared" si="17"/>
        <v/>
      </c>
      <c r="N126" s="24" t="str">
        <f t="shared" si="18"/>
        <v/>
      </c>
      <c r="O126" s="24" t="str">
        <f t="shared" si="19"/>
        <v/>
      </c>
      <c r="P126" s="24" t="str">
        <f t="shared" si="20"/>
        <v/>
      </c>
      <c r="Q126" s="24" t="str">
        <f t="shared" si="21"/>
        <v/>
      </c>
      <c r="R126" s="24" t="str">
        <f t="shared" si="22"/>
        <v/>
      </c>
      <c r="T126" s="8" t="s">
        <v>23</v>
      </c>
      <c r="U126" s="8" t="s">
        <v>23</v>
      </c>
      <c r="V126" s="8" t="s">
        <v>23</v>
      </c>
      <c r="W126" s="8" t="s">
        <v>23</v>
      </c>
      <c r="X126" s="8" t="s">
        <v>23</v>
      </c>
      <c r="Y126" s="8" t="s">
        <v>23</v>
      </c>
      <c r="Z126" s="8" t="s">
        <v>23</v>
      </c>
      <c r="AB126" s="25" t="s">
        <v>23</v>
      </c>
      <c r="AC126" s="25" t="s">
        <v>23</v>
      </c>
      <c r="AD126" s="25" t="s">
        <v>23</v>
      </c>
      <c r="AE126" s="25" t="s">
        <v>23</v>
      </c>
      <c r="AF126" s="25" t="s">
        <v>23</v>
      </c>
      <c r="AG126" s="25" t="s">
        <v>23</v>
      </c>
      <c r="AH126" s="7" t="s">
        <v>23</v>
      </c>
      <c r="AJ126" s="7" t="s">
        <v>23</v>
      </c>
      <c r="AK126" s="7" t="s">
        <v>23</v>
      </c>
      <c r="AL126" s="7" t="s">
        <v>23</v>
      </c>
      <c r="AM126" s="7" t="s">
        <v>23</v>
      </c>
      <c r="AN126" s="7" t="s">
        <v>23</v>
      </c>
      <c r="AO126" s="7" t="s">
        <v>23</v>
      </c>
      <c r="AP126" s="7" t="s">
        <v>23</v>
      </c>
    </row>
    <row r="127" spans="11:42">
      <c r="K127" s="21">
        <v>123</v>
      </c>
      <c r="L127" s="24" t="str">
        <f t="shared" si="16"/>
        <v/>
      </c>
      <c r="M127" s="24" t="str">
        <f t="shared" si="17"/>
        <v/>
      </c>
      <c r="N127" s="24" t="str">
        <f t="shared" si="18"/>
        <v/>
      </c>
      <c r="O127" s="24" t="str">
        <f t="shared" si="19"/>
        <v/>
      </c>
      <c r="P127" s="24" t="str">
        <f t="shared" si="20"/>
        <v/>
      </c>
      <c r="Q127" s="24" t="str">
        <f t="shared" si="21"/>
        <v/>
      </c>
      <c r="R127" s="24" t="str">
        <f t="shared" si="22"/>
        <v/>
      </c>
      <c r="T127" s="8" t="s">
        <v>23</v>
      </c>
      <c r="U127" s="8" t="s">
        <v>23</v>
      </c>
      <c r="V127" s="8" t="s">
        <v>23</v>
      </c>
      <c r="W127" s="8" t="s">
        <v>23</v>
      </c>
      <c r="X127" s="8" t="s">
        <v>23</v>
      </c>
      <c r="Y127" s="8" t="s">
        <v>23</v>
      </c>
      <c r="Z127" s="8" t="s">
        <v>23</v>
      </c>
      <c r="AB127" s="25" t="s">
        <v>23</v>
      </c>
      <c r="AC127" s="25" t="s">
        <v>23</v>
      </c>
      <c r="AD127" s="25" t="s">
        <v>23</v>
      </c>
      <c r="AE127" s="25" t="s">
        <v>23</v>
      </c>
      <c r="AF127" s="25" t="s">
        <v>23</v>
      </c>
      <c r="AG127" s="25" t="s">
        <v>23</v>
      </c>
      <c r="AH127" s="7" t="s">
        <v>23</v>
      </c>
      <c r="AJ127" s="7" t="s">
        <v>23</v>
      </c>
      <c r="AK127" s="7" t="s">
        <v>23</v>
      </c>
      <c r="AL127" s="7" t="s">
        <v>23</v>
      </c>
      <c r="AM127" s="7" t="s">
        <v>23</v>
      </c>
      <c r="AN127" s="7" t="s">
        <v>23</v>
      </c>
      <c r="AO127" s="7" t="s">
        <v>23</v>
      </c>
      <c r="AP127" s="7" t="s">
        <v>23</v>
      </c>
    </row>
    <row r="128" spans="11:42">
      <c r="K128" s="22">
        <v>124</v>
      </c>
      <c r="L128" s="24" t="str">
        <f t="shared" ref="L128:L191" si="23">IF(T128&lt;&gt;"",_xlfn.XLOOKUP(T128,$K$4:$K$27,$A$4:$A$27),"")</f>
        <v/>
      </c>
      <c r="M128" s="24" t="str">
        <f t="shared" ref="M128:M191" si="24">IF(U128&lt;&gt;"",_xlfn.XLOOKUP(U128,$K$4:$K$27,$A$4:$A$27),"")</f>
        <v/>
      </c>
      <c r="N128" s="24" t="str">
        <f t="shared" ref="N128:N191" si="25">IF(V128&lt;&gt;"",_xlfn.XLOOKUP(V128,$K$4:$K$27,$A$4:$A$27),"")</f>
        <v/>
      </c>
      <c r="O128" s="24" t="str">
        <f t="shared" ref="O128:O191" si="26">IF(W128&lt;&gt;"",_xlfn.XLOOKUP(W128,$K$4:$K$27,$A$4:$A$27),"")</f>
        <v/>
      </c>
      <c r="P128" s="24" t="str">
        <f t="shared" ref="P128:P191" si="27">IF(X128&lt;&gt;"",_xlfn.XLOOKUP(X128,$K$4:$K$27,$A$4:$A$27),"")</f>
        <v/>
      </c>
      <c r="Q128" s="24" t="str">
        <f t="shared" ref="Q128:Q191" si="28">IF(Y128&lt;&gt;"",_xlfn.XLOOKUP(Y128,$K$4:$K$27,$A$4:$A$27),"")</f>
        <v/>
      </c>
      <c r="R128" s="24" t="str">
        <f t="shared" ref="R128:R191" si="29">IF(Z128&lt;&gt;"",_xlfn.XLOOKUP(Z128,$K$4:$K$27,$A$4:$A$27),"")</f>
        <v/>
      </c>
      <c r="T128" s="8" t="s">
        <v>23</v>
      </c>
      <c r="U128" s="8" t="s">
        <v>23</v>
      </c>
      <c r="V128" s="8" t="s">
        <v>23</v>
      </c>
      <c r="W128" s="8" t="s">
        <v>23</v>
      </c>
      <c r="X128" s="8" t="s">
        <v>23</v>
      </c>
      <c r="Y128" s="8" t="s">
        <v>23</v>
      </c>
      <c r="Z128" s="8" t="s">
        <v>23</v>
      </c>
      <c r="AB128" s="25" t="s">
        <v>23</v>
      </c>
      <c r="AC128" s="25" t="s">
        <v>23</v>
      </c>
      <c r="AD128" s="25" t="s">
        <v>23</v>
      </c>
      <c r="AE128" s="25" t="s">
        <v>23</v>
      </c>
      <c r="AF128" s="25" t="s">
        <v>23</v>
      </c>
      <c r="AG128" s="25" t="s">
        <v>23</v>
      </c>
      <c r="AH128" s="7" t="s">
        <v>23</v>
      </c>
      <c r="AJ128" s="7" t="s">
        <v>23</v>
      </c>
      <c r="AK128" s="7" t="s">
        <v>23</v>
      </c>
      <c r="AL128" s="7" t="s">
        <v>23</v>
      </c>
      <c r="AM128" s="7" t="s">
        <v>23</v>
      </c>
      <c r="AN128" s="7" t="s">
        <v>23</v>
      </c>
      <c r="AO128" s="7" t="s">
        <v>23</v>
      </c>
      <c r="AP128" s="7" t="s">
        <v>23</v>
      </c>
    </row>
    <row r="129" spans="11:42">
      <c r="K129" s="21">
        <v>125</v>
      </c>
      <c r="L129" s="24" t="str">
        <f t="shared" si="23"/>
        <v/>
      </c>
      <c r="M129" s="24" t="str">
        <f t="shared" si="24"/>
        <v/>
      </c>
      <c r="N129" s="24" t="str">
        <f t="shared" si="25"/>
        <v/>
      </c>
      <c r="O129" s="24" t="str">
        <f t="shared" si="26"/>
        <v/>
      </c>
      <c r="P129" s="24" t="str">
        <f t="shared" si="27"/>
        <v/>
      </c>
      <c r="Q129" s="24" t="str">
        <f t="shared" si="28"/>
        <v/>
      </c>
      <c r="R129" s="24" t="str">
        <f t="shared" si="29"/>
        <v/>
      </c>
      <c r="T129" s="8" t="s">
        <v>23</v>
      </c>
      <c r="U129" s="8" t="s">
        <v>23</v>
      </c>
      <c r="V129" s="8" t="s">
        <v>23</v>
      </c>
      <c r="W129" s="8" t="s">
        <v>23</v>
      </c>
      <c r="X129" s="8" t="s">
        <v>23</v>
      </c>
      <c r="Y129" s="8" t="s">
        <v>23</v>
      </c>
      <c r="Z129" s="8" t="s">
        <v>23</v>
      </c>
      <c r="AB129" s="25" t="s">
        <v>23</v>
      </c>
      <c r="AC129" s="25" t="s">
        <v>23</v>
      </c>
      <c r="AD129" s="25" t="s">
        <v>23</v>
      </c>
      <c r="AE129" s="25" t="s">
        <v>23</v>
      </c>
      <c r="AF129" s="25" t="s">
        <v>23</v>
      </c>
      <c r="AG129" s="25" t="s">
        <v>23</v>
      </c>
      <c r="AH129" s="7" t="s">
        <v>23</v>
      </c>
      <c r="AJ129" s="7" t="s">
        <v>23</v>
      </c>
      <c r="AK129" s="7" t="s">
        <v>23</v>
      </c>
      <c r="AL129" s="7" t="s">
        <v>23</v>
      </c>
      <c r="AM129" s="7" t="s">
        <v>23</v>
      </c>
      <c r="AN129" s="7" t="s">
        <v>23</v>
      </c>
      <c r="AO129" s="7" t="s">
        <v>23</v>
      </c>
      <c r="AP129" s="7" t="s">
        <v>23</v>
      </c>
    </row>
    <row r="130" spans="11:42">
      <c r="K130" s="22">
        <v>126</v>
      </c>
      <c r="L130" s="24" t="str">
        <f t="shared" si="23"/>
        <v/>
      </c>
      <c r="M130" s="24" t="str">
        <f t="shared" si="24"/>
        <v/>
      </c>
      <c r="N130" s="24" t="str">
        <f t="shared" si="25"/>
        <v/>
      </c>
      <c r="O130" s="24" t="str">
        <f t="shared" si="26"/>
        <v/>
      </c>
      <c r="P130" s="24" t="str">
        <f t="shared" si="27"/>
        <v/>
      </c>
      <c r="Q130" s="24" t="str">
        <f t="shared" si="28"/>
        <v/>
      </c>
      <c r="R130" s="24" t="str">
        <f t="shared" si="29"/>
        <v/>
      </c>
      <c r="T130" s="8" t="s">
        <v>23</v>
      </c>
      <c r="U130" s="8" t="s">
        <v>23</v>
      </c>
      <c r="V130" s="8" t="s">
        <v>23</v>
      </c>
      <c r="W130" s="8" t="s">
        <v>23</v>
      </c>
      <c r="X130" s="8" t="s">
        <v>23</v>
      </c>
      <c r="Y130" s="8" t="s">
        <v>23</v>
      </c>
      <c r="Z130" s="8" t="s">
        <v>23</v>
      </c>
      <c r="AB130" s="25" t="s">
        <v>23</v>
      </c>
      <c r="AC130" s="25" t="s">
        <v>23</v>
      </c>
      <c r="AD130" s="25" t="s">
        <v>23</v>
      </c>
      <c r="AE130" s="25" t="s">
        <v>23</v>
      </c>
      <c r="AF130" s="25" t="s">
        <v>23</v>
      </c>
      <c r="AG130" s="25" t="s">
        <v>23</v>
      </c>
      <c r="AH130" s="7" t="s">
        <v>23</v>
      </c>
      <c r="AJ130" s="7" t="s">
        <v>23</v>
      </c>
      <c r="AK130" s="7" t="s">
        <v>23</v>
      </c>
      <c r="AL130" s="7" t="s">
        <v>23</v>
      </c>
      <c r="AM130" s="7" t="s">
        <v>23</v>
      </c>
      <c r="AN130" s="7" t="s">
        <v>23</v>
      </c>
      <c r="AO130" s="7" t="s">
        <v>23</v>
      </c>
      <c r="AP130" s="7" t="s">
        <v>23</v>
      </c>
    </row>
    <row r="131" spans="11:42">
      <c r="K131" s="21">
        <v>127</v>
      </c>
      <c r="L131" s="24" t="str">
        <f t="shared" si="23"/>
        <v/>
      </c>
      <c r="M131" s="24" t="str">
        <f t="shared" si="24"/>
        <v/>
      </c>
      <c r="N131" s="24" t="str">
        <f t="shared" si="25"/>
        <v/>
      </c>
      <c r="O131" s="24" t="str">
        <f t="shared" si="26"/>
        <v/>
      </c>
      <c r="P131" s="24" t="str">
        <f t="shared" si="27"/>
        <v/>
      </c>
      <c r="Q131" s="24" t="str">
        <f t="shared" si="28"/>
        <v/>
      </c>
      <c r="R131" s="24" t="str">
        <f t="shared" si="29"/>
        <v/>
      </c>
      <c r="T131" s="8" t="s">
        <v>23</v>
      </c>
      <c r="U131" s="8" t="s">
        <v>23</v>
      </c>
      <c r="V131" s="8" t="s">
        <v>23</v>
      </c>
      <c r="W131" s="8" t="s">
        <v>23</v>
      </c>
      <c r="X131" s="8" t="s">
        <v>23</v>
      </c>
      <c r="Y131" s="8" t="s">
        <v>23</v>
      </c>
      <c r="Z131" s="8" t="s">
        <v>23</v>
      </c>
      <c r="AB131" s="25" t="s">
        <v>23</v>
      </c>
      <c r="AC131" s="25" t="s">
        <v>23</v>
      </c>
      <c r="AD131" s="25" t="s">
        <v>23</v>
      </c>
      <c r="AE131" s="25" t="s">
        <v>23</v>
      </c>
      <c r="AF131" s="25" t="s">
        <v>23</v>
      </c>
      <c r="AG131" s="25" t="s">
        <v>23</v>
      </c>
      <c r="AH131" s="7" t="s">
        <v>23</v>
      </c>
      <c r="AJ131" s="7" t="s">
        <v>23</v>
      </c>
      <c r="AK131" s="7" t="s">
        <v>23</v>
      </c>
      <c r="AL131" s="7" t="s">
        <v>23</v>
      </c>
      <c r="AM131" s="7" t="s">
        <v>23</v>
      </c>
      <c r="AN131" s="7" t="s">
        <v>23</v>
      </c>
      <c r="AO131" s="7" t="s">
        <v>23</v>
      </c>
      <c r="AP131" s="7" t="s">
        <v>23</v>
      </c>
    </row>
    <row r="132" spans="11:42">
      <c r="K132" s="22">
        <v>128</v>
      </c>
      <c r="L132" s="24" t="str">
        <f t="shared" si="23"/>
        <v/>
      </c>
      <c r="M132" s="24" t="str">
        <f t="shared" si="24"/>
        <v/>
      </c>
      <c r="N132" s="24" t="str">
        <f t="shared" si="25"/>
        <v/>
      </c>
      <c r="O132" s="24" t="str">
        <f t="shared" si="26"/>
        <v/>
      </c>
      <c r="P132" s="24" t="str">
        <f t="shared" si="27"/>
        <v/>
      </c>
      <c r="Q132" s="24" t="str">
        <f t="shared" si="28"/>
        <v/>
      </c>
      <c r="R132" s="24" t="str">
        <f t="shared" si="29"/>
        <v/>
      </c>
      <c r="T132" s="8" t="s">
        <v>23</v>
      </c>
      <c r="U132" s="8" t="s">
        <v>23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  <c r="AB132" s="25" t="s">
        <v>23</v>
      </c>
      <c r="AC132" s="25" t="s">
        <v>23</v>
      </c>
      <c r="AD132" s="25" t="s">
        <v>23</v>
      </c>
      <c r="AE132" s="25" t="s">
        <v>23</v>
      </c>
      <c r="AF132" s="25" t="s">
        <v>23</v>
      </c>
      <c r="AG132" s="25" t="s">
        <v>23</v>
      </c>
      <c r="AH132" s="7" t="s">
        <v>23</v>
      </c>
      <c r="AJ132" s="7" t="s">
        <v>23</v>
      </c>
      <c r="AK132" s="7" t="s">
        <v>23</v>
      </c>
      <c r="AL132" s="7" t="s">
        <v>23</v>
      </c>
      <c r="AM132" s="7" t="s">
        <v>23</v>
      </c>
      <c r="AN132" s="7" t="s">
        <v>23</v>
      </c>
      <c r="AO132" s="7" t="s">
        <v>23</v>
      </c>
      <c r="AP132" s="7" t="s">
        <v>23</v>
      </c>
    </row>
    <row r="133" spans="11:42">
      <c r="K133" s="21">
        <v>129</v>
      </c>
      <c r="L133" s="24" t="str">
        <f t="shared" si="23"/>
        <v/>
      </c>
      <c r="M133" s="24" t="str">
        <f t="shared" si="24"/>
        <v/>
      </c>
      <c r="N133" s="24" t="str">
        <f t="shared" si="25"/>
        <v/>
      </c>
      <c r="O133" s="24" t="str">
        <f t="shared" si="26"/>
        <v/>
      </c>
      <c r="P133" s="24" t="str">
        <f t="shared" si="27"/>
        <v/>
      </c>
      <c r="Q133" s="24" t="str">
        <f t="shared" si="28"/>
        <v/>
      </c>
      <c r="R133" s="24" t="str">
        <f t="shared" si="29"/>
        <v/>
      </c>
      <c r="T133" s="8" t="s">
        <v>23</v>
      </c>
      <c r="U133" s="8" t="s">
        <v>23</v>
      </c>
      <c r="V133" s="8" t="s">
        <v>23</v>
      </c>
      <c r="W133" s="8" t="s">
        <v>23</v>
      </c>
      <c r="X133" s="8" t="s">
        <v>23</v>
      </c>
      <c r="Y133" s="8" t="s">
        <v>23</v>
      </c>
      <c r="Z133" s="8" t="s">
        <v>23</v>
      </c>
      <c r="AB133" s="25" t="s">
        <v>23</v>
      </c>
      <c r="AC133" s="25" t="s">
        <v>23</v>
      </c>
      <c r="AD133" s="25" t="s">
        <v>23</v>
      </c>
      <c r="AE133" s="25" t="s">
        <v>23</v>
      </c>
      <c r="AF133" s="25" t="s">
        <v>23</v>
      </c>
      <c r="AG133" s="25" t="s">
        <v>23</v>
      </c>
      <c r="AH133" s="7" t="s">
        <v>23</v>
      </c>
      <c r="AJ133" s="7" t="s">
        <v>23</v>
      </c>
      <c r="AK133" s="7" t="s">
        <v>23</v>
      </c>
      <c r="AL133" s="7" t="s">
        <v>23</v>
      </c>
      <c r="AM133" s="7" t="s">
        <v>23</v>
      </c>
      <c r="AN133" s="7" t="s">
        <v>23</v>
      </c>
      <c r="AO133" s="7" t="s">
        <v>23</v>
      </c>
      <c r="AP133" s="7" t="s">
        <v>23</v>
      </c>
    </row>
    <row r="134" spans="11:42">
      <c r="K134" s="22">
        <v>130</v>
      </c>
      <c r="L134" s="24" t="str">
        <f t="shared" si="23"/>
        <v/>
      </c>
      <c r="M134" s="24" t="str">
        <f t="shared" si="24"/>
        <v/>
      </c>
      <c r="N134" s="24" t="str">
        <f t="shared" si="25"/>
        <v/>
      </c>
      <c r="O134" s="24" t="str">
        <f t="shared" si="26"/>
        <v/>
      </c>
      <c r="P134" s="24" t="str">
        <f t="shared" si="27"/>
        <v/>
      </c>
      <c r="Q134" s="24" t="str">
        <f t="shared" si="28"/>
        <v/>
      </c>
      <c r="R134" s="24" t="str">
        <f t="shared" si="29"/>
        <v/>
      </c>
      <c r="T134" s="8" t="s">
        <v>23</v>
      </c>
      <c r="U134" s="8" t="s">
        <v>23</v>
      </c>
      <c r="V134" s="8" t="s">
        <v>23</v>
      </c>
      <c r="W134" s="8" t="s">
        <v>23</v>
      </c>
      <c r="X134" s="8" t="s">
        <v>23</v>
      </c>
      <c r="Y134" s="8" t="s">
        <v>23</v>
      </c>
      <c r="Z134" s="8" t="s">
        <v>23</v>
      </c>
      <c r="AB134" s="25" t="s">
        <v>23</v>
      </c>
      <c r="AC134" s="25" t="s">
        <v>23</v>
      </c>
      <c r="AD134" s="25" t="s">
        <v>23</v>
      </c>
      <c r="AE134" s="25" t="s">
        <v>23</v>
      </c>
      <c r="AF134" s="25" t="s">
        <v>23</v>
      </c>
      <c r="AG134" s="25" t="s">
        <v>23</v>
      </c>
      <c r="AH134" s="7" t="s">
        <v>23</v>
      </c>
      <c r="AJ134" s="7" t="s">
        <v>23</v>
      </c>
      <c r="AK134" s="7" t="s">
        <v>23</v>
      </c>
      <c r="AL134" s="7" t="s">
        <v>23</v>
      </c>
      <c r="AM134" s="7" t="s">
        <v>23</v>
      </c>
      <c r="AN134" s="7" t="s">
        <v>23</v>
      </c>
      <c r="AO134" s="7" t="s">
        <v>23</v>
      </c>
      <c r="AP134" s="7" t="s">
        <v>23</v>
      </c>
    </row>
    <row r="135" spans="11:42">
      <c r="K135" s="21">
        <v>131</v>
      </c>
      <c r="L135" s="24" t="str">
        <f t="shared" si="23"/>
        <v/>
      </c>
      <c r="M135" s="24" t="str">
        <f t="shared" si="24"/>
        <v/>
      </c>
      <c r="N135" s="24" t="str">
        <f t="shared" si="25"/>
        <v/>
      </c>
      <c r="O135" s="24" t="str">
        <f t="shared" si="26"/>
        <v/>
      </c>
      <c r="P135" s="24" t="str">
        <f t="shared" si="27"/>
        <v/>
      </c>
      <c r="Q135" s="24" t="str">
        <f t="shared" si="28"/>
        <v/>
      </c>
      <c r="R135" s="24" t="str">
        <f t="shared" si="29"/>
        <v/>
      </c>
      <c r="T135" s="8" t="s">
        <v>23</v>
      </c>
      <c r="U135" s="8" t="s">
        <v>23</v>
      </c>
      <c r="V135" s="8" t="s">
        <v>23</v>
      </c>
      <c r="W135" s="8" t="s">
        <v>23</v>
      </c>
      <c r="X135" s="8" t="s">
        <v>23</v>
      </c>
      <c r="Y135" s="8" t="s">
        <v>23</v>
      </c>
      <c r="Z135" s="8" t="s">
        <v>23</v>
      </c>
      <c r="AB135" s="25" t="s">
        <v>23</v>
      </c>
      <c r="AC135" s="25" t="s">
        <v>23</v>
      </c>
      <c r="AD135" s="25" t="s">
        <v>23</v>
      </c>
      <c r="AE135" s="25" t="s">
        <v>23</v>
      </c>
      <c r="AF135" s="25" t="s">
        <v>23</v>
      </c>
      <c r="AG135" s="25" t="s">
        <v>23</v>
      </c>
      <c r="AH135" s="7" t="s">
        <v>23</v>
      </c>
      <c r="AJ135" s="7" t="s">
        <v>23</v>
      </c>
      <c r="AK135" s="7" t="s">
        <v>23</v>
      </c>
      <c r="AL135" s="7" t="s">
        <v>23</v>
      </c>
      <c r="AM135" s="7" t="s">
        <v>23</v>
      </c>
      <c r="AN135" s="7" t="s">
        <v>23</v>
      </c>
      <c r="AO135" s="7" t="s">
        <v>23</v>
      </c>
      <c r="AP135" s="7" t="s">
        <v>23</v>
      </c>
    </row>
    <row r="136" spans="11:42">
      <c r="K136" s="22">
        <v>132</v>
      </c>
      <c r="L136" s="24" t="str">
        <f t="shared" si="23"/>
        <v/>
      </c>
      <c r="M136" s="24" t="str">
        <f t="shared" si="24"/>
        <v/>
      </c>
      <c r="N136" s="24" t="str">
        <f t="shared" si="25"/>
        <v/>
      </c>
      <c r="O136" s="24" t="str">
        <f t="shared" si="26"/>
        <v/>
      </c>
      <c r="P136" s="24" t="str">
        <f t="shared" si="27"/>
        <v/>
      </c>
      <c r="Q136" s="24" t="str">
        <f t="shared" si="28"/>
        <v/>
      </c>
      <c r="R136" s="24" t="str">
        <f t="shared" si="29"/>
        <v/>
      </c>
      <c r="T136" s="8" t="s">
        <v>23</v>
      </c>
      <c r="U136" s="8" t="s">
        <v>23</v>
      </c>
      <c r="V136" s="8" t="s">
        <v>23</v>
      </c>
      <c r="W136" s="8" t="s">
        <v>23</v>
      </c>
      <c r="X136" s="8" t="s">
        <v>23</v>
      </c>
      <c r="Y136" s="8" t="s">
        <v>23</v>
      </c>
      <c r="Z136" s="8" t="s">
        <v>23</v>
      </c>
      <c r="AB136" s="25" t="s">
        <v>23</v>
      </c>
      <c r="AC136" s="25" t="s">
        <v>23</v>
      </c>
      <c r="AD136" s="25" t="s">
        <v>23</v>
      </c>
      <c r="AE136" s="25" t="s">
        <v>23</v>
      </c>
      <c r="AF136" s="25" t="s">
        <v>23</v>
      </c>
      <c r="AG136" s="25" t="s">
        <v>23</v>
      </c>
      <c r="AH136" s="7" t="s">
        <v>23</v>
      </c>
      <c r="AJ136" s="7" t="s">
        <v>23</v>
      </c>
      <c r="AK136" s="7" t="s">
        <v>23</v>
      </c>
      <c r="AL136" s="7" t="s">
        <v>23</v>
      </c>
      <c r="AM136" s="7" t="s">
        <v>23</v>
      </c>
      <c r="AN136" s="7" t="s">
        <v>23</v>
      </c>
      <c r="AO136" s="7" t="s">
        <v>23</v>
      </c>
      <c r="AP136" s="7" t="s">
        <v>23</v>
      </c>
    </row>
    <row r="137" spans="11:42">
      <c r="K137" s="21">
        <v>133</v>
      </c>
      <c r="L137" s="24" t="str">
        <f t="shared" si="23"/>
        <v/>
      </c>
      <c r="M137" s="24" t="str">
        <f t="shared" si="24"/>
        <v/>
      </c>
      <c r="N137" s="24" t="str">
        <f t="shared" si="25"/>
        <v/>
      </c>
      <c r="O137" s="24" t="str">
        <f t="shared" si="26"/>
        <v/>
      </c>
      <c r="P137" s="24" t="str">
        <f t="shared" si="27"/>
        <v/>
      </c>
      <c r="Q137" s="24" t="str">
        <f t="shared" si="28"/>
        <v/>
      </c>
      <c r="R137" s="24" t="str">
        <f t="shared" si="29"/>
        <v/>
      </c>
      <c r="T137" s="8" t="s">
        <v>23</v>
      </c>
      <c r="U137" s="8" t="s">
        <v>23</v>
      </c>
      <c r="V137" s="8" t="s">
        <v>23</v>
      </c>
      <c r="W137" s="8" t="s">
        <v>23</v>
      </c>
      <c r="X137" s="8" t="s">
        <v>23</v>
      </c>
      <c r="Y137" s="8" t="s">
        <v>23</v>
      </c>
      <c r="Z137" s="8" t="s">
        <v>23</v>
      </c>
      <c r="AB137" s="25" t="s">
        <v>23</v>
      </c>
      <c r="AC137" s="25" t="s">
        <v>23</v>
      </c>
      <c r="AD137" s="25" t="s">
        <v>23</v>
      </c>
      <c r="AE137" s="25" t="s">
        <v>23</v>
      </c>
      <c r="AF137" s="25" t="s">
        <v>23</v>
      </c>
      <c r="AG137" s="25" t="s">
        <v>23</v>
      </c>
      <c r="AH137" s="7" t="s">
        <v>23</v>
      </c>
      <c r="AJ137" s="7" t="s">
        <v>23</v>
      </c>
      <c r="AK137" s="7" t="s">
        <v>23</v>
      </c>
      <c r="AL137" s="7" t="s">
        <v>23</v>
      </c>
      <c r="AM137" s="7" t="s">
        <v>23</v>
      </c>
      <c r="AN137" s="7" t="s">
        <v>23</v>
      </c>
      <c r="AO137" s="7" t="s">
        <v>23</v>
      </c>
      <c r="AP137" s="7" t="s">
        <v>23</v>
      </c>
    </row>
    <row r="138" spans="11:42">
      <c r="K138" s="22">
        <v>134</v>
      </c>
      <c r="L138" s="24" t="str">
        <f t="shared" si="23"/>
        <v/>
      </c>
      <c r="M138" s="24" t="str">
        <f t="shared" si="24"/>
        <v/>
      </c>
      <c r="N138" s="24" t="str">
        <f t="shared" si="25"/>
        <v/>
      </c>
      <c r="O138" s="24" t="str">
        <f t="shared" si="26"/>
        <v/>
      </c>
      <c r="P138" s="24" t="str">
        <f t="shared" si="27"/>
        <v/>
      </c>
      <c r="Q138" s="24" t="str">
        <f t="shared" si="28"/>
        <v/>
      </c>
      <c r="R138" s="24" t="str">
        <f t="shared" si="29"/>
        <v/>
      </c>
      <c r="T138" s="8" t="s">
        <v>23</v>
      </c>
      <c r="U138" s="8" t="s">
        <v>23</v>
      </c>
      <c r="V138" s="8" t="s">
        <v>23</v>
      </c>
      <c r="W138" s="8" t="s">
        <v>23</v>
      </c>
      <c r="X138" s="8" t="s">
        <v>23</v>
      </c>
      <c r="Y138" s="8" t="s">
        <v>23</v>
      </c>
      <c r="Z138" s="8" t="s">
        <v>23</v>
      </c>
      <c r="AB138" s="25" t="s">
        <v>23</v>
      </c>
      <c r="AC138" s="25" t="s">
        <v>23</v>
      </c>
      <c r="AD138" s="25" t="s">
        <v>23</v>
      </c>
      <c r="AE138" s="25" t="s">
        <v>23</v>
      </c>
      <c r="AF138" s="25" t="s">
        <v>23</v>
      </c>
      <c r="AG138" s="25" t="s">
        <v>23</v>
      </c>
      <c r="AH138" s="7" t="s">
        <v>23</v>
      </c>
      <c r="AJ138" s="7" t="s">
        <v>23</v>
      </c>
      <c r="AK138" s="7" t="s">
        <v>23</v>
      </c>
      <c r="AL138" s="7" t="s">
        <v>23</v>
      </c>
      <c r="AM138" s="7" t="s">
        <v>23</v>
      </c>
      <c r="AN138" s="7" t="s">
        <v>23</v>
      </c>
      <c r="AO138" s="7" t="s">
        <v>23</v>
      </c>
      <c r="AP138" s="7" t="s">
        <v>23</v>
      </c>
    </row>
    <row r="139" spans="11:42">
      <c r="K139" s="21">
        <v>135</v>
      </c>
      <c r="L139" s="24" t="str">
        <f t="shared" si="23"/>
        <v/>
      </c>
      <c r="M139" s="24" t="str">
        <f t="shared" si="24"/>
        <v/>
      </c>
      <c r="N139" s="24" t="str">
        <f t="shared" si="25"/>
        <v/>
      </c>
      <c r="O139" s="24" t="str">
        <f t="shared" si="26"/>
        <v/>
      </c>
      <c r="P139" s="24" t="str">
        <f t="shared" si="27"/>
        <v/>
      </c>
      <c r="Q139" s="24" t="str">
        <f t="shared" si="28"/>
        <v/>
      </c>
      <c r="R139" s="24" t="str">
        <f t="shared" si="29"/>
        <v/>
      </c>
      <c r="T139" s="8" t="s">
        <v>23</v>
      </c>
      <c r="U139" s="8" t="s">
        <v>23</v>
      </c>
      <c r="V139" s="8" t="s">
        <v>23</v>
      </c>
      <c r="W139" s="8" t="s">
        <v>23</v>
      </c>
      <c r="X139" s="8" t="s">
        <v>23</v>
      </c>
      <c r="Y139" s="8" t="s">
        <v>23</v>
      </c>
      <c r="Z139" s="8" t="s">
        <v>23</v>
      </c>
      <c r="AB139" s="25" t="s">
        <v>23</v>
      </c>
      <c r="AC139" s="25" t="s">
        <v>23</v>
      </c>
      <c r="AD139" s="25" t="s">
        <v>23</v>
      </c>
      <c r="AE139" s="25" t="s">
        <v>23</v>
      </c>
      <c r="AF139" s="25" t="s">
        <v>23</v>
      </c>
      <c r="AG139" s="25" t="s">
        <v>23</v>
      </c>
      <c r="AH139" s="7" t="s">
        <v>23</v>
      </c>
      <c r="AJ139" s="7" t="s">
        <v>23</v>
      </c>
      <c r="AK139" s="7" t="s">
        <v>23</v>
      </c>
      <c r="AL139" s="7" t="s">
        <v>23</v>
      </c>
      <c r="AM139" s="7" t="s">
        <v>23</v>
      </c>
      <c r="AN139" s="7" t="s">
        <v>23</v>
      </c>
      <c r="AO139" s="7" t="s">
        <v>23</v>
      </c>
      <c r="AP139" s="7" t="s">
        <v>23</v>
      </c>
    </row>
    <row r="140" spans="11:42">
      <c r="K140" s="22">
        <v>136</v>
      </c>
      <c r="L140" s="24" t="str">
        <f t="shared" si="23"/>
        <v/>
      </c>
      <c r="M140" s="24" t="str">
        <f t="shared" si="24"/>
        <v/>
      </c>
      <c r="N140" s="24" t="str">
        <f t="shared" si="25"/>
        <v/>
      </c>
      <c r="O140" s="24" t="str">
        <f t="shared" si="26"/>
        <v/>
      </c>
      <c r="P140" s="24" t="str">
        <f t="shared" si="27"/>
        <v/>
      </c>
      <c r="Q140" s="24" t="str">
        <f t="shared" si="28"/>
        <v/>
      </c>
      <c r="R140" s="24" t="str">
        <f t="shared" si="29"/>
        <v/>
      </c>
      <c r="T140" s="8" t="s">
        <v>23</v>
      </c>
      <c r="U140" s="8" t="s">
        <v>23</v>
      </c>
      <c r="V140" s="8" t="s">
        <v>23</v>
      </c>
      <c r="W140" s="8" t="s">
        <v>23</v>
      </c>
      <c r="X140" s="8" t="s">
        <v>23</v>
      </c>
      <c r="Y140" s="8" t="s">
        <v>23</v>
      </c>
      <c r="Z140" s="8" t="s">
        <v>23</v>
      </c>
      <c r="AB140" s="25" t="s">
        <v>23</v>
      </c>
      <c r="AC140" s="25" t="s">
        <v>23</v>
      </c>
      <c r="AD140" s="25" t="s">
        <v>23</v>
      </c>
      <c r="AE140" s="25" t="s">
        <v>23</v>
      </c>
      <c r="AF140" s="25" t="s">
        <v>23</v>
      </c>
      <c r="AG140" s="25" t="s">
        <v>23</v>
      </c>
      <c r="AH140" s="7" t="s">
        <v>23</v>
      </c>
      <c r="AJ140" s="7" t="s">
        <v>23</v>
      </c>
      <c r="AK140" s="7" t="s">
        <v>23</v>
      </c>
      <c r="AL140" s="7" t="s">
        <v>23</v>
      </c>
      <c r="AM140" s="7" t="s">
        <v>23</v>
      </c>
      <c r="AN140" s="7" t="s">
        <v>23</v>
      </c>
      <c r="AO140" s="7" t="s">
        <v>23</v>
      </c>
      <c r="AP140" s="7" t="s">
        <v>23</v>
      </c>
    </row>
    <row r="141" spans="11:42">
      <c r="K141" s="21">
        <v>137</v>
      </c>
      <c r="L141" s="24" t="str">
        <f t="shared" si="23"/>
        <v/>
      </c>
      <c r="M141" s="24" t="str">
        <f t="shared" si="24"/>
        <v/>
      </c>
      <c r="N141" s="24" t="str">
        <f t="shared" si="25"/>
        <v/>
      </c>
      <c r="O141" s="24" t="str">
        <f t="shared" si="26"/>
        <v/>
      </c>
      <c r="P141" s="24" t="str">
        <f t="shared" si="27"/>
        <v/>
      </c>
      <c r="Q141" s="24" t="str">
        <f t="shared" si="28"/>
        <v/>
      </c>
      <c r="R141" s="24" t="str">
        <f t="shared" si="29"/>
        <v/>
      </c>
      <c r="T141" s="8" t="s">
        <v>23</v>
      </c>
      <c r="U141" s="8" t="s">
        <v>23</v>
      </c>
      <c r="V141" s="8" t="s">
        <v>23</v>
      </c>
      <c r="W141" s="8" t="s">
        <v>23</v>
      </c>
      <c r="X141" s="8" t="s">
        <v>23</v>
      </c>
      <c r="Y141" s="8" t="s">
        <v>23</v>
      </c>
      <c r="Z141" s="8" t="s">
        <v>23</v>
      </c>
      <c r="AB141" s="25" t="s">
        <v>23</v>
      </c>
      <c r="AC141" s="25" t="s">
        <v>23</v>
      </c>
      <c r="AD141" s="25" t="s">
        <v>23</v>
      </c>
      <c r="AE141" s="25" t="s">
        <v>23</v>
      </c>
      <c r="AF141" s="25" t="s">
        <v>23</v>
      </c>
      <c r="AG141" s="25" t="s">
        <v>23</v>
      </c>
      <c r="AH141" s="7" t="s">
        <v>23</v>
      </c>
      <c r="AJ141" s="7" t="s">
        <v>23</v>
      </c>
      <c r="AK141" s="7" t="s">
        <v>23</v>
      </c>
      <c r="AL141" s="7" t="s">
        <v>23</v>
      </c>
      <c r="AM141" s="7" t="s">
        <v>23</v>
      </c>
      <c r="AN141" s="7" t="s">
        <v>23</v>
      </c>
      <c r="AO141" s="7" t="s">
        <v>23</v>
      </c>
      <c r="AP141" s="7" t="s">
        <v>23</v>
      </c>
    </row>
    <row r="142" spans="11:42">
      <c r="K142" s="22">
        <v>138</v>
      </c>
      <c r="L142" s="24" t="str">
        <f t="shared" si="23"/>
        <v/>
      </c>
      <c r="M142" s="24" t="str">
        <f t="shared" si="24"/>
        <v/>
      </c>
      <c r="N142" s="24" t="str">
        <f t="shared" si="25"/>
        <v/>
      </c>
      <c r="O142" s="24" t="str">
        <f t="shared" si="26"/>
        <v/>
      </c>
      <c r="P142" s="24" t="str">
        <f t="shared" si="27"/>
        <v/>
      </c>
      <c r="Q142" s="24" t="str">
        <f t="shared" si="28"/>
        <v/>
      </c>
      <c r="R142" s="24" t="str">
        <f t="shared" si="29"/>
        <v/>
      </c>
      <c r="T142" s="8" t="s">
        <v>23</v>
      </c>
      <c r="U142" s="8" t="s">
        <v>23</v>
      </c>
      <c r="V142" s="8" t="s">
        <v>23</v>
      </c>
      <c r="W142" s="8" t="s">
        <v>23</v>
      </c>
      <c r="X142" s="8" t="s">
        <v>23</v>
      </c>
      <c r="Y142" s="8" t="s">
        <v>23</v>
      </c>
      <c r="Z142" s="8" t="s">
        <v>23</v>
      </c>
      <c r="AB142" s="25" t="s">
        <v>23</v>
      </c>
      <c r="AC142" s="25" t="s">
        <v>23</v>
      </c>
      <c r="AD142" s="25" t="s">
        <v>23</v>
      </c>
      <c r="AE142" s="25" t="s">
        <v>23</v>
      </c>
      <c r="AF142" s="25" t="s">
        <v>23</v>
      </c>
      <c r="AG142" s="25" t="s">
        <v>23</v>
      </c>
      <c r="AH142" s="7" t="s">
        <v>23</v>
      </c>
      <c r="AJ142" s="7" t="s">
        <v>23</v>
      </c>
      <c r="AK142" s="7" t="s">
        <v>23</v>
      </c>
      <c r="AL142" s="7" t="s">
        <v>23</v>
      </c>
      <c r="AM142" s="7" t="s">
        <v>23</v>
      </c>
      <c r="AN142" s="7" t="s">
        <v>23</v>
      </c>
      <c r="AO142" s="7" t="s">
        <v>23</v>
      </c>
      <c r="AP142" s="7" t="s">
        <v>23</v>
      </c>
    </row>
    <row r="143" spans="11:42">
      <c r="K143" s="21">
        <v>139</v>
      </c>
      <c r="L143" s="24" t="str">
        <f t="shared" si="23"/>
        <v/>
      </c>
      <c r="M143" s="24" t="str">
        <f t="shared" si="24"/>
        <v/>
      </c>
      <c r="N143" s="24" t="str">
        <f t="shared" si="25"/>
        <v/>
      </c>
      <c r="O143" s="24" t="str">
        <f t="shared" si="26"/>
        <v/>
      </c>
      <c r="P143" s="24" t="str">
        <f t="shared" si="27"/>
        <v/>
      </c>
      <c r="Q143" s="24" t="str">
        <f t="shared" si="28"/>
        <v/>
      </c>
      <c r="R143" s="24" t="str">
        <f t="shared" si="29"/>
        <v/>
      </c>
      <c r="T143" s="8" t="s">
        <v>23</v>
      </c>
      <c r="U143" s="8" t="s">
        <v>23</v>
      </c>
      <c r="V143" s="8" t="s">
        <v>23</v>
      </c>
      <c r="W143" s="8" t="s">
        <v>23</v>
      </c>
      <c r="X143" s="8" t="s">
        <v>23</v>
      </c>
      <c r="Y143" s="8" t="s">
        <v>23</v>
      </c>
      <c r="Z143" s="8" t="s">
        <v>23</v>
      </c>
      <c r="AB143" s="25" t="s">
        <v>23</v>
      </c>
      <c r="AC143" s="25" t="s">
        <v>23</v>
      </c>
      <c r="AD143" s="25" t="s">
        <v>23</v>
      </c>
      <c r="AE143" s="25" t="s">
        <v>23</v>
      </c>
      <c r="AF143" s="25" t="s">
        <v>23</v>
      </c>
      <c r="AG143" s="25" t="s">
        <v>23</v>
      </c>
      <c r="AH143" s="7" t="s">
        <v>23</v>
      </c>
      <c r="AJ143" s="7" t="s">
        <v>23</v>
      </c>
      <c r="AK143" s="7" t="s">
        <v>23</v>
      </c>
      <c r="AL143" s="7" t="s">
        <v>23</v>
      </c>
      <c r="AM143" s="7" t="s">
        <v>23</v>
      </c>
      <c r="AN143" s="7" t="s">
        <v>23</v>
      </c>
      <c r="AO143" s="7" t="s">
        <v>23</v>
      </c>
      <c r="AP143" s="7" t="s">
        <v>23</v>
      </c>
    </row>
    <row r="144" spans="11:42">
      <c r="K144" s="22">
        <v>140</v>
      </c>
      <c r="L144" s="24" t="str">
        <f t="shared" si="23"/>
        <v/>
      </c>
      <c r="M144" s="24" t="str">
        <f t="shared" si="24"/>
        <v/>
      </c>
      <c r="N144" s="24" t="str">
        <f t="shared" si="25"/>
        <v/>
      </c>
      <c r="O144" s="24" t="str">
        <f t="shared" si="26"/>
        <v/>
      </c>
      <c r="P144" s="24" t="str">
        <f t="shared" si="27"/>
        <v/>
      </c>
      <c r="Q144" s="24" t="str">
        <f t="shared" si="28"/>
        <v/>
      </c>
      <c r="R144" s="24" t="str">
        <f t="shared" si="29"/>
        <v/>
      </c>
      <c r="T144" s="8" t="s">
        <v>23</v>
      </c>
      <c r="U144" s="8" t="s">
        <v>23</v>
      </c>
      <c r="V144" s="8" t="s">
        <v>23</v>
      </c>
      <c r="W144" s="8" t="s">
        <v>23</v>
      </c>
      <c r="X144" s="8" t="s">
        <v>23</v>
      </c>
      <c r="Y144" s="8" t="s">
        <v>23</v>
      </c>
      <c r="Z144" s="8" t="s">
        <v>23</v>
      </c>
      <c r="AB144" s="25" t="s">
        <v>23</v>
      </c>
      <c r="AC144" s="25" t="s">
        <v>23</v>
      </c>
      <c r="AD144" s="25" t="s">
        <v>23</v>
      </c>
      <c r="AE144" s="25" t="s">
        <v>23</v>
      </c>
      <c r="AF144" s="25" t="s">
        <v>23</v>
      </c>
      <c r="AG144" s="25" t="s">
        <v>23</v>
      </c>
      <c r="AH144" s="7" t="s">
        <v>23</v>
      </c>
      <c r="AJ144" s="7" t="s">
        <v>23</v>
      </c>
      <c r="AK144" s="7" t="s">
        <v>23</v>
      </c>
      <c r="AL144" s="7" t="s">
        <v>23</v>
      </c>
      <c r="AM144" s="7" t="s">
        <v>23</v>
      </c>
      <c r="AN144" s="7" t="s">
        <v>23</v>
      </c>
      <c r="AO144" s="7" t="s">
        <v>23</v>
      </c>
      <c r="AP144" s="7" t="s">
        <v>23</v>
      </c>
    </row>
    <row r="145" spans="11:42">
      <c r="K145" s="21">
        <v>141</v>
      </c>
      <c r="L145" s="24" t="str">
        <f t="shared" si="23"/>
        <v/>
      </c>
      <c r="M145" s="24" t="str">
        <f t="shared" si="24"/>
        <v/>
      </c>
      <c r="N145" s="24" t="str">
        <f t="shared" si="25"/>
        <v/>
      </c>
      <c r="O145" s="24" t="str">
        <f t="shared" si="26"/>
        <v/>
      </c>
      <c r="P145" s="24" t="str">
        <f t="shared" si="27"/>
        <v/>
      </c>
      <c r="Q145" s="24" t="str">
        <f t="shared" si="28"/>
        <v/>
      </c>
      <c r="R145" s="24" t="str">
        <f t="shared" si="29"/>
        <v/>
      </c>
      <c r="T145" s="8" t="s">
        <v>23</v>
      </c>
      <c r="U145" s="8" t="s">
        <v>23</v>
      </c>
      <c r="V145" s="8" t="s">
        <v>23</v>
      </c>
      <c r="W145" s="8" t="s">
        <v>23</v>
      </c>
      <c r="X145" s="8" t="s">
        <v>23</v>
      </c>
      <c r="Y145" s="8" t="s">
        <v>23</v>
      </c>
      <c r="Z145" s="8" t="s">
        <v>23</v>
      </c>
      <c r="AB145" s="25" t="s">
        <v>23</v>
      </c>
      <c r="AC145" s="25" t="s">
        <v>23</v>
      </c>
      <c r="AD145" s="25" t="s">
        <v>23</v>
      </c>
      <c r="AE145" s="25" t="s">
        <v>23</v>
      </c>
      <c r="AF145" s="25" t="s">
        <v>23</v>
      </c>
      <c r="AG145" s="25" t="s">
        <v>23</v>
      </c>
      <c r="AH145" s="7" t="s">
        <v>23</v>
      </c>
      <c r="AJ145" s="7" t="s">
        <v>23</v>
      </c>
      <c r="AK145" s="7" t="s">
        <v>23</v>
      </c>
      <c r="AL145" s="7" t="s">
        <v>23</v>
      </c>
      <c r="AM145" s="7" t="s">
        <v>23</v>
      </c>
      <c r="AN145" s="7" t="s">
        <v>23</v>
      </c>
      <c r="AO145" s="7" t="s">
        <v>23</v>
      </c>
      <c r="AP145" s="7" t="s">
        <v>23</v>
      </c>
    </row>
    <row r="146" spans="11:42">
      <c r="K146" s="22">
        <v>142</v>
      </c>
      <c r="L146" s="24" t="str">
        <f t="shared" si="23"/>
        <v/>
      </c>
      <c r="M146" s="24" t="str">
        <f t="shared" si="24"/>
        <v/>
      </c>
      <c r="N146" s="24" t="str">
        <f t="shared" si="25"/>
        <v/>
      </c>
      <c r="O146" s="24" t="str">
        <f t="shared" si="26"/>
        <v/>
      </c>
      <c r="P146" s="24" t="str">
        <f t="shared" si="27"/>
        <v/>
      </c>
      <c r="Q146" s="24" t="str">
        <f t="shared" si="28"/>
        <v/>
      </c>
      <c r="R146" s="24" t="str">
        <f t="shared" si="29"/>
        <v/>
      </c>
      <c r="T146" s="8" t="s">
        <v>23</v>
      </c>
      <c r="U146" s="8" t="s">
        <v>23</v>
      </c>
      <c r="V146" s="8" t="s">
        <v>23</v>
      </c>
      <c r="W146" s="8" t="s">
        <v>23</v>
      </c>
      <c r="X146" s="8" t="s">
        <v>23</v>
      </c>
      <c r="Y146" s="8" t="s">
        <v>23</v>
      </c>
      <c r="Z146" s="8" t="s">
        <v>23</v>
      </c>
      <c r="AB146" s="25" t="s">
        <v>23</v>
      </c>
      <c r="AC146" s="25" t="s">
        <v>23</v>
      </c>
      <c r="AD146" s="25" t="s">
        <v>23</v>
      </c>
      <c r="AE146" s="25" t="s">
        <v>23</v>
      </c>
      <c r="AF146" s="25" t="s">
        <v>23</v>
      </c>
      <c r="AG146" s="25" t="s">
        <v>23</v>
      </c>
      <c r="AH146" s="7" t="s">
        <v>23</v>
      </c>
      <c r="AJ146" s="7" t="s">
        <v>23</v>
      </c>
      <c r="AK146" s="7" t="s">
        <v>23</v>
      </c>
      <c r="AL146" s="7" t="s">
        <v>23</v>
      </c>
      <c r="AM146" s="7" t="s">
        <v>23</v>
      </c>
      <c r="AN146" s="7" t="s">
        <v>23</v>
      </c>
      <c r="AO146" s="7" t="s">
        <v>23</v>
      </c>
      <c r="AP146" s="7" t="s">
        <v>23</v>
      </c>
    </row>
    <row r="147" spans="11:42">
      <c r="K147" s="21">
        <v>143</v>
      </c>
      <c r="L147" s="24" t="str">
        <f t="shared" si="23"/>
        <v/>
      </c>
      <c r="M147" s="24" t="str">
        <f t="shared" si="24"/>
        <v/>
      </c>
      <c r="N147" s="24" t="str">
        <f t="shared" si="25"/>
        <v/>
      </c>
      <c r="O147" s="24" t="str">
        <f t="shared" si="26"/>
        <v/>
      </c>
      <c r="P147" s="24" t="str">
        <f t="shared" si="27"/>
        <v/>
      </c>
      <c r="Q147" s="24" t="str">
        <f t="shared" si="28"/>
        <v/>
      </c>
      <c r="R147" s="24" t="str">
        <f t="shared" si="29"/>
        <v/>
      </c>
      <c r="T147" s="8" t="s">
        <v>23</v>
      </c>
      <c r="U147" s="8" t="s">
        <v>23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B147" s="25" t="s">
        <v>23</v>
      </c>
      <c r="AC147" s="25" t="s">
        <v>23</v>
      </c>
      <c r="AD147" s="25" t="s">
        <v>23</v>
      </c>
      <c r="AE147" s="25" t="s">
        <v>23</v>
      </c>
      <c r="AF147" s="25" t="s">
        <v>23</v>
      </c>
      <c r="AG147" s="25" t="s">
        <v>23</v>
      </c>
      <c r="AH147" s="7" t="s">
        <v>23</v>
      </c>
      <c r="AJ147" s="7" t="s">
        <v>23</v>
      </c>
      <c r="AK147" s="7" t="s">
        <v>23</v>
      </c>
      <c r="AL147" s="7" t="s">
        <v>23</v>
      </c>
      <c r="AM147" s="7" t="s">
        <v>23</v>
      </c>
      <c r="AN147" s="7" t="s">
        <v>23</v>
      </c>
      <c r="AO147" s="7" t="s">
        <v>23</v>
      </c>
      <c r="AP147" s="7" t="s">
        <v>23</v>
      </c>
    </row>
    <row r="148" spans="11:42">
      <c r="K148" s="22">
        <v>144</v>
      </c>
      <c r="L148" s="24" t="str">
        <f t="shared" si="23"/>
        <v/>
      </c>
      <c r="M148" s="24" t="str">
        <f t="shared" si="24"/>
        <v/>
      </c>
      <c r="N148" s="24" t="str">
        <f t="shared" si="25"/>
        <v/>
      </c>
      <c r="O148" s="24" t="str">
        <f t="shared" si="26"/>
        <v/>
      </c>
      <c r="P148" s="24" t="str">
        <f t="shared" si="27"/>
        <v/>
      </c>
      <c r="Q148" s="24" t="str">
        <f t="shared" si="28"/>
        <v/>
      </c>
      <c r="R148" s="24" t="str">
        <f t="shared" si="29"/>
        <v/>
      </c>
      <c r="T148" s="8" t="s">
        <v>23</v>
      </c>
      <c r="U148" s="8" t="s">
        <v>23</v>
      </c>
      <c r="V148" s="8" t="s">
        <v>23</v>
      </c>
      <c r="W148" s="8" t="s">
        <v>23</v>
      </c>
      <c r="X148" s="8" t="s">
        <v>23</v>
      </c>
      <c r="Y148" s="8" t="s">
        <v>23</v>
      </c>
      <c r="Z148" s="8" t="s">
        <v>23</v>
      </c>
      <c r="AB148" s="25" t="s">
        <v>23</v>
      </c>
      <c r="AC148" s="25" t="s">
        <v>23</v>
      </c>
      <c r="AD148" s="25" t="s">
        <v>23</v>
      </c>
      <c r="AE148" s="25" t="s">
        <v>23</v>
      </c>
      <c r="AF148" s="25" t="s">
        <v>23</v>
      </c>
      <c r="AG148" s="25" t="s">
        <v>23</v>
      </c>
      <c r="AH148" s="7" t="s">
        <v>23</v>
      </c>
      <c r="AJ148" s="7" t="s">
        <v>23</v>
      </c>
      <c r="AK148" s="7" t="s">
        <v>23</v>
      </c>
      <c r="AL148" s="7" t="s">
        <v>23</v>
      </c>
      <c r="AM148" s="7" t="s">
        <v>23</v>
      </c>
      <c r="AN148" s="7" t="s">
        <v>23</v>
      </c>
      <c r="AO148" s="7" t="s">
        <v>23</v>
      </c>
      <c r="AP148" s="7" t="s">
        <v>23</v>
      </c>
    </row>
    <row r="149" spans="11:42">
      <c r="K149" s="21">
        <v>145</v>
      </c>
      <c r="L149" s="24" t="str">
        <f t="shared" si="23"/>
        <v/>
      </c>
      <c r="M149" s="24" t="str">
        <f t="shared" si="24"/>
        <v/>
      </c>
      <c r="N149" s="24" t="str">
        <f t="shared" si="25"/>
        <v/>
      </c>
      <c r="O149" s="24" t="str">
        <f t="shared" si="26"/>
        <v/>
      </c>
      <c r="P149" s="24" t="str">
        <f t="shared" si="27"/>
        <v/>
      </c>
      <c r="Q149" s="24" t="str">
        <f t="shared" si="28"/>
        <v/>
      </c>
      <c r="R149" s="24" t="str">
        <f t="shared" si="29"/>
        <v/>
      </c>
      <c r="T149" s="8" t="s">
        <v>23</v>
      </c>
      <c r="U149" s="8" t="s">
        <v>23</v>
      </c>
      <c r="V149" s="8" t="s">
        <v>23</v>
      </c>
      <c r="W149" s="8" t="s">
        <v>23</v>
      </c>
      <c r="X149" s="8" t="s">
        <v>23</v>
      </c>
      <c r="Y149" s="8" t="s">
        <v>23</v>
      </c>
      <c r="Z149" s="8" t="s">
        <v>23</v>
      </c>
      <c r="AB149" s="25" t="s">
        <v>23</v>
      </c>
      <c r="AC149" s="25" t="s">
        <v>23</v>
      </c>
      <c r="AD149" s="25" t="s">
        <v>23</v>
      </c>
      <c r="AE149" s="25" t="s">
        <v>23</v>
      </c>
      <c r="AF149" s="25" t="s">
        <v>23</v>
      </c>
      <c r="AG149" s="25" t="s">
        <v>23</v>
      </c>
      <c r="AH149" s="7" t="s">
        <v>23</v>
      </c>
      <c r="AJ149" s="7" t="s">
        <v>23</v>
      </c>
      <c r="AK149" s="7" t="s">
        <v>23</v>
      </c>
      <c r="AL149" s="7" t="s">
        <v>23</v>
      </c>
      <c r="AM149" s="7" t="s">
        <v>23</v>
      </c>
      <c r="AN149" s="7" t="s">
        <v>23</v>
      </c>
      <c r="AO149" s="7" t="s">
        <v>23</v>
      </c>
      <c r="AP149" s="7" t="s">
        <v>23</v>
      </c>
    </row>
    <row r="150" spans="11:42">
      <c r="K150" s="22">
        <v>146</v>
      </c>
      <c r="L150" s="24" t="str">
        <f t="shared" si="23"/>
        <v/>
      </c>
      <c r="M150" s="24" t="str">
        <f t="shared" si="24"/>
        <v/>
      </c>
      <c r="N150" s="24" t="str">
        <f t="shared" si="25"/>
        <v/>
      </c>
      <c r="O150" s="24" t="str">
        <f t="shared" si="26"/>
        <v/>
      </c>
      <c r="P150" s="24" t="str">
        <f t="shared" si="27"/>
        <v/>
      </c>
      <c r="Q150" s="24" t="str">
        <f t="shared" si="28"/>
        <v/>
      </c>
      <c r="R150" s="24" t="str">
        <f t="shared" si="29"/>
        <v/>
      </c>
      <c r="T150" s="8" t="s">
        <v>23</v>
      </c>
      <c r="U150" s="8" t="s">
        <v>23</v>
      </c>
      <c r="V150" s="8" t="s">
        <v>23</v>
      </c>
      <c r="W150" s="8" t="s">
        <v>23</v>
      </c>
      <c r="X150" s="8" t="s">
        <v>23</v>
      </c>
      <c r="Y150" s="8" t="s">
        <v>23</v>
      </c>
      <c r="Z150" s="8" t="s">
        <v>23</v>
      </c>
      <c r="AB150" s="25" t="s">
        <v>23</v>
      </c>
      <c r="AC150" s="25" t="s">
        <v>23</v>
      </c>
      <c r="AD150" s="25" t="s">
        <v>23</v>
      </c>
      <c r="AE150" s="25" t="s">
        <v>23</v>
      </c>
      <c r="AF150" s="25" t="s">
        <v>23</v>
      </c>
      <c r="AG150" s="25" t="s">
        <v>23</v>
      </c>
      <c r="AH150" s="7" t="s">
        <v>23</v>
      </c>
      <c r="AJ150" s="7" t="s">
        <v>23</v>
      </c>
      <c r="AK150" s="7" t="s">
        <v>23</v>
      </c>
      <c r="AL150" s="7" t="s">
        <v>23</v>
      </c>
      <c r="AM150" s="7" t="s">
        <v>23</v>
      </c>
      <c r="AN150" s="7" t="s">
        <v>23</v>
      </c>
      <c r="AO150" s="7" t="s">
        <v>23</v>
      </c>
      <c r="AP150" s="7" t="s">
        <v>23</v>
      </c>
    </row>
    <row r="151" spans="11:42">
      <c r="K151" s="21">
        <v>147</v>
      </c>
      <c r="L151" s="24" t="str">
        <f t="shared" si="23"/>
        <v/>
      </c>
      <c r="M151" s="24" t="str">
        <f t="shared" si="24"/>
        <v/>
      </c>
      <c r="N151" s="24" t="str">
        <f t="shared" si="25"/>
        <v/>
      </c>
      <c r="O151" s="24" t="str">
        <f t="shared" si="26"/>
        <v/>
      </c>
      <c r="P151" s="24" t="str">
        <f t="shared" si="27"/>
        <v/>
      </c>
      <c r="Q151" s="24" t="str">
        <f t="shared" si="28"/>
        <v/>
      </c>
      <c r="R151" s="24" t="str">
        <f t="shared" si="29"/>
        <v/>
      </c>
      <c r="T151" s="8" t="s">
        <v>23</v>
      </c>
      <c r="U151" s="8" t="s">
        <v>23</v>
      </c>
      <c r="V151" s="8" t="s">
        <v>23</v>
      </c>
      <c r="W151" s="8" t="s">
        <v>23</v>
      </c>
      <c r="X151" s="8" t="s">
        <v>23</v>
      </c>
      <c r="Y151" s="8" t="s">
        <v>23</v>
      </c>
      <c r="Z151" s="8" t="s">
        <v>23</v>
      </c>
      <c r="AB151" s="25" t="s">
        <v>23</v>
      </c>
      <c r="AC151" s="25" t="s">
        <v>23</v>
      </c>
      <c r="AD151" s="25" t="s">
        <v>23</v>
      </c>
      <c r="AE151" s="25" t="s">
        <v>23</v>
      </c>
      <c r="AF151" s="25" t="s">
        <v>23</v>
      </c>
      <c r="AG151" s="25" t="s">
        <v>23</v>
      </c>
      <c r="AH151" s="7" t="s">
        <v>23</v>
      </c>
      <c r="AJ151" s="7" t="s">
        <v>23</v>
      </c>
      <c r="AK151" s="7" t="s">
        <v>23</v>
      </c>
      <c r="AL151" s="7" t="s">
        <v>23</v>
      </c>
      <c r="AM151" s="7" t="s">
        <v>23</v>
      </c>
      <c r="AN151" s="7" t="s">
        <v>23</v>
      </c>
      <c r="AO151" s="7" t="s">
        <v>23</v>
      </c>
      <c r="AP151" s="7" t="s">
        <v>23</v>
      </c>
    </row>
    <row r="152" spans="11:42">
      <c r="K152" s="22">
        <v>148</v>
      </c>
      <c r="L152" s="24" t="str">
        <f t="shared" si="23"/>
        <v/>
      </c>
      <c r="M152" s="24" t="str">
        <f t="shared" si="24"/>
        <v/>
      </c>
      <c r="N152" s="24" t="str">
        <f t="shared" si="25"/>
        <v/>
      </c>
      <c r="O152" s="24" t="str">
        <f t="shared" si="26"/>
        <v/>
      </c>
      <c r="P152" s="24" t="str">
        <f t="shared" si="27"/>
        <v/>
      </c>
      <c r="Q152" s="24" t="str">
        <f t="shared" si="28"/>
        <v/>
      </c>
      <c r="R152" s="24" t="str">
        <f t="shared" si="29"/>
        <v/>
      </c>
      <c r="T152" s="8" t="s">
        <v>23</v>
      </c>
      <c r="U152" s="8" t="s">
        <v>23</v>
      </c>
      <c r="V152" s="8" t="s">
        <v>23</v>
      </c>
      <c r="W152" s="8" t="s">
        <v>23</v>
      </c>
      <c r="X152" s="8" t="s">
        <v>23</v>
      </c>
      <c r="Y152" s="8" t="s">
        <v>23</v>
      </c>
      <c r="Z152" s="8" t="s">
        <v>23</v>
      </c>
      <c r="AB152" s="25" t="s">
        <v>23</v>
      </c>
      <c r="AC152" s="25" t="s">
        <v>23</v>
      </c>
      <c r="AD152" s="25" t="s">
        <v>23</v>
      </c>
      <c r="AE152" s="25" t="s">
        <v>23</v>
      </c>
      <c r="AF152" s="25" t="s">
        <v>23</v>
      </c>
      <c r="AG152" s="25" t="s">
        <v>23</v>
      </c>
      <c r="AH152" s="7" t="s">
        <v>23</v>
      </c>
      <c r="AJ152" s="7" t="s">
        <v>23</v>
      </c>
      <c r="AK152" s="7" t="s">
        <v>23</v>
      </c>
      <c r="AL152" s="7" t="s">
        <v>23</v>
      </c>
      <c r="AM152" s="7" t="s">
        <v>23</v>
      </c>
      <c r="AN152" s="7" t="s">
        <v>23</v>
      </c>
      <c r="AO152" s="7" t="s">
        <v>23</v>
      </c>
      <c r="AP152" s="7" t="s">
        <v>23</v>
      </c>
    </row>
    <row r="153" spans="11:42">
      <c r="K153" s="21">
        <v>149</v>
      </c>
      <c r="L153" s="24" t="str">
        <f t="shared" si="23"/>
        <v/>
      </c>
      <c r="M153" s="24" t="str">
        <f t="shared" si="24"/>
        <v/>
      </c>
      <c r="N153" s="24" t="str">
        <f t="shared" si="25"/>
        <v/>
      </c>
      <c r="O153" s="24" t="str">
        <f t="shared" si="26"/>
        <v/>
      </c>
      <c r="P153" s="24" t="str">
        <f t="shared" si="27"/>
        <v/>
      </c>
      <c r="Q153" s="24" t="str">
        <f t="shared" si="28"/>
        <v/>
      </c>
      <c r="R153" s="24" t="str">
        <f t="shared" si="29"/>
        <v/>
      </c>
      <c r="T153" s="8" t="s">
        <v>23</v>
      </c>
      <c r="U153" s="8" t="s">
        <v>23</v>
      </c>
      <c r="V153" s="8" t="s">
        <v>23</v>
      </c>
      <c r="W153" s="8" t="s">
        <v>23</v>
      </c>
      <c r="X153" s="8" t="s">
        <v>23</v>
      </c>
      <c r="Y153" s="8" t="s">
        <v>23</v>
      </c>
      <c r="Z153" s="8" t="s">
        <v>23</v>
      </c>
      <c r="AB153" s="25" t="s">
        <v>23</v>
      </c>
      <c r="AC153" s="25" t="s">
        <v>23</v>
      </c>
      <c r="AD153" s="25" t="s">
        <v>23</v>
      </c>
      <c r="AE153" s="25" t="s">
        <v>23</v>
      </c>
      <c r="AF153" s="25" t="s">
        <v>23</v>
      </c>
      <c r="AG153" s="25" t="s">
        <v>23</v>
      </c>
      <c r="AH153" s="7" t="s">
        <v>23</v>
      </c>
      <c r="AJ153" s="7" t="s">
        <v>23</v>
      </c>
      <c r="AK153" s="7" t="s">
        <v>23</v>
      </c>
      <c r="AL153" s="7" t="s">
        <v>23</v>
      </c>
      <c r="AM153" s="7" t="s">
        <v>23</v>
      </c>
      <c r="AN153" s="7" t="s">
        <v>23</v>
      </c>
      <c r="AO153" s="7" t="s">
        <v>23</v>
      </c>
      <c r="AP153" s="7" t="s">
        <v>23</v>
      </c>
    </row>
    <row r="154" spans="11:42">
      <c r="K154" s="22">
        <v>150</v>
      </c>
      <c r="L154" s="24" t="str">
        <f t="shared" si="23"/>
        <v/>
      </c>
      <c r="M154" s="24" t="str">
        <f t="shared" si="24"/>
        <v/>
      </c>
      <c r="N154" s="24" t="str">
        <f t="shared" si="25"/>
        <v/>
      </c>
      <c r="O154" s="24" t="str">
        <f t="shared" si="26"/>
        <v/>
      </c>
      <c r="P154" s="24" t="str">
        <f t="shared" si="27"/>
        <v/>
      </c>
      <c r="Q154" s="24" t="str">
        <f t="shared" si="28"/>
        <v/>
      </c>
      <c r="R154" s="24" t="str">
        <f t="shared" si="29"/>
        <v/>
      </c>
      <c r="T154" s="8" t="s">
        <v>23</v>
      </c>
      <c r="U154" s="8" t="s">
        <v>23</v>
      </c>
      <c r="V154" s="8" t="s">
        <v>23</v>
      </c>
      <c r="W154" s="8" t="s">
        <v>23</v>
      </c>
      <c r="X154" s="8" t="s">
        <v>23</v>
      </c>
      <c r="Y154" s="8" t="s">
        <v>23</v>
      </c>
      <c r="Z154" s="8" t="s">
        <v>23</v>
      </c>
      <c r="AB154" s="25" t="s">
        <v>23</v>
      </c>
      <c r="AC154" s="25" t="s">
        <v>23</v>
      </c>
      <c r="AD154" s="25" t="s">
        <v>23</v>
      </c>
      <c r="AE154" s="25" t="s">
        <v>23</v>
      </c>
      <c r="AF154" s="25" t="s">
        <v>23</v>
      </c>
      <c r="AG154" s="25" t="s">
        <v>23</v>
      </c>
      <c r="AH154" s="7" t="s">
        <v>23</v>
      </c>
      <c r="AJ154" s="7" t="s">
        <v>23</v>
      </c>
      <c r="AK154" s="7" t="s">
        <v>23</v>
      </c>
      <c r="AL154" s="7" t="s">
        <v>23</v>
      </c>
      <c r="AM154" s="7" t="s">
        <v>23</v>
      </c>
      <c r="AN154" s="7" t="s">
        <v>23</v>
      </c>
      <c r="AO154" s="7" t="s">
        <v>23</v>
      </c>
      <c r="AP154" s="7" t="s">
        <v>23</v>
      </c>
    </row>
    <row r="155" spans="11:42">
      <c r="K155" s="21">
        <v>151</v>
      </c>
      <c r="L155" s="24" t="str">
        <f t="shared" si="23"/>
        <v/>
      </c>
      <c r="M155" s="24" t="str">
        <f t="shared" si="24"/>
        <v/>
      </c>
      <c r="N155" s="24" t="str">
        <f t="shared" si="25"/>
        <v/>
      </c>
      <c r="O155" s="24" t="str">
        <f t="shared" si="26"/>
        <v/>
      </c>
      <c r="P155" s="24" t="str">
        <f t="shared" si="27"/>
        <v/>
      </c>
      <c r="Q155" s="24" t="str">
        <f t="shared" si="28"/>
        <v/>
      </c>
      <c r="R155" s="24" t="str">
        <f t="shared" si="29"/>
        <v/>
      </c>
      <c r="T155" s="8" t="s">
        <v>23</v>
      </c>
      <c r="U155" s="8" t="s">
        <v>23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B155" s="25" t="s">
        <v>23</v>
      </c>
      <c r="AC155" s="25" t="s">
        <v>23</v>
      </c>
      <c r="AD155" s="25" t="s">
        <v>23</v>
      </c>
      <c r="AE155" s="25" t="s">
        <v>23</v>
      </c>
      <c r="AF155" s="25" t="s">
        <v>23</v>
      </c>
      <c r="AG155" s="25" t="s">
        <v>23</v>
      </c>
      <c r="AH155" s="7" t="s">
        <v>23</v>
      </c>
      <c r="AJ155" s="7" t="s">
        <v>23</v>
      </c>
      <c r="AK155" s="7" t="s">
        <v>23</v>
      </c>
      <c r="AL155" s="7" t="s">
        <v>23</v>
      </c>
      <c r="AM155" s="7" t="s">
        <v>23</v>
      </c>
      <c r="AN155" s="7" t="s">
        <v>23</v>
      </c>
      <c r="AO155" s="7" t="s">
        <v>23</v>
      </c>
      <c r="AP155" s="7" t="s">
        <v>23</v>
      </c>
    </row>
    <row r="156" spans="11:42">
      <c r="K156" s="22">
        <v>152</v>
      </c>
      <c r="L156" s="24" t="str">
        <f t="shared" si="23"/>
        <v/>
      </c>
      <c r="M156" s="24" t="str">
        <f t="shared" si="24"/>
        <v/>
      </c>
      <c r="N156" s="24" t="str">
        <f t="shared" si="25"/>
        <v/>
      </c>
      <c r="O156" s="24" t="str">
        <f t="shared" si="26"/>
        <v/>
      </c>
      <c r="P156" s="24" t="str">
        <f t="shared" si="27"/>
        <v/>
      </c>
      <c r="Q156" s="24" t="str">
        <f t="shared" si="28"/>
        <v/>
      </c>
      <c r="R156" s="24" t="str">
        <f t="shared" si="29"/>
        <v/>
      </c>
      <c r="T156" s="8" t="s">
        <v>23</v>
      </c>
      <c r="U156" s="8" t="s">
        <v>23</v>
      </c>
      <c r="V156" s="8" t="s">
        <v>23</v>
      </c>
      <c r="W156" s="8" t="s">
        <v>23</v>
      </c>
      <c r="X156" s="8" t="s">
        <v>23</v>
      </c>
      <c r="Y156" s="8" t="s">
        <v>23</v>
      </c>
      <c r="Z156" s="8" t="s">
        <v>23</v>
      </c>
      <c r="AB156" s="25" t="s">
        <v>23</v>
      </c>
      <c r="AC156" s="25" t="s">
        <v>23</v>
      </c>
      <c r="AD156" s="25" t="s">
        <v>23</v>
      </c>
      <c r="AE156" s="25" t="s">
        <v>23</v>
      </c>
      <c r="AF156" s="25" t="s">
        <v>23</v>
      </c>
      <c r="AG156" s="25" t="s">
        <v>23</v>
      </c>
      <c r="AH156" s="7" t="s">
        <v>23</v>
      </c>
      <c r="AJ156" s="7" t="s">
        <v>23</v>
      </c>
      <c r="AK156" s="7" t="s">
        <v>23</v>
      </c>
      <c r="AL156" s="7" t="s">
        <v>23</v>
      </c>
      <c r="AM156" s="7" t="s">
        <v>23</v>
      </c>
      <c r="AN156" s="7" t="s">
        <v>23</v>
      </c>
      <c r="AO156" s="7" t="s">
        <v>23</v>
      </c>
      <c r="AP156" s="7" t="s">
        <v>23</v>
      </c>
    </row>
    <row r="157" spans="11:42">
      <c r="K157" s="21">
        <v>153</v>
      </c>
      <c r="L157" s="24" t="str">
        <f t="shared" si="23"/>
        <v/>
      </c>
      <c r="M157" s="24" t="str">
        <f t="shared" si="24"/>
        <v/>
      </c>
      <c r="N157" s="24" t="str">
        <f t="shared" si="25"/>
        <v/>
      </c>
      <c r="O157" s="24" t="str">
        <f t="shared" si="26"/>
        <v/>
      </c>
      <c r="P157" s="24" t="str">
        <f t="shared" si="27"/>
        <v/>
      </c>
      <c r="Q157" s="24" t="str">
        <f t="shared" si="28"/>
        <v/>
      </c>
      <c r="R157" s="24" t="str">
        <f t="shared" si="29"/>
        <v/>
      </c>
      <c r="T157" s="8" t="s">
        <v>23</v>
      </c>
      <c r="U157" s="8" t="s">
        <v>23</v>
      </c>
      <c r="V157" s="8" t="s">
        <v>23</v>
      </c>
      <c r="W157" s="8" t="s">
        <v>23</v>
      </c>
      <c r="X157" s="8" t="s">
        <v>23</v>
      </c>
      <c r="Y157" s="8" t="s">
        <v>23</v>
      </c>
      <c r="Z157" s="8" t="s">
        <v>23</v>
      </c>
      <c r="AB157" s="25" t="s">
        <v>23</v>
      </c>
      <c r="AC157" s="25" t="s">
        <v>23</v>
      </c>
      <c r="AD157" s="25" t="s">
        <v>23</v>
      </c>
      <c r="AE157" s="25" t="s">
        <v>23</v>
      </c>
      <c r="AF157" s="25" t="s">
        <v>23</v>
      </c>
      <c r="AG157" s="25" t="s">
        <v>23</v>
      </c>
      <c r="AH157" s="7" t="s">
        <v>23</v>
      </c>
      <c r="AJ157" s="7" t="s">
        <v>23</v>
      </c>
      <c r="AK157" s="7" t="s">
        <v>23</v>
      </c>
      <c r="AL157" s="7" t="s">
        <v>23</v>
      </c>
      <c r="AM157" s="7" t="s">
        <v>23</v>
      </c>
      <c r="AN157" s="7" t="s">
        <v>23</v>
      </c>
      <c r="AO157" s="7" t="s">
        <v>23</v>
      </c>
      <c r="AP157" s="7" t="s">
        <v>23</v>
      </c>
    </row>
    <row r="158" spans="11:42">
      <c r="K158" s="22">
        <v>154</v>
      </c>
      <c r="L158" s="24" t="str">
        <f t="shared" si="23"/>
        <v/>
      </c>
      <c r="M158" s="24" t="str">
        <f t="shared" si="24"/>
        <v/>
      </c>
      <c r="N158" s="24" t="str">
        <f t="shared" si="25"/>
        <v/>
      </c>
      <c r="O158" s="24" t="str">
        <f t="shared" si="26"/>
        <v/>
      </c>
      <c r="P158" s="24" t="str">
        <f t="shared" si="27"/>
        <v/>
      </c>
      <c r="Q158" s="24" t="str">
        <f t="shared" si="28"/>
        <v/>
      </c>
      <c r="R158" s="24" t="str">
        <f t="shared" si="29"/>
        <v/>
      </c>
      <c r="T158" s="8" t="s">
        <v>23</v>
      </c>
      <c r="U158" s="8" t="s">
        <v>23</v>
      </c>
      <c r="V158" s="8" t="s">
        <v>23</v>
      </c>
      <c r="W158" s="8" t="s">
        <v>23</v>
      </c>
      <c r="X158" s="8" t="s">
        <v>23</v>
      </c>
      <c r="Y158" s="8" t="s">
        <v>23</v>
      </c>
      <c r="Z158" s="8" t="s">
        <v>23</v>
      </c>
      <c r="AB158" s="25" t="s">
        <v>23</v>
      </c>
      <c r="AC158" s="25" t="s">
        <v>23</v>
      </c>
      <c r="AD158" s="25" t="s">
        <v>23</v>
      </c>
      <c r="AE158" s="25" t="s">
        <v>23</v>
      </c>
      <c r="AF158" s="25" t="s">
        <v>23</v>
      </c>
      <c r="AG158" s="25" t="s">
        <v>23</v>
      </c>
      <c r="AH158" s="7" t="s">
        <v>23</v>
      </c>
      <c r="AJ158" s="7" t="s">
        <v>23</v>
      </c>
      <c r="AK158" s="7" t="s">
        <v>23</v>
      </c>
      <c r="AL158" s="7" t="s">
        <v>23</v>
      </c>
      <c r="AM158" s="7" t="s">
        <v>23</v>
      </c>
      <c r="AN158" s="7" t="s">
        <v>23</v>
      </c>
      <c r="AO158" s="7" t="s">
        <v>23</v>
      </c>
      <c r="AP158" s="7" t="s">
        <v>23</v>
      </c>
    </row>
    <row r="159" spans="11:42">
      <c r="K159" s="21">
        <v>155</v>
      </c>
      <c r="L159" s="24" t="str">
        <f t="shared" si="23"/>
        <v/>
      </c>
      <c r="M159" s="24" t="str">
        <f t="shared" si="24"/>
        <v/>
      </c>
      <c r="N159" s="24" t="str">
        <f t="shared" si="25"/>
        <v/>
      </c>
      <c r="O159" s="24" t="str">
        <f t="shared" si="26"/>
        <v/>
      </c>
      <c r="P159" s="24" t="str">
        <f t="shared" si="27"/>
        <v/>
      </c>
      <c r="Q159" s="24" t="str">
        <f t="shared" si="28"/>
        <v/>
      </c>
      <c r="R159" s="24" t="str">
        <f t="shared" si="29"/>
        <v/>
      </c>
      <c r="T159" s="8" t="s">
        <v>23</v>
      </c>
      <c r="U159" s="8" t="s">
        <v>23</v>
      </c>
      <c r="V159" s="8" t="s">
        <v>23</v>
      </c>
      <c r="W159" s="8" t="s">
        <v>23</v>
      </c>
      <c r="X159" s="8" t="s">
        <v>23</v>
      </c>
      <c r="Y159" s="8" t="s">
        <v>23</v>
      </c>
      <c r="Z159" s="8" t="s">
        <v>23</v>
      </c>
      <c r="AB159" s="25" t="s">
        <v>23</v>
      </c>
      <c r="AC159" s="25" t="s">
        <v>23</v>
      </c>
      <c r="AD159" s="25" t="s">
        <v>23</v>
      </c>
      <c r="AE159" s="25" t="s">
        <v>23</v>
      </c>
      <c r="AF159" s="25" t="s">
        <v>23</v>
      </c>
      <c r="AG159" s="25" t="s">
        <v>23</v>
      </c>
      <c r="AH159" s="7" t="s">
        <v>23</v>
      </c>
      <c r="AJ159" s="7" t="s">
        <v>23</v>
      </c>
      <c r="AK159" s="7" t="s">
        <v>23</v>
      </c>
      <c r="AL159" s="7" t="s">
        <v>23</v>
      </c>
      <c r="AM159" s="7" t="s">
        <v>23</v>
      </c>
      <c r="AN159" s="7" t="s">
        <v>23</v>
      </c>
      <c r="AO159" s="7" t="s">
        <v>23</v>
      </c>
      <c r="AP159" s="7" t="s">
        <v>23</v>
      </c>
    </row>
    <row r="160" spans="11:42">
      <c r="K160" s="22">
        <v>156</v>
      </c>
      <c r="L160" s="24" t="str">
        <f t="shared" si="23"/>
        <v/>
      </c>
      <c r="M160" s="24" t="str">
        <f t="shared" si="24"/>
        <v/>
      </c>
      <c r="N160" s="24" t="str">
        <f t="shared" si="25"/>
        <v/>
      </c>
      <c r="O160" s="24" t="str">
        <f t="shared" si="26"/>
        <v/>
      </c>
      <c r="P160" s="24" t="str">
        <f t="shared" si="27"/>
        <v/>
      </c>
      <c r="Q160" s="24" t="str">
        <f t="shared" si="28"/>
        <v/>
      </c>
      <c r="R160" s="24" t="str">
        <f t="shared" si="29"/>
        <v/>
      </c>
      <c r="T160" s="8" t="s">
        <v>23</v>
      </c>
      <c r="U160" s="8" t="s">
        <v>23</v>
      </c>
      <c r="V160" s="8" t="s">
        <v>23</v>
      </c>
      <c r="W160" s="8" t="s">
        <v>23</v>
      </c>
      <c r="X160" s="8" t="s">
        <v>23</v>
      </c>
      <c r="Y160" s="8" t="s">
        <v>23</v>
      </c>
      <c r="Z160" s="8" t="s">
        <v>23</v>
      </c>
      <c r="AB160" s="25" t="s">
        <v>23</v>
      </c>
      <c r="AC160" s="25" t="s">
        <v>23</v>
      </c>
      <c r="AD160" s="25" t="s">
        <v>23</v>
      </c>
      <c r="AE160" s="25" t="s">
        <v>23</v>
      </c>
      <c r="AF160" s="25" t="s">
        <v>23</v>
      </c>
      <c r="AG160" s="25" t="s">
        <v>23</v>
      </c>
      <c r="AH160" s="7" t="s">
        <v>23</v>
      </c>
      <c r="AJ160" s="7" t="s">
        <v>23</v>
      </c>
      <c r="AK160" s="7" t="s">
        <v>23</v>
      </c>
      <c r="AL160" s="7" t="s">
        <v>23</v>
      </c>
      <c r="AM160" s="7" t="s">
        <v>23</v>
      </c>
      <c r="AN160" s="7" t="s">
        <v>23</v>
      </c>
      <c r="AO160" s="7" t="s">
        <v>23</v>
      </c>
      <c r="AP160" s="7" t="s">
        <v>23</v>
      </c>
    </row>
    <row r="161" spans="11:42">
      <c r="K161" s="21">
        <v>157</v>
      </c>
      <c r="L161" s="24" t="str">
        <f t="shared" si="23"/>
        <v/>
      </c>
      <c r="M161" s="24" t="str">
        <f t="shared" si="24"/>
        <v/>
      </c>
      <c r="N161" s="24" t="str">
        <f t="shared" si="25"/>
        <v/>
      </c>
      <c r="O161" s="24" t="str">
        <f t="shared" si="26"/>
        <v/>
      </c>
      <c r="P161" s="24" t="str">
        <f t="shared" si="27"/>
        <v/>
      </c>
      <c r="Q161" s="24" t="str">
        <f t="shared" si="28"/>
        <v/>
      </c>
      <c r="R161" s="24" t="str">
        <f t="shared" si="29"/>
        <v/>
      </c>
      <c r="T161" s="8" t="s">
        <v>23</v>
      </c>
      <c r="U161" s="8" t="s">
        <v>23</v>
      </c>
      <c r="V161" s="8" t="s">
        <v>23</v>
      </c>
      <c r="W161" s="8" t="s">
        <v>23</v>
      </c>
      <c r="X161" s="8" t="s">
        <v>23</v>
      </c>
      <c r="Y161" s="8" t="s">
        <v>23</v>
      </c>
      <c r="Z161" s="8" t="s">
        <v>23</v>
      </c>
      <c r="AB161" s="25" t="s">
        <v>23</v>
      </c>
      <c r="AC161" s="25" t="s">
        <v>23</v>
      </c>
      <c r="AD161" s="25" t="s">
        <v>23</v>
      </c>
      <c r="AE161" s="25" t="s">
        <v>23</v>
      </c>
      <c r="AF161" s="25" t="s">
        <v>23</v>
      </c>
      <c r="AG161" s="25" t="s">
        <v>23</v>
      </c>
      <c r="AH161" s="7" t="s">
        <v>23</v>
      </c>
      <c r="AJ161" s="7" t="s">
        <v>23</v>
      </c>
      <c r="AK161" s="7" t="s">
        <v>23</v>
      </c>
      <c r="AL161" s="7" t="s">
        <v>23</v>
      </c>
      <c r="AM161" s="7" t="s">
        <v>23</v>
      </c>
      <c r="AN161" s="7" t="s">
        <v>23</v>
      </c>
      <c r="AO161" s="7" t="s">
        <v>23</v>
      </c>
      <c r="AP161" s="7" t="s">
        <v>23</v>
      </c>
    </row>
    <row r="162" spans="11:42">
      <c r="K162" s="22">
        <v>158</v>
      </c>
      <c r="L162" s="24" t="str">
        <f t="shared" si="23"/>
        <v/>
      </c>
      <c r="M162" s="24" t="str">
        <f t="shared" si="24"/>
        <v/>
      </c>
      <c r="N162" s="24" t="str">
        <f t="shared" si="25"/>
        <v/>
      </c>
      <c r="O162" s="24" t="str">
        <f t="shared" si="26"/>
        <v/>
      </c>
      <c r="P162" s="24" t="str">
        <f t="shared" si="27"/>
        <v/>
      </c>
      <c r="Q162" s="24" t="str">
        <f t="shared" si="28"/>
        <v/>
      </c>
      <c r="R162" s="24" t="str">
        <f t="shared" si="29"/>
        <v/>
      </c>
      <c r="T162" s="8" t="s">
        <v>23</v>
      </c>
      <c r="U162" s="8" t="s">
        <v>23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B162" s="25" t="s">
        <v>23</v>
      </c>
      <c r="AC162" s="25" t="s">
        <v>23</v>
      </c>
      <c r="AD162" s="25" t="s">
        <v>23</v>
      </c>
      <c r="AE162" s="25" t="s">
        <v>23</v>
      </c>
      <c r="AF162" s="25" t="s">
        <v>23</v>
      </c>
      <c r="AG162" s="25" t="s">
        <v>23</v>
      </c>
      <c r="AH162" s="7" t="s">
        <v>23</v>
      </c>
      <c r="AJ162" s="7" t="s">
        <v>23</v>
      </c>
      <c r="AK162" s="7" t="s">
        <v>23</v>
      </c>
      <c r="AL162" s="7" t="s">
        <v>23</v>
      </c>
      <c r="AM162" s="7" t="s">
        <v>23</v>
      </c>
      <c r="AN162" s="7" t="s">
        <v>23</v>
      </c>
      <c r="AO162" s="7" t="s">
        <v>23</v>
      </c>
      <c r="AP162" s="7" t="s">
        <v>23</v>
      </c>
    </row>
    <row r="163" spans="11:42">
      <c r="K163" s="21">
        <v>159</v>
      </c>
      <c r="L163" s="24" t="str">
        <f t="shared" si="23"/>
        <v/>
      </c>
      <c r="M163" s="24" t="str">
        <f t="shared" si="24"/>
        <v/>
      </c>
      <c r="N163" s="24" t="str">
        <f t="shared" si="25"/>
        <v/>
      </c>
      <c r="O163" s="24" t="str">
        <f t="shared" si="26"/>
        <v/>
      </c>
      <c r="P163" s="24" t="str">
        <f t="shared" si="27"/>
        <v/>
      </c>
      <c r="Q163" s="24" t="str">
        <f t="shared" si="28"/>
        <v/>
      </c>
      <c r="R163" s="24" t="str">
        <f t="shared" si="29"/>
        <v/>
      </c>
      <c r="T163" s="8" t="s">
        <v>23</v>
      </c>
      <c r="U163" s="8" t="s">
        <v>23</v>
      </c>
      <c r="V163" s="8" t="s">
        <v>23</v>
      </c>
      <c r="W163" s="8" t="s">
        <v>23</v>
      </c>
      <c r="X163" s="8" t="s">
        <v>23</v>
      </c>
      <c r="Y163" s="8" t="s">
        <v>23</v>
      </c>
      <c r="Z163" s="8" t="s">
        <v>23</v>
      </c>
      <c r="AB163" s="25" t="s">
        <v>23</v>
      </c>
      <c r="AC163" s="25" t="s">
        <v>23</v>
      </c>
      <c r="AD163" s="25" t="s">
        <v>23</v>
      </c>
      <c r="AE163" s="25" t="s">
        <v>23</v>
      </c>
      <c r="AF163" s="25" t="s">
        <v>23</v>
      </c>
      <c r="AG163" s="25" t="s">
        <v>23</v>
      </c>
      <c r="AH163" s="7" t="s">
        <v>23</v>
      </c>
      <c r="AJ163" s="7" t="s">
        <v>23</v>
      </c>
      <c r="AK163" s="7" t="s">
        <v>23</v>
      </c>
      <c r="AL163" s="7" t="s">
        <v>23</v>
      </c>
      <c r="AM163" s="7" t="s">
        <v>23</v>
      </c>
      <c r="AN163" s="7" t="s">
        <v>23</v>
      </c>
      <c r="AO163" s="7" t="s">
        <v>23</v>
      </c>
      <c r="AP163" s="7" t="s">
        <v>23</v>
      </c>
    </row>
    <row r="164" spans="11:42">
      <c r="K164" s="22">
        <v>160</v>
      </c>
      <c r="L164" s="24" t="str">
        <f t="shared" si="23"/>
        <v/>
      </c>
      <c r="M164" s="24" t="str">
        <f t="shared" si="24"/>
        <v/>
      </c>
      <c r="N164" s="24" t="str">
        <f t="shared" si="25"/>
        <v/>
      </c>
      <c r="O164" s="24" t="str">
        <f t="shared" si="26"/>
        <v/>
      </c>
      <c r="P164" s="24" t="str">
        <f t="shared" si="27"/>
        <v/>
      </c>
      <c r="Q164" s="24" t="str">
        <f t="shared" si="28"/>
        <v/>
      </c>
      <c r="R164" s="24" t="str">
        <f t="shared" si="29"/>
        <v/>
      </c>
      <c r="T164" s="8" t="s">
        <v>23</v>
      </c>
      <c r="U164" s="8" t="s">
        <v>23</v>
      </c>
      <c r="V164" s="8" t="s">
        <v>23</v>
      </c>
      <c r="W164" s="8" t="s">
        <v>23</v>
      </c>
      <c r="X164" s="8" t="s">
        <v>23</v>
      </c>
      <c r="Y164" s="8" t="s">
        <v>23</v>
      </c>
      <c r="Z164" s="8" t="s">
        <v>23</v>
      </c>
      <c r="AB164" s="25" t="s">
        <v>23</v>
      </c>
      <c r="AC164" s="25" t="s">
        <v>23</v>
      </c>
      <c r="AD164" s="25" t="s">
        <v>23</v>
      </c>
      <c r="AE164" s="25" t="s">
        <v>23</v>
      </c>
      <c r="AF164" s="25" t="s">
        <v>23</v>
      </c>
      <c r="AG164" s="25" t="s">
        <v>23</v>
      </c>
      <c r="AH164" s="7" t="s">
        <v>23</v>
      </c>
      <c r="AJ164" s="7" t="s">
        <v>23</v>
      </c>
      <c r="AK164" s="7" t="s">
        <v>23</v>
      </c>
      <c r="AL164" s="7" t="s">
        <v>23</v>
      </c>
      <c r="AM164" s="7" t="s">
        <v>23</v>
      </c>
      <c r="AN164" s="7" t="s">
        <v>23</v>
      </c>
      <c r="AO164" s="7" t="s">
        <v>23</v>
      </c>
      <c r="AP164" s="7" t="s">
        <v>23</v>
      </c>
    </row>
    <row r="165" spans="11:42">
      <c r="K165" s="21">
        <v>161</v>
      </c>
      <c r="L165" s="24" t="str">
        <f t="shared" si="23"/>
        <v/>
      </c>
      <c r="M165" s="24" t="str">
        <f t="shared" si="24"/>
        <v/>
      </c>
      <c r="N165" s="24" t="str">
        <f t="shared" si="25"/>
        <v/>
      </c>
      <c r="O165" s="24" t="str">
        <f t="shared" si="26"/>
        <v/>
      </c>
      <c r="P165" s="24" t="str">
        <f t="shared" si="27"/>
        <v/>
      </c>
      <c r="Q165" s="24" t="str">
        <f t="shared" si="28"/>
        <v/>
      </c>
      <c r="R165" s="24" t="str">
        <f t="shared" si="29"/>
        <v/>
      </c>
      <c r="T165" s="8" t="s">
        <v>23</v>
      </c>
      <c r="U165" s="8" t="s">
        <v>23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B165" s="25" t="s">
        <v>23</v>
      </c>
      <c r="AC165" s="25" t="s">
        <v>23</v>
      </c>
      <c r="AD165" s="25" t="s">
        <v>23</v>
      </c>
      <c r="AE165" s="25" t="s">
        <v>23</v>
      </c>
      <c r="AF165" s="25" t="s">
        <v>23</v>
      </c>
      <c r="AG165" s="25" t="s">
        <v>23</v>
      </c>
      <c r="AH165" s="7" t="s">
        <v>23</v>
      </c>
      <c r="AJ165" s="7" t="s">
        <v>23</v>
      </c>
      <c r="AK165" s="7" t="s">
        <v>23</v>
      </c>
      <c r="AL165" s="7" t="s">
        <v>23</v>
      </c>
      <c r="AM165" s="7" t="s">
        <v>23</v>
      </c>
      <c r="AN165" s="7" t="s">
        <v>23</v>
      </c>
      <c r="AO165" s="7" t="s">
        <v>23</v>
      </c>
      <c r="AP165" s="7" t="s">
        <v>23</v>
      </c>
    </row>
    <row r="166" spans="11:42">
      <c r="K166" s="22">
        <v>162</v>
      </c>
      <c r="L166" s="24" t="str">
        <f t="shared" si="23"/>
        <v/>
      </c>
      <c r="M166" s="24" t="str">
        <f t="shared" si="24"/>
        <v/>
      </c>
      <c r="N166" s="24" t="str">
        <f t="shared" si="25"/>
        <v/>
      </c>
      <c r="O166" s="24" t="str">
        <f t="shared" si="26"/>
        <v/>
      </c>
      <c r="P166" s="24" t="str">
        <f t="shared" si="27"/>
        <v/>
      </c>
      <c r="Q166" s="24" t="str">
        <f t="shared" si="28"/>
        <v/>
      </c>
      <c r="R166" s="24" t="str">
        <f t="shared" si="29"/>
        <v/>
      </c>
      <c r="T166" s="8" t="s">
        <v>23</v>
      </c>
      <c r="U166" s="8" t="s">
        <v>23</v>
      </c>
      <c r="V166" s="8" t="s">
        <v>23</v>
      </c>
      <c r="W166" s="8" t="s">
        <v>23</v>
      </c>
      <c r="X166" s="8" t="s">
        <v>23</v>
      </c>
      <c r="Y166" s="8" t="s">
        <v>23</v>
      </c>
      <c r="Z166" s="8" t="s">
        <v>23</v>
      </c>
      <c r="AB166" s="25" t="s">
        <v>23</v>
      </c>
      <c r="AC166" s="25" t="s">
        <v>23</v>
      </c>
      <c r="AD166" s="25" t="s">
        <v>23</v>
      </c>
      <c r="AE166" s="25" t="s">
        <v>23</v>
      </c>
      <c r="AF166" s="25" t="s">
        <v>23</v>
      </c>
      <c r="AG166" s="25" t="s">
        <v>23</v>
      </c>
      <c r="AH166" s="7" t="s">
        <v>23</v>
      </c>
      <c r="AJ166" s="7" t="s">
        <v>23</v>
      </c>
      <c r="AK166" s="7" t="s">
        <v>23</v>
      </c>
      <c r="AL166" s="7" t="s">
        <v>23</v>
      </c>
      <c r="AM166" s="7" t="s">
        <v>23</v>
      </c>
      <c r="AN166" s="7" t="s">
        <v>23</v>
      </c>
      <c r="AO166" s="7" t="s">
        <v>23</v>
      </c>
      <c r="AP166" s="7" t="s">
        <v>23</v>
      </c>
    </row>
    <row r="167" spans="11:42">
      <c r="K167" s="21">
        <v>163</v>
      </c>
      <c r="L167" s="24" t="str">
        <f t="shared" si="23"/>
        <v/>
      </c>
      <c r="M167" s="24" t="str">
        <f t="shared" si="24"/>
        <v/>
      </c>
      <c r="N167" s="24" t="str">
        <f t="shared" si="25"/>
        <v/>
      </c>
      <c r="O167" s="24" t="str">
        <f t="shared" si="26"/>
        <v/>
      </c>
      <c r="P167" s="24" t="str">
        <f t="shared" si="27"/>
        <v/>
      </c>
      <c r="Q167" s="24" t="str">
        <f t="shared" si="28"/>
        <v/>
      </c>
      <c r="R167" s="24" t="str">
        <f t="shared" si="29"/>
        <v/>
      </c>
      <c r="T167" s="8" t="s">
        <v>23</v>
      </c>
      <c r="U167" s="8" t="s">
        <v>23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B167" s="25" t="s">
        <v>23</v>
      </c>
      <c r="AC167" s="25" t="s">
        <v>23</v>
      </c>
      <c r="AD167" s="25" t="s">
        <v>23</v>
      </c>
      <c r="AE167" s="25" t="s">
        <v>23</v>
      </c>
      <c r="AF167" s="25" t="s">
        <v>23</v>
      </c>
      <c r="AG167" s="25" t="s">
        <v>23</v>
      </c>
      <c r="AH167" s="7" t="s">
        <v>23</v>
      </c>
      <c r="AJ167" s="7" t="s">
        <v>23</v>
      </c>
      <c r="AK167" s="7" t="s">
        <v>23</v>
      </c>
      <c r="AL167" s="7" t="s">
        <v>23</v>
      </c>
      <c r="AM167" s="7" t="s">
        <v>23</v>
      </c>
      <c r="AN167" s="7" t="s">
        <v>23</v>
      </c>
      <c r="AO167" s="7" t="s">
        <v>23</v>
      </c>
      <c r="AP167" s="7" t="s">
        <v>23</v>
      </c>
    </row>
    <row r="168" spans="11:42">
      <c r="K168" s="22">
        <v>164</v>
      </c>
      <c r="L168" s="24" t="str">
        <f t="shared" si="23"/>
        <v/>
      </c>
      <c r="M168" s="24" t="str">
        <f t="shared" si="24"/>
        <v/>
      </c>
      <c r="N168" s="24" t="str">
        <f t="shared" si="25"/>
        <v/>
      </c>
      <c r="O168" s="24" t="str">
        <f t="shared" si="26"/>
        <v/>
      </c>
      <c r="P168" s="24" t="str">
        <f t="shared" si="27"/>
        <v/>
      </c>
      <c r="Q168" s="24" t="str">
        <f t="shared" si="28"/>
        <v/>
      </c>
      <c r="R168" s="24" t="str">
        <f t="shared" si="29"/>
        <v/>
      </c>
      <c r="T168" s="8" t="s">
        <v>23</v>
      </c>
      <c r="U168" s="8" t="s">
        <v>23</v>
      </c>
      <c r="V168" s="8" t="s">
        <v>23</v>
      </c>
      <c r="W168" s="8" t="s">
        <v>23</v>
      </c>
      <c r="X168" s="8" t="s">
        <v>23</v>
      </c>
      <c r="Y168" s="8" t="s">
        <v>23</v>
      </c>
      <c r="Z168" s="8" t="s">
        <v>23</v>
      </c>
      <c r="AB168" s="25" t="s">
        <v>23</v>
      </c>
      <c r="AC168" s="25" t="s">
        <v>23</v>
      </c>
      <c r="AD168" s="25" t="s">
        <v>23</v>
      </c>
      <c r="AE168" s="25" t="s">
        <v>23</v>
      </c>
      <c r="AF168" s="25" t="s">
        <v>23</v>
      </c>
      <c r="AG168" s="25" t="s">
        <v>23</v>
      </c>
      <c r="AH168" s="7" t="s">
        <v>23</v>
      </c>
      <c r="AJ168" s="7" t="s">
        <v>23</v>
      </c>
      <c r="AK168" s="7" t="s">
        <v>23</v>
      </c>
      <c r="AL168" s="7" t="s">
        <v>23</v>
      </c>
      <c r="AM168" s="7" t="s">
        <v>23</v>
      </c>
      <c r="AN168" s="7" t="s">
        <v>23</v>
      </c>
      <c r="AO168" s="7" t="s">
        <v>23</v>
      </c>
      <c r="AP168" s="7" t="s">
        <v>23</v>
      </c>
    </row>
    <row r="169" spans="11:42">
      <c r="K169" s="21">
        <v>165</v>
      </c>
      <c r="L169" s="24" t="str">
        <f t="shared" si="23"/>
        <v/>
      </c>
      <c r="M169" s="24" t="str">
        <f t="shared" si="24"/>
        <v/>
      </c>
      <c r="N169" s="24" t="str">
        <f t="shared" si="25"/>
        <v/>
      </c>
      <c r="O169" s="24" t="str">
        <f t="shared" si="26"/>
        <v/>
      </c>
      <c r="P169" s="24" t="str">
        <f t="shared" si="27"/>
        <v/>
      </c>
      <c r="Q169" s="24" t="str">
        <f t="shared" si="28"/>
        <v/>
      </c>
      <c r="R169" s="24" t="str">
        <f t="shared" si="29"/>
        <v/>
      </c>
      <c r="T169" s="8" t="s">
        <v>23</v>
      </c>
      <c r="U169" s="8" t="s">
        <v>23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B169" s="25" t="s">
        <v>23</v>
      </c>
      <c r="AC169" s="25" t="s">
        <v>23</v>
      </c>
      <c r="AD169" s="25" t="s">
        <v>23</v>
      </c>
      <c r="AE169" s="25" t="s">
        <v>23</v>
      </c>
      <c r="AF169" s="25" t="s">
        <v>23</v>
      </c>
      <c r="AG169" s="25" t="s">
        <v>23</v>
      </c>
      <c r="AH169" s="7" t="s">
        <v>23</v>
      </c>
      <c r="AJ169" s="7" t="s">
        <v>23</v>
      </c>
      <c r="AK169" s="7" t="s">
        <v>23</v>
      </c>
      <c r="AL169" s="7" t="s">
        <v>23</v>
      </c>
      <c r="AM169" s="7" t="s">
        <v>23</v>
      </c>
      <c r="AN169" s="7" t="s">
        <v>23</v>
      </c>
      <c r="AO169" s="7" t="s">
        <v>23</v>
      </c>
      <c r="AP169" s="7" t="s">
        <v>23</v>
      </c>
    </row>
    <row r="170" spans="11:42">
      <c r="K170" s="22">
        <v>166</v>
      </c>
      <c r="L170" s="24" t="str">
        <f t="shared" si="23"/>
        <v/>
      </c>
      <c r="M170" s="24" t="str">
        <f t="shared" si="24"/>
        <v/>
      </c>
      <c r="N170" s="24" t="str">
        <f t="shared" si="25"/>
        <v/>
      </c>
      <c r="O170" s="24" t="str">
        <f t="shared" si="26"/>
        <v/>
      </c>
      <c r="P170" s="24" t="str">
        <f t="shared" si="27"/>
        <v/>
      </c>
      <c r="Q170" s="24" t="str">
        <f t="shared" si="28"/>
        <v/>
      </c>
      <c r="R170" s="24" t="str">
        <f t="shared" si="29"/>
        <v/>
      </c>
      <c r="T170" s="8" t="s">
        <v>23</v>
      </c>
      <c r="U170" s="8" t="s">
        <v>23</v>
      </c>
      <c r="V170" s="8" t="s">
        <v>23</v>
      </c>
      <c r="W170" s="8" t="s">
        <v>23</v>
      </c>
      <c r="X170" s="8" t="s">
        <v>23</v>
      </c>
      <c r="Y170" s="8" t="s">
        <v>23</v>
      </c>
      <c r="Z170" s="8" t="s">
        <v>23</v>
      </c>
      <c r="AB170" s="25" t="s">
        <v>23</v>
      </c>
      <c r="AC170" s="25" t="s">
        <v>23</v>
      </c>
      <c r="AD170" s="25" t="s">
        <v>23</v>
      </c>
      <c r="AE170" s="25" t="s">
        <v>23</v>
      </c>
      <c r="AF170" s="25" t="s">
        <v>23</v>
      </c>
      <c r="AG170" s="25" t="s">
        <v>23</v>
      </c>
      <c r="AH170" s="7" t="s">
        <v>23</v>
      </c>
      <c r="AJ170" s="7" t="s">
        <v>23</v>
      </c>
      <c r="AK170" s="7" t="s">
        <v>23</v>
      </c>
      <c r="AL170" s="7" t="s">
        <v>23</v>
      </c>
      <c r="AM170" s="7" t="s">
        <v>23</v>
      </c>
      <c r="AN170" s="7" t="s">
        <v>23</v>
      </c>
      <c r="AO170" s="7" t="s">
        <v>23</v>
      </c>
      <c r="AP170" s="7" t="s">
        <v>23</v>
      </c>
    </row>
    <row r="171" spans="11:42">
      <c r="K171" s="21">
        <v>167</v>
      </c>
      <c r="L171" s="24" t="str">
        <f t="shared" si="23"/>
        <v/>
      </c>
      <c r="M171" s="24" t="str">
        <f t="shared" si="24"/>
        <v/>
      </c>
      <c r="N171" s="24" t="str">
        <f t="shared" si="25"/>
        <v/>
      </c>
      <c r="O171" s="24" t="str">
        <f t="shared" si="26"/>
        <v/>
      </c>
      <c r="P171" s="24" t="str">
        <f t="shared" si="27"/>
        <v/>
      </c>
      <c r="Q171" s="24" t="str">
        <f t="shared" si="28"/>
        <v/>
      </c>
      <c r="R171" s="24" t="str">
        <f t="shared" si="29"/>
        <v/>
      </c>
      <c r="T171" s="8" t="s">
        <v>23</v>
      </c>
      <c r="U171" s="8" t="s">
        <v>23</v>
      </c>
      <c r="V171" s="8" t="s">
        <v>23</v>
      </c>
      <c r="W171" s="8" t="s">
        <v>23</v>
      </c>
      <c r="X171" s="8" t="s">
        <v>23</v>
      </c>
      <c r="Y171" s="8" t="s">
        <v>23</v>
      </c>
      <c r="Z171" s="8" t="s">
        <v>23</v>
      </c>
      <c r="AB171" s="25" t="s">
        <v>23</v>
      </c>
      <c r="AC171" s="25" t="s">
        <v>23</v>
      </c>
      <c r="AD171" s="25" t="s">
        <v>23</v>
      </c>
      <c r="AE171" s="25" t="s">
        <v>23</v>
      </c>
      <c r="AF171" s="25" t="s">
        <v>23</v>
      </c>
      <c r="AG171" s="25" t="s">
        <v>23</v>
      </c>
      <c r="AH171" s="7" t="s">
        <v>23</v>
      </c>
      <c r="AJ171" s="7" t="s">
        <v>23</v>
      </c>
      <c r="AK171" s="7" t="s">
        <v>23</v>
      </c>
      <c r="AL171" s="7" t="s">
        <v>23</v>
      </c>
      <c r="AM171" s="7" t="s">
        <v>23</v>
      </c>
      <c r="AN171" s="7" t="s">
        <v>23</v>
      </c>
      <c r="AO171" s="7" t="s">
        <v>23</v>
      </c>
      <c r="AP171" s="7" t="s">
        <v>23</v>
      </c>
    </row>
    <row r="172" spans="11:42">
      <c r="K172" s="22">
        <v>168</v>
      </c>
      <c r="L172" s="24" t="str">
        <f t="shared" si="23"/>
        <v/>
      </c>
      <c r="M172" s="24" t="str">
        <f t="shared" si="24"/>
        <v/>
      </c>
      <c r="N172" s="24" t="str">
        <f t="shared" si="25"/>
        <v/>
      </c>
      <c r="O172" s="24" t="str">
        <f t="shared" si="26"/>
        <v/>
      </c>
      <c r="P172" s="24" t="str">
        <f t="shared" si="27"/>
        <v/>
      </c>
      <c r="Q172" s="24" t="str">
        <f t="shared" si="28"/>
        <v/>
      </c>
      <c r="R172" s="24" t="str">
        <f t="shared" si="29"/>
        <v/>
      </c>
      <c r="T172" s="8" t="s">
        <v>23</v>
      </c>
      <c r="U172" s="8" t="s">
        <v>23</v>
      </c>
      <c r="V172" s="8" t="s">
        <v>23</v>
      </c>
      <c r="W172" s="8" t="s">
        <v>23</v>
      </c>
      <c r="X172" s="8" t="s">
        <v>23</v>
      </c>
      <c r="Y172" s="8" t="s">
        <v>23</v>
      </c>
      <c r="Z172" s="8" t="s">
        <v>23</v>
      </c>
      <c r="AB172" s="25" t="s">
        <v>23</v>
      </c>
      <c r="AC172" s="25" t="s">
        <v>23</v>
      </c>
      <c r="AD172" s="25" t="s">
        <v>23</v>
      </c>
      <c r="AE172" s="25" t="s">
        <v>23</v>
      </c>
      <c r="AF172" s="25" t="s">
        <v>23</v>
      </c>
      <c r="AG172" s="25" t="s">
        <v>23</v>
      </c>
      <c r="AH172" s="7" t="s">
        <v>23</v>
      </c>
      <c r="AJ172" s="7" t="s">
        <v>23</v>
      </c>
      <c r="AK172" s="7" t="s">
        <v>23</v>
      </c>
      <c r="AL172" s="7" t="s">
        <v>23</v>
      </c>
      <c r="AM172" s="7" t="s">
        <v>23</v>
      </c>
      <c r="AN172" s="7" t="s">
        <v>23</v>
      </c>
      <c r="AO172" s="7" t="s">
        <v>23</v>
      </c>
      <c r="AP172" s="7" t="s">
        <v>23</v>
      </c>
    </row>
    <row r="173" spans="11:42">
      <c r="K173" s="21">
        <v>169</v>
      </c>
      <c r="L173" s="24" t="str">
        <f t="shared" si="23"/>
        <v/>
      </c>
      <c r="M173" s="24" t="str">
        <f t="shared" si="24"/>
        <v/>
      </c>
      <c r="N173" s="24" t="str">
        <f t="shared" si="25"/>
        <v/>
      </c>
      <c r="O173" s="24" t="str">
        <f t="shared" si="26"/>
        <v/>
      </c>
      <c r="P173" s="24" t="str">
        <f t="shared" si="27"/>
        <v/>
      </c>
      <c r="Q173" s="24" t="str">
        <f t="shared" si="28"/>
        <v/>
      </c>
      <c r="R173" s="24" t="str">
        <f t="shared" si="29"/>
        <v/>
      </c>
      <c r="T173" s="8" t="s">
        <v>23</v>
      </c>
      <c r="U173" s="8" t="s">
        <v>23</v>
      </c>
      <c r="V173" s="8" t="s">
        <v>23</v>
      </c>
      <c r="W173" s="8" t="s">
        <v>23</v>
      </c>
      <c r="X173" s="8" t="s">
        <v>23</v>
      </c>
      <c r="Y173" s="8" t="s">
        <v>23</v>
      </c>
      <c r="Z173" s="8" t="s">
        <v>23</v>
      </c>
      <c r="AB173" s="25" t="s">
        <v>23</v>
      </c>
      <c r="AC173" s="25" t="s">
        <v>23</v>
      </c>
      <c r="AD173" s="25" t="s">
        <v>23</v>
      </c>
      <c r="AE173" s="25" t="s">
        <v>23</v>
      </c>
      <c r="AF173" s="25" t="s">
        <v>23</v>
      </c>
      <c r="AG173" s="25" t="s">
        <v>23</v>
      </c>
      <c r="AH173" s="7" t="s">
        <v>23</v>
      </c>
      <c r="AJ173" s="7" t="s">
        <v>23</v>
      </c>
      <c r="AK173" s="7" t="s">
        <v>23</v>
      </c>
      <c r="AL173" s="7" t="s">
        <v>23</v>
      </c>
      <c r="AM173" s="7" t="s">
        <v>23</v>
      </c>
      <c r="AN173" s="7" t="s">
        <v>23</v>
      </c>
      <c r="AO173" s="7" t="s">
        <v>23</v>
      </c>
      <c r="AP173" s="7" t="s">
        <v>23</v>
      </c>
    </row>
    <row r="174" spans="11:42">
      <c r="K174" s="22">
        <v>170</v>
      </c>
      <c r="L174" s="24" t="str">
        <f t="shared" si="23"/>
        <v/>
      </c>
      <c r="M174" s="24" t="str">
        <f t="shared" si="24"/>
        <v/>
      </c>
      <c r="N174" s="24" t="str">
        <f t="shared" si="25"/>
        <v/>
      </c>
      <c r="O174" s="24" t="str">
        <f t="shared" si="26"/>
        <v/>
      </c>
      <c r="P174" s="24" t="str">
        <f t="shared" si="27"/>
        <v/>
      </c>
      <c r="Q174" s="24" t="str">
        <f t="shared" si="28"/>
        <v/>
      </c>
      <c r="R174" s="24" t="str">
        <f t="shared" si="29"/>
        <v/>
      </c>
      <c r="T174" s="8" t="s">
        <v>23</v>
      </c>
      <c r="U174" s="8" t="s">
        <v>23</v>
      </c>
      <c r="V174" s="8" t="s">
        <v>23</v>
      </c>
      <c r="W174" s="8" t="s">
        <v>23</v>
      </c>
      <c r="X174" s="8" t="s">
        <v>23</v>
      </c>
      <c r="Y174" s="8" t="s">
        <v>23</v>
      </c>
      <c r="Z174" s="8" t="s">
        <v>23</v>
      </c>
      <c r="AB174" s="25" t="s">
        <v>23</v>
      </c>
      <c r="AC174" s="25" t="s">
        <v>23</v>
      </c>
      <c r="AD174" s="25" t="s">
        <v>23</v>
      </c>
      <c r="AE174" s="25" t="s">
        <v>23</v>
      </c>
      <c r="AF174" s="25" t="s">
        <v>23</v>
      </c>
      <c r="AG174" s="25" t="s">
        <v>23</v>
      </c>
      <c r="AH174" s="7" t="s">
        <v>23</v>
      </c>
      <c r="AJ174" s="7" t="s">
        <v>23</v>
      </c>
      <c r="AK174" s="7" t="s">
        <v>23</v>
      </c>
      <c r="AL174" s="7" t="s">
        <v>23</v>
      </c>
      <c r="AM174" s="7" t="s">
        <v>23</v>
      </c>
      <c r="AN174" s="7" t="s">
        <v>23</v>
      </c>
      <c r="AO174" s="7" t="s">
        <v>23</v>
      </c>
      <c r="AP174" s="7" t="s">
        <v>23</v>
      </c>
    </row>
    <row r="175" spans="11:42">
      <c r="K175" s="21">
        <v>171</v>
      </c>
      <c r="L175" s="24" t="str">
        <f t="shared" si="23"/>
        <v/>
      </c>
      <c r="M175" s="24" t="str">
        <f t="shared" si="24"/>
        <v/>
      </c>
      <c r="N175" s="24" t="str">
        <f t="shared" si="25"/>
        <v/>
      </c>
      <c r="O175" s="24" t="str">
        <f t="shared" si="26"/>
        <v/>
      </c>
      <c r="P175" s="24" t="str">
        <f t="shared" si="27"/>
        <v/>
      </c>
      <c r="Q175" s="24" t="str">
        <f t="shared" si="28"/>
        <v/>
      </c>
      <c r="R175" s="24" t="str">
        <f t="shared" si="29"/>
        <v/>
      </c>
      <c r="T175" s="8" t="s">
        <v>23</v>
      </c>
      <c r="U175" s="8" t="s">
        <v>23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B175" s="25" t="s">
        <v>23</v>
      </c>
      <c r="AC175" s="25" t="s">
        <v>23</v>
      </c>
      <c r="AD175" s="25" t="s">
        <v>23</v>
      </c>
      <c r="AE175" s="25" t="s">
        <v>23</v>
      </c>
      <c r="AF175" s="25" t="s">
        <v>23</v>
      </c>
      <c r="AG175" s="25" t="s">
        <v>23</v>
      </c>
      <c r="AH175" s="7" t="s">
        <v>23</v>
      </c>
      <c r="AJ175" s="7" t="s">
        <v>23</v>
      </c>
      <c r="AK175" s="7" t="s">
        <v>23</v>
      </c>
      <c r="AL175" s="7" t="s">
        <v>23</v>
      </c>
      <c r="AM175" s="7" t="s">
        <v>23</v>
      </c>
      <c r="AN175" s="7" t="s">
        <v>23</v>
      </c>
      <c r="AO175" s="7" t="s">
        <v>23</v>
      </c>
      <c r="AP175" s="7" t="s">
        <v>23</v>
      </c>
    </row>
    <row r="176" spans="11:42">
      <c r="K176" s="22">
        <v>172</v>
      </c>
      <c r="L176" s="24" t="str">
        <f t="shared" si="23"/>
        <v/>
      </c>
      <c r="M176" s="24" t="str">
        <f t="shared" si="24"/>
        <v/>
      </c>
      <c r="N176" s="24" t="str">
        <f t="shared" si="25"/>
        <v/>
      </c>
      <c r="O176" s="24" t="str">
        <f t="shared" si="26"/>
        <v/>
      </c>
      <c r="P176" s="24" t="str">
        <f t="shared" si="27"/>
        <v/>
      </c>
      <c r="Q176" s="24" t="str">
        <f t="shared" si="28"/>
        <v/>
      </c>
      <c r="R176" s="24" t="str">
        <f t="shared" si="29"/>
        <v/>
      </c>
      <c r="T176" s="8" t="s">
        <v>23</v>
      </c>
      <c r="U176" s="8" t="s">
        <v>23</v>
      </c>
      <c r="V176" s="8" t="s">
        <v>23</v>
      </c>
      <c r="W176" s="8" t="s">
        <v>23</v>
      </c>
      <c r="X176" s="8" t="s">
        <v>23</v>
      </c>
      <c r="Y176" s="8" t="s">
        <v>23</v>
      </c>
      <c r="Z176" s="8" t="s">
        <v>23</v>
      </c>
      <c r="AB176" s="25" t="s">
        <v>23</v>
      </c>
      <c r="AC176" s="25" t="s">
        <v>23</v>
      </c>
      <c r="AD176" s="25" t="s">
        <v>23</v>
      </c>
      <c r="AE176" s="25" t="s">
        <v>23</v>
      </c>
      <c r="AF176" s="25" t="s">
        <v>23</v>
      </c>
      <c r="AG176" s="25" t="s">
        <v>23</v>
      </c>
      <c r="AH176" s="7" t="s">
        <v>23</v>
      </c>
      <c r="AJ176" s="7" t="s">
        <v>23</v>
      </c>
      <c r="AK176" s="7" t="s">
        <v>23</v>
      </c>
      <c r="AL176" s="7" t="s">
        <v>23</v>
      </c>
      <c r="AM176" s="7" t="s">
        <v>23</v>
      </c>
      <c r="AN176" s="7" t="s">
        <v>23</v>
      </c>
      <c r="AO176" s="7" t="s">
        <v>23</v>
      </c>
      <c r="AP176" s="7" t="s">
        <v>23</v>
      </c>
    </row>
    <row r="177" spans="11:42">
      <c r="K177" s="21">
        <v>173</v>
      </c>
      <c r="L177" s="24" t="str">
        <f t="shared" si="23"/>
        <v/>
      </c>
      <c r="M177" s="24" t="str">
        <f t="shared" si="24"/>
        <v/>
      </c>
      <c r="N177" s="24" t="str">
        <f t="shared" si="25"/>
        <v/>
      </c>
      <c r="O177" s="24" t="str">
        <f t="shared" si="26"/>
        <v/>
      </c>
      <c r="P177" s="24" t="str">
        <f t="shared" si="27"/>
        <v/>
      </c>
      <c r="Q177" s="24" t="str">
        <f t="shared" si="28"/>
        <v/>
      </c>
      <c r="R177" s="24" t="str">
        <f t="shared" si="29"/>
        <v/>
      </c>
      <c r="T177" s="8" t="s">
        <v>23</v>
      </c>
      <c r="U177" s="8" t="s">
        <v>23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B177" s="25" t="s">
        <v>23</v>
      </c>
      <c r="AC177" s="25" t="s">
        <v>23</v>
      </c>
      <c r="AD177" s="25" t="s">
        <v>23</v>
      </c>
      <c r="AE177" s="25" t="s">
        <v>23</v>
      </c>
      <c r="AF177" s="25" t="s">
        <v>23</v>
      </c>
      <c r="AG177" s="25" t="s">
        <v>23</v>
      </c>
      <c r="AH177" s="7" t="s">
        <v>23</v>
      </c>
      <c r="AJ177" s="7" t="s">
        <v>23</v>
      </c>
      <c r="AK177" s="7" t="s">
        <v>23</v>
      </c>
      <c r="AL177" s="7" t="s">
        <v>23</v>
      </c>
      <c r="AM177" s="7" t="s">
        <v>23</v>
      </c>
      <c r="AN177" s="7" t="s">
        <v>23</v>
      </c>
      <c r="AO177" s="7" t="s">
        <v>23</v>
      </c>
      <c r="AP177" s="7" t="s">
        <v>23</v>
      </c>
    </row>
    <row r="178" spans="11:42">
      <c r="K178" s="22">
        <v>174</v>
      </c>
      <c r="L178" s="24" t="str">
        <f t="shared" si="23"/>
        <v/>
      </c>
      <c r="M178" s="24" t="str">
        <f t="shared" si="24"/>
        <v/>
      </c>
      <c r="N178" s="24" t="str">
        <f t="shared" si="25"/>
        <v/>
      </c>
      <c r="O178" s="24" t="str">
        <f t="shared" si="26"/>
        <v/>
      </c>
      <c r="P178" s="24" t="str">
        <f t="shared" si="27"/>
        <v/>
      </c>
      <c r="Q178" s="24" t="str">
        <f t="shared" si="28"/>
        <v/>
      </c>
      <c r="R178" s="24" t="str">
        <f t="shared" si="29"/>
        <v/>
      </c>
      <c r="T178" s="8" t="s">
        <v>23</v>
      </c>
      <c r="U178" s="8" t="s">
        <v>23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B178" s="25" t="s">
        <v>23</v>
      </c>
      <c r="AC178" s="25" t="s">
        <v>23</v>
      </c>
      <c r="AD178" s="25" t="s">
        <v>23</v>
      </c>
      <c r="AE178" s="25" t="s">
        <v>23</v>
      </c>
      <c r="AF178" s="25" t="s">
        <v>23</v>
      </c>
      <c r="AG178" s="25" t="s">
        <v>23</v>
      </c>
      <c r="AH178" s="7" t="s">
        <v>23</v>
      </c>
      <c r="AJ178" s="7" t="s">
        <v>23</v>
      </c>
      <c r="AK178" s="7" t="s">
        <v>23</v>
      </c>
      <c r="AL178" s="7" t="s">
        <v>23</v>
      </c>
      <c r="AM178" s="7" t="s">
        <v>23</v>
      </c>
      <c r="AN178" s="7" t="s">
        <v>23</v>
      </c>
      <c r="AO178" s="7" t="s">
        <v>23</v>
      </c>
      <c r="AP178" s="7" t="s">
        <v>23</v>
      </c>
    </row>
    <row r="179" spans="11:42">
      <c r="K179" s="21">
        <v>175</v>
      </c>
      <c r="L179" s="24" t="str">
        <f t="shared" si="23"/>
        <v/>
      </c>
      <c r="M179" s="24" t="str">
        <f t="shared" si="24"/>
        <v/>
      </c>
      <c r="N179" s="24" t="str">
        <f t="shared" si="25"/>
        <v/>
      </c>
      <c r="O179" s="24" t="str">
        <f t="shared" si="26"/>
        <v/>
      </c>
      <c r="P179" s="24" t="str">
        <f t="shared" si="27"/>
        <v/>
      </c>
      <c r="Q179" s="24" t="str">
        <f t="shared" si="28"/>
        <v/>
      </c>
      <c r="R179" s="24" t="str">
        <f t="shared" si="29"/>
        <v/>
      </c>
      <c r="T179" s="8" t="s">
        <v>23</v>
      </c>
      <c r="U179" s="8" t="s">
        <v>23</v>
      </c>
      <c r="V179" s="8" t="s">
        <v>23</v>
      </c>
      <c r="W179" s="8" t="s">
        <v>23</v>
      </c>
      <c r="X179" s="8" t="s">
        <v>23</v>
      </c>
      <c r="Y179" s="8" t="s">
        <v>23</v>
      </c>
      <c r="Z179" s="8" t="s">
        <v>23</v>
      </c>
      <c r="AB179" s="25" t="s">
        <v>23</v>
      </c>
      <c r="AC179" s="25" t="s">
        <v>23</v>
      </c>
      <c r="AD179" s="25" t="s">
        <v>23</v>
      </c>
      <c r="AE179" s="25" t="s">
        <v>23</v>
      </c>
      <c r="AF179" s="25" t="s">
        <v>23</v>
      </c>
      <c r="AG179" s="25" t="s">
        <v>23</v>
      </c>
      <c r="AH179" s="7" t="s">
        <v>23</v>
      </c>
      <c r="AJ179" s="7" t="s">
        <v>23</v>
      </c>
      <c r="AK179" s="7" t="s">
        <v>23</v>
      </c>
      <c r="AL179" s="7" t="s">
        <v>23</v>
      </c>
      <c r="AM179" s="7" t="s">
        <v>23</v>
      </c>
      <c r="AN179" s="7" t="s">
        <v>23</v>
      </c>
      <c r="AO179" s="7" t="s">
        <v>23</v>
      </c>
      <c r="AP179" s="7" t="s">
        <v>23</v>
      </c>
    </row>
    <row r="180" spans="11:42">
      <c r="K180" s="22">
        <v>176</v>
      </c>
      <c r="L180" s="24" t="str">
        <f t="shared" si="23"/>
        <v/>
      </c>
      <c r="M180" s="24" t="str">
        <f t="shared" si="24"/>
        <v/>
      </c>
      <c r="N180" s="24" t="str">
        <f t="shared" si="25"/>
        <v/>
      </c>
      <c r="O180" s="24" t="str">
        <f t="shared" si="26"/>
        <v/>
      </c>
      <c r="P180" s="24" t="str">
        <f t="shared" si="27"/>
        <v/>
      </c>
      <c r="Q180" s="24" t="str">
        <f t="shared" si="28"/>
        <v/>
      </c>
      <c r="R180" s="24" t="str">
        <f t="shared" si="29"/>
        <v/>
      </c>
      <c r="T180" s="8" t="s">
        <v>23</v>
      </c>
      <c r="U180" s="8" t="s">
        <v>23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B180" s="25" t="s">
        <v>23</v>
      </c>
      <c r="AC180" s="25" t="s">
        <v>23</v>
      </c>
      <c r="AD180" s="25" t="s">
        <v>23</v>
      </c>
      <c r="AE180" s="25" t="s">
        <v>23</v>
      </c>
      <c r="AF180" s="25" t="s">
        <v>23</v>
      </c>
      <c r="AG180" s="25" t="s">
        <v>23</v>
      </c>
      <c r="AH180" s="7" t="s">
        <v>23</v>
      </c>
      <c r="AJ180" s="7" t="s">
        <v>23</v>
      </c>
      <c r="AK180" s="7" t="s">
        <v>23</v>
      </c>
      <c r="AL180" s="7" t="s">
        <v>23</v>
      </c>
      <c r="AM180" s="7" t="s">
        <v>23</v>
      </c>
      <c r="AN180" s="7" t="s">
        <v>23</v>
      </c>
      <c r="AO180" s="7" t="s">
        <v>23</v>
      </c>
      <c r="AP180" s="7" t="s">
        <v>23</v>
      </c>
    </row>
    <row r="181" spans="11:42">
      <c r="K181" s="21">
        <v>177</v>
      </c>
      <c r="L181" s="24" t="str">
        <f t="shared" si="23"/>
        <v/>
      </c>
      <c r="M181" s="24" t="str">
        <f t="shared" si="24"/>
        <v/>
      </c>
      <c r="N181" s="24" t="str">
        <f t="shared" si="25"/>
        <v/>
      </c>
      <c r="O181" s="24" t="str">
        <f t="shared" si="26"/>
        <v/>
      </c>
      <c r="P181" s="24" t="str">
        <f t="shared" si="27"/>
        <v/>
      </c>
      <c r="Q181" s="24" t="str">
        <f t="shared" si="28"/>
        <v/>
      </c>
      <c r="R181" s="24" t="str">
        <f t="shared" si="29"/>
        <v/>
      </c>
      <c r="T181" s="8" t="s">
        <v>23</v>
      </c>
      <c r="U181" s="8" t="s">
        <v>23</v>
      </c>
      <c r="V181" s="8" t="s">
        <v>23</v>
      </c>
      <c r="W181" s="8" t="s">
        <v>23</v>
      </c>
      <c r="X181" s="8" t="s">
        <v>23</v>
      </c>
      <c r="Y181" s="8" t="s">
        <v>23</v>
      </c>
      <c r="Z181" s="8" t="s">
        <v>23</v>
      </c>
      <c r="AB181" s="25" t="s">
        <v>23</v>
      </c>
      <c r="AC181" s="25" t="s">
        <v>23</v>
      </c>
      <c r="AD181" s="25" t="s">
        <v>23</v>
      </c>
      <c r="AE181" s="25" t="s">
        <v>23</v>
      </c>
      <c r="AF181" s="25" t="s">
        <v>23</v>
      </c>
      <c r="AG181" s="25" t="s">
        <v>23</v>
      </c>
      <c r="AH181" s="7" t="s">
        <v>23</v>
      </c>
      <c r="AJ181" s="7" t="s">
        <v>23</v>
      </c>
      <c r="AK181" s="7" t="s">
        <v>23</v>
      </c>
      <c r="AL181" s="7" t="s">
        <v>23</v>
      </c>
      <c r="AM181" s="7" t="s">
        <v>23</v>
      </c>
      <c r="AN181" s="7" t="s">
        <v>23</v>
      </c>
      <c r="AO181" s="7" t="s">
        <v>23</v>
      </c>
      <c r="AP181" s="7" t="s">
        <v>23</v>
      </c>
    </row>
    <row r="182" spans="11:42">
      <c r="K182" s="22">
        <v>178</v>
      </c>
      <c r="L182" s="24" t="str">
        <f t="shared" si="23"/>
        <v/>
      </c>
      <c r="M182" s="24" t="str">
        <f t="shared" si="24"/>
        <v/>
      </c>
      <c r="N182" s="24" t="str">
        <f t="shared" si="25"/>
        <v/>
      </c>
      <c r="O182" s="24" t="str">
        <f t="shared" si="26"/>
        <v/>
      </c>
      <c r="P182" s="24" t="str">
        <f t="shared" si="27"/>
        <v/>
      </c>
      <c r="Q182" s="24" t="str">
        <f t="shared" si="28"/>
        <v/>
      </c>
      <c r="R182" s="24" t="str">
        <f t="shared" si="29"/>
        <v/>
      </c>
      <c r="T182" s="8" t="s">
        <v>23</v>
      </c>
      <c r="U182" s="8" t="s">
        <v>23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B182" s="25" t="s">
        <v>23</v>
      </c>
      <c r="AC182" s="25" t="s">
        <v>23</v>
      </c>
      <c r="AD182" s="25" t="s">
        <v>23</v>
      </c>
      <c r="AE182" s="25" t="s">
        <v>23</v>
      </c>
      <c r="AF182" s="25" t="s">
        <v>23</v>
      </c>
      <c r="AG182" s="25" t="s">
        <v>23</v>
      </c>
      <c r="AH182" s="7" t="s">
        <v>23</v>
      </c>
      <c r="AJ182" s="7" t="s">
        <v>23</v>
      </c>
      <c r="AK182" s="7" t="s">
        <v>23</v>
      </c>
      <c r="AL182" s="7" t="s">
        <v>23</v>
      </c>
      <c r="AM182" s="7" t="s">
        <v>23</v>
      </c>
      <c r="AN182" s="7" t="s">
        <v>23</v>
      </c>
      <c r="AO182" s="7" t="s">
        <v>23</v>
      </c>
      <c r="AP182" s="7" t="s">
        <v>23</v>
      </c>
    </row>
    <row r="183" spans="11:42">
      <c r="K183" s="21">
        <v>179</v>
      </c>
      <c r="L183" s="24" t="str">
        <f t="shared" si="23"/>
        <v/>
      </c>
      <c r="M183" s="24" t="str">
        <f t="shared" si="24"/>
        <v/>
      </c>
      <c r="N183" s="24" t="str">
        <f t="shared" si="25"/>
        <v/>
      </c>
      <c r="O183" s="24" t="str">
        <f t="shared" si="26"/>
        <v/>
      </c>
      <c r="P183" s="24" t="str">
        <f t="shared" si="27"/>
        <v/>
      </c>
      <c r="Q183" s="24" t="str">
        <f t="shared" si="28"/>
        <v/>
      </c>
      <c r="R183" s="24" t="str">
        <f t="shared" si="29"/>
        <v/>
      </c>
      <c r="T183" s="8" t="s">
        <v>23</v>
      </c>
      <c r="U183" s="8" t="s">
        <v>23</v>
      </c>
      <c r="V183" s="8" t="s">
        <v>23</v>
      </c>
      <c r="W183" s="8" t="s">
        <v>23</v>
      </c>
      <c r="X183" s="8" t="s">
        <v>23</v>
      </c>
      <c r="Y183" s="8" t="s">
        <v>23</v>
      </c>
      <c r="Z183" s="8" t="s">
        <v>23</v>
      </c>
      <c r="AB183" s="25" t="s">
        <v>23</v>
      </c>
      <c r="AC183" s="25" t="s">
        <v>23</v>
      </c>
      <c r="AD183" s="25" t="s">
        <v>23</v>
      </c>
      <c r="AE183" s="25" t="s">
        <v>23</v>
      </c>
      <c r="AF183" s="25" t="s">
        <v>23</v>
      </c>
      <c r="AG183" s="25" t="s">
        <v>23</v>
      </c>
      <c r="AH183" s="7" t="s">
        <v>23</v>
      </c>
      <c r="AJ183" s="7" t="s">
        <v>23</v>
      </c>
      <c r="AK183" s="7" t="s">
        <v>23</v>
      </c>
      <c r="AL183" s="7" t="s">
        <v>23</v>
      </c>
      <c r="AM183" s="7" t="s">
        <v>23</v>
      </c>
      <c r="AN183" s="7" t="s">
        <v>23</v>
      </c>
      <c r="AO183" s="7" t="s">
        <v>23</v>
      </c>
      <c r="AP183" s="7" t="s">
        <v>23</v>
      </c>
    </row>
    <row r="184" spans="11:42">
      <c r="K184" s="22">
        <v>180</v>
      </c>
      <c r="L184" s="24" t="str">
        <f t="shared" si="23"/>
        <v/>
      </c>
      <c r="M184" s="24" t="str">
        <f t="shared" si="24"/>
        <v/>
      </c>
      <c r="N184" s="24" t="str">
        <f t="shared" si="25"/>
        <v/>
      </c>
      <c r="O184" s="24" t="str">
        <f t="shared" si="26"/>
        <v/>
      </c>
      <c r="P184" s="24" t="str">
        <f t="shared" si="27"/>
        <v/>
      </c>
      <c r="Q184" s="24" t="str">
        <f t="shared" si="28"/>
        <v/>
      </c>
      <c r="R184" s="24" t="str">
        <f t="shared" si="29"/>
        <v/>
      </c>
      <c r="T184" s="8" t="s">
        <v>23</v>
      </c>
      <c r="U184" s="8" t="s">
        <v>23</v>
      </c>
      <c r="V184" s="8" t="s">
        <v>23</v>
      </c>
      <c r="W184" s="8" t="s">
        <v>23</v>
      </c>
      <c r="X184" s="8" t="s">
        <v>23</v>
      </c>
      <c r="Y184" s="8" t="s">
        <v>23</v>
      </c>
      <c r="Z184" s="8" t="s">
        <v>23</v>
      </c>
      <c r="AB184" s="25" t="s">
        <v>23</v>
      </c>
      <c r="AC184" s="25" t="s">
        <v>23</v>
      </c>
      <c r="AD184" s="25" t="s">
        <v>23</v>
      </c>
      <c r="AE184" s="25" t="s">
        <v>23</v>
      </c>
      <c r="AF184" s="25" t="s">
        <v>23</v>
      </c>
      <c r="AG184" s="25" t="s">
        <v>23</v>
      </c>
      <c r="AH184" s="7" t="s">
        <v>23</v>
      </c>
      <c r="AJ184" s="7" t="s">
        <v>23</v>
      </c>
      <c r="AK184" s="7" t="s">
        <v>23</v>
      </c>
      <c r="AL184" s="7" t="s">
        <v>23</v>
      </c>
      <c r="AM184" s="7" t="s">
        <v>23</v>
      </c>
      <c r="AN184" s="7" t="s">
        <v>23</v>
      </c>
      <c r="AO184" s="7" t="s">
        <v>23</v>
      </c>
      <c r="AP184" s="7" t="s">
        <v>23</v>
      </c>
    </row>
    <row r="185" spans="11:42">
      <c r="K185" s="21">
        <v>181</v>
      </c>
      <c r="L185" s="24" t="str">
        <f t="shared" si="23"/>
        <v/>
      </c>
      <c r="M185" s="24" t="str">
        <f t="shared" si="24"/>
        <v/>
      </c>
      <c r="N185" s="24" t="str">
        <f t="shared" si="25"/>
        <v/>
      </c>
      <c r="O185" s="24" t="str">
        <f t="shared" si="26"/>
        <v/>
      </c>
      <c r="P185" s="24" t="str">
        <f t="shared" si="27"/>
        <v/>
      </c>
      <c r="Q185" s="24" t="str">
        <f t="shared" si="28"/>
        <v/>
      </c>
      <c r="R185" s="24" t="str">
        <f t="shared" si="29"/>
        <v/>
      </c>
      <c r="T185" s="8" t="s">
        <v>23</v>
      </c>
      <c r="U185" s="8" t="s">
        <v>23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B185" s="25" t="s">
        <v>23</v>
      </c>
      <c r="AC185" s="25" t="s">
        <v>23</v>
      </c>
      <c r="AD185" s="25" t="s">
        <v>23</v>
      </c>
      <c r="AE185" s="25" t="s">
        <v>23</v>
      </c>
      <c r="AF185" s="25" t="s">
        <v>23</v>
      </c>
      <c r="AG185" s="25" t="s">
        <v>23</v>
      </c>
      <c r="AH185" s="7" t="s">
        <v>23</v>
      </c>
      <c r="AJ185" s="7" t="s">
        <v>23</v>
      </c>
      <c r="AK185" s="7" t="s">
        <v>23</v>
      </c>
      <c r="AL185" s="7" t="s">
        <v>23</v>
      </c>
      <c r="AM185" s="7" t="s">
        <v>23</v>
      </c>
      <c r="AN185" s="7" t="s">
        <v>23</v>
      </c>
      <c r="AO185" s="7" t="s">
        <v>23</v>
      </c>
      <c r="AP185" s="7" t="s">
        <v>23</v>
      </c>
    </row>
    <row r="186" spans="11:42">
      <c r="K186" s="22">
        <v>182</v>
      </c>
      <c r="L186" s="24" t="str">
        <f t="shared" si="23"/>
        <v/>
      </c>
      <c r="M186" s="24" t="str">
        <f t="shared" si="24"/>
        <v/>
      </c>
      <c r="N186" s="24" t="str">
        <f t="shared" si="25"/>
        <v/>
      </c>
      <c r="O186" s="24" t="str">
        <f t="shared" si="26"/>
        <v/>
      </c>
      <c r="P186" s="24" t="str">
        <f t="shared" si="27"/>
        <v/>
      </c>
      <c r="Q186" s="24" t="str">
        <f t="shared" si="28"/>
        <v/>
      </c>
      <c r="R186" s="24" t="str">
        <f t="shared" si="29"/>
        <v/>
      </c>
      <c r="T186" s="8" t="s">
        <v>23</v>
      </c>
      <c r="U186" s="8" t="s">
        <v>23</v>
      </c>
      <c r="V186" s="8" t="s">
        <v>23</v>
      </c>
      <c r="W186" s="8" t="s">
        <v>23</v>
      </c>
      <c r="X186" s="8" t="s">
        <v>23</v>
      </c>
      <c r="Y186" s="8" t="s">
        <v>23</v>
      </c>
      <c r="Z186" s="8" t="s">
        <v>23</v>
      </c>
      <c r="AB186" s="25" t="s">
        <v>23</v>
      </c>
      <c r="AC186" s="25" t="s">
        <v>23</v>
      </c>
      <c r="AD186" s="25" t="s">
        <v>23</v>
      </c>
      <c r="AE186" s="25" t="s">
        <v>23</v>
      </c>
      <c r="AF186" s="25" t="s">
        <v>23</v>
      </c>
      <c r="AG186" s="25" t="s">
        <v>23</v>
      </c>
      <c r="AH186" s="7" t="s">
        <v>23</v>
      </c>
      <c r="AJ186" s="7" t="s">
        <v>23</v>
      </c>
      <c r="AK186" s="7" t="s">
        <v>23</v>
      </c>
      <c r="AL186" s="7" t="s">
        <v>23</v>
      </c>
      <c r="AM186" s="7" t="s">
        <v>23</v>
      </c>
      <c r="AN186" s="7" t="s">
        <v>23</v>
      </c>
      <c r="AO186" s="7" t="s">
        <v>23</v>
      </c>
      <c r="AP186" s="7" t="s">
        <v>23</v>
      </c>
    </row>
    <row r="187" spans="11:42">
      <c r="K187" s="21">
        <v>183</v>
      </c>
      <c r="L187" s="24" t="str">
        <f t="shared" si="23"/>
        <v/>
      </c>
      <c r="M187" s="24" t="str">
        <f t="shared" si="24"/>
        <v/>
      </c>
      <c r="N187" s="24" t="str">
        <f t="shared" si="25"/>
        <v/>
      </c>
      <c r="O187" s="24" t="str">
        <f t="shared" si="26"/>
        <v/>
      </c>
      <c r="P187" s="24" t="str">
        <f t="shared" si="27"/>
        <v/>
      </c>
      <c r="Q187" s="24" t="str">
        <f t="shared" si="28"/>
        <v/>
      </c>
      <c r="R187" s="24" t="str">
        <f t="shared" si="29"/>
        <v/>
      </c>
      <c r="T187" s="8" t="s">
        <v>23</v>
      </c>
      <c r="U187" s="8" t="s">
        <v>23</v>
      </c>
      <c r="V187" s="8" t="s">
        <v>23</v>
      </c>
      <c r="W187" s="8" t="s">
        <v>23</v>
      </c>
      <c r="X187" s="8" t="s">
        <v>23</v>
      </c>
      <c r="Y187" s="8" t="s">
        <v>23</v>
      </c>
      <c r="Z187" s="8" t="s">
        <v>23</v>
      </c>
      <c r="AB187" s="25" t="s">
        <v>23</v>
      </c>
      <c r="AC187" s="25" t="s">
        <v>23</v>
      </c>
      <c r="AD187" s="25" t="s">
        <v>23</v>
      </c>
      <c r="AE187" s="25" t="s">
        <v>23</v>
      </c>
      <c r="AF187" s="25" t="s">
        <v>23</v>
      </c>
      <c r="AG187" s="25" t="s">
        <v>23</v>
      </c>
      <c r="AH187" s="7" t="s">
        <v>23</v>
      </c>
      <c r="AJ187" s="7" t="s">
        <v>23</v>
      </c>
      <c r="AK187" s="7" t="s">
        <v>23</v>
      </c>
      <c r="AL187" s="7" t="s">
        <v>23</v>
      </c>
      <c r="AM187" s="7" t="s">
        <v>23</v>
      </c>
      <c r="AN187" s="7" t="s">
        <v>23</v>
      </c>
      <c r="AO187" s="7" t="s">
        <v>23</v>
      </c>
      <c r="AP187" s="7" t="s">
        <v>23</v>
      </c>
    </row>
    <row r="188" spans="11:42">
      <c r="K188" s="22">
        <v>184</v>
      </c>
      <c r="L188" s="24" t="str">
        <f t="shared" si="23"/>
        <v/>
      </c>
      <c r="M188" s="24" t="str">
        <f t="shared" si="24"/>
        <v/>
      </c>
      <c r="N188" s="24" t="str">
        <f t="shared" si="25"/>
        <v/>
      </c>
      <c r="O188" s="24" t="str">
        <f t="shared" si="26"/>
        <v/>
      </c>
      <c r="P188" s="24" t="str">
        <f t="shared" si="27"/>
        <v/>
      </c>
      <c r="Q188" s="24" t="str">
        <f t="shared" si="28"/>
        <v/>
      </c>
      <c r="R188" s="24" t="str">
        <f t="shared" si="29"/>
        <v/>
      </c>
      <c r="T188" s="8" t="s">
        <v>23</v>
      </c>
      <c r="U188" s="8" t="s">
        <v>23</v>
      </c>
      <c r="V188" s="8" t="s">
        <v>23</v>
      </c>
      <c r="W188" s="8" t="s">
        <v>23</v>
      </c>
      <c r="X188" s="8" t="s">
        <v>23</v>
      </c>
      <c r="Y188" s="8" t="s">
        <v>23</v>
      </c>
      <c r="Z188" s="8" t="s">
        <v>23</v>
      </c>
      <c r="AB188" s="25" t="s">
        <v>23</v>
      </c>
      <c r="AC188" s="25" t="s">
        <v>23</v>
      </c>
      <c r="AD188" s="25" t="s">
        <v>23</v>
      </c>
      <c r="AE188" s="25" t="s">
        <v>23</v>
      </c>
      <c r="AF188" s="25" t="s">
        <v>23</v>
      </c>
      <c r="AG188" s="25" t="s">
        <v>23</v>
      </c>
      <c r="AH188" s="7" t="s">
        <v>23</v>
      </c>
      <c r="AJ188" s="7" t="s">
        <v>23</v>
      </c>
      <c r="AK188" s="7" t="s">
        <v>23</v>
      </c>
      <c r="AL188" s="7" t="s">
        <v>23</v>
      </c>
      <c r="AM188" s="7" t="s">
        <v>23</v>
      </c>
      <c r="AN188" s="7" t="s">
        <v>23</v>
      </c>
      <c r="AO188" s="7" t="s">
        <v>23</v>
      </c>
      <c r="AP188" s="7" t="s">
        <v>23</v>
      </c>
    </row>
    <row r="189" spans="11:42">
      <c r="K189" s="21">
        <v>185</v>
      </c>
      <c r="L189" s="24" t="str">
        <f t="shared" si="23"/>
        <v/>
      </c>
      <c r="M189" s="24" t="str">
        <f t="shared" si="24"/>
        <v/>
      </c>
      <c r="N189" s="24" t="str">
        <f t="shared" si="25"/>
        <v/>
      </c>
      <c r="O189" s="24" t="str">
        <f t="shared" si="26"/>
        <v/>
      </c>
      <c r="P189" s="24" t="str">
        <f t="shared" si="27"/>
        <v/>
      </c>
      <c r="Q189" s="24" t="str">
        <f t="shared" si="28"/>
        <v/>
      </c>
      <c r="R189" s="24" t="str">
        <f t="shared" si="29"/>
        <v/>
      </c>
      <c r="T189" s="8" t="s">
        <v>23</v>
      </c>
      <c r="U189" s="8" t="s">
        <v>23</v>
      </c>
      <c r="V189" s="8" t="s">
        <v>23</v>
      </c>
      <c r="W189" s="8" t="s">
        <v>23</v>
      </c>
      <c r="X189" s="8" t="s">
        <v>23</v>
      </c>
      <c r="Y189" s="8" t="s">
        <v>23</v>
      </c>
      <c r="Z189" s="8" t="s">
        <v>23</v>
      </c>
      <c r="AB189" s="25" t="s">
        <v>23</v>
      </c>
      <c r="AC189" s="25" t="s">
        <v>23</v>
      </c>
      <c r="AD189" s="25" t="s">
        <v>23</v>
      </c>
      <c r="AE189" s="25" t="s">
        <v>23</v>
      </c>
      <c r="AF189" s="25" t="s">
        <v>23</v>
      </c>
      <c r="AG189" s="25" t="s">
        <v>23</v>
      </c>
      <c r="AH189" s="7" t="s">
        <v>23</v>
      </c>
      <c r="AJ189" s="7" t="s">
        <v>23</v>
      </c>
      <c r="AK189" s="7" t="s">
        <v>23</v>
      </c>
      <c r="AL189" s="7" t="s">
        <v>23</v>
      </c>
      <c r="AM189" s="7" t="s">
        <v>23</v>
      </c>
      <c r="AN189" s="7" t="s">
        <v>23</v>
      </c>
      <c r="AO189" s="7" t="s">
        <v>23</v>
      </c>
      <c r="AP189" s="7" t="s">
        <v>23</v>
      </c>
    </row>
    <row r="190" spans="11:42">
      <c r="K190" s="22">
        <v>186</v>
      </c>
      <c r="L190" s="24" t="str">
        <f t="shared" si="23"/>
        <v/>
      </c>
      <c r="M190" s="24" t="str">
        <f t="shared" si="24"/>
        <v/>
      </c>
      <c r="N190" s="24" t="str">
        <f t="shared" si="25"/>
        <v/>
      </c>
      <c r="O190" s="24" t="str">
        <f t="shared" si="26"/>
        <v/>
      </c>
      <c r="P190" s="24" t="str">
        <f t="shared" si="27"/>
        <v/>
      </c>
      <c r="Q190" s="24" t="str">
        <f t="shared" si="28"/>
        <v/>
      </c>
      <c r="R190" s="24" t="str">
        <f t="shared" si="29"/>
        <v/>
      </c>
      <c r="T190" s="8" t="s">
        <v>23</v>
      </c>
      <c r="U190" s="8" t="s">
        <v>23</v>
      </c>
      <c r="V190" s="8" t="s">
        <v>23</v>
      </c>
      <c r="W190" s="8" t="s">
        <v>23</v>
      </c>
      <c r="X190" s="8" t="s">
        <v>23</v>
      </c>
      <c r="Y190" s="8" t="s">
        <v>23</v>
      </c>
      <c r="Z190" s="8" t="s">
        <v>23</v>
      </c>
      <c r="AB190" s="25" t="s">
        <v>23</v>
      </c>
      <c r="AC190" s="25" t="s">
        <v>23</v>
      </c>
      <c r="AD190" s="25" t="s">
        <v>23</v>
      </c>
      <c r="AE190" s="25" t="s">
        <v>23</v>
      </c>
      <c r="AF190" s="25" t="s">
        <v>23</v>
      </c>
      <c r="AG190" s="25" t="s">
        <v>23</v>
      </c>
      <c r="AH190" s="7" t="s">
        <v>23</v>
      </c>
      <c r="AJ190" s="7" t="s">
        <v>23</v>
      </c>
      <c r="AK190" s="7" t="s">
        <v>23</v>
      </c>
      <c r="AL190" s="7" t="s">
        <v>23</v>
      </c>
      <c r="AM190" s="7" t="s">
        <v>23</v>
      </c>
      <c r="AN190" s="7" t="s">
        <v>23</v>
      </c>
      <c r="AO190" s="7" t="s">
        <v>23</v>
      </c>
      <c r="AP190" s="7" t="s">
        <v>23</v>
      </c>
    </row>
    <row r="191" spans="11:42">
      <c r="K191" s="21">
        <v>187</v>
      </c>
      <c r="L191" s="24" t="str">
        <f t="shared" si="23"/>
        <v/>
      </c>
      <c r="M191" s="24" t="str">
        <f t="shared" si="24"/>
        <v/>
      </c>
      <c r="N191" s="24" t="str">
        <f t="shared" si="25"/>
        <v/>
      </c>
      <c r="O191" s="24" t="str">
        <f t="shared" si="26"/>
        <v/>
      </c>
      <c r="P191" s="24" t="str">
        <f t="shared" si="27"/>
        <v/>
      </c>
      <c r="Q191" s="24" t="str">
        <f t="shared" si="28"/>
        <v/>
      </c>
      <c r="R191" s="24" t="str">
        <f t="shared" si="29"/>
        <v/>
      </c>
      <c r="T191" s="8" t="s">
        <v>23</v>
      </c>
      <c r="U191" s="8" t="s">
        <v>23</v>
      </c>
      <c r="V191" s="8" t="s">
        <v>23</v>
      </c>
      <c r="W191" s="8" t="s">
        <v>23</v>
      </c>
      <c r="X191" s="8" t="s">
        <v>23</v>
      </c>
      <c r="Y191" s="8" t="s">
        <v>23</v>
      </c>
      <c r="Z191" s="8" t="s">
        <v>23</v>
      </c>
      <c r="AB191" s="25" t="s">
        <v>23</v>
      </c>
      <c r="AC191" s="25" t="s">
        <v>23</v>
      </c>
      <c r="AD191" s="25" t="s">
        <v>23</v>
      </c>
      <c r="AE191" s="25" t="s">
        <v>23</v>
      </c>
      <c r="AF191" s="25" t="s">
        <v>23</v>
      </c>
      <c r="AG191" s="25" t="s">
        <v>23</v>
      </c>
      <c r="AH191" s="7" t="s">
        <v>23</v>
      </c>
      <c r="AJ191" s="7" t="s">
        <v>23</v>
      </c>
      <c r="AK191" s="7" t="s">
        <v>23</v>
      </c>
      <c r="AL191" s="7" t="s">
        <v>23</v>
      </c>
      <c r="AM191" s="7" t="s">
        <v>23</v>
      </c>
      <c r="AN191" s="7" t="s">
        <v>23</v>
      </c>
      <c r="AO191" s="7" t="s">
        <v>23</v>
      </c>
      <c r="AP191" s="7" t="s">
        <v>23</v>
      </c>
    </row>
    <row r="192" spans="11:42">
      <c r="K192" s="22">
        <v>188</v>
      </c>
      <c r="L192" s="24" t="str">
        <f t="shared" ref="L192:L255" si="30">IF(T192&lt;&gt;"",_xlfn.XLOOKUP(T192,$K$4:$K$27,$A$4:$A$27),"")</f>
        <v/>
      </c>
      <c r="M192" s="24" t="str">
        <f t="shared" ref="M192:M255" si="31">IF(U192&lt;&gt;"",_xlfn.XLOOKUP(U192,$K$4:$K$27,$A$4:$A$27),"")</f>
        <v/>
      </c>
      <c r="N192" s="24" t="str">
        <f t="shared" ref="N192:N255" si="32">IF(V192&lt;&gt;"",_xlfn.XLOOKUP(V192,$K$4:$K$27,$A$4:$A$27),"")</f>
        <v/>
      </c>
      <c r="O192" s="24" t="str">
        <f t="shared" ref="O192:O255" si="33">IF(W192&lt;&gt;"",_xlfn.XLOOKUP(W192,$K$4:$K$27,$A$4:$A$27),"")</f>
        <v/>
      </c>
      <c r="P192" s="24" t="str">
        <f t="shared" ref="P192:P255" si="34">IF(X192&lt;&gt;"",_xlfn.XLOOKUP(X192,$K$4:$K$27,$A$4:$A$27),"")</f>
        <v/>
      </c>
      <c r="Q192" s="24" t="str">
        <f t="shared" ref="Q192:Q255" si="35">IF(Y192&lt;&gt;"",_xlfn.XLOOKUP(Y192,$K$4:$K$27,$A$4:$A$27),"")</f>
        <v/>
      </c>
      <c r="R192" s="24" t="str">
        <f t="shared" ref="R192:R255" si="36">IF(Z192&lt;&gt;"",_xlfn.XLOOKUP(Z192,$K$4:$K$27,$A$4:$A$27),"")</f>
        <v/>
      </c>
      <c r="T192" s="8" t="s">
        <v>23</v>
      </c>
      <c r="U192" s="8" t="s">
        <v>23</v>
      </c>
      <c r="V192" s="8" t="s">
        <v>23</v>
      </c>
      <c r="W192" s="8" t="s">
        <v>23</v>
      </c>
      <c r="X192" s="8" t="s">
        <v>23</v>
      </c>
      <c r="Y192" s="8" t="s">
        <v>23</v>
      </c>
      <c r="Z192" s="8" t="s">
        <v>23</v>
      </c>
      <c r="AB192" s="25" t="s">
        <v>23</v>
      </c>
      <c r="AC192" s="25" t="s">
        <v>23</v>
      </c>
      <c r="AD192" s="25" t="s">
        <v>23</v>
      </c>
      <c r="AE192" s="25" t="s">
        <v>23</v>
      </c>
      <c r="AF192" s="25" t="s">
        <v>23</v>
      </c>
      <c r="AG192" s="25" t="s">
        <v>23</v>
      </c>
      <c r="AH192" s="7" t="s">
        <v>23</v>
      </c>
      <c r="AJ192" s="7" t="s">
        <v>23</v>
      </c>
      <c r="AK192" s="7" t="s">
        <v>23</v>
      </c>
      <c r="AL192" s="7" t="s">
        <v>23</v>
      </c>
      <c r="AM192" s="7" t="s">
        <v>23</v>
      </c>
      <c r="AN192" s="7" t="s">
        <v>23</v>
      </c>
      <c r="AO192" s="7" t="s">
        <v>23</v>
      </c>
      <c r="AP192" s="7" t="s">
        <v>23</v>
      </c>
    </row>
    <row r="193" spans="11:42">
      <c r="K193" s="21">
        <v>189</v>
      </c>
      <c r="L193" s="24" t="str">
        <f t="shared" si="30"/>
        <v/>
      </c>
      <c r="M193" s="24" t="str">
        <f t="shared" si="31"/>
        <v/>
      </c>
      <c r="N193" s="24" t="str">
        <f t="shared" si="32"/>
        <v/>
      </c>
      <c r="O193" s="24" t="str">
        <f t="shared" si="33"/>
        <v/>
      </c>
      <c r="P193" s="24" t="str">
        <f t="shared" si="34"/>
        <v/>
      </c>
      <c r="Q193" s="24" t="str">
        <f t="shared" si="35"/>
        <v/>
      </c>
      <c r="R193" s="24" t="str">
        <f t="shared" si="36"/>
        <v/>
      </c>
      <c r="T193" s="8" t="s">
        <v>23</v>
      </c>
      <c r="U193" s="8" t="s">
        <v>23</v>
      </c>
      <c r="V193" s="8" t="s">
        <v>23</v>
      </c>
      <c r="W193" s="8" t="s">
        <v>23</v>
      </c>
      <c r="X193" s="8" t="s">
        <v>23</v>
      </c>
      <c r="Y193" s="8" t="s">
        <v>23</v>
      </c>
      <c r="Z193" s="8" t="s">
        <v>23</v>
      </c>
      <c r="AB193" s="25" t="s">
        <v>23</v>
      </c>
      <c r="AC193" s="25" t="s">
        <v>23</v>
      </c>
      <c r="AD193" s="25" t="s">
        <v>23</v>
      </c>
      <c r="AE193" s="25" t="s">
        <v>23</v>
      </c>
      <c r="AF193" s="25" t="s">
        <v>23</v>
      </c>
      <c r="AG193" s="25" t="s">
        <v>23</v>
      </c>
      <c r="AH193" s="7" t="s">
        <v>23</v>
      </c>
      <c r="AJ193" s="7" t="s">
        <v>23</v>
      </c>
      <c r="AK193" s="7" t="s">
        <v>23</v>
      </c>
      <c r="AL193" s="7" t="s">
        <v>23</v>
      </c>
      <c r="AM193" s="7" t="s">
        <v>23</v>
      </c>
      <c r="AN193" s="7" t="s">
        <v>23</v>
      </c>
      <c r="AO193" s="7" t="s">
        <v>23</v>
      </c>
      <c r="AP193" s="7" t="s">
        <v>23</v>
      </c>
    </row>
    <row r="194" spans="11:42">
      <c r="K194" s="22">
        <v>190</v>
      </c>
      <c r="L194" s="24" t="str">
        <f t="shared" si="30"/>
        <v/>
      </c>
      <c r="M194" s="24" t="str">
        <f t="shared" si="31"/>
        <v/>
      </c>
      <c r="N194" s="24" t="str">
        <f t="shared" si="32"/>
        <v/>
      </c>
      <c r="O194" s="24" t="str">
        <f t="shared" si="33"/>
        <v/>
      </c>
      <c r="P194" s="24" t="str">
        <f t="shared" si="34"/>
        <v/>
      </c>
      <c r="Q194" s="24" t="str">
        <f t="shared" si="35"/>
        <v/>
      </c>
      <c r="R194" s="24" t="str">
        <f t="shared" si="36"/>
        <v/>
      </c>
      <c r="T194" s="8" t="s">
        <v>23</v>
      </c>
      <c r="U194" s="8" t="s">
        <v>23</v>
      </c>
      <c r="V194" s="8" t="s">
        <v>23</v>
      </c>
      <c r="W194" s="8" t="s">
        <v>23</v>
      </c>
      <c r="X194" s="8" t="s">
        <v>23</v>
      </c>
      <c r="Y194" s="8" t="s">
        <v>23</v>
      </c>
      <c r="Z194" s="8" t="s">
        <v>23</v>
      </c>
      <c r="AB194" s="25" t="s">
        <v>23</v>
      </c>
      <c r="AC194" s="25" t="s">
        <v>23</v>
      </c>
      <c r="AD194" s="25" t="s">
        <v>23</v>
      </c>
      <c r="AE194" s="25" t="s">
        <v>23</v>
      </c>
      <c r="AF194" s="25" t="s">
        <v>23</v>
      </c>
      <c r="AG194" s="25" t="s">
        <v>23</v>
      </c>
      <c r="AH194" s="7" t="s">
        <v>23</v>
      </c>
      <c r="AJ194" s="7" t="s">
        <v>23</v>
      </c>
      <c r="AK194" s="7" t="s">
        <v>23</v>
      </c>
      <c r="AL194" s="7" t="s">
        <v>23</v>
      </c>
      <c r="AM194" s="7" t="s">
        <v>23</v>
      </c>
      <c r="AN194" s="7" t="s">
        <v>23</v>
      </c>
      <c r="AO194" s="7" t="s">
        <v>23</v>
      </c>
      <c r="AP194" s="7" t="s">
        <v>23</v>
      </c>
    </row>
    <row r="195" spans="11:42">
      <c r="K195" s="21">
        <v>191</v>
      </c>
      <c r="L195" s="24" t="str">
        <f t="shared" si="30"/>
        <v/>
      </c>
      <c r="M195" s="24" t="str">
        <f t="shared" si="31"/>
        <v/>
      </c>
      <c r="N195" s="24" t="str">
        <f t="shared" si="32"/>
        <v/>
      </c>
      <c r="O195" s="24" t="str">
        <f t="shared" si="33"/>
        <v/>
      </c>
      <c r="P195" s="24" t="str">
        <f t="shared" si="34"/>
        <v/>
      </c>
      <c r="Q195" s="24" t="str">
        <f t="shared" si="35"/>
        <v/>
      </c>
      <c r="R195" s="24" t="str">
        <f t="shared" si="36"/>
        <v/>
      </c>
      <c r="T195" s="8" t="s">
        <v>23</v>
      </c>
      <c r="U195" s="8" t="s">
        <v>23</v>
      </c>
      <c r="V195" s="8" t="s">
        <v>23</v>
      </c>
      <c r="W195" s="8" t="s">
        <v>23</v>
      </c>
      <c r="X195" s="8" t="s">
        <v>23</v>
      </c>
      <c r="Y195" s="8" t="s">
        <v>23</v>
      </c>
      <c r="Z195" s="8" t="s">
        <v>23</v>
      </c>
      <c r="AB195" s="25" t="s">
        <v>23</v>
      </c>
      <c r="AC195" s="25" t="s">
        <v>23</v>
      </c>
      <c r="AD195" s="25" t="s">
        <v>23</v>
      </c>
      <c r="AE195" s="25" t="s">
        <v>23</v>
      </c>
      <c r="AF195" s="25" t="s">
        <v>23</v>
      </c>
      <c r="AG195" s="25" t="s">
        <v>23</v>
      </c>
      <c r="AH195" s="7" t="s">
        <v>23</v>
      </c>
      <c r="AJ195" s="7" t="s">
        <v>23</v>
      </c>
      <c r="AK195" s="7" t="s">
        <v>23</v>
      </c>
      <c r="AL195" s="7" t="s">
        <v>23</v>
      </c>
      <c r="AM195" s="7" t="s">
        <v>23</v>
      </c>
      <c r="AN195" s="7" t="s">
        <v>23</v>
      </c>
      <c r="AO195" s="7" t="s">
        <v>23</v>
      </c>
      <c r="AP195" s="7" t="s">
        <v>23</v>
      </c>
    </row>
    <row r="196" spans="11:42">
      <c r="K196" s="22">
        <v>192</v>
      </c>
      <c r="L196" s="24" t="str">
        <f t="shared" si="30"/>
        <v/>
      </c>
      <c r="M196" s="24" t="str">
        <f t="shared" si="31"/>
        <v/>
      </c>
      <c r="N196" s="24" t="str">
        <f t="shared" si="32"/>
        <v/>
      </c>
      <c r="O196" s="24" t="str">
        <f t="shared" si="33"/>
        <v/>
      </c>
      <c r="P196" s="24" t="str">
        <f t="shared" si="34"/>
        <v/>
      </c>
      <c r="Q196" s="24" t="str">
        <f t="shared" si="35"/>
        <v/>
      </c>
      <c r="R196" s="24" t="str">
        <f t="shared" si="36"/>
        <v/>
      </c>
      <c r="T196" s="8" t="s">
        <v>23</v>
      </c>
      <c r="U196" s="8" t="s">
        <v>23</v>
      </c>
      <c r="V196" s="8" t="s">
        <v>23</v>
      </c>
      <c r="W196" s="8" t="s">
        <v>23</v>
      </c>
      <c r="X196" s="8" t="s">
        <v>23</v>
      </c>
      <c r="Y196" s="8" t="s">
        <v>23</v>
      </c>
      <c r="Z196" s="8" t="s">
        <v>23</v>
      </c>
      <c r="AB196" s="25" t="s">
        <v>23</v>
      </c>
      <c r="AC196" s="25" t="s">
        <v>23</v>
      </c>
      <c r="AD196" s="25" t="s">
        <v>23</v>
      </c>
      <c r="AE196" s="25" t="s">
        <v>23</v>
      </c>
      <c r="AF196" s="25" t="s">
        <v>23</v>
      </c>
      <c r="AG196" s="25" t="s">
        <v>23</v>
      </c>
      <c r="AH196" s="7" t="s">
        <v>23</v>
      </c>
      <c r="AJ196" s="7" t="s">
        <v>23</v>
      </c>
      <c r="AK196" s="7" t="s">
        <v>23</v>
      </c>
      <c r="AL196" s="7" t="s">
        <v>23</v>
      </c>
      <c r="AM196" s="7" t="s">
        <v>23</v>
      </c>
      <c r="AN196" s="7" t="s">
        <v>23</v>
      </c>
      <c r="AO196" s="7" t="s">
        <v>23</v>
      </c>
      <c r="AP196" s="7" t="s">
        <v>23</v>
      </c>
    </row>
    <row r="197" spans="11:42">
      <c r="K197" s="21">
        <v>193</v>
      </c>
      <c r="L197" s="24" t="str">
        <f t="shared" si="30"/>
        <v/>
      </c>
      <c r="M197" s="24" t="str">
        <f t="shared" si="31"/>
        <v/>
      </c>
      <c r="N197" s="24" t="str">
        <f t="shared" si="32"/>
        <v/>
      </c>
      <c r="O197" s="24" t="str">
        <f t="shared" si="33"/>
        <v/>
      </c>
      <c r="P197" s="24" t="str">
        <f t="shared" si="34"/>
        <v/>
      </c>
      <c r="Q197" s="24" t="str">
        <f t="shared" si="35"/>
        <v/>
      </c>
      <c r="R197" s="24" t="str">
        <f t="shared" si="36"/>
        <v/>
      </c>
      <c r="T197" s="8" t="s">
        <v>23</v>
      </c>
      <c r="U197" s="8" t="s">
        <v>23</v>
      </c>
      <c r="V197" s="8" t="s">
        <v>23</v>
      </c>
      <c r="W197" s="8" t="s">
        <v>23</v>
      </c>
      <c r="X197" s="8" t="s">
        <v>23</v>
      </c>
      <c r="Y197" s="8" t="s">
        <v>23</v>
      </c>
      <c r="Z197" s="8" t="s">
        <v>23</v>
      </c>
      <c r="AB197" s="25" t="s">
        <v>23</v>
      </c>
      <c r="AC197" s="25" t="s">
        <v>23</v>
      </c>
      <c r="AD197" s="25" t="s">
        <v>23</v>
      </c>
      <c r="AE197" s="25" t="s">
        <v>23</v>
      </c>
      <c r="AF197" s="25" t="s">
        <v>23</v>
      </c>
      <c r="AG197" s="25" t="s">
        <v>23</v>
      </c>
      <c r="AH197" s="7" t="s">
        <v>23</v>
      </c>
      <c r="AJ197" s="7" t="s">
        <v>23</v>
      </c>
      <c r="AK197" s="7" t="s">
        <v>23</v>
      </c>
      <c r="AL197" s="7" t="s">
        <v>23</v>
      </c>
      <c r="AM197" s="7" t="s">
        <v>23</v>
      </c>
      <c r="AN197" s="7" t="s">
        <v>23</v>
      </c>
      <c r="AO197" s="7" t="s">
        <v>23</v>
      </c>
      <c r="AP197" s="7" t="s">
        <v>23</v>
      </c>
    </row>
    <row r="198" spans="11:42">
      <c r="K198" s="22">
        <v>194</v>
      </c>
      <c r="L198" s="24" t="str">
        <f t="shared" si="30"/>
        <v/>
      </c>
      <c r="M198" s="24" t="str">
        <f t="shared" si="31"/>
        <v/>
      </c>
      <c r="N198" s="24" t="str">
        <f t="shared" si="32"/>
        <v/>
      </c>
      <c r="O198" s="24" t="str">
        <f t="shared" si="33"/>
        <v/>
      </c>
      <c r="P198" s="24" t="str">
        <f t="shared" si="34"/>
        <v/>
      </c>
      <c r="Q198" s="24" t="str">
        <f t="shared" si="35"/>
        <v/>
      </c>
      <c r="R198" s="24" t="str">
        <f t="shared" si="36"/>
        <v/>
      </c>
      <c r="T198" s="8" t="s">
        <v>23</v>
      </c>
      <c r="U198" s="8" t="s">
        <v>23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B198" s="7" t="s">
        <v>23</v>
      </c>
      <c r="AC198" s="7" t="s">
        <v>23</v>
      </c>
      <c r="AD198" s="7" t="s">
        <v>23</v>
      </c>
      <c r="AE198" s="7" t="s">
        <v>23</v>
      </c>
      <c r="AF198" s="7" t="s">
        <v>23</v>
      </c>
      <c r="AG198" s="7" t="s">
        <v>23</v>
      </c>
      <c r="AH198" s="7" t="s">
        <v>23</v>
      </c>
      <c r="AJ198" s="7" t="s">
        <v>23</v>
      </c>
      <c r="AK198" s="7" t="s">
        <v>23</v>
      </c>
      <c r="AL198" s="7" t="s">
        <v>23</v>
      </c>
      <c r="AM198" s="7" t="s">
        <v>23</v>
      </c>
      <c r="AN198" s="7" t="s">
        <v>23</v>
      </c>
      <c r="AO198" s="7" t="s">
        <v>23</v>
      </c>
      <c r="AP198" s="7" t="s">
        <v>23</v>
      </c>
    </row>
    <row r="199" spans="11:42">
      <c r="K199" s="21">
        <v>195</v>
      </c>
      <c r="L199" s="24" t="str">
        <f t="shared" si="30"/>
        <v/>
      </c>
      <c r="M199" s="24" t="str">
        <f t="shared" si="31"/>
        <v/>
      </c>
      <c r="N199" s="24" t="str">
        <f t="shared" si="32"/>
        <v/>
      </c>
      <c r="O199" s="24" t="str">
        <f t="shared" si="33"/>
        <v/>
      </c>
      <c r="P199" s="24" t="str">
        <f t="shared" si="34"/>
        <v/>
      </c>
      <c r="Q199" s="24" t="str">
        <f t="shared" si="35"/>
        <v/>
      </c>
      <c r="R199" s="24" t="str">
        <f t="shared" si="36"/>
        <v/>
      </c>
      <c r="T199" s="8" t="s">
        <v>23</v>
      </c>
      <c r="U199" s="8" t="s">
        <v>23</v>
      </c>
      <c r="V199" s="8" t="s">
        <v>23</v>
      </c>
      <c r="W199" s="8" t="s">
        <v>23</v>
      </c>
      <c r="X199" s="8" t="s">
        <v>23</v>
      </c>
      <c r="Y199" s="8" t="s">
        <v>23</v>
      </c>
      <c r="Z199" s="8" t="s">
        <v>23</v>
      </c>
      <c r="AB199" s="7" t="s">
        <v>23</v>
      </c>
      <c r="AC199" s="7" t="s">
        <v>23</v>
      </c>
      <c r="AD199" s="7" t="s">
        <v>23</v>
      </c>
      <c r="AE199" s="7" t="s">
        <v>23</v>
      </c>
      <c r="AF199" s="7" t="s">
        <v>23</v>
      </c>
      <c r="AG199" s="7" t="s">
        <v>23</v>
      </c>
      <c r="AH199" s="7" t="s">
        <v>23</v>
      </c>
      <c r="AJ199" s="7" t="s">
        <v>23</v>
      </c>
      <c r="AK199" s="7" t="s">
        <v>23</v>
      </c>
      <c r="AL199" s="7" t="s">
        <v>23</v>
      </c>
      <c r="AM199" s="7" t="s">
        <v>23</v>
      </c>
      <c r="AN199" s="7" t="s">
        <v>23</v>
      </c>
      <c r="AO199" s="7" t="s">
        <v>23</v>
      </c>
      <c r="AP199" s="7" t="s">
        <v>23</v>
      </c>
    </row>
    <row r="200" spans="11:42">
      <c r="K200" s="22">
        <v>196</v>
      </c>
      <c r="L200" s="24" t="str">
        <f t="shared" si="30"/>
        <v/>
      </c>
      <c r="M200" s="24" t="str">
        <f t="shared" si="31"/>
        <v/>
      </c>
      <c r="N200" s="24" t="str">
        <f t="shared" si="32"/>
        <v/>
      </c>
      <c r="O200" s="24" t="str">
        <f t="shared" si="33"/>
        <v/>
      </c>
      <c r="P200" s="24" t="str">
        <f t="shared" si="34"/>
        <v/>
      </c>
      <c r="Q200" s="24" t="str">
        <f t="shared" si="35"/>
        <v/>
      </c>
      <c r="R200" s="24" t="str">
        <f t="shared" si="36"/>
        <v/>
      </c>
      <c r="T200" s="8" t="s">
        <v>23</v>
      </c>
      <c r="U200" s="8" t="s">
        <v>23</v>
      </c>
      <c r="V200" s="8" t="s">
        <v>23</v>
      </c>
      <c r="W200" s="8" t="s">
        <v>23</v>
      </c>
      <c r="X200" s="8" t="s">
        <v>23</v>
      </c>
      <c r="Y200" s="8" t="s">
        <v>23</v>
      </c>
      <c r="Z200" s="8" t="s">
        <v>23</v>
      </c>
      <c r="AB200" s="7" t="s">
        <v>23</v>
      </c>
      <c r="AC200" s="7" t="s">
        <v>23</v>
      </c>
      <c r="AD200" s="7" t="s">
        <v>23</v>
      </c>
      <c r="AE200" s="7" t="s">
        <v>23</v>
      </c>
      <c r="AF200" s="7" t="s">
        <v>23</v>
      </c>
      <c r="AG200" s="7" t="s">
        <v>23</v>
      </c>
      <c r="AH200" s="7" t="s">
        <v>23</v>
      </c>
      <c r="AJ200" s="7" t="s">
        <v>23</v>
      </c>
      <c r="AK200" s="7" t="s">
        <v>23</v>
      </c>
      <c r="AL200" s="7" t="s">
        <v>23</v>
      </c>
      <c r="AM200" s="7" t="s">
        <v>23</v>
      </c>
      <c r="AN200" s="7" t="s">
        <v>23</v>
      </c>
      <c r="AO200" s="7" t="s">
        <v>23</v>
      </c>
      <c r="AP200" s="7" t="s">
        <v>23</v>
      </c>
    </row>
    <row r="201" spans="11:42">
      <c r="K201" s="21">
        <v>197</v>
      </c>
      <c r="L201" s="24" t="str">
        <f t="shared" si="30"/>
        <v/>
      </c>
      <c r="M201" s="24" t="str">
        <f t="shared" si="31"/>
        <v/>
      </c>
      <c r="N201" s="24" t="str">
        <f t="shared" si="32"/>
        <v/>
      </c>
      <c r="O201" s="24" t="str">
        <f t="shared" si="33"/>
        <v/>
      </c>
      <c r="P201" s="24" t="str">
        <f t="shared" si="34"/>
        <v/>
      </c>
      <c r="Q201" s="24" t="str">
        <f t="shared" si="35"/>
        <v/>
      </c>
      <c r="R201" s="24" t="str">
        <f t="shared" si="36"/>
        <v/>
      </c>
      <c r="T201" s="8" t="s">
        <v>23</v>
      </c>
      <c r="U201" s="8" t="s">
        <v>23</v>
      </c>
      <c r="V201" s="8" t="s">
        <v>23</v>
      </c>
      <c r="W201" s="8" t="s">
        <v>23</v>
      </c>
      <c r="X201" s="8" t="s">
        <v>23</v>
      </c>
      <c r="Y201" s="8" t="s">
        <v>23</v>
      </c>
      <c r="Z201" s="8" t="s">
        <v>23</v>
      </c>
      <c r="AB201" s="7" t="s">
        <v>23</v>
      </c>
      <c r="AC201" s="7" t="s">
        <v>23</v>
      </c>
      <c r="AD201" s="7" t="s">
        <v>23</v>
      </c>
      <c r="AE201" s="7" t="s">
        <v>23</v>
      </c>
      <c r="AF201" s="7" t="s">
        <v>23</v>
      </c>
      <c r="AG201" s="7" t="s">
        <v>23</v>
      </c>
      <c r="AH201" s="7" t="s">
        <v>23</v>
      </c>
      <c r="AJ201" s="7" t="s">
        <v>23</v>
      </c>
      <c r="AK201" s="7" t="s">
        <v>23</v>
      </c>
      <c r="AL201" s="7" t="s">
        <v>23</v>
      </c>
      <c r="AM201" s="7" t="s">
        <v>23</v>
      </c>
      <c r="AN201" s="7" t="s">
        <v>23</v>
      </c>
      <c r="AO201" s="7" t="s">
        <v>23</v>
      </c>
      <c r="AP201" s="7" t="s">
        <v>23</v>
      </c>
    </row>
    <row r="202" spans="11:42">
      <c r="K202" s="22">
        <v>198</v>
      </c>
      <c r="L202" s="24" t="str">
        <f t="shared" si="30"/>
        <v/>
      </c>
      <c r="M202" s="24" t="str">
        <f t="shared" si="31"/>
        <v/>
      </c>
      <c r="N202" s="24" t="str">
        <f t="shared" si="32"/>
        <v/>
      </c>
      <c r="O202" s="24" t="str">
        <f t="shared" si="33"/>
        <v/>
      </c>
      <c r="P202" s="24" t="str">
        <f t="shared" si="34"/>
        <v/>
      </c>
      <c r="Q202" s="24" t="str">
        <f t="shared" si="35"/>
        <v/>
      </c>
      <c r="R202" s="24" t="str">
        <f t="shared" si="36"/>
        <v/>
      </c>
      <c r="T202" s="8" t="s">
        <v>23</v>
      </c>
      <c r="U202" s="8" t="s">
        <v>23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23</v>
      </c>
      <c r="AB202" s="7" t="s">
        <v>23</v>
      </c>
      <c r="AC202" s="7" t="s">
        <v>23</v>
      </c>
      <c r="AD202" s="7" t="s">
        <v>23</v>
      </c>
      <c r="AE202" s="7" t="s">
        <v>23</v>
      </c>
      <c r="AF202" s="7" t="s">
        <v>23</v>
      </c>
      <c r="AG202" s="7" t="s">
        <v>23</v>
      </c>
      <c r="AH202" s="7" t="s">
        <v>23</v>
      </c>
      <c r="AJ202" s="7" t="s">
        <v>23</v>
      </c>
      <c r="AK202" s="7" t="s">
        <v>23</v>
      </c>
      <c r="AL202" s="7" t="s">
        <v>23</v>
      </c>
      <c r="AM202" s="7" t="s">
        <v>23</v>
      </c>
      <c r="AN202" s="7" t="s">
        <v>23</v>
      </c>
      <c r="AO202" s="7" t="s">
        <v>23</v>
      </c>
      <c r="AP202" s="7" t="s">
        <v>23</v>
      </c>
    </row>
    <row r="203" spans="11:42">
      <c r="K203" s="21">
        <v>199</v>
      </c>
      <c r="L203" s="24" t="str">
        <f t="shared" si="30"/>
        <v/>
      </c>
      <c r="M203" s="24" t="str">
        <f t="shared" si="31"/>
        <v/>
      </c>
      <c r="N203" s="24" t="str">
        <f t="shared" si="32"/>
        <v/>
      </c>
      <c r="O203" s="24" t="str">
        <f t="shared" si="33"/>
        <v/>
      </c>
      <c r="P203" s="24" t="str">
        <f t="shared" si="34"/>
        <v/>
      </c>
      <c r="Q203" s="24" t="str">
        <f t="shared" si="35"/>
        <v/>
      </c>
      <c r="R203" s="24" t="str">
        <f t="shared" si="36"/>
        <v/>
      </c>
      <c r="T203" s="8" t="s">
        <v>23</v>
      </c>
      <c r="U203" s="8" t="s">
        <v>23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B203" s="7" t="s">
        <v>23</v>
      </c>
      <c r="AC203" s="7" t="s">
        <v>23</v>
      </c>
      <c r="AD203" s="7" t="s">
        <v>23</v>
      </c>
      <c r="AE203" s="7" t="s">
        <v>23</v>
      </c>
      <c r="AF203" s="7" t="s">
        <v>23</v>
      </c>
      <c r="AG203" s="7" t="s">
        <v>23</v>
      </c>
      <c r="AH203" s="7" t="s">
        <v>23</v>
      </c>
      <c r="AJ203" s="7" t="s">
        <v>23</v>
      </c>
      <c r="AK203" s="7" t="s">
        <v>23</v>
      </c>
      <c r="AL203" s="7" t="s">
        <v>23</v>
      </c>
      <c r="AM203" s="7" t="s">
        <v>23</v>
      </c>
      <c r="AN203" s="7" t="s">
        <v>23</v>
      </c>
      <c r="AO203" s="7" t="s">
        <v>23</v>
      </c>
      <c r="AP203" s="7" t="s">
        <v>23</v>
      </c>
    </row>
    <row r="204" spans="11:42">
      <c r="K204" s="22">
        <v>200</v>
      </c>
      <c r="L204" s="24" t="str">
        <f t="shared" si="30"/>
        <v/>
      </c>
      <c r="M204" s="24" t="str">
        <f t="shared" si="31"/>
        <v/>
      </c>
      <c r="N204" s="24" t="str">
        <f t="shared" si="32"/>
        <v/>
      </c>
      <c r="O204" s="24" t="str">
        <f t="shared" si="33"/>
        <v/>
      </c>
      <c r="P204" s="24" t="str">
        <f t="shared" si="34"/>
        <v/>
      </c>
      <c r="Q204" s="24" t="str">
        <f t="shared" si="35"/>
        <v/>
      </c>
      <c r="R204" s="24" t="str">
        <f t="shared" si="36"/>
        <v/>
      </c>
      <c r="T204" s="8" t="s">
        <v>23</v>
      </c>
      <c r="U204" s="8" t="s">
        <v>23</v>
      </c>
      <c r="V204" s="8" t="s">
        <v>23</v>
      </c>
      <c r="W204" s="8" t="s">
        <v>23</v>
      </c>
      <c r="X204" s="8" t="s">
        <v>23</v>
      </c>
      <c r="Y204" s="8" t="s">
        <v>23</v>
      </c>
      <c r="Z204" s="8" t="s">
        <v>23</v>
      </c>
      <c r="AB204" s="7" t="s">
        <v>23</v>
      </c>
      <c r="AC204" s="7" t="s">
        <v>23</v>
      </c>
      <c r="AD204" s="7" t="s">
        <v>23</v>
      </c>
      <c r="AE204" s="7" t="s">
        <v>23</v>
      </c>
      <c r="AF204" s="7" t="s">
        <v>23</v>
      </c>
      <c r="AG204" s="7" t="s">
        <v>23</v>
      </c>
      <c r="AH204" s="7" t="s">
        <v>23</v>
      </c>
      <c r="AJ204" s="7" t="s">
        <v>23</v>
      </c>
      <c r="AK204" s="7" t="s">
        <v>23</v>
      </c>
      <c r="AL204" s="7" t="s">
        <v>23</v>
      </c>
      <c r="AM204" s="7" t="s">
        <v>23</v>
      </c>
      <c r="AN204" s="7" t="s">
        <v>23</v>
      </c>
      <c r="AO204" s="7" t="s">
        <v>23</v>
      </c>
      <c r="AP204" s="7" t="s">
        <v>23</v>
      </c>
    </row>
    <row r="205" spans="11:42">
      <c r="K205" s="21">
        <v>201</v>
      </c>
      <c r="L205" s="24" t="str">
        <f t="shared" si="30"/>
        <v/>
      </c>
      <c r="M205" s="24" t="str">
        <f t="shared" si="31"/>
        <v/>
      </c>
      <c r="N205" s="24" t="str">
        <f t="shared" si="32"/>
        <v/>
      </c>
      <c r="O205" s="24" t="str">
        <f t="shared" si="33"/>
        <v/>
      </c>
      <c r="P205" s="24" t="str">
        <f t="shared" si="34"/>
        <v/>
      </c>
      <c r="Q205" s="24" t="str">
        <f t="shared" si="35"/>
        <v/>
      </c>
      <c r="R205" s="24" t="str">
        <f t="shared" si="36"/>
        <v/>
      </c>
      <c r="T205" s="8" t="s">
        <v>23</v>
      </c>
      <c r="U205" s="8" t="s">
        <v>23</v>
      </c>
      <c r="V205" s="8" t="s">
        <v>23</v>
      </c>
      <c r="W205" s="8" t="s">
        <v>23</v>
      </c>
      <c r="X205" s="8" t="s">
        <v>23</v>
      </c>
      <c r="Y205" s="8" t="s">
        <v>23</v>
      </c>
      <c r="Z205" s="8" t="s">
        <v>23</v>
      </c>
      <c r="AB205" s="7" t="s">
        <v>23</v>
      </c>
      <c r="AC205" s="7" t="s">
        <v>23</v>
      </c>
      <c r="AD205" s="7" t="s">
        <v>23</v>
      </c>
      <c r="AE205" s="7" t="s">
        <v>23</v>
      </c>
      <c r="AF205" s="7" t="s">
        <v>23</v>
      </c>
      <c r="AG205" s="7" t="s">
        <v>23</v>
      </c>
      <c r="AH205" s="7" t="s">
        <v>23</v>
      </c>
      <c r="AJ205" s="7" t="s">
        <v>23</v>
      </c>
      <c r="AK205" s="7" t="s">
        <v>23</v>
      </c>
      <c r="AL205" s="7" t="s">
        <v>23</v>
      </c>
      <c r="AM205" s="7" t="s">
        <v>23</v>
      </c>
      <c r="AN205" s="7" t="s">
        <v>23</v>
      </c>
      <c r="AO205" s="7" t="s">
        <v>23</v>
      </c>
      <c r="AP205" s="7" t="s">
        <v>23</v>
      </c>
    </row>
    <row r="206" spans="11:42">
      <c r="K206" s="22">
        <v>202</v>
      </c>
      <c r="L206" s="24" t="str">
        <f t="shared" si="30"/>
        <v/>
      </c>
      <c r="M206" s="24" t="str">
        <f t="shared" si="31"/>
        <v/>
      </c>
      <c r="N206" s="24" t="str">
        <f t="shared" si="32"/>
        <v/>
      </c>
      <c r="O206" s="24" t="str">
        <f t="shared" si="33"/>
        <v/>
      </c>
      <c r="P206" s="24" t="str">
        <f t="shared" si="34"/>
        <v/>
      </c>
      <c r="Q206" s="24" t="str">
        <f t="shared" si="35"/>
        <v/>
      </c>
      <c r="R206" s="24" t="str">
        <f t="shared" si="36"/>
        <v/>
      </c>
      <c r="T206" s="8" t="s">
        <v>23</v>
      </c>
      <c r="U206" s="8" t="s">
        <v>23</v>
      </c>
      <c r="V206" s="8" t="s">
        <v>23</v>
      </c>
      <c r="W206" s="8" t="s">
        <v>23</v>
      </c>
      <c r="X206" s="8" t="s">
        <v>23</v>
      </c>
      <c r="Y206" s="8" t="s">
        <v>23</v>
      </c>
      <c r="Z206" s="8" t="s">
        <v>23</v>
      </c>
      <c r="AB206" s="7" t="s">
        <v>23</v>
      </c>
      <c r="AC206" s="7" t="s">
        <v>23</v>
      </c>
      <c r="AD206" s="7" t="s">
        <v>23</v>
      </c>
      <c r="AE206" s="7" t="s">
        <v>23</v>
      </c>
      <c r="AF206" s="7" t="s">
        <v>23</v>
      </c>
      <c r="AG206" s="7" t="s">
        <v>23</v>
      </c>
      <c r="AH206" s="7" t="s">
        <v>23</v>
      </c>
      <c r="AJ206" s="7" t="s">
        <v>23</v>
      </c>
      <c r="AK206" s="7" t="s">
        <v>23</v>
      </c>
      <c r="AL206" s="7" t="s">
        <v>23</v>
      </c>
      <c r="AM206" s="7" t="s">
        <v>23</v>
      </c>
      <c r="AN206" s="7" t="s">
        <v>23</v>
      </c>
      <c r="AO206" s="7" t="s">
        <v>23</v>
      </c>
      <c r="AP206" s="7" t="s">
        <v>23</v>
      </c>
    </row>
    <row r="207" spans="11:42">
      <c r="K207" s="21">
        <v>203</v>
      </c>
      <c r="L207" s="24" t="str">
        <f t="shared" si="30"/>
        <v/>
      </c>
      <c r="M207" s="24" t="str">
        <f t="shared" si="31"/>
        <v/>
      </c>
      <c r="N207" s="24" t="str">
        <f t="shared" si="32"/>
        <v/>
      </c>
      <c r="O207" s="24" t="str">
        <f t="shared" si="33"/>
        <v/>
      </c>
      <c r="P207" s="24" t="str">
        <f t="shared" si="34"/>
        <v/>
      </c>
      <c r="Q207" s="24" t="str">
        <f t="shared" si="35"/>
        <v/>
      </c>
      <c r="R207" s="24" t="str">
        <f t="shared" si="36"/>
        <v/>
      </c>
      <c r="T207" s="8" t="s">
        <v>23</v>
      </c>
      <c r="U207" s="8" t="s">
        <v>23</v>
      </c>
      <c r="V207" s="8" t="s">
        <v>23</v>
      </c>
      <c r="W207" s="8" t="s">
        <v>23</v>
      </c>
      <c r="X207" s="8" t="s">
        <v>23</v>
      </c>
      <c r="Y207" s="8" t="s">
        <v>23</v>
      </c>
      <c r="Z207" s="8" t="s">
        <v>23</v>
      </c>
      <c r="AB207" s="7" t="s">
        <v>23</v>
      </c>
      <c r="AC207" s="7" t="s">
        <v>23</v>
      </c>
      <c r="AD207" s="7" t="s">
        <v>23</v>
      </c>
      <c r="AE207" s="7" t="s">
        <v>23</v>
      </c>
      <c r="AF207" s="7" t="s">
        <v>23</v>
      </c>
      <c r="AG207" s="7" t="s">
        <v>23</v>
      </c>
      <c r="AH207" s="7" t="s">
        <v>23</v>
      </c>
      <c r="AJ207" s="7" t="s">
        <v>23</v>
      </c>
      <c r="AK207" s="7" t="s">
        <v>23</v>
      </c>
      <c r="AL207" s="7" t="s">
        <v>23</v>
      </c>
      <c r="AM207" s="7" t="s">
        <v>23</v>
      </c>
      <c r="AN207" s="7" t="s">
        <v>23</v>
      </c>
      <c r="AO207" s="7" t="s">
        <v>23</v>
      </c>
      <c r="AP207" s="7" t="s">
        <v>23</v>
      </c>
    </row>
    <row r="208" spans="11:42">
      <c r="K208" s="22">
        <v>204</v>
      </c>
      <c r="L208" s="24" t="str">
        <f t="shared" si="30"/>
        <v/>
      </c>
      <c r="M208" s="24" t="str">
        <f t="shared" si="31"/>
        <v/>
      </c>
      <c r="N208" s="24" t="str">
        <f t="shared" si="32"/>
        <v/>
      </c>
      <c r="O208" s="24" t="str">
        <f t="shared" si="33"/>
        <v/>
      </c>
      <c r="P208" s="24" t="str">
        <f t="shared" si="34"/>
        <v/>
      </c>
      <c r="Q208" s="24" t="str">
        <f t="shared" si="35"/>
        <v/>
      </c>
      <c r="R208" s="24" t="str">
        <f t="shared" si="36"/>
        <v/>
      </c>
      <c r="T208" s="8" t="s">
        <v>23</v>
      </c>
      <c r="U208" s="8" t="s">
        <v>23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B208" s="7" t="s">
        <v>23</v>
      </c>
      <c r="AC208" s="7" t="s">
        <v>23</v>
      </c>
      <c r="AD208" s="7" t="s">
        <v>23</v>
      </c>
      <c r="AE208" s="7" t="s">
        <v>23</v>
      </c>
      <c r="AF208" s="7" t="s">
        <v>23</v>
      </c>
      <c r="AG208" s="7" t="s">
        <v>23</v>
      </c>
      <c r="AH208" s="7" t="s">
        <v>23</v>
      </c>
      <c r="AJ208" s="7" t="s">
        <v>23</v>
      </c>
      <c r="AK208" s="7" t="s">
        <v>23</v>
      </c>
      <c r="AL208" s="7" t="s">
        <v>23</v>
      </c>
      <c r="AM208" s="7" t="s">
        <v>23</v>
      </c>
      <c r="AN208" s="7" t="s">
        <v>23</v>
      </c>
      <c r="AO208" s="7" t="s">
        <v>23</v>
      </c>
      <c r="AP208" s="7" t="s">
        <v>23</v>
      </c>
    </row>
    <row r="209" spans="11:42">
      <c r="K209" s="21">
        <v>205</v>
      </c>
      <c r="L209" s="24" t="str">
        <f t="shared" si="30"/>
        <v/>
      </c>
      <c r="M209" s="24" t="str">
        <f t="shared" si="31"/>
        <v/>
      </c>
      <c r="N209" s="24" t="str">
        <f t="shared" si="32"/>
        <v/>
      </c>
      <c r="O209" s="24" t="str">
        <f t="shared" si="33"/>
        <v/>
      </c>
      <c r="P209" s="24" t="str">
        <f t="shared" si="34"/>
        <v/>
      </c>
      <c r="Q209" s="24" t="str">
        <f t="shared" si="35"/>
        <v/>
      </c>
      <c r="R209" s="24" t="str">
        <f t="shared" si="36"/>
        <v/>
      </c>
      <c r="T209" s="8" t="s">
        <v>23</v>
      </c>
      <c r="U209" s="8" t="s">
        <v>23</v>
      </c>
      <c r="V209" s="8" t="s">
        <v>23</v>
      </c>
      <c r="W209" s="8" t="s">
        <v>23</v>
      </c>
      <c r="X209" s="8" t="s">
        <v>23</v>
      </c>
      <c r="Y209" s="8" t="s">
        <v>23</v>
      </c>
      <c r="Z209" s="8" t="s">
        <v>23</v>
      </c>
      <c r="AB209" s="7" t="s">
        <v>23</v>
      </c>
      <c r="AC209" s="7" t="s">
        <v>23</v>
      </c>
      <c r="AD209" s="7" t="s">
        <v>23</v>
      </c>
      <c r="AE209" s="7" t="s">
        <v>23</v>
      </c>
      <c r="AF209" s="7" t="s">
        <v>23</v>
      </c>
      <c r="AG209" s="7" t="s">
        <v>23</v>
      </c>
      <c r="AH209" s="7" t="s">
        <v>23</v>
      </c>
      <c r="AJ209" s="7" t="s">
        <v>23</v>
      </c>
      <c r="AK209" s="7" t="s">
        <v>23</v>
      </c>
      <c r="AL209" s="7" t="s">
        <v>23</v>
      </c>
      <c r="AM209" s="7" t="s">
        <v>23</v>
      </c>
      <c r="AN209" s="7" t="s">
        <v>23</v>
      </c>
      <c r="AO209" s="7" t="s">
        <v>23</v>
      </c>
      <c r="AP209" s="7" t="s">
        <v>23</v>
      </c>
    </row>
    <row r="210" spans="11:42">
      <c r="K210" s="22">
        <v>206</v>
      </c>
      <c r="L210" s="24" t="str">
        <f t="shared" si="30"/>
        <v/>
      </c>
      <c r="M210" s="24" t="str">
        <f t="shared" si="31"/>
        <v/>
      </c>
      <c r="N210" s="24" t="str">
        <f t="shared" si="32"/>
        <v/>
      </c>
      <c r="O210" s="24" t="str">
        <f t="shared" si="33"/>
        <v/>
      </c>
      <c r="P210" s="24" t="str">
        <f t="shared" si="34"/>
        <v/>
      </c>
      <c r="Q210" s="24" t="str">
        <f t="shared" si="35"/>
        <v/>
      </c>
      <c r="R210" s="24" t="str">
        <f t="shared" si="36"/>
        <v/>
      </c>
      <c r="T210" s="8" t="s">
        <v>23</v>
      </c>
      <c r="U210" s="8" t="s">
        <v>23</v>
      </c>
      <c r="V210" s="8" t="s">
        <v>23</v>
      </c>
      <c r="W210" s="8" t="s">
        <v>23</v>
      </c>
      <c r="X210" s="8" t="s">
        <v>23</v>
      </c>
      <c r="Y210" s="8" t="s">
        <v>23</v>
      </c>
      <c r="Z210" s="8" t="s">
        <v>23</v>
      </c>
      <c r="AB210" s="7" t="s">
        <v>23</v>
      </c>
      <c r="AC210" s="7" t="s">
        <v>23</v>
      </c>
      <c r="AD210" s="7" t="s">
        <v>23</v>
      </c>
      <c r="AE210" s="7" t="s">
        <v>23</v>
      </c>
      <c r="AF210" s="7" t="s">
        <v>23</v>
      </c>
      <c r="AG210" s="7" t="s">
        <v>23</v>
      </c>
      <c r="AH210" s="7" t="s">
        <v>23</v>
      </c>
      <c r="AJ210" s="7" t="s">
        <v>23</v>
      </c>
      <c r="AK210" s="7" t="s">
        <v>23</v>
      </c>
      <c r="AL210" s="7" t="s">
        <v>23</v>
      </c>
      <c r="AM210" s="7" t="s">
        <v>23</v>
      </c>
      <c r="AN210" s="7" t="s">
        <v>23</v>
      </c>
      <c r="AO210" s="7" t="s">
        <v>23</v>
      </c>
      <c r="AP210" s="7" t="s">
        <v>23</v>
      </c>
    </row>
    <row r="211" spans="11:42">
      <c r="K211" s="21">
        <v>207</v>
      </c>
      <c r="L211" s="24" t="str">
        <f t="shared" si="30"/>
        <v/>
      </c>
      <c r="M211" s="24" t="str">
        <f t="shared" si="31"/>
        <v/>
      </c>
      <c r="N211" s="24" t="str">
        <f t="shared" si="32"/>
        <v/>
      </c>
      <c r="O211" s="24" t="str">
        <f t="shared" si="33"/>
        <v/>
      </c>
      <c r="P211" s="24" t="str">
        <f t="shared" si="34"/>
        <v/>
      </c>
      <c r="Q211" s="24" t="str">
        <f t="shared" si="35"/>
        <v/>
      </c>
      <c r="R211" s="24" t="str">
        <f t="shared" si="36"/>
        <v/>
      </c>
      <c r="T211" s="8" t="s">
        <v>23</v>
      </c>
      <c r="U211" s="8" t="s">
        <v>23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B211" s="7" t="s">
        <v>23</v>
      </c>
      <c r="AC211" s="7" t="s">
        <v>23</v>
      </c>
      <c r="AD211" s="7" t="s">
        <v>23</v>
      </c>
      <c r="AE211" s="7" t="s">
        <v>23</v>
      </c>
      <c r="AF211" s="7" t="s">
        <v>23</v>
      </c>
      <c r="AG211" s="7" t="s">
        <v>23</v>
      </c>
      <c r="AH211" s="7" t="s">
        <v>23</v>
      </c>
      <c r="AJ211" s="7" t="s">
        <v>23</v>
      </c>
      <c r="AK211" s="7" t="s">
        <v>23</v>
      </c>
      <c r="AL211" s="7" t="s">
        <v>23</v>
      </c>
      <c r="AM211" s="7" t="s">
        <v>23</v>
      </c>
      <c r="AN211" s="7" t="s">
        <v>23</v>
      </c>
      <c r="AO211" s="7" t="s">
        <v>23</v>
      </c>
      <c r="AP211" s="7" t="s">
        <v>23</v>
      </c>
    </row>
    <row r="212" spans="11:42">
      <c r="K212" s="22">
        <v>208</v>
      </c>
      <c r="L212" s="24" t="str">
        <f t="shared" si="30"/>
        <v/>
      </c>
      <c r="M212" s="24" t="str">
        <f t="shared" si="31"/>
        <v/>
      </c>
      <c r="N212" s="24" t="str">
        <f t="shared" si="32"/>
        <v/>
      </c>
      <c r="O212" s="24" t="str">
        <f t="shared" si="33"/>
        <v/>
      </c>
      <c r="P212" s="24" t="str">
        <f t="shared" si="34"/>
        <v/>
      </c>
      <c r="Q212" s="24" t="str">
        <f t="shared" si="35"/>
        <v/>
      </c>
      <c r="R212" s="24" t="str">
        <f t="shared" si="36"/>
        <v/>
      </c>
      <c r="T212" s="8" t="s">
        <v>23</v>
      </c>
      <c r="U212" s="8" t="s">
        <v>23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B212" s="7" t="s">
        <v>23</v>
      </c>
      <c r="AC212" s="7" t="s">
        <v>23</v>
      </c>
      <c r="AD212" s="7" t="s">
        <v>23</v>
      </c>
      <c r="AE212" s="7" t="s">
        <v>23</v>
      </c>
      <c r="AF212" s="7" t="s">
        <v>23</v>
      </c>
      <c r="AG212" s="7" t="s">
        <v>23</v>
      </c>
      <c r="AH212" s="7" t="s">
        <v>23</v>
      </c>
      <c r="AJ212" s="7" t="s">
        <v>23</v>
      </c>
      <c r="AK212" s="7" t="s">
        <v>23</v>
      </c>
      <c r="AL212" s="7" t="s">
        <v>23</v>
      </c>
      <c r="AM212" s="7" t="s">
        <v>23</v>
      </c>
      <c r="AN212" s="7" t="s">
        <v>23</v>
      </c>
      <c r="AO212" s="7" t="s">
        <v>23</v>
      </c>
      <c r="AP212" s="7" t="s">
        <v>23</v>
      </c>
    </row>
    <row r="213" spans="11:42">
      <c r="K213" s="21">
        <v>209</v>
      </c>
      <c r="L213" s="24" t="str">
        <f t="shared" si="30"/>
        <v/>
      </c>
      <c r="M213" s="24" t="str">
        <f t="shared" si="31"/>
        <v/>
      </c>
      <c r="N213" s="24" t="str">
        <f t="shared" si="32"/>
        <v/>
      </c>
      <c r="O213" s="24" t="str">
        <f t="shared" si="33"/>
        <v/>
      </c>
      <c r="P213" s="24" t="str">
        <f t="shared" si="34"/>
        <v/>
      </c>
      <c r="Q213" s="24" t="str">
        <f t="shared" si="35"/>
        <v/>
      </c>
      <c r="R213" s="24" t="str">
        <f t="shared" si="36"/>
        <v/>
      </c>
      <c r="T213" s="8" t="s">
        <v>23</v>
      </c>
      <c r="U213" s="8" t="s">
        <v>23</v>
      </c>
      <c r="V213" s="8" t="s">
        <v>23</v>
      </c>
      <c r="W213" s="8" t="s">
        <v>23</v>
      </c>
      <c r="X213" s="8" t="s">
        <v>23</v>
      </c>
      <c r="Y213" s="8" t="s">
        <v>23</v>
      </c>
      <c r="Z213" s="8" t="s">
        <v>23</v>
      </c>
      <c r="AB213" s="7" t="s">
        <v>23</v>
      </c>
      <c r="AC213" s="7" t="s">
        <v>23</v>
      </c>
      <c r="AD213" s="7" t="s">
        <v>23</v>
      </c>
      <c r="AE213" s="7" t="s">
        <v>23</v>
      </c>
      <c r="AF213" s="7" t="s">
        <v>23</v>
      </c>
      <c r="AG213" s="7" t="s">
        <v>23</v>
      </c>
      <c r="AH213" s="7" t="s">
        <v>23</v>
      </c>
      <c r="AJ213" s="7" t="s">
        <v>23</v>
      </c>
      <c r="AK213" s="7" t="s">
        <v>23</v>
      </c>
      <c r="AL213" s="7" t="s">
        <v>23</v>
      </c>
      <c r="AM213" s="7" t="s">
        <v>23</v>
      </c>
      <c r="AN213" s="7" t="s">
        <v>23</v>
      </c>
      <c r="AO213" s="7" t="s">
        <v>23</v>
      </c>
      <c r="AP213" s="7" t="s">
        <v>23</v>
      </c>
    </row>
    <row r="214" spans="11:42">
      <c r="K214" s="22">
        <v>210</v>
      </c>
      <c r="L214" s="24" t="str">
        <f t="shared" si="30"/>
        <v/>
      </c>
      <c r="M214" s="24" t="str">
        <f t="shared" si="31"/>
        <v/>
      </c>
      <c r="N214" s="24" t="str">
        <f t="shared" si="32"/>
        <v/>
      </c>
      <c r="O214" s="24" t="str">
        <f t="shared" si="33"/>
        <v/>
      </c>
      <c r="P214" s="24" t="str">
        <f t="shared" si="34"/>
        <v/>
      </c>
      <c r="Q214" s="24" t="str">
        <f t="shared" si="35"/>
        <v/>
      </c>
      <c r="R214" s="24" t="str">
        <f t="shared" si="36"/>
        <v/>
      </c>
      <c r="T214" s="8" t="s">
        <v>23</v>
      </c>
      <c r="U214" s="8" t="s">
        <v>23</v>
      </c>
      <c r="V214" s="8" t="s">
        <v>23</v>
      </c>
      <c r="W214" s="8" t="s">
        <v>23</v>
      </c>
      <c r="X214" s="8" t="s">
        <v>23</v>
      </c>
      <c r="Y214" s="8" t="s">
        <v>23</v>
      </c>
      <c r="Z214" s="8" t="s">
        <v>23</v>
      </c>
      <c r="AB214" s="7" t="s">
        <v>23</v>
      </c>
      <c r="AC214" s="7" t="s">
        <v>23</v>
      </c>
      <c r="AD214" s="7" t="s">
        <v>23</v>
      </c>
      <c r="AE214" s="7" t="s">
        <v>23</v>
      </c>
      <c r="AF214" s="7" t="s">
        <v>23</v>
      </c>
      <c r="AG214" s="7" t="s">
        <v>23</v>
      </c>
      <c r="AH214" s="7" t="s">
        <v>23</v>
      </c>
      <c r="AJ214" s="7" t="s">
        <v>23</v>
      </c>
      <c r="AK214" s="7" t="s">
        <v>23</v>
      </c>
      <c r="AL214" s="7" t="s">
        <v>23</v>
      </c>
      <c r="AM214" s="7" t="s">
        <v>23</v>
      </c>
      <c r="AN214" s="7" t="s">
        <v>23</v>
      </c>
      <c r="AO214" s="7" t="s">
        <v>23</v>
      </c>
      <c r="AP214" s="7" t="s">
        <v>23</v>
      </c>
    </row>
    <row r="215" spans="11:42">
      <c r="K215" s="21">
        <v>211</v>
      </c>
      <c r="L215" s="24" t="str">
        <f t="shared" si="30"/>
        <v/>
      </c>
      <c r="M215" s="24" t="str">
        <f t="shared" si="31"/>
        <v/>
      </c>
      <c r="N215" s="24" t="str">
        <f t="shared" si="32"/>
        <v/>
      </c>
      <c r="O215" s="24" t="str">
        <f t="shared" si="33"/>
        <v/>
      </c>
      <c r="P215" s="24" t="str">
        <f t="shared" si="34"/>
        <v/>
      </c>
      <c r="Q215" s="24" t="str">
        <f t="shared" si="35"/>
        <v/>
      </c>
      <c r="R215" s="24" t="str">
        <f t="shared" si="36"/>
        <v/>
      </c>
      <c r="T215" s="8" t="s">
        <v>23</v>
      </c>
      <c r="U215" s="8" t="s">
        <v>23</v>
      </c>
      <c r="V215" s="8" t="s">
        <v>23</v>
      </c>
      <c r="W215" s="8" t="s">
        <v>23</v>
      </c>
      <c r="X215" s="8" t="s">
        <v>23</v>
      </c>
      <c r="Y215" s="8" t="s">
        <v>23</v>
      </c>
      <c r="Z215" s="8" t="s">
        <v>23</v>
      </c>
      <c r="AB215" s="7" t="s">
        <v>23</v>
      </c>
      <c r="AC215" s="7" t="s">
        <v>23</v>
      </c>
      <c r="AD215" s="7" t="s">
        <v>23</v>
      </c>
      <c r="AE215" s="7" t="s">
        <v>23</v>
      </c>
      <c r="AF215" s="7" t="s">
        <v>23</v>
      </c>
      <c r="AG215" s="7" t="s">
        <v>23</v>
      </c>
      <c r="AH215" s="7" t="s">
        <v>23</v>
      </c>
      <c r="AJ215" s="7" t="s">
        <v>23</v>
      </c>
      <c r="AK215" s="7" t="s">
        <v>23</v>
      </c>
      <c r="AL215" s="7" t="s">
        <v>23</v>
      </c>
      <c r="AM215" s="7" t="s">
        <v>23</v>
      </c>
      <c r="AN215" s="7" t="s">
        <v>23</v>
      </c>
      <c r="AO215" s="7" t="s">
        <v>23</v>
      </c>
      <c r="AP215" s="7" t="s">
        <v>23</v>
      </c>
    </row>
    <row r="216" spans="11:42">
      <c r="K216" s="22">
        <v>212</v>
      </c>
      <c r="L216" s="24" t="str">
        <f t="shared" si="30"/>
        <v/>
      </c>
      <c r="M216" s="24" t="str">
        <f t="shared" si="31"/>
        <v/>
      </c>
      <c r="N216" s="24" t="str">
        <f t="shared" si="32"/>
        <v/>
      </c>
      <c r="O216" s="24" t="str">
        <f t="shared" si="33"/>
        <v/>
      </c>
      <c r="P216" s="24" t="str">
        <f t="shared" si="34"/>
        <v/>
      </c>
      <c r="Q216" s="24" t="str">
        <f t="shared" si="35"/>
        <v/>
      </c>
      <c r="R216" s="24" t="str">
        <f t="shared" si="36"/>
        <v/>
      </c>
      <c r="T216" s="8" t="s">
        <v>23</v>
      </c>
      <c r="U216" s="8" t="s">
        <v>23</v>
      </c>
      <c r="V216" s="8" t="s">
        <v>23</v>
      </c>
      <c r="W216" s="8" t="s">
        <v>23</v>
      </c>
      <c r="X216" s="8" t="s">
        <v>23</v>
      </c>
      <c r="Y216" s="8" t="s">
        <v>23</v>
      </c>
      <c r="Z216" s="8" t="s">
        <v>23</v>
      </c>
      <c r="AB216" s="7" t="s">
        <v>23</v>
      </c>
      <c r="AC216" s="7" t="s">
        <v>23</v>
      </c>
      <c r="AD216" s="7" t="s">
        <v>23</v>
      </c>
      <c r="AE216" s="7" t="s">
        <v>23</v>
      </c>
      <c r="AF216" s="7" t="s">
        <v>23</v>
      </c>
      <c r="AG216" s="7" t="s">
        <v>23</v>
      </c>
      <c r="AH216" s="7" t="s">
        <v>23</v>
      </c>
      <c r="AJ216" s="7" t="s">
        <v>23</v>
      </c>
      <c r="AK216" s="7" t="s">
        <v>23</v>
      </c>
      <c r="AL216" s="7" t="s">
        <v>23</v>
      </c>
      <c r="AM216" s="7" t="s">
        <v>23</v>
      </c>
      <c r="AN216" s="7" t="s">
        <v>23</v>
      </c>
      <c r="AO216" s="7" t="s">
        <v>23</v>
      </c>
      <c r="AP216" s="7" t="s">
        <v>23</v>
      </c>
    </row>
    <row r="217" spans="11:42">
      <c r="K217" s="21">
        <v>213</v>
      </c>
      <c r="L217" s="24" t="str">
        <f t="shared" si="30"/>
        <v/>
      </c>
      <c r="M217" s="24" t="str">
        <f t="shared" si="31"/>
        <v/>
      </c>
      <c r="N217" s="24" t="str">
        <f t="shared" si="32"/>
        <v/>
      </c>
      <c r="O217" s="24" t="str">
        <f t="shared" si="33"/>
        <v/>
      </c>
      <c r="P217" s="24" t="str">
        <f t="shared" si="34"/>
        <v/>
      </c>
      <c r="Q217" s="24" t="str">
        <f t="shared" si="35"/>
        <v/>
      </c>
      <c r="R217" s="24" t="str">
        <f t="shared" si="36"/>
        <v/>
      </c>
      <c r="T217" s="8" t="s">
        <v>23</v>
      </c>
      <c r="U217" s="8" t="s">
        <v>23</v>
      </c>
      <c r="V217" s="8" t="s">
        <v>23</v>
      </c>
      <c r="W217" s="8" t="s">
        <v>23</v>
      </c>
      <c r="X217" s="8" t="s">
        <v>23</v>
      </c>
      <c r="Y217" s="8" t="s">
        <v>23</v>
      </c>
      <c r="Z217" s="8" t="s">
        <v>23</v>
      </c>
      <c r="AB217" s="7" t="s">
        <v>23</v>
      </c>
      <c r="AC217" s="7" t="s">
        <v>23</v>
      </c>
      <c r="AD217" s="7" t="s">
        <v>23</v>
      </c>
      <c r="AE217" s="7" t="s">
        <v>23</v>
      </c>
      <c r="AF217" s="7" t="s">
        <v>23</v>
      </c>
      <c r="AG217" s="7" t="s">
        <v>23</v>
      </c>
      <c r="AH217" s="7" t="s">
        <v>23</v>
      </c>
      <c r="AJ217" s="7" t="s">
        <v>23</v>
      </c>
      <c r="AK217" s="7" t="s">
        <v>23</v>
      </c>
      <c r="AL217" s="7" t="s">
        <v>23</v>
      </c>
      <c r="AM217" s="7" t="s">
        <v>23</v>
      </c>
      <c r="AN217" s="7" t="s">
        <v>23</v>
      </c>
      <c r="AO217" s="7" t="s">
        <v>23</v>
      </c>
      <c r="AP217" s="7" t="s">
        <v>23</v>
      </c>
    </row>
    <row r="218" spans="11:42">
      <c r="K218" s="22">
        <v>214</v>
      </c>
      <c r="L218" s="24" t="str">
        <f t="shared" si="30"/>
        <v/>
      </c>
      <c r="M218" s="24" t="str">
        <f t="shared" si="31"/>
        <v/>
      </c>
      <c r="N218" s="24" t="str">
        <f t="shared" si="32"/>
        <v/>
      </c>
      <c r="O218" s="24" t="str">
        <f t="shared" si="33"/>
        <v/>
      </c>
      <c r="P218" s="24" t="str">
        <f t="shared" si="34"/>
        <v/>
      </c>
      <c r="Q218" s="24" t="str">
        <f t="shared" si="35"/>
        <v/>
      </c>
      <c r="R218" s="24" t="str">
        <f t="shared" si="36"/>
        <v/>
      </c>
      <c r="T218" s="8" t="s">
        <v>23</v>
      </c>
      <c r="U218" s="8" t="s">
        <v>23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B218" s="7" t="s">
        <v>23</v>
      </c>
      <c r="AC218" s="7" t="s">
        <v>23</v>
      </c>
      <c r="AD218" s="7" t="s">
        <v>23</v>
      </c>
      <c r="AE218" s="7" t="s">
        <v>23</v>
      </c>
      <c r="AF218" s="7" t="s">
        <v>23</v>
      </c>
      <c r="AG218" s="7" t="s">
        <v>23</v>
      </c>
      <c r="AH218" s="7" t="s">
        <v>23</v>
      </c>
      <c r="AJ218" s="7" t="s">
        <v>23</v>
      </c>
      <c r="AK218" s="7" t="s">
        <v>23</v>
      </c>
      <c r="AL218" s="7" t="s">
        <v>23</v>
      </c>
      <c r="AM218" s="7" t="s">
        <v>23</v>
      </c>
      <c r="AN218" s="7" t="s">
        <v>23</v>
      </c>
      <c r="AO218" s="7" t="s">
        <v>23</v>
      </c>
      <c r="AP218" s="7" t="s">
        <v>23</v>
      </c>
    </row>
    <row r="219" spans="11:42">
      <c r="K219" s="21">
        <v>215</v>
      </c>
      <c r="L219" s="24" t="str">
        <f t="shared" si="30"/>
        <v/>
      </c>
      <c r="M219" s="24" t="str">
        <f t="shared" si="31"/>
        <v/>
      </c>
      <c r="N219" s="24" t="str">
        <f t="shared" si="32"/>
        <v/>
      </c>
      <c r="O219" s="24" t="str">
        <f t="shared" si="33"/>
        <v/>
      </c>
      <c r="P219" s="24" t="str">
        <f t="shared" si="34"/>
        <v/>
      </c>
      <c r="Q219" s="24" t="str">
        <f t="shared" si="35"/>
        <v/>
      </c>
      <c r="R219" s="24" t="str">
        <f t="shared" si="36"/>
        <v/>
      </c>
      <c r="T219" s="8" t="s">
        <v>23</v>
      </c>
      <c r="U219" s="8" t="s">
        <v>23</v>
      </c>
      <c r="V219" s="8" t="s">
        <v>23</v>
      </c>
      <c r="W219" s="8" t="s">
        <v>23</v>
      </c>
      <c r="X219" s="8" t="s">
        <v>23</v>
      </c>
      <c r="Y219" s="8" t="s">
        <v>23</v>
      </c>
      <c r="Z219" s="8" t="s">
        <v>23</v>
      </c>
      <c r="AB219" s="7" t="s">
        <v>23</v>
      </c>
      <c r="AC219" s="7" t="s">
        <v>23</v>
      </c>
      <c r="AD219" s="7" t="s">
        <v>23</v>
      </c>
      <c r="AE219" s="7" t="s">
        <v>23</v>
      </c>
      <c r="AF219" s="7" t="s">
        <v>23</v>
      </c>
      <c r="AG219" s="7" t="s">
        <v>23</v>
      </c>
      <c r="AH219" s="7" t="s">
        <v>23</v>
      </c>
      <c r="AJ219" s="7" t="s">
        <v>23</v>
      </c>
      <c r="AK219" s="7" t="s">
        <v>23</v>
      </c>
      <c r="AL219" s="7" t="s">
        <v>23</v>
      </c>
      <c r="AM219" s="7" t="s">
        <v>23</v>
      </c>
      <c r="AN219" s="7" t="s">
        <v>23</v>
      </c>
      <c r="AO219" s="7" t="s">
        <v>23</v>
      </c>
      <c r="AP219" s="7" t="s">
        <v>23</v>
      </c>
    </row>
    <row r="220" spans="11:42">
      <c r="K220" s="22">
        <v>216</v>
      </c>
      <c r="L220" s="24" t="str">
        <f t="shared" si="30"/>
        <v/>
      </c>
      <c r="M220" s="24" t="str">
        <f t="shared" si="31"/>
        <v/>
      </c>
      <c r="N220" s="24" t="str">
        <f t="shared" si="32"/>
        <v/>
      </c>
      <c r="O220" s="24" t="str">
        <f t="shared" si="33"/>
        <v/>
      </c>
      <c r="P220" s="24" t="str">
        <f t="shared" si="34"/>
        <v/>
      </c>
      <c r="Q220" s="24" t="str">
        <f t="shared" si="35"/>
        <v/>
      </c>
      <c r="R220" s="24" t="str">
        <f t="shared" si="36"/>
        <v/>
      </c>
      <c r="T220" s="8" t="s">
        <v>23</v>
      </c>
      <c r="U220" s="8" t="s">
        <v>23</v>
      </c>
      <c r="V220" s="8" t="s">
        <v>23</v>
      </c>
      <c r="W220" s="8" t="s">
        <v>23</v>
      </c>
      <c r="X220" s="8" t="s">
        <v>23</v>
      </c>
      <c r="Y220" s="8" t="s">
        <v>23</v>
      </c>
      <c r="Z220" s="8" t="s">
        <v>23</v>
      </c>
      <c r="AB220" s="7" t="s">
        <v>23</v>
      </c>
      <c r="AC220" s="7" t="s">
        <v>23</v>
      </c>
      <c r="AD220" s="7" t="s">
        <v>23</v>
      </c>
      <c r="AE220" s="7" t="s">
        <v>23</v>
      </c>
      <c r="AF220" s="7" t="s">
        <v>23</v>
      </c>
      <c r="AG220" s="7" t="s">
        <v>23</v>
      </c>
      <c r="AH220" s="7" t="s">
        <v>23</v>
      </c>
      <c r="AJ220" s="7" t="s">
        <v>23</v>
      </c>
      <c r="AK220" s="7" t="s">
        <v>23</v>
      </c>
      <c r="AL220" s="7" t="s">
        <v>23</v>
      </c>
      <c r="AM220" s="7" t="s">
        <v>23</v>
      </c>
      <c r="AN220" s="7" t="s">
        <v>23</v>
      </c>
      <c r="AO220" s="7" t="s">
        <v>23</v>
      </c>
      <c r="AP220" s="7" t="s">
        <v>23</v>
      </c>
    </row>
    <row r="221" spans="11:42">
      <c r="K221" s="21">
        <v>217</v>
      </c>
      <c r="L221" s="24" t="str">
        <f t="shared" si="30"/>
        <v/>
      </c>
      <c r="M221" s="24" t="str">
        <f t="shared" si="31"/>
        <v/>
      </c>
      <c r="N221" s="24" t="str">
        <f t="shared" si="32"/>
        <v/>
      </c>
      <c r="O221" s="24" t="str">
        <f t="shared" si="33"/>
        <v/>
      </c>
      <c r="P221" s="24" t="str">
        <f t="shared" si="34"/>
        <v/>
      </c>
      <c r="Q221" s="24" t="str">
        <f t="shared" si="35"/>
        <v/>
      </c>
      <c r="R221" s="24" t="str">
        <f t="shared" si="36"/>
        <v/>
      </c>
      <c r="T221" s="8" t="s">
        <v>23</v>
      </c>
      <c r="U221" s="8" t="s">
        <v>23</v>
      </c>
      <c r="V221" s="8" t="s">
        <v>23</v>
      </c>
      <c r="W221" s="8" t="s">
        <v>23</v>
      </c>
      <c r="X221" s="8" t="s">
        <v>23</v>
      </c>
      <c r="Y221" s="8" t="s">
        <v>23</v>
      </c>
      <c r="Z221" s="8" t="s">
        <v>23</v>
      </c>
      <c r="AB221" s="7" t="s">
        <v>23</v>
      </c>
      <c r="AC221" s="7" t="s">
        <v>23</v>
      </c>
      <c r="AD221" s="7" t="s">
        <v>23</v>
      </c>
      <c r="AE221" s="7" t="s">
        <v>23</v>
      </c>
      <c r="AF221" s="7" t="s">
        <v>23</v>
      </c>
      <c r="AG221" s="7" t="s">
        <v>23</v>
      </c>
      <c r="AH221" s="7" t="s">
        <v>23</v>
      </c>
      <c r="AJ221" s="7" t="s">
        <v>23</v>
      </c>
      <c r="AK221" s="7" t="s">
        <v>23</v>
      </c>
      <c r="AL221" s="7" t="s">
        <v>23</v>
      </c>
      <c r="AM221" s="7" t="s">
        <v>23</v>
      </c>
      <c r="AN221" s="7" t="s">
        <v>23</v>
      </c>
      <c r="AO221" s="7" t="s">
        <v>23</v>
      </c>
      <c r="AP221" s="7" t="s">
        <v>23</v>
      </c>
    </row>
    <row r="222" spans="11:42">
      <c r="K222" s="22">
        <v>218</v>
      </c>
      <c r="L222" s="24" t="str">
        <f t="shared" si="30"/>
        <v/>
      </c>
      <c r="M222" s="24" t="str">
        <f t="shared" si="31"/>
        <v/>
      </c>
      <c r="N222" s="24" t="str">
        <f t="shared" si="32"/>
        <v/>
      </c>
      <c r="O222" s="24" t="str">
        <f t="shared" si="33"/>
        <v/>
      </c>
      <c r="P222" s="24" t="str">
        <f t="shared" si="34"/>
        <v/>
      </c>
      <c r="Q222" s="24" t="str">
        <f t="shared" si="35"/>
        <v/>
      </c>
      <c r="R222" s="24" t="str">
        <f t="shared" si="36"/>
        <v/>
      </c>
      <c r="T222" s="8" t="s">
        <v>23</v>
      </c>
      <c r="U222" s="8" t="s">
        <v>23</v>
      </c>
      <c r="V222" s="8" t="s">
        <v>23</v>
      </c>
      <c r="W222" s="8" t="s">
        <v>23</v>
      </c>
      <c r="X222" s="8" t="s">
        <v>23</v>
      </c>
      <c r="Y222" s="8" t="s">
        <v>23</v>
      </c>
      <c r="Z222" s="8" t="s">
        <v>23</v>
      </c>
      <c r="AB222" s="7" t="s">
        <v>23</v>
      </c>
      <c r="AC222" s="7" t="s">
        <v>23</v>
      </c>
      <c r="AD222" s="7" t="s">
        <v>23</v>
      </c>
      <c r="AE222" s="7" t="s">
        <v>23</v>
      </c>
      <c r="AF222" s="7" t="s">
        <v>23</v>
      </c>
      <c r="AG222" s="7" t="s">
        <v>23</v>
      </c>
      <c r="AH222" s="7" t="s">
        <v>23</v>
      </c>
      <c r="AJ222" s="7" t="s">
        <v>23</v>
      </c>
      <c r="AK222" s="7" t="s">
        <v>23</v>
      </c>
      <c r="AL222" s="7" t="s">
        <v>23</v>
      </c>
      <c r="AM222" s="7" t="s">
        <v>23</v>
      </c>
      <c r="AN222" s="7" t="s">
        <v>23</v>
      </c>
      <c r="AO222" s="7" t="s">
        <v>23</v>
      </c>
      <c r="AP222" s="7" t="s">
        <v>23</v>
      </c>
    </row>
    <row r="223" spans="11:42">
      <c r="K223" s="21">
        <v>219</v>
      </c>
      <c r="L223" s="24" t="str">
        <f t="shared" si="30"/>
        <v/>
      </c>
      <c r="M223" s="24" t="str">
        <f t="shared" si="31"/>
        <v/>
      </c>
      <c r="N223" s="24" t="str">
        <f t="shared" si="32"/>
        <v/>
      </c>
      <c r="O223" s="24" t="str">
        <f t="shared" si="33"/>
        <v/>
      </c>
      <c r="P223" s="24" t="str">
        <f t="shared" si="34"/>
        <v/>
      </c>
      <c r="Q223" s="24" t="str">
        <f t="shared" si="35"/>
        <v/>
      </c>
      <c r="R223" s="24" t="str">
        <f t="shared" si="36"/>
        <v/>
      </c>
      <c r="T223" s="8" t="s">
        <v>23</v>
      </c>
      <c r="U223" s="8" t="s">
        <v>23</v>
      </c>
      <c r="V223" s="8" t="s">
        <v>23</v>
      </c>
      <c r="W223" s="8" t="s">
        <v>23</v>
      </c>
      <c r="X223" s="8" t="s">
        <v>23</v>
      </c>
      <c r="Y223" s="8" t="s">
        <v>23</v>
      </c>
      <c r="Z223" s="8" t="s">
        <v>23</v>
      </c>
      <c r="AB223" s="7" t="s">
        <v>23</v>
      </c>
      <c r="AC223" s="7" t="s">
        <v>23</v>
      </c>
      <c r="AD223" s="7" t="s">
        <v>23</v>
      </c>
      <c r="AE223" s="7" t="s">
        <v>23</v>
      </c>
      <c r="AF223" s="7" t="s">
        <v>23</v>
      </c>
      <c r="AG223" s="7" t="s">
        <v>23</v>
      </c>
      <c r="AH223" s="7" t="s">
        <v>23</v>
      </c>
      <c r="AJ223" s="7" t="s">
        <v>23</v>
      </c>
      <c r="AK223" s="7" t="s">
        <v>23</v>
      </c>
      <c r="AL223" s="7" t="s">
        <v>23</v>
      </c>
      <c r="AM223" s="7" t="s">
        <v>23</v>
      </c>
      <c r="AN223" s="7" t="s">
        <v>23</v>
      </c>
      <c r="AO223" s="7" t="s">
        <v>23</v>
      </c>
      <c r="AP223" s="7" t="s">
        <v>23</v>
      </c>
    </row>
    <row r="224" spans="11:42">
      <c r="K224" s="22">
        <v>220</v>
      </c>
      <c r="L224" s="24" t="str">
        <f t="shared" si="30"/>
        <v/>
      </c>
      <c r="M224" s="24" t="str">
        <f t="shared" si="31"/>
        <v/>
      </c>
      <c r="N224" s="24" t="str">
        <f t="shared" si="32"/>
        <v/>
      </c>
      <c r="O224" s="24" t="str">
        <f t="shared" si="33"/>
        <v/>
      </c>
      <c r="P224" s="24" t="str">
        <f t="shared" si="34"/>
        <v/>
      </c>
      <c r="Q224" s="24" t="str">
        <f t="shared" si="35"/>
        <v/>
      </c>
      <c r="R224" s="24" t="str">
        <f t="shared" si="36"/>
        <v/>
      </c>
      <c r="T224" s="8" t="s">
        <v>23</v>
      </c>
      <c r="U224" s="8" t="s">
        <v>23</v>
      </c>
      <c r="V224" s="8" t="s">
        <v>23</v>
      </c>
      <c r="W224" s="8" t="s">
        <v>23</v>
      </c>
      <c r="X224" s="8" t="s">
        <v>23</v>
      </c>
      <c r="Y224" s="8" t="s">
        <v>23</v>
      </c>
      <c r="Z224" s="8" t="s">
        <v>23</v>
      </c>
      <c r="AB224" s="7" t="s">
        <v>23</v>
      </c>
      <c r="AC224" s="7" t="s">
        <v>23</v>
      </c>
      <c r="AD224" s="7" t="s">
        <v>23</v>
      </c>
      <c r="AE224" s="7" t="s">
        <v>23</v>
      </c>
      <c r="AF224" s="7" t="s">
        <v>23</v>
      </c>
      <c r="AG224" s="7" t="s">
        <v>23</v>
      </c>
      <c r="AH224" s="7" t="s">
        <v>23</v>
      </c>
      <c r="AJ224" s="7" t="s">
        <v>23</v>
      </c>
      <c r="AK224" s="7" t="s">
        <v>23</v>
      </c>
      <c r="AL224" s="7" t="s">
        <v>23</v>
      </c>
      <c r="AM224" s="7" t="s">
        <v>23</v>
      </c>
      <c r="AN224" s="7" t="s">
        <v>23</v>
      </c>
      <c r="AO224" s="7" t="s">
        <v>23</v>
      </c>
      <c r="AP224" s="7" t="s">
        <v>23</v>
      </c>
    </row>
    <row r="225" spans="11:42">
      <c r="K225" s="21">
        <v>221</v>
      </c>
      <c r="L225" s="24" t="str">
        <f t="shared" si="30"/>
        <v/>
      </c>
      <c r="M225" s="24" t="str">
        <f t="shared" si="31"/>
        <v/>
      </c>
      <c r="N225" s="24" t="str">
        <f t="shared" si="32"/>
        <v/>
      </c>
      <c r="O225" s="24" t="str">
        <f t="shared" si="33"/>
        <v/>
      </c>
      <c r="P225" s="24" t="str">
        <f t="shared" si="34"/>
        <v/>
      </c>
      <c r="Q225" s="24" t="str">
        <f t="shared" si="35"/>
        <v/>
      </c>
      <c r="R225" s="24" t="str">
        <f t="shared" si="36"/>
        <v/>
      </c>
      <c r="T225" s="8" t="s">
        <v>23</v>
      </c>
      <c r="U225" s="8" t="s">
        <v>23</v>
      </c>
      <c r="V225" s="8" t="s">
        <v>23</v>
      </c>
      <c r="W225" s="8" t="s">
        <v>23</v>
      </c>
      <c r="X225" s="8" t="s">
        <v>23</v>
      </c>
      <c r="Y225" s="8" t="s">
        <v>23</v>
      </c>
      <c r="Z225" s="8" t="s">
        <v>23</v>
      </c>
      <c r="AB225" s="7" t="s">
        <v>23</v>
      </c>
      <c r="AC225" s="7" t="s">
        <v>23</v>
      </c>
      <c r="AD225" s="7" t="s">
        <v>23</v>
      </c>
      <c r="AE225" s="7" t="s">
        <v>23</v>
      </c>
      <c r="AF225" s="7" t="s">
        <v>23</v>
      </c>
      <c r="AG225" s="7" t="s">
        <v>23</v>
      </c>
      <c r="AH225" s="7" t="s">
        <v>23</v>
      </c>
      <c r="AJ225" s="7" t="s">
        <v>23</v>
      </c>
      <c r="AK225" s="7" t="s">
        <v>23</v>
      </c>
      <c r="AL225" s="7" t="s">
        <v>23</v>
      </c>
      <c r="AM225" s="7" t="s">
        <v>23</v>
      </c>
      <c r="AN225" s="7" t="s">
        <v>23</v>
      </c>
      <c r="AO225" s="7" t="s">
        <v>23</v>
      </c>
      <c r="AP225" s="7" t="s">
        <v>23</v>
      </c>
    </row>
    <row r="226" spans="11:42">
      <c r="K226" s="22">
        <v>222</v>
      </c>
      <c r="L226" s="24" t="str">
        <f t="shared" si="30"/>
        <v/>
      </c>
      <c r="M226" s="24" t="str">
        <f t="shared" si="31"/>
        <v/>
      </c>
      <c r="N226" s="24" t="str">
        <f t="shared" si="32"/>
        <v/>
      </c>
      <c r="O226" s="24" t="str">
        <f t="shared" si="33"/>
        <v/>
      </c>
      <c r="P226" s="24" t="str">
        <f t="shared" si="34"/>
        <v/>
      </c>
      <c r="Q226" s="24" t="str">
        <f t="shared" si="35"/>
        <v/>
      </c>
      <c r="R226" s="24" t="str">
        <f t="shared" si="36"/>
        <v/>
      </c>
      <c r="T226" s="8" t="s">
        <v>23</v>
      </c>
      <c r="U226" s="8" t="s">
        <v>23</v>
      </c>
      <c r="V226" s="8" t="s">
        <v>23</v>
      </c>
      <c r="W226" s="8" t="s">
        <v>23</v>
      </c>
      <c r="X226" s="8" t="s">
        <v>23</v>
      </c>
      <c r="Y226" s="8" t="s">
        <v>23</v>
      </c>
      <c r="Z226" s="8" t="s">
        <v>23</v>
      </c>
      <c r="AB226" s="7" t="s">
        <v>23</v>
      </c>
      <c r="AC226" s="7" t="s">
        <v>23</v>
      </c>
      <c r="AD226" s="7" t="s">
        <v>23</v>
      </c>
      <c r="AE226" s="7" t="s">
        <v>23</v>
      </c>
      <c r="AF226" s="7" t="s">
        <v>23</v>
      </c>
      <c r="AG226" s="7" t="s">
        <v>23</v>
      </c>
      <c r="AH226" s="7" t="s">
        <v>23</v>
      </c>
      <c r="AJ226" s="7" t="s">
        <v>23</v>
      </c>
      <c r="AK226" s="7" t="s">
        <v>23</v>
      </c>
      <c r="AL226" s="7" t="s">
        <v>23</v>
      </c>
      <c r="AM226" s="7" t="s">
        <v>23</v>
      </c>
      <c r="AN226" s="7" t="s">
        <v>23</v>
      </c>
      <c r="AO226" s="7" t="s">
        <v>23</v>
      </c>
      <c r="AP226" s="7" t="s">
        <v>23</v>
      </c>
    </row>
    <row r="227" spans="11:42">
      <c r="K227" s="21">
        <v>223</v>
      </c>
      <c r="L227" s="24" t="str">
        <f t="shared" si="30"/>
        <v/>
      </c>
      <c r="M227" s="24" t="str">
        <f t="shared" si="31"/>
        <v/>
      </c>
      <c r="N227" s="24" t="str">
        <f t="shared" si="32"/>
        <v/>
      </c>
      <c r="O227" s="24" t="str">
        <f t="shared" si="33"/>
        <v/>
      </c>
      <c r="P227" s="24" t="str">
        <f t="shared" si="34"/>
        <v/>
      </c>
      <c r="Q227" s="24" t="str">
        <f t="shared" si="35"/>
        <v/>
      </c>
      <c r="R227" s="24" t="str">
        <f t="shared" si="36"/>
        <v/>
      </c>
      <c r="T227" s="8" t="s">
        <v>23</v>
      </c>
      <c r="U227" s="8" t="s">
        <v>23</v>
      </c>
      <c r="V227" s="8" t="s">
        <v>23</v>
      </c>
      <c r="W227" s="8" t="s">
        <v>23</v>
      </c>
      <c r="X227" s="8" t="s">
        <v>23</v>
      </c>
      <c r="Y227" s="8" t="s">
        <v>23</v>
      </c>
      <c r="Z227" s="8" t="s">
        <v>23</v>
      </c>
      <c r="AB227" s="7" t="s">
        <v>23</v>
      </c>
      <c r="AC227" s="7" t="s">
        <v>23</v>
      </c>
      <c r="AD227" s="7" t="s">
        <v>23</v>
      </c>
      <c r="AE227" s="7" t="s">
        <v>23</v>
      </c>
      <c r="AF227" s="7" t="s">
        <v>23</v>
      </c>
      <c r="AG227" s="7" t="s">
        <v>23</v>
      </c>
      <c r="AH227" s="7" t="s">
        <v>23</v>
      </c>
      <c r="AJ227" s="7" t="s">
        <v>23</v>
      </c>
      <c r="AK227" s="7" t="s">
        <v>23</v>
      </c>
      <c r="AL227" s="7" t="s">
        <v>23</v>
      </c>
      <c r="AM227" s="7" t="s">
        <v>23</v>
      </c>
      <c r="AN227" s="7" t="s">
        <v>23</v>
      </c>
      <c r="AO227" s="7" t="s">
        <v>23</v>
      </c>
      <c r="AP227" s="7" t="s">
        <v>23</v>
      </c>
    </row>
    <row r="228" spans="11:42">
      <c r="K228" s="22">
        <v>224</v>
      </c>
      <c r="L228" s="24" t="str">
        <f t="shared" si="30"/>
        <v/>
      </c>
      <c r="M228" s="24" t="str">
        <f t="shared" si="31"/>
        <v/>
      </c>
      <c r="N228" s="24" t="str">
        <f t="shared" si="32"/>
        <v/>
      </c>
      <c r="O228" s="24" t="str">
        <f t="shared" si="33"/>
        <v/>
      </c>
      <c r="P228" s="24" t="str">
        <f t="shared" si="34"/>
        <v/>
      </c>
      <c r="Q228" s="24" t="str">
        <f t="shared" si="35"/>
        <v/>
      </c>
      <c r="R228" s="24" t="str">
        <f t="shared" si="36"/>
        <v/>
      </c>
      <c r="T228" s="8" t="s">
        <v>23</v>
      </c>
      <c r="U228" s="8" t="s">
        <v>23</v>
      </c>
      <c r="V228" s="8" t="s">
        <v>23</v>
      </c>
      <c r="W228" s="8" t="s">
        <v>23</v>
      </c>
      <c r="X228" s="8" t="s">
        <v>23</v>
      </c>
      <c r="Y228" s="8" t="s">
        <v>23</v>
      </c>
      <c r="Z228" s="8" t="s">
        <v>23</v>
      </c>
      <c r="AB228" s="7" t="s">
        <v>23</v>
      </c>
      <c r="AC228" s="7" t="s">
        <v>23</v>
      </c>
      <c r="AD228" s="7" t="s">
        <v>23</v>
      </c>
      <c r="AE228" s="7" t="s">
        <v>23</v>
      </c>
      <c r="AF228" s="7" t="s">
        <v>23</v>
      </c>
      <c r="AG228" s="7" t="s">
        <v>23</v>
      </c>
      <c r="AH228" s="7" t="s">
        <v>23</v>
      </c>
      <c r="AJ228" s="7" t="s">
        <v>23</v>
      </c>
      <c r="AK228" s="7" t="s">
        <v>23</v>
      </c>
      <c r="AL228" s="7" t="s">
        <v>23</v>
      </c>
      <c r="AM228" s="7" t="s">
        <v>23</v>
      </c>
      <c r="AN228" s="7" t="s">
        <v>23</v>
      </c>
      <c r="AO228" s="7" t="s">
        <v>23</v>
      </c>
      <c r="AP228" s="7" t="s">
        <v>23</v>
      </c>
    </row>
    <row r="229" spans="11:42">
      <c r="K229" s="21">
        <v>225</v>
      </c>
      <c r="L229" s="24" t="str">
        <f t="shared" si="30"/>
        <v/>
      </c>
      <c r="M229" s="24" t="str">
        <f t="shared" si="31"/>
        <v/>
      </c>
      <c r="N229" s="24" t="str">
        <f t="shared" si="32"/>
        <v/>
      </c>
      <c r="O229" s="24" t="str">
        <f t="shared" si="33"/>
        <v/>
      </c>
      <c r="P229" s="24" t="str">
        <f t="shared" si="34"/>
        <v/>
      </c>
      <c r="Q229" s="24" t="str">
        <f t="shared" si="35"/>
        <v/>
      </c>
      <c r="R229" s="24" t="str">
        <f t="shared" si="36"/>
        <v/>
      </c>
      <c r="T229" s="8" t="s">
        <v>23</v>
      </c>
      <c r="U229" s="8" t="s">
        <v>23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B229" s="7" t="s">
        <v>23</v>
      </c>
      <c r="AC229" s="7" t="s">
        <v>23</v>
      </c>
      <c r="AD229" s="7" t="s">
        <v>23</v>
      </c>
      <c r="AE229" s="7" t="s">
        <v>23</v>
      </c>
      <c r="AF229" s="7" t="s">
        <v>23</v>
      </c>
      <c r="AG229" s="7" t="s">
        <v>23</v>
      </c>
      <c r="AH229" s="7" t="s">
        <v>23</v>
      </c>
      <c r="AJ229" s="7" t="s">
        <v>23</v>
      </c>
      <c r="AK229" s="7" t="s">
        <v>23</v>
      </c>
      <c r="AL229" s="7" t="s">
        <v>23</v>
      </c>
      <c r="AM229" s="7" t="s">
        <v>23</v>
      </c>
      <c r="AN229" s="7" t="s">
        <v>23</v>
      </c>
      <c r="AO229" s="7" t="s">
        <v>23</v>
      </c>
      <c r="AP229" s="7" t="s">
        <v>23</v>
      </c>
    </row>
    <row r="230" spans="11:42">
      <c r="K230" s="22">
        <v>226</v>
      </c>
      <c r="L230" s="24" t="str">
        <f t="shared" si="30"/>
        <v/>
      </c>
      <c r="M230" s="24" t="str">
        <f t="shared" si="31"/>
        <v/>
      </c>
      <c r="N230" s="24" t="str">
        <f t="shared" si="32"/>
        <v/>
      </c>
      <c r="O230" s="24" t="str">
        <f t="shared" si="33"/>
        <v/>
      </c>
      <c r="P230" s="24" t="str">
        <f t="shared" si="34"/>
        <v/>
      </c>
      <c r="Q230" s="24" t="str">
        <f t="shared" si="35"/>
        <v/>
      </c>
      <c r="R230" s="24" t="str">
        <f t="shared" si="36"/>
        <v/>
      </c>
      <c r="T230" s="8" t="s">
        <v>23</v>
      </c>
      <c r="U230" s="8" t="s">
        <v>23</v>
      </c>
      <c r="V230" s="8" t="s">
        <v>23</v>
      </c>
      <c r="W230" s="8" t="s">
        <v>23</v>
      </c>
      <c r="X230" s="8" t="s">
        <v>23</v>
      </c>
      <c r="Y230" s="8" t="s">
        <v>23</v>
      </c>
      <c r="Z230" s="8" t="s">
        <v>23</v>
      </c>
      <c r="AB230" s="7" t="s">
        <v>23</v>
      </c>
      <c r="AC230" s="7" t="s">
        <v>23</v>
      </c>
      <c r="AD230" s="7" t="s">
        <v>23</v>
      </c>
      <c r="AE230" s="7" t="s">
        <v>23</v>
      </c>
      <c r="AF230" s="7" t="s">
        <v>23</v>
      </c>
      <c r="AG230" s="7" t="s">
        <v>23</v>
      </c>
      <c r="AH230" s="7" t="s">
        <v>23</v>
      </c>
      <c r="AJ230" s="7" t="s">
        <v>23</v>
      </c>
      <c r="AK230" s="7" t="s">
        <v>23</v>
      </c>
      <c r="AL230" s="7" t="s">
        <v>23</v>
      </c>
      <c r="AM230" s="7" t="s">
        <v>23</v>
      </c>
      <c r="AN230" s="7" t="s">
        <v>23</v>
      </c>
      <c r="AO230" s="7" t="s">
        <v>23</v>
      </c>
      <c r="AP230" s="7" t="s">
        <v>23</v>
      </c>
    </row>
    <row r="231" spans="11:42">
      <c r="K231" s="21">
        <v>227</v>
      </c>
      <c r="L231" s="24" t="str">
        <f t="shared" si="30"/>
        <v/>
      </c>
      <c r="M231" s="24" t="str">
        <f t="shared" si="31"/>
        <v/>
      </c>
      <c r="N231" s="24" t="str">
        <f t="shared" si="32"/>
        <v/>
      </c>
      <c r="O231" s="24" t="str">
        <f t="shared" si="33"/>
        <v/>
      </c>
      <c r="P231" s="24" t="str">
        <f t="shared" si="34"/>
        <v/>
      </c>
      <c r="Q231" s="24" t="str">
        <f t="shared" si="35"/>
        <v/>
      </c>
      <c r="R231" s="24" t="str">
        <f t="shared" si="36"/>
        <v/>
      </c>
      <c r="T231" s="8" t="s">
        <v>23</v>
      </c>
      <c r="U231" s="8" t="s">
        <v>23</v>
      </c>
      <c r="V231" s="8" t="s">
        <v>23</v>
      </c>
      <c r="W231" s="8" t="s">
        <v>23</v>
      </c>
      <c r="X231" s="8" t="s">
        <v>23</v>
      </c>
      <c r="Y231" s="8" t="s">
        <v>23</v>
      </c>
      <c r="Z231" s="8" t="s">
        <v>23</v>
      </c>
      <c r="AB231" s="7" t="s">
        <v>23</v>
      </c>
      <c r="AC231" s="7" t="s">
        <v>23</v>
      </c>
      <c r="AD231" s="7" t="s">
        <v>23</v>
      </c>
      <c r="AE231" s="7" t="s">
        <v>23</v>
      </c>
      <c r="AF231" s="7" t="s">
        <v>23</v>
      </c>
      <c r="AG231" s="7" t="s">
        <v>23</v>
      </c>
      <c r="AH231" s="7" t="s">
        <v>23</v>
      </c>
      <c r="AJ231" s="7" t="s">
        <v>23</v>
      </c>
      <c r="AK231" s="7" t="s">
        <v>23</v>
      </c>
      <c r="AL231" s="7" t="s">
        <v>23</v>
      </c>
      <c r="AM231" s="7" t="s">
        <v>23</v>
      </c>
      <c r="AN231" s="7" t="s">
        <v>23</v>
      </c>
      <c r="AO231" s="7" t="s">
        <v>23</v>
      </c>
      <c r="AP231" s="7" t="s">
        <v>23</v>
      </c>
    </row>
    <row r="232" spans="11:42">
      <c r="K232" s="22">
        <v>228</v>
      </c>
      <c r="L232" s="24" t="str">
        <f t="shared" si="30"/>
        <v/>
      </c>
      <c r="M232" s="24" t="str">
        <f t="shared" si="31"/>
        <v/>
      </c>
      <c r="N232" s="24" t="str">
        <f t="shared" si="32"/>
        <v/>
      </c>
      <c r="O232" s="24" t="str">
        <f t="shared" si="33"/>
        <v/>
      </c>
      <c r="P232" s="24" t="str">
        <f t="shared" si="34"/>
        <v/>
      </c>
      <c r="Q232" s="24" t="str">
        <f t="shared" si="35"/>
        <v/>
      </c>
      <c r="R232" s="24" t="str">
        <f t="shared" si="36"/>
        <v/>
      </c>
      <c r="T232" s="8" t="s">
        <v>23</v>
      </c>
      <c r="U232" s="8" t="s">
        <v>23</v>
      </c>
      <c r="V232" s="8" t="s">
        <v>23</v>
      </c>
      <c r="W232" s="8" t="s">
        <v>23</v>
      </c>
      <c r="X232" s="8" t="s">
        <v>23</v>
      </c>
      <c r="Y232" s="8" t="s">
        <v>23</v>
      </c>
      <c r="Z232" s="8" t="s">
        <v>23</v>
      </c>
      <c r="AB232" s="7" t="s">
        <v>23</v>
      </c>
      <c r="AC232" s="7" t="s">
        <v>23</v>
      </c>
      <c r="AD232" s="7" t="s">
        <v>23</v>
      </c>
      <c r="AE232" s="7" t="s">
        <v>23</v>
      </c>
      <c r="AF232" s="7" t="s">
        <v>23</v>
      </c>
      <c r="AG232" s="7" t="s">
        <v>23</v>
      </c>
      <c r="AH232" s="7" t="s">
        <v>23</v>
      </c>
      <c r="AJ232" s="7" t="s">
        <v>23</v>
      </c>
      <c r="AK232" s="7" t="s">
        <v>23</v>
      </c>
      <c r="AL232" s="7" t="s">
        <v>23</v>
      </c>
      <c r="AM232" s="7" t="s">
        <v>23</v>
      </c>
      <c r="AN232" s="7" t="s">
        <v>23</v>
      </c>
      <c r="AO232" s="7" t="s">
        <v>23</v>
      </c>
      <c r="AP232" s="7" t="s">
        <v>23</v>
      </c>
    </row>
    <row r="233" spans="11:42">
      <c r="K233" s="21">
        <v>229</v>
      </c>
      <c r="L233" s="24" t="str">
        <f t="shared" si="30"/>
        <v/>
      </c>
      <c r="M233" s="24" t="str">
        <f t="shared" si="31"/>
        <v/>
      </c>
      <c r="N233" s="24" t="str">
        <f t="shared" si="32"/>
        <v/>
      </c>
      <c r="O233" s="24" t="str">
        <f t="shared" si="33"/>
        <v/>
      </c>
      <c r="P233" s="24" t="str">
        <f t="shared" si="34"/>
        <v/>
      </c>
      <c r="Q233" s="24" t="str">
        <f t="shared" si="35"/>
        <v/>
      </c>
      <c r="R233" s="24" t="str">
        <f t="shared" si="36"/>
        <v/>
      </c>
      <c r="T233" s="8" t="s">
        <v>23</v>
      </c>
      <c r="U233" s="8" t="s">
        <v>23</v>
      </c>
      <c r="V233" s="8" t="s">
        <v>23</v>
      </c>
      <c r="W233" s="8" t="s">
        <v>23</v>
      </c>
      <c r="X233" s="8" t="s">
        <v>23</v>
      </c>
      <c r="Y233" s="8" t="s">
        <v>23</v>
      </c>
      <c r="Z233" s="8" t="s">
        <v>23</v>
      </c>
      <c r="AB233" s="7" t="s">
        <v>23</v>
      </c>
      <c r="AC233" s="7" t="s">
        <v>23</v>
      </c>
      <c r="AD233" s="7" t="s">
        <v>23</v>
      </c>
      <c r="AE233" s="7" t="s">
        <v>23</v>
      </c>
      <c r="AF233" s="7" t="s">
        <v>23</v>
      </c>
      <c r="AG233" s="7" t="s">
        <v>23</v>
      </c>
      <c r="AH233" s="7" t="s">
        <v>23</v>
      </c>
      <c r="AJ233" s="7" t="s">
        <v>23</v>
      </c>
      <c r="AK233" s="7" t="s">
        <v>23</v>
      </c>
      <c r="AL233" s="7" t="s">
        <v>23</v>
      </c>
      <c r="AM233" s="7" t="s">
        <v>23</v>
      </c>
      <c r="AN233" s="7" t="s">
        <v>23</v>
      </c>
      <c r="AO233" s="7" t="s">
        <v>23</v>
      </c>
      <c r="AP233" s="7" t="s">
        <v>23</v>
      </c>
    </row>
    <row r="234" spans="11:42">
      <c r="K234" s="22">
        <v>230</v>
      </c>
      <c r="L234" s="24" t="str">
        <f t="shared" si="30"/>
        <v/>
      </c>
      <c r="M234" s="24" t="str">
        <f t="shared" si="31"/>
        <v/>
      </c>
      <c r="N234" s="24" t="str">
        <f t="shared" si="32"/>
        <v/>
      </c>
      <c r="O234" s="24" t="str">
        <f t="shared" si="33"/>
        <v/>
      </c>
      <c r="P234" s="24" t="str">
        <f t="shared" si="34"/>
        <v/>
      </c>
      <c r="Q234" s="24" t="str">
        <f t="shared" si="35"/>
        <v/>
      </c>
      <c r="R234" s="24" t="str">
        <f t="shared" si="36"/>
        <v/>
      </c>
      <c r="T234" s="8" t="s">
        <v>23</v>
      </c>
      <c r="U234" s="8" t="s">
        <v>23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B234" s="7" t="s">
        <v>23</v>
      </c>
      <c r="AC234" s="7" t="s">
        <v>23</v>
      </c>
      <c r="AD234" s="7" t="s">
        <v>23</v>
      </c>
      <c r="AE234" s="7" t="s">
        <v>23</v>
      </c>
      <c r="AF234" s="7" t="s">
        <v>23</v>
      </c>
      <c r="AG234" s="7" t="s">
        <v>23</v>
      </c>
      <c r="AH234" s="7" t="s">
        <v>23</v>
      </c>
      <c r="AJ234" s="7" t="s">
        <v>23</v>
      </c>
      <c r="AK234" s="7" t="s">
        <v>23</v>
      </c>
      <c r="AL234" s="7" t="s">
        <v>23</v>
      </c>
      <c r="AM234" s="7" t="s">
        <v>23</v>
      </c>
      <c r="AN234" s="7" t="s">
        <v>23</v>
      </c>
      <c r="AO234" s="7" t="s">
        <v>23</v>
      </c>
      <c r="AP234" s="7" t="s">
        <v>23</v>
      </c>
    </row>
    <row r="235" spans="11:42">
      <c r="K235" s="21">
        <v>231</v>
      </c>
      <c r="L235" s="24" t="str">
        <f t="shared" si="30"/>
        <v/>
      </c>
      <c r="M235" s="24" t="str">
        <f t="shared" si="31"/>
        <v/>
      </c>
      <c r="N235" s="24" t="str">
        <f t="shared" si="32"/>
        <v/>
      </c>
      <c r="O235" s="24" t="str">
        <f t="shared" si="33"/>
        <v/>
      </c>
      <c r="P235" s="24" t="str">
        <f t="shared" si="34"/>
        <v/>
      </c>
      <c r="Q235" s="24" t="str">
        <f t="shared" si="35"/>
        <v/>
      </c>
      <c r="R235" s="24" t="str">
        <f t="shared" si="36"/>
        <v/>
      </c>
      <c r="T235" s="8" t="s">
        <v>23</v>
      </c>
      <c r="U235" s="8" t="s">
        <v>23</v>
      </c>
      <c r="V235" s="8" t="s">
        <v>23</v>
      </c>
      <c r="W235" s="8" t="s">
        <v>23</v>
      </c>
      <c r="X235" s="8" t="s">
        <v>23</v>
      </c>
      <c r="Y235" s="8" t="s">
        <v>23</v>
      </c>
      <c r="Z235" s="8" t="s">
        <v>23</v>
      </c>
      <c r="AB235" s="7" t="s">
        <v>23</v>
      </c>
      <c r="AC235" s="7" t="s">
        <v>23</v>
      </c>
      <c r="AD235" s="7" t="s">
        <v>23</v>
      </c>
      <c r="AE235" s="7" t="s">
        <v>23</v>
      </c>
      <c r="AF235" s="7" t="s">
        <v>23</v>
      </c>
      <c r="AG235" s="7" t="s">
        <v>23</v>
      </c>
      <c r="AH235" s="7" t="s">
        <v>23</v>
      </c>
      <c r="AJ235" s="7" t="s">
        <v>23</v>
      </c>
      <c r="AK235" s="7" t="s">
        <v>23</v>
      </c>
      <c r="AL235" s="7" t="s">
        <v>23</v>
      </c>
      <c r="AM235" s="7" t="s">
        <v>23</v>
      </c>
      <c r="AN235" s="7" t="s">
        <v>23</v>
      </c>
      <c r="AO235" s="7" t="s">
        <v>23</v>
      </c>
      <c r="AP235" s="7" t="s">
        <v>23</v>
      </c>
    </row>
    <row r="236" spans="11:42">
      <c r="K236" s="22">
        <v>232</v>
      </c>
      <c r="L236" s="24" t="str">
        <f t="shared" si="30"/>
        <v/>
      </c>
      <c r="M236" s="24" t="str">
        <f t="shared" si="31"/>
        <v/>
      </c>
      <c r="N236" s="24" t="str">
        <f t="shared" si="32"/>
        <v/>
      </c>
      <c r="O236" s="24" t="str">
        <f t="shared" si="33"/>
        <v/>
      </c>
      <c r="P236" s="24" t="str">
        <f t="shared" si="34"/>
        <v/>
      </c>
      <c r="Q236" s="24" t="str">
        <f t="shared" si="35"/>
        <v/>
      </c>
      <c r="R236" s="24" t="str">
        <f t="shared" si="36"/>
        <v/>
      </c>
      <c r="T236" s="8" t="s">
        <v>23</v>
      </c>
      <c r="U236" s="8" t="s">
        <v>23</v>
      </c>
      <c r="V236" s="8" t="s">
        <v>23</v>
      </c>
      <c r="W236" s="8" t="s">
        <v>23</v>
      </c>
      <c r="X236" s="8" t="s">
        <v>23</v>
      </c>
      <c r="Y236" s="8" t="s">
        <v>23</v>
      </c>
      <c r="Z236" s="8" t="s">
        <v>23</v>
      </c>
      <c r="AB236" s="7" t="s">
        <v>23</v>
      </c>
      <c r="AC236" s="7" t="s">
        <v>23</v>
      </c>
      <c r="AD236" s="7" t="s">
        <v>23</v>
      </c>
      <c r="AE236" s="7" t="s">
        <v>23</v>
      </c>
      <c r="AF236" s="7" t="s">
        <v>23</v>
      </c>
      <c r="AG236" s="7" t="s">
        <v>23</v>
      </c>
      <c r="AH236" s="7" t="s">
        <v>23</v>
      </c>
      <c r="AJ236" s="7" t="s">
        <v>23</v>
      </c>
      <c r="AK236" s="7" t="s">
        <v>23</v>
      </c>
      <c r="AL236" s="7" t="s">
        <v>23</v>
      </c>
      <c r="AM236" s="7" t="s">
        <v>23</v>
      </c>
      <c r="AN236" s="7" t="s">
        <v>23</v>
      </c>
      <c r="AO236" s="7" t="s">
        <v>23</v>
      </c>
      <c r="AP236" s="7" t="s">
        <v>23</v>
      </c>
    </row>
    <row r="237" spans="11:42">
      <c r="K237" s="21">
        <v>233</v>
      </c>
      <c r="L237" s="24" t="str">
        <f t="shared" si="30"/>
        <v/>
      </c>
      <c r="M237" s="24" t="str">
        <f t="shared" si="31"/>
        <v/>
      </c>
      <c r="N237" s="24" t="str">
        <f t="shared" si="32"/>
        <v/>
      </c>
      <c r="O237" s="24" t="str">
        <f t="shared" si="33"/>
        <v/>
      </c>
      <c r="P237" s="24" t="str">
        <f t="shared" si="34"/>
        <v/>
      </c>
      <c r="Q237" s="24" t="str">
        <f t="shared" si="35"/>
        <v/>
      </c>
      <c r="R237" s="24" t="str">
        <f t="shared" si="36"/>
        <v/>
      </c>
      <c r="T237" s="8" t="s">
        <v>23</v>
      </c>
      <c r="U237" s="8" t="s">
        <v>23</v>
      </c>
      <c r="V237" s="8" t="s">
        <v>23</v>
      </c>
      <c r="W237" s="8" t="s">
        <v>23</v>
      </c>
      <c r="X237" s="8" t="s">
        <v>23</v>
      </c>
      <c r="Y237" s="8" t="s">
        <v>23</v>
      </c>
      <c r="Z237" s="8" t="s">
        <v>23</v>
      </c>
      <c r="AB237" s="7" t="s">
        <v>23</v>
      </c>
      <c r="AC237" s="7" t="s">
        <v>23</v>
      </c>
      <c r="AD237" s="7" t="s">
        <v>23</v>
      </c>
      <c r="AE237" s="7" t="s">
        <v>23</v>
      </c>
      <c r="AF237" s="7" t="s">
        <v>23</v>
      </c>
      <c r="AG237" s="7" t="s">
        <v>23</v>
      </c>
      <c r="AH237" s="7" t="s">
        <v>23</v>
      </c>
      <c r="AJ237" s="7" t="s">
        <v>23</v>
      </c>
      <c r="AK237" s="7" t="s">
        <v>23</v>
      </c>
      <c r="AL237" s="7" t="s">
        <v>23</v>
      </c>
      <c r="AM237" s="7" t="s">
        <v>23</v>
      </c>
      <c r="AN237" s="7" t="s">
        <v>23</v>
      </c>
      <c r="AO237" s="7" t="s">
        <v>23</v>
      </c>
      <c r="AP237" s="7" t="s">
        <v>23</v>
      </c>
    </row>
    <row r="238" spans="11:42">
      <c r="K238" s="22">
        <v>234</v>
      </c>
      <c r="L238" s="24" t="str">
        <f t="shared" si="30"/>
        <v/>
      </c>
      <c r="M238" s="24" t="str">
        <f t="shared" si="31"/>
        <v/>
      </c>
      <c r="N238" s="24" t="str">
        <f t="shared" si="32"/>
        <v/>
      </c>
      <c r="O238" s="24" t="str">
        <f t="shared" si="33"/>
        <v/>
      </c>
      <c r="P238" s="24" t="str">
        <f t="shared" si="34"/>
        <v/>
      </c>
      <c r="Q238" s="24" t="str">
        <f t="shared" si="35"/>
        <v/>
      </c>
      <c r="R238" s="24" t="str">
        <f t="shared" si="36"/>
        <v/>
      </c>
      <c r="T238" s="8" t="s">
        <v>23</v>
      </c>
      <c r="U238" s="8" t="s">
        <v>23</v>
      </c>
      <c r="V238" s="8" t="s">
        <v>23</v>
      </c>
      <c r="W238" s="8" t="s">
        <v>23</v>
      </c>
      <c r="X238" s="8" t="s">
        <v>23</v>
      </c>
      <c r="Y238" s="8" t="s">
        <v>23</v>
      </c>
      <c r="Z238" s="8" t="s">
        <v>23</v>
      </c>
      <c r="AB238" s="7" t="s">
        <v>23</v>
      </c>
      <c r="AC238" s="7" t="s">
        <v>23</v>
      </c>
      <c r="AD238" s="7" t="s">
        <v>23</v>
      </c>
      <c r="AE238" s="7" t="s">
        <v>23</v>
      </c>
      <c r="AF238" s="7" t="s">
        <v>23</v>
      </c>
      <c r="AG238" s="7" t="s">
        <v>23</v>
      </c>
      <c r="AH238" s="7" t="s">
        <v>23</v>
      </c>
      <c r="AJ238" s="7" t="s">
        <v>23</v>
      </c>
      <c r="AK238" s="7" t="s">
        <v>23</v>
      </c>
      <c r="AL238" s="7" t="s">
        <v>23</v>
      </c>
      <c r="AM238" s="7" t="s">
        <v>23</v>
      </c>
      <c r="AN238" s="7" t="s">
        <v>23</v>
      </c>
      <c r="AO238" s="7" t="s">
        <v>23</v>
      </c>
      <c r="AP238" s="7" t="s">
        <v>23</v>
      </c>
    </row>
    <row r="239" spans="11:42">
      <c r="K239" s="21">
        <v>235</v>
      </c>
      <c r="L239" s="24" t="str">
        <f t="shared" si="30"/>
        <v/>
      </c>
      <c r="M239" s="24" t="str">
        <f t="shared" si="31"/>
        <v/>
      </c>
      <c r="N239" s="24" t="str">
        <f t="shared" si="32"/>
        <v/>
      </c>
      <c r="O239" s="24" t="str">
        <f t="shared" si="33"/>
        <v/>
      </c>
      <c r="P239" s="24" t="str">
        <f t="shared" si="34"/>
        <v/>
      </c>
      <c r="Q239" s="24" t="str">
        <f t="shared" si="35"/>
        <v/>
      </c>
      <c r="R239" s="24" t="str">
        <f t="shared" si="36"/>
        <v/>
      </c>
      <c r="T239" s="8" t="s">
        <v>23</v>
      </c>
      <c r="U239" s="8" t="s">
        <v>23</v>
      </c>
      <c r="V239" s="8" t="s">
        <v>23</v>
      </c>
      <c r="W239" s="8" t="s">
        <v>23</v>
      </c>
      <c r="X239" s="8" t="s">
        <v>23</v>
      </c>
      <c r="Y239" s="8" t="s">
        <v>23</v>
      </c>
      <c r="Z239" s="8" t="s">
        <v>23</v>
      </c>
      <c r="AB239" s="7" t="s">
        <v>23</v>
      </c>
      <c r="AC239" s="7" t="s">
        <v>23</v>
      </c>
      <c r="AD239" s="7" t="s">
        <v>23</v>
      </c>
      <c r="AE239" s="7" t="s">
        <v>23</v>
      </c>
      <c r="AF239" s="7" t="s">
        <v>23</v>
      </c>
      <c r="AG239" s="7" t="s">
        <v>23</v>
      </c>
      <c r="AH239" s="7" t="s">
        <v>23</v>
      </c>
      <c r="AJ239" s="7" t="s">
        <v>23</v>
      </c>
      <c r="AK239" s="7" t="s">
        <v>23</v>
      </c>
      <c r="AL239" s="7" t="s">
        <v>23</v>
      </c>
      <c r="AM239" s="7" t="s">
        <v>23</v>
      </c>
      <c r="AN239" s="7" t="s">
        <v>23</v>
      </c>
      <c r="AO239" s="7" t="s">
        <v>23</v>
      </c>
      <c r="AP239" s="7" t="s">
        <v>23</v>
      </c>
    </row>
    <row r="240" spans="11:42">
      <c r="K240" s="22">
        <v>236</v>
      </c>
      <c r="L240" s="24" t="str">
        <f t="shared" si="30"/>
        <v/>
      </c>
      <c r="M240" s="24" t="str">
        <f t="shared" si="31"/>
        <v/>
      </c>
      <c r="N240" s="24" t="str">
        <f t="shared" si="32"/>
        <v/>
      </c>
      <c r="O240" s="24" t="str">
        <f t="shared" si="33"/>
        <v/>
      </c>
      <c r="P240" s="24" t="str">
        <f t="shared" si="34"/>
        <v/>
      </c>
      <c r="Q240" s="24" t="str">
        <f t="shared" si="35"/>
        <v/>
      </c>
      <c r="R240" s="24" t="str">
        <f t="shared" si="36"/>
        <v/>
      </c>
      <c r="T240" s="8" t="s">
        <v>23</v>
      </c>
      <c r="U240" s="8" t="s">
        <v>23</v>
      </c>
      <c r="V240" s="8" t="s">
        <v>23</v>
      </c>
      <c r="W240" s="8" t="s">
        <v>23</v>
      </c>
      <c r="X240" s="8" t="s">
        <v>23</v>
      </c>
      <c r="Y240" s="8" t="s">
        <v>23</v>
      </c>
      <c r="Z240" s="8" t="s">
        <v>23</v>
      </c>
      <c r="AB240" s="7" t="s">
        <v>23</v>
      </c>
      <c r="AC240" s="7" t="s">
        <v>23</v>
      </c>
      <c r="AD240" s="7" t="s">
        <v>23</v>
      </c>
      <c r="AE240" s="7" t="s">
        <v>23</v>
      </c>
      <c r="AF240" s="7" t="s">
        <v>23</v>
      </c>
      <c r="AG240" s="7" t="s">
        <v>23</v>
      </c>
      <c r="AH240" s="7" t="s">
        <v>23</v>
      </c>
      <c r="AJ240" s="7" t="s">
        <v>23</v>
      </c>
      <c r="AK240" s="7" t="s">
        <v>23</v>
      </c>
      <c r="AL240" s="7" t="s">
        <v>23</v>
      </c>
      <c r="AM240" s="7" t="s">
        <v>23</v>
      </c>
      <c r="AN240" s="7" t="s">
        <v>23</v>
      </c>
      <c r="AO240" s="7" t="s">
        <v>23</v>
      </c>
      <c r="AP240" s="7" t="s">
        <v>23</v>
      </c>
    </row>
    <row r="241" spans="11:42">
      <c r="K241" s="21">
        <v>237</v>
      </c>
      <c r="L241" s="24" t="str">
        <f t="shared" si="30"/>
        <v/>
      </c>
      <c r="M241" s="24" t="str">
        <f t="shared" si="31"/>
        <v/>
      </c>
      <c r="N241" s="24" t="str">
        <f t="shared" si="32"/>
        <v/>
      </c>
      <c r="O241" s="24" t="str">
        <f t="shared" si="33"/>
        <v/>
      </c>
      <c r="P241" s="24" t="str">
        <f t="shared" si="34"/>
        <v/>
      </c>
      <c r="Q241" s="24" t="str">
        <f t="shared" si="35"/>
        <v/>
      </c>
      <c r="R241" s="24" t="str">
        <f t="shared" si="36"/>
        <v/>
      </c>
      <c r="T241" s="8" t="s">
        <v>23</v>
      </c>
      <c r="U241" s="8" t="s">
        <v>23</v>
      </c>
      <c r="V241" s="8" t="s">
        <v>23</v>
      </c>
      <c r="W241" s="8" t="s">
        <v>23</v>
      </c>
      <c r="X241" s="8" t="s">
        <v>23</v>
      </c>
      <c r="Y241" s="8" t="s">
        <v>23</v>
      </c>
      <c r="Z241" s="8" t="s">
        <v>23</v>
      </c>
      <c r="AB241" s="7" t="s">
        <v>23</v>
      </c>
      <c r="AC241" s="7" t="s">
        <v>23</v>
      </c>
      <c r="AD241" s="7" t="s">
        <v>23</v>
      </c>
      <c r="AE241" s="7" t="s">
        <v>23</v>
      </c>
      <c r="AF241" s="7" t="s">
        <v>23</v>
      </c>
      <c r="AG241" s="7" t="s">
        <v>23</v>
      </c>
      <c r="AH241" s="7" t="s">
        <v>23</v>
      </c>
      <c r="AJ241" s="7" t="s">
        <v>23</v>
      </c>
      <c r="AK241" s="7" t="s">
        <v>23</v>
      </c>
      <c r="AL241" s="7" t="s">
        <v>23</v>
      </c>
      <c r="AM241" s="7" t="s">
        <v>23</v>
      </c>
      <c r="AN241" s="7" t="s">
        <v>23</v>
      </c>
      <c r="AO241" s="7" t="s">
        <v>23</v>
      </c>
      <c r="AP241" s="7" t="s">
        <v>23</v>
      </c>
    </row>
    <row r="242" spans="11:42">
      <c r="K242" s="22">
        <v>238</v>
      </c>
      <c r="L242" s="24" t="str">
        <f t="shared" si="30"/>
        <v/>
      </c>
      <c r="M242" s="24" t="str">
        <f t="shared" si="31"/>
        <v/>
      </c>
      <c r="N242" s="24" t="str">
        <f t="shared" si="32"/>
        <v/>
      </c>
      <c r="O242" s="24" t="str">
        <f t="shared" si="33"/>
        <v/>
      </c>
      <c r="P242" s="24" t="str">
        <f t="shared" si="34"/>
        <v/>
      </c>
      <c r="Q242" s="24" t="str">
        <f t="shared" si="35"/>
        <v/>
      </c>
      <c r="R242" s="24" t="str">
        <f t="shared" si="36"/>
        <v/>
      </c>
      <c r="T242" s="8" t="s">
        <v>23</v>
      </c>
      <c r="U242" s="8" t="s">
        <v>23</v>
      </c>
      <c r="V242" s="8" t="s">
        <v>23</v>
      </c>
      <c r="W242" s="8" t="s">
        <v>23</v>
      </c>
      <c r="X242" s="8" t="s">
        <v>23</v>
      </c>
      <c r="Y242" s="8" t="s">
        <v>23</v>
      </c>
      <c r="Z242" s="8" t="s">
        <v>23</v>
      </c>
      <c r="AB242" s="7" t="s">
        <v>23</v>
      </c>
      <c r="AC242" s="7" t="s">
        <v>23</v>
      </c>
      <c r="AD242" s="7" t="s">
        <v>23</v>
      </c>
      <c r="AE242" s="7" t="s">
        <v>23</v>
      </c>
      <c r="AF242" s="7" t="s">
        <v>23</v>
      </c>
      <c r="AG242" s="7" t="s">
        <v>23</v>
      </c>
      <c r="AH242" s="7" t="s">
        <v>23</v>
      </c>
      <c r="AJ242" s="7" t="s">
        <v>23</v>
      </c>
      <c r="AK242" s="7" t="s">
        <v>23</v>
      </c>
      <c r="AL242" s="7" t="s">
        <v>23</v>
      </c>
      <c r="AM242" s="7" t="s">
        <v>23</v>
      </c>
      <c r="AN242" s="7" t="s">
        <v>23</v>
      </c>
      <c r="AO242" s="7" t="s">
        <v>23</v>
      </c>
      <c r="AP242" s="7" t="s">
        <v>23</v>
      </c>
    </row>
    <row r="243" spans="11:42">
      <c r="K243" s="21">
        <v>239</v>
      </c>
      <c r="L243" s="24" t="str">
        <f t="shared" si="30"/>
        <v/>
      </c>
      <c r="M243" s="24" t="str">
        <f t="shared" si="31"/>
        <v/>
      </c>
      <c r="N243" s="24" t="str">
        <f t="shared" si="32"/>
        <v/>
      </c>
      <c r="O243" s="24" t="str">
        <f t="shared" si="33"/>
        <v/>
      </c>
      <c r="P243" s="24" t="str">
        <f t="shared" si="34"/>
        <v/>
      </c>
      <c r="Q243" s="24" t="str">
        <f t="shared" si="35"/>
        <v/>
      </c>
      <c r="R243" s="24" t="str">
        <f t="shared" si="36"/>
        <v/>
      </c>
      <c r="T243" s="8" t="s">
        <v>23</v>
      </c>
      <c r="U243" s="8" t="s">
        <v>23</v>
      </c>
      <c r="V243" s="8" t="s">
        <v>23</v>
      </c>
      <c r="W243" s="8" t="s">
        <v>23</v>
      </c>
      <c r="X243" s="8" t="s">
        <v>23</v>
      </c>
      <c r="Y243" s="8" t="s">
        <v>23</v>
      </c>
      <c r="Z243" s="8" t="s">
        <v>23</v>
      </c>
      <c r="AB243" s="7" t="s">
        <v>23</v>
      </c>
      <c r="AC243" s="7" t="s">
        <v>23</v>
      </c>
      <c r="AD243" s="7" t="s">
        <v>23</v>
      </c>
      <c r="AE243" s="7" t="s">
        <v>23</v>
      </c>
      <c r="AF243" s="7" t="s">
        <v>23</v>
      </c>
      <c r="AG243" s="7" t="s">
        <v>23</v>
      </c>
      <c r="AH243" s="7" t="s">
        <v>23</v>
      </c>
      <c r="AJ243" s="7" t="s">
        <v>23</v>
      </c>
      <c r="AK243" s="7" t="s">
        <v>23</v>
      </c>
      <c r="AL243" s="7" t="s">
        <v>23</v>
      </c>
      <c r="AM243" s="7" t="s">
        <v>23</v>
      </c>
      <c r="AN243" s="7" t="s">
        <v>23</v>
      </c>
      <c r="AO243" s="7" t="s">
        <v>23</v>
      </c>
      <c r="AP243" s="7" t="s">
        <v>23</v>
      </c>
    </row>
    <row r="244" spans="11:42">
      <c r="K244" s="22">
        <v>240</v>
      </c>
      <c r="L244" s="24" t="str">
        <f t="shared" si="30"/>
        <v/>
      </c>
      <c r="M244" s="24" t="str">
        <f t="shared" si="31"/>
        <v/>
      </c>
      <c r="N244" s="24" t="str">
        <f t="shared" si="32"/>
        <v/>
      </c>
      <c r="O244" s="24" t="str">
        <f t="shared" si="33"/>
        <v/>
      </c>
      <c r="P244" s="24" t="str">
        <f t="shared" si="34"/>
        <v/>
      </c>
      <c r="Q244" s="24" t="str">
        <f t="shared" si="35"/>
        <v/>
      </c>
      <c r="R244" s="24" t="str">
        <f t="shared" si="36"/>
        <v/>
      </c>
      <c r="T244" s="8" t="s">
        <v>23</v>
      </c>
      <c r="U244" s="8" t="s">
        <v>23</v>
      </c>
      <c r="V244" s="8" t="s">
        <v>23</v>
      </c>
      <c r="W244" s="8" t="s">
        <v>23</v>
      </c>
      <c r="X244" s="8" t="s">
        <v>23</v>
      </c>
      <c r="Y244" s="8" t="s">
        <v>23</v>
      </c>
      <c r="Z244" s="8" t="s">
        <v>23</v>
      </c>
      <c r="AB244" s="7" t="s">
        <v>23</v>
      </c>
      <c r="AC244" s="7" t="s">
        <v>23</v>
      </c>
      <c r="AD244" s="7" t="s">
        <v>23</v>
      </c>
      <c r="AE244" s="7" t="s">
        <v>23</v>
      </c>
      <c r="AF244" s="7" t="s">
        <v>23</v>
      </c>
      <c r="AG244" s="7" t="s">
        <v>23</v>
      </c>
      <c r="AH244" s="7" t="s">
        <v>23</v>
      </c>
      <c r="AJ244" s="7" t="s">
        <v>23</v>
      </c>
      <c r="AK244" s="7" t="s">
        <v>23</v>
      </c>
      <c r="AL244" s="7" t="s">
        <v>23</v>
      </c>
      <c r="AM244" s="7" t="s">
        <v>23</v>
      </c>
      <c r="AN244" s="7" t="s">
        <v>23</v>
      </c>
      <c r="AO244" s="7" t="s">
        <v>23</v>
      </c>
      <c r="AP244" s="7" t="s">
        <v>23</v>
      </c>
    </row>
    <row r="245" spans="11:42">
      <c r="K245" s="21">
        <v>241</v>
      </c>
      <c r="L245" s="24" t="str">
        <f t="shared" si="30"/>
        <v/>
      </c>
      <c r="M245" s="24" t="str">
        <f t="shared" si="31"/>
        <v/>
      </c>
      <c r="N245" s="24" t="str">
        <f t="shared" si="32"/>
        <v/>
      </c>
      <c r="O245" s="24" t="str">
        <f t="shared" si="33"/>
        <v/>
      </c>
      <c r="P245" s="24" t="str">
        <f t="shared" si="34"/>
        <v/>
      </c>
      <c r="Q245" s="24" t="str">
        <f t="shared" si="35"/>
        <v/>
      </c>
      <c r="R245" s="24" t="str">
        <f t="shared" si="36"/>
        <v/>
      </c>
      <c r="T245" s="8" t="s">
        <v>23</v>
      </c>
      <c r="U245" s="8" t="s">
        <v>23</v>
      </c>
      <c r="V245" s="8" t="s">
        <v>23</v>
      </c>
      <c r="W245" s="8" t="s">
        <v>23</v>
      </c>
      <c r="X245" s="8" t="s">
        <v>23</v>
      </c>
      <c r="Y245" s="8" t="s">
        <v>23</v>
      </c>
      <c r="Z245" s="8" t="s">
        <v>23</v>
      </c>
      <c r="AB245" s="7" t="s">
        <v>23</v>
      </c>
      <c r="AC245" s="7" t="s">
        <v>23</v>
      </c>
      <c r="AD245" s="7" t="s">
        <v>23</v>
      </c>
      <c r="AE245" s="7" t="s">
        <v>23</v>
      </c>
      <c r="AF245" s="7" t="s">
        <v>23</v>
      </c>
      <c r="AG245" s="7" t="s">
        <v>23</v>
      </c>
      <c r="AH245" s="7" t="s">
        <v>23</v>
      </c>
      <c r="AJ245" s="7" t="s">
        <v>23</v>
      </c>
      <c r="AK245" s="7" t="s">
        <v>23</v>
      </c>
      <c r="AL245" s="7" t="s">
        <v>23</v>
      </c>
      <c r="AM245" s="7" t="s">
        <v>23</v>
      </c>
      <c r="AN245" s="7" t="s">
        <v>23</v>
      </c>
      <c r="AO245" s="7" t="s">
        <v>23</v>
      </c>
      <c r="AP245" s="7" t="s">
        <v>23</v>
      </c>
    </row>
    <row r="246" spans="11:42">
      <c r="K246" s="22">
        <v>242</v>
      </c>
      <c r="L246" s="24" t="str">
        <f t="shared" si="30"/>
        <v/>
      </c>
      <c r="M246" s="24" t="str">
        <f t="shared" si="31"/>
        <v/>
      </c>
      <c r="N246" s="24" t="str">
        <f t="shared" si="32"/>
        <v/>
      </c>
      <c r="O246" s="24" t="str">
        <f t="shared" si="33"/>
        <v/>
      </c>
      <c r="P246" s="24" t="str">
        <f t="shared" si="34"/>
        <v/>
      </c>
      <c r="Q246" s="24" t="str">
        <f t="shared" si="35"/>
        <v/>
      </c>
      <c r="R246" s="24" t="str">
        <f t="shared" si="36"/>
        <v/>
      </c>
      <c r="T246" s="8" t="s">
        <v>23</v>
      </c>
      <c r="U246" s="8" t="s">
        <v>23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B246" s="7" t="s">
        <v>23</v>
      </c>
      <c r="AC246" s="7" t="s">
        <v>23</v>
      </c>
      <c r="AD246" s="7" t="s">
        <v>23</v>
      </c>
      <c r="AE246" s="7" t="s">
        <v>23</v>
      </c>
      <c r="AF246" s="7" t="s">
        <v>23</v>
      </c>
      <c r="AG246" s="7" t="s">
        <v>23</v>
      </c>
      <c r="AH246" s="7" t="s">
        <v>23</v>
      </c>
      <c r="AJ246" s="7" t="s">
        <v>23</v>
      </c>
      <c r="AK246" s="7" t="s">
        <v>23</v>
      </c>
      <c r="AL246" s="7" t="s">
        <v>23</v>
      </c>
      <c r="AM246" s="7" t="s">
        <v>23</v>
      </c>
      <c r="AN246" s="7" t="s">
        <v>23</v>
      </c>
      <c r="AO246" s="7" t="s">
        <v>23</v>
      </c>
      <c r="AP246" s="7" t="s">
        <v>23</v>
      </c>
    </row>
    <row r="247" spans="11:42">
      <c r="K247" s="21">
        <v>243</v>
      </c>
      <c r="L247" s="24" t="str">
        <f t="shared" si="30"/>
        <v/>
      </c>
      <c r="M247" s="24" t="str">
        <f t="shared" si="31"/>
        <v/>
      </c>
      <c r="N247" s="24" t="str">
        <f t="shared" si="32"/>
        <v/>
      </c>
      <c r="O247" s="24" t="str">
        <f t="shared" si="33"/>
        <v/>
      </c>
      <c r="P247" s="24" t="str">
        <f t="shared" si="34"/>
        <v/>
      </c>
      <c r="Q247" s="24" t="str">
        <f t="shared" si="35"/>
        <v/>
      </c>
      <c r="R247" s="24" t="str">
        <f t="shared" si="36"/>
        <v/>
      </c>
      <c r="T247" s="8" t="s">
        <v>23</v>
      </c>
      <c r="U247" s="8" t="s">
        <v>23</v>
      </c>
      <c r="V247" s="8" t="s">
        <v>23</v>
      </c>
      <c r="W247" s="8" t="s">
        <v>23</v>
      </c>
      <c r="X247" s="8" t="s">
        <v>23</v>
      </c>
      <c r="Y247" s="8" t="s">
        <v>23</v>
      </c>
      <c r="Z247" s="8" t="s">
        <v>23</v>
      </c>
      <c r="AB247" s="7" t="s">
        <v>23</v>
      </c>
      <c r="AC247" s="7" t="s">
        <v>23</v>
      </c>
      <c r="AD247" s="7" t="s">
        <v>23</v>
      </c>
      <c r="AE247" s="7" t="s">
        <v>23</v>
      </c>
      <c r="AF247" s="7" t="s">
        <v>23</v>
      </c>
      <c r="AG247" s="7" t="s">
        <v>23</v>
      </c>
      <c r="AH247" s="7" t="s">
        <v>23</v>
      </c>
      <c r="AJ247" s="7" t="s">
        <v>23</v>
      </c>
      <c r="AK247" s="7" t="s">
        <v>23</v>
      </c>
      <c r="AL247" s="7" t="s">
        <v>23</v>
      </c>
      <c r="AM247" s="7" t="s">
        <v>23</v>
      </c>
      <c r="AN247" s="7" t="s">
        <v>23</v>
      </c>
      <c r="AO247" s="7" t="s">
        <v>23</v>
      </c>
      <c r="AP247" s="7" t="s">
        <v>23</v>
      </c>
    </row>
    <row r="248" spans="11:42">
      <c r="K248" s="22">
        <v>244</v>
      </c>
      <c r="L248" s="24" t="str">
        <f t="shared" si="30"/>
        <v/>
      </c>
      <c r="M248" s="24" t="str">
        <f t="shared" si="31"/>
        <v/>
      </c>
      <c r="N248" s="24" t="str">
        <f t="shared" si="32"/>
        <v/>
      </c>
      <c r="O248" s="24" t="str">
        <f t="shared" si="33"/>
        <v/>
      </c>
      <c r="P248" s="24" t="str">
        <f t="shared" si="34"/>
        <v/>
      </c>
      <c r="Q248" s="24" t="str">
        <f t="shared" si="35"/>
        <v/>
      </c>
      <c r="R248" s="24" t="str">
        <f t="shared" si="36"/>
        <v/>
      </c>
      <c r="T248" s="8" t="s">
        <v>23</v>
      </c>
      <c r="U248" s="8" t="s">
        <v>23</v>
      </c>
      <c r="V248" s="8" t="s">
        <v>23</v>
      </c>
      <c r="W248" s="8" t="s">
        <v>23</v>
      </c>
      <c r="X248" s="8" t="s">
        <v>23</v>
      </c>
      <c r="Y248" s="8" t="s">
        <v>23</v>
      </c>
      <c r="Z248" s="8" t="s">
        <v>23</v>
      </c>
      <c r="AB248" s="7" t="s">
        <v>23</v>
      </c>
      <c r="AC248" s="7" t="s">
        <v>23</v>
      </c>
      <c r="AD248" s="7" t="s">
        <v>23</v>
      </c>
      <c r="AE248" s="7" t="s">
        <v>23</v>
      </c>
      <c r="AF248" s="7" t="s">
        <v>23</v>
      </c>
      <c r="AG248" s="7" t="s">
        <v>23</v>
      </c>
      <c r="AH248" s="7" t="s">
        <v>23</v>
      </c>
      <c r="AJ248" s="7" t="s">
        <v>23</v>
      </c>
      <c r="AK248" s="7" t="s">
        <v>23</v>
      </c>
      <c r="AL248" s="7" t="s">
        <v>23</v>
      </c>
      <c r="AM248" s="7" t="s">
        <v>23</v>
      </c>
      <c r="AN248" s="7" t="s">
        <v>23</v>
      </c>
      <c r="AO248" s="7" t="s">
        <v>23</v>
      </c>
      <c r="AP248" s="7" t="s">
        <v>23</v>
      </c>
    </row>
    <row r="249" spans="11:42">
      <c r="K249" s="21">
        <v>245</v>
      </c>
      <c r="L249" s="24" t="str">
        <f t="shared" si="30"/>
        <v/>
      </c>
      <c r="M249" s="24" t="str">
        <f t="shared" si="31"/>
        <v/>
      </c>
      <c r="N249" s="24" t="str">
        <f t="shared" si="32"/>
        <v/>
      </c>
      <c r="O249" s="24" t="str">
        <f t="shared" si="33"/>
        <v/>
      </c>
      <c r="P249" s="24" t="str">
        <f t="shared" si="34"/>
        <v/>
      </c>
      <c r="Q249" s="24" t="str">
        <f t="shared" si="35"/>
        <v/>
      </c>
      <c r="R249" s="24" t="str">
        <f t="shared" si="36"/>
        <v/>
      </c>
      <c r="T249" s="8" t="s">
        <v>23</v>
      </c>
      <c r="U249" s="8" t="s">
        <v>23</v>
      </c>
      <c r="V249" s="8" t="s">
        <v>23</v>
      </c>
      <c r="W249" s="8" t="s">
        <v>23</v>
      </c>
      <c r="X249" s="8" t="s">
        <v>23</v>
      </c>
      <c r="Y249" s="8" t="s">
        <v>23</v>
      </c>
      <c r="Z249" s="8" t="s">
        <v>23</v>
      </c>
      <c r="AB249" s="7" t="s">
        <v>23</v>
      </c>
      <c r="AC249" s="7" t="s">
        <v>23</v>
      </c>
      <c r="AD249" s="7" t="s">
        <v>23</v>
      </c>
      <c r="AE249" s="7" t="s">
        <v>23</v>
      </c>
      <c r="AF249" s="7" t="s">
        <v>23</v>
      </c>
      <c r="AG249" s="7" t="s">
        <v>23</v>
      </c>
      <c r="AH249" s="7" t="s">
        <v>23</v>
      </c>
      <c r="AJ249" s="7" t="s">
        <v>23</v>
      </c>
      <c r="AK249" s="7" t="s">
        <v>23</v>
      </c>
      <c r="AL249" s="7" t="s">
        <v>23</v>
      </c>
      <c r="AM249" s="7" t="s">
        <v>23</v>
      </c>
      <c r="AN249" s="7" t="s">
        <v>23</v>
      </c>
      <c r="AO249" s="7" t="s">
        <v>23</v>
      </c>
      <c r="AP249" s="7" t="s">
        <v>23</v>
      </c>
    </row>
    <row r="250" spans="11:42">
      <c r="K250" s="22">
        <v>246</v>
      </c>
      <c r="L250" s="24" t="str">
        <f t="shared" si="30"/>
        <v/>
      </c>
      <c r="M250" s="24" t="str">
        <f t="shared" si="31"/>
        <v/>
      </c>
      <c r="N250" s="24" t="str">
        <f t="shared" si="32"/>
        <v/>
      </c>
      <c r="O250" s="24" t="str">
        <f t="shared" si="33"/>
        <v/>
      </c>
      <c r="P250" s="24" t="str">
        <f t="shared" si="34"/>
        <v/>
      </c>
      <c r="Q250" s="24" t="str">
        <f t="shared" si="35"/>
        <v/>
      </c>
      <c r="R250" s="24" t="str">
        <f t="shared" si="36"/>
        <v/>
      </c>
      <c r="T250" s="8" t="s">
        <v>23</v>
      </c>
      <c r="U250" s="8" t="s">
        <v>23</v>
      </c>
      <c r="V250" s="8" t="s">
        <v>23</v>
      </c>
      <c r="W250" s="8" t="s">
        <v>23</v>
      </c>
      <c r="X250" s="8" t="s">
        <v>23</v>
      </c>
      <c r="Y250" s="8" t="s">
        <v>23</v>
      </c>
      <c r="Z250" s="8" t="s">
        <v>23</v>
      </c>
      <c r="AB250" s="7" t="s">
        <v>23</v>
      </c>
      <c r="AC250" s="7" t="s">
        <v>23</v>
      </c>
      <c r="AD250" s="7" t="s">
        <v>23</v>
      </c>
      <c r="AE250" s="7" t="s">
        <v>23</v>
      </c>
      <c r="AF250" s="7" t="s">
        <v>23</v>
      </c>
      <c r="AG250" s="7" t="s">
        <v>23</v>
      </c>
      <c r="AH250" s="7" t="s">
        <v>23</v>
      </c>
      <c r="AJ250" s="7" t="s">
        <v>23</v>
      </c>
      <c r="AK250" s="7" t="s">
        <v>23</v>
      </c>
      <c r="AL250" s="7" t="s">
        <v>23</v>
      </c>
      <c r="AM250" s="7" t="s">
        <v>23</v>
      </c>
      <c r="AN250" s="7" t="s">
        <v>23</v>
      </c>
      <c r="AO250" s="7" t="s">
        <v>23</v>
      </c>
      <c r="AP250" s="7" t="s">
        <v>23</v>
      </c>
    </row>
    <row r="251" spans="11:42">
      <c r="K251" s="21">
        <v>247</v>
      </c>
      <c r="L251" s="24" t="str">
        <f t="shared" si="30"/>
        <v/>
      </c>
      <c r="M251" s="24" t="str">
        <f t="shared" si="31"/>
        <v/>
      </c>
      <c r="N251" s="24" t="str">
        <f t="shared" si="32"/>
        <v/>
      </c>
      <c r="O251" s="24" t="str">
        <f t="shared" si="33"/>
        <v/>
      </c>
      <c r="P251" s="24" t="str">
        <f t="shared" si="34"/>
        <v/>
      </c>
      <c r="Q251" s="24" t="str">
        <f t="shared" si="35"/>
        <v/>
      </c>
      <c r="R251" s="24" t="str">
        <f t="shared" si="36"/>
        <v/>
      </c>
      <c r="T251" s="8" t="s">
        <v>23</v>
      </c>
      <c r="U251" s="8" t="s">
        <v>23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B251" s="7" t="s">
        <v>23</v>
      </c>
      <c r="AC251" s="7" t="s">
        <v>23</v>
      </c>
      <c r="AD251" s="7" t="s">
        <v>23</v>
      </c>
      <c r="AE251" s="7" t="s">
        <v>23</v>
      </c>
      <c r="AF251" s="7" t="s">
        <v>23</v>
      </c>
      <c r="AG251" s="7" t="s">
        <v>23</v>
      </c>
      <c r="AH251" s="7" t="s">
        <v>23</v>
      </c>
      <c r="AJ251" s="7" t="s">
        <v>23</v>
      </c>
      <c r="AK251" s="7" t="s">
        <v>23</v>
      </c>
      <c r="AL251" s="7" t="s">
        <v>23</v>
      </c>
      <c r="AM251" s="7" t="s">
        <v>23</v>
      </c>
      <c r="AN251" s="7" t="s">
        <v>23</v>
      </c>
      <c r="AO251" s="7" t="s">
        <v>23</v>
      </c>
      <c r="AP251" s="7" t="s">
        <v>23</v>
      </c>
    </row>
    <row r="252" spans="11:42">
      <c r="K252" s="22">
        <v>248</v>
      </c>
      <c r="L252" s="24" t="str">
        <f t="shared" si="30"/>
        <v/>
      </c>
      <c r="M252" s="24" t="str">
        <f t="shared" si="31"/>
        <v/>
      </c>
      <c r="N252" s="24" t="str">
        <f t="shared" si="32"/>
        <v/>
      </c>
      <c r="O252" s="24" t="str">
        <f t="shared" si="33"/>
        <v/>
      </c>
      <c r="P252" s="24" t="str">
        <f t="shared" si="34"/>
        <v/>
      </c>
      <c r="Q252" s="24" t="str">
        <f t="shared" si="35"/>
        <v/>
      </c>
      <c r="R252" s="24" t="str">
        <f t="shared" si="36"/>
        <v/>
      </c>
      <c r="T252" s="8" t="s">
        <v>23</v>
      </c>
      <c r="U252" s="8" t="s">
        <v>23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B252" s="7" t="s">
        <v>23</v>
      </c>
      <c r="AC252" s="7" t="s">
        <v>23</v>
      </c>
      <c r="AD252" s="7" t="s">
        <v>23</v>
      </c>
      <c r="AE252" s="7" t="s">
        <v>23</v>
      </c>
      <c r="AF252" s="7" t="s">
        <v>23</v>
      </c>
      <c r="AG252" s="7" t="s">
        <v>23</v>
      </c>
      <c r="AH252" s="7" t="s">
        <v>23</v>
      </c>
      <c r="AJ252" s="7" t="s">
        <v>23</v>
      </c>
      <c r="AK252" s="7" t="s">
        <v>23</v>
      </c>
      <c r="AL252" s="7" t="s">
        <v>23</v>
      </c>
      <c r="AM252" s="7" t="s">
        <v>23</v>
      </c>
      <c r="AN252" s="7" t="s">
        <v>23</v>
      </c>
      <c r="AO252" s="7" t="s">
        <v>23</v>
      </c>
      <c r="AP252" s="7" t="s">
        <v>23</v>
      </c>
    </row>
    <row r="253" spans="11:42">
      <c r="K253" s="21">
        <v>249</v>
      </c>
      <c r="L253" s="24" t="str">
        <f t="shared" si="30"/>
        <v/>
      </c>
      <c r="M253" s="24" t="str">
        <f t="shared" si="31"/>
        <v/>
      </c>
      <c r="N253" s="24" t="str">
        <f t="shared" si="32"/>
        <v/>
      </c>
      <c r="O253" s="24" t="str">
        <f t="shared" si="33"/>
        <v/>
      </c>
      <c r="P253" s="24" t="str">
        <f t="shared" si="34"/>
        <v/>
      </c>
      <c r="Q253" s="24" t="str">
        <f t="shared" si="35"/>
        <v/>
      </c>
      <c r="R253" s="24" t="str">
        <f t="shared" si="36"/>
        <v/>
      </c>
      <c r="T253" s="8" t="s">
        <v>23</v>
      </c>
      <c r="U253" s="8" t="s">
        <v>23</v>
      </c>
      <c r="V253" s="8" t="s">
        <v>23</v>
      </c>
      <c r="W253" s="8" t="s">
        <v>23</v>
      </c>
      <c r="X253" s="8" t="s">
        <v>23</v>
      </c>
      <c r="Y253" s="8" t="s">
        <v>23</v>
      </c>
      <c r="Z253" s="8" t="s">
        <v>23</v>
      </c>
      <c r="AB253" s="7" t="s">
        <v>23</v>
      </c>
      <c r="AC253" s="7" t="s">
        <v>23</v>
      </c>
      <c r="AD253" s="7" t="s">
        <v>23</v>
      </c>
      <c r="AE253" s="7" t="s">
        <v>23</v>
      </c>
      <c r="AF253" s="7" t="s">
        <v>23</v>
      </c>
      <c r="AG253" s="7" t="s">
        <v>23</v>
      </c>
      <c r="AH253" s="7" t="s">
        <v>23</v>
      </c>
      <c r="AJ253" s="7" t="s">
        <v>23</v>
      </c>
      <c r="AK253" s="7" t="s">
        <v>23</v>
      </c>
      <c r="AL253" s="7" t="s">
        <v>23</v>
      </c>
      <c r="AM253" s="7" t="s">
        <v>23</v>
      </c>
      <c r="AN253" s="7" t="s">
        <v>23</v>
      </c>
      <c r="AO253" s="7" t="s">
        <v>23</v>
      </c>
      <c r="AP253" s="7" t="s">
        <v>23</v>
      </c>
    </row>
    <row r="254" spans="11:42">
      <c r="K254" s="22">
        <v>250</v>
      </c>
      <c r="L254" s="24" t="str">
        <f t="shared" si="30"/>
        <v/>
      </c>
      <c r="M254" s="24" t="str">
        <f t="shared" si="31"/>
        <v/>
      </c>
      <c r="N254" s="24" t="str">
        <f t="shared" si="32"/>
        <v/>
      </c>
      <c r="O254" s="24" t="str">
        <f t="shared" si="33"/>
        <v/>
      </c>
      <c r="P254" s="24" t="str">
        <f t="shared" si="34"/>
        <v/>
      </c>
      <c r="Q254" s="24" t="str">
        <f t="shared" si="35"/>
        <v/>
      </c>
      <c r="R254" s="24" t="str">
        <f t="shared" si="36"/>
        <v/>
      </c>
      <c r="T254" s="8" t="s">
        <v>23</v>
      </c>
      <c r="U254" s="8" t="s">
        <v>23</v>
      </c>
      <c r="V254" s="8" t="s">
        <v>23</v>
      </c>
      <c r="W254" s="8" t="s">
        <v>23</v>
      </c>
      <c r="X254" s="8" t="s">
        <v>23</v>
      </c>
      <c r="Y254" s="8" t="s">
        <v>23</v>
      </c>
      <c r="Z254" s="8" t="s">
        <v>23</v>
      </c>
      <c r="AB254" s="7" t="s">
        <v>23</v>
      </c>
      <c r="AC254" s="7" t="s">
        <v>23</v>
      </c>
      <c r="AD254" s="7" t="s">
        <v>23</v>
      </c>
      <c r="AE254" s="7" t="s">
        <v>23</v>
      </c>
      <c r="AF254" s="7" t="s">
        <v>23</v>
      </c>
      <c r="AG254" s="7" t="s">
        <v>23</v>
      </c>
      <c r="AH254" s="7" t="s">
        <v>23</v>
      </c>
      <c r="AJ254" s="7" t="s">
        <v>23</v>
      </c>
      <c r="AK254" s="7" t="s">
        <v>23</v>
      </c>
      <c r="AL254" s="7" t="s">
        <v>23</v>
      </c>
      <c r="AM254" s="7" t="s">
        <v>23</v>
      </c>
      <c r="AN254" s="7" t="s">
        <v>23</v>
      </c>
      <c r="AO254" s="7" t="s">
        <v>23</v>
      </c>
      <c r="AP254" s="7" t="s">
        <v>23</v>
      </c>
    </row>
    <row r="255" spans="11:42">
      <c r="K255" s="21">
        <v>251</v>
      </c>
      <c r="L255" s="24" t="str">
        <f t="shared" si="30"/>
        <v/>
      </c>
      <c r="M255" s="24" t="str">
        <f t="shared" si="31"/>
        <v/>
      </c>
      <c r="N255" s="24" t="str">
        <f t="shared" si="32"/>
        <v/>
      </c>
      <c r="O255" s="24" t="str">
        <f t="shared" si="33"/>
        <v/>
      </c>
      <c r="P255" s="24" t="str">
        <f t="shared" si="34"/>
        <v/>
      </c>
      <c r="Q255" s="24" t="str">
        <f t="shared" si="35"/>
        <v/>
      </c>
      <c r="R255" s="24" t="str">
        <f t="shared" si="36"/>
        <v/>
      </c>
      <c r="T255" s="8" t="s">
        <v>23</v>
      </c>
      <c r="U255" s="8" t="s">
        <v>23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B255" s="7" t="s">
        <v>23</v>
      </c>
      <c r="AC255" s="7" t="s">
        <v>23</v>
      </c>
      <c r="AD255" s="7" t="s">
        <v>23</v>
      </c>
      <c r="AE255" s="7" t="s">
        <v>23</v>
      </c>
      <c r="AF255" s="7" t="s">
        <v>23</v>
      </c>
      <c r="AG255" s="7" t="s">
        <v>23</v>
      </c>
      <c r="AH255" s="7" t="s">
        <v>23</v>
      </c>
      <c r="AJ255" s="7" t="s">
        <v>23</v>
      </c>
      <c r="AK255" s="7" t="s">
        <v>23</v>
      </c>
      <c r="AL255" s="7" t="s">
        <v>23</v>
      </c>
      <c r="AM255" s="7" t="s">
        <v>23</v>
      </c>
      <c r="AN255" s="7" t="s">
        <v>23</v>
      </c>
      <c r="AO255" s="7" t="s">
        <v>23</v>
      </c>
      <c r="AP255" s="7" t="s">
        <v>23</v>
      </c>
    </row>
    <row r="256" spans="11:42">
      <c r="K256" s="22">
        <v>252</v>
      </c>
      <c r="L256" s="24" t="str">
        <f t="shared" ref="L256:L309" si="37">IF(T256&lt;&gt;"",_xlfn.XLOOKUP(T256,$K$4:$K$27,$A$4:$A$27),"")</f>
        <v/>
      </c>
      <c r="M256" s="24" t="str">
        <f t="shared" ref="M256:M309" si="38">IF(U256&lt;&gt;"",_xlfn.XLOOKUP(U256,$K$4:$K$27,$A$4:$A$27),"")</f>
        <v/>
      </c>
      <c r="N256" s="24" t="str">
        <f t="shared" ref="N256:N309" si="39">IF(V256&lt;&gt;"",_xlfn.XLOOKUP(V256,$K$4:$K$27,$A$4:$A$27),"")</f>
        <v/>
      </c>
      <c r="O256" s="24" t="str">
        <f t="shared" ref="O256:O309" si="40">IF(W256&lt;&gt;"",_xlfn.XLOOKUP(W256,$K$4:$K$27,$A$4:$A$27),"")</f>
        <v/>
      </c>
      <c r="P256" s="24" t="str">
        <f t="shared" ref="P256:P309" si="41">IF(X256&lt;&gt;"",_xlfn.XLOOKUP(X256,$K$4:$K$27,$A$4:$A$27),"")</f>
        <v/>
      </c>
      <c r="Q256" s="24" t="str">
        <f t="shared" ref="Q256:Q309" si="42">IF(Y256&lt;&gt;"",_xlfn.XLOOKUP(Y256,$K$4:$K$27,$A$4:$A$27),"")</f>
        <v/>
      </c>
      <c r="R256" s="24" t="str">
        <f t="shared" ref="R256:R309" si="43">IF(Z256&lt;&gt;"",_xlfn.XLOOKUP(Z256,$K$4:$K$27,$A$4:$A$27),"")</f>
        <v/>
      </c>
      <c r="T256" s="8" t="s">
        <v>23</v>
      </c>
      <c r="U256" s="8" t="s">
        <v>23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B256" s="7" t="s">
        <v>23</v>
      </c>
      <c r="AC256" s="7" t="s">
        <v>23</v>
      </c>
      <c r="AD256" s="7" t="s">
        <v>23</v>
      </c>
      <c r="AE256" s="7" t="s">
        <v>23</v>
      </c>
      <c r="AF256" s="7" t="s">
        <v>23</v>
      </c>
      <c r="AG256" s="7" t="s">
        <v>23</v>
      </c>
      <c r="AH256" s="7" t="s">
        <v>23</v>
      </c>
      <c r="AJ256" s="7" t="s">
        <v>23</v>
      </c>
      <c r="AK256" s="7" t="s">
        <v>23</v>
      </c>
      <c r="AL256" s="7" t="s">
        <v>23</v>
      </c>
      <c r="AM256" s="7" t="s">
        <v>23</v>
      </c>
      <c r="AN256" s="7" t="s">
        <v>23</v>
      </c>
      <c r="AO256" s="7" t="s">
        <v>23</v>
      </c>
      <c r="AP256" s="7" t="s">
        <v>23</v>
      </c>
    </row>
    <row r="257" spans="11:42">
      <c r="K257" s="21">
        <v>253</v>
      </c>
      <c r="L257" s="24" t="str">
        <f t="shared" si="37"/>
        <v/>
      </c>
      <c r="M257" s="24" t="str">
        <f t="shared" si="38"/>
        <v/>
      </c>
      <c r="N257" s="24" t="str">
        <f t="shared" si="39"/>
        <v/>
      </c>
      <c r="O257" s="24" t="str">
        <f t="shared" si="40"/>
        <v/>
      </c>
      <c r="P257" s="24" t="str">
        <f t="shared" si="41"/>
        <v/>
      </c>
      <c r="Q257" s="24" t="str">
        <f t="shared" si="42"/>
        <v/>
      </c>
      <c r="R257" s="24" t="str">
        <f t="shared" si="43"/>
        <v/>
      </c>
      <c r="T257" s="8" t="s">
        <v>23</v>
      </c>
      <c r="U257" s="8" t="s">
        <v>23</v>
      </c>
      <c r="V257" s="8" t="s">
        <v>23</v>
      </c>
      <c r="W257" s="8" t="s">
        <v>23</v>
      </c>
      <c r="X257" s="8" t="s">
        <v>23</v>
      </c>
      <c r="Y257" s="8" t="s">
        <v>23</v>
      </c>
      <c r="Z257" s="8" t="s">
        <v>23</v>
      </c>
      <c r="AB257" s="7" t="s">
        <v>23</v>
      </c>
      <c r="AC257" s="7" t="s">
        <v>23</v>
      </c>
      <c r="AD257" s="7" t="s">
        <v>23</v>
      </c>
      <c r="AE257" s="7" t="s">
        <v>23</v>
      </c>
      <c r="AF257" s="7" t="s">
        <v>23</v>
      </c>
      <c r="AG257" s="7" t="s">
        <v>23</v>
      </c>
      <c r="AH257" s="7" t="s">
        <v>23</v>
      </c>
      <c r="AJ257" s="7" t="s">
        <v>23</v>
      </c>
      <c r="AK257" s="7" t="s">
        <v>23</v>
      </c>
      <c r="AL257" s="7" t="s">
        <v>23</v>
      </c>
      <c r="AM257" s="7" t="s">
        <v>23</v>
      </c>
      <c r="AN257" s="7" t="s">
        <v>23</v>
      </c>
      <c r="AO257" s="7" t="s">
        <v>23</v>
      </c>
      <c r="AP257" s="7" t="s">
        <v>23</v>
      </c>
    </row>
    <row r="258" spans="11:42">
      <c r="K258" s="22">
        <v>254</v>
      </c>
      <c r="L258" s="24" t="str">
        <f t="shared" si="37"/>
        <v/>
      </c>
      <c r="M258" s="24" t="str">
        <f t="shared" si="38"/>
        <v/>
      </c>
      <c r="N258" s="24" t="str">
        <f t="shared" si="39"/>
        <v/>
      </c>
      <c r="O258" s="24" t="str">
        <f t="shared" si="40"/>
        <v/>
      </c>
      <c r="P258" s="24" t="str">
        <f t="shared" si="41"/>
        <v/>
      </c>
      <c r="Q258" s="24" t="str">
        <f t="shared" si="42"/>
        <v/>
      </c>
      <c r="R258" s="24" t="str">
        <f t="shared" si="43"/>
        <v/>
      </c>
      <c r="T258" s="8" t="s">
        <v>23</v>
      </c>
      <c r="U258" s="8" t="s">
        <v>23</v>
      </c>
      <c r="V258" s="8" t="s">
        <v>23</v>
      </c>
      <c r="W258" s="8" t="s">
        <v>23</v>
      </c>
      <c r="X258" s="8" t="s">
        <v>23</v>
      </c>
      <c r="Y258" s="8" t="s">
        <v>23</v>
      </c>
      <c r="Z258" s="8" t="s">
        <v>23</v>
      </c>
      <c r="AB258" s="7" t="s">
        <v>23</v>
      </c>
      <c r="AC258" s="7" t="s">
        <v>23</v>
      </c>
      <c r="AD258" s="7" t="s">
        <v>23</v>
      </c>
      <c r="AE258" s="7" t="s">
        <v>23</v>
      </c>
      <c r="AF258" s="7" t="s">
        <v>23</v>
      </c>
      <c r="AG258" s="7" t="s">
        <v>23</v>
      </c>
      <c r="AH258" s="7" t="s">
        <v>23</v>
      </c>
      <c r="AJ258" s="7" t="s">
        <v>23</v>
      </c>
      <c r="AK258" s="7" t="s">
        <v>23</v>
      </c>
      <c r="AL258" s="7" t="s">
        <v>23</v>
      </c>
      <c r="AM258" s="7" t="s">
        <v>23</v>
      </c>
      <c r="AN258" s="7" t="s">
        <v>23</v>
      </c>
      <c r="AO258" s="7" t="s">
        <v>23</v>
      </c>
      <c r="AP258" s="7" t="s">
        <v>23</v>
      </c>
    </row>
    <row r="259" spans="11:42">
      <c r="K259" s="21">
        <v>255</v>
      </c>
      <c r="L259" s="24" t="str">
        <f t="shared" si="37"/>
        <v/>
      </c>
      <c r="M259" s="24" t="str">
        <f t="shared" si="38"/>
        <v/>
      </c>
      <c r="N259" s="24" t="str">
        <f t="shared" si="39"/>
        <v/>
      </c>
      <c r="O259" s="24" t="str">
        <f t="shared" si="40"/>
        <v/>
      </c>
      <c r="P259" s="24" t="str">
        <f t="shared" si="41"/>
        <v/>
      </c>
      <c r="Q259" s="24" t="str">
        <f t="shared" si="42"/>
        <v/>
      </c>
      <c r="R259" s="24" t="str">
        <f t="shared" si="43"/>
        <v/>
      </c>
      <c r="T259" s="8" t="s">
        <v>23</v>
      </c>
      <c r="U259" s="8" t="s">
        <v>23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B259" s="7" t="s">
        <v>23</v>
      </c>
      <c r="AC259" s="7" t="s">
        <v>23</v>
      </c>
      <c r="AD259" s="7" t="s">
        <v>23</v>
      </c>
      <c r="AE259" s="7" t="s">
        <v>23</v>
      </c>
      <c r="AF259" s="7" t="s">
        <v>23</v>
      </c>
      <c r="AG259" s="7" t="s">
        <v>23</v>
      </c>
      <c r="AH259" s="7" t="s">
        <v>23</v>
      </c>
      <c r="AJ259" s="7" t="s">
        <v>23</v>
      </c>
      <c r="AK259" s="7" t="s">
        <v>23</v>
      </c>
      <c r="AL259" s="7" t="s">
        <v>23</v>
      </c>
      <c r="AM259" s="7" t="s">
        <v>23</v>
      </c>
      <c r="AN259" s="7" t="s">
        <v>23</v>
      </c>
      <c r="AO259" s="7" t="s">
        <v>23</v>
      </c>
      <c r="AP259" s="7" t="s">
        <v>23</v>
      </c>
    </row>
    <row r="260" spans="11:42">
      <c r="K260" s="22">
        <v>256</v>
      </c>
      <c r="L260" s="24" t="str">
        <f t="shared" si="37"/>
        <v/>
      </c>
      <c r="M260" s="24" t="str">
        <f t="shared" si="38"/>
        <v/>
      </c>
      <c r="N260" s="24" t="str">
        <f t="shared" si="39"/>
        <v/>
      </c>
      <c r="O260" s="24" t="str">
        <f t="shared" si="40"/>
        <v/>
      </c>
      <c r="P260" s="24" t="str">
        <f t="shared" si="41"/>
        <v/>
      </c>
      <c r="Q260" s="24" t="str">
        <f t="shared" si="42"/>
        <v/>
      </c>
      <c r="R260" s="24" t="str">
        <f t="shared" si="43"/>
        <v/>
      </c>
      <c r="T260" s="8" t="s">
        <v>23</v>
      </c>
      <c r="U260" s="8" t="s">
        <v>23</v>
      </c>
      <c r="V260" s="8" t="s">
        <v>23</v>
      </c>
      <c r="W260" s="8" t="s">
        <v>23</v>
      </c>
      <c r="X260" s="8" t="s">
        <v>23</v>
      </c>
      <c r="Y260" s="8" t="s">
        <v>23</v>
      </c>
      <c r="Z260" s="8" t="s">
        <v>23</v>
      </c>
      <c r="AB260" s="7" t="s">
        <v>23</v>
      </c>
      <c r="AC260" s="7" t="s">
        <v>23</v>
      </c>
      <c r="AD260" s="7" t="s">
        <v>23</v>
      </c>
      <c r="AE260" s="7" t="s">
        <v>23</v>
      </c>
      <c r="AF260" s="7" t="s">
        <v>23</v>
      </c>
      <c r="AG260" s="7" t="s">
        <v>23</v>
      </c>
      <c r="AH260" s="7" t="s">
        <v>23</v>
      </c>
      <c r="AJ260" s="7" t="s">
        <v>23</v>
      </c>
      <c r="AK260" s="7" t="s">
        <v>23</v>
      </c>
      <c r="AL260" s="7" t="s">
        <v>23</v>
      </c>
      <c r="AM260" s="7" t="s">
        <v>23</v>
      </c>
      <c r="AN260" s="7" t="s">
        <v>23</v>
      </c>
      <c r="AO260" s="7" t="s">
        <v>23</v>
      </c>
      <c r="AP260" s="7" t="s">
        <v>23</v>
      </c>
    </row>
    <row r="261" spans="11:42">
      <c r="K261" s="21">
        <v>257</v>
      </c>
      <c r="L261" s="24" t="str">
        <f t="shared" si="37"/>
        <v/>
      </c>
      <c r="M261" s="24" t="str">
        <f t="shared" si="38"/>
        <v/>
      </c>
      <c r="N261" s="24" t="str">
        <f t="shared" si="39"/>
        <v/>
      </c>
      <c r="O261" s="24" t="str">
        <f t="shared" si="40"/>
        <v/>
      </c>
      <c r="P261" s="24" t="str">
        <f t="shared" si="41"/>
        <v/>
      </c>
      <c r="Q261" s="24" t="str">
        <f t="shared" si="42"/>
        <v/>
      </c>
      <c r="R261" s="24" t="str">
        <f t="shared" si="43"/>
        <v/>
      </c>
      <c r="T261" s="8" t="s">
        <v>23</v>
      </c>
      <c r="U261" s="8" t="s">
        <v>23</v>
      </c>
      <c r="V261" s="8" t="s">
        <v>23</v>
      </c>
      <c r="W261" s="8" t="s">
        <v>23</v>
      </c>
      <c r="X261" s="8" t="s">
        <v>23</v>
      </c>
      <c r="Y261" s="8" t="s">
        <v>23</v>
      </c>
      <c r="Z261" s="8" t="s">
        <v>23</v>
      </c>
      <c r="AB261" s="7" t="s">
        <v>23</v>
      </c>
      <c r="AC261" s="7" t="s">
        <v>23</v>
      </c>
      <c r="AD261" s="7" t="s">
        <v>23</v>
      </c>
      <c r="AE261" s="7" t="s">
        <v>23</v>
      </c>
      <c r="AF261" s="7" t="s">
        <v>23</v>
      </c>
      <c r="AG261" s="7" t="s">
        <v>23</v>
      </c>
      <c r="AH261" s="7" t="s">
        <v>23</v>
      </c>
      <c r="AJ261" s="7" t="s">
        <v>23</v>
      </c>
      <c r="AK261" s="7" t="s">
        <v>23</v>
      </c>
      <c r="AL261" s="7" t="s">
        <v>23</v>
      </c>
      <c r="AM261" s="7" t="s">
        <v>23</v>
      </c>
      <c r="AN261" s="7" t="s">
        <v>23</v>
      </c>
      <c r="AO261" s="7" t="s">
        <v>23</v>
      </c>
      <c r="AP261" s="7" t="s">
        <v>23</v>
      </c>
    </row>
    <row r="262" spans="11:42">
      <c r="K262" s="22">
        <v>258</v>
      </c>
      <c r="L262" s="24" t="str">
        <f t="shared" si="37"/>
        <v/>
      </c>
      <c r="M262" s="24" t="str">
        <f t="shared" si="38"/>
        <v/>
      </c>
      <c r="N262" s="24" t="str">
        <f t="shared" si="39"/>
        <v/>
      </c>
      <c r="O262" s="24" t="str">
        <f t="shared" si="40"/>
        <v/>
      </c>
      <c r="P262" s="24" t="str">
        <f t="shared" si="41"/>
        <v/>
      </c>
      <c r="Q262" s="24" t="str">
        <f t="shared" si="42"/>
        <v/>
      </c>
      <c r="R262" s="24" t="str">
        <f t="shared" si="43"/>
        <v/>
      </c>
      <c r="T262" s="8" t="s">
        <v>23</v>
      </c>
      <c r="U262" s="8" t="s">
        <v>23</v>
      </c>
      <c r="V262" s="8" t="s">
        <v>23</v>
      </c>
      <c r="W262" s="8" t="s">
        <v>23</v>
      </c>
      <c r="X262" s="8" t="s">
        <v>23</v>
      </c>
      <c r="Y262" s="8" t="s">
        <v>23</v>
      </c>
      <c r="Z262" s="8" t="s">
        <v>23</v>
      </c>
      <c r="AB262" s="7" t="s">
        <v>23</v>
      </c>
      <c r="AC262" s="7" t="s">
        <v>23</v>
      </c>
      <c r="AD262" s="7" t="s">
        <v>23</v>
      </c>
      <c r="AE262" s="7" t="s">
        <v>23</v>
      </c>
      <c r="AF262" s="7" t="s">
        <v>23</v>
      </c>
      <c r="AG262" s="7" t="s">
        <v>23</v>
      </c>
      <c r="AH262" s="7" t="s">
        <v>23</v>
      </c>
      <c r="AJ262" s="7" t="s">
        <v>23</v>
      </c>
      <c r="AK262" s="7" t="s">
        <v>23</v>
      </c>
      <c r="AL262" s="7" t="s">
        <v>23</v>
      </c>
      <c r="AM262" s="7" t="s">
        <v>23</v>
      </c>
      <c r="AN262" s="7" t="s">
        <v>23</v>
      </c>
      <c r="AO262" s="7" t="s">
        <v>23</v>
      </c>
      <c r="AP262" s="7" t="s">
        <v>23</v>
      </c>
    </row>
    <row r="263" spans="11:42">
      <c r="K263" s="21">
        <v>259</v>
      </c>
      <c r="L263" s="24" t="str">
        <f t="shared" si="37"/>
        <v/>
      </c>
      <c r="M263" s="24" t="str">
        <f t="shared" si="38"/>
        <v/>
      </c>
      <c r="N263" s="24" t="str">
        <f t="shared" si="39"/>
        <v/>
      </c>
      <c r="O263" s="24" t="str">
        <f t="shared" si="40"/>
        <v/>
      </c>
      <c r="P263" s="24" t="str">
        <f t="shared" si="41"/>
        <v/>
      </c>
      <c r="Q263" s="24" t="str">
        <f t="shared" si="42"/>
        <v/>
      </c>
      <c r="R263" s="24" t="str">
        <f t="shared" si="43"/>
        <v/>
      </c>
      <c r="T263" s="8" t="s">
        <v>23</v>
      </c>
      <c r="U263" s="8" t="s">
        <v>23</v>
      </c>
      <c r="V263" s="8" t="s">
        <v>23</v>
      </c>
      <c r="W263" s="8" t="s">
        <v>23</v>
      </c>
      <c r="X263" s="8" t="s">
        <v>23</v>
      </c>
      <c r="Y263" s="8" t="s">
        <v>23</v>
      </c>
      <c r="Z263" s="8" t="s">
        <v>23</v>
      </c>
      <c r="AB263" s="7" t="s">
        <v>23</v>
      </c>
      <c r="AC263" s="7" t="s">
        <v>23</v>
      </c>
      <c r="AD263" s="7" t="s">
        <v>23</v>
      </c>
      <c r="AE263" s="7" t="s">
        <v>23</v>
      </c>
      <c r="AF263" s="7" t="s">
        <v>23</v>
      </c>
      <c r="AG263" s="7" t="s">
        <v>23</v>
      </c>
      <c r="AH263" s="7" t="s">
        <v>23</v>
      </c>
      <c r="AJ263" s="7" t="s">
        <v>23</v>
      </c>
      <c r="AK263" s="7" t="s">
        <v>23</v>
      </c>
      <c r="AL263" s="7" t="s">
        <v>23</v>
      </c>
      <c r="AM263" s="7" t="s">
        <v>23</v>
      </c>
      <c r="AN263" s="7" t="s">
        <v>23</v>
      </c>
      <c r="AO263" s="7" t="s">
        <v>23</v>
      </c>
      <c r="AP263" s="7" t="s">
        <v>23</v>
      </c>
    </row>
    <row r="264" spans="11:42">
      <c r="K264" s="22">
        <v>260</v>
      </c>
      <c r="L264" s="24" t="str">
        <f t="shared" si="37"/>
        <v/>
      </c>
      <c r="M264" s="24" t="str">
        <f t="shared" si="38"/>
        <v/>
      </c>
      <c r="N264" s="24" t="str">
        <f t="shared" si="39"/>
        <v/>
      </c>
      <c r="O264" s="24" t="str">
        <f t="shared" si="40"/>
        <v/>
      </c>
      <c r="P264" s="24" t="str">
        <f t="shared" si="41"/>
        <v/>
      </c>
      <c r="Q264" s="24" t="str">
        <f t="shared" si="42"/>
        <v/>
      </c>
      <c r="R264" s="24" t="str">
        <f t="shared" si="43"/>
        <v/>
      </c>
      <c r="T264" s="8" t="s">
        <v>23</v>
      </c>
      <c r="U264" s="8" t="s">
        <v>23</v>
      </c>
      <c r="V264" s="8" t="s">
        <v>23</v>
      </c>
      <c r="W264" s="8" t="s">
        <v>23</v>
      </c>
      <c r="X264" s="8" t="s">
        <v>23</v>
      </c>
      <c r="Y264" s="8" t="s">
        <v>23</v>
      </c>
      <c r="Z264" s="8" t="s">
        <v>23</v>
      </c>
      <c r="AB264" s="7" t="s">
        <v>23</v>
      </c>
      <c r="AC264" s="7" t="s">
        <v>23</v>
      </c>
      <c r="AD264" s="7" t="s">
        <v>23</v>
      </c>
      <c r="AE264" s="7" t="s">
        <v>23</v>
      </c>
      <c r="AF264" s="7" t="s">
        <v>23</v>
      </c>
      <c r="AG264" s="7" t="s">
        <v>23</v>
      </c>
      <c r="AH264" s="7" t="s">
        <v>23</v>
      </c>
      <c r="AJ264" s="7" t="s">
        <v>23</v>
      </c>
      <c r="AK264" s="7" t="s">
        <v>23</v>
      </c>
      <c r="AL264" s="7" t="s">
        <v>23</v>
      </c>
      <c r="AM264" s="7" t="s">
        <v>23</v>
      </c>
      <c r="AN264" s="7" t="s">
        <v>23</v>
      </c>
      <c r="AO264" s="7" t="s">
        <v>23</v>
      </c>
      <c r="AP264" s="7" t="s">
        <v>23</v>
      </c>
    </row>
    <row r="265" spans="11:42">
      <c r="K265" s="21">
        <v>261</v>
      </c>
      <c r="L265" s="24" t="str">
        <f t="shared" si="37"/>
        <v/>
      </c>
      <c r="M265" s="24" t="str">
        <f t="shared" si="38"/>
        <v/>
      </c>
      <c r="N265" s="24" t="str">
        <f t="shared" si="39"/>
        <v/>
      </c>
      <c r="O265" s="24" t="str">
        <f t="shared" si="40"/>
        <v/>
      </c>
      <c r="P265" s="24" t="str">
        <f t="shared" si="41"/>
        <v/>
      </c>
      <c r="Q265" s="24" t="str">
        <f t="shared" si="42"/>
        <v/>
      </c>
      <c r="R265" s="24" t="str">
        <f t="shared" si="43"/>
        <v/>
      </c>
      <c r="T265" s="8" t="s">
        <v>23</v>
      </c>
      <c r="U265" s="8" t="s">
        <v>23</v>
      </c>
      <c r="V265" s="8" t="s">
        <v>23</v>
      </c>
      <c r="W265" s="8" t="s">
        <v>23</v>
      </c>
      <c r="X265" s="8" t="s">
        <v>23</v>
      </c>
      <c r="Y265" s="8" t="s">
        <v>23</v>
      </c>
      <c r="Z265" s="8" t="s">
        <v>23</v>
      </c>
      <c r="AB265" s="7" t="s">
        <v>23</v>
      </c>
      <c r="AC265" s="7" t="s">
        <v>23</v>
      </c>
      <c r="AD265" s="7" t="s">
        <v>23</v>
      </c>
      <c r="AE265" s="7" t="s">
        <v>23</v>
      </c>
      <c r="AF265" s="7" t="s">
        <v>23</v>
      </c>
      <c r="AG265" s="7" t="s">
        <v>23</v>
      </c>
      <c r="AH265" s="7" t="s">
        <v>23</v>
      </c>
      <c r="AJ265" s="7" t="s">
        <v>23</v>
      </c>
      <c r="AK265" s="7" t="s">
        <v>23</v>
      </c>
      <c r="AL265" s="7" t="s">
        <v>23</v>
      </c>
      <c r="AM265" s="7" t="s">
        <v>23</v>
      </c>
      <c r="AN265" s="7" t="s">
        <v>23</v>
      </c>
      <c r="AO265" s="7" t="s">
        <v>23</v>
      </c>
      <c r="AP265" s="7" t="s">
        <v>23</v>
      </c>
    </row>
    <row r="266" spans="11:42">
      <c r="K266" s="22">
        <v>262</v>
      </c>
      <c r="L266" s="24" t="str">
        <f t="shared" si="37"/>
        <v/>
      </c>
      <c r="M266" s="24" t="str">
        <f t="shared" si="38"/>
        <v/>
      </c>
      <c r="N266" s="24" t="str">
        <f t="shared" si="39"/>
        <v/>
      </c>
      <c r="O266" s="24" t="str">
        <f t="shared" si="40"/>
        <v/>
      </c>
      <c r="P266" s="24" t="str">
        <f t="shared" si="41"/>
        <v/>
      </c>
      <c r="Q266" s="24" t="str">
        <f t="shared" si="42"/>
        <v/>
      </c>
      <c r="R266" s="24" t="str">
        <f t="shared" si="43"/>
        <v/>
      </c>
      <c r="T266" s="8" t="s">
        <v>23</v>
      </c>
      <c r="U266" s="8" t="s">
        <v>23</v>
      </c>
      <c r="V266" s="8" t="s">
        <v>23</v>
      </c>
      <c r="W266" s="8" t="s">
        <v>23</v>
      </c>
      <c r="X266" s="8" t="s">
        <v>23</v>
      </c>
      <c r="Y266" s="8" t="s">
        <v>23</v>
      </c>
      <c r="Z266" s="8" t="s">
        <v>23</v>
      </c>
      <c r="AB266" s="7" t="s">
        <v>23</v>
      </c>
      <c r="AC266" s="7" t="s">
        <v>23</v>
      </c>
      <c r="AD266" s="7" t="s">
        <v>23</v>
      </c>
      <c r="AE266" s="7" t="s">
        <v>23</v>
      </c>
      <c r="AF266" s="7" t="s">
        <v>23</v>
      </c>
      <c r="AG266" s="7" t="s">
        <v>23</v>
      </c>
      <c r="AH266" s="7" t="s">
        <v>23</v>
      </c>
      <c r="AJ266" s="7" t="s">
        <v>23</v>
      </c>
      <c r="AK266" s="7" t="s">
        <v>23</v>
      </c>
      <c r="AL266" s="7" t="s">
        <v>23</v>
      </c>
      <c r="AM266" s="7" t="s">
        <v>23</v>
      </c>
      <c r="AN266" s="7" t="s">
        <v>23</v>
      </c>
      <c r="AO266" s="7" t="s">
        <v>23</v>
      </c>
      <c r="AP266" s="7" t="s">
        <v>23</v>
      </c>
    </row>
    <row r="267" spans="11:42">
      <c r="K267" s="21">
        <v>263</v>
      </c>
      <c r="L267" s="24" t="str">
        <f t="shared" si="37"/>
        <v/>
      </c>
      <c r="M267" s="24" t="str">
        <f t="shared" si="38"/>
        <v/>
      </c>
      <c r="N267" s="24" t="str">
        <f t="shared" si="39"/>
        <v/>
      </c>
      <c r="O267" s="24" t="str">
        <f t="shared" si="40"/>
        <v/>
      </c>
      <c r="P267" s="24" t="str">
        <f t="shared" si="41"/>
        <v/>
      </c>
      <c r="Q267" s="24" t="str">
        <f t="shared" si="42"/>
        <v/>
      </c>
      <c r="R267" s="24" t="str">
        <f t="shared" si="43"/>
        <v/>
      </c>
      <c r="T267" s="8" t="s">
        <v>23</v>
      </c>
      <c r="U267" s="8" t="s">
        <v>23</v>
      </c>
      <c r="V267" s="8" t="s">
        <v>23</v>
      </c>
      <c r="W267" s="8" t="s">
        <v>23</v>
      </c>
      <c r="X267" s="8" t="s">
        <v>23</v>
      </c>
      <c r="Y267" s="8" t="s">
        <v>23</v>
      </c>
      <c r="Z267" s="8" t="s">
        <v>23</v>
      </c>
      <c r="AB267" s="7" t="s">
        <v>23</v>
      </c>
      <c r="AC267" s="7" t="s">
        <v>23</v>
      </c>
      <c r="AD267" s="7" t="s">
        <v>23</v>
      </c>
      <c r="AE267" s="7" t="s">
        <v>23</v>
      </c>
      <c r="AF267" s="7" t="s">
        <v>23</v>
      </c>
      <c r="AG267" s="7" t="s">
        <v>23</v>
      </c>
      <c r="AH267" s="7" t="s">
        <v>23</v>
      </c>
      <c r="AJ267" s="7" t="s">
        <v>23</v>
      </c>
      <c r="AK267" s="7" t="s">
        <v>23</v>
      </c>
      <c r="AL267" s="7" t="s">
        <v>23</v>
      </c>
      <c r="AM267" s="7" t="s">
        <v>23</v>
      </c>
      <c r="AN267" s="7" t="s">
        <v>23</v>
      </c>
      <c r="AO267" s="7" t="s">
        <v>23</v>
      </c>
      <c r="AP267" s="7" t="s">
        <v>23</v>
      </c>
    </row>
    <row r="268" spans="11:42">
      <c r="K268" s="22">
        <v>264</v>
      </c>
      <c r="L268" s="24" t="str">
        <f t="shared" si="37"/>
        <v/>
      </c>
      <c r="M268" s="24" t="str">
        <f t="shared" si="38"/>
        <v/>
      </c>
      <c r="N268" s="24" t="str">
        <f t="shared" si="39"/>
        <v/>
      </c>
      <c r="O268" s="24" t="str">
        <f t="shared" si="40"/>
        <v/>
      </c>
      <c r="P268" s="24" t="str">
        <f t="shared" si="41"/>
        <v/>
      </c>
      <c r="Q268" s="24" t="str">
        <f t="shared" si="42"/>
        <v/>
      </c>
      <c r="R268" s="24" t="str">
        <f t="shared" si="43"/>
        <v/>
      </c>
      <c r="T268" s="8" t="s">
        <v>23</v>
      </c>
      <c r="U268" s="8" t="s">
        <v>23</v>
      </c>
      <c r="V268" s="8" t="s">
        <v>23</v>
      </c>
      <c r="W268" s="8" t="s">
        <v>23</v>
      </c>
      <c r="X268" s="8" t="s">
        <v>23</v>
      </c>
      <c r="Y268" s="8" t="s">
        <v>23</v>
      </c>
      <c r="Z268" s="8" t="s">
        <v>23</v>
      </c>
      <c r="AB268" s="7" t="s">
        <v>23</v>
      </c>
      <c r="AC268" s="7" t="s">
        <v>23</v>
      </c>
      <c r="AD268" s="7" t="s">
        <v>23</v>
      </c>
      <c r="AE268" s="7" t="s">
        <v>23</v>
      </c>
      <c r="AF268" s="7" t="s">
        <v>23</v>
      </c>
      <c r="AG268" s="7" t="s">
        <v>23</v>
      </c>
      <c r="AH268" s="7" t="s">
        <v>23</v>
      </c>
      <c r="AJ268" s="7" t="s">
        <v>23</v>
      </c>
      <c r="AK268" s="7" t="s">
        <v>23</v>
      </c>
      <c r="AL268" s="7" t="s">
        <v>23</v>
      </c>
      <c r="AM268" s="7" t="s">
        <v>23</v>
      </c>
      <c r="AN268" s="7" t="s">
        <v>23</v>
      </c>
      <c r="AO268" s="7" t="s">
        <v>23</v>
      </c>
      <c r="AP268" s="7" t="s">
        <v>23</v>
      </c>
    </row>
    <row r="269" spans="11:42">
      <c r="K269" s="21">
        <v>265</v>
      </c>
      <c r="L269" s="24" t="str">
        <f t="shared" si="37"/>
        <v/>
      </c>
      <c r="M269" s="24" t="str">
        <f t="shared" si="38"/>
        <v/>
      </c>
      <c r="N269" s="24" t="str">
        <f t="shared" si="39"/>
        <v/>
      </c>
      <c r="O269" s="24" t="str">
        <f t="shared" si="40"/>
        <v/>
      </c>
      <c r="P269" s="24" t="str">
        <f t="shared" si="41"/>
        <v/>
      </c>
      <c r="Q269" s="24" t="str">
        <f t="shared" si="42"/>
        <v/>
      </c>
      <c r="R269" s="24" t="str">
        <f t="shared" si="43"/>
        <v/>
      </c>
      <c r="T269" s="8" t="s">
        <v>23</v>
      </c>
      <c r="U269" s="8" t="s">
        <v>23</v>
      </c>
      <c r="V269" s="8" t="s">
        <v>23</v>
      </c>
      <c r="W269" s="8" t="s">
        <v>23</v>
      </c>
      <c r="X269" s="8" t="s">
        <v>23</v>
      </c>
      <c r="Y269" s="8" t="s">
        <v>23</v>
      </c>
      <c r="Z269" s="8" t="s">
        <v>23</v>
      </c>
      <c r="AB269" s="7" t="s">
        <v>23</v>
      </c>
      <c r="AC269" s="7" t="s">
        <v>23</v>
      </c>
      <c r="AD269" s="7" t="s">
        <v>23</v>
      </c>
      <c r="AE269" s="7" t="s">
        <v>23</v>
      </c>
      <c r="AF269" s="7" t="s">
        <v>23</v>
      </c>
      <c r="AG269" s="7" t="s">
        <v>23</v>
      </c>
      <c r="AH269" s="7" t="s">
        <v>23</v>
      </c>
      <c r="AJ269" s="7" t="s">
        <v>23</v>
      </c>
      <c r="AK269" s="7" t="s">
        <v>23</v>
      </c>
      <c r="AL269" s="7" t="s">
        <v>23</v>
      </c>
      <c r="AM269" s="7" t="s">
        <v>23</v>
      </c>
      <c r="AN269" s="7" t="s">
        <v>23</v>
      </c>
      <c r="AO269" s="7" t="s">
        <v>23</v>
      </c>
      <c r="AP269" s="7" t="s">
        <v>23</v>
      </c>
    </row>
    <row r="270" spans="11:42">
      <c r="K270" s="22">
        <v>266</v>
      </c>
      <c r="L270" s="24" t="str">
        <f t="shared" si="37"/>
        <v/>
      </c>
      <c r="M270" s="24" t="str">
        <f t="shared" si="38"/>
        <v/>
      </c>
      <c r="N270" s="24" t="str">
        <f t="shared" si="39"/>
        <v/>
      </c>
      <c r="O270" s="24" t="str">
        <f t="shared" si="40"/>
        <v/>
      </c>
      <c r="P270" s="24" t="str">
        <f t="shared" si="41"/>
        <v/>
      </c>
      <c r="Q270" s="24" t="str">
        <f t="shared" si="42"/>
        <v/>
      </c>
      <c r="R270" s="24" t="str">
        <f t="shared" si="43"/>
        <v/>
      </c>
      <c r="T270" s="8" t="s">
        <v>23</v>
      </c>
      <c r="U270" s="8" t="s">
        <v>23</v>
      </c>
      <c r="V270" s="8" t="s">
        <v>23</v>
      </c>
      <c r="W270" s="8" t="s">
        <v>23</v>
      </c>
      <c r="X270" s="8" t="s">
        <v>23</v>
      </c>
      <c r="Y270" s="8" t="s">
        <v>23</v>
      </c>
      <c r="Z270" s="8" t="s">
        <v>23</v>
      </c>
      <c r="AB270" s="7" t="s">
        <v>23</v>
      </c>
      <c r="AC270" s="7" t="s">
        <v>23</v>
      </c>
      <c r="AD270" s="7" t="s">
        <v>23</v>
      </c>
      <c r="AE270" s="7" t="s">
        <v>23</v>
      </c>
      <c r="AF270" s="7" t="s">
        <v>23</v>
      </c>
      <c r="AG270" s="7" t="s">
        <v>23</v>
      </c>
      <c r="AH270" s="7" t="s">
        <v>23</v>
      </c>
      <c r="AJ270" s="7" t="s">
        <v>23</v>
      </c>
      <c r="AK270" s="7" t="s">
        <v>23</v>
      </c>
      <c r="AL270" s="7" t="s">
        <v>23</v>
      </c>
      <c r="AM270" s="7" t="s">
        <v>23</v>
      </c>
      <c r="AN270" s="7" t="s">
        <v>23</v>
      </c>
      <c r="AO270" s="7" t="s">
        <v>23</v>
      </c>
      <c r="AP270" s="7" t="s">
        <v>23</v>
      </c>
    </row>
    <row r="271" spans="11:42">
      <c r="K271" s="21">
        <v>267</v>
      </c>
      <c r="L271" s="24" t="str">
        <f t="shared" si="37"/>
        <v/>
      </c>
      <c r="M271" s="24" t="str">
        <f t="shared" si="38"/>
        <v/>
      </c>
      <c r="N271" s="24" t="str">
        <f t="shared" si="39"/>
        <v/>
      </c>
      <c r="O271" s="24" t="str">
        <f t="shared" si="40"/>
        <v/>
      </c>
      <c r="P271" s="24" t="str">
        <f t="shared" si="41"/>
        <v/>
      </c>
      <c r="Q271" s="24" t="str">
        <f t="shared" si="42"/>
        <v/>
      </c>
      <c r="R271" s="24" t="str">
        <f t="shared" si="43"/>
        <v/>
      </c>
      <c r="T271" s="8" t="s">
        <v>23</v>
      </c>
      <c r="U271" s="8" t="s">
        <v>23</v>
      </c>
      <c r="V271" s="8" t="s">
        <v>23</v>
      </c>
      <c r="W271" s="8" t="s">
        <v>23</v>
      </c>
      <c r="X271" s="8" t="s">
        <v>23</v>
      </c>
      <c r="Y271" s="8" t="s">
        <v>23</v>
      </c>
      <c r="Z271" s="8" t="s">
        <v>23</v>
      </c>
      <c r="AB271" s="7" t="s">
        <v>23</v>
      </c>
      <c r="AC271" s="7" t="s">
        <v>23</v>
      </c>
      <c r="AD271" s="7" t="s">
        <v>23</v>
      </c>
      <c r="AE271" s="7" t="s">
        <v>23</v>
      </c>
      <c r="AF271" s="7" t="s">
        <v>23</v>
      </c>
      <c r="AG271" s="7" t="s">
        <v>23</v>
      </c>
      <c r="AH271" s="7" t="s">
        <v>23</v>
      </c>
      <c r="AJ271" s="7" t="s">
        <v>23</v>
      </c>
      <c r="AK271" s="7" t="s">
        <v>23</v>
      </c>
      <c r="AL271" s="7" t="s">
        <v>23</v>
      </c>
      <c r="AM271" s="7" t="s">
        <v>23</v>
      </c>
      <c r="AN271" s="7" t="s">
        <v>23</v>
      </c>
      <c r="AO271" s="7" t="s">
        <v>23</v>
      </c>
      <c r="AP271" s="7" t="s">
        <v>23</v>
      </c>
    </row>
    <row r="272" spans="11:42">
      <c r="K272" s="22">
        <v>268</v>
      </c>
      <c r="L272" s="24" t="str">
        <f t="shared" si="37"/>
        <v/>
      </c>
      <c r="M272" s="24" t="str">
        <f t="shared" si="38"/>
        <v/>
      </c>
      <c r="N272" s="24" t="str">
        <f t="shared" si="39"/>
        <v/>
      </c>
      <c r="O272" s="24" t="str">
        <f t="shared" si="40"/>
        <v/>
      </c>
      <c r="P272" s="24" t="str">
        <f t="shared" si="41"/>
        <v/>
      </c>
      <c r="Q272" s="24" t="str">
        <f t="shared" si="42"/>
        <v/>
      </c>
      <c r="R272" s="24" t="str">
        <f t="shared" si="43"/>
        <v/>
      </c>
      <c r="T272" s="8" t="s">
        <v>23</v>
      </c>
      <c r="U272" s="8" t="s">
        <v>23</v>
      </c>
      <c r="V272" s="8" t="s">
        <v>23</v>
      </c>
      <c r="W272" s="8" t="s">
        <v>23</v>
      </c>
      <c r="X272" s="8" t="s">
        <v>23</v>
      </c>
      <c r="Y272" s="8" t="s">
        <v>23</v>
      </c>
      <c r="Z272" s="8" t="s">
        <v>23</v>
      </c>
      <c r="AB272" s="7" t="s">
        <v>23</v>
      </c>
      <c r="AC272" s="7" t="s">
        <v>23</v>
      </c>
      <c r="AD272" s="7" t="s">
        <v>23</v>
      </c>
      <c r="AE272" s="7" t="s">
        <v>23</v>
      </c>
      <c r="AF272" s="7" t="s">
        <v>23</v>
      </c>
      <c r="AG272" s="7" t="s">
        <v>23</v>
      </c>
      <c r="AH272" s="7" t="s">
        <v>23</v>
      </c>
      <c r="AJ272" s="7" t="s">
        <v>23</v>
      </c>
      <c r="AK272" s="7" t="s">
        <v>23</v>
      </c>
      <c r="AL272" s="7" t="s">
        <v>23</v>
      </c>
      <c r="AM272" s="7" t="s">
        <v>23</v>
      </c>
      <c r="AN272" s="7" t="s">
        <v>23</v>
      </c>
      <c r="AO272" s="7" t="s">
        <v>23</v>
      </c>
      <c r="AP272" s="7" t="s">
        <v>23</v>
      </c>
    </row>
    <row r="273" spans="11:42">
      <c r="K273" s="21">
        <v>269</v>
      </c>
      <c r="L273" s="24" t="str">
        <f t="shared" si="37"/>
        <v/>
      </c>
      <c r="M273" s="24" t="str">
        <f t="shared" si="38"/>
        <v/>
      </c>
      <c r="N273" s="24" t="str">
        <f t="shared" si="39"/>
        <v/>
      </c>
      <c r="O273" s="24" t="str">
        <f t="shared" si="40"/>
        <v/>
      </c>
      <c r="P273" s="24" t="str">
        <f t="shared" si="41"/>
        <v/>
      </c>
      <c r="Q273" s="24" t="str">
        <f t="shared" si="42"/>
        <v/>
      </c>
      <c r="R273" s="24" t="str">
        <f t="shared" si="43"/>
        <v/>
      </c>
      <c r="T273" s="8" t="s">
        <v>23</v>
      </c>
      <c r="U273" s="8" t="s">
        <v>23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B273" s="7" t="s">
        <v>23</v>
      </c>
      <c r="AC273" s="7" t="s">
        <v>23</v>
      </c>
      <c r="AD273" s="7" t="s">
        <v>23</v>
      </c>
      <c r="AE273" s="7" t="s">
        <v>23</v>
      </c>
      <c r="AF273" s="7" t="s">
        <v>23</v>
      </c>
      <c r="AG273" s="7" t="s">
        <v>23</v>
      </c>
      <c r="AH273" s="7" t="s">
        <v>23</v>
      </c>
      <c r="AJ273" s="7" t="s">
        <v>23</v>
      </c>
      <c r="AK273" s="7" t="s">
        <v>23</v>
      </c>
      <c r="AL273" s="7" t="s">
        <v>23</v>
      </c>
      <c r="AM273" s="7" t="s">
        <v>23</v>
      </c>
      <c r="AN273" s="7" t="s">
        <v>23</v>
      </c>
      <c r="AO273" s="7" t="s">
        <v>23</v>
      </c>
      <c r="AP273" s="7" t="s">
        <v>23</v>
      </c>
    </row>
    <row r="274" spans="11:42">
      <c r="K274" s="22">
        <v>270</v>
      </c>
      <c r="L274" s="24" t="str">
        <f t="shared" si="37"/>
        <v/>
      </c>
      <c r="M274" s="24" t="str">
        <f t="shared" si="38"/>
        <v/>
      </c>
      <c r="N274" s="24" t="str">
        <f t="shared" si="39"/>
        <v/>
      </c>
      <c r="O274" s="24" t="str">
        <f t="shared" si="40"/>
        <v/>
      </c>
      <c r="P274" s="24" t="str">
        <f t="shared" si="41"/>
        <v/>
      </c>
      <c r="Q274" s="24" t="str">
        <f t="shared" si="42"/>
        <v/>
      </c>
      <c r="R274" s="24" t="str">
        <f t="shared" si="43"/>
        <v/>
      </c>
      <c r="T274" s="8" t="s">
        <v>23</v>
      </c>
      <c r="U274" s="8" t="s">
        <v>23</v>
      </c>
      <c r="V274" s="8" t="s">
        <v>23</v>
      </c>
      <c r="W274" s="8" t="s">
        <v>23</v>
      </c>
      <c r="X274" s="8" t="s">
        <v>23</v>
      </c>
      <c r="Y274" s="8" t="s">
        <v>23</v>
      </c>
      <c r="Z274" s="8" t="s">
        <v>23</v>
      </c>
      <c r="AB274" s="7" t="s">
        <v>23</v>
      </c>
      <c r="AC274" s="7" t="s">
        <v>23</v>
      </c>
      <c r="AD274" s="7" t="s">
        <v>23</v>
      </c>
      <c r="AE274" s="7" t="s">
        <v>23</v>
      </c>
      <c r="AF274" s="7" t="s">
        <v>23</v>
      </c>
      <c r="AG274" s="7" t="s">
        <v>23</v>
      </c>
      <c r="AH274" s="7" t="s">
        <v>23</v>
      </c>
      <c r="AJ274" s="7" t="s">
        <v>23</v>
      </c>
      <c r="AK274" s="7" t="s">
        <v>23</v>
      </c>
      <c r="AL274" s="7" t="s">
        <v>23</v>
      </c>
      <c r="AM274" s="7" t="s">
        <v>23</v>
      </c>
      <c r="AN274" s="7" t="s">
        <v>23</v>
      </c>
      <c r="AO274" s="7" t="s">
        <v>23</v>
      </c>
      <c r="AP274" s="7" t="s">
        <v>23</v>
      </c>
    </row>
    <row r="275" spans="11:42">
      <c r="K275" s="21">
        <v>271</v>
      </c>
      <c r="L275" s="24" t="str">
        <f t="shared" si="37"/>
        <v/>
      </c>
      <c r="M275" s="24" t="str">
        <f t="shared" si="38"/>
        <v/>
      </c>
      <c r="N275" s="24" t="str">
        <f t="shared" si="39"/>
        <v/>
      </c>
      <c r="O275" s="24" t="str">
        <f t="shared" si="40"/>
        <v/>
      </c>
      <c r="P275" s="24" t="str">
        <f t="shared" si="41"/>
        <v/>
      </c>
      <c r="Q275" s="24" t="str">
        <f t="shared" si="42"/>
        <v/>
      </c>
      <c r="R275" s="24" t="str">
        <f t="shared" si="43"/>
        <v/>
      </c>
      <c r="T275" s="8" t="s">
        <v>23</v>
      </c>
      <c r="U275" s="8" t="s">
        <v>23</v>
      </c>
      <c r="V275" s="8" t="s">
        <v>23</v>
      </c>
      <c r="W275" s="8" t="s">
        <v>23</v>
      </c>
      <c r="X275" s="8" t="s">
        <v>23</v>
      </c>
      <c r="Y275" s="8" t="s">
        <v>23</v>
      </c>
      <c r="Z275" s="8" t="s">
        <v>23</v>
      </c>
      <c r="AB275" s="7" t="s">
        <v>23</v>
      </c>
      <c r="AC275" s="7" t="s">
        <v>23</v>
      </c>
      <c r="AD275" s="7" t="s">
        <v>23</v>
      </c>
      <c r="AE275" s="7" t="s">
        <v>23</v>
      </c>
      <c r="AF275" s="7" t="s">
        <v>23</v>
      </c>
      <c r="AG275" s="7" t="s">
        <v>23</v>
      </c>
      <c r="AH275" s="7" t="s">
        <v>23</v>
      </c>
      <c r="AJ275" s="7" t="s">
        <v>23</v>
      </c>
      <c r="AK275" s="7" t="s">
        <v>23</v>
      </c>
      <c r="AL275" s="7" t="s">
        <v>23</v>
      </c>
      <c r="AM275" s="7" t="s">
        <v>23</v>
      </c>
      <c r="AN275" s="7" t="s">
        <v>23</v>
      </c>
      <c r="AO275" s="7" t="s">
        <v>23</v>
      </c>
      <c r="AP275" s="7" t="s">
        <v>23</v>
      </c>
    </row>
    <row r="276" spans="11:42">
      <c r="K276" s="22">
        <v>272</v>
      </c>
      <c r="L276" s="24" t="str">
        <f t="shared" si="37"/>
        <v/>
      </c>
      <c r="M276" s="24" t="str">
        <f t="shared" si="38"/>
        <v/>
      </c>
      <c r="N276" s="24" t="str">
        <f t="shared" si="39"/>
        <v/>
      </c>
      <c r="O276" s="24" t="str">
        <f t="shared" si="40"/>
        <v/>
      </c>
      <c r="P276" s="24" t="str">
        <f t="shared" si="41"/>
        <v/>
      </c>
      <c r="Q276" s="24" t="str">
        <f t="shared" si="42"/>
        <v/>
      </c>
      <c r="R276" s="24" t="str">
        <f t="shared" si="43"/>
        <v/>
      </c>
      <c r="T276" s="8" t="s">
        <v>23</v>
      </c>
      <c r="U276" s="8" t="s">
        <v>23</v>
      </c>
      <c r="V276" s="8" t="s">
        <v>23</v>
      </c>
      <c r="W276" s="8" t="s">
        <v>23</v>
      </c>
      <c r="X276" s="8" t="s">
        <v>23</v>
      </c>
      <c r="Y276" s="8" t="s">
        <v>23</v>
      </c>
      <c r="Z276" s="8" t="s">
        <v>23</v>
      </c>
      <c r="AB276" s="7" t="s">
        <v>23</v>
      </c>
      <c r="AC276" s="7" t="s">
        <v>23</v>
      </c>
      <c r="AD276" s="7" t="s">
        <v>23</v>
      </c>
      <c r="AE276" s="7" t="s">
        <v>23</v>
      </c>
      <c r="AF276" s="7" t="s">
        <v>23</v>
      </c>
      <c r="AG276" s="7" t="s">
        <v>23</v>
      </c>
      <c r="AH276" s="7" t="s">
        <v>23</v>
      </c>
      <c r="AJ276" s="7" t="s">
        <v>23</v>
      </c>
      <c r="AK276" s="7" t="s">
        <v>23</v>
      </c>
      <c r="AL276" s="7" t="s">
        <v>23</v>
      </c>
      <c r="AM276" s="7" t="s">
        <v>23</v>
      </c>
      <c r="AN276" s="7" t="s">
        <v>23</v>
      </c>
      <c r="AO276" s="7" t="s">
        <v>23</v>
      </c>
      <c r="AP276" s="7" t="s">
        <v>23</v>
      </c>
    </row>
    <row r="277" spans="11:42">
      <c r="K277" s="21">
        <v>273</v>
      </c>
      <c r="L277" s="24" t="str">
        <f t="shared" si="37"/>
        <v/>
      </c>
      <c r="M277" s="24" t="str">
        <f t="shared" si="38"/>
        <v/>
      </c>
      <c r="N277" s="24" t="str">
        <f t="shared" si="39"/>
        <v/>
      </c>
      <c r="O277" s="24" t="str">
        <f t="shared" si="40"/>
        <v/>
      </c>
      <c r="P277" s="24" t="str">
        <f t="shared" si="41"/>
        <v/>
      </c>
      <c r="Q277" s="24" t="str">
        <f t="shared" si="42"/>
        <v/>
      </c>
      <c r="R277" s="24" t="str">
        <f t="shared" si="43"/>
        <v/>
      </c>
      <c r="T277" s="8" t="s">
        <v>23</v>
      </c>
      <c r="U277" s="8" t="s">
        <v>23</v>
      </c>
      <c r="V277" s="8" t="s">
        <v>23</v>
      </c>
      <c r="W277" s="8" t="s">
        <v>23</v>
      </c>
      <c r="X277" s="8" t="s">
        <v>23</v>
      </c>
      <c r="Y277" s="8" t="s">
        <v>23</v>
      </c>
      <c r="Z277" s="8" t="s">
        <v>23</v>
      </c>
      <c r="AB277" s="7" t="s">
        <v>23</v>
      </c>
      <c r="AC277" s="7" t="s">
        <v>23</v>
      </c>
      <c r="AD277" s="7" t="s">
        <v>23</v>
      </c>
      <c r="AE277" s="7" t="s">
        <v>23</v>
      </c>
      <c r="AF277" s="7" t="s">
        <v>23</v>
      </c>
      <c r="AG277" s="7" t="s">
        <v>23</v>
      </c>
      <c r="AH277" s="7" t="s">
        <v>23</v>
      </c>
      <c r="AJ277" s="7" t="s">
        <v>23</v>
      </c>
      <c r="AK277" s="7" t="s">
        <v>23</v>
      </c>
      <c r="AL277" s="7" t="s">
        <v>23</v>
      </c>
      <c r="AM277" s="7" t="s">
        <v>23</v>
      </c>
      <c r="AN277" s="7" t="s">
        <v>23</v>
      </c>
      <c r="AO277" s="7" t="s">
        <v>23</v>
      </c>
      <c r="AP277" s="7" t="s">
        <v>23</v>
      </c>
    </row>
    <row r="278" spans="11:42">
      <c r="K278" s="22">
        <v>274</v>
      </c>
      <c r="L278" s="24" t="str">
        <f t="shared" si="37"/>
        <v/>
      </c>
      <c r="M278" s="24" t="str">
        <f t="shared" si="38"/>
        <v/>
      </c>
      <c r="N278" s="24" t="str">
        <f t="shared" si="39"/>
        <v/>
      </c>
      <c r="O278" s="24" t="str">
        <f t="shared" si="40"/>
        <v/>
      </c>
      <c r="P278" s="24" t="str">
        <f t="shared" si="41"/>
        <v/>
      </c>
      <c r="Q278" s="24" t="str">
        <f t="shared" si="42"/>
        <v/>
      </c>
      <c r="R278" s="24" t="str">
        <f t="shared" si="43"/>
        <v/>
      </c>
      <c r="T278" s="8" t="s">
        <v>23</v>
      </c>
      <c r="U278" s="8" t="s">
        <v>23</v>
      </c>
      <c r="V278" s="8" t="s">
        <v>23</v>
      </c>
      <c r="W278" s="8" t="s">
        <v>23</v>
      </c>
      <c r="X278" s="8" t="s">
        <v>23</v>
      </c>
      <c r="Y278" s="8" t="s">
        <v>23</v>
      </c>
      <c r="Z278" s="8" t="s">
        <v>23</v>
      </c>
      <c r="AB278" s="7" t="s">
        <v>23</v>
      </c>
      <c r="AC278" s="7" t="s">
        <v>23</v>
      </c>
      <c r="AD278" s="7" t="s">
        <v>23</v>
      </c>
      <c r="AE278" s="7" t="s">
        <v>23</v>
      </c>
      <c r="AF278" s="7" t="s">
        <v>23</v>
      </c>
      <c r="AG278" s="7" t="s">
        <v>23</v>
      </c>
      <c r="AH278" s="7" t="s">
        <v>23</v>
      </c>
      <c r="AJ278" s="7" t="s">
        <v>23</v>
      </c>
      <c r="AK278" s="7" t="s">
        <v>23</v>
      </c>
      <c r="AL278" s="7" t="s">
        <v>23</v>
      </c>
      <c r="AM278" s="7" t="s">
        <v>23</v>
      </c>
      <c r="AN278" s="7" t="s">
        <v>23</v>
      </c>
      <c r="AO278" s="7" t="s">
        <v>23</v>
      </c>
      <c r="AP278" s="7" t="s">
        <v>23</v>
      </c>
    </row>
    <row r="279" spans="11:42">
      <c r="K279" s="21">
        <v>275</v>
      </c>
      <c r="L279" s="24" t="str">
        <f t="shared" si="37"/>
        <v/>
      </c>
      <c r="M279" s="24" t="str">
        <f t="shared" si="38"/>
        <v/>
      </c>
      <c r="N279" s="24" t="str">
        <f t="shared" si="39"/>
        <v/>
      </c>
      <c r="O279" s="24" t="str">
        <f t="shared" si="40"/>
        <v/>
      </c>
      <c r="P279" s="24" t="str">
        <f t="shared" si="41"/>
        <v/>
      </c>
      <c r="Q279" s="24" t="str">
        <f t="shared" si="42"/>
        <v/>
      </c>
      <c r="R279" s="24" t="str">
        <f t="shared" si="43"/>
        <v/>
      </c>
      <c r="T279" s="8" t="s">
        <v>23</v>
      </c>
      <c r="U279" s="8" t="s">
        <v>23</v>
      </c>
      <c r="V279" s="8" t="s">
        <v>23</v>
      </c>
      <c r="W279" s="8" t="s">
        <v>23</v>
      </c>
      <c r="X279" s="8" t="s">
        <v>23</v>
      </c>
      <c r="Y279" s="8" t="s">
        <v>23</v>
      </c>
      <c r="Z279" s="8" t="s">
        <v>23</v>
      </c>
      <c r="AB279" s="7" t="s">
        <v>23</v>
      </c>
      <c r="AC279" s="7" t="s">
        <v>23</v>
      </c>
      <c r="AD279" s="7" t="s">
        <v>23</v>
      </c>
      <c r="AE279" s="7" t="s">
        <v>23</v>
      </c>
      <c r="AF279" s="7" t="s">
        <v>23</v>
      </c>
      <c r="AG279" s="7" t="s">
        <v>23</v>
      </c>
      <c r="AH279" s="7" t="s">
        <v>23</v>
      </c>
      <c r="AJ279" s="7" t="s">
        <v>23</v>
      </c>
      <c r="AK279" s="7" t="s">
        <v>23</v>
      </c>
      <c r="AL279" s="7" t="s">
        <v>23</v>
      </c>
      <c r="AM279" s="7" t="s">
        <v>23</v>
      </c>
      <c r="AN279" s="7" t="s">
        <v>23</v>
      </c>
      <c r="AO279" s="7" t="s">
        <v>23</v>
      </c>
      <c r="AP279" s="7" t="s">
        <v>23</v>
      </c>
    </row>
    <row r="280" spans="11:42">
      <c r="K280" s="22">
        <v>276</v>
      </c>
      <c r="L280" s="24" t="str">
        <f t="shared" si="37"/>
        <v/>
      </c>
      <c r="M280" s="24" t="str">
        <f t="shared" si="38"/>
        <v/>
      </c>
      <c r="N280" s="24" t="str">
        <f t="shared" si="39"/>
        <v/>
      </c>
      <c r="O280" s="24" t="str">
        <f t="shared" si="40"/>
        <v/>
      </c>
      <c r="P280" s="24" t="str">
        <f t="shared" si="41"/>
        <v/>
      </c>
      <c r="Q280" s="24" t="str">
        <f t="shared" si="42"/>
        <v/>
      </c>
      <c r="R280" s="24" t="str">
        <f t="shared" si="43"/>
        <v/>
      </c>
      <c r="T280" s="8" t="s">
        <v>23</v>
      </c>
      <c r="U280" s="8" t="s">
        <v>23</v>
      </c>
      <c r="V280" s="8" t="s">
        <v>23</v>
      </c>
      <c r="W280" s="8" t="s">
        <v>23</v>
      </c>
      <c r="X280" s="8" t="s">
        <v>23</v>
      </c>
      <c r="Y280" s="8" t="s">
        <v>23</v>
      </c>
      <c r="Z280" s="8" t="s">
        <v>23</v>
      </c>
      <c r="AB280" s="7" t="s">
        <v>23</v>
      </c>
      <c r="AC280" s="7" t="s">
        <v>23</v>
      </c>
      <c r="AD280" s="7" t="s">
        <v>23</v>
      </c>
      <c r="AE280" s="7" t="s">
        <v>23</v>
      </c>
      <c r="AF280" s="7" t="s">
        <v>23</v>
      </c>
      <c r="AG280" s="7" t="s">
        <v>23</v>
      </c>
      <c r="AH280" s="7" t="s">
        <v>23</v>
      </c>
      <c r="AJ280" s="7" t="s">
        <v>23</v>
      </c>
      <c r="AK280" s="7" t="s">
        <v>23</v>
      </c>
      <c r="AL280" s="7" t="s">
        <v>23</v>
      </c>
      <c r="AM280" s="7" t="s">
        <v>23</v>
      </c>
      <c r="AN280" s="7" t="s">
        <v>23</v>
      </c>
      <c r="AO280" s="7" t="s">
        <v>23</v>
      </c>
      <c r="AP280" s="7" t="s">
        <v>23</v>
      </c>
    </row>
    <row r="281" spans="11:42">
      <c r="K281" s="21">
        <v>277</v>
      </c>
      <c r="L281" s="24" t="str">
        <f t="shared" si="37"/>
        <v/>
      </c>
      <c r="M281" s="24" t="str">
        <f t="shared" si="38"/>
        <v/>
      </c>
      <c r="N281" s="24" t="str">
        <f t="shared" si="39"/>
        <v/>
      </c>
      <c r="O281" s="24" t="str">
        <f t="shared" si="40"/>
        <v/>
      </c>
      <c r="P281" s="24" t="str">
        <f t="shared" si="41"/>
        <v/>
      </c>
      <c r="Q281" s="24" t="str">
        <f t="shared" si="42"/>
        <v/>
      </c>
      <c r="R281" s="24" t="str">
        <f t="shared" si="43"/>
        <v/>
      </c>
      <c r="T281" s="8" t="s">
        <v>23</v>
      </c>
      <c r="U281" s="8" t="s">
        <v>23</v>
      </c>
      <c r="V281" s="8" t="s">
        <v>23</v>
      </c>
      <c r="W281" s="8" t="s">
        <v>23</v>
      </c>
      <c r="X281" s="8" t="s">
        <v>23</v>
      </c>
      <c r="Y281" s="8" t="s">
        <v>23</v>
      </c>
      <c r="Z281" s="8" t="s">
        <v>23</v>
      </c>
      <c r="AB281" s="7" t="s">
        <v>23</v>
      </c>
      <c r="AC281" s="7" t="s">
        <v>23</v>
      </c>
      <c r="AD281" s="7" t="s">
        <v>23</v>
      </c>
      <c r="AE281" s="7" t="s">
        <v>23</v>
      </c>
      <c r="AF281" s="7" t="s">
        <v>23</v>
      </c>
      <c r="AG281" s="7" t="s">
        <v>23</v>
      </c>
      <c r="AH281" s="7" t="s">
        <v>23</v>
      </c>
      <c r="AJ281" s="7" t="s">
        <v>23</v>
      </c>
      <c r="AK281" s="7" t="s">
        <v>23</v>
      </c>
      <c r="AL281" s="7" t="s">
        <v>23</v>
      </c>
      <c r="AM281" s="7" t="s">
        <v>23</v>
      </c>
      <c r="AN281" s="7" t="s">
        <v>23</v>
      </c>
      <c r="AO281" s="7" t="s">
        <v>23</v>
      </c>
      <c r="AP281" s="7" t="s">
        <v>23</v>
      </c>
    </row>
    <row r="282" spans="11:42">
      <c r="K282" s="22">
        <v>278</v>
      </c>
      <c r="L282" s="24" t="str">
        <f t="shared" si="37"/>
        <v/>
      </c>
      <c r="M282" s="24" t="str">
        <f t="shared" si="38"/>
        <v/>
      </c>
      <c r="N282" s="24" t="str">
        <f t="shared" si="39"/>
        <v/>
      </c>
      <c r="O282" s="24" t="str">
        <f t="shared" si="40"/>
        <v/>
      </c>
      <c r="P282" s="24" t="str">
        <f t="shared" si="41"/>
        <v/>
      </c>
      <c r="Q282" s="24" t="str">
        <f t="shared" si="42"/>
        <v/>
      </c>
      <c r="R282" s="24" t="str">
        <f t="shared" si="43"/>
        <v/>
      </c>
      <c r="T282" s="8" t="s">
        <v>23</v>
      </c>
      <c r="U282" s="8" t="s">
        <v>23</v>
      </c>
      <c r="V282" s="8" t="s">
        <v>23</v>
      </c>
      <c r="W282" s="8" t="s">
        <v>23</v>
      </c>
      <c r="X282" s="8" t="s">
        <v>23</v>
      </c>
      <c r="Y282" s="8" t="s">
        <v>23</v>
      </c>
      <c r="Z282" s="8" t="s">
        <v>23</v>
      </c>
      <c r="AB282" s="7" t="s">
        <v>23</v>
      </c>
      <c r="AC282" s="7" t="s">
        <v>23</v>
      </c>
      <c r="AD282" s="7" t="s">
        <v>23</v>
      </c>
      <c r="AE282" s="7" t="s">
        <v>23</v>
      </c>
      <c r="AF282" s="7" t="s">
        <v>23</v>
      </c>
      <c r="AG282" s="7" t="s">
        <v>23</v>
      </c>
      <c r="AH282" s="7" t="s">
        <v>23</v>
      </c>
      <c r="AJ282" s="7" t="s">
        <v>23</v>
      </c>
      <c r="AK282" s="7" t="s">
        <v>23</v>
      </c>
      <c r="AL282" s="7" t="s">
        <v>23</v>
      </c>
      <c r="AM282" s="7" t="s">
        <v>23</v>
      </c>
      <c r="AN282" s="7" t="s">
        <v>23</v>
      </c>
      <c r="AO282" s="7" t="s">
        <v>23</v>
      </c>
      <c r="AP282" s="7" t="s">
        <v>23</v>
      </c>
    </row>
    <row r="283" spans="11:42">
      <c r="K283" s="21">
        <v>279</v>
      </c>
      <c r="L283" s="24" t="str">
        <f t="shared" si="37"/>
        <v/>
      </c>
      <c r="M283" s="24" t="str">
        <f t="shared" si="38"/>
        <v/>
      </c>
      <c r="N283" s="24" t="str">
        <f t="shared" si="39"/>
        <v/>
      </c>
      <c r="O283" s="24" t="str">
        <f t="shared" si="40"/>
        <v/>
      </c>
      <c r="P283" s="24" t="str">
        <f t="shared" si="41"/>
        <v/>
      </c>
      <c r="Q283" s="24" t="str">
        <f t="shared" si="42"/>
        <v/>
      </c>
      <c r="R283" s="24" t="str">
        <f t="shared" si="43"/>
        <v/>
      </c>
      <c r="T283" s="8" t="s">
        <v>23</v>
      </c>
      <c r="U283" s="8" t="s">
        <v>23</v>
      </c>
      <c r="V283" s="8" t="s">
        <v>23</v>
      </c>
      <c r="W283" s="8" t="s">
        <v>23</v>
      </c>
      <c r="X283" s="8" t="s">
        <v>23</v>
      </c>
      <c r="Y283" s="8" t="s">
        <v>23</v>
      </c>
      <c r="Z283" s="8" t="s">
        <v>23</v>
      </c>
      <c r="AB283" s="7" t="s">
        <v>23</v>
      </c>
      <c r="AC283" s="7" t="s">
        <v>23</v>
      </c>
      <c r="AD283" s="7" t="s">
        <v>23</v>
      </c>
      <c r="AE283" s="7" t="s">
        <v>23</v>
      </c>
      <c r="AF283" s="7" t="s">
        <v>23</v>
      </c>
      <c r="AG283" s="7" t="s">
        <v>23</v>
      </c>
      <c r="AH283" s="7" t="s">
        <v>23</v>
      </c>
      <c r="AJ283" s="7" t="s">
        <v>23</v>
      </c>
      <c r="AK283" s="7" t="s">
        <v>23</v>
      </c>
      <c r="AL283" s="7" t="s">
        <v>23</v>
      </c>
      <c r="AM283" s="7" t="s">
        <v>23</v>
      </c>
      <c r="AN283" s="7" t="s">
        <v>23</v>
      </c>
      <c r="AO283" s="7" t="s">
        <v>23</v>
      </c>
      <c r="AP283" s="7" t="s">
        <v>23</v>
      </c>
    </row>
    <row r="284" spans="11:42">
      <c r="K284" s="22">
        <v>280</v>
      </c>
      <c r="L284" s="24" t="str">
        <f t="shared" si="37"/>
        <v/>
      </c>
      <c r="M284" s="24" t="str">
        <f t="shared" si="38"/>
        <v/>
      </c>
      <c r="N284" s="24" t="str">
        <f t="shared" si="39"/>
        <v/>
      </c>
      <c r="O284" s="24" t="str">
        <f t="shared" si="40"/>
        <v/>
      </c>
      <c r="P284" s="24" t="str">
        <f t="shared" si="41"/>
        <v/>
      </c>
      <c r="Q284" s="24" t="str">
        <f t="shared" si="42"/>
        <v/>
      </c>
      <c r="R284" s="24" t="str">
        <f t="shared" si="43"/>
        <v/>
      </c>
      <c r="T284" s="8" t="s">
        <v>23</v>
      </c>
      <c r="U284" s="8" t="s">
        <v>23</v>
      </c>
      <c r="V284" s="8" t="s">
        <v>23</v>
      </c>
      <c r="W284" s="8" t="s">
        <v>23</v>
      </c>
      <c r="X284" s="8" t="s">
        <v>23</v>
      </c>
      <c r="Y284" s="8" t="s">
        <v>23</v>
      </c>
      <c r="Z284" s="8" t="s">
        <v>23</v>
      </c>
      <c r="AB284" s="7" t="s">
        <v>23</v>
      </c>
      <c r="AC284" s="7" t="s">
        <v>23</v>
      </c>
      <c r="AD284" s="7" t="s">
        <v>23</v>
      </c>
      <c r="AE284" s="7" t="s">
        <v>23</v>
      </c>
      <c r="AF284" s="7" t="s">
        <v>23</v>
      </c>
      <c r="AG284" s="7" t="s">
        <v>23</v>
      </c>
      <c r="AH284" s="7" t="s">
        <v>23</v>
      </c>
      <c r="AJ284" s="7" t="s">
        <v>23</v>
      </c>
      <c r="AK284" s="7" t="s">
        <v>23</v>
      </c>
      <c r="AL284" s="7" t="s">
        <v>23</v>
      </c>
      <c r="AM284" s="7" t="s">
        <v>23</v>
      </c>
      <c r="AN284" s="7" t="s">
        <v>23</v>
      </c>
      <c r="AO284" s="7" t="s">
        <v>23</v>
      </c>
      <c r="AP284" s="7" t="s">
        <v>23</v>
      </c>
    </row>
    <row r="285" spans="11:42">
      <c r="K285" s="21">
        <v>281</v>
      </c>
      <c r="L285" s="24" t="str">
        <f t="shared" si="37"/>
        <v/>
      </c>
      <c r="M285" s="24" t="str">
        <f t="shared" si="38"/>
        <v/>
      </c>
      <c r="N285" s="24" t="str">
        <f t="shared" si="39"/>
        <v/>
      </c>
      <c r="O285" s="24" t="str">
        <f t="shared" si="40"/>
        <v/>
      </c>
      <c r="P285" s="24" t="str">
        <f t="shared" si="41"/>
        <v/>
      </c>
      <c r="Q285" s="24" t="str">
        <f t="shared" si="42"/>
        <v/>
      </c>
      <c r="R285" s="24" t="str">
        <f t="shared" si="43"/>
        <v/>
      </c>
      <c r="T285" s="8" t="s">
        <v>23</v>
      </c>
      <c r="U285" s="8" t="s">
        <v>23</v>
      </c>
      <c r="V285" s="8" t="s">
        <v>23</v>
      </c>
      <c r="W285" s="8" t="s">
        <v>23</v>
      </c>
      <c r="X285" s="8" t="s">
        <v>23</v>
      </c>
      <c r="Y285" s="8" t="s">
        <v>23</v>
      </c>
      <c r="Z285" s="8" t="s">
        <v>23</v>
      </c>
      <c r="AB285" s="7" t="s">
        <v>23</v>
      </c>
      <c r="AC285" s="7" t="s">
        <v>23</v>
      </c>
      <c r="AD285" s="7" t="s">
        <v>23</v>
      </c>
      <c r="AE285" s="7" t="s">
        <v>23</v>
      </c>
      <c r="AF285" s="7" t="s">
        <v>23</v>
      </c>
      <c r="AG285" s="7" t="s">
        <v>23</v>
      </c>
      <c r="AH285" s="7" t="s">
        <v>23</v>
      </c>
      <c r="AJ285" s="7" t="s">
        <v>23</v>
      </c>
      <c r="AK285" s="7" t="s">
        <v>23</v>
      </c>
      <c r="AL285" s="7" t="s">
        <v>23</v>
      </c>
      <c r="AM285" s="7" t="s">
        <v>23</v>
      </c>
      <c r="AN285" s="7" t="s">
        <v>23</v>
      </c>
      <c r="AO285" s="7" t="s">
        <v>23</v>
      </c>
      <c r="AP285" s="7" t="s">
        <v>23</v>
      </c>
    </row>
    <row r="286" spans="11:42">
      <c r="K286" s="22">
        <v>282</v>
      </c>
      <c r="L286" s="24" t="str">
        <f t="shared" si="37"/>
        <v/>
      </c>
      <c r="M286" s="24" t="str">
        <f t="shared" si="38"/>
        <v/>
      </c>
      <c r="N286" s="24" t="str">
        <f t="shared" si="39"/>
        <v/>
      </c>
      <c r="O286" s="24" t="str">
        <f t="shared" si="40"/>
        <v/>
      </c>
      <c r="P286" s="24" t="str">
        <f t="shared" si="41"/>
        <v/>
      </c>
      <c r="Q286" s="24" t="str">
        <f t="shared" si="42"/>
        <v/>
      </c>
      <c r="R286" s="24" t="str">
        <f t="shared" si="43"/>
        <v/>
      </c>
      <c r="T286" s="8" t="s">
        <v>23</v>
      </c>
      <c r="U286" s="8" t="s">
        <v>23</v>
      </c>
      <c r="V286" s="8" t="s">
        <v>23</v>
      </c>
      <c r="W286" s="8" t="s">
        <v>23</v>
      </c>
      <c r="X286" s="8" t="s">
        <v>23</v>
      </c>
      <c r="Y286" s="8" t="s">
        <v>23</v>
      </c>
      <c r="Z286" s="8" t="s">
        <v>23</v>
      </c>
      <c r="AB286" s="7" t="s">
        <v>23</v>
      </c>
      <c r="AC286" s="7" t="s">
        <v>23</v>
      </c>
      <c r="AD286" s="7" t="s">
        <v>23</v>
      </c>
      <c r="AE286" s="7" t="s">
        <v>23</v>
      </c>
      <c r="AF286" s="7" t="s">
        <v>23</v>
      </c>
      <c r="AG286" s="7" t="s">
        <v>23</v>
      </c>
      <c r="AH286" s="7" t="s">
        <v>23</v>
      </c>
      <c r="AJ286" s="7" t="s">
        <v>23</v>
      </c>
      <c r="AK286" s="7" t="s">
        <v>23</v>
      </c>
      <c r="AL286" s="7" t="s">
        <v>23</v>
      </c>
      <c r="AM286" s="7" t="s">
        <v>23</v>
      </c>
      <c r="AN286" s="7" t="s">
        <v>23</v>
      </c>
      <c r="AO286" s="7" t="s">
        <v>23</v>
      </c>
      <c r="AP286" s="7" t="s">
        <v>23</v>
      </c>
    </row>
    <row r="287" spans="11:42">
      <c r="K287" s="21">
        <v>283</v>
      </c>
      <c r="L287" s="24" t="str">
        <f t="shared" si="37"/>
        <v/>
      </c>
      <c r="M287" s="24" t="str">
        <f t="shared" si="38"/>
        <v/>
      </c>
      <c r="N287" s="24" t="str">
        <f t="shared" si="39"/>
        <v/>
      </c>
      <c r="O287" s="24" t="str">
        <f t="shared" si="40"/>
        <v/>
      </c>
      <c r="P287" s="24" t="str">
        <f t="shared" si="41"/>
        <v/>
      </c>
      <c r="Q287" s="24" t="str">
        <f t="shared" si="42"/>
        <v/>
      </c>
      <c r="R287" s="24" t="str">
        <f t="shared" si="43"/>
        <v/>
      </c>
      <c r="T287" s="8" t="s">
        <v>23</v>
      </c>
      <c r="U287" s="8" t="s">
        <v>23</v>
      </c>
      <c r="V287" s="8" t="s">
        <v>23</v>
      </c>
      <c r="W287" s="8" t="s">
        <v>23</v>
      </c>
      <c r="X287" s="8" t="s">
        <v>23</v>
      </c>
      <c r="Y287" s="8" t="s">
        <v>23</v>
      </c>
      <c r="Z287" s="8" t="s">
        <v>23</v>
      </c>
      <c r="AB287" s="7" t="s">
        <v>23</v>
      </c>
      <c r="AC287" s="7" t="s">
        <v>23</v>
      </c>
      <c r="AD287" s="7" t="s">
        <v>23</v>
      </c>
      <c r="AE287" s="7" t="s">
        <v>23</v>
      </c>
      <c r="AF287" s="7" t="s">
        <v>23</v>
      </c>
      <c r="AG287" s="7" t="s">
        <v>23</v>
      </c>
      <c r="AH287" s="7" t="s">
        <v>23</v>
      </c>
      <c r="AJ287" s="7" t="s">
        <v>23</v>
      </c>
      <c r="AK287" s="7" t="s">
        <v>23</v>
      </c>
      <c r="AL287" s="7" t="s">
        <v>23</v>
      </c>
      <c r="AM287" s="7" t="s">
        <v>23</v>
      </c>
      <c r="AN287" s="7" t="s">
        <v>23</v>
      </c>
      <c r="AO287" s="7" t="s">
        <v>23</v>
      </c>
      <c r="AP287" s="7" t="s">
        <v>23</v>
      </c>
    </row>
    <row r="288" spans="11:42">
      <c r="K288" s="22">
        <v>284</v>
      </c>
      <c r="L288" s="24" t="str">
        <f t="shared" si="37"/>
        <v/>
      </c>
      <c r="M288" s="24" t="str">
        <f t="shared" si="38"/>
        <v/>
      </c>
      <c r="N288" s="24" t="str">
        <f t="shared" si="39"/>
        <v/>
      </c>
      <c r="O288" s="24" t="str">
        <f t="shared" si="40"/>
        <v/>
      </c>
      <c r="P288" s="24" t="str">
        <f t="shared" si="41"/>
        <v/>
      </c>
      <c r="Q288" s="24" t="str">
        <f t="shared" si="42"/>
        <v/>
      </c>
      <c r="R288" s="24" t="str">
        <f t="shared" si="43"/>
        <v/>
      </c>
      <c r="T288" s="8" t="s">
        <v>23</v>
      </c>
      <c r="U288" s="8" t="s">
        <v>23</v>
      </c>
      <c r="V288" s="8" t="s">
        <v>23</v>
      </c>
      <c r="W288" s="8" t="s">
        <v>23</v>
      </c>
      <c r="X288" s="8" t="s">
        <v>23</v>
      </c>
      <c r="Y288" s="8" t="s">
        <v>23</v>
      </c>
      <c r="Z288" s="8" t="s">
        <v>23</v>
      </c>
      <c r="AB288" s="7" t="s">
        <v>23</v>
      </c>
      <c r="AC288" s="7" t="s">
        <v>23</v>
      </c>
      <c r="AD288" s="7" t="s">
        <v>23</v>
      </c>
      <c r="AE288" s="7" t="s">
        <v>23</v>
      </c>
      <c r="AF288" s="7" t="s">
        <v>23</v>
      </c>
      <c r="AG288" s="7" t="s">
        <v>23</v>
      </c>
      <c r="AH288" s="7" t="s">
        <v>23</v>
      </c>
      <c r="AJ288" s="7" t="s">
        <v>23</v>
      </c>
      <c r="AK288" s="7" t="s">
        <v>23</v>
      </c>
      <c r="AL288" s="7" t="s">
        <v>23</v>
      </c>
      <c r="AM288" s="7" t="s">
        <v>23</v>
      </c>
      <c r="AN288" s="7" t="s">
        <v>23</v>
      </c>
      <c r="AO288" s="7" t="s">
        <v>23</v>
      </c>
      <c r="AP288" s="7" t="s">
        <v>23</v>
      </c>
    </row>
    <row r="289" spans="9:42">
      <c r="K289" s="21">
        <v>285</v>
      </c>
      <c r="L289" s="24" t="str">
        <f t="shared" si="37"/>
        <v/>
      </c>
      <c r="M289" s="24" t="str">
        <f t="shared" si="38"/>
        <v/>
      </c>
      <c r="N289" s="24" t="str">
        <f t="shared" si="39"/>
        <v/>
      </c>
      <c r="O289" s="24" t="str">
        <f t="shared" si="40"/>
        <v/>
      </c>
      <c r="P289" s="24" t="str">
        <f t="shared" si="41"/>
        <v/>
      </c>
      <c r="Q289" s="24" t="str">
        <f t="shared" si="42"/>
        <v/>
      </c>
      <c r="R289" s="24" t="str">
        <f t="shared" si="43"/>
        <v/>
      </c>
      <c r="T289" s="8" t="s">
        <v>23</v>
      </c>
      <c r="U289" s="8" t="s">
        <v>23</v>
      </c>
      <c r="V289" s="8" t="s">
        <v>23</v>
      </c>
      <c r="W289" s="8" t="s">
        <v>23</v>
      </c>
      <c r="X289" s="8" t="s">
        <v>23</v>
      </c>
      <c r="Y289" s="8" t="s">
        <v>23</v>
      </c>
      <c r="Z289" s="8" t="s">
        <v>23</v>
      </c>
      <c r="AB289" s="7" t="s">
        <v>23</v>
      </c>
      <c r="AC289" s="7" t="s">
        <v>23</v>
      </c>
      <c r="AD289" s="7" t="s">
        <v>23</v>
      </c>
      <c r="AE289" s="7" t="s">
        <v>23</v>
      </c>
      <c r="AF289" s="7" t="s">
        <v>23</v>
      </c>
      <c r="AG289" s="7" t="s">
        <v>23</v>
      </c>
      <c r="AH289" s="7" t="s">
        <v>23</v>
      </c>
      <c r="AJ289" s="7" t="s">
        <v>23</v>
      </c>
      <c r="AK289" s="7" t="s">
        <v>23</v>
      </c>
      <c r="AL289" s="7" t="s">
        <v>23</v>
      </c>
      <c r="AM289" s="7" t="s">
        <v>23</v>
      </c>
      <c r="AN289" s="7" t="s">
        <v>23</v>
      </c>
      <c r="AO289" s="7" t="s">
        <v>23</v>
      </c>
      <c r="AP289" s="7" t="s">
        <v>23</v>
      </c>
    </row>
    <row r="290" spans="9:42">
      <c r="K290" s="22">
        <v>286</v>
      </c>
      <c r="L290" s="24" t="str">
        <f t="shared" si="37"/>
        <v/>
      </c>
      <c r="M290" s="24" t="str">
        <f t="shared" si="38"/>
        <v/>
      </c>
      <c r="N290" s="24" t="str">
        <f t="shared" si="39"/>
        <v/>
      </c>
      <c r="O290" s="24" t="str">
        <f t="shared" si="40"/>
        <v/>
      </c>
      <c r="P290" s="24" t="str">
        <f t="shared" si="41"/>
        <v/>
      </c>
      <c r="Q290" s="24" t="str">
        <f t="shared" si="42"/>
        <v/>
      </c>
      <c r="R290" s="24" t="str">
        <f t="shared" si="43"/>
        <v/>
      </c>
      <c r="T290" s="8" t="s">
        <v>23</v>
      </c>
      <c r="U290" s="8" t="s">
        <v>23</v>
      </c>
      <c r="V290" s="8" t="s">
        <v>23</v>
      </c>
      <c r="W290" s="8" t="s">
        <v>23</v>
      </c>
      <c r="X290" s="8" t="s">
        <v>23</v>
      </c>
      <c r="Y290" s="8" t="s">
        <v>23</v>
      </c>
      <c r="Z290" s="8" t="s">
        <v>23</v>
      </c>
      <c r="AB290" s="7" t="s">
        <v>23</v>
      </c>
      <c r="AC290" s="7" t="s">
        <v>23</v>
      </c>
      <c r="AD290" s="7" t="s">
        <v>23</v>
      </c>
      <c r="AE290" s="7" t="s">
        <v>23</v>
      </c>
      <c r="AF290" s="7" t="s">
        <v>23</v>
      </c>
      <c r="AG290" s="7" t="s">
        <v>23</v>
      </c>
      <c r="AH290" s="7" t="s">
        <v>23</v>
      </c>
      <c r="AJ290" s="7" t="s">
        <v>23</v>
      </c>
      <c r="AK290" s="7" t="s">
        <v>23</v>
      </c>
      <c r="AL290" s="7" t="s">
        <v>23</v>
      </c>
      <c r="AM290" s="7" t="s">
        <v>23</v>
      </c>
      <c r="AN290" s="7" t="s">
        <v>23</v>
      </c>
      <c r="AO290" s="7" t="s">
        <v>23</v>
      </c>
      <c r="AP290" s="7" t="s">
        <v>23</v>
      </c>
    </row>
    <row r="291" spans="9:42">
      <c r="K291" s="21">
        <v>287</v>
      </c>
      <c r="L291" s="24" t="str">
        <f t="shared" si="37"/>
        <v/>
      </c>
      <c r="M291" s="24" t="str">
        <f t="shared" si="38"/>
        <v/>
      </c>
      <c r="N291" s="24" t="str">
        <f t="shared" si="39"/>
        <v/>
      </c>
      <c r="O291" s="24" t="str">
        <f t="shared" si="40"/>
        <v/>
      </c>
      <c r="P291" s="24" t="str">
        <f t="shared" si="41"/>
        <v/>
      </c>
      <c r="Q291" s="24" t="str">
        <f t="shared" si="42"/>
        <v/>
      </c>
      <c r="R291" s="24" t="str">
        <f t="shared" si="43"/>
        <v/>
      </c>
      <c r="T291" s="8" t="s">
        <v>23</v>
      </c>
      <c r="U291" s="8" t="s">
        <v>23</v>
      </c>
      <c r="V291" s="8" t="s">
        <v>23</v>
      </c>
      <c r="W291" s="8" t="s">
        <v>23</v>
      </c>
      <c r="X291" s="8" t="s">
        <v>23</v>
      </c>
      <c r="Y291" s="8" t="s">
        <v>23</v>
      </c>
      <c r="Z291" s="8" t="s">
        <v>23</v>
      </c>
      <c r="AB291" s="7" t="s">
        <v>23</v>
      </c>
      <c r="AC291" s="7" t="s">
        <v>23</v>
      </c>
      <c r="AD291" s="7" t="s">
        <v>23</v>
      </c>
      <c r="AE291" s="7" t="s">
        <v>23</v>
      </c>
      <c r="AF291" s="7" t="s">
        <v>23</v>
      </c>
      <c r="AG291" s="7" t="s">
        <v>23</v>
      </c>
      <c r="AH291" s="7" t="s">
        <v>23</v>
      </c>
      <c r="AJ291" s="7" t="s">
        <v>23</v>
      </c>
      <c r="AK291" s="7" t="s">
        <v>23</v>
      </c>
      <c r="AL291" s="7" t="s">
        <v>23</v>
      </c>
      <c r="AM291" s="7" t="s">
        <v>23</v>
      </c>
      <c r="AN291" s="7" t="s">
        <v>23</v>
      </c>
      <c r="AO291" s="7" t="s">
        <v>23</v>
      </c>
      <c r="AP291" s="7" t="s">
        <v>23</v>
      </c>
    </row>
    <row r="292" spans="9:42">
      <c r="K292" s="22">
        <v>288</v>
      </c>
      <c r="L292" s="24" t="str">
        <f t="shared" si="37"/>
        <v/>
      </c>
      <c r="M292" s="24" t="str">
        <f t="shared" si="38"/>
        <v/>
      </c>
      <c r="N292" s="24" t="str">
        <f t="shared" si="39"/>
        <v/>
      </c>
      <c r="O292" s="24" t="str">
        <f t="shared" si="40"/>
        <v/>
      </c>
      <c r="P292" s="24" t="str">
        <f t="shared" si="41"/>
        <v/>
      </c>
      <c r="Q292" s="24" t="str">
        <f t="shared" si="42"/>
        <v/>
      </c>
      <c r="R292" s="24" t="str">
        <f t="shared" si="43"/>
        <v/>
      </c>
      <c r="T292" s="8" t="s">
        <v>23</v>
      </c>
      <c r="U292" s="8" t="s">
        <v>23</v>
      </c>
      <c r="V292" s="8" t="s">
        <v>23</v>
      </c>
      <c r="W292" s="8" t="s">
        <v>23</v>
      </c>
      <c r="X292" s="8" t="s">
        <v>23</v>
      </c>
      <c r="Y292" s="8" t="s">
        <v>23</v>
      </c>
      <c r="Z292" s="8" t="s">
        <v>23</v>
      </c>
      <c r="AB292" s="7" t="s">
        <v>23</v>
      </c>
      <c r="AC292" s="7" t="s">
        <v>23</v>
      </c>
      <c r="AD292" s="7" t="s">
        <v>23</v>
      </c>
      <c r="AE292" s="7" t="s">
        <v>23</v>
      </c>
      <c r="AF292" s="7" t="s">
        <v>23</v>
      </c>
      <c r="AG292" s="7" t="s">
        <v>23</v>
      </c>
      <c r="AH292" s="7" t="s">
        <v>23</v>
      </c>
      <c r="AJ292" s="7" t="s">
        <v>23</v>
      </c>
      <c r="AK292" s="7" t="s">
        <v>23</v>
      </c>
      <c r="AL292" s="7" t="s">
        <v>23</v>
      </c>
      <c r="AM292" s="7" t="s">
        <v>23</v>
      </c>
      <c r="AN292" s="7" t="s">
        <v>23</v>
      </c>
      <c r="AO292" s="7" t="s">
        <v>23</v>
      </c>
      <c r="AP292" s="7" t="s">
        <v>23</v>
      </c>
    </row>
    <row r="293" spans="9:42">
      <c r="K293" s="21">
        <v>289</v>
      </c>
      <c r="L293" s="24" t="str">
        <f t="shared" si="37"/>
        <v/>
      </c>
      <c r="M293" s="24" t="str">
        <f t="shared" si="38"/>
        <v/>
      </c>
      <c r="N293" s="24" t="str">
        <f t="shared" si="39"/>
        <v/>
      </c>
      <c r="O293" s="24" t="str">
        <f t="shared" si="40"/>
        <v/>
      </c>
      <c r="P293" s="24" t="str">
        <f t="shared" si="41"/>
        <v/>
      </c>
      <c r="Q293" s="24" t="str">
        <f t="shared" si="42"/>
        <v/>
      </c>
      <c r="R293" s="24" t="str">
        <f t="shared" si="43"/>
        <v/>
      </c>
      <c r="T293" s="8" t="s">
        <v>23</v>
      </c>
      <c r="U293" s="8" t="s">
        <v>23</v>
      </c>
      <c r="V293" s="8" t="s">
        <v>23</v>
      </c>
      <c r="W293" s="8" t="s">
        <v>23</v>
      </c>
      <c r="X293" s="8" t="s">
        <v>23</v>
      </c>
      <c r="Y293" s="8" t="s">
        <v>23</v>
      </c>
      <c r="Z293" s="8" t="s">
        <v>23</v>
      </c>
      <c r="AB293" s="7" t="s">
        <v>23</v>
      </c>
      <c r="AC293" s="7" t="s">
        <v>23</v>
      </c>
      <c r="AD293" s="7" t="s">
        <v>23</v>
      </c>
      <c r="AE293" s="7" t="s">
        <v>23</v>
      </c>
      <c r="AF293" s="7" t="s">
        <v>23</v>
      </c>
      <c r="AG293" s="7" t="s">
        <v>23</v>
      </c>
      <c r="AH293" s="7" t="s">
        <v>23</v>
      </c>
      <c r="AJ293" s="7" t="s">
        <v>23</v>
      </c>
      <c r="AK293" s="7" t="s">
        <v>23</v>
      </c>
      <c r="AL293" s="7" t="s">
        <v>23</v>
      </c>
      <c r="AM293" s="7" t="s">
        <v>23</v>
      </c>
      <c r="AN293" s="7" t="s">
        <v>23</v>
      </c>
      <c r="AO293" s="7" t="s">
        <v>23</v>
      </c>
      <c r="AP293" s="7" t="s">
        <v>23</v>
      </c>
    </row>
    <row r="294" spans="9:42">
      <c r="K294" s="22">
        <v>290</v>
      </c>
      <c r="L294" s="24" t="str">
        <f t="shared" si="37"/>
        <v/>
      </c>
      <c r="M294" s="24" t="str">
        <f t="shared" si="38"/>
        <v/>
      </c>
      <c r="N294" s="24" t="str">
        <f t="shared" si="39"/>
        <v/>
      </c>
      <c r="O294" s="24" t="str">
        <f t="shared" si="40"/>
        <v/>
      </c>
      <c r="P294" s="24" t="str">
        <f t="shared" si="41"/>
        <v/>
      </c>
      <c r="Q294" s="24" t="str">
        <f t="shared" si="42"/>
        <v/>
      </c>
      <c r="R294" s="24" t="str">
        <f t="shared" si="43"/>
        <v/>
      </c>
      <c r="T294" s="8" t="s">
        <v>23</v>
      </c>
      <c r="U294" s="8" t="s">
        <v>23</v>
      </c>
      <c r="V294" s="8" t="s">
        <v>23</v>
      </c>
      <c r="W294" s="8" t="s">
        <v>23</v>
      </c>
      <c r="X294" s="8" t="s">
        <v>23</v>
      </c>
      <c r="Y294" s="8" t="s">
        <v>23</v>
      </c>
      <c r="Z294" s="8" t="s">
        <v>23</v>
      </c>
      <c r="AB294" s="7" t="s">
        <v>23</v>
      </c>
      <c r="AC294" s="7" t="s">
        <v>23</v>
      </c>
      <c r="AD294" s="7" t="s">
        <v>23</v>
      </c>
      <c r="AE294" s="7" t="s">
        <v>23</v>
      </c>
      <c r="AF294" s="7" t="s">
        <v>23</v>
      </c>
      <c r="AG294" s="7" t="s">
        <v>23</v>
      </c>
      <c r="AH294" s="7" t="s">
        <v>23</v>
      </c>
      <c r="AJ294" s="7" t="s">
        <v>23</v>
      </c>
      <c r="AK294" s="7" t="s">
        <v>23</v>
      </c>
      <c r="AL294" s="7" t="s">
        <v>23</v>
      </c>
      <c r="AM294" s="7" t="s">
        <v>23</v>
      </c>
      <c r="AN294" s="7" t="s">
        <v>23</v>
      </c>
      <c r="AO294" s="7" t="s">
        <v>23</v>
      </c>
      <c r="AP294" s="7" t="s">
        <v>23</v>
      </c>
    </row>
    <row r="295" spans="9:42">
      <c r="K295" s="21">
        <v>291</v>
      </c>
      <c r="L295" s="24" t="str">
        <f t="shared" si="37"/>
        <v/>
      </c>
      <c r="M295" s="24" t="str">
        <f t="shared" si="38"/>
        <v/>
      </c>
      <c r="N295" s="24" t="str">
        <f t="shared" si="39"/>
        <v/>
      </c>
      <c r="O295" s="24" t="str">
        <f t="shared" si="40"/>
        <v/>
      </c>
      <c r="P295" s="24" t="str">
        <f t="shared" si="41"/>
        <v/>
      </c>
      <c r="Q295" s="24" t="str">
        <f t="shared" si="42"/>
        <v/>
      </c>
      <c r="R295" s="24" t="str">
        <f t="shared" si="43"/>
        <v/>
      </c>
      <c r="T295" s="8" t="s">
        <v>23</v>
      </c>
      <c r="U295" s="8" t="s">
        <v>23</v>
      </c>
      <c r="V295" s="8" t="s">
        <v>23</v>
      </c>
      <c r="W295" s="8" t="s">
        <v>23</v>
      </c>
      <c r="X295" s="8" t="s">
        <v>23</v>
      </c>
      <c r="Y295" s="8" t="s">
        <v>23</v>
      </c>
      <c r="Z295" s="8" t="s">
        <v>23</v>
      </c>
      <c r="AB295" s="7" t="s">
        <v>23</v>
      </c>
      <c r="AC295" s="7" t="s">
        <v>23</v>
      </c>
      <c r="AD295" s="7" t="s">
        <v>23</v>
      </c>
      <c r="AE295" s="7" t="s">
        <v>23</v>
      </c>
      <c r="AF295" s="7" t="s">
        <v>23</v>
      </c>
      <c r="AG295" s="7" t="s">
        <v>23</v>
      </c>
      <c r="AH295" s="7" t="s">
        <v>23</v>
      </c>
      <c r="AJ295" s="7" t="s">
        <v>23</v>
      </c>
      <c r="AK295" s="7" t="s">
        <v>23</v>
      </c>
      <c r="AL295" s="7" t="s">
        <v>23</v>
      </c>
      <c r="AM295" s="7" t="s">
        <v>23</v>
      </c>
      <c r="AN295" s="7" t="s">
        <v>23</v>
      </c>
      <c r="AO295" s="7" t="s">
        <v>23</v>
      </c>
      <c r="AP295" s="7" t="s">
        <v>23</v>
      </c>
    </row>
    <row r="296" spans="9:42">
      <c r="K296" s="22">
        <v>292</v>
      </c>
      <c r="L296" s="24" t="str">
        <f t="shared" si="37"/>
        <v/>
      </c>
      <c r="M296" s="24" t="str">
        <f t="shared" si="38"/>
        <v/>
      </c>
      <c r="N296" s="24" t="str">
        <f t="shared" si="39"/>
        <v/>
      </c>
      <c r="O296" s="24" t="str">
        <f t="shared" si="40"/>
        <v/>
      </c>
      <c r="P296" s="24" t="str">
        <f t="shared" si="41"/>
        <v/>
      </c>
      <c r="Q296" s="24" t="str">
        <f t="shared" si="42"/>
        <v/>
      </c>
      <c r="R296" s="24" t="str">
        <f t="shared" si="43"/>
        <v/>
      </c>
      <c r="T296" s="8" t="s">
        <v>23</v>
      </c>
      <c r="U296" s="8" t="s">
        <v>23</v>
      </c>
      <c r="V296" s="8" t="s">
        <v>23</v>
      </c>
      <c r="W296" s="8" t="s">
        <v>23</v>
      </c>
      <c r="X296" s="8" t="s">
        <v>23</v>
      </c>
      <c r="Y296" s="8" t="s">
        <v>23</v>
      </c>
      <c r="Z296" s="8" t="s">
        <v>23</v>
      </c>
      <c r="AB296" s="7" t="s">
        <v>23</v>
      </c>
      <c r="AC296" s="7" t="s">
        <v>23</v>
      </c>
      <c r="AD296" s="7" t="s">
        <v>23</v>
      </c>
      <c r="AE296" s="7" t="s">
        <v>23</v>
      </c>
      <c r="AF296" s="7" t="s">
        <v>23</v>
      </c>
      <c r="AG296" s="7" t="s">
        <v>23</v>
      </c>
      <c r="AH296" s="7" t="s">
        <v>23</v>
      </c>
      <c r="AJ296" s="7" t="s">
        <v>23</v>
      </c>
      <c r="AK296" s="7" t="s">
        <v>23</v>
      </c>
      <c r="AL296" s="7" t="s">
        <v>23</v>
      </c>
      <c r="AM296" s="7" t="s">
        <v>23</v>
      </c>
      <c r="AN296" s="7" t="s">
        <v>23</v>
      </c>
      <c r="AO296" s="7" t="s">
        <v>23</v>
      </c>
      <c r="AP296" s="7" t="s">
        <v>23</v>
      </c>
    </row>
    <row r="297" spans="9:42">
      <c r="K297" s="21">
        <v>293</v>
      </c>
      <c r="L297" s="24" t="str">
        <f t="shared" si="37"/>
        <v/>
      </c>
      <c r="M297" s="24" t="str">
        <f t="shared" si="38"/>
        <v/>
      </c>
      <c r="N297" s="24" t="str">
        <f t="shared" si="39"/>
        <v/>
      </c>
      <c r="O297" s="24" t="str">
        <f t="shared" si="40"/>
        <v/>
      </c>
      <c r="P297" s="24" t="str">
        <f t="shared" si="41"/>
        <v/>
      </c>
      <c r="Q297" s="24" t="str">
        <f t="shared" si="42"/>
        <v/>
      </c>
      <c r="R297" s="24" t="str">
        <f t="shared" si="43"/>
        <v/>
      </c>
      <c r="T297" s="8" t="s">
        <v>23</v>
      </c>
      <c r="U297" s="8" t="s">
        <v>23</v>
      </c>
      <c r="V297" s="8" t="s">
        <v>23</v>
      </c>
      <c r="W297" s="8" t="s">
        <v>23</v>
      </c>
      <c r="X297" s="8" t="s">
        <v>23</v>
      </c>
      <c r="Y297" s="8" t="s">
        <v>23</v>
      </c>
      <c r="Z297" s="8" t="s">
        <v>23</v>
      </c>
      <c r="AB297" s="7" t="s">
        <v>23</v>
      </c>
      <c r="AC297" s="7" t="s">
        <v>23</v>
      </c>
      <c r="AD297" s="7" t="s">
        <v>23</v>
      </c>
      <c r="AE297" s="7" t="s">
        <v>23</v>
      </c>
      <c r="AF297" s="7" t="s">
        <v>23</v>
      </c>
      <c r="AG297" s="7" t="s">
        <v>23</v>
      </c>
      <c r="AH297" s="7" t="s">
        <v>23</v>
      </c>
      <c r="AJ297" s="7" t="s">
        <v>23</v>
      </c>
      <c r="AK297" s="7" t="s">
        <v>23</v>
      </c>
      <c r="AL297" s="7" t="s">
        <v>23</v>
      </c>
      <c r="AM297" s="7" t="s">
        <v>23</v>
      </c>
      <c r="AN297" s="7" t="s">
        <v>23</v>
      </c>
      <c r="AO297" s="7" t="s">
        <v>23</v>
      </c>
      <c r="AP297" s="7" t="s">
        <v>23</v>
      </c>
    </row>
    <row r="298" spans="9:42">
      <c r="K298" s="22">
        <v>294</v>
      </c>
      <c r="L298" s="24" t="str">
        <f t="shared" si="37"/>
        <v/>
      </c>
      <c r="M298" s="24" t="str">
        <f t="shared" si="38"/>
        <v/>
      </c>
      <c r="N298" s="24" t="str">
        <f t="shared" si="39"/>
        <v/>
      </c>
      <c r="O298" s="24" t="str">
        <f t="shared" si="40"/>
        <v/>
      </c>
      <c r="P298" s="24" t="str">
        <f t="shared" si="41"/>
        <v/>
      </c>
      <c r="Q298" s="24" t="str">
        <f t="shared" si="42"/>
        <v/>
      </c>
      <c r="R298" s="24" t="str">
        <f t="shared" si="43"/>
        <v/>
      </c>
      <c r="T298" s="8" t="s">
        <v>23</v>
      </c>
      <c r="U298" s="8" t="s">
        <v>23</v>
      </c>
      <c r="V298" s="8" t="s">
        <v>23</v>
      </c>
      <c r="W298" s="8" t="s">
        <v>23</v>
      </c>
      <c r="X298" s="8" t="s">
        <v>23</v>
      </c>
      <c r="Y298" s="8" t="s">
        <v>23</v>
      </c>
      <c r="Z298" s="8" t="s">
        <v>23</v>
      </c>
      <c r="AB298" s="7" t="s">
        <v>23</v>
      </c>
      <c r="AC298" s="7" t="s">
        <v>23</v>
      </c>
      <c r="AD298" s="7" t="s">
        <v>23</v>
      </c>
      <c r="AE298" s="7" t="s">
        <v>23</v>
      </c>
      <c r="AF298" s="7" t="s">
        <v>23</v>
      </c>
      <c r="AG298" s="7" t="s">
        <v>23</v>
      </c>
      <c r="AH298" s="7" t="s">
        <v>23</v>
      </c>
      <c r="AJ298" s="7" t="s">
        <v>23</v>
      </c>
      <c r="AK298" s="7" t="s">
        <v>23</v>
      </c>
      <c r="AL298" s="7" t="s">
        <v>23</v>
      </c>
      <c r="AM298" s="7" t="s">
        <v>23</v>
      </c>
      <c r="AN298" s="7" t="s">
        <v>23</v>
      </c>
      <c r="AO298" s="7" t="s">
        <v>23</v>
      </c>
      <c r="AP298" s="7" t="s">
        <v>23</v>
      </c>
    </row>
    <row r="299" spans="9:42">
      <c r="K299" s="21">
        <v>295</v>
      </c>
      <c r="L299" s="24" t="str">
        <f t="shared" si="37"/>
        <v/>
      </c>
      <c r="M299" s="24" t="str">
        <f t="shared" si="38"/>
        <v/>
      </c>
      <c r="N299" s="24" t="str">
        <f t="shared" si="39"/>
        <v/>
      </c>
      <c r="O299" s="24" t="str">
        <f t="shared" si="40"/>
        <v/>
      </c>
      <c r="P299" s="24" t="str">
        <f t="shared" si="41"/>
        <v/>
      </c>
      <c r="Q299" s="24" t="str">
        <f t="shared" si="42"/>
        <v/>
      </c>
      <c r="R299" s="24" t="str">
        <f t="shared" si="43"/>
        <v/>
      </c>
      <c r="T299" s="8" t="s">
        <v>23</v>
      </c>
      <c r="U299" s="8" t="s">
        <v>23</v>
      </c>
      <c r="V299" s="8" t="s">
        <v>23</v>
      </c>
      <c r="W299" s="8" t="s">
        <v>23</v>
      </c>
      <c r="X299" s="8" t="s">
        <v>23</v>
      </c>
      <c r="Y299" s="8" t="s">
        <v>23</v>
      </c>
      <c r="Z299" s="8" t="s">
        <v>23</v>
      </c>
      <c r="AB299" s="7" t="s">
        <v>23</v>
      </c>
      <c r="AC299" s="7" t="s">
        <v>23</v>
      </c>
      <c r="AD299" s="7" t="s">
        <v>23</v>
      </c>
      <c r="AE299" s="7" t="s">
        <v>23</v>
      </c>
      <c r="AF299" s="7" t="s">
        <v>23</v>
      </c>
      <c r="AG299" s="7" t="s">
        <v>23</v>
      </c>
      <c r="AH299" s="7" t="s">
        <v>23</v>
      </c>
      <c r="AJ299" s="7" t="s">
        <v>23</v>
      </c>
      <c r="AK299" s="7" t="s">
        <v>23</v>
      </c>
      <c r="AL299" s="7" t="s">
        <v>23</v>
      </c>
      <c r="AM299" s="7" t="s">
        <v>23</v>
      </c>
      <c r="AN299" s="7" t="s">
        <v>23</v>
      </c>
      <c r="AO299" s="7" t="s">
        <v>23</v>
      </c>
      <c r="AP299" s="7" t="s">
        <v>23</v>
      </c>
    </row>
    <row r="300" spans="9:42">
      <c r="K300" s="22">
        <v>296</v>
      </c>
      <c r="L300" s="24" t="str">
        <f t="shared" si="37"/>
        <v/>
      </c>
      <c r="M300" s="24" t="str">
        <f t="shared" si="38"/>
        <v/>
      </c>
      <c r="N300" s="24" t="str">
        <f t="shared" si="39"/>
        <v/>
      </c>
      <c r="O300" s="24" t="str">
        <f t="shared" si="40"/>
        <v/>
      </c>
      <c r="P300" s="24" t="str">
        <f t="shared" si="41"/>
        <v/>
      </c>
      <c r="Q300" s="24" t="str">
        <f t="shared" si="42"/>
        <v/>
      </c>
      <c r="R300" s="24" t="str">
        <f t="shared" si="43"/>
        <v/>
      </c>
      <c r="T300" s="8" t="s">
        <v>23</v>
      </c>
      <c r="U300" s="8" t="s">
        <v>23</v>
      </c>
      <c r="V300" s="8" t="s">
        <v>23</v>
      </c>
      <c r="W300" s="8" t="s">
        <v>23</v>
      </c>
      <c r="X300" s="8" t="s">
        <v>23</v>
      </c>
      <c r="Y300" s="8" t="s">
        <v>23</v>
      </c>
      <c r="Z300" s="8" t="s">
        <v>23</v>
      </c>
      <c r="AB300" s="7" t="s">
        <v>23</v>
      </c>
      <c r="AC300" s="7" t="s">
        <v>23</v>
      </c>
      <c r="AD300" s="7" t="s">
        <v>23</v>
      </c>
      <c r="AE300" s="7" t="s">
        <v>23</v>
      </c>
      <c r="AF300" s="7" t="s">
        <v>23</v>
      </c>
      <c r="AG300" s="7" t="s">
        <v>23</v>
      </c>
      <c r="AH300" s="7" t="s">
        <v>23</v>
      </c>
      <c r="AJ300" s="7" t="s">
        <v>23</v>
      </c>
      <c r="AK300" s="7" t="s">
        <v>23</v>
      </c>
      <c r="AL300" s="7" t="s">
        <v>23</v>
      </c>
      <c r="AM300" s="7" t="s">
        <v>23</v>
      </c>
      <c r="AN300" s="7" t="s">
        <v>23</v>
      </c>
      <c r="AO300" s="7" t="s">
        <v>23</v>
      </c>
      <c r="AP300" s="7" t="s">
        <v>23</v>
      </c>
    </row>
    <row r="301" spans="9:42">
      <c r="K301" s="21">
        <v>297</v>
      </c>
      <c r="L301" s="24" t="str">
        <f t="shared" si="37"/>
        <v/>
      </c>
      <c r="M301" s="24" t="str">
        <f t="shared" si="38"/>
        <v/>
      </c>
      <c r="N301" s="24" t="str">
        <f t="shared" si="39"/>
        <v/>
      </c>
      <c r="O301" s="24" t="str">
        <f t="shared" si="40"/>
        <v/>
      </c>
      <c r="P301" s="24" t="str">
        <f t="shared" si="41"/>
        <v/>
      </c>
      <c r="Q301" s="24" t="str">
        <f t="shared" si="42"/>
        <v/>
      </c>
      <c r="R301" s="24" t="str">
        <f t="shared" si="43"/>
        <v/>
      </c>
      <c r="T301" s="8" t="s">
        <v>23</v>
      </c>
      <c r="U301" s="8" t="s">
        <v>23</v>
      </c>
      <c r="V301" s="8" t="s">
        <v>23</v>
      </c>
      <c r="W301" s="8" t="s">
        <v>23</v>
      </c>
      <c r="X301" s="8" t="s">
        <v>23</v>
      </c>
      <c r="Y301" s="8" t="s">
        <v>23</v>
      </c>
      <c r="Z301" s="8" t="s">
        <v>23</v>
      </c>
      <c r="AB301" s="7" t="s">
        <v>23</v>
      </c>
      <c r="AC301" s="7" t="s">
        <v>23</v>
      </c>
      <c r="AD301" s="7" t="s">
        <v>23</v>
      </c>
      <c r="AE301" s="7" t="s">
        <v>23</v>
      </c>
      <c r="AF301" s="7" t="s">
        <v>23</v>
      </c>
      <c r="AG301" s="7" t="s">
        <v>23</v>
      </c>
      <c r="AH301" s="7" t="s">
        <v>23</v>
      </c>
      <c r="AJ301" s="7" t="s">
        <v>23</v>
      </c>
      <c r="AK301" s="7" t="s">
        <v>23</v>
      </c>
      <c r="AL301" s="7" t="s">
        <v>23</v>
      </c>
      <c r="AM301" s="7" t="s">
        <v>23</v>
      </c>
      <c r="AN301" s="7" t="s">
        <v>23</v>
      </c>
      <c r="AO301" s="7" t="s">
        <v>23</v>
      </c>
      <c r="AP301" s="7" t="s">
        <v>23</v>
      </c>
    </row>
    <row r="302" spans="9:42">
      <c r="K302" s="22">
        <v>298</v>
      </c>
      <c r="L302" s="24" t="str">
        <f t="shared" si="37"/>
        <v/>
      </c>
      <c r="M302" s="24" t="str">
        <f t="shared" si="38"/>
        <v/>
      </c>
      <c r="N302" s="24" t="str">
        <f t="shared" si="39"/>
        <v/>
      </c>
      <c r="O302" s="24" t="str">
        <f t="shared" si="40"/>
        <v/>
      </c>
      <c r="P302" s="24" t="str">
        <f t="shared" si="41"/>
        <v/>
      </c>
      <c r="Q302" s="24" t="str">
        <f t="shared" si="42"/>
        <v/>
      </c>
      <c r="R302" s="24" t="str">
        <f t="shared" si="43"/>
        <v/>
      </c>
      <c r="T302" s="8" t="s">
        <v>23</v>
      </c>
      <c r="U302" s="8" t="s">
        <v>23</v>
      </c>
      <c r="V302" s="8" t="s">
        <v>23</v>
      </c>
      <c r="W302" s="8" t="s">
        <v>23</v>
      </c>
      <c r="X302" s="8" t="s">
        <v>23</v>
      </c>
      <c r="Y302" s="8" t="s">
        <v>23</v>
      </c>
      <c r="Z302" s="8" t="s">
        <v>23</v>
      </c>
      <c r="AB302" s="7" t="s">
        <v>23</v>
      </c>
      <c r="AC302" s="7" t="s">
        <v>23</v>
      </c>
      <c r="AD302" s="7" t="s">
        <v>23</v>
      </c>
      <c r="AE302" s="7" t="s">
        <v>23</v>
      </c>
      <c r="AF302" s="7" t="s">
        <v>23</v>
      </c>
      <c r="AG302" s="7" t="s">
        <v>23</v>
      </c>
      <c r="AH302" s="7" t="s">
        <v>23</v>
      </c>
      <c r="AJ302" s="7" t="s">
        <v>23</v>
      </c>
      <c r="AK302" s="7" t="s">
        <v>23</v>
      </c>
      <c r="AL302" s="7" t="s">
        <v>23</v>
      </c>
      <c r="AM302" s="7" t="s">
        <v>23</v>
      </c>
      <c r="AN302" s="7" t="s">
        <v>23</v>
      </c>
      <c r="AO302" s="7" t="s">
        <v>23</v>
      </c>
      <c r="AP302" s="7" t="s">
        <v>23</v>
      </c>
    </row>
    <row r="303" spans="9:42">
      <c r="K303" s="21">
        <v>299</v>
      </c>
      <c r="L303" s="24" t="str">
        <f t="shared" si="37"/>
        <v/>
      </c>
      <c r="M303" s="24" t="str">
        <f t="shared" si="38"/>
        <v/>
      </c>
      <c r="N303" s="24" t="str">
        <f t="shared" si="39"/>
        <v/>
      </c>
      <c r="O303" s="24" t="str">
        <f t="shared" si="40"/>
        <v/>
      </c>
      <c r="P303" s="24" t="str">
        <f t="shared" si="41"/>
        <v/>
      </c>
      <c r="Q303" s="24" t="str">
        <f t="shared" si="42"/>
        <v/>
      </c>
      <c r="R303" s="24" t="str">
        <f t="shared" si="43"/>
        <v/>
      </c>
      <c r="T303" s="8" t="s">
        <v>23</v>
      </c>
      <c r="U303" s="8" t="s">
        <v>23</v>
      </c>
      <c r="V303" s="8" t="s">
        <v>23</v>
      </c>
      <c r="W303" s="8" t="s">
        <v>23</v>
      </c>
      <c r="X303" s="8" t="s">
        <v>23</v>
      </c>
      <c r="Y303" s="8" t="s">
        <v>23</v>
      </c>
      <c r="Z303" s="8" t="s">
        <v>23</v>
      </c>
      <c r="AB303" s="7" t="s">
        <v>23</v>
      </c>
      <c r="AC303" s="7" t="s">
        <v>23</v>
      </c>
      <c r="AD303" s="7" t="s">
        <v>23</v>
      </c>
      <c r="AE303" s="7" t="s">
        <v>23</v>
      </c>
      <c r="AF303" s="7" t="s">
        <v>23</v>
      </c>
      <c r="AG303" s="7" t="s">
        <v>23</v>
      </c>
      <c r="AH303" s="7" t="s">
        <v>23</v>
      </c>
      <c r="AJ303" s="7" t="s">
        <v>23</v>
      </c>
      <c r="AK303" s="7" t="s">
        <v>23</v>
      </c>
      <c r="AL303" s="7" t="s">
        <v>23</v>
      </c>
      <c r="AM303" s="7" t="s">
        <v>23</v>
      </c>
      <c r="AN303" s="7" t="s">
        <v>23</v>
      </c>
      <c r="AO303" s="7" t="s">
        <v>23</v>
      </c>
      <c r="AP303" s="7" t="s">
        <v>23</v>
      </c>
    </row>
    <row r="304" spans="9:42">
      <c r="I304" s="32"/>
      <c r="K304" s="22">
        <v>300</v>
      </c>
      <c r="L304" s="24" t="str">
        <f t="shared" si="37"/>
        <v/>
      </c>
      <c r="M304" s="24" t="str">
        <f t="shared" si="38"/>
        <v/>
      </c>
      <c r="N304" s="24" t="str">
        <f t="shared" si="39"/>
        <v/>
      </c>
      <c r="O304" s="24" t="str">
        <f t="shared" si="40"/>
        <v/>
      </c>
      <c r="P304" s="24" t="str">
        <f t="shared" si="41"/>
        <v/>
      </c>
      <c r="Q304" s="24" t="str">
        <f t="shared" si="42"/>
        <v/>
      </c>
      <c r="R304" s="24" t="str">
        <f t="shared" si="43"/>
        <v/>
      </c>
      <c r="T304" s="8" t="s">
        <v>23</v>
      </c>
      <c r="U304" s="8" t="s">
        <v>23</v>
      </c>
      <c r="V304" s="8" t="s">
        <v>23</v>
      </c>
      <c r="W304" s="8" t="s">
        <v>23</v>
      </c>
      <c r="X304" s="8" t="s">
        <v>23</v>
      </c>
      <c r="Y304" s="8" t="s">
        <v>23</v>
      </c>
      <c r="Z304" s="8" t="s">
        <v>23</v>
      </c>
      <c r="AB304" s="7" t="s">
        <v>23</v>
      </c>
      <c r="AC304" s="7" t="s">
        <v>23</v>
      </c>
      <c r="AD304" s="7" t="s">
        <v>23</v>
      </c>
      <c r="AE304" s="7" t="s">
        <v>23</v>
      </c>
      <c r="AF304" s="7" t="s">
        <v>23</v>
      </c>
      <c r="AG304" s="7" t="s">
        <v>23</v>
      </c>
      <c r="AH304" s="7" t="s">
        <v>23</v>
      </c>
      <c r="AJ304" s="7" t="s">
        <v>23</v>
      </c>
      <c r="AK304" s="7" t="s">
        <v>23</v>
      </c>
      <c r="AL304" s="7" t="s">
        <v>23</v>
      </c>
      <c r="AM304" s="7" t="s">
        <v>23</v>
      </c>
      <c r="AN304" s="7" t="s">
        <v>23</v>
      </c>
      <c r="AO304" s="7" t="s">
        <v>23</v>
      </c>
      <c r="AP304" s="7" t="s">
        <v>23</v>
      </c>
    </row>
    <row r="305" spans="11:42">
      <c r="K305" s="21">
        <v>301</v>
      </c>
      <c r="L305" s="24" t="str">
        <f t="shared" si="37"/>
        <v/>
      </c>
      <c r="M305" s="24" t="str">
        <f t="shared" si="38"/>
        <v/>
      </c>
      <c r="N305" s="24" t="str">
        <f t="shared" si="39"/>
        <v/>
      </c>
      <c r="O305" s="24" t="str">
        <f t="shared" si="40"/>
        <v/>
      </c>
      <c r="P305" s="24" t="str">
        <f t="shared" si="41"/>
        <v/>
      </c>
      <c r="Q305" s="24" t="str">
        <f t="shared" si="42"/>
        <v/>
      </c>
      <c r="R305" s="24" t="str">
        <f t="shared" si="43"/>
        <v/>
      </c>
      <c r="T305" s="13" t="s">
        <v>23</v>
      </c>
      <c r="U305" s="7" t="s">
        <v>23</v>
      </c>
      <c r="V305" s="7" t="s">
        <v>23</v>
      </c>
      <c r="W305" s="7" t="s">
        <v>23</v>
      </c>
      <c r="X305" s="7" t="s">
        <v>23</v>
      </c>
      <c r="Y305" s="7" t="s">
        <v>23</v>
      </c>
      <c r="Z305" s="7" t="s">
        <v>23</v>
      </c>
      <c r="AB305" s="7" t="s">
        <v>23</v>
      </c>
      <c r="AC305" s="7" t="s">
        <v>23</v>
      </c>
      <c r="AD305" s="7" t="s">
        <v>23</v>
      </c>
      <c r="AE305" s="7" t="s">
        <v>23</v>
      </c>
      <c r="AF305" s="7" t="s">
        <v>23</v>
      </c>
      <c r="AG305" s="7" t="s">
        <v>23</v>
      </c>
      <c r="AH305" s="7" t="s">
        <v>23</v>
      </c>
      <c r="AJ305" s="7" t="s">
        <v>23</v>
      </c>
      <c r="AK305" s="7" t="s">
        <v>23</v>
      </c>
      <c r="AL305" s="7" t="s">
        <v>23</v>
      </c>
      <c r="AM305" s="7" t="s">
        <v>23</v>
      </c>
      <c r="AN305" s="7" t="s">
        <v>23</v>
      </c>
      <c r="AO305" s="7" t="s">
        <v>23</v>
      </c>
      <c r="AP305" s="7" t="s">
        <v>23</v>
      </c>
    </row>
    <row r="306" spans="11:42">
      <c r="K306" s="22">
        <v>302</v>
      </c>
      <c r="L306" s="24" t="str">
        <f t="shared" si="37"/>
        <v/>
      </c>
      <c r="M306" s="24" t="str">
        <f t="shared" si="38"/>
        <v/>
      </c>
      <c r="N306" s="24" t="str">
        <f t="shared" si="39"/>
        <v/>
      </c>
      <c r="O306" s="24" t="str">
        <f t="shared" si="40"/>
        <v/>
      </c>
      <c r="P306" s="24" t="str">
        <f t="shared" si="41"/>
        <v/>
      </c>
      <c r="Q306" s="24" t="str">
        <f t="shared" si="42"/>
        <v/>
      </c>
      <c r="R306" s="24" t="str">
        <f t="shared" si="43"/>
        <v/>
      </c>
      <c r="T306" s="13" t="s">
        <v>23</v>
      </c>
      <c r="U306" s="7" t="s">
        <v>23</v>
      </c>
      <c r="V306" s="7" t="s">
        <v>23</v>
      </c>
      <c r="W306" s="7" t="s">
        <v>23</v>
      </c>
      <c r="X306" s="7" t="s">
        <v>23</v>
      </c>
      <c r="Y306" s="7" t="s">
        <v>23</v>
      </c>
      <c r="Z306" s="7" t="s">
        <v>23</v>
      </c>
      <c r="AB306" s="7" t="s">
        <v>23</v>
      </c>
      <c r="AC306" s="7" t="s">
        <v>23</v>
      </c>
      <c r="AD306" s="7" t="s">
        <v>23</v>
      </c>
      <c r="AE306" s="7" t="s">
        <v>23</v>
      </c>
      <c r="AF306" s="7" t="s">
        <v>23</v>
      </c>
      <c r="AG306" s="7" t="s">
        <v>23</v>
      </c>
      <c r="AH306" s="7" t="s">
        <v>23</v>
      </c>
      <c r="AJ306" s="7" t="s">
        <v>23</v>
      </c>
      <c r="AK306" s="7" t="s">
        <v>23</v>
      </c>
      <c r="AL306" s="7" t="s">
        <v>23</v>
      </c>
      <c r="AM306" s="7" t="s">
        <v>23</v>
      </c>
      <c r="AN306" s="7" t="s">
        <v>23</v>
      </c>
      <c r="AO306" s="7" t="s">
        <v>23</v>
      </c>
      <c r="AP306" s="7" t="s">
        <v>23</v>
      </c>
    </row>
    <row r="307" spans="11:42">
      <c r="K307" s="21">
        <v>303</v>
      </c>
      <c r="L307" s="24" t="str">
        <f t="shared" si="37"/>
        <v/>
      </c>
      <c r="M307" s="24" t="str">
        <f t="shared" si="38"/>
        <v/>
      </c>
      <c r="N307" s="24" t="str">
        <f t="shared" si="39"/>
        <v/>
      </c>
      <c r="O307" s="24" t="str">
        <f t="shared" si="40"/>
        <v/>
      </c>
      <c r="P307" s="24" t="str">
        <f t="shared" si="41"/>
        <v/>
      </c>
      <c r="Q307" s="24" t="str">
        <f t="shared" si="42"/>
        <v/>
      </c>
      <c r="R307" s="24" t="str">
        <f t="shared" si="43"/>
        <v/>
      </c>
      <c r="T307" s="13" t="s">
        <v>23</v>
      </c>
      <c r="U307" s="7" t="s">
        <v>23</v>
      </c>
      <c r="V307" s="7" t="s">
        <v>23</v>
      </c>
      <c r="W307" s="7" t="s">
        <v>23</v>
      </c>
      <c r="X307" s="7" t="s">
        <v>23</v>
      </c>
      <c r="Y307" s="7" t="s">
        <v>23</v>
      </c>
      <c r="Z307" s="7" t="s">
        <v>23</v>
      </c>
      <c r="AB307" s="7" t="s">
        <v>23</v>
      </c>
      <c r="AC307" s="7" t="s">
        <v>23</v>
      </c>
      <c r="AD307" s="7" t="s">
        <v>23</v>
      </c>
      <c r="AE307" s="7" t="s">
        <v>23</v>
      </c>
      <c r="AF307" s="7" t="s">
        <v>23</v>
      </c>
      <c r="AG307" s="7" t="s">
        <v>23</v>
      </c>
      <c r="AH307" s="7" t="s">
        <v>23</v>
      </c>
      <c r="AJ307" s="7" t="s">
        <v>23</v>
      </c>
      <c r="AK307" s="7" t="s">
        <v>23</v>
      </c>
      <c r="AL307" s="7" t="s">
        <v>23</v>
      </c>
      <c r="AM307" s="7" t="s">
        <v>23</v>
      </c>
      <c r="AN307" s="7" t="s">
        <v>23</v>
      </c>
      <c r="AO307" s="7" t="s">
        <v>23</v>
      </c>
      <c r="AP307" s="7" t="s">
        <v>23</v>
      </c>
    </row>
    <row r="308" spans="11:42">
      <c r="K308" s="22">
        <v>304</v>
      </c>
      <c r="L308" s="24" t="str">
        <f t="shared" si="37"/>
        <v/>
      </c>
      <c r="M308" s="24" t="str">
        <f t="shared" si="38"/>
        <v/>
      </c>
      <c r="N308" s="24" t="str">
        <f t="shared" si="39"/>
        <v/>
      </c>
      <c r="O308" s="24" t="str">
        <f t="shared" si="40"/>
        <v/>
      </c>
      <c r="P308" s="24" t="str">
        <f t="shared" si="41"/>
        <v/>
      </c>
      <c r="Q308" s="24" t="str">
        <f t="shared" si="42"/>
        <v/>
      </c>
      <c r="R308" s="24" t="str">
        <f t="shared" si="43"/>
        <v/>
      </c>
      <c r="T308" s="13" t="s">
        <v>23</v>
      </c>
      <c r="U308" s="7" t="s">
        <v>23</v>
      </c>
      <c r="V308" s="7" t="s">
        <v>23</v>
      </c>
      <c r="W308" s="7" t="s">
        <v>23</v>
      </c>
      <c r="X308" s="7" t="s">
        <v>23</v>
      </c>
      <c r="Y308" s="7" t="s">
        <v>23</v>
      </c>
      <c r="Z308" s="7" t="s">
        <v>23</v>
      </c>
      <c r="AB308" s="7" t="s">
        <v>23</v>
      </c>
      <c r="AC308" s="7" t="s">
        <v>23</v>
      </c>
      <c r="AD308" s="7" t="s">
        <v>23</v>
      </c>
      <c r="AE308" s="7" t="s">
        <v>23</v>
      </c>
      <c r="AF308" s="7" t="s">
        <v>23</v>
      </c>
      <c r="AG308" s="7" t="s">
        <v>23</v>
      </c>
      <c r="AH308" s="7" t="s">
        <v>23</v>
      </c>
      <c r="AJ308" s="7" t="s">
        <v>23</v>
      </c>
      <c r="AK308" s="7" t="s">
        <v>23</v>
      </c>
      <c r="AL308" s="7" t="s">
        <v>23</v>
      </c>
      <c r="AM308" s="7" t="s">
        <v>23</v>
      </c>
      <c r="AN308" s="7" t="s">
        <v>23</v>
      </c>
      <c r="AO308" s="7" t="s">
        <v>23</v>
      </c>
      <c r="AP308" s="7" t="s">
        <v>23</v>
      </c>
    </row>
    <row r="309" spans="11:42">
      <c r="K309" s="21">
        <v>305</v>
      </c>
      <c r="L309" s="24" t="str">
        <f t="shared" si="37"/>
        <v/>
      </c>
      <c r="M309" s="24" t="str">
        <f t="shared" si="38"/>
        <v/>
      </c>
      <c r="N309" s="24" t="str">
        <f t="shared" si="39"/>
        <v/>
      </c>
      <c r="O309" s="24" t="str">
        <f t="shared" si="40"/>
        <v/>
      </c>
      <c r="P309" s="24" t="str">
        <f t="shared" si="41"/>
        <v/>
      </c>
      <c r="Q309" s="24" t="str">
        <f t="shared" si="42"/>
        <v/>
      </c>
      <c r="R309" s="24" t="str">
        <f t="shared" si="43"/>
        <v/>
      </c>
      <c r="T309" s="13" t="s">
        <v>23</v>
      </c>
      <c r="U309" s="7" t="s">
        <v>23</v>
      </c>
      <c r="V309" s="7" t="s">
        <v>23</v>
      </c>
      <c r="W309" s="7" t="s">
        <v>23</v>
      </c>
      <c r="X309" s="7" t="s">
        <v>23</v>
      </c>
      <c r="Y309" s="7" t="s">
        <v>23</v>
      </c>
      <c r="Z309" s="7" t="s">
        <v>23</v>
      </c>
      <c r="AB309" s="7" t="s">
        <v>23</v>
      </c>
      <c r="AC309" s="7" t="s">
        <v>23</v>
      </c>
      <c r="AD309" s="7" t="s">
        <v>23</v>
      </c>
      <c r="AE309" s="7" t="s">
        <v>23</v>
      </c>
      <c r="AF309" s="7" t="s">
        <v>23</v>
      </c>
      <c r="AG309" s="7" t="s">
        <v>23</v>
      </c>
      <c r="AH309" s="7" t="s">
        <v>23</v>
      </c>
      <c r="AJ309" s="7" t="s">
        <v>23</v>
      </c>
      <c r="AK309" s="7" t="s">
        <v>23</v>
      </c>
      <c r="AL309" s="7" t="s">
        <v>23</v>
      </c>
      <c r="AM309" s="7" t="s">
        <v>23</v>
      </c>
      <c r="AN309" s="7" t="s">
        <v>23</v>
      </c>
      <c r="AO309" s="7" t="s">
        <v>23</v>
      </c>
      <c r="AP309" s="7" t="s">
        <v>23</v>
      </c>
    </row>
    <row r="310" spans="11:42">
      <c r="K310" s="22">
        <v>306</v>
      </c>
      <c r="L310" s="24" t="str">
        <f t="shared" ref="L310:L341" si="44">IF(T310&lt;&gt;"",_xlfn.XLOOKUP(T310,$K$4:$K$27,$A$4:$A$27),"")</f>
        <v/>
      </c>
      <c r="M310" s="24" t="str">
        <f t="shared" ref="M310:M341" si="45">IF(U310&lt;&gt;"",_xlfn.XLOOKUP(U310,$K$4:$K$27,$A$4:$A$27),"")</f>
        <v/>
      </c>
      <c r="N310" s="24" t="str">
        <f t="shared" ref="N310:N341" si="46">IF(V310&lt;&gt;"",_xlfn.XLOOKUP(V310,$K$4:$K$27,$A$4:$A$27),"")</f>
        <v/>
      </c>
      <c r="O310" s="24" t="str">
        <f t="shared" ref="O310:O341" si="47">IF(W310&lt;&gt;"",_xlfn.XLOOKUP(W310,$K$4:$K$27,$A$4:$A$27),"")</f>
        <v/>
      </c>
      <c r="P310" s="24" t="str">
        <f t="shared" ref="P310:P341" si="48">IF(X310&lt;&gt;"",_xlfn.XLOOKUP(X310,$K$4:$K$27,$A$4:$A$27),"")</f>
        <v/>
      </c>
      <c r="Q310" s="24" t="str">
        <f t="shared" ref="Q310:Q341" si="49">IF(Y310&lt;&gt;"",_xlfn.XLOOKUP(Y310,$K$4:$K$27,$A$4:$A$27),"")</f>
        <v/>
      </c>
      <c r="R310" s="24" t="str">
        <f t="shared" ref="R310:R337" si="50">IF(Z310&lt;&gt;"",_xlfn.XLOOKUP(Z310,$K$4:$K$27,$A$4:$A$27),"")</f>
        <v/>
      </c>
      <c r="T310" s="13" t="s">
        <v>23</v>
      </c>
      <c r="U310" s="7" t="s">
        <v>23</v>
      </c>
      <c r="V310" s="7" t="s">
        <v>23</v>
      </c>
      <c r="W310" s="7" t="s">
        <v>23</v>
      </c>
      <c r="X310" s="7" t="s">
        <v>23</v>
      </c>
      <c r="Y310" s="7" t="s">
        <v>23</v>
      </c>
      <c r="Z310" s="7" t="s">
        <v>23</v>
      </c>
      <c r="AB310" s="7" t="s">
        <v>23</v>
      </c>
      <c r="AC310" s="7" t="s">
        <v>23</v>
      </c>
      <c r="AD310" s="7" t="s">
        <v>23</v>
      </c>
      <c r="AE310" s="7" t="s">
        <v>23</v>
      </c>
      <c r="AF310" s="7" t="s">
        <v>23</v>
      </c>
      <c r="AG310" s="7" t="s">
        <v>23</v>
      </c>
      <c r="AH310" s="7" t="s">
        <v>23</v>
      </c>
      <c r="AJ310" s="7" t="s">
        <v>23</v>
      </c>
      <c r="AK310" s="7" t="s">
        <v>23</v>
      </c>
      <c r="AL310" s="7" t="s">
        <v>23</v>
      </c>
      <c r="AM310" s="7" t="s">
        <v>23</v>
      </c>
      <c r="AN310" s="7" t="s">
        <v>23</v>
      </c>
      <c r="AO310" s="7" t="s">
        <v>23</v>
      </c>
      <c r="AP310" s="7" t="s">
        <v>23</v>
      </c>
    </row>
    <row r="311" spans="11:42">
      <c r="K311" s="21">
        <v>307</v>
      </c>
      <c r="L311" s="24" t="str">
        <f t="shared" si="44"/>
        <v/>
      </c>
      <c r="M311" s="24" t="str">
        <f t="shared" si="45"/>
        <v/>
      </c>
      <c r="N311" s="24" t="str">
        <f t="shared" si="46"/>
        <v/>
      </c>
      <c r="O311" s="24" t="str">
        <f t="shared" si="47"/>
        <v/>
      </c>
      <c r="P311" s="24" t="str">
        <f t="shared" si="48"/>
        <v/>
      </c>
      <c r="Q311" s="24" t="str">
        <f t="shared" si="49"/>
        <v/>
      </c>
      <c r="R311" s="24" t="str">
        <f t="shared" si="50"/>
        <v/>
      </c>
      <c r="T311" s="13" t="s">
        <v>23</v>
      </c>
      <c r="U311" s="7" t="s">
        <v>23</v>
      </c>
      <c r="V311" s="7" t="s">
        <v>23</v>
      </c>
      <c r="W311" s="7" t="s">
        <v>23</v>
      </c>
      <c r="X311" s="7" t="s">
        <v>23</v>
      </c>
      <c r="Y311" s="7" t="s">
        <v>23</v>
      </c>
      <c r="Z311" s="7" t="s">
        <v>23</v>
      </c>
      <c r="AB311" s="7" t="s">
        <v>23</v>
      </c>
      <c r="AC311" s="7" t="s">
        <v>23</v>
      </c>
      <c r="AD311" s="7" t="s">
        <v>23</v>
      </c>
      <c r="AE311" s="7" t="s">
        <v>23</v>
      </c>
      <c r="AF311" s="7" t="s">
        <v>23</v>
      </c>
      <c r="AG311" s="7" t="s">
        <v>23</v>
      </c>
      <c r="AH311" s="7" t="s">
        <v>23</v>
      </c>
      <c r="AJ311" s="7" t="s">
        <v>23</v>
      </c>
      <c r="AK311" s="7" t="s">
        <v>23</v>
      </c>
      <c r="AL311" s="7" t="s">
        <v>23</v>
      </c>
      <c r="AM311" s="7" t="s">
        <v>23</v>
      </c>
      <c r="AN311" s="7" t="s">
        <v>23</v>
      </c>
      <c r="AO311" s="7" t="s">
        <v>23</v>
      </c>
      <c r="AP311" s="7" t="s">
        <v>23</v>
      </c>
    </row>
    <row r="312" spans="11:42">
      <c r="K312" s="22">
        <v>308</v>
      </c>
      <c r="L312" s="24" t="str">
        <f t="shared" si="44"/>
        <v/>
      </c>
      <c r="M312" s="24" t="str">
        <f t="shared" si="45"/>
        <v/>
      </c>
      <c r="N312" s="24" t="str">
        <f t="shared" si="46"/>
        <v/>
      </c>
      <c r="O312" s="24" t="str">
        <f t="shared" si="47"/>
        <v/>
      </c>
      <c r="P312" s="24" t="str">
        <f t="shared" si="48"/>
        <v/>
      </c>
      <c r="Q312" s="24" t="str">
        <f t="shared" si="49"/>
        <v/>
      </c>
      <c r="R312" s="24" t="str">
        <f t="shared" si="50"/>
        <v/>
      </c>
      <c r="T312" s="13" t="s">
        <v>23</v>
      </c>
      <c r="U312" s="7" t="s">
        <v>23</v>
      </c>
      <c r="V312" s="7" t="s">
        <v>23</v>
      </c>
      <c r="W312" s="7" t="s">
        <v>23</v>
      </c>
      <c r="X312" s="7" t="s">
        <v>23</v>
      </c>
      <c r="Y312" s="7" t="s">
        <v>23</v>
      </c>
      <c r="Z312" s="7" t="s">
        <v>23</v>
      </c>
      <c r="AB312" s="7" t="s">
        <v>23</v>
      </c>
      <c r="AC312" s="7" t="s">
        <v>23</v>
      </c>
      <c r="AD312" s="7" t="s">
        <v>23</v>
      </c>
      <c r="AE312" s="7" t="s">
        <v>23</v>
      </c>
      <c r="AF312" s="7" t="s">
        <v>23</v>
      </c>
      <c r="AG312" s="7" t="s">
        <v>23</v>
      </c>
      <c r="AH312" s="7" t="s">
        <v>23</v>
      </c>
      <c r="AJ312" s="7" t="s">
        <v>23</v>
      </c>
      <c r="AK312" s="7" t="s">
        <v>23</v>
      </c>
      <c r="AL312" s="7" t="s">
        <v>23</v>
      </c>
      <c r="AM312" s="7" t="s">
        <v>23</v>
      </c>
      <c r="AN312" s="7" t="s">
        <v>23</v>
      </c>
      <c r="AO312" s="7" t="s">
        <v>23</v>
      </c>
      <c r="AP312" s="7" t="s">
        <v>23</v>
      </c>
    </row>
    <row r="313" spans="11:42">
      <c r="K313" s="21">
        <v>309</v>
      </c>
      <c r="L313" s="24" t="str">
        <f t="shared" si="44"/>
        <v/>
      </c>
      <c r="M313" s="24" t="str">
        <f t="shared" si="45"/>
        <v/>
      </c>
      <c r="N313" s="24" t="str">
        <f t="shared" si="46"/>
        <v/>
      </c>
      <c r="O313" s="24" t="str">
        <f t="shared" si="47"/>
        <v/>
      </c>
      <c r="P313" s="24" t="str">
        <f t="shared" si="48"/>
        <v/>
      </c>
      <c r="Q313" s="24" t="str">
        <f t="shared" si="49"/>
        <v/>
      </c>
      <c r="R313" s="24" t="str">
        <f t="shared" si="50"/>
        <v/>
      </c>
      <c r="T313" s="13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  <c r="Y313" s="7" t="s">
        <v>23</v>
      </c>
      <c r="Z313" s="7" t="s">
        <v>23</v>
      </c>
      <c r="AB313" s="7" t="s">
        <v>23</v>
      </c>
      <c r="AC313" s="7" t="s">
        <v>23</v>
      </c>
      <c r="AD313" s="7" t="s">
        <v>23</v>
      </c>
      <c r="AE313" s="7" t="s">
        <v>23</v>
      </c>
      <c r="AF313" s="7" t="s">
        <v>23</v>
      </c>
      <c r="AG313" s="7" t="s">
        <v>23</v>
      </c>
      <c r="AH313" s="7" t="s">
        <v>23</v>
      </c>
      <c r="AJ313" s="7" t="s">
        <v>23</v>
      </c>
      <c r="AK313" s="7" t="s">
        <v>23</v>
      </c>
      <c r="AL313" s="7" t="s">
        <v>23</v>
      </c>
      <c r="AM313" s="7" t="s">
        <v>23</v>
      </c>
      <c r="AN313" s="7" t="s">
        <v>23</v>
      </c>
      <c r="AO313" s="7" t="s">
        <v>23</v>
      </c>
      <c r="AP313" s="7" t="s">
        <v>23</v>
      </c>
    </row>
    <row r="314" spans="11:42">
      <c r="K314" s="22">
        <v>310</v>
      </c>
      <c r="L314" s="24" t="str">
        <f t="shared" si="44"/>
        <v/>
      </c>
      <c r="M314" s="24" t="str">
        <f t="shared" si="45"/>
        <v/>
      </c>
      <c r="N314" s="24" t="str">
        <f t="shared" si="46"/>
        <v/>
      </c>
      <c r="O314" s="24" t="str">
        <f t="shared" si="47"/>
        <v/>
      </c>
      <c r="P314" s="24" t="str">
        <f t="shared" si="48"/>
        <v/>
      </c>
      <c r="Q314" s="24" t="str">
        <f t="shared" si="49"/>
        <v/>
      </c>
      <c r="R314" s="24" t="str">
        <f t="shared" si="50"/>
        <v/>
      </c>
      <c r="T314" s="13" t="s">
        <v>23</v>
      </c>
      <c r="U314" s="7" t="s">
        <v>23</v>
      </c>
      <c r="V314" s="7" t="s">
        <v>23</v>
      </c>
      <c r="W314" s="7" t="s">
        <v>23</v>
      </c>
      <c r="X314" s="7" t="s">
        <v>23</v>
      </c>
      <c r="Y314" s="7" t="s">
        <v>23</v>
      </c>
      <c r="Z314" s="7" t="s">
        <v>23</v>
      </c>
      <c r="AB314" s="7" t="s">
        <v>23</v>
      </c>
      <c r="AC314" s="7" t="s">
        <v>23</v>
      </c>
      <c r="AD314" s="7" t="s">
        <v>23</v>
      </c>
      <c r="AE314" s="7" t="s">
        <v>23</v>
      </c>
      <c r="AF314" s="7" t="s">
        <v>23</v>
      </c>
      <c r="AG314" s="7" t="s">
        <v>23</v>
      </c>
      <c r="AH314" s="7" t="s">
        <v>23</v>
      </c>
      <c r="AJ314" s="7" t="s">
        <v>23</v>
      </c>
      <c r="AK314" s="7" t="s">
        <v>23</v>
      </c>
      <c r="AL314" s="7" t="s">
        <v>23</v>
      </c>
      <c r="AM314" s="7" t="s">
        <v>23</v>
      </c>
      <c r="AN314" s="7" t="s">
        <v>23</v>
      </c>
      <c r="AO314" s="7" t="s">
        <v>23</v>
      </c>
      <c r="AP314" s="7" t="s">
        <v>23</v>
      </c>
    </row>
    <row r="315" spans="11:42">
      <c r="K315" s="21">
        <v>311</v>
      </c>
      <c r="L315" s="24" t="str">
        <f t="shared" si="44"/>
        <v/>
      </c>
      <c r="M315" s="24" t="str">
        <f t="shared" si="45"/>
        <v/>
      </c>
      <c r="N315" s="24" t="str">
        <f t="shared" si="46"/>
        <v/>
      </c>
      <c r="O315" s="24" t="str">
        <f t="shared" si="47"/>
        <v/>
      </c>
      <c r="P315" s="24" t="str">
        <f t="shared" si="48"/>
        <v/>
      </c>
      <c r="Q315" s="24" t="str">
        <f t="shared" si="49"/>
        <v/>
      </c>
      <c r="R315" s="24" t="str">
        <f t="shared" si="50"/>
        <v/>
      </c>
      <c r="T315" s="13" t="s">
        <v>23</v>
      </c>
      <c r="U315" s="7" t="s">
        <v>23</v>
      </c>
      <c r="V315" s="7" t="s">
        <v>23</v>
      </c>
      <c r="W315" s="7" t="s">
        <v>23</v>
      </c>
      <c r="X315" s="7" t="s">
        <v>23</v>
      </c>
      <c r="Y315" s="7" t="s">
        <v>23</v>
      </c>
      <c r="Z315" s="7" t="s">
        <v>23</v>
      </c>
      <c r="AB315" s="7" t="s">
        <v>23</v>
      </c>
      <c r="AC315" s="7" t="s">
        <v>23</v>
      </c>
      <c r="AD315" s="7" t="s">
        <v>23</v>
      </c>
      <c r="AE315" s="7" t="s">
        <v>23</v>
      </c>
      <c r="AF315" s="7" t="s">
        <v>23</v>
      </c>
      <c r="AG315" s="7" t="s">
        <v>23</v>
      </c>
      <c r="AH315" s="7" t="s">
        <v>23</v>
      </c>
      <c r="AJ315" s="7" t="s">
        <v>23</v>
      </c>
      <c r="AK315" s="7" t="s">
        <v>23</v>
      </c>
      <c r="AL315" s="7" t="s">
        <v>23</v>
      </c>
      <c r="AM315" s="7" t="s">
        <v>23</v>
      </c>
      <c r="AN315" s="7" t="s">
        <v>23</v>
      </c>
      <c r="AO315" s="7" t="s">
        <v>23</v>
      </c>
      <c r="AP315" s="7" t="s">
        <v>23</v>
      </c>
    </row>
    <row r="316" spans="11:42">
      <c r="K316" s="22">
        <v>312</v>
      </c>
      <c r="L316" s="24" t="str">
        <f t="shared" si="44"/>
        <v/>
      </c>
      <c r="M316" s="24" t="str">
        <f t="shared" si="45"/>
        <v/>
      </c>
      <c r="N316" s="24" t="str">
        <f t="shared" si="46"/>
        <v/>
      </c>
      <c r="O316" s="24" t="str">
        <f t="shared" si="47"/>
        <v/>
      </c>
      <c r="P316" s="24" t="str">
        <f t="shared" si="48"/>
        <v/>
      </c>
      <c r="Q316" s="24" t="str">
        <f t="shared" si="49"/>
        <v/>
      </c>
      <c r="R316" s="24" t="str">
        <f t="shared" si="50"/>
        <v/>
      </c>
      <c r="T316" s="13" t="s">
        <v>23</v>
      </c>
      <c r="U316" s="7" t="s">
        <v>23</v>
      </c>
      <c r="V316" s="7" t="s">
        <v>23</v>
      </c>
      <c r="W316" s="7" t="s">
        <v>23</v>
      </c>
      <c r="X316" s="7" t="s">
        <v>23</v>
      </c>
      <c r="Y316" s="7" t="s">
        <v>23</v>
      </c>
      <c r="Z316" s="7" t="s">
        <v>23</v>
      </c>
      <c r="AB316" s="7" t="s">
        <v>23</v>
      </c>
      <c r="AC316" s="7" t="s">
        <v>23</v>
      </c>
      <c r="AD316" s="7" t="s">
        <v>23</v>
      </c>
      <c r="AE316" s="7" t="s">
        <v>23</v>
      </c>
      <c r="AF316" s="7" t="s">
        <v>23</v>
      </c>
      <c r="AG316" s="7" t="s">
        <v>23</v>
      </c>
      <c r="AH316" s="7" t="s">
        <v>23</v>
      </c>
      <c r="AJ316" s="7" t="s">
        <v>23</v>
      </c>
      <c r="AK316" s="7" t="s">
        <v>23</v>
      </c>
      <c r="AL316" s="7" t="s">
        <v>23</v>
      </c>
      <c r="AM316" s="7" t="s">
        <v>23</v>
      </c>
      <c r="AN316" s="7" t="s">
        <v>23</v>
      </c>
      <c r="AO316" s="7" t="s">
        <v>23</v>
      </c>
      <c r="AP316" s="7" t="s">
        <v>23</v>
      </c>
    </row>
    <row r="317" spans="11:42">
      <c r="K317" s="21">
        <v>313</v>
      </c>
      <c r="L317" s="24" t="str">
        <f t="shared" si="44"/>
        <v/>
      </c>
      <c r="M317" s="24" t="str">
        <f t="shared" si="45"/>
        <v/>
      </c>
      <c r="N317" s="24" t="str">
        <f t="shared" si="46"/>
        <v/>
      </c>
      <c r="O317" s="24" t="str">
        <f t="shared" si="47"/>
        <v/>
      </c>
      <c r="P317" s="24" t="str">
        <f t="shared" si="48"/>
        <v/>
      </c>
      <c r="Q317" s="24" t="str">
        <f t="shared" si="49"/>
        <v/>
      </c>
      <c r="R317" s="24" t="str">
        <f t="shared" si="50"/>
        <v/>
      </c>
      <c r="T317" s="13" t="s">
        <v>23</v>
      </c>
      <c r="U317" s="7" t="s">
        <v>23</v>
      </c>
      <c r="V317" s="7" t="s">
        <v>23</v>
      </c>
      <c r="W317" s="7" t="s">
        <v>23</v>
      </c>
      <c r="X317" s="7" t="s">
        <v>23</v>
      </c>
      <c r="Y317" s="7" t="s">
        <v>23</v>
      </c>
      <c r="Z317" s="7" t="s">
        <v>23</v>
      </c>
      <c r="AB317" s="7" t="s">
        <v>23</v>
      </c>
      <c r="AC317" s="7" t="s">
        <v>23</v>
      </c>
      <c r="AD317" s="7" t="s">
        <v>23</v>
      </c>
      <c r="AE317" s="7" t="s">
        <v>23</v>
      </c>
      <c r="AF317" s="7" t="s">
        <v>23</v>
      </c>
      <c r="AG317" s="7" t="s">
        <v>23</v>
      </c>
      <c r="AH317" s="7" t="s">
        <v>23</v>
      </c>
      <c r="AJ317" s="7" t="s">
        <v>23</v>
      </c>
      <c r="AK317" s="7" t="s">
        <v>23</v>
      </c>
      <c r="AL317" s="7" t="s">
        <v>23</v>
      </c>
      <c r="AM317" s="7" t="s">
        <v>23</v>
      </c>
      <c r="AN317" s="7" t="s">
        <v>23</v>
      </c>
      <c r="AO317" s="7" t="s">
        <v>23</v>
      </c>
      <c r="AP317" s="7" t="s">
        <v>23</v>
      </c>
    </row>
    <row r="318" spans="11:42">
      <c r="K318" s="22">
        <v>314</v>
      </c>
      <c r="L318" s="24" t="str">
        <f t="shared" si="44"/>
        <v/>
      </c>
      <c r="M318" s="24" t="str">
        <f t="shared" si="45"/>
        <v/>
      </c>
      <c r="N318" s="24" t="str">
        <f t="shared" si="46"/>
        <v/>
      </c>
      <c r="O318" s="24" t="str">
        <f t="shared" si="47"/>
        <v/>
      </c>
      <c r="P318" s="24" t="str">
        <f t="shared" si="48"/>
        <v/>
      </c>
      <c r="Q318" s="24" t="str">
        <f t="shared" si="49"/>
        <v/>
      </c>
      <c r="R318" s="24" t="str">
        <f t="shared" si="50"/>
        <v/>
      </c>
      <c r="T318" s="13" t="s">
        <v>23</v>
      </c>
      <c r="U318" s="7" t="s">
        <v>23</v>
      </c>
      <c r="V318" s="7" t="s">
        <v>23</v>
      </c>
      <c r="W318" s="7" t="s">
        <v>23</v>
      </c>
      <c r="X318" s="7" t="s">
        <v>23</v>
      </c>
      <c r="Y318" s="7" t="s">
        <v>23</v>
      </c>
      <c r="Z318" s="7" t="s">
        <v>23</v>
      </c>
      <c r="AB318" s="7" t="s">
        <v>23</v>
      </c>
      <c r="AC318" s="7" t="s">
        <v>23</v>
      </c>
      <c r="AD318" s="7" t="s">
        <v>23</v>
      </c>
      <c r="AE318" s="7" t="s">
        <v>23</v>
      </c>
      <c r="AF318" s="7" t="s">
        <v>23</v>
      </c>
      <c r="AG318" s="7" t="s">
        <v>23</v>
      </c>
      <c r="AH318" s="7" t="s">
        <v>23</v>
      </c>
      <c r="AJ318" s="7" t="s">
        <v>23</v>
      </c>
      <c r="AK318" s="7" t="s">
        <v>23</v>
      </c>
      <c r="AL318" s="7" t="s">
        <v>23</v>
      </c>
      <c r="AM318" s="7" t="s">
        <v>23</v>
      </c>
      <c r="AN318" s="7" t="s">
        <v>23</v>
      </c>
      <c r="AO318" s="7" t="s">
        <v>23</v>
      </c>
      <c r="AP318" s="7" t="s">
        <v>23</v>
      </c>
    </row>
    <row r="319" spans="11:42">
      <c r="K319" s="21">
        <v>315</v>
      </c>
      <c r="L319" s="24" t="str">
        <f t="shared" si="44"/>
        <v/>
      </c>
      <c r="M319" s="24" t="str">
        <f t="shared" si="45"/>
        <v/>
      </c>
      <c r="N319" s="24" t="str">
        <f t="shared" si="46"/>
        <v/>
      </c>
      <c r="O319" s="24" t="str">
        <f t="shared" si="47"/>
        <v/>
      </c>
      <c r="P319" s="24" t="str">
        <f t="shared" si="48"/>
        <v/>
      </c>
      <c r="Q319" s="24" t="str">
        <f t="shared" si="49"/>
        <v/>
      </c>
      <c r="R319" s="24" t="str">
        <f t="shared" si="50"/>
        <v/>
      </c>
      <c r="T319" s="13" t="s">
        <v>23</v>
      </c>
      <c r="U319" s="7" t="s">
        <v>23</v>
      </c>
      <c r="V319" s="7" t="s">
        <v>23</v>
      </c>
      <c r="W319" s="7" t="s">
        <v>23</v>
      </c>
      <c r="X319" s="7" t="s">
        <v>23</v>
      </c>
      <c r="Y319" s="7" t="s">
        <v>23</v>
      </c>
      <c r="Z319" s="7" t="s">
        <v>23</v>
      </c>
      <c r="AB319" s="7" t="s">
        <v>23</v>
      </c>
      <c r="AC319" s="7" t="s">
        <v>23</v>
      </c>
      <c r="AD319" s="7" t="s">
        <v>23</v>
      </c>
      <c r="AE319" s="7" t="s">
        <v>23</v>
      </c>
      <c r="AF319" s="7" t="s">
        <v>23</v>
      </c>
      <c r="AG319" s="7" t="s">
        <v>23</v>
      </c>
      <c r="AH319" s="7" t="s">
        <v>23</v>
      </c>
      <c r="AJ319" s="7" t="s">
        <v>23</v>
      </c>
      <c r="AK319" s="7" t="s">
        <v>23</v>
      </c>
      <c r="AL319" s="7" t="s">
        <v>23</v>
      </c>
      <c r="AM319" s="7" t="s">
        <v>23</v>
      </c>
      <c r="AN319" s="7" t="s">
        <v>23</v>
      </c>
      <c r="AO319" s="7" t="s">
        <v>23</v>
      </c>
      <c r="AP319" s="7" t="s">
        <v>23</v>
      </c>
    </row>
    <row r="320" spans="11:42">
      <c r="K320" s="22">
        <v>316</v>
      </c>
      <c r="L320" s="24" t="str">
        <f t="shared" si="44"/>
        <v/>
      </c>
      <c r="M320" s="24" t="str">
        <f t="shared" si="45"/>
        <v/>
      </c>
      <c r="N320" s="24" t="str">
        <f t="shared" si="46"/>
        <v/>
      </c>
      <c r="O320" s="24" t="str">
        <f t="shared" si="47"/>
        <v/>
      </c>
      <c r="P320" s="24" t="str">
        <f t="shared" si="48"/>
        <v/>
      </c>
      <c r="Q320" s="24" t="str">
        <f t="shared" si="49"/>
        <v/>
      </c>
      <c r="R320" s="24" t="str">
        <f t="shared" si="50"/>
        <v/>
      </c>
      <c r="T320" s="13" t="s">
        <v>23</v>
      </c>
      <c r="U320" s="7" t="s">
        <v>23</v>
      </c>
      <c r="V320" s="7" t="s">
        <v>23</v>
      </c>
      <c r="W320" s="7" t="s">
        <v>23</v>
      </c>
      <c r="X320" s="7" t="s">
        <v>23</v>
      </c>
      <c r="Y320" s="7" t="s">
        <v>23</v>
      </c>
      <c r="Z320" s="7" t="s">
        <v>23</v>
      </c>
      <c r="AB320" s="7" t="s">
        <v>23</v>
      </c>
      <c r="AC320" s="7" t="s">
        <v>23</v>
      </c>
      <c r="AD320" s="7" t="s">
        <v>23</v>
      </c>
      <c r="AE320" s="7" t="s">
        <v>23</v>
      </c>
      <c r="AF320" s="7" t="s">
        <v>23</v>
      </c>
      <c r="AG320" s="7" t="s">
        <v>23</v>
      </c>
      <c r="AH320" s="7" t="s">
        <v>23</v>
      </c>
      <c r="AJ320" s="7" t="s">
        <v>23</v>
      </c>
      <c r="AK320" s="7" t="s">
        <v>23</v>
      </c>
      <c r="AL320" s="7" t="s">
        <v>23</v>
      </c>
      <c r="AM320" s="7" t="s">
        <v>23</v>
      </c>
      <c r="AN320" s="7" t="s">
        <v>23</v>
      </c>
      <c r="AO320" s="7" t="s">
        <v>23</v>
      </c>
      <c r="AP320" s="7" t="s">
        <v>23</v>
      </c>
    </row>
    <row r="321" spans="11:42">
      <c r="K321" s="21">
        <v>317</v>
      </c>
      <c r="L321" s="24" t="str">
        <f t="shared" si="44"/>
        <v/>
      </c>
      <c r="M321" s="24" t="str">
        <f t="shared" si="45"/>
        <v/>
      </c>
      <c r="N321" s="24" t="str">
        <f t="shared" si="46"/>
        <v/>
      </c>
      <c r="O321" s="24" t="str">
        <f t="shared" si="47"/>
        <v/>
      </c>
      <c r="P321" s="24" t="str">
        <f t="shared" si="48"/>
        <v/>
      </c>
      <c r="Q321" s="24" t="str">
        <f t="shared" si="49"/>
        <v/>
      </c>
      <c r="R321" s="24" t="str">
        <f t="shared" si="50"/>
        <v/>
      </c>
      <c r="T321" s="13" t="s">
        <v>23</v>
      </c>
      <c r="U321" s="7" t="s">
        <v>23</v>
      </c>
      <c r="V321" s="7" t="s">
        <v>23</v>
      </c>
      <c r="W321" s="7" t="s">
        <v>23</v>
      </c>
      <c r="X321" s="7" t="s">
        <v>23</v>
      </c>
      <c r="Y321" s="7" t="s">
        <v>23</v>
      </c>
      <c r="Z321" s="7" t="s">
        <v>23</v>
      </c>
      <c r="AB321" s="7" t="s">
        <v>23</v>
      </c>
      <c r="AC321" s="7" t="s">
        <v>23</v>
      </c>
      <c r="AD321" s="7" t="s">
        <v>23</v>
      </c>
      <c r="AE321" s="7" t="s">
        <v>23</v>
      </c>
      <c r="AF321" s="7" t="s">
        <v>23</v>
      </c>
      <c r="AG321" s="7" t="s">
        <v>23</v>
      </c>
      <c r="AH321" s="7" t="s">
        <v>23</v>
      </c>
      <c r="AJ321" s="7" t="s">
        <v>23</v>
      </c>
      <c r="AK321" s="7" t="s">
        <v>23</v>
      </c>
      <c r="AL321" s="7" t="s">
        <v>23</v>
      </c>
      <c r="AM321" s="7" t="s">
        <v>23</v>
      </c>
      <c r="AN321" s="7" t="s">
        <v>23</v>
      </c>
      <c r="AO321" s="7" t="s">
        <v>23</v>
      </c>
      <c r="AP321" s="7" t="s">
        <v>23</v>
      </c>
    </row>
    <row r="322" spans="11:42">
      <c r="K322" s="22">
        <v>318</v>
      </c>
      <c r="L322" s="24" t="str">
        <f t="shared" si="44"/>
        <v/>
      </c>
      <c r="M322" s="24" t="str">
        <f t="shared" si="45"/>
        <v/>
      </c>
      <c r="N322" s="24" t="str">
        <f t="shared" si="46"/>
        <v/>
      </c>
      <c r="O322" s="24" t="str">
        <f t="shared" si="47"/>
        <v/>
      </c>
      <c r="P322" s="24" t="str">
        <f t="shared" si="48"/>
        <v/>
      </c>
      <c r="Q322" s="24" t="str">
        <f t="shared" si="49"/>
        <v/>
      </c>
      <c r="R322" s="24" t="str">
        <f t="shared" si="50"/>
        <v/>
      </c>
      <c r="T322" s="13" t="s">
        <v>23</v>
      </c>
      <c r="U322" s="7" t="s">
        <v>23</v>
      </c>
      <c r="V322" s="7" t="s">
        <v>23</v>
      </c>
      <c r="W322" s="7" t="s">
        <v>23</v>
      </c>
      <c r="X322" s="7" t="s">
        <v>23</v>
      </c>
      <c r="Y322" s="7" t="s">
        <v>23</v>
      </c>
      <c r="Z322" s="7" t="s">
        <v>23</v>
      </c>
      <c r="AB322" s="7" t="s">
        <v>23</v>
      </c>
      <c r="AC322" s="7" t="s">
        <v>23</v>
      </c>
      <c r="AD322" s="7" t="s">
        <v>23</v>
      </c>
      <c r="AE322" s="7" t="s">
        <v>23</v>
      </c>
      <c r="AF322" s="7" t="s">
        <v>23</v>
      </c>
      <c r="AG322" s="7" t="s">
        <v>23</v>
      </c>
      <c r="AH322" s="7" t="s">
        <v>23</v>
      </c>
      <c r="AJ322" s="7" t="s">
        <v>23</v>
      </c>
      <c r="AK322" s="7" t="s">
        <v>23</v>
      </c>
      <c r="AL322" s="7" t="s">
        <v>23</v>
      </c>
      <c r="AM322" s="7" t="s">
        <v>23</v>
      </c>
      <c r="AN322" s="7" t="s">
        <v>23</v>
      </c>
      <c r="AO322" s="7" t="s">
        <v>23</v>
      </c>
      <c r="AP322" s="7" t="s">
        <v>23</v>
      </c>
    </row>
    <row r="323" spans="11:42">
      <c r="K323" s="21">
        <v>319</v>
      </c>
      <c r="L323" s="24" t="str">
        <f t="shared" si="44"/>
        <v/>
      </c>
      <c r="M323" s="24" t="str">
        <f t="shared" si="45"/>
        <v/>
      </c>
      <c r="N323" s="24" t="str">
        <f t="shared" si="46"/>
        <v/>
      </c>
      <c r="O323" s="24" t="str">
        <f t="shared" si="47"/>
        <v/>
      </c>
      <c r="P323" s="24" t="str">
        <f t="shared" si="48"/>
        <v/>
      </c>
      <c r="Q323" s="24" t="str">
        <f t="shared" si="49"/>
        <v/>
      </c>
      <c r="R323" s="24" t="str">
        <f t="shared" si="50"/>
        <v/>
      </c>
      <c r="T323" s="13" t="s">
        <v>23</v>
      </c>
      <c r="U323" s="7" t="s">
        <v>23</v>
      </c>
      <c r="V323" s="7" t="s">
        <v>23</v>
      </c>
      <c r="W323" s="7" t="s">
        <v>23</v>
      </c>
      <c r="X323" s="7" t="s">
        <v>23</v>
      </c>
      <c r="Y323" s="7" t="s">
        <v>23</v>
      </c>
      <c r="Z323" s="7" t="s">
        <v>23</v>
      </c>
      <c r="AB323" s="7" t="s">
        <v>23</v>
      </c>
      <c r="AC323" s="7" t="s">
        <v>23</v>
      </c>
      <c r="AD323" s="7" t="s">
        <v>23</v>
      </c>
      <c r="AE323" s="7" t="s">
        <v>23</v>
      </c>
      <c r="AF323" s="7" t="s">
        <v>23</v>
      </c>
      <c r="AG323" s="7" t="s">
        <v>23</v>
      </c>
      <c r="AH323" s="7" t="s">
        <v>23</v>
      </c>
      <c r="AJ323" s="7" t="s">
        <v>23</v>
      </c>
      <c r="AK323" s="7" t="s">
        <v>23</v>
      </c>
      <c r="AL323" s="7" t="s">
        <v>23</v>
      </c>
      <c r="AM323" s="7" t="s">
        <v>23</v>
      </c>
      <c r="AN323" s="7" t="s">
        <v>23</v>
      </c>
      <c r="AO323" s="7" t="s">
        <v>23</v>
      </c>
      <c r="AP323" s="7" t="s">
        <v>23</v>
      </c>
    </row>
    <row r="324" spans="11:42">
      <c r="K324" s="22">
        <v>320</v>
      </c>
      <c r="L324" s="24" t="str">
        <f t="shared" si="44"/>
        <v/>
      </c>
      <c r="M324" s="24" t="str">
        <f t="shared" si="45"/>
        <v/>
      </c>
      <c r="N324" s="24" t="str">
        <f t="shared" si="46"/>
        <v/>
      </c>
      <c r="O324" s="24" t="str">
        <f t="shared" si="47"/>
        <v/>
      </c>
      <c r="P324" s="24" t="str">
        <f t="shared" si="48"/>
        <v/>
      </c>
      <c r="Q324" s="24" t="str">
        <f t="shared" si="49"/>
        <v/>
      </c>
      <c r="R324" s="24" t="str">
        <f t="shared" si="50"/>
        <v/>
      </c>
      <c r="T324" s="13" t="s">
        <v>23</v>
      </c>
      <c r="U324" s="7" t="s">
        <v>23</v>
      </c>
      <c r="V324" s="7" t="s">
        <v>23</v>
      </c>
      <c r="W324" s="7" t="s">
        <v>23</v>
      </c>
      <c r="X324" s="7" t="s">
        <v>23</v>
      </c>
      <c r="Y324" s="7" t="s">
        <v>23</v>
      </c>
      <c r="Z324" s="7" t="s">
        <v>23</v>
      </c>
      <c r="AB324" s="7" t="s">
        <v>23</v>
      </c>
      <c r="AC324" s="7" t="s">
        <v>23</v>
      </c>
      <c r="AD324" s="7" t="s">
        <v>23</v>
      </c>
      <c r="AE324" s="7" t="s">
        <v>23</v>
      </c>
      <c r="AF324" s="7" t="s">
        <v>23</v>
      </c>
      <c r="AG324" s="7" t="s">
        <v>23</v>
      </c>
      <c r="AH324" s="7" t="s">
        <v>23</v>
      </c>
      <c r="AJ324" s="7" t="s">
        <v>23</v>
      </c>
      <c r="AK324" s="7" t="s">
        <v>23</v>
      </c>
      <c r="AL324" s="7" t="s">
        <v>23</v>
      </c>
      <c r="AM324" s="7" t="s">
        <v>23</v>
      </c>
      <c r="AN324" s="7" t="s">
        <v>23</v>
      </c>
      <c r="AO324" s="7" t="s">
        <v>23</v>
      </c>
      <c r="AP324" s="7" t="s">
        <v>23</v>
      </c>
    </row>
    <row r="325" spans="11:42">
      <c r="K325" s="21">
        <v>321</v>
      </c>
      <c r="L325" s="24" t="str">
        <f t="shared" si="44"/>
        <v/>
      </c>
      <c r="M325" s="24" t="str">
        <f t="shared" si="45"/>
        <v/>
      </c>
      <c r="N325" s="24" t="str">
        <f t="shared" si="46"/>
        <v/>
      </c>
      <c r="O325" s="24" t="str">
        <f t="shared" si="47"/>
        <v/>
      </c>
      <c r="P325" s="24" t="str">
        <f t="shared" si="48"/>
        <v/>
      </c>
      <c r="Q325" s="24" t="str">
        <f t="shared" si="49"/>
        <v/>
      </c>
      <c r="R325" s="24" t="str">
        <f t="shared" si="50"/>
        <v/>
      </c>
      <c r="T325" s="13" t="s">
        <v>23</v>
      </c>
      <c r="U325" s="7" t="s">
        <v>23</v>
      </c>
      <c r="V325" s="7" t="s">
        <v>23</v>
      </c>
      <c r="W325" s="7" t="s">
        <v>23</v>
      </c>
      <c r="X325" s="7" t="s">
        <v>23</v>
      </c>
      <c r="Y325" s="7" t="s">
        <v>23</v>
      </c>
      <c r="Z325" s="7" t="s">
        <v>23</v>
      </c>
      <c r="AB325" s="7" t="s">
        <v>23</v>
      </c>
      <c r="AC325" s="7" t="s">
        <v>23</v>
      </c>
      <c r="AD325" s="7" t="s">
        <v>23</v>
      </c>
      <c r="AE325" s="7" t="s">
        <v>23</v>
      </c>
      <c r="AF325" s="7" t="s">
        <v>23</v>
      </c>
      <c r="AG325" s="7" t="s">
        <v>23</v>
      </c>
      <c r="AH325" s="7" t="s">
        <v>23</v>
      </c>
      <c r="AJ325" s="7" t="s">
        <v>23</v>
      </c>
      <c r="AK325" s="7" t="s">
        <v>23</v>
      </c>
      <c r="AL325" s="7" t="s">
        <v>23</v>
      </c>
      <c r="AM325" s="7" t="s">
        <v>23</v>
      </c>
      <c r="AN325" s="7" t="s">
        <v>23</v>
      </c>
      <c r="AO325" s="7" t="s">
        <v>23</v>
      </c>
      <c r="AP325" s="7" t="s">
        <v>23</v>
      </c>
    </row>
    <row r="326" spans="11:42">
      <c r="K326" s="22">
        <v>322</v>
      </c>
      <c r="L326" s="24" t="str">
        <f t="shared" si="44"/>
        <v/>
      </c>
      <c r="M326" s="24" t="str">
        <f t="shared" si="45"/>
        <v/>
      </c>
      <c r="N326" s="24" t="str">
        <f t="shared" si="46"/>
        <v/>
      </c>
      <c r="O326" s="24" t="str">
        <f t="shared" si="47"/>
        <v/>
      </c>
      <c r="P326" s="24" t="str">
        <f t="shared" si="48"/>
        <v/>
      </c>
      <c r="Q326" s="24" t="str">
        <f t="shared" si="49"/>
        <v/>
      </c>
      <c r="R326" s="24" t="str">
        <f t="shared" si="50"/>
        <v/>
      </c>
      <c r="T326" s="13" t="s">
        <v>23</v>
      </c>
      <c r="U326" s="7" t="s">
        <v>23</v>
      </c>
      <c r="V326" s="7" t="s">
        <v>23</v>
      </c>
      <c r="W326" s="7" t="s">
        <v>23</v>
      </c>
      <c r="X326" s="7" t="s">
        <v>23</v>
      </c>
      <c r="Y326" s="7" t="s">
        <v>23</v>
      </c>
      <c r="Z326" s="7" t="s">
        <v>23</v>
      </c>
      <c r="AB326" s="7" t="s">
        <v>23</v>
      </c>
      <c r="AC326" s="7" t="s">
        <v>23</v>
      </c>
      <c r="AD326" s="7" t="s">
        <v>23</v>
      </c>
      <c r="AE326" s="7" t="s">
        <v>23</v>
      </c>
      <c r="AF326" s="7" t="s">
        <v>23</v>
      </c>
      <c r="AG326" s="7" t="s">
        <v>23</v>
      </c>
      <c r="AH326" s="7" t="s">
        <v>23</v>
      </c>
      <c r="AJ326" s="7" t="s">
        <v>23</v>
      </c>
      <c r="AK326" s="7" t="s">
        <v>23</v>
      </c>
      <c r="AL326" s="7" t="s">
        <v>23</v>
      </c>
      <c r="AM326" s="7" t="s">
        <v>23</v>
      </c>
      <c r="AN326" s="7" t="s">
        <v>23</v>
      </c>
      <c r="AO326" s="7" t="s">
        <v>23</v>
      </c>
      <c r="AP326" s="7" t="s">
        <v>23</v>
      </c>
    </row>
    <row r="327" spans="11:42">
      <c r="K327" s="21">
        <v>323</v>
      </c>
      <c r="L327" s="24" t="str">
        <f t="shared" si="44"/>
        <v/>
      </c>
      <c r="M327" s="24" t="str">
        <f t="shared" si="45"/>
        <v/>
      </c>
      <c r="N327" s="24" t="str">
        <f t="shared" si="46"/>
        <v/>
      </c>
      <c r="O327" s="24" t="str">
        <f t="shared" si="47"/>
        <v/>
      </c>
      <c r="P327" s="24" t="str">
        <f t="shared" si="48"/>
        <v/>
      </c>
      <c r="Q327" s="24" t="str">
        <f t="shared" si="49"/>
        <v/>
      </c>
      <c r="R327" s="24" t="str">
        <f t="shared" si="50"/>
        <v/>
      </c>
      <c r="T327" s="13" t="s">
        <v>23</v>
      </c>
      <c r="U327" s="7" t="s">
        <v>23</v>
      </c>
      <c r="V327" s="7" t="s">
        <v>23</v>
      </c>
      <c r="W327" s="7" t="s">
        <v>23</v>
      </c>
      <c r="X327" s="7" t="s">
        <v>23</v>
      </c>
      <c r="Y327" s="7" t="s">
        <v>23</v>
      </c>
      <c r="Z327" s="7" t="s">
        <v>23</v>
      </c>
      <c r="AB327" s="7" t="s">
        <v>23</v>
      </c>
      <c r="AC327" s="7" t="s">
        <v>23</v>
      </c>
      <c r="AD327" s="7" t="s">
        <v>23</v>
      </c>
      <c r="AE327" s="7" t="s">
        <v>23</v>
      </c>
      <c r="AF327" s="7" t="s">
        <v>23</v>
      </c>
      <c r="AG327" s="7" t="s">
        <v>23</v>
      </c>
      <c r="AH327" s="7" t="s">
        <v>23</v>
      </c>
      <c r="AJ327" s="7" t="s">
        <v>23</v>
      </c>
      <c r="AK327" s="7" t="s">
        <v>23</v>
      </c>
      <c r="AL327" s="7" t="s">
        <v>23</v>
      </c>
      <c r="AM327" s="7" t="s">
        <v>23</v>
      </c>
      <c r="AN327" s="7" t="s">
        <v>23</v>
      </c>
      <c r="AO327" s="7" t="s">
        <v>23</v>
      </c>
      <c r="AP327" s="7" t="s">
        <v>23</v>
      </c>
    </row>
    <row r="328" spans="11:42">
      <c r="K328" s="22">
        <v>324</v>
      </c>
      <c r="L328" s="24" t="str">
        <f t="shared" si="44"/>
        <v/>
      </c>
      <c r="M328" s="24" t="str">
        <f t="shared" si="45"/>
        <v/>
      </c>
      <c r="N328" s="24" t="str">
        <f t="shared" si="46"/>
        <v/>
      </c>
      <c r="O328" s="24" t="str">
        <f t="shared" si="47"/>
        <v/>
      </c>
      <c r="P328" s="24" t="str">
        <f t="shared" si="48"/>
        <v/>
      </c>
      <c r="Q328" s="24" t="str">
        <f t="shared" si="49"/>
        <v/>
      </c>
      <c r="R328" s="24" t="str">
        <f t="shared" si="50"/>
        <v/>
      </c>
      <c r="T328" s="13" t="s">
        <v>23</v>
      </c>
      <c r="U328" s="7" t="s">
        <v>23</v>
      </c>
      <c r="V328" s="7" t="s">
        <v>23</v>
      </c>
      <c r="W328" s="7" t="s">
        <v>23</v>
      </c>
      <c r="X328" s="7" t="s">
        <v>23</v>
      </c>
      <c r="Y328" s="7" t="s">
        <v>23</v>
      </c>
      <c r="Z328" s="7" t="s">
        <v>23</v>
      </c>
      <c r="AB328" s="7" t="s">
        <v>23</v>
      </c>
      <c r="AC328" s="7" t="s">
        <v>23</v>
      </c>
      <c r="AD328" s="7" t="s">
        <v>23</v>
      </c>
      <c r="AE328" s="7" t="s">
        <v>23</v>
      </c>
      <c r="AF328" s="7" t="s">
        <v>23</v>
      </c>
      <c r="AG328" s="7" t="s">
        <v>23</v>
      </c>
      <c r="AH328" s="7" t="s">
        <v>23</v>
      </c>
      <c r="AJ328" s="7" t="s">
        <v>23</v>
      </c>
      <c r="AK328" s="7" t="s">
        <v>23</v>
      </c>
      <c r="AL328" s="7" t="s">
        <v>23</v>
      </c>
      <c r="AM328" s="7" t="s">
        <v>23</v>
      </c>
      <c r="AN328" s="7" t="s">
        <v>23</v>
      </c>
      <c r="AO328" s="7" t="s">
        <v>23</v>
      </c>
      <c r="AP328" s="7" t="s">
        <v>23</v>
      </c>
    </row>
    <row r="329" spans="11:42">
      <c r="K329" s="21">
        <v>325</v>
      </c>
      <c r="L329" s="24" t="str">
        <f t="shared" si="44"/>
        <v/>
      </c>
      <c r="M329" s="24" t="str">
        <f t="shared" si="45"/>
        <v/>
      </c>
      <c r="N329" s="24" t="str">
        <f t="shared" si="46"/>
        <v/>
      </c>
      <c r="O329" s="24" t="str">
        <f t="shared" si="47"/>
        <v/>
      </c>
      <c r="P329" s="24" t="str">
        <f t="shared" si="48"/>
        <v/>
      </c>
      <c r="Q329" s="24" t="str">
        <f t="shared" si="49"/>
        <v/>
      </c>
      <c r="R329" s="24" t="str">
        <f t="shared" si="50"/>
        <v/>
      </c>
      <c r="T329" s="13" t="s">
        <v>23</v>
      </c>
      <c r="U329" s="7" t="s">
        <v>23</v>
      </c>
      <c r="V329" s="7" t="s">
        <v>23</v>
      </c>
      <c r="W329" s="7" t="s">
        <v>23</v>
      </c>
      <c r="X329" s="7" t="s">
        <v>23</v>
      </c>
      <c r="Y329" s="7" t="s">
        <v>23</v>
      </c>
      <c r="Z329" s="7" t="s">
        <v>23</v>
      </c>
      <c r="AB329" s="7" t="s">
        <v>23</v>
      </c>
      <c r="AC329" s="7" t="s">
        <v>23</v>
      </c>
      <c r="AD329" s="7" t="s">
        <v>23</v>
      </c>
      <c r="AE329" s="7" t="s">
        <v>23</v>
      </c>
      <c r="AF329" s="7" t="s">
        <v>23</v>
      </c>
      <c r="AG329" s="7" t="s">
        <v>23</v>
      </c>
      <c r="AH329" s="7" t="s">
        <v>23</v>
      </c>
      <c r="AJ329" s="7" t="s">
        <v>23</v>
      </c>
      <c r="AK329" s="7" t="s">
        <v>23</v>
      </c>
      <c r="AL329" s="7" t="s">
        <v>23</v>
      </c>
      <c r="AM329" s="7" t="s">
        <v>23</v>
      </c>
      <c r="AN329" s="7" t="s">
        <v>23</v>
      </c>
      <c r="AO329" s="7" t="s">
        <v>23</v>
      </c>
      <c r="AP329" s="7" t="s">
        <v>23</v>
      </c>
    </row>
    <row r="330" spans="11:42">
      <c r="K330" s="22">
        <v>326</v>
      </c>
      <c r="L330" s="24" t="str">
        <f t="shared" si="44"/>
        <v/>
      </c>
      <c r="M330" s="24" t="str">
        <f t="shared" si="45"/>
        <v/>
      </c>
      <c r="N330" s="24" t="str">
        <f t="shared" si="46"/>
        <v/>
      </c>
      <c r="O330" s="24" t="str">
        <f t="shared" si="47"/>
        <v/>
      </c>
      <c r="P330" s="24" t="str">
        <f t="shared" si="48"/>
        <v/>
      </c>
      <c r="Q330" s="24" t="str">
        <f t="shared" si="49"/>
        <v/>
      </c>
      <c r="R330" s="24" t="str">
        <f t="shared" si="50"/>
        <v/>
      </c>
      <c r="T330" s="13" t="s">
        <v>23</v>
      </c>
      <c r="U330" s="7" t="s">
        <v>23</v>
      </c>
      <c r="V330" s="7" t="s">
        <v>23</v>
      </c>
      <c r="W330" s="7" t="s">
        <v>23</v>
      </c>
      <c r="X330" s="7" t="s">
        <v>23</v>
      </c>
      <c r="Y330" s="7" t="s">
        <v>23</v>
      </c>
      <c r="Z330" s="7" t="s">
        <v>23</v>
      </c>
      <c r="AB330" s="7" t="s">
        <v>23</v>
      </c>
      <c r="AC330" s="7" t="s">
        <v>23</v>
      </c>
      <c r="AD330" s="7" t="s">
        <v>23</v>
      </c>
      <c r="AE330" s="7" t="s">
        <v>23</v>
      </c>
      <c r="AF330" s="7" t="s">
        <v>23</v>
      </c>
      <c r="AG330" s="7" t="s">
        <v>23</v>
      </c>
      <c r="AH330" s="7" t="s">
        <v>23</v>
      </c>
      <c r="AJ330" s="7" t="s">
        <v>23</v>
      </c>
      <c r="AK330" s="7" t="s">
        <v>23</v>
      </c>
      <c r="AL330" s="7" t="s">
        <v>23</v>
      </c>
      <c r="AM330" s="7" t="s">
        <v>23</v>
      </c>
      <c r="AN330" s="7" t="s">
        <v>23</v>
      </c>
      <c r="AO330" s="7" t="s">
        <v>23</v>
      </c>
      <c r="AP330" s="7" t="s">
        <v>23</v>
      </c>
    </row>
    <row r="331" spans="11:42">
      <c r="K331" s="21">
        <v>327</v>
      </c>
      <c r="L331" s="24" t="str">
        <f t="shared" si="44"/>
        <v/>
      </c>
      <c r="M331" s="24" t="str">
        <f t="shared" si="45"/>
        <v/>
      </c>
      <c r="N331" s="24" t="str">
        <f t="shared" si="46"/>
        <v/>
      </c>
      <c r="O331" s="24" t="str">
        <f t="shared" si="47"/>
        <v/>
      </c>
      <c r="P331" s="24" t="str">
        <f t="shared" si="48"/>
        <v/>
      </c>
      <c r="Q331" s="24" t="str">
        <f t="shared" si="49"/>
        <v/>
      </c>
      <c r="R331" s="24" t="str">
        <f t="shared" si="50"/>
        <v/>
      </c>
      <c r="T331" s="13" t="s">
        <v>23</v>
      </c>
      <c r="U331" s="7" t="s">
        <v>23</v>
      </c>
      <c r="V331" s="7" t="s">
        <v>23</v>
      </c>
      <c r="W331" s="7" t="s">
        <v>23</v>
      </c>
      <c r="X331" s="7" t="s">
        <v>23</v>
      </c>
      <c r="Y331" s="7" t="s">
        <v>23</v>
      </c>
      <c r="Z331" s="7" t="s">
        <v>23</v>
      </c>
      <c r="AB331" s="7" t="s">
        <v>23</v>
      </c>
      <c r="AC331" s="7" t="s">
        <v>23</v>
      </c>
      <c r="AD331" s="7" t="s">
        <v>23</v>
      </c>
      <c r="AE331" s="7" t="s">
        <v>23</v>
      </c>
      <c r="AF331" s="7" t="s">
        <v>23</v>
      </c>
      <c r="AG331" s="7" t="s">
        <v>23</v>
      </c>
      <c r="AH331" s="7" t="s">
        <v>23</v>
      </c>
      <c r="AJ331" s="7" t="s">
        <v>23</v>
      </c>
      <c r="AK331" s="7" t="s">
        <v>23</v>
      </c>
      <c r="AL331" s="7" t="s">
        <v>23</v>
      </c>
      <c r="AM331" s="7" t="s">
        <v>23</v>
      </c>
      <c r="AN331" s="7" t="s">
        <v>23</v>
      </c>
      <c r="AO331" s="7" t="s">
        <v>23</v>
      </c>
      <c r="AP331" s="7" t="s">
        <v>23</v>
      </c>
    </row>
    <row r="332" spans="11:42">
      <c r="K332" s="22">
        <v>328</v>
      </c>
      <c r="L332" s="24" t="str">
        <f t="shared" si="44"/>
        <v/>
      </c>
      <c r="M332" s="24" t="str">
        <f t="shared" si="45"/>
        <v/>
      </c>
      <c r="N332" s="24" t="str">
        <f t="shared" si="46"/>
        <v/>
      </c>
      <c r="O332" s="24" t="str">
        <f t="shared" si="47"/>
        <v/>
      </c>
      <c r="P332" s="24" t="str">
        <f t="shared" si="48"/>
        <v/>
      </c>
      <c r="Q332" s="24" t="str">
        <f t="shared" si="49"/>
        <v/>
      </c>
      <c r="R332" s="24" t="str">
        <f t="shared" si="50"/>
        <v/>
      </c>
      <c r="T332" s="13" t="s">
        <v>23</v>
      </c>
      <c r="U332" s="7" t="s">
        <v>23</v>
      </c>
      <c r="V332" s="7" t="s">
        <v>23</v>
      </c>
      <c r="W332" s="7" t="s">
        <v>23</v>
      </c>
      <c r="X332" s="7" t="s">
        <v>23</v>
      </c>
      <c r="Y332" s="7" t="s">
        <v>23</v>
      </c>
      <c r="Z332" s="7" t="s">
        <v>23</v>
      </c>
      <c r="AB332" s="7" t="s">
        <v>23</v>
      </c>
      <c r="AC332" s="7" t="s">
        <v>23</v>
      </c>
      <c r="AD332" s="7" t="s">
        <v>23</v>
      </c>
      <c r="AE332" s="7" t="s">
        <v>23</v>
      </c>
      <c r="AF332" s="7" t="s">
        <v>23</v>
      </c>
      <c r="AG332" s="7" t="s">
        <v>23</v>
      </c>
      <c r="AH332" s="7" t="s">
        <v>23</v>
      </c>
      <c r="AJ332" s="7" t="s">
        <v>23</v>
      </c>
      <c r="AK332" s="7" t="s">
        <v>23</v>
      </c>
      <c r="AL332" s="7" t="s">
        <v>23</v>
      </c>
      <c r="AM332" s="7" t="s">
        <v>23</v>
      </c>
      <c r="AN332" s="7" t="s">
        <v>23</v>
      </c>
      <c r="AO332" s="7" t="s">
        <v>23</v>
      </c>
      <c r="AP332" s="7" t="s">
        <v>23</v>
      </c>
    </row>
    <row r="333" spans="11:42">
      <c r="K333" s="21">
        <v>329</v>
      </c>
      <c r="L333" s="24" t="str">
        <f t="shared" si="44"/>
        <v/>
      </c>
      <c r="M333" s="24" t="str">
        <f t="shared" si="45"/>
        <v/>
      </c>
      <c r="N333" s="24" t="str">
        <f t="shared" si="46"/>
        <v/>
      </c>
      <c r="O333" s="24" t="str">
        <f t="shared" si="47"/>
        <v/>
      </c>
      <c r="P333" s="24" t="str">
        <f t="shared" si="48"/>
        <v/>
      </c>
      <c r="Q333" s="24" t="str">
        <f t="shared" si="49"/>
        <v/>
      </c>
      <c r="R333" s="24" t="str">
        <f t="shared" si="50"/>
        <v/>
      </c>
      <c r="T333" s="13" t="s">
        <v>23</v>
      </c>
      <c r="U333" s="7" t="s">
        <v>23</v>
      </c>
      <c r="V333" s="7" t="s">
        <v>23</v>
      </c>
      <c r="W333" s="7" t="s">
        <v>23</v>
      </c>
      <c r="X333" s="7" t="s">
        <v>23</v>
      </c>
      <c r="Y333" s="7" t="s">
        <v>23</v>
      </c>
      <c r="Z333" s="7" t="s">
        <v>23</v>
      </c>
      <c r="AB333" s="7" t="s">
        <v>23</v>
      </c>
      <c r="AC333" s="7" t="s">
        <v>23</v>
      </c>
      <c r="AD333" s="7" t="s">
        <v>23</v>
      </c>
      <c r="AE333" s="7" t="s">
        <v>23</v>
      </c>
      <c r="AF333" s="7" t="s">
        <v>23</v>
      </c>
      <c r="AG333" s="7" t="s">
        <v>23</v>
      </c>
      <c r="AH333" s="7" t="s">
        <v>23</v>
      </c>
      <c r="AJ333" s="7" t="s">
        <v>23</v>
      </c>
      <c r="AK333" s="7" t="s">
        <v>23</v>
      </c>
      <c r="AL333" s="7" t="s">
        <v>23</v>
      </c>
      <c r="AM333" s="7" t="s">
        <v>23</v>
      </c>
      <c r="AN333" s="7" t="s">
        <v>23</v>
      </c>
      <c r="AO333" s="7" t="s">
        <v>23</v>
      </c>
      <c r="AP333" s="7" t="s">
        <v>23</v>
      </c>
    </row>
    <row r="334" spans="11:42">
      <c r="K334" s="22">
        <v>330</v>
      </c>
      <c r="L334" s="24" t="str">
        <f t="shared" si="44"/>
        <v/>
      </c>
      <c r="M334" s="24" t="str">
        <f t="shared" si="45"/>
        <v/>
      </c>
      <c r="N334" s="24" t="str">
        <f t="shared" si="46"/>
        <v/>
      </c>
      <c r="O334" s="24" t="str">
        <f t="shared" si="47"/>
        <v/>
      </c>
      <c r="P334" s="24" t="str">
        <f t="shared" si="48"/>
        <v/>
      </c>
      <c r="Q334" s="24" t="str">
        <f t="shared" si="49"/>
        <v/>
      </c>
      <c r="R334" s="24" t="str">
        <f t="shared" si="50"/>
        <v/>
      </c>
      <c r="T334" s="13" t="s">
        <v>23</v>
      </c>
      <c r="U334" s="7" t="s">
        <v>23</v>
      </c>
      <c r="V334" s="7" t="s">
        <v>23</v>
      </c>
      <c r="W334" s="7" t="s">
        <v>23</v>
      </c>
      <c r="X334" s="7" t="s">
        <v>23</v>
      </c>
      <c r="Y334" s="7" t="s">
        <v>23</v>
      </c>
      <c r="Z334" s="7" t="s">
        <v>23</v>
      </c>
      <c r="AB334" s="7" t="s">
        <v>23</v>
      </c>
      <c r="AC334" s="7" t="s">
        <v>23</v>
      </c>
      <c r="AD334" s="7" t="s">
        <v>23</v>
      </c>
      <c r="AE334" s="7" t="s">
        <v>23</v>
      </c>
      <c r="AF334" s="7" t="s">
        <v>23</v>
      </c>
      <c r="AG334" s="7" t="s">
        <v>23</v>
      </c>
      <c r="AH334" s="7" t="s">
        <v>23</v>
      </c>
      <c r="AJ334" s="7" t="s">
        <v>23</v>
      </c>
      <c r="AK334" s="7" t="s">
        <v>23</v>
      </c>
      <c r="AL334" s="7" t="s">
        <v>23</v>
      </c>
      <c r="AM334" s="7" t="s">
        <v>23</v>
      </c>
      <c r="AN334" s="7" t="s">
        <v>23</v>
      </c>
      <c r="AO334" s="7" t="s">
        <v>23</v>
      </c>
      <c r="AP334" s="7" t="s">
        <v>23</v>
      </c>
    </row>
    <row r="335" spans="11:42">
      <c r="K335" s="21">
        <v>331</v>
      </c>
      <c r="L335" s="24" t="str">
        <f t="shared" si="44"/>
        <v/>
      </c>
      <c r="M335" s="24" t="str">
        <f t="shared" si="45"/>
        <v/>
      </c>
      <c r="N335" s="24" t="str">
        <f t="shared" si="46"/>
        <v/>
      </c>
      <c r="O335" s="24" t="str">
        <f t="shared" si="47"/>
        <v/>
      </c>
      <c r="P335" s="24" t="str">
        <f t="shared" si="48"/>
        <v/>
      </c>
      <c r="Q335" s="24" t="str">
        <f t="shared" si="49"/>
        <v/>
      </c>
      <c r="R335" s="24" t="str">
        <f t="shared" si="50"/>
        <v/>
      </c>
      <c r="T335" s="13" t="s">
        <v>23</v>
      </c>
      <c r="U335" s="7" t="s">
        <v>23</v>
      </c>
      <c r="V335" s="7" t="s">
        <v>23</v>
      </c>
      <c r="W335" s="7" t="s">
        <v>23</v>
      </c>
      <c r="X335" s="7" t="s">
        <v>23</v>
      </c>
      <c r="Y335" s="7" t="s">
        <v>23</v>
      </c>
      <c r="Z335" s="7" t="s">
        <v>23</v>
      </c>
      <c r="AB335" s="7" t="s">
        <v>23</v>
      </c>
      <c r="AC335" s="7" t="s">
        <v>23</v>
      </c>
      <c r="AD335" s="7" t="s">
        <v>23</v>
      </c>
      <c r="AE335" s="7" t="s">
        <v>23</v>
      </c>
      <c r="AF335" s="7" t="s">
        <v>23</v>
      </c>
      <c r="AG335" s="7" t="s">
        <v>23</v>
      </c>
      <c r="AH335" s="7" t="s">
        <v>23</v>
      </c>
      <c r="AJ335" s="7" t="s">
        <v>23</v>
      </c>
      <c r="AK335" s="7" t="s">
        <v>23</v>
      </c>
      <c r="AL335" s="7" t="s">
        <v>23</v>
      </c>
      <c r="AM335" s="7" t="s">
        <v>23</v>
      </c>
      <c r="AN335" s="7" t="s">
        <v>23</v>
      </c>
      <c r="AO335" s="7" t="s">
        <v>23</v>
      </c>
      <c r="AP335" s="7" t="s">
        <v>23</v>
      </c>
    </row>
    <row r="336" spans="11:42">
      <c r="K336" s="22">
        <v>332</v>
      </c>
      <c r="L336" s="24" t="str">
        <f t="shared" si="44"/>
        <v/>
      </c>
      <c r="M336" s="24" t="str">
        <f t="shared" si="45"/>
        <v/>
      </c>
      <c r="N336" s="24" t="str">
        <f t="shared" si="46"/>
        <v/>
      </c>
      <c r="O336" s="24" t="str">
        <f t="shared" si="47"/>
        <v/>
      </c>
      <c r="P336" s="24" t="str">
        <f t="shared" si="48"/>
        <v/>
      </c>
      <c r="Q336" s="24" t="str">
        <f t="shared" si="49"/>
        <v/>
      </c>
      <c r="R336" s="24" t="str">
        <f t="shared" si="50"/>
        <v/>
      </c>
      <c r="T336" s="13" t="s">
        <v>23</v>
      </c>
      <c r="U336" s="7" t="s">
        <v>23</v>
      </c>
      <c r="V336" s="7" t="s">
        <v>23</v>
      </c>
      <c r="W336" s="7" t="s">
        <v>23</v>
      </c>
      <c r="X336" s="7" t="s">
        <v>23</v>
      </c>
      <c r="Y336" s="7" t="s">
        <v>23</v>
      </c>
      <c r="Z336" s="7" t="s">
        <v>23</v>
      </c>
      <c r="AB336" s="7" t="s">
        <v>23</v>
      </c>
      <c r="AC336" s="7" t="s">
        <v>23</v>
      </c>
      <c r="AD336" s="7" t="s">
        <v>23</v>
      </c>
      <c r="AE336" s="7" t="s">
        <v>23</v>
      </c>
      <c r="AF336" s="7" t="s">
        <v>23</v>
      </c>
      <c r="AG336" s="7" t="s">
        <v>23</v>
      </c>
      <c r="AH336" s="7" t="s">
        <v>23</v>
      </c>
      <c r="AJ336" s="7" t="s">
        <v>23</v>
      </c>
      <c r="AK336" s="7" t="s">
        <v>23</v>
      </c>
      <c r="AL336" s="7" t="s">
        <v>23</v>
      </c>
      <c r="AM336" s="7" t="s">
        <v>23</v>
      </c>
      <c r="AN336" s="7" t="s">
        <v>23</v>
      </c>
      <c r="AO336" s="7" t="s">
        <v>23</v>
      </c>
      <c r="AP336" s="7" t="s">
        <v>23</v>
      </c>
    </row>
    <row r="337" spans="11:42">
      <c r="K337" s="21">
        <v>333</v>
      </c>
      <c r="L337" s="24" t="str">
        <f t="shared" si="44"/>
        <v/>
      </c>
      <c r="M337" s="24" t="str">
        <f t="shared" si="45"/>
        <v/>
      </c>
      <c r="N337" s="24" t="str">
        <f t="shared" si="46"/>
        <v/>
      </c>
      <c r="O337" s="24" t="str">
        <f t="shared" si="47"/>
        <v/>
      </c>
      <c r="P337" s="24" t="str">
        <f t="shared" si="48"/>
        <v/>
      </c>
      <c r="Q337" s="24" t="str">
        <f t="shared" si="49"/>
        <v/>
      </c>
      <c r="R337" s="24" t="str">
        <f t="shared" si="50"/>
        <v/>
      </c>
      <c r="T337" s="13" t="s">
        <v>23</v>
      </c>
      <c r="U337" s="7" t="s">
        <v>23</v>
      </c>
      <c r="V337" s="7" t="s">
        <v>23</v>
      </c>
      <c r="W337" s="7" t="s">
        <v>23</v>
      </c>
      <c r="X337" s="7" t="s">
        <v>23</v>
      </c>
      <c r="Y337" s="7" t="s">
        <v>23</v>
      </c>
      <c r="Z337" s="7" t="s">
        <v>23</v>
      </c>
      <c r="AB337" s="7" t="s">
        <v>23</v>
      </c>
      <c r="AC337" s="7" t="s">
        <v>23</v>
      </c>
      <c r="AD337" s="7" t="s">
        <v>23</v>
      </c>
      <c r="AE337" s="7" t="s">
        <v>23</v>
      </c>
      <c r="AF337" s="7" t="s">
        <v>23</v>
      </c>
      <c r="AG337" s="7" t="s">
        <v>23</v>
      </c>
      <c r="AH337" s="7" t="s">
        <v>23</v>
      </c>
      <c r="AJ337" s="7" t="s">
        <v>23</v>
      </c>
      <c r="AK337" s="7" t="s">
        <v>23</v>
      </c>
      <c r="AL337" s="7" t="s">
        <v>23</v>
      </c>
      <c r="AM337" s="7" t="s">
        <v>23</v>
      </c>
      <c r="AN337" s="7" t="s">
        <v>23</v>
      </c>
      <c r="AO337" s="7" t="s">
        <v>23</v>
      </c>
      <c r="AP337" s="7" t="s">
        <v>23</v>
      </c>
    </row>
    <row r="338" spans="11:42">
      <c r="K338" s="22">
        <v>334</v>
      </c>
      <c r="L338" s="24" t="str">
        <f t="shared" si="44"/>
        <v/>
      </c>
      <c r="M338" s="24" t="str">
        <f t="shared" si="45"/>
        <v/>
      </c>
      <c r="N338" s="24" t="str">
        <f t="shared" si="46"/>
        <v/>
      </c>
      <c r="O338" s="24" t="str">
        <f t="shared" si="47"/>
        <v/>
      </c>
      <c r="P338" s="24" t="str">
        <f t="shared" si="48"/>
        <v/>
      </c>
      <c r="Q338" s="24" t="str">
        <f t="shared" si="49"/>
        <v/>
      </c>
      <c r="R338" s="24" t="str">
        <f t="shared" ref="R338:R369" si="51">IF(Z338&lt;&gt;"",_xlfn.XLOOKUP(Z338,$K$4:$K$27,$A$4:$A$27),"")</f>
        <v/>
      </c>
      <c r="T338" s="13" t="s">
        <v>23</v>
      </c>
      <c r="U338" s="7" t="s">
        <v>23</v>
      </c>
      <c r="V338" s="7" t="s">
        <v>23</v>
      </c>
      <c r="W338" s="7" t="s">
        <v>23</v>
      </c>
      <c r="X338" s="7" t="s">
        <v>23</v>
      </c>
      <c r="Y338" s="7" t="s">
        <v>23</v>
      </c>
      <c r="Z338" s="7" t="s">
        <v>23</v>
      </c>
      <c r="AB338" s="7" t="s">
        <v>23</v>
      </c>
      <c r="AC338" s="7" t="s">
        <v>23</v>
      </c>
      <c r="AD338" s="7" t="s">
        <v>23</v>
      </c>
      <c r="AE338" s="7" t="s">
        <v>23</v>
      </c>
      <c r="AF338" s="7" t="s">
        <v>23</v>
      </c>
      <c r="AG338" s="7" t="s">
        <v>23</v>
      </c>
      <c r="AH338" s="7" t="s">
        <v>23</v>
      </c>
      <c r="AJ338" s="7" t="s">
        <v>23</v>
      </c>
      <c r="AK338" s="7" t="s">
        <v>23</v>
      </c>
      <c r="AL338" s="7" t="s">
        <v>23</v>
      </c>
      <c r="AM338" s="7" t="s">
        <v>23</v>
      </c>
      <c r="AN338" s="7" t="s">
        <v>23</v>
      </c>
      <c r="AO338" s="7" t="s">
        <v>23</v>
      </c>
      <c r="AP338" s="7" t="s">
        <v>23</v>
      </c>
    </row>
    <row r="339" spans="11:42">
      <c r="K339" s="21">
        <v>335</v>
      </c>
      <c r="L339" s="24" t="str">
        <f t="shared" si="44"/>
        <v/>
      </c>
      <c r="M339" s="24" t="str">
        <f t="shared" si="45"/>
        <v/>
      </c>
      <c r="N339" s="24" t="str">
        <f t="shared" si="46"/>
        <v/>
      </c>
      <c r="O339" s="24" t="str">
        <f t="shared" si="47"/>
        <v/>
      </c>
      <c r="P339" s="24" t="str">
        <f t="shared" si="48"/>
        <v/>
      </c>
      <c r="Q339" s="24" t="str">
        <f t="shared" si="49"/>
        <v/>
      </c>
      <c r="R339" s="24" t="str">
        <f t="shared" si="51"/>
        <v/>
      </c>
      <c r="T339" s="13" t="s">
        <v>23</v>
      </c>
      <c r="U339" s="7" t="s">
        <v>23</v>
      </c>
      <c r="V339" s="7" t="s">
        <v>23</v>
      </c>
      <c r="W339" s="7" t="s">
        <v>23</v>
      </c>
      <c r="X339" s="7" t="s">
        <v>23</v>
      </c>
      <c r="Y339" s="7" t="s">
        <v>23</v>
      </c>
      <c r="Z339" s="7" t="s">
        <v>23</v>
      </c>
      <c r="AB339" s="7" t="s">
        <v>23</v>
      </c>
      <c r="AC339" s="7" t="s">
        <v>23</v>
      </c>
      <c r="AD339" s="7" t="s">
        <v>23</v>
      </c>
      <c r="AE339" s="7" t="s">
        <v>23</v>
      </c>
      <c r="AF339" s="7" t="s">
        <v>23</v>
      </c>
      <c r="AG339" s="7" t="s">
        <v>23</v>
      </c>
      <c r="AH339" s="7" t="s">
        <v>23</v>
      </c>
      <c r="AJ339" s="7" t="s">
        <v>23</v>
      </c>
      <c r="AK339" s="7" t="s">
        <v>23</v>
      </c>
      <c r="AL339" s="7" t="s">
        <v>23</v>
      </c>
      <c r="AM339" s="7" t="s">
        <v>23</v>
      </c>
      <c r="AN339" s="7" t="s">
        <v>23</v>
      </c>
      <c r="AO339" s="7" t="s">
        <v>23</v>
      </c>
      <c r="AP339" s="7" t="s">
        <v>23</v>
      </c>
    </row>
    <row r="340" spans="11:42">
      <c r="K340" s="22">
        <v>336</v>
      </c>
      <c r="L340" s="24" t="str">
        <f t="shared" si="44"/>
        <v/>
      </c>
      <c r="M340" s="24" t="str">
        <f t="shared" si="45"/>
        <v/>
      </c>
      <c r="N340" s="24" t="str">
        <f t="shared" si="46"/>
        <v/>
      </c>
      <c r="O340" s="24" t="str">
        <f t="shared" si="47"/>
        <v/>
      </c>
      <c r="P340" s="24" t="str">
        <f t="shared" si="48"/>
        <v/>
      </c>
      <c r="Q340" s="24" t="str">
        <f t="shared" si="49"/>
        <v/>
      </c>
      <c r="R340" s="24" t="str">
        <f t="shared" si="51"/>
        <v/>
      </c>
      <c r="T340" s="13" t="s">
        <v>23</v>
      </c>
      <c r="U340" s="7" t="s">
        <v>23</v>
      </c>
      <c r="V340" s="7" t="s">
        <v>23</v>
      </c>
      <c r="W340" s="7" t="s">
        <v>23</v>
      </c>
      <c r="X340" s="7" t="s">
        <v>23</v>
      </c>
      <c r="Y340" s="7" t="s">
        <v>23</v>
      </c>
      <c r="Z340" s="7" t="s">
        <v>23</v>
      </c>
      <c r="AB340" s="7" t="s">
        <v>23</v>
      </c>
      <c r="AC340" s="7" t="s">
        <v>23</v>
      </c>
      <c r="AD340" s="7" t="s">
        <v>23</v>
      </c>
      <c r="AE340" s="7" t="s">
        <v>23</v>
      </c>
      <c r="AF340" s="7" t="s">
        <v>23</v>
      </c>
      <c r="AG340" s="7" t="s">
        <v>23</v>
      </c>
      <c r="AH340" s="7" t="s">
        <v>23</v>
      </c>
      <c r="AJ340" s="7" t="s">
        <v>23</v>
      </c>
      <c r="AK340" s="7" t="s">
        <v>23</v>
      </c>
      <c r="AL340" s="7" t="s">
        <v>23</v>
      </c>
      <c r="AM340" s="7" t="s">
        <v>23</v>
      </c>
      <c r="AN340" s="7" t="s">
        <v>23</v>
      </c>
      <c r="AO340" s="7" t="s">
        <v>23</v>
      </c>
      <c r="AP340" s="7" t="s">
        <v>23</v>
      </c>
    </row>
    <row r="341" spans="11:42">
      <c r="K341" s="21">
        <v>337</v>
      </c>
      <c r="L341" s="24" t="str">
        <f t="shared" si="44"/>
        <v/>
      </c>
      <c r="M341" s="24" t="str">
        <f t="shared" si="45"/>
        <v/>
      </c>
      <c r="N341" s="24" t="str">
        <f t="shared" si="46"/>
        <v/>
      </c>
      <c r="O341" s="24" t="str">
        <f t="shared" si="47"/>
        <v/>
      </c>
      <c r="P341" s="24" t="str">
        <f t="shared" si="48"/>
        <v/>
      </c>
      <c r="Q341" s="24" t="str">
        <f t="shared" si="49"/>
        <v/>
      </c>
      <c r="R341" s="24" t="str">
        <f t="shared" si="51"/>
        <v/>
      </c>
      <c r="T341" s="13" t="s">
        <v>23</v>
      </c>
      <c r="U341" s="7" t="s">
        <v>23</v>
      </c>
      <c r="V341" s="7" t="s">
        <v>23</v>
      </c>
      <c r="W341" s="7" t="s">
        <v>23</v>
      </c>
      <c r="X341" s="7" t="s">
        <v>23</v>
      </c>
      <c r="Y341" s="7" t="s">
        <v>23</v>
      </c>
      <c r="Z341" s="7" t="s">
        <v>23</v>
      </c>
      <c r="AB341" s="7" t="s">
        <v>23</v>
      </c>
      <c r="AC341" s="7" t="s">
        <v>23</v>
      </c>
      <c r="AD341" s="7" t="s">
        <v>23</v>
      </c>
      <c r="AE341" s="7" t="s">
        <v>23</v>
      </c>
      <c r="AF341" s="7" t="s">
        <v>23</v>
      </c>
      <c r="AG341" s="7" t="s">
        <v>23</v>
      </c>
      <c r="AH341" s="7" t="s">
        <v>23</v>
      </c>
      <c r="AJ341" s="7" t="s">
        <v>23</v>
      </c>
      <c r="AK341" s="7" t="s">
        <v>23</v>
      </c>
      <c r="AL341" s="7" t="s">
        <v>23</v>
      </c>
      <c r="AM341" s="7" t="s">
        <v>23</v>
      </c>
      <c r="AN341" s="7" t="s">
        <v>23</v>
      </c>
      <c r="AO341" s="7" t="s">
        <v>23</v>
      </c>
      <c r="AP341" s="7" t="s">
        <v>23</v>
      </c>
    </row>
    <row r="342" spans="11:42">
      <c r="K342" s="22">
        <v>338</v>
      </c>
      <c r="L342" s="24" t="str">
        <f t="shared" ref="L342:L373" si="52">IF(T342&lt;&gt;"",_xlfn.XLOOKUP(T342,$K$4:$K$27,$A$4:$A$27),"")</f>
        <v/>
      </c>
      <c r="M342" s="24" t="str">
        <f t="shared" ref="M342:M373" si="53">IF(U342&lt;&gt;"",_xlfn.XLOOKUP(U342,$K$4:$K$27,$A$4:$A$27),"")</f>
        <v/>
      </c>
      <c r="N342" s="24" t="str">
        <f t="shared" ref="N342:N373" si="54">IF(V342&lt;&gt;"",_xlfn.XLOOKUP(V342,$K$4:$K$27,$A$4:$A$27),"")</f>
        <v/>
      </c>
      <c r="O342" s="24" t="str">
        <f t="shared" ref="O342:O373" si="55">IF(W342&lt;&gt;"",_xlfn.XLOOKUP(W342,$K$4:$K$27,$A$4:$A$27),"")</f>
        <v/>
      </c>
      <c r="P342" s="24" t="str">
        <f t="shared" ref="P342:P373" si="56">IF(X342&lt;&gt;"",_xlfn.XLOOKUP(X342,$K$4:$K$27,$A$4:$A$27),"")</f>
        <v/>
      </c>
      <c r="Q342" s="24" t="str">
        <f t="shared" ref="Q342:Q373" si="57">IF(Y342&lt;&gt;"",_xlfn.XLOOKUP(Y342,$K$4:$K$27,$A$4:$A$27),"")</f>
        <v/>
      </c>
      <c r="R342" s="24" t="str">
        <f t="shared" si="51"/>
        <v/>
      </c>
      <c r="T342" s="13" t="s">
        <v>23</v>
      </c>
      <c r="U342" s="7" t="s">
        <v>23</v>
      </c>
      <c r="V342" s="7" t="s">
        <v>23</v>
      </c>
      <c r="W342" s="7" t="s">
        <v>23</v>
      </c>
      <c r="X342" s="7" t="s">
        <v>23</v>
      </c>
      <c r="Y342" s="7" t="s">
        <v>23</v>
      </c>
      <c r="Z342" s="7" t="s">
        <v>23</v>
      </c>
      <c r="AB342" s="7" t="s">
        <v>23</v>
      </c>
      <c r="AC342" s="7" t="s">
        <v>23</v>
      </c>
      <c r="AD342" s="7" t="s">
        <v>23</v>
      </c>
      <c r="AE342" s="7" t="s">
        <v>23</v>
      </c>
      <c r="AF342" s="7" t="s">
        <v>23</v>
      </c>
      <c r="AG342" s="7" t="s">
        <v>23</v>
      </c>
      <c r="AH342" s="7" t="s">
        <v>23</v>
      </c>
      <c r="AJ342" s="7" t="s">
        <v>23</v>
      </c>
      <c r="AK342" s="7" t="s">
        <v>23</v>
      </c>
      <c r="AL342" s="7" t="s">
        <v>23</v>
      </c>
      <c r="AM342" s="7" t="s">
        <v>23</v>
      </c>
      <c r="AN342" s="7" t="s">
        <v>23</v>
      </c>
      <c r="AO342" s="7" t="s">
        <v>23</v>
      </c>
      <c r="AP342" s="7" t="s">
        <v>23</v>
      </c>
    </row>
    <row r="343" spans="11:42">
      <c r="K343" s="21">
        <v>339</v>
      </c>
      <c r="L343" s="24" t="str">
        <f t="shared" si="52"/>
        <v/>
      </c>
      <c r="M343" s="24" t="str">
        <f t="shared" si="53"/>
        <v/>
      </c>
      <c r="N343" s="24" t="str">
        <f t="shared" si="54"/>
        <v/>
      </c>
      <c r="O343" s="24" t="str">
        <f t="shared" si="55"/>
        <v/>
      </c>
      <c r="P343" s="24" t="str">
        <f t="shared" si="56"/>
        <v/>
      </c>
      <c r="Q343" s="24" t="str">
        <f t="shared" si="57"/>
        <v/>
      </c>
      <c r="R343" s="24" t="str">
        <f t="shared" si="51"/>
        <v/>
      </c>
      <c r="T343" s="13" t="s">
        <v>23</v>
      </c>
      <c r="U343" s="7" t="s">
        <v>23</v>
      </c>
      <c r="V343" s="7" t="s">
        <v>23</v>
      </c>
      <c r="W343" s="7" t="s">
        <v>23</v>
      </c>
      <c r="X343" s="7" t="s">
        <v>23</v>
      </c>
      <c r="Y343" s="7" t="s">
        <v>23</v>
      </c>
      <c r="Z343" s="7" t="s">
        <v>23</v>
      </c>
      <c r="AB343" s="7" t="s">
        <v>23</v>
      </c>
      <c r="AC343" s="7" t="s">
        <v>23</v>
      </c>
      <c r="AD343" s="7" t="s">
        <v>23</v>
      </c>
      <c r="AE343" s="7" t="s">
        <v>23</v>
      </c>
      <c r="AF343" s="7" t="s">
        <v>23</v>
      </c>
      <c r="AG343" s="7" t="s">
        <v>23</v>
      </c>
      <c r="AH343" s="7" t="s">
        <v>23</v>
      </c>
      <c r="AJ343" s="7" t="s">
        <v>23</v>
      </c>
      <c r="AK343" s="7" t="s">
        <v>23</v>
      </c>
      <c r="AL343" s="7" t="s">
        <v>23</v>
      </c>
      <c r="AM343" s="7" t="s">
        <v>23</v>
      </c>
      <c r="AN343" s="7" t="s">
        <v>23</v>
      </c>
      <c r="AO343" s="7" t="s">
        <v>23</v>
      </c>
      <c r="AP343" s="7" t="s">
        <v>23</v>
      </c>
    </row>
    <row r="344" spans="11:42">
      <c r="K344" s="22">
        <v>340</v>
      </c>
      <c r="L344" s="24" t="str">
        <f t="shared" si="52"/>
        <v/>
      </c>
      <c r="M344" s="24" t="str">
        <f t="shared" si="53"/>
        <v/>
      </c>
      <c r="N344" s="24" t="str">
        <f t="shared" si="54"/>
        <v/>
      </c>
      <c r="O344" s="24" t="str">
        <f t="shared" si="55"/>
        <v/>
      </c>
      <c r="P344" s="24" t="str">
        <f t="shared" si="56"/>
        <v/>
      </c>
      <c r="Q344" s="24" t="str">
        <f t="shared" si="57"/>
        <v/>
      </c>
      <c r="R344" s="24" t="str">
        <f t="shared" si="51"/>
        <v/>
      </c>
      <c r="T344" s="13" t="s">
        <v>23</v>
      </c>
      <c r="U344" s="7" t="s">
        <v>23</v>
      </c>
      <c r="V344" s="7" t="s">
        <v>23</v>
      </c>
      <c r="W344" s="7" t="s">
        <v>23</v>
      </c>
      <c r="X344" s="7" t="s">
        <v>23</v>
      </c>
      <c r="Y344" s="7" t="s">
        <v>23</v>
      </c>
      <c r="Z344" s="7" t="s">
        <v>23</v>
      </c>
      <c r="AB344" s="7" t="s">
        <v>23</v>
      </c>
      <c r="AC344" s="7" t="s">
        <v>23</v>
      </c>
      <c r="AD344" s="7" t="s">
        <v>23</v>
      </c>
      <c r="AE344" s="7" t="s">
        <v>23</v>
      </c>
      <c r="AF344" s="7" t="s">
        <v>23</v>
      </c>
      <c r="AG344" s="7" t="s">
        <v>23</v>
      </c>
      <c r="AH344" s="7" t="s">
        <v>23</v>
      </c>
      <c r="AJ344" s="7" t="s">
        <v>23</v>
      </c>
      <c r="AK344" s="7" t="s">
        <v>23</v>
      </c>
      <c r="AL344" s="7" t="s">
        <v>23</v>
      </c>
      <c r="AM344" s="7" t="s">
        <v>23</v>
      </c>
      <c r="AN344" s="7" t="s">
        <v>23</v>
      </c>
      <c r="AO344" s="7" t="s">
        <v>23</v>
      </c>
      <c r="AP344" s="7" t="s">
        <v>23</v>
      </c>
    </row>
    <row r="345" spans="11:42">
      <c r="K345" s="21">
        <v>341</v>
      </c>
      <c r="L345" s="24" t="str">
        <f t="shared" si="52"/>
        <v/>
      </c>
      <c r="M345" s="24" t="str">
        <f t="shared" si="53"/>
        <v/>
      </c>
      <c r="N345" s="24" t="str">
        <f t="shared" si="54"/>
        <v/>
      </c>
      <c r="O345" s="24" t="str">
        <f t="shared" si="55"/>
        <v/>
      </c>
      <c r="P345" s="24" t="str">
        <f t="shared" si="56"/>
        <v/>
      </c>
      <c r="Q345" s="24" t="str">
        <f t="shared" si="57"/>
        <v/>
      </c>
      <c r="R345" s="24" t="str">
        <f t="shared" si="51"/>
        <v/>
      </c>
      <c r="T345" s="13" t="s">
        <v>23</v>
      </c>
      <c r="U345" s="7" t="s">
        <v>23</v>
      </c>
      <c r="V345" s="7" t="s">
        <v>23</v>
      </c>
      <c r="W345" s="7" t="s">
        <v>23</v>
      </c>
      <c r="X345" s="7" t="s">
        <v>23</v>
      </c>
      <c r="Y345" s="7" t="s">
        <v>23</v>
      </c>
      <c r="Z345" s="7" t="s">
        <v>23</v>
      </c>
      <c r="AB345" s="7" t="s">
        <v>23</v>
      </c>
      <c r="AC345" s="7" t="s">
        <v>23</v>
      </c>
      <c r="AD345" s="7" t="s">
        <v>23</v>
      </c>
      <c r="AE345" s="7" t="s">
        <v>23</v>
      </c>
      <c r="AF345" s="7" t="s">
        <v>23</v>
      </c>
      <c r="AG345" s="7" t="s">
        <v>23</v>
      </c>
      <c r="AH345" s="7" t="s">
        <v>23</v>
      </c>
      <c r="AJ345" s="7" t="s">
        <v>23</v>
      </c>
      <c r="AK345" s="7" t="s">
        <v>23</v>
      </c>
      <c r="AL345" s="7" t="s">
        <v>23</v>
      </c>
      <c r="AM345" s="7" t="s">
        <v>23</v>
      </c>
      <c r="AN345" s="7" t="s">
        <v>23</v>
      </c>
      <c r="AO345" s="7" t="s">
        <v>23</v>
      </c>
      <c r="AP345" s="7" t="s">
        <v>23</v>
      </c>
    </row>
    <row r="346" spans="11:42">
      <c r="K346" s="22">
        <v>342</v>
      </c>
      <c r="L346" s="24" t="str">
        <f t="shared" si="52"/>
        <v/>
      </c>
      <c r="M346" s="24" t="str">
        <f t="shared" si="53"/>
        <v/>
      </c>
      <c r="N346" s="24" t="str">
        <f t="shared" si="54"/>
        <v/>
      </c>
      <c r="O346" s="24" t="str">
        <f t="shared" si="55"/>
        <v/>
      </c>
      <c r="P346" s="24" t="str">
        <f t="shared" si="56"/>
        <v/>
      </c>
      <c r="Q346" s="24" t="str">
        <f t="shared" si="57"/>
        <v/>
      </c>
      <c r="R346" s="24" t="str">
        <f t="shared" si="51"/>
        <v/>
      </c>
      <c r="T346" s="13" t="s">
        <v>23</v>
      </c>
      <c r="U346" s="7" t="s">
        <v>23</v>
      </c>
      <c r="V346" s="7" t="s">
        <v>23</v>
      </c>
      <c r="W346" s="7" t="s">
        <v>23</v>
      </c>
      <c r="X346" s="7" t="s">
        <v>23</v>
      </c>
      <c r="Y346" s="7" t="s">
        <v>23</v>
      </c>
      <c r="Z346" s="7" t="s">
        <v>23</v>
      </c>
      <c r="AB346" s="7" t="s">
        <v>23</v>
      </c>
      <c r="AC346" s="7" t="s">
        <v>23</v>
      </c>
      <c r="AD346" s="7" t="s">
        <v>23</v>
      </c>
      <c r="AE346" s="7" t="s">
        <v>23</v>
      </c>
      <c r="AF346" s="7" t="s">
        <v>23</v>
      </c>
      <c r="AG346" s="7" t="s">
        <v>23</v>
      </c>
      <c r="AH346" s="7" t="s">
        <v>23</v>
      </c>
      <c r="AJ346" s="7" t="s">
        <v>23</v>
      </c>
      <c r="AK346" s="7" t="s">
        <v>23</v>
      </c>
      <c r="AL346" s="7" t="s">
        <v>23</v>
      </c>
      <c r="AM346" s="7" t="s">
        <v>23</v>
      </c>
      <c r="AN346" s="7" t="s">
        <v>23</v>
      </c>
      <c r="AO346" s="7" t="s">
        <v>23</v>
      </c>
      <c r="AP346" s="7" t="s">
        <v>23</v>
      </c>
    </row>
    <row r="347" spans="11:42">
      <c r="K347" s="21">
        <v>343</v>
      </c>
      <c r="L347" s="24" t="str">
        <f t="shared" si="52"/>
        <v/>
      </c>
      <c r="M347" s="24" t="str">
        <f t="shared" si="53"/>
        <v/>
      </c>
      <c r="N347" s="24" t="str">
        <f t="shared" si="54"/>
        <v/>
      </c>
      <c r="O347" s="24" t="str">
        <f t="shared" si="55"/>
        <v/>
      </c>
      <c r="P347" s="24" t="str">
        <f t="shared" si="56"/>
        <v/>
      </c>
      <c r="Q347" s="24" t="str">
        <f t="shared" si="57"/>
        <v/>
      </c>
      <c r="R347" s="24" t="str">
        <f t="shared" si="51"/>
        <v/>
      </c>
      <c r="T347" s="13" t="s">
        <v>23</v>
      </c>
      <c r="U347" s="7" t="s">
        <v>23</v>
      </c>
      <c r="V347" s="7" t="s">
        <v>23</v>
      </c>
      <c r="W347" s="7" t="s">
        <v>23</v>
      </c>
      <c r="X347" s="7" t="s">
        <v>23</v>
      </c>
      <c r="Y347" s="7" t="s">
        <v>23</v>
      </c>
      <c r="Z347" s="7" t="s">
        <v>23</v>
      </c>
      <c r="AB347" s="7" t="s">
        <v>23</v>
      </c>
      <c r="AC347" s="7" t="s">
        <v>23</v>
      </c>
      <c r="AD347" s="7" t="s">
        <v>23</v>
      </c>
      <c r="AE347" s="7" t="s">
        <v>23</v>
      </c>
      <c r="AF347" s="7" t="s">
        <v>23</v>
      </c>
      <c r="AG347" s="7" t="s">
        <v>23</v>
      </c>
      <c r="AH347" s="7" t="s">
        <v>23</v>
      </c>
      <c r="AJ347" s="7" t="s">
        <v>23</v>
      </c>
      <c r="AK347" s="7" t="s">
        <v>23</v>
      </c>
      <c r="AL347" s="7" t="s">
        <v>23</v>
      </c>
      <c r="AM347" s="7" t="s">
        <v>23</v>
      </c>
      <c r="AN347" s="7" t="s">
        <v>23</v>
      </c>
      <c r="AO347" s="7" t="s">
        <v>23</v>
      </c>
      <c r="AP347" s="7" t="s">
        <v>23</v>
      </c>
    </row>
    <row r="348" spans="11:42">
      <c r="K348" s="22">
        <v>344</v>
      </c>
      <c r="L348" s="24" t="str">
        <f t="shared" si="52"/>
        <v/>
      </c>
      <c r="M348" s="24" t="str">
        <f t="shared" si="53"/>
        <v/>
      </c>
      <c r="N348" s="24" t="str">
        <f t="shared" si="54"/>
        <v/>
      </c>
      <c r="O348" s="24" t="str">
        <f t="shared" si="55"/>
        <v/>
      </c>
      <c r="P348" s="24" t="str">
        <f t="shared" si="56"/>
        <v/>
      </c>
      <c r="Q348" s="24" t="str">
        <f t="shared" si="57"/>
        <v/>
      </c>
      <c r="R348" s="24" t="str">
        <f t="shared" si="51"/>
        <v/>
      </c>
      <c r="T348" s="13" t="s">
        <v>23</v>
      </c>
      <c r="U348" s="7" t="s">
        <v>23</v>
      </c>
      <c r="V348" s="7" t="s">
        <v>23</v>
      </c>
      <c r="W348" s="7" t="s">
        <v>23</v>
      </c>
      <c r="X348" s="7" t="s">
        <v>23</v>
      </c>
      <c r="Y348" s="7" t="s">
        <v>23</v>
      </c>
      <c r="Z348" s="7" t="s">
        <v>23</v>
      </c>
      <c r="AB348" s="7" t="s">
        <v>23</v>
      </c>
      <c r="AC348" s="7" t="s">
        <v>23</v>
      </c>
      <c r="AD348" s="7" t="s">
        <v>23</v>
      </c>
      <c r="AE348" s="7" t="s">
        <v>23</v>
      </c>
      <c r="AF348" s="7" t="s">
        <v>23</v>
      </c>
      <c r="AG348" s="7" t="s">
        <v>23</v>
      </c>
      <c r="AH348" s="7" t="s">
        <v>23</v>
      </c>
      <c r="AJ348" s="7" t="s">
        <v>23</v>
      </c>
      <c r="AK348" s="7" t="s">
        <v>23</v>
      </c>
      <c r="AL348" s="7" t="s">
        <v>23</v>
      </c>
      <c r="AM348" s="7" t="s">
        <v>23</v>
      </c>
      <c r="AN348" s="7" t="s">
        <v>23</v>
      </c>
      <c r="AO348" s="7" t="s">
        <v>23</v>
      </c>
      <c r="AP348" s="7" t="s">
        <v>23</v>
      </c>
    </row>
    <row r="349" spans="11:42">
      <c r="K349" s="21">
        <v>345</v>
      </c>
      <c r="L349" s="24" t="str">
        <f t="shared" si="52"/>
        <v/>
      </c>
      <c r="M349" s="24" t="str">
        <f t="shared" si="53"/>
        <v/>
      </c>
      <c r="N349" s="24" t="str">
        <f t="shared" si="54"/>
        <v/>
      </c>
      <c r="O349" s="24" t="str">
        <f t="shared" si="55"/>
        <v/>
      </c>
      <c r="P349" s="24" t="str">
        <f t="shared" si="56"/>
        <v/>
      </c>
      <c r="Q349" s="24" t="str">
        <f t="shared" si="57"/>
        <v/>
      </c>
      <c r="R349" s="24" t="str">
        <f t="shared" si="51"/>
        <v/>
      </c>
      <c r="T349" s="13" t="s">
        <v>23</v>
      </c>
      <c r="U349" s="7" t="s">
        <v>23</v>
      </c>
      <c r="V349" s="7" t="s">
        <v>23</v>
      </c>
      <c r="W349" s="7" t="s">
        <v>23</v>
      </c>
      <c r="X349" s="7" t="s">
        <v>23</v>
      </c>
      <c r="Y349" s="7" t="s">
        <v>23</v>
      </c>
      <c r="Z349" s="7" t="s">
        <v>23</v>
      </c>
      <c r="AB349" s="7" t="s">
        <v>23</v>
      </c>
      <c r="AC349" s="7" t="s">
        <v>23</v>
      </c>
      <c r="AD349" s="7" t="s">
        <v>23</v>
      </c>
      <c r="AE349" s="7" t="s">
        <v>23</v>
      </c>
      <c r="AF349" s="7" t="s">
        <v>23</v>
      </c>
      <c r="AG349" s="7" t="s">
        <v>23</v>
      </c>
      <c r="AH349" s="7" t="s">
        <v>23</v>
      </c>
      <c r="AJ349" s="7" t="s">
        <v>23</v>
      </c>
      <c r="AK349" s="7" t="s">
        <v>23</v>
      </c>
      <c r="AL349" s="7" t="s">
        <v>23</v>
      </c>
      <c r="AM349" s="7" t="s">
        <v>23</v>
      </c>
      <c r="AN349" s="7" t="s">
        <v>23</v>
      </c>
      <c r="AO349" s="7" t="s">
        <v>23</v>
      </c>
      <c r="AP349" s="7" t="s">
        <v>23</v>
      </c>
    </row>
    <row r="350" spans="11:42">
      <c r="K350" s="22">
        <v>346</v>
      </c>
      <c r="L350" s="24" t="str">
        <f t="shared" si="52"/>
        <v/>
      </c>
      <c r="M350" s="24" t="str">
        <f t="shared" si="53"/>
        <v/>
      </c>
      <c r="N350" s="24" t="str">
        <f t="shared" si="54"/>
        <v/>
      </c>
      <c r="O350" s="24" t="str">
        <f t="shared" si="55"/>
        <v/>
      </c>
      <c r="P350" s="24" t="str">
        <f t="shared" si="56"/>
        <v/>
      </c>
      <c r="Q350" s="24" t="str">
        <f t="shared" si="57"/>
        <v/>
      </c>
      <c r="R350" s="24" t="str">
        <f t="shared" si="51"/>
        <v/>
      </c>
      <c r="T350" s="13" t="s">
        <v>23</v>
      </c>
      <c r="U350" s="7" t="s">
        <v>23</v>
      </c>
      <c r="V350" s="7" t="s">
        <v>23</v>
      </c>
      <c r="W350" s="7" t="s">
        <v>23</v>
      </c>
      <c r="X350" s="7" t="s">
        <v>23</v>
      </c>
      <c r="Y350" s="7" t="s">
        <v>23</v>
      </c>
      <c r="Z350" s="7" t="s">
        <v>23</v>
      </c>
      <c r="AB350" s="7" t="s">
        <v>23</v>
      </c>
      <c r="AC350" s="7" t="s">
        <v>23</v>
      </c>
      <c r="AD350" s="7" t="s">
        <v>23</v>
      </c>
      <c r="AE350" s="7" t="s">
        <v>23</v>
      </c>
      <c r="AF350" s="7" t="s">
        <v>23</v>
      </c>
      <c r="AG350" s="7" t="s">
        <v>23</v>
      </c>
      <c r="AH350" s="7" t="s">
        <v>23</v>
      </c>
      <c r="AJ350" s="7" t="s">
        <v>23</v>
      </c>
      <c r="AK350" s="7" t="s">
        <v>23</v>
      </c>
      <c r="AL350" s="7" t="s">
        <v>23</v>
      </c>
      <c r="AM350" s="7" t="s">
        <v>23</v>
      </c>
      <c r="AN350" s="7" t="s">
        <v>23</v>
      </c>
      <c r="AO350" s="7" t="s">
        <v>23</v>
      </c>
      <c r="AP350" s="7" t="s">
        <v>23</v>
      </c>
    </row>
    <row r="351" spans="11:42">
      <c r="K351" s="21">
        <v>347</v>
      </c>
      <c r="L351" s="24" t="str">
        <f t="shared" si="52"/>
        <v/>
      </c>
      <c r="M351" s="24" t="str">
        <f t="shared" si="53"/>
        <v/>
      </c>
      <c r="N351" s="24" t="str">
        <f t="shared" si="54"/>
        <v/>
      </c>
      <c r="O351" s="24" t="str">
        <f t="shared" si="55"/>
        <v/>
      </c>
      <c r="P351" s="24" t="str">
        <f t="shared" si="56"/>
        <v/>
      </c>
      <c r="Q351" s="24" t="str">
        <f t="shared" si="57"/>
        <v/>
      </c>
      <c r="R351" s="24" t="str">
        <f t="shared" si="51"/>
        <v/>
      </c>
      <c r="T351" s="13" t="s">
        <v>23</v>
      </c>
      <c r="U351" s="7" t="s">
        <v>23</v>
      </c>
      <c r="V351" s="7" t="s">
        <v>23</v>
      </c>
      <c r="W351" s="7" t="s">
        <v>23</v>
      </c>
      <c r="X351" s="7" t="s">
        <v>23</v>
      </c>
      <c r="Y351" s="7" t="s">
        <v>23</v>
      </c>
      <c r="Z351" s="7" t="s">
        <v>23</v>
      </c>
      <c r="AB351" s="7" t="s">
        <v>23</v>
      </c>
      <c r="AC351" s="7" t="s">
        <v>23</v>
      </c>
      <c r="AD351" s="7" t="s">
        <v>23</v>
      </c>
      <c r="AE351" s="7" t="s">
        <v>23</v>
      </c>
      <c r="AF351" s="7" t="s">
        <v>23</v>
      </c>
      <c r="AG351" s="7" t="s">
        <v>23</v>
      </c>
      <c r="AH351" s="7" t="s">
        <v>23</v>
      </c>
      <c r="AJ351" s="7" t="s">
        <v>23</v>
      </c>
      <c r="AK351" s="7" t="s">
        <v>23</v>
      </c>
      <c r="AL351" s="7" t="s">
        <v>23</v>
      </c>
      <c r="AM351" s="7" t="s">
        <v>23</v>
      </c>
      <c r="AN351" s="7" t="s">
        <v>23</v>
      </c>
      <c r="AO351" s="7" t="s">
        <v>23</v>
      </c>
      <c r="AP351" s="7" t="s">
        <v>23</v>
      </c>
    </row>
    <row r="352" spans="11:42">
      <c r="K352" s="22">
        <v>348</v>
      </c>
      <c r="L352" s="24" t="str">
        <f t="shared" si="52"/>
        <v/>
      </c>
      <c r="M352" s="24" t="str">
        <f t="shared" si="53"/>
        <v/>
      </c>
      <c r="N352" s="24" t="str">
        <f t="shared" si="54"/>
        <v/>
      </c>
      <c r="O352" s="24" t="str">
        <f t="shared" si="55"/>
        <v/>
      </c>
      <c r="P352" s="24" t="str">
        <f t="shared" si="56"/>
        <v/>
      </c>
      <c r="Q352" s="24" t="str">
        <f t="shared" si="57"/>
        <v/>
      </c>
      <c r="R352" s="24" t="str">
        <f t="shared" si="51"/>
        <v/>
      </c>
      <c r="T352" s="13" t="s">
        <v>23</v>
      </c>
      <c r="U352" s="7" t="s">
        <v>23</v>
      </c>
      <c r="V352" s="7" t="s">
        <v>23</v>
      </c>
      <c r="W352" s="7" t="s">
        <v>23</v>
      </c>
      <c r="X352" s="7" t="s">
        <v>23</v>
      </c>
      <c r="Y352" s="7" t="s">
        <v>23</v>
      </c>
      <c r="Z352" s="7" t="s">
        <v>23</v>
      </c>
      <c r="AB352" s="7" t="s">
        <v>23</v>
      </c>
      <c r="AC352" s="7" t="s">
        <v>23</v>
      </c>
      <c r="AD352" s="7" t="s">
        <v>23</v>
      </c>
      <c r="AE352" s="7" t="s">
        <v>23</v>
      </c>
      <c r="AF352" s="7" t="s">
        <v>23</v>
      </c>
      <c r="AG352" s="7" t="s">
        <v>23</v>
      </c>
      <c r="AH352" s="7" t="s">
        <v>23</v>
      </c>
      <c r="AJ352" s="7" t="s">
        <v>23</v>
      </c>
      <c r="AK352" s="7" t="s">
        <v>23</v>
      </c>
      <c r="AL352" s="7" t="s">
        <v>23</v>
      </c>
      <c r="AM352" s="7" t="s">
        <v>23</v>
      </c>
      <c r="AN352" s="7" t="s">
        <v>23</v>
      </c>
      <c r="AO352" s="7" t="s">
        <v>23</v>
      </c>
      <c r="AP352" s="7" t="s">
        <v>23</v>
      </c>
    </row>
    <row r="353" spans="11:42">
      <c r="K353" s="21">
        <v>349</v>
      </c>
      <c r="L353" s="24" t="str">
        <f t="shared" si="52"/>
        <v/>
      </c>
      <c r="M353" s="24" t="str">
        <f t="shared" si="53"/>
        <v/>
      </c>
      <c r="N353" s="24" t="str">
        <f t="shared" si="54"/>
        <v/>
      </c>
      <c r="O353" s="24" t="str">
        <f t="shared" si="55"/>
        <v/>
      </c>
      <c r="P353" s="24" t="str">
        <f t="shared" si="56"/>
        <v/>
      </c>
      <c r="Q353" s="24" t="str">
        <f t="shared" si="57"/>
        <v/>
      </c>
      <c r="R353" s="24" t="str">
        <f t="shared" si="51"/>
        <v/>
      </c>
      <c r="T353" s="13" t="s">
        <v>23</v>
      </c>
      <c r="U353" s="7" t="s">
        <v>23</v>
      </c>
      <c r="V353" s="7" t="s">
        <v>23</v>
      </c>
      <c r="W353" s="7" t="s">
        <v>23</v>
      </c>
      <c r="X353" s="7" t="s">
        <v>23</v>
      </c>
      <c r="Y353" s="7" t="s">
        <v>23</v>
      </c>
      <c r="Z353" s="7" t="s">
        <v>23</v>
      </c>
      <c r="AB353" s="7" t="s">
        <v>23</v>
      </c>
      <c r="AC353" s="7" t="s">
        <v>23</v>
      </c>
      <c r="AD353" s="7" t="s">
        <v>23</v>
      </c>
      <c r="AE353" s="7" t="s">
        <v>23</v>
      </c>
      <c r="AF353" s="7" t="s">
        <v>23</v>
      </c>
      <c r="AG353" s="7" t="s">
        <v>23</v>
      </c>
      <c r="AH353" s="7" t="s">
        <v>23</v>
      </c>
      <c r="AJ353" s="7" t="s">
        <v>23</v>
      </c>
      <c r="AK353" s="7" t="s">
        <v>23</v>
      </c>
      <c r="AL353" s="7" t="s">
        <v>23</v>
      </c>
      <c r="AM353" s="7" t="s">
        <v>23</v>
      </c>
      <c r="AN353" s="7" t="s">
        <v>23</v>
      </c>
      <c r="AO353" s="7" t="s">
        <v>23</v>
      </c>
      <c r="AP353" s="7" t="s">
        <v>23</v>
      </c>
    </row>
    <row r="354" spans="11:42">
      <c r="K354" s="22">
        <v>350</v>
      </c>
      <c r="L354" s="24" t="str">
        <f t="shared" si="52"/>
        <v/>
      </c>
      <c r="M354" s="24" t="str">
        <f t="shared" si="53"/>
        <v/>
      </c>
      <c r="N354" s="24" t="str">
        <f t="shared" si="54"/>
        <v/>
      </c>
      <c r="O354" s="24" t="str">
        <f t="shared" si="55"/>
        <v/>
      </c>
      <c r="P354" s="24" t="str">
        <f t="shared" si="56"/>
        <v/>
      </c>
      <c r="Q354" s="24" t="str">
        <f t="shared" si="57"/>
        <v/>
      </c>
      <c r="R354" s="24" t="str">
        <f t="shared" si="51"/>
        <v/>
      </c>
      <c r="T354" s="13" t="s">
        <v>23</v>
      </c>
      <c r="U354" s="7" t="s">
        <v>23</v>
      </c>
      <c r="V354" s="7" t="s">
        <v>23</v>
      </c>
      <c r="W354" s="7" t="s">
        <v>23</v>
      </c>
      <c r="X354" s="7" t="s">
        <v>23</v>
      </c>
      <c r="Y354" s="7" t="s">
        <v>23</v>
      </c>
      <c r="Z354" s="7" t="s">
        <v>23</v>
      </c>
      <c r="AB354" s="7" t="s">
        <v>23</v>
      </c>
      <c r="AC354" s="7" t="s">
        <v>23</v>
      </c>
      <c r="AD354" s="7" t="s">
        <v>23</v>
      </c>
      <c r="AE354" s="7" t="s">
        <v>23</v>
      </c>
      <c r="AF354" s="7" t="s">
        <v>23</v>
      </c>
      <c r="AG354" s="7" t="s">
        <v>23</v>
      </c>
      <c r="AH354" s="7" t="s">
        <v>23</v>
      </c>
      <c r="AJ354" s="7" t="s">
        <v>23</v>
      </c>
      <c r="AK354" s="7" t="s">
        <v>23</v>
      </c>
      <c r="AL354" s="7" t="s">
        <v>23</v>
      </c>
      <c r="AM354" s="7" t="s">
        <v>23</v>
      </c>
      <c r="AN354" s="7" t="s">
        <v>23</v>
      </c>
      <c r="AO354" s="7" t="s">
        <v>23</v>
      </c>
      <c r="AP354" s="7" t="s">
        <v>23</v>
      </c>
    </row>
    <row r="355" spans="11:42">
      <c r="K355" s="21">
        <v>351</v>
      </c>
      <c r="L355" s="24" t="str">
        <f t="shared" si="52"/>
        <v/>
      </c>
      <c r="M355" s="24" t="str">
        <f t="shared" si="53"/>
        <v/>
      </c>
      <c r="N355" s="24" t="str">
        <f t="shared" si="54"/>
        <v/>
      </c>
      <c r="O355" s="24" t="str">
        <f t="shared" si="55"/>
        <v/>
      </c>
      <c r="P355" s="24" t="str">
        <f t="shared" si="56"/>
        <v/>
      </c>
      <c r="Q355" s="24" t="str">
        <f t="shared" si="57"/>
        <v/>
      </c>
      <c r="R355" s="24" t="str">
        <f t="shared" si="51"/>
        <v/>
      </c>
      <c r="T355" s="13" t="s">
        <v>23</v>
      </c>
      <c r="U355" s="7" t="s">
        <v>23</v>
      </c>
      <c r="V355" s="7" t="s">
        <v>23</v>
      </c>
      <c r="W355" s="7" t="s">
        <v>23</v>
      </c>
      <c r="X355" s="7" t="s">
        <v>23</v>
      </c>
      <c r="Y355" s="7" t="s">
        <v>23</v>
      </c>
      <c r="Z355" s="7" t="s">
        <v>23</v>
      </c>
      <c r="AB355" s="7" t="s">
        <v>23</v>
      </c>
      <c r="AC355" s="7" t="s">
        <v>23</v>
      </c>
      <c r="AD355" s="7" t="s">
        <v>23</v>
      </c>
      <c r="AE355" s="7" t="s">
        <v>23</v>
      </c>
      <c r="AF355" s="7" t="s">
        <v>23</v>
      </c>
      <c r="AG355" s="7" t="s">
        <v>23</v>
      </c>
      <c r="AH355" s="7" t="s">
        <v>23</v>
      </c>
      <c r="AJ355" s="7" t="s">
        <v>23</v>
      </c>
      <c r="AK355" s="7" t="s">
        <v>23</v>
      </c>
      <c r="AL355" s="7" t="s">
        <v>23</v>
      </c>
      <c r="AM355" s="7" t="s">
        <v>23</v>
      </c>
      <c r="AN355" s="7" t="s">
        <v>23</v>
      </c>
      <c r="AO355" s="7" t="s">
        <v>23</v>
      </c>
      <c r="AP355" s="7" t="s">
        <v>23</v>
      </c>
    </row>
    <row r="356" spans="11:42">
      <c r="K356" s="22">
        <v>352</v>
      </c>
      <c r="L356" s="24" t="str">
        <f t="shared" si="52"/>
        <v/>
      </c>
      <c r="M356" s="24" t="str">
        <f t="shared" si="53"/>
        <v/>
      </c>
      <c r="N356" s="24" t="str">
        <f t="shared" si="54"/>
        <v/>
      </c>
      <c r="O356" s="24" t="str">
        <f t="shared" si="55"/>
        <v/>
      </c>
      <c r="P356" s="24" t="str">
        <f t="shared" si="56"/>
        <v/>
      </c>
      <c r="Q356" s="24" t="str">
        <f t="shared" si="57"/>
        <v/>
      </c>
      <c r="R356" s="24" t="str">
        <f t="shared" si="51"/>
        <v/>
      </c>
      <c r="T356" s="13" t="s">
        <v>23</v>
      </c>
      <c r="U356" s="7" t="s">
        <v>23</v>
      </c>
      <c r="V356" s="7" t="s">
        <v>23</v>
      </c>
      <c r="W356" s="7" t="s">
        <v>23</v>
      </c>
      <c r="X356" s="7" t="s">
        <v>23</v>
      </c>
      <c r="Y356" s="7" t="s">
        <v>23</v>
      </c>
      <c r="Z356" s="7" t="s">
        <v>23</v>
      </c>
      <c r="AB356" s="7" t="s">
        <v>23</v>
      </c>
      <c r="AC356" s="7" t="s">
        <v>23</v>
      </c>
      <c r="AD356" s="7" t="s">
        <v>23</v>
      </c>
      <c r="AE356" s="7" t="s">
        <v>23</v>
      </c>
      <c r="AF356" s="7" t="s">
        <v>23</v>
      </c>
      <c r="AG356" s="7" t="s">
        <v>23</v>
      </c>
      <c r="AH356" s="7" t="s">
        <v>23</v>
      </c>
      <c r="AJ356" s="7" t="s">
        <v>23</v>
      </c>
      <c r="AK356" s="7" t="s">
        <v>23</v>
      </c>
      <c r="AL356" s="7" t="s">
        <v>23</v>
      </c>
      <c r="AM356" s="7" t="s">
        <v>23</v>
      </c>
      <c r="AN356" s="7" t="s">
        <v>23</v>
      </c>
      <c r="AO356" s="7" t="s">
        <v>23</v>
      </c>
      <c r="AP356" s="7" t="s">
        <v>23</v>
      </c>
    </row>
    <row r="357" spans="11:42">
      <c r="K357" s="21">
        <v>353</v>
      </c>
      <c r="L357" s="24" t="str">
        <f t="shared" si="52"/>
        <v/>
      </c>
      <c r="M357" s="24" t="str">
        <f t="shared" si="53"/>
        <v/>
      </c>
      <c r="N357" s="24" t="str">
        <f t="shared" si="54"/>
        <v/>
      </c>
      <c r="O357" s="24" t="str">
        <f t="shared" si="55"/>
        <v/>
      </c>
      <c r="P357" s="24" t="str">
        <f t="shared" si="56"/>
        <v/>
      </c>
      <c r="Q357" s="24" t="str">
        <f t="shared" si="57"/>
        <v/>
      </c>
      <c r="R357" s="24" t="str">
        <f t="shared" si="51"/>
        <v/>
      </c>
      <c r="T357" s="13" t="s">
        <v>23</v>
      </c>
      <c r="U357" s="7" t="s">
        <v>23</v>
      </c>
      <c r="V357" s="7" t="s">
        <v>23</v>
      </c>
      <c r="W357" s="7" t="s">
        <v>23</v>
      </c>
      <c r="X357" s="7" t="s">
        <v>23</v>
      </c>
      <c r="Y357" s="7" t="s">
        <v>23</v>
      </c>
      <c r="Z357" s="7" t="s">
        <v>23</v>
      </c>
      <c r="AB357" s="7" t="s">
        <v>23</v>
      </c>
      <c r="AC357" s="7" t="s">
        <v>23</v>
      </c>
      <c r="AD357" s="7" t="s">
        <v>23</v>
      </c>
      <c r="AE357" s="7" t="s">
        <v>23</v>
      </c>
      <c r="AF357" s="7" t="s">
        <v>23</v>
      </c>
      <c r="AG357" s="7" t="s">
        <v>23</v>
      </c>
      <c r="AH357" s="7" t="s">
        <v>23</v>
      </c>
      <c r="AJ357" s="7" t="s">
        <v>23</v>
      </c>
      <c r="AK357" s="7" t="s">
        <v>23</v>
      </c>
      <c r="AL357" s="7" t="s">
        <v>23</v>
      </c>
      <c r="AM357" s="7" t="s">
        <v>23</v>
      </c>
      <c r="AN357" s="7" t="s">
        <v>23</v>
      </c>
      <c r="AO357" s="7" t="s">
        <v>23</v>
      </c>
      <c r="AP357" s="7" t="s">
        <v>23</v>
      </c>
    </row>
    <row r="358" spans="11:42">
      <c r="K358" s="22">
        <v>354</v>
      </c>
      <c r="L358" s="24" t="str">
        <f t="shared" si="52"/>
        <v/>
      </c>
      <c r="M358" s="24" t="str">
        <f t="shared" si="53"/>
        <v/>
      </c>
      <c r="N358" s="24" t="str">
        <f t="shared" si="54"/>
        <v/>
      </c>
      <c r="O358" s="24" t="str">
        <f t="shared" si="55"/>
        <v/>
      </c>
      <c r="P358" s="24" t="str">
        <f t="shared" si="56"/>
        <v/>
      </c>
      <c r="Q358" s="24" t="str">
        <f t="shared" si="57"/>
        <v/>
      </c>
      <c r="R358" s="24" t="str">
        <f t="shared" si="51"/>
        <v/>
      </c>
      <c r="T358" s="13" t="s">
        <v>23</v>
      </c>
      <c r="U358" s="7" t="s">
        <v>23</v>
      </c>
      <c r="V358" s="7" t="s">
        <v>23</v>
      </c>
      <c r="W358" s="7" t="s">
        <v>23</v>
      </c>
      <c r="X358" s="7" t="s">
        <v>23</v>
      </c>
      <c r="Y358" s="7" t="s">
        <v>23</v>
      </c>
      <c r="Z358" s="7" t="s">
        <v>23</v>
      </c>
      <c r="AB358" s="7" t="s">
        <v>23</v>
      </c>
      <c r="AC358" s="7" t="s">
        <v>23</v>
      </c>
      <c r="AD358" s="7" t="s">
        <v>23</v>
      </c>
      <c r="AE358" s="7" t="s">
        <v>23</v>
      </c>
      <c r="AF358" s="7" t="s">
        <v>23</v>
      </c>
      <c r="AG358" s="7" t="s">
        <v>23</v>
      </c>
      <c r="AH358" s="7" t="s">
        <v>23</v>
      </c>
      <c r="AJ358" s="7" t="s">
        <v>23</v>
      </c>
      <c r="AK358" s="7" t="s">
        <v>23</v>
      </c>
      <c r="AL358" s="7" t="s">
        <v>23</v>
      </c>
      <c r="AM358" s="7" t="s">
        <v>23</v>
      </c>
      <c r="AN358" s="7" t="s">
        <v>23</v>
      </c>
      <c r="AO358" s="7" t="s">
        <v>23</v>
      </c>
      <c r="AP358" s="7" t="s">
        <v>23</v>
      </c>
    </row>
    <row r="359" spans="11:42">
      <c r="K359" s="21">
        <v>355</v>
      </c>
      <c r="L359" s="24" t="str">
        <f t="shared" si="52"/>
        <v/>
      </c>
      <c r="M359" s="24" t="str">
        <f t="shared" si="53"/>
        <v/>
      </c>
      <c r="N359" s="24" t="str">
        <f t="shared" si="54"/>
        <v/>
      </c>
      <c r="O359" s="24" t="str">
        <f t="shared" si="55"/>
        <v/>
      </c>
      <c r="P359" s="24" t="str">
        <f t="shared" si="56"/>
        <v/>
      </c>
      <c r="Q359" s="24" t="str">
        <f t="shared" si="57"/>
        <v/>
      </c>
      <c r="R359" s="24" t="str">
        <f t="shared" si="51"/>
        <v/>
      </c>
      <c r="T359" s="13" t="s">
        <v>23</v>
      </c>
      <c r="U359" s="7" t="s">
        <v>23</v>
      </c>
      <c r="V359" s="7" t="s">
        <v>23</v>
      </c>
      <c r="W359" s="7" t="s">
        <v>23</v>
      </c>
      <c r="X359" s="7" t="s">
        <v>23</v>
      </c>
      <c r="Y359" s="7" t="s">
        <v>23</v>
      </c>
      <c r="Z359" s="7" t="s">
        <v>23</v>
      </c>
      <c r="AB359" s="7" t="s">
        <v>23</v>
      </c>
      <c r="AC359" s="7" t="s">
        <v>23</v>
      </c>
      <c r="AD359" s="7" t="s">
        <v>23</v>
      </c>
      <c r="AE359" s="7" t="s">
        <v>23</v>
      </c>
      <c r="AF359" s="7" t="s">
        <v>23</v>
      </c>
      <c r="AG359" s="7" t="s">
        <v>23</v>
      </c>
      <c r="AH359" s="7" t="s">
        <v>23</v>
      </c>
      <c r="AJ359" s="7" t="s">
        <v>23</v>
      </c>
      <c r="AK359" s="7" t="s">
        <v>23</v>
      </c>
      <c r="AL359" s="7" t="s">
        <v>23</v>
      </c>
      <c r="AM359" s="7" t="s">
        <v>23</v>
      </c>
      <c r="AN359" s="7" t="s">
        <v>23</v>
      </c>
      <c r="AO359" s="7" t="s">
        <v>23</v>
      </c>
      <c r="AP359" s="7" t="s">
        <v>23</v>
      </c>
    </row>
    <row r="360" spans="11:42">
      <c r="K360" s="22">
        <v>356</v>
      </c>
      <c r="L360" s="24" t="str">
        <f t="shared" si="52"/>
        <v/>
      </c>
      <c r="M360" s="24" t="str">
        <f t="shared" si="53"/>
        <v/>
      </c>
      <c r="N360" s="24" t="str">
        <f t="shared" si="54"/>
        <v/>
      </c>
      <c r="O360" s="24" t="str">
        <f t="shared" si="55"/>
        <v/>
      </c>
      <c r="P360" s="24" t="str">
        <f t="shared" si="56"/>
        <v/>
      </c>
      <c r="Q360" s="24" t="str">
        <f t="shared" si="57"/>
        <v/>
      </c>
      <c r="R360" s="24" t="str">
        <f t="shared" si="51"/>
        <v/>
      </c>
      <c r="T360" s="13" t="s">
        <v>23</v>
      </c>
      <c r="U360" s="7" t="s">
        <v>23</v>
      </c>
      <c r="V360" s="7" t="s">
        <v>23</v>
      </c>
      <c r="W360" s="7" t="s">
        <v>23</v>
      </c>
      <c r="X360" s="7" t="s">
        <v>23</v>
      </c>
      <c r="Y360" s="7" t="s">
        <v>23</v>
      </c>
      <c r="Z360" s="7" t="s">
        <v>23</v>
      </c>
      <c r="AB360" s="7" t="s">
        <v>23</v>
      </c>
      <c r="AC360" s="7" t="s">
        <v>23</v>
      </c>
      <c r="AD360" s="7" t="s">
        <v>23</v>
      </c>
      <c r="AE360" s="7" t="s">
        <v>23</v>
      </c>
      <c r="AF360" s="7" t="s">
        <v>23</v>
      </c>
      <c r="AG360" s="7" t="s">
        <v>23</v>
      </c>
      <c r="AH360" s="7" t="s">
        <v>23</v>
      </c>
      <c r="AJ360" s="7" t="s">
        <v>23</v>
      </c>
      <c r="AK360" s="7" t="s">
        <v>23</v>
      </c>
      <c r="AL360" s="7" t="s">
        <v>23</v>
      </c>
      <c r="AM360" s="7" t="s">
        <v>23</v>
      </c>
      <c r="AN360" s="7" t="s">
        <v>23</v>
      </c>
      <c r="AO360" s="7" t="s">
        <v>23</v>
      </c>
      <c r="AP360" s="7" t="s">
        <v>23</v>
      </c>
    </row>
    <row r="361" spans="11:42">
      <c r="K361" s="21">
        <v>357</v>
      </c>
      <c r="L361" s="24" t="str">
        <f t="shared" si="52"/>
        <v/>
      </c>
      <c r="M361" s="24" t="str">
        <f t="shared" si="53"/>
        <v/>
      </c>
      <c r="N361" s="24" t="str">
        <f t="shared" si="54"/>
        <v/>
      </c>
      <c r="O361" s="24" t="str">
        <f t="shared" si="55"/>
        <v/>
      </c>
      <c r="P361" s="24" t="str">
        <f t="shared" si="56"/>
        <v/>
      </c>
      <c r="Q361" s="24" t="str">
        <f t="shared" si="57"/>
        <v/>
      </c>
      <c r="R361" s="24" t="str">
        <f t="shared" si="51"/>
        <v/>
      </c>
      <c r="T361" s="13" t="s">
        <v>23</v>
      </c>
      <c r="U361" s="7" t="s">
        <v>23</v>
      </c>
      <c r="V361" s="7" t="s">
        <v>23</v>
      </c>
      <c r="W361" s="7" t="s">
        <v>23</v>
      </c>
      <c r="X361" s="7" t="s">
        <v>23</v>
      </c>
      <c r="Y361" s="7" t="s">
        <v>23</v>
      </c>
      <c r="Z361" s="7" t="s">
        <v>23</v>
      </c>
      <c r="AB361" s="7" t="s">
        <v>23</v>
      </c>
      <c r="AC361" s="7" t="s">
        <v>23</v>
      </c>
      <c r="AD361" s="7" t="s">
        <v>23</v>
      </c>
      <c r="AE361" s="7" t="s">
        <v>23</v>
      </c>
      <c r="AF361" s="7" t="s">
        <v>23</v>
      </c>
      <c r="AG361" s="7" t="s">
        <v>23</v>
      </c>
      <c r="AH361" s="7" t="s">
        <v>23</v>
      </c>
      <c r="AJ361" s="7" t="s">
        <v>23</v>
      </c>
      <c r="AK361" s="7" t="s">
        <v>23</v>
      </c>
      <c r="AL361" s="7" t="s">
        <v>23</v>
      </c>
      <c r="AM361" s="7" t="s">
        <v>23</v>
      </c>
      <c r="AN361" s="7" t="s">
        <v>23</v>
      </c>
      <c r="AO361" s="7" t="s">
        <v>23</v>
      </c>
      <c r="AP361" s="7" t="s">
        <v>23</v>
      </c>
    </row>
    <row r="362" spans="11:42">
      <c r="K362" s="22">
        <v>358</v>
      </c>
      <c r="L362" s="24" t="str">
        <f t="shared" si="52"/>
        <v/>
      </c>
      <c r="M362" s="24" t="str">
        <f t="shared" si="53"/>
        <v/>
      </c>
      <c r="N362" s="24" t="str">
        <f t="shared" si="54"/>
        <v/>
      </c>
      <c r="O362" s="24" t="str">
        <f t="shared" si="55"/>
        <v/>
      </c>
      <c r="P362" s="24" t="str">
        <f t="shared" si="56"/>
        <v/>
      </c>
      <c r="Q362" s="24" t="str">
        <f t="shared" si="57"/>
        <v/>
      </c>
      <c r="R362" s="24" t="str">
        <f t="shared" si="51"/>
        <v/>
      </c>
      <c r="T362" s="13" t="s">
        <v>23</v>
      </c>
      <c r="U362" s="7" t="s">
        <v>23</v>
      </c>
      <c r="V362" s="7" t="s">
        <v>23</v>
      </c>
      <c r="W362" s="7" t="s">
        <v>23</v>
      </c>
      <c r="X362" s="7" t="s">
        <v>23</v>
      </c>
      <c r="Y362" s="7" t="s">
        <v>23</v>
      </c>
      <c r="Z362" s="7" t="s">
        <v>23</v>
      </c>
      <c r="AB362" s="7" t="s">
        <v>23</v>
      </c>
      <c r="AC362" s="7" t="s">
        <v>23</v>
      </c>
      <c r="AD362" s="7" t="s">
        <v>23</v>
      </c>
      <c r="AE362" s="7" t="s">
        <v>23</v>
      </c>
      <c r="AF362" s="7" t="s">
        <v>23</v>
      </c>
      <c r="AG362" s="7" t="s">
        <v>23</v>
      </c>
      <c r="AH362" s="7" t="s">
        <v>23</v>
      </c>
      <c r="AJ362" s="7" t="s">
        <v>23</v>
      </c>
      <c r="AK362" s="7" t="s">
        <v>23</v>
      </c>
      <c r="AL362" s="7" t="s">
        <v>23</v>
      </c>
      <c r="AM362" s="7" t="s">
        <v>23</v>
      </c>
      <c r="AN362" s="7" t="s">
        <v>23</v>
      </c>
      <c r="AO362" s="7" t="s">
        <v>23</v>
      </c>
      <c r="AP362" s="7" t="s">
        <v>23</v>
      </c>
    </row>
    <row r="363" spans="11:42">
      <c r="K363" s="21">
        <v>359</v>
      </c>
      <c r="L363" s="24" t="str">
        <f t="shared" si="52"/>
        <v/>
      </c>
      <c r="M363" s="24" t="str">
        <f t="shared" si="53"/>
        <v/>
      </c>
      <c r="N363" s="24" t="str">
        <f t="shared" si="54"/>
        <v/>
      </c>
      <c r="O363" s="24" t="str">
        <f t="shared" si="55"/>
        <v/>
      </c>
      <c r="P363" s="24" t="str">
        <f t="shared" si="56"/>
        <v/>
      </c>
      <c r="Q363" s="24" t="str">
        <f t="shared" si="57"/>
        <v/>
      </c>
      <c r="R363" s="24" t="str">
        <f t="shared" si="51"/>
        <v/>
      </c>
      <c r="T363" s="13" t="s">
        <v>23</v>
      </c>
      <c r="U363" s="7" t="s">
        <v>23</v>
      </c>
      <c r="V363" s="7" t="s">
        <v>23</v>
      </c>
      <c r="W363" s="7" t="s">
        <v>23</v>
      </c>
      <c r="X363" s="7" t="s">
        <v>23</v>
      </c>
      <c r="Y363" s="7" t="s">
        <v>23</v>
      </c>
      <c r="Z363" s="7" t="s">
        <v>23</v>
      </c>
      <c r="AB363" s="7" t="s">
        <v>23</v>
      </c>
      <c r="AC363" s="7" t="s">
        <v>23</v>
      </c>
      <c r="AD363" s="7" t="s">
        <v>23</v>
      </c>
      <c r="AE363" s="7" t="s">
        <v>23</v>
      </c>
      <c r="AF363" s="7" t="s">
        <v>23</v>
      </c>
      <c r="AG363" s="7" t="s">
        <v>23</v>
      </c>
      <c r="AH363" s="7" t="s">
        <v>23</v>
      </c>
      <c r="AJ363" s="7" t="s">
        <v>23</v>
      </c>
      <c r="AK363" s="7" t="s">
        <v>23</v>
      </c>
      <c r="AL363" s="7" t="s">
        <v>23</v>
      </c>
      <c r="AM363" s="7" t="s">
        <v>23</v>
      </c>
      <c r="AN363" s="7" t="s">
        <v>23</v>
      </c>
      <c r="AO363" s="7" t="s">
        <v>23</v>
      </c>
      <c r="AP363" s="7" t="s">
        <v>23</v>
      </c>
    </row>
    <row r="364" spans="11:42">
      <c r="K364" s="22">
        <v>360</v>
      </c>
      <c r="L364" s="24" t="str">
        <f t="shared" si="52"/>
        <v/>
      </c>
      <c r="M364" s="24" t="str">
        <f t="shared" si="53"/>
        <v/>
      </c>
      <c r="N364" s="24" t="str">
        <f t="shared" si="54"/>
        <v/>
      </c>
      <c r="O364" s="24" t="str">
        <f t="shared" si="55"/>
        <v/>
      </c>
      <c r="P364" s="24" t="str">
        <f t="shared" si="56"/>
        <v/>
      </c>
      <c r="Q364" s="24" t="str">
        <f t="shared" si="57"/>
        <v/>
      </c>
      <c r="R364" s="24" t="str">
        <f t="shared" si="51"/>
        <v/>
      </c>
      <c r="T364" s="13" t="s">
        <v>23</v>
      </c>
      <c r="U364" s="7" t="s">
        <v>23</v>
      </c>
      <c r="V364" s="7" t="s">
        <v>23</v>
      </c>
      <c r="W364" s="7" t="s">
        <v>23</v>
      </c>
      <c r="X364" s="7" t="s">
        <v>23</v>
      </c>
      <c r="Y364" s="7" t="s">
        <v>23</v>
      </c>
      <c r="Z364" s="7" t="s">
        <v>23</v>
      </c>
      <c r="AB364" s="7" t="s">
        <v>23</v>
      </c>
      <c r="AC364" s="7" t="s">
        <v>23</v>
      </c>
      <c r="AD364" s="7" t="s">
        <v>23</v>
      </c>
      <c r="AE364" s="7" t="s">
        <v>23</v>
      </c>
      <c r="AF364" s="7" t="s">
        <v>23</v>
      </c>
      <c r="AG364" s="7" t="s">
        <v>23</v>
      </c>
      <c r="AH364" s="7" t="s">
        <v>23</v>
      </c>
      <c r="AJ364" s="7" t="s">
        <v>23</v>
      </c>
      <c r="AK364" s="7" t="s">
        <v>23</v>
      </c>
      <c r="AL364" s="7" t="s">
        <v>23</v>
      </c>
      <c r="AM364" s="7" t="s">
        <v>23</v>
      </c>
      <c r="AN364" s="7" t="s">
        <v>23</v>
      </c>
      <c r="AO364" s="7" t="s">
        <v>23</v>
      </c>
      <c r="AP364" s="7" t="s">
        <v>23</v>
      </c>
    </row>
    <row r="365" spans="11:42">
      <c r="K365" s="21">
        <v>361</v>
      </c>
      <c r="L365" s="24" t="str">
        <f t="shared" si="52"/>
        <v/>
      </c>
      <c r="M365" s="24" t="str">
        <f t="shared" si="53"/>
        <v/>
      </c>
      <c r="N365" s="24" t="str">
        <f t="shared" si="54"/>
        <v/>
      </c>
      <c r="O365" s="24" t="str">
        <f t="shared" si="55"/>
        <v/>
      </c>
      <c r="P365" s="24" t="str">
        <f t="shared" si="56"/>
        <v/>
      </c>
      <c r="Q365" s="24" t="str">
        <f t="shared" si="57"/>
        <v/>
      </c>
      <c r="R365" s="24" t="str">
        <f t="shared" si="51"/>
        <v/>
      </c>
      <c r="T365" s="13" t="s">
        <v>23</v>
      </c>
      <c r="U365" s="7" t="s">
        <v>23</v>
      </c>
      <c r="V365" s="7" t="s">
        <v>23</v>
      </c>
      <c r="W365" s="7" t="s">
        <v>23</v>
      </c>
      <c r="X365" s="7" t="s">
        <v>23</v>
      </c>
      <c r="Y365" s="7" t="s">
        <v>23</v>
      </c>
      <c r="Z365" s="7" t="s">
        <v>23</v>
      </c>
      <c r="AB365" s="7" t="s">
        <v>23</v>
      </c>
      <c r="AC365" s="7" t="s">
        <v>23</v>
      </c>
      <c r="AD365" s="7" t="s">
        <v>23</v>
      </c>
      <c r="AE365" s="7" t="s">
        <v>23</v>
      </c>
      <c r="AF365" s="7" t="s">
        <v>23</v>
      </c>
      <c r="AG365" s="7" t="s">
        <v>23</v>
      </c>
      <c r="AH365" s="7" t="s">
        <v>23</v>
      </c>
      <c r="AJ365" s="7" t="s">
        <v>23</v>
      </c>
      <c r="AK365" s="7" t="s">
        <v>23</v>
      </c>
      <c r="AL365" s="7" t="s">
        <v>23</v>
      </c>
      <c r="AM365" s="7" t="s">
        <v>23</v>
      </c>
      <c r="AN365" s="7" t="s">
        <v>23</v>
      </c>
      <c r="AO365" s="7" t="s">
        <v>23</v>
      </c>
      <c r="AP365" s="7" t="s">
        <v>23</v>
      </c>
    </row>
    <row r="366" spans="11:42">
      <c r="K366" s="22">
        <v>362</v>
      </c>
      <c r="L366" s="24" t="str">
        <f t="shared" si="52"/>
        <v/>
      </c>
      <c r="M366" s="24" t="str">
        <f t="shared" si="53"/>
        <v/>
      </c>
      <c r="N366" s="24" t="str">
        <f t="shared" si="54"/>
        <v/>
      </c>
      <c r="O366" s="24" t="str">
        <f t="shared" si="55"/>
        <v/>
      </c>
      <c r="P366" s="24" t="str">
        <f t="shared" si="56"/>
        <v/>
      </c>
      <c r="Q366" s="24" t="str">
        <f t="shared" si="57"/>
        <v/>
      </c>
      <c r="R366" s="24" t="str">
        <f t="shared" si="51"/>
        <v/>
      </c>
      <c r="T366" s="13" t="s">
        <v>23</v>
      </c>
      <c r="U366" s="7" t="s">
        <v>23</v>
      </c>
      <c r="V366" s="7" t="s">
        <v>23</v>
      </c>
      <c r="W366" s="7" t="s">
        <v>23</v>
      </c>
      <c r="X366" s="7" t="s">
        <v>23</v>
      </c>
      <c r="Y366" s="7" t="s">
        <v>23</v>
      </c>
      <c r="Z366" s="7" t="s">
        <v>23</v>
      </c>
      <c r="AB366" s="7" t="s">
        <v>23</v>
      </c>
      <c r="AC366" s="7" t="s">
        <v>23</v>
      </c>
      <c r="AD366" s="7" t="s">
        <v>23</v>
      </c>
      <c r="AE366" s="7" t="s">
        <v>23</v>
      </c>
      <c r="AF366" s="7" t="s">
        <v>23</v>
      </c>
      <c r="AG366" s="7" t="s">
        <v>23</v>
      </c>
      <c r="AH366" s="7" t="s">
        <v>23</v>
      </c>
      <c r="AJ366" s="7" t="s">
        <v>23</v>
      </c>
      <c r="AK366" s="7" t="s">
        <v>23</v>
      </c>
      <c r="AL366" s="7" t="s">
        <v>23</v>
      </c>
      <c r="AM366" s="7" t="s">
        <v>23</v>
      </c>
      <c r="AN366" s="7" t="s">
        <v>23</v>
      </c>
      <c r="AO366" s="7" t="s">
        <v>23</v>
      </c>
      <c r="AP366" s="7" t="s">
        <v>23</v>
      </c>
    </row>
    <row r="367" spans="11:42">
      <c r="K367" s="21">
        <v>363</v>
      </c>
      <c r="L367" s="24" t="str">
        <f t="shared" si="52"/>
        <v/>
      </c>
      <c r="M367" s="24" t="str">
        <f t="shared" si="53"/>
        <v/>
      </c>
      <c r="N367" s="24" t="str">
        <f t="shared" si="54"/>
        <v/>
      </c>
      <c r="O367" s="24" t="str">
        <f t="shared" si="55"/>
        <v/>
      </c>
      <c r="P367" s="24" t="str">
        <f t="shared" si="56"/>
        <v/>
      </c>
      <c r="Q367" s="24" t="str">
        <f t="shared" si="57"/>
        <v/>
      </c>
      <c r="R367" s="24" t="str">
        <f t="shared" si="51"/>
        <v/>
      </c>
      <c r="T367" s="13" t="s">
        <v>23</v>
      </c>
      <c r="U367" s="7" t="s">
        <v>23</v>
      </c>
      <c r="V367" s="7" t="s">
        <v>23</v>
      </c>
      <c r="W367" s="7" t="s">
        <v>23</v>
      </c>
      <c r="X367" s="7" t="s">
        <v>23</v>
      </c>
      <c r="Y367" s="7" t="s">
        <v>23</v>
      </c>
      <c r="Z367" s="7" t="s">
        <v>23</v>
      </c>
      <c r="AB367" s="7" t="s">
        <v>23</v>
      </c>
      <c r="AC367" s="7" t="s">
        <v>23</v>
      </c>
      <c r="AD367" s="7" t="s">
        <v>23</v>
      </c>
      <c r="AE367" s="7" t="s">
        <v>23</v>
      </c>
      <c r="AF367" s="7" t="s">
        <v>23</v>
      </c>
      <c r="AG367" s="7" t="s">
        <v>23</v>
      </c>
      <c r="AH367" s="7" t="s">
        <v>23</v>
      </c>
      <c r="AJ367" s="7" t="s">
        <v>23</v>
      </c>
      <c r="AK367" s="7" t="s">
        <v>23</v>
      </c>
      <c r="AL367" s="7" t="s">
        <v>23</v>
      </c>
      <c r="AM367" s="7" t="s">
        <v>23</v>
      </c>
      <c r="AN367" s="7" t="s">
        <v>23</v>
      </c>
      <c r="AO367" s="7" t="s">
        <v>23</v>
      </c>
      <c r="AP367" s="7" t="s">
        <v>23</v>
      </c>
    </row>
    <row r="368" spans="11:42">
      <c r="K368" s="22">
        <v>364</v>
      </c>
      <c r="L368" s="24" t="str">
        <f t="shared" si="52"/>
        <v/>
      </c>
      <c r="M368" s="24" t="str">
        <f t="shared" si="53"/>
        <v/>
      </c>
      <c r="N368" s="24" t="str">
        <f t="shared" si="54"/>
        <v/>
      </c>
      <c r="O368" s="24" t="str">
        <f t="shared" si="55"/>
        <v/>
      </c>
      <c r="P368" s="24" t="str">
        <f t="shared" si="56"/>
        <v/>
      </c>
      <c r="Q368" s="24" t="str">
        <f t="shared" si="57"/>
        <v/>
      </c>
      <c r="R368" s="24" t="str">
        <f t="shared" si="51"/>
        <v/>
      </c>
      <c r="T368" s="13" t="s">
        <v>23</v>
      </c>
      <c r="U368" s="7" t="s">
        <v>23</v>
      </c>
      <c r="V368" s="7" t="s">
        <v>23</v>
      </c>
      <c r="W368" s="7" t="s">
        <v>23</v>
      </c>
      <c r="X368" s="7" t="s">
        <v>23</v>
      </c>
      <c r="Y368" s="7" t="s">
        <v>23</v>
      </c>
      <c r="Z368" s="7" t="s">
        <v>23</v>
      </c>
      <c r="AB368" s="7" t="s">
        <v>23</v>
      </c>
      <c r="AC368" s="7" t="s">
        <v>23</v>
      </c>
      <c r="AD368" s="7" t="s">
        <v>23</v>
      </c>
      <c r="AE368" s="7" t="s">
        <v>23</v>
      </c>
      <c r="AF368" s="7" t="s">
        <v>23</v>
      </c>
      <c r="AG368" s="7" t="s">
        <v>23</v>
      </c>
      <c r="AH368" s="7" t="s">
        <v>23</v>
      </c>
      <c r="AJ368" s="7" t="s">
        <v>23</v>
      </c>
      <c r="AK368" s="7" t="s">
        <v>23</v>
      </c>
      <c r="AL368" s="7" t="s">
        <v>23</v>
      </c>
      <c r="AM368" s="7" t="s">
        <v>23</v>
      </c>
      <c r="AN368" s="7" t="s">
        <v>23</v>
      </c>
      <c r="AO368" s="7" t="s">
        <v>23</v>
      </c>
      <c r="AP368" s="7" t="s">
        <v>23</v>
      </c>
    </row>
    <row r="369" spans="11:42">
      <c r="K369" s="21">
        <v>365</v>
      </c>
      <c r="L369" s="24" t="str">
        <f t="shared" si="52"/>
        <v/>
      </c>
      <c r="M369" s="24" t="str">
        <f t="shared" si="53"/>
        <v/>
      </c>
      <c r="N369" s="24" t="str">
        <f t="shared" si="54"/>
        <v/>
      </c>
      <c r="O369" s="24" t="str">
        <f t="shared" si="55"/>
        <v/>
      </c>
      <c r="P369" s="24" t="str">
        <f t="shared" si="56"/>
        <v/>
      </c>
      <c r="Q369" s="24" t="str">
        <f t="shared" si="57"/>
        <v/>
      </c>
      <c r="R369" s="24" t="str">
        <f t="shared" si="51"/>
        <v/>
      </c>
      <c r="T369" s="13" t="s">
        <v>23</v>
      </c>
      <c r="U369" s="7" t="s">
        <v>23</v>
      </c>
      <c r="V369" s="7" t="s">
        <v>23</v>
      </c>
      <c r="W369" s="7" t="s">
        <v>23</v>
      </c>
      <c r="X369" s="7" t="s">
        <v>23</v>
      </c>
      <c r="Y369" s="7" t="s">
        <v>23</v>
      </c>
      <c r="Z369" s="7" t="s">
        <v>23</v>
      </c>
      <c r="AB369" s="7" t="s">
        <v>23</v>
      </c>
      <c r="AC369" s="7" t="s">
        <v>23</v>
      </c>
      <c r="AD369" s="7" t="s">
        <v>23</v>
      </c>
      <c r="AE369" s="7" t="s">
        <v>23</v>
      </c>
      <c r="AF369" s="7" t="s">
        <v>23</v>
      </c>
      <c r="AG369" s="7" t="s">
        <v>23</v>
      </c>
      <c r="AH369" s="7" t="s">
        <v>23</v>
      </c>
      <c r="AJ369" s="7" t="s">
        <v>23</v>
      </c>
      <c r="AK369" s="7" t="s">
        <v>23</v>
      </c>
      <c r="AL369" s="7" t="s">
        <v>23</v>
      </c>
      <c r="AM369" s="7" t="s">
        <v>23</v>
      </c>
      <c r="AN369" s="7" t="s">
        <v>23</v>
      </c>
      <c r="AO369" s="7" t="s">
        <v>23</v>
      </c>
      <c r="AP369" s="7" t="s">
        <v>23</v>
      </c>
    </row>
    <row r="370" spans="11:42">
      <c r="K370" s="22">
        <v>366</v>
      </c>
      <c r="L370" s="24" t="str">
        <f t="shared" si="52"/>
        <v/>
      </c>
      <c r="M370" s="24" t="str">
        <f t="shared" si="53"/>
        <v/>
      </c>
      <c r="N370" s="24" t="str">
        <f t="shared" si="54"/>
        <v/>
      </c>
      <c r="O370" s="24" t="str">
        <f t="shared" si="55"/>
        <v/>
      </c>
      <c r="P370" s="24" t="str">
        <f t="shared" si="56"/>
        <v/>
      </c>
      <c r="Q370" s="24" t="str">
        <f t="shared" si="57"/>
        <v/>
      </c>
      <c r="R370" s="24" t="str">
        <f t="shared" ref="R370:R403" si="58">IF(Z370&lt;&gt;"",_xlfn.XLOOKUP(Z370,$K$4:$K$27,$A$4:$A$27),"")</f>
        <v/>
      </c>
      <c r="T370" s="13" t="s">
        <v>23</v>
      </c>
      <c r="U370" s="7" t="s">
        <v>23</v>
      </c>
      <c r="V370" s="7" t="s">
        <v>23</v>
      </c>
      <c r="W370" s="7" t="s">
        <v>23</v>
      </c>
      <c r="X370" s="7" t="s">
        <v>23</v>
      </c>
      <c r="Y370" s="7" t="s">
        <v>23</v>
      </c>
      <c r="Z370" s="7" t="s">
        <v>23</v>
      </c>
      <c r="AB370" s="7" t="s">
        <v>23</v>
      </c>
      <c r="AC370" s="7" t="s">
        <v>23</v>
      </c>
      <c r="AD370" s="7" t="s">
        <v>23</v>
      </c>
      <c r="AE370" s="7" t="s">
        <v>23</v>
      </c>
      <c r="AF370" s="7" t="s">
        <v>23</v>
      </c>
      <c r="AG370" s="7" t="s">
        <v>23</v>
      </c>
      <c r="AH370" s="7" t="s">
        <v>23</v>
      </c>
      <c r="AJ370" s="7" t="s">
        <v>23</v>
      </c>
      <c r="AK370" s="7" t="s">
        <v>23</v>
      </c>
      <c r="AL370" s="7" t="s">
        <v>23</v>
      </c>
      <c r="AM370" s="7" t="s">
        <v>23</v>
      </c>
      <c r="AN370" s="7" t="s">
        <v>23</v>
      </c>
      <c r="AO370" s="7" t="s">
        <v>23</v>
      </c>
      <c r="AP370" s="7" t="s">
        <v>23</v>
      </c>
    </row>
    <row r="371" spans="11:42">
      <c r="K371" s="21">
        <v>367</v>
      </c>
      <c r="L371" s="24" t="str">
        <f t="shared" si="52"/>
        <v/>
      </c>
      <c r="M371" s="24" t="str">
        <f t="shared" si="53"/>
        <v/>
      </c>
      <c r="N371" s="24" t="str">
        <f t="shared" si="54"/>
        <v/>
      </c>
      <c r="O371" s="24" t="str">
        <f t="shared" si="55"/>
        <v/>
      </c>
      <c r="P371" s="24" t="str">
        <f t="shared" si="56"/>
        <v/>
      </c>
      <c r="Q371" s="24" t="str">
        <f t="shared" si="57"/>
        <v/>
      </c>
      <c r="R371" s="24" t="str">
        <f t="shared" si="58"/>
        <v/>
      </c>
      <c r="T371" s="13" t="s">
        <v>23</v>
      </c>
      <c r="U371" s="7" t="s">
        <v>23</v>
      </c>
      <c r="V371" s="7" t="s">
        <v>23</v>
      </c>
      <c r="W371" s="7" t="s">
        <v>23</v>
      </c>
      <c r="X371" s="7" t="s">
        <v>23</v>
      </c>
      <c r="Y371" s="7" t="s">
        <v>23</v>
      </c>
      <c r="Z371" s="7" t="s">
        <v>23</v>
      </c>
      <c r="AB371" s="7" t="s">
        <v>23</v>
      </c>
      <c r="AC371" s="7" t="s">
        <v>23</v>
      </c>
      <c r="AD371" s="7" t="s">
        <v>23</v>
      </c>
      <c r="AE371" s="7" t="s">
        <v>23</v>
      </c>
      <c r="AF371" s="7" t="s">
        <v>23</v>
      </c>
      <c r="AG371" s="7" t="s">
        <v>23</v>
      </c>
      <c r="AH371" s="7" t="s">
        <v>23</v>
      </c>
      <c r="AJ371" s="7" t="s">
        <v>23</v>
      </c>
      <c r="AK371" s="7" t="s">
        <v>23</v>
      </c>
      <c r="AL371" s="7" t="s">
        <v>23</v>
      </c>
      <c r="AM371" s="7" t="s">
        <v>23</v>
      </c>
      <c r="AN371" s="7" t="s">
        <v>23</v>
      </c>
      <c r="AO371" s="7" t="s">
        <v>23</v>
      </c>
      <c r="AP371" s="7" t="s">
        <v>23</v>
      </c>
    </row>
    <row r="372" spans="11:42">
      <c r="K372" s="22">
        <v>368</v>
      </c>
      <c r="L372" s="24" t="str">
        <f t="shared" si="52"/>
        <v/>
      </c>
      <c r="M372" s="24" t="str">
        <f t="shared" si="53"/>
        <v/>
      </c>
      <c r="N372" s="24" t="str">
        <f t="shared" si="54"/>
        <v/>
      </c>
      <c r="O372" s="24" t="str">
        <f t="shared" si="55"/>
        <v/>
      </c>
      <c r="P372" s="24" t="str">
        <f t="shared" si="56"/>
        <v/>
      </c>
      <c r="Q372" s="24" t="str">
        <f t="shared" si="57"/>
        <v/>
      </c>
      <c r="R372" s="24" t="str">
        <f t="shared" si="58"/>
        <v/>
      </c>
      <c r="T372" s="13" t="s">
        <v>23</v>
      </c>
      <c r="U372" s="7" t="s">
        <v>23</v>
      </c>
      <c r="V372" s="7" t="s">
        <v>23</v>
      </c>
      <c r="W372" s="7" t="s">
        <v>23</v>
      </c>
      <c r="X372" s="7" t="s">
        <v>23</v>
      </c>
      <c r="Y372" s="7" t="s">
        <v>23</v>
      </c>
      <c r="Z372" s="7" t="s">
        <v>23</v>
      </c>
      <c r="AB372" s="7" t="s">
        <v>23</v>
      </c>
      <c r="AC372" s="7" t="s">
        <v>23</v>
      </c>
      <c r="AD372" s="7" t="s">
        <v>23</v>
      </c>
      <c r="AE372" s="7" t="s">
        <v>23</v>
      </c>
      <c r="AF372" s="7" t="s">
        <v>23</v>
      </c>
      <c r="AG372" s="7" t="s">
        <v>23</v>
      </c>
      <c r="AH372" s="7" t="s">
        <v>23</v>
      </c>
      <c r="AJ372" s="7" t="s">
        <v>23</v>
      </c>
      <c r="AK372" s="7" t="s">
        <v>23</v>
      </c>
      <c r="AL372" s="7" t="s">
        <v>23</v>
      </c>
      <c r="AM372" s="7" t="s">
        <v>23</v>
      </c>
      <c r="AN372" s="7" t="s">
        <v>23</v>
      </c>
      <c r="AO372" s="7" t="s">
        <v>23</v>
      </c>
      <c r="AP372" s="7" t="s">
        <v>23</v>
      </c>
    </row>
    <row r="373" spans="11:42">
      <c r="K373" s="21">
        <v>369</v>
      </c>
      <c r="L373" s="24" t="str">
        <f t="shared" si="52"/>
        <v/>
      </c>
      <c r="M373" s="24" t="str">
        <f t="shared" si="53"/>
        <v/>
      </c>
      <c r="N373" s="24" t="str">
        <f t="shared" si="54"/>
        <v/>
      </c>
      <c r="O373" s="24" t="str">
        <f t="shared" si="55"/>
        <v/>
      </c>
      <c r="P373" s="24" t="str">
        <f t="shared" si="56"/>
        <v/>
      </c>
      <c r="Q373" s="24" t="str">
        <f t="shared" si="57"/>
        <v/>
      </c>
      <c r="R373" s="24" t="str">
        <f t="shared" si="58"/>
        <v/>
      </c>
      <c r="T373" s="13" t="s">
        <v>23</v>
      </c>
      <c r="U373" s="7" t="s">
        <v>23</v>
      </c>
      <c r="V373" s="7" t="s">
        <v>23</v>
      </c>
      <c r="W373" s="7" t="s">
        <v>23</v>
      </c>
      <c r="X373" s="7" t="s">
        <v>23</v>
      </c>
      <c r="Y373" s="7" t="s">
        <v>23</v>
      </c>
      <c r="Z373" s="7" t="s">
        <v>23</v>
      </c>
      <c r="AB373" s="7" t="s">
        <v>23</v>
      </c>
      <c r="AC373" s="7" t="s">
        <v>23</v>
      </c>
      <c r="AD373" s="7" t="s">
        <v>23</v>
      </c>
      <c r="AE373" s="7" t="s">
        <v>23</v>
      </c>
      <c r="AF373" s="7" t="s">
        <v>23</v>
      </c>
      <c r="AG373" s="7" t="s">
        <v>23</v>
      </c>
      <c r="AH373" s="7" t="s">
        <v>23</v>
      </c>
      <c r="AJ373" s="7" t="s">
        <v>23</v>
      </c>
      <c r="AK373" s="7" t="s">
        <v>23</v>
      </c>
      <c r="AL373" s="7" t="s">
        <v>23</v>
      </c>
      <c r="AM373" s="7" t="s">
        <v>23</v>
      </c>
      <c r="AN373" s="7" t="s">
        <v>23</v>
      </c>
      <c r="AO373" s="7" t="s">
        <v>23</v>
      </c>
      <c r="AP373" s="7" t="s">
        <v>23</v>
      </c>
    </row>
    <row r="374" spans="11:42">
      <c r="K374" s="22">
        <v>370</v>
      </c>
      <c r="L374" s="24" t="str">
        <f t="shared" ref="L374:L403" si="59">IF(T374&lt;&gt;"",_xlfn.XLOOKUP(T374,$K$4:$K$27,$A$4:$A$27),"")</f>
        <v/>
      </c>
      <c r="M374" s="24" t="str">
        <f t="shared" ref="M374:M403" si="60">IF(U374&lt;&gt;"",_xlfn.XLOOKUP(U374,$K$4:$K$27,$A$4:$A$27),"")</f>
        <v/>
      </c>
      <c r="N374" s="24" t="str">
        <f t="shared" ref="N374:N403" si="61">IF(V374&lt;&gt;"",_xlfn.XLOOKUP(V374,$K$4:$K$27,$A$4:$A$27),"")</f>
        <v/>
      </c>
      <c r="O374" s="24" t="str">
        <f t="shared" ref="O374:O403" si="62">IF(W374&lt;&gt;"",_xlfn.XLOOKUP(W374,$K$4:$K$27,$A$4:$A$27),"")</f>
        <v/>
      </c>
      <c r="P374" s="24" t="str">
        <f t="shared" ref="P374:P403" si="63">IF(X374&lt;&gt;"",_xlfn.XLOOKUP(X374,$K$4:$K$27,$A$4:$A$27),"")</f>
        <v/>
      </c>
      <c r="Q374" s="24" t="str">
        <f t="shared" ref="Q374:Q403" si="64">IF(Y374&lt;&gt;"",_xlfn.XLOOKUP(Y374,$K$4:$K$27,$A$4:$A$27),"")</f>
        <v/>
      </c>
      <c r="R374" s="24" t="str">
        <f t="shared" si="58"/>
        <v/>
      </c>
      <c r="T374" s="13" t="s">
        <v>23</v>
      </c>
      <c r="U374" s="7" t="s">
        <v>23</v>
      </c>
      <c r="V374" s="7" t="s">
        <v>23</v>
      </c>
      <c r="W374" s="7" t="s">
        <v>23</v>
      </c>
      <c r="X374" s="7" t="s">
        <v>23</v>
      </c>
      <c r="Y374" s="7" t="s">
        <v>23</v>
      </c>
      <c r="Z374" s="7" t="s">
        <v>23</v>
      </c>
      <c r="AB374" s="7" t="s">
        <v>23</v>
      </c>
      <c r="AC374" s="7" t="s">
        <v>23</v>
      </c>
      <c r="AD374" s="7" t="s">
        <v>23</v>
      </c>
      <c r="AE374" s="7" t="s">
        <v>23</v>
      </c>
      <c r="AF374" s="7" t="s">
        <v>23</v>
      </c>
      <c r="AG374" s="7" t="s">
        <v>23</v>
      </c>
      <c r="AH374" s="7" t="s">
        <v>23</v>
      </c>
      <c r="AJ374" s="7" t="s">
        <v>23</v>
      </c>
      <c r="AK374" s="7" t="s">
        <v>23</v>
      </c>
      <c r="AL374" s="7" t="s">
        <v>23</v>
      </c>
      <c r="AM374" s="7" t="s">
        <v>23</v>
      </c>
      <c r="AN374" s="7" t="s">
        <v>23</v>
      </c>
      <c r="AO374" s="7" t="s">
        <v>23</v>
      </c>
      <c r="AP374" s="7" t="s">
        <v>23</v>
      </c>
    </row>
    <row r="375" spans="11:42">
      <c r="K375" s="21">
        <v>371</v>
      </c>
      <c r="L375" s="24" t="str">
        <f t="shared" si="59"/>
        <v/>
      </c>
      <c r="M375" s="24" t="str">
        <f t="shared" si="60"/>
        <v/>
      </c>
      <c r="N375" s="24" t="str">
        <f t="shared" si="61"/>
        <v/>
      </c>
      <c r="O375" s="24" t="str">
        <f t="shared" si="62"/>
        <v/>
      </c>
      <c r="P375" s="24" t="str">
        <f t="shared" si="63"/>
        <v/>
      </c>
      <c r="Q375" s="24" t="str">
        <f t="shared" si="64"/>
        <v/>
      </c>
      <c r="R375" s="24" t="str">
        <f t="shared" si="58"/>
        <v/>
      </c>
      <c r="T375" s="13" t="s">
        <v>23</v>
      </c>
      <c r="U375" s="7" t="s">
        <v>23</v>
      </c>
      <c r="V375" s="7" t="s">
        <v>23</v>
      </c>
      <c r="W375" s="7" t="s">
        <v>23</v>
      </c>
      <c r="X375" s="7" t="s">
        <v>23</v>
      </c>
      <c r="Y375" s="7" t="s">
        <v>23</v>
      </c>
      <c r="Z375" s="7" t="s">
        <v>23</v>
      </c>
      <c r="AB375" s="7" t="s">
        <v>23</v>
      </c>
      <c r="AC375" s="7" t="s">
        <v>23</v>
      </c>
      <c r="AD375" s="7" t="s">
        <v>23</v>
      </c>
      <c r="AE375" s="7" t="s">
        <v>23</v>
      </c>
      <c r="AF375" s="7" t="s">
        <v>23</v>
      </c>
      <c r="AG375" s="7" t="s">
        <v>23</v>
      </c>
      <c r="AH375" s="7" t="s">
        <v>23</v>
      </c>
      <c r="AJ375" s="7" t="s">
        <v>23</v>
      </c>
      <c r="AK375" s="7" t="s">
        <v>23</v>
      </c>
      <c r="AL375" s="7" t="s">
        <v>23</v>
      </c>
      <c r="AM375" s="7" t="s">
        <v>23</v>
      </c>
      <c r="AN375" s="7" t="s">
        <v>23</v>
      </c>
      <c r="AO375" s="7" t="s">
        <v>23</v>
      </c>
      <c r="AP375" s="7" t="s">
        <v>23</v>
      </c>
    </row>
    <row r="376" spans="11:42">
      <c r="K376" s="22">
        <v>372</v>
      </c>
      <c r="L376" s="24" t="str">
        <f t="shared" si="59"/>
        <v/>
      </c>
      <c r="M376" s="24" t="str">
        <f t="shared" si="60"/>
        <v/>
      </c>
      <c r="N376" s="24" t="str">
        <f t="shared" si="61"/>
        <v/>
      </c>
      <c r="O376" s="24" t="str">
        <f t="shared" si="62"/>
        <v/>
      </c>
      <c r="P376" s="24" t="str">
        <f t="shared" si="63"/>
        <v/>
      </c>
      <c r="Q376" s="24" t="str">
        <f t="shared" si="64"/>
        <v/>
      </c>
      <c r="R376" s="24" t="str">
        <f t="shared" si="58"/>
        <v/>
      </c>
      <c r="T376" s="13" t="s">
        <v>23</v>
      </c>
      <c r="U376" s="7" t="s">
        <v>23</v>
      </c>
      <c r="V376" s="7" t="s">
        <v>23</v>
      </c>
      <c r="W376" s="7" t="s">
        <v>23</v>
      </c>
      <c r="X376" s="7" t="s">
        <v>23</v>
      </c>
      <c r="Y376" s="7" t="s">
        <v>23</v>
      </c>
      <c r="Z376" s="7" t="s">
        <v>23</v>
      </c>
      <c r="AB376" s="7" t="s">
        <v>23</v>
      </c>
      <c r="AC376" s="7" t="s">
        <v>23</v>
      </c>
      <c r="AD376" s="7" t="s">
        <v>23</v>
      </c>
      <c r="AE376" s="7" t="s">
        <v>23</v>
      </c>
      <c r="AF376" s="7" t="s">
        <v>23</v>
      </c>
      <c r="AG376" s="7" t="s">
        <v>23</v>
      </c>
      <c r="AH376" s="7" t="s">
        <v>23</v>
      </c>
      <c r="AJ376" s="7" t="s">
        <v>23</v>
      </c>
      <c r="AK376" s="7" t="s">
        <v>23</v>
      </c>
      <c r="AL376" s="7" t="s">
        <v>23</v>
      </c>
      <c r="AM376" s="7" t="s">
        <v>23</v>
      </c>
      <c r="AN376" s="7" t="s">
        <v>23</v>
      </c>
      <c r="AO376" s="7" t="s">
        <v>23</v>
      </c>
      <c r="AP376" s="7" t="s">
        <v>23</v>
      </c>
    </row>
    <row r="377" spans="11:42">
      <c r="K377" s="21">
        <v>373</v>
      </c>
      <c r="L377" s="24" t="str">
        <f t="shared" si="59"/>
        <v/>
      </c>
      <c r="M377" s="24" t="str">
        <f t="shared" si="60"/>
        <v/>
      </c>
      <c r="N377" s="24" t="str">
        <f t="shared" si="61"/>
        <v/>
      </c>
      <c r="O377" s="24" t="str">
        <f t="shared" si="62"/>
        <v/>
      </c>
      <c r="P377" s="24" t="str">
        <f t="shared" si="63"/>
        <v/>
      </c>
      <c r="Q377" s="24" t="str">
        <f t="shared" si="64"/>
        <v/>
      </c>
      <c r="R377" s="24" t="str">
        <f t="shared" si="58"/>
        <v/>
      </c>
      <c r="T377" s="13" t="s">
        <v>23</v>
      </c>
      <c r="U377" s="7" t="s">
        <v>23</v>
      </c>
      <c r="V377" s="7" t="s">
        <v>23</v>
      </c>
      <c r="W377" s="7" t="s">
        <v>23</v>
      </c>
      <c r="X377" s="7" t="s">
        <v>23</v>
      </c>
      <c r="Y377" s="7" t="s">
        <v>23</v>
      </c>
      <c r="Z377" s="7" t="s">
        <v>23</v>
      </c>
      <c r="AB377" s="7" t="s">
        <v>23</v>
      </c>
      <c r="AC377" s="7" t="s">
        <v>23</v>
      </c>
      <c r="AD377" s="7" t="s">
        <v>23</v>
      </c>
      <c r="AE377" s="7" t="s">
        <v>23</v>
      </c>
      <c r="AF377" s="7" t="s">
        <v>23</v>
      </c>
      <c r="AG377" s="7" t="s">
        <v>23</v>
      </c>
      <c r="AH377" s="7" t="s">
        <v>23</v>
      </c>
      <c r="AJ377" s="7" t="s">
        <v>23</v>
      </c>
      <c r="AK377" s="7" t="s">
        <v>23</v>
      </c>
      <c r="AL377" s="7" t="s">
        <v>23</v>
      </c>
      <c r="AM377" s="7" t="s">
        <v>23</v>
      </c>
      <c r="AN377" s="7" t="s">
        <v>23</v>
      </c>
      <c r="AO377" s="7" t="s">
        <v>23</v>
      </c>
      <c r="AP377" s="7" t="s">
        <v>23</v>
      </c>
    </row>
    <row r="378" spans="11:42">
      <c r="K378" s="22">
        <v>374</v>
      </c>
      <c r="L378" s="24" t="str">
        <f t="shared" si="59"/>
        <v/>
      </c>
      <c r="M378" s="24" t="str">
        <f t="shared" si="60"/>
        <v/>
      </c>
      <c r="N378" s="24" t="str">
        <f t="shared" si="61"/>
        <v/>
      </c>
      <c r="O378" s="24" t="str">
        <f t="shared" si="62"/>
        <v/>
      </c>
      <c r="P378" s="24" t="str">
        <f t="shared" si="63"/>
        <v/>
      </c>
      <c r="Q378" s="24" t="str">
        <f t="shared" si="64"/>
        <v/>
      </c>
      <c r="R378" s="24" t="str">
        <f t="shared" si="58"/>
        <v/>
      </c>
      <c r="T378" s="13" t="s">
        <v>23</v>
      </c>
      <c r="U378" s="7" t="s">
        <v>23</v>
      </c>
      <c r="V378" s="7" t="s">
        <v>23</v>
      </c>
      <c r="W378" s="7" t="s">
        <v>23</v>
      </c>
      <c r="X378" s="7" t="s">
        <v>23</v>
      </c>
      <c r="Y378" s="7" t="s">
        <v>23</v>
      </c>
      <c r="Z378" s="7" t="s">
        <v>23</v>
      </c>
      <c r="AB378" s="7" t="s">
        <v>23</v>
      </c>
      <c r="AC378" s="7" t="s">
        <v>23</v>
      </c>
      <c r="AD378" s="7" t="s">
        <v>23</v>
      </c>
      <c r="AE378" s="7" t="s">
        <v>23</v>
      </c>
      <c r="AF378" s="7" t="s">
        <v>23</v>
      </c>
      <c r="AG378" s="7" t="s">
        <v>23</v>
      </c>
      <c r="AH378" s="7" t="s">
        <v>23</v>
      </c>
      <c r="AJ378" s="7" t="s">
        <v>23</v>
      </c>
      <c r="AK378" s="7" t="s">
        <v>23</v>
      </c>
      <c r="AL378" s="7" t="s">
        <v>23</v>
      </c>
      <c r="AM378" s="7" t="s">
        <v>23</v>
      </c>
      <c r="AN378" s="7" t="s">
        <v>23</v>
      </c>
      <c r="AO378" s="7" t="s">
        <v>23</v>
      </c>
      <c r="AP378" s="7" t="s">
        <v>23</v>
      </c>
    </row>
    <row r="379" spans="11:42">
      <c r="K379" s="21">
        <v>375</v>
      </c>
      <c r="L379" s="24" t="str">
        <f t="shared" si="59"/>
        <v/>
      </c>
      <c r="M379" s="24" t="str">
        <f t="shared" si="60"/>
        <v/>
      </c>
      <c r="N379" s="24" t="str">
        <f t="shared" si="61"/>
        <v/>
      </c>
      <c r="O379" s="24" t="str">
        <f t="shared" si="62"/>
        <v/>
      </c>
      <c r="P379" s="24" t="str">
        <f t="shared" si="63"/>
        <v/>
      </c>
      <c r="Q379" s="24" t="str">
        <f t="shared" si="64"/>
        <v/>
      </c>
      <c r="R379" s="24" t="str">
        <f t="shared" si="58"/>
        <v/>
      </c>
      <c r="T379" s="13" t="s">
        <v>23</v>
      </c>
      <c r="U379" s="7" t="s">
        <v>23</v>
      </c>
      <c r="V379" s="7" t="s">
        <v>23</v>
      </c>
      <c r="W379" s="7" t="s">
        <v>23</v>
      </c>
      <c r="X379" s="7" t="s">
        <v>23</v>
      </c>
      <c r="Y379" s="7" t="s">
        <v>23</v>
      </c>
      <c r="Z379" s="7" t="s">
        <v>23</v>
      </c>
      <c r="AB379" s="7" t="s">
        <v>23</v>
      </c>
      <c r="AC379" s="7" t="s">
        <v>23</v>
      </c>
      <c r="AD379" s="7" t="s">
        <v>23</v>
      </c>
      <c r="AE379" s="7" t="s">
        <v>23</v>
      </c>
      <c r="AF379" s="7" t="s">
        <v>23</v>
      </c>
      <c r="AG379" s="7" t="s">
        <v>23</v>
      </c>
      <c r="AH379" s="7" t="s">
        <v>23</v>
      </c>
      <c r="AJ379" s="7" t="s">
        <v>23</v>
      </c>
      <c r="AK379" s="7" t="s">
        <v>23</v>
      </c>
      <c r="AL379" s="7" t="s">
        <v>23</v>
      </c>
      <c r="AM379" s="7" t="s">
        <v>23</v>
      </c>
      <c r="AN379" s="7" t="s">
        <v>23</v>
      </c>
      <c r="AO379" s="7" t="s">
        <v>23</v>
      </c>
      <c r="AP379" s="7" t="s">
        <v>23</v>
      </c>
    </row>
    <row r="380" spans="11:42">
      <c r="K380" s="22">
        <v>376</v>
      </c>
      <c r="L380" s="24" t="str">
        <f t="shared" si="59"/>
        <v/>
      </c>
      <c r="M380" s="24" t="str">
        <f t="shared" si="60"/>
        <v/>
      </c>
      <c r="N380" s="24" t="str">
        <f t="shared" si="61"/>
        <v/>
      </c>
      <c r="O380" s="24" t="str">
        <f t="shared" si="62"/>
        <v/>
      </c>
      <c r="P380" s="24" t="str">
        <f t="shared" si="63"/>
        <v/>
      </c>
      <c r="Q380" s="24" t="str">
        <f t="shared" si="64"/>
        <v/>
      </c>
      <c r="R380" s="24" t="str">
        <f t="shared" si="58"/>
        <v/>
      </c>
      <c r="T380" s="13" t="s">
        <v>23</v>
      </c>
      <c r="U380" s="7" t="s">
        <v>23</v>
      </c>
      <c r="V380" s="7" t="s">
        <v>23</v>
      </c>
      <c r="W380" s="7" t="s">
        <v>23</v>
      </c>
      <c r="X380" s="7" t="s">
        <v>23</v>
      </c>
      <c r="Y380" s="7" t="s">
        <v>23</v>
      </c>
      <c r="Z380" s="7" t="s">
        <v>23</v>
      </c>
      <c r="AB380" s="7" t="s">
        <v>23</v>
      </c>
      <c r="AC380" s="7" t="s">
        <v>23</v>
      </c>
      <c r="AD380" s="7" t="s">
        <v>23</v>
      </c>
      <c r="AE380" s="7" t="s">
        <v>23</v>
      </c>
      <c r="AF380" s="7" t="s">
        <v>23</v>
      </c>
      <c r="AG380" s="7" t="s">
        <v>23</v>
      </c>
      <c r="AH380" s="7" t="s">
        <v>23</v>
      </c>
      <c r="AJ380" s="7" t="s">
        <v>23</v>
      </c>
      <c r="AK380" s="7" t="s">
        <v>23</v>
      </c>
      <c r="AL380" s="7" t="s">
        <v>23</v>
      </c>
      <c r="AM380" s="7" t="s">
        <v>23</v>
      </c>
      <c r="AN380" s="7" t="s">
        <v>23</v>
      </c>
      <c r="AO380" s="7" t="s">
        <v>23</v>
      </c>
      <c r="AP380" s="7" t="s">
        <v>23</v>
      </c>
    </row>
    <row r="381" spans="11:42">
      <c r="K381" s="21">
        <v>377</v>
      </c>
      <c r="L381" s="24" t="str">
        <f t="shared" si="59"/>
        <v/>
      </c>
      <c r="M381" s="24" t="str">
        <f t="shared" si="60"/>
        <v/>
      </c>
      <c r="N381" s="24" t="str">
        <f t="shared" si="61"/>
        <v/>
      </c>
      <c r="O381" s="24" t="str">
        <f t="shared" si="62"/>
        <v/>
      </c>
      <c r="P381" s="24" t="str">
        <f t="shared" si="63"/>
        <v/>
      </c>
      <c r="Q381" s="24" t="str">
        <f t="shared" si="64"/>
        <v/>
      </c>
      <c r="R381" s="24" t="str">
        <f t="shared" si="58"/>
        <v/>
      </c>
      <c r="T381" s="13" t="s">
        <v>23</v>
      </c>
      <c r="U381" s="7" t="s">
        <v>23</v>
      </c>
      <c r="V381" s="7" t="s">
        <v>23</v>
      </c>
      <c r="W381" s="7" t="s">
        <v>23</v>
      </c>
      <c r="X381" s="7" t="s">
        <v>23</v>
      </c>
      <c r="Y381" s="7" t="s">
        <v>23</v>
      </c>
      <c r="Z381" s="7" t="s">
        <v>23</v>
      </c>
      <c r="AB381" s="7" t="s">
        <v>23</v>
      </c>
      <c r="AC381" s="7" t="s">
        <v>23</v>
      </c>
      <c r="AD381" s="7" t="s">
        <v>23</v>
      </c>
      <c r="AE381" s="7" t="s">
        <v>23</v>
      </c>
      <c r="AF381" s="7" t="s">
        <v>23</v>
      </c>
      <c r="AG381" s="7" t="s">
        <v>23</v>
      </c>
      <c r="AH381" s="7" t="s">
        <v>23</v>
      </c>
      <c r="AJ381" s="7" t="s">
        <v>23</v>
      </c>
      <c r="AK381" s="7" t="s">
        <v>23</v>
      </c>
      <c r="AL381" s="7" t="s">
        <v>23</v>
      </c>
      <c r="AM381" s="7" t="s">
        <v>23</v>
      </c>
      <c r="AN381" s="7" t="s">
        <v>23</v>
      </c>
      <c r="AO381" s="7" t="s">
        <v>23</v>
      </c>
      <c r="AP381" s="7" t="s">
        <v>23</v>
      </c>
    </row>
    <row r="382" spans="11:42">
      <c r="K382" s="22">
        <v>378</v>
      </c>
      <c r="L382" s="24" t="str">
        <f t="shared" si="59"/>
        <v/>
      </c>
      <c r="M382" s="24" t="str">
        <f t="shared" si="60"/>
        <v/>
      </c>
      <c r="N382" s="24" t="str">
        <f t="shared" si="61"/>
        <v/>
      </c>
      <c r="O382" s="24" t="str">
        <f t="shared" si="62"/>
        <v/>
      </c>
      <c r="P382" s="24" t="str">
        <f t="shared" si="63"/>
        <v/>
      </c>
      <c r="Q382" s="24" t="str">
        <f t="shared" si="64"/>
        <v/>
      </c>
      <c r="R382" s="24" t="str">
        <f t="shared" si="58"/>
        <v/>
      </c>
      <c r="T382" s="13" t="s">
        <v>23</v>
      </c>
      <c r="U382" s="7" t="s">
        <v>23</v>
      </c>
      <c r="V382" s="7" t="s">
        <v>23</v>
      </c>
      <c r="W382" s="7" t="s">
        <v>23</v>
      </c>
      <c r="X382" s="7" t="s">
        <v>23</v>
      </c>
      <c r="Y382" s="7" t="s">
        <v>23</v>
      </c>
      <c r="Z382" s="7" t="s">
        <v>23</v>
      </c>
      <c r="AB382" s="7" t="s">
        <v>23</v>
      </c>
      <c r="AC382" s="7" t="s">
        <v>23</v>
      </c>
      <c r="AD382" s="7" t="s">
        <v>23</v>
      </c>
      <c r="AE382" s="7" t="s">
        <v>23</v>
      </c>
      <c r="AF382" s="7" t="s">
        <v>23</v>
      </c>
      <c r="AG382" s="7" t="s">
        <v>23</v>
      </c>
      <c r="AH382" s="7" t="s">
        <v>23</v>
      </c>
      <c r="AJ382" s="7" t="s">
        <v>23</v>
      </c>
      <c r="AK382" s="7" t="s">
        <v>23</v>
      </c>
      <c r="AL382" s="7" t="s">
        <v>23</v>
      </c>
      <c r="AM382" s="7" t="s">
        <v>23</v>
      </c>
      <c r="AN382" s="7" t="s">
        <v>23</v>
      </c>
      <c r="AO382" s="7" t="s">
        <v>23</v>
      </c>
      <c r="AP382" s="7" t="s">
        <v>23</v>
      </c>
    </row>
    <row r="383" spans="11:42">
      <c r="K383" s="21">
        <v>379</v>
      </c>
      <c r="L383" s="24" t="str">
        <f t="shared" si="59"/>
        <v/>
      </c>
      <c r="M383" s="24" t="str">
        <f t="shared" si="60"/>
        <v/>
      </c>
      <c r="N383" s="24" t="str">
        <f t="shared" si="61"/>
        <v/>
      </c>
      <c r="O383" s="24" t="str">
        <f t="shared" si="62"/>
        <v/>
      </c>
      <c r="P383" s="24" t="str">
        <f t="shared" si="63"/>
        <v/>
      </c>
      <c r="Q383" s="24" t="str">
        <f t="shared" si="64"/>
        <v/>
      </c>
      <c r="R383" s="24" t="str">
        <f t="shared" si="58"/>
        <v/>
      </c>
      <c r="T383" s="13" t="s">
        <v>23</v>
      </c>
      <c r="U383" s="7" t="s">
        <v>23</v>
      </c>
      <c r="V383" s="7" t="s">
        <v>23</v>
      </c>
      <c r="W383" s="7" t="s">
        <v>23</v>
      </c>
      <c r="X383" s="7" t="s">
        <v>23</v>
      </c>
      <c r="Y383" s="7" t="s">
        <v>23</v>
      </c>
      <c r="Z383" s="7" t="s">
        <v>23</v>
      </c>
      <c r="AB383" s="7" t="s">
        <v>23</v>
      </c>
      <c r="AC383" s="7" t="s">
        <v>23</v>
      </c>
      <c r="AD383" s="7" t="s">
        <v>23</v>
      </c>
      <c r="AE383" s="7" t="s">
        <v>23</v>
      </c>
      <c r="AF383" s="7" t="s">
        <v>23</v>
      </c>
      <c r="AG383" s="7" t="s">
        <v>23</v>
      </c>
      <c r="AH383" s="7" t="s">
        <v>23</v>
      </c>
      <c r="AJ383" s="7" t="s">
        <v>23</v>
      </c>
      <c r="AK383" s="7" t="s">
        <v>23</v>
      </c>
      <c r="AL383" s="7" t="s">
        <v>23</v>
      </c>
      <c r="AM383" s="7" t="s">
        <v>23</v>
      </c>
      <c r="AN383" s="7" t="s">
        <v>23</v>
      </c>
      <c r="AO383" s="7" t="s">
        <v>23</v>
      </c>
      <c r="AP383" s="7" t="s">
        <v>23</v>
      </c>
    </row>
    <row r="384" spans="11:42">
      <c r="K384" s="22">
        <v>380</v>
      </c>
      <c r="L384" s="24" t="str">
        <f t="shared" si="59"/>
        <v/>
      </c>
      <c r="M384" s="24" t="str">
        <f t="shared" si="60"/>
        <v/>
      </c>
      <c r="N384" s="24" t="str">
        <f t="shared" si="61"/>
        <v/>
      </c>
      <c r="O384" s="24" t="str">
        <f t="shared" si="62"/>
        <v/>
      </c>
      <c r="P384" s="24" t="str">
        <f t="shared" si="63"/>
        <v/>
      </c>
      <c r="Q384" s="24" t="str">
        <f t="shared" si="64"/>
        <v/>
      </c>
      <c r="R384" s="24" t="str">
        <f t="shared" si="58"/>
        <v/>
      </c>
      <c r="T384" s="13" t="s">
        <v>23</v>
      </c>
      <c r="U384" s="7" t="s">
        <v>23</v>
      </c>
      <c r="V384" s="7" t="s">
        <v>23</v>
      </c>
      <c r="W384" s="7" t="s">
        <v>23</v>
      </c>
      <c r="X384" s="7" t="s">
        <v>23</v>
      </c>
      <c r="Y384" s="7" t="s">
        <v>23</v>
      </c>
      <c r="Z384" s="7" t="s">
        <v>23</v>
      </c>
      <c r="AB384" s="7" t="s">
        <v>23</v>
      </c>
      <c r="AC384" s="7" t="s">
        <v>23</v>
      </c>
      <c r="AD384" s="7" t="s">
        <v>23</v>
      </c>
      <c r="AE384" s="7" t="s">
        <v>23</v>
      </c>
      <c r="AF384" s="7" t="s">
        <v>23</v>
      </c>
      <c r="AG384" s="7" t="s">
        <v>23</v>
      </c>
      <c r="AH384" s="7" t="s">
        <v>23</v>
      </c>
      <c r="AJ384" s="7" t="s">
        <v>23</v>
      </c>
      <c r="AK384" s="7" t="s">
        <v>23</v>
      </c>
      <c r="AL384" s="7" t="s">
        <v>23</v>
      </c>
      <c r="AM384" s="7" t="s">
        <v>23</v>
      </c>
      <c r="AN384" s="7" t="s">
        <v>23</v>
      </c>
      <c r="AO384" s="7" t="s">
        <v>23</v>
      </c>
      <c r="AP384" s="7" t="s">
        <v>23</v>
      </c>
    </row>
    <row r="385" spans="11:42">
      <c r="K385" s="21">
        <v>381</v>
      </c>
      <c r="L385" s="24" t="str">
        <f t="shared" si="59"/>
        <v/>
      </c>
      <c r="M385" s="24" t="str">
        <f t="shared" si="60"/>
        <v/>
      </c>
      <c r="N385" s="24" t="str">
        <f t="shared" si="61"/>
        <v/>
      </c>
      <c r="O385" s="24" t="str">
        <f t="shared" si="62"/>
        <v/>
      </c>
      <c r="P385" s="24" t="str">
        <f t="shared" si="63"/>
        <v/>
      </c>
      <c r="Q385" s="24" t="str">
        <f t="shared" si="64"/>
        <v/>
      </c>
      <c r="R385" s="24" t="str">
        <f t="shared" si="58"/>
        <v/>
      </c>
      <c r="T385" s="13" t="s">
        <v>23</v>
      </c>
      <c r="U385" s="7" t="s">
        <v>23</v>
      </c>
      <c r="V385" s="7" t="s">
        <v>23</v>
      </c>
      <c r="W385" s="7" t="s">
        <v>23</v>
      </c>
      <c r="X385" s="7" t="s">
        <v>23</v>
      </c>
      <c r="Y385" s="7" t="s">
        <v>23</v>
      </c>
      <c r="Z385" s="7" t="s">
        <v>23</v>
      </c>
      <c r="AB385" s="7" t="s">
        <v>23</v>
      </c>
      <c r="AC385" s="7" t="s">
        <v>23</v>
      </c>
      <c r="AD385" s="7" t="s">
        <v>23</v>
      </c>
      <c r="AE385" s="7" t="s">
        <v>23</v>
      </c>
      <c r="AF385" s="7" t="s">
        <v>23</v>
      </c>
      <c r="AG385" s="7" t="s">
        <v>23</v>
      </c>
      <c r="AH385" s="7" t="s">
        <v>23</v>
      </c>
      <c r="AJ385" s="7" t="s">
        <v>23</v>
      </c>
      <c r="AK385" s="7" t="s">
        <v>23</v>
      </c>
      <c r="AL385" s="7" t="s">
        <v>23</v>
      </c>
      <c r="AM385" s="7" t="s">
        <v>23</v>
      </c>
      <c r="AN385" s="7" t="s">
        <v>23</v>
      </c>
      <c r="AO385" s="7" t="s">
        <v>23</v>
      </c>
      <c r="AP385" s="7" t="s">
        <v>23</v>
      </c>
    </row>
    <row r="386" spans="11:42">
      <c r="K386" s="22">
        <v>382</v>
      </c>
      <c r="L386" s="24" t="str">
        <f t="shared" si="59"/>
        <v/>
      </c>
      <c r="M386" s="24" t="str">
        <f t="shared" si="60"/>
        <v/>
      </c>
      <c r="N386" s="24" t="str">
        <f t="shared" si="61"/>
        <v/>
      </c>
      <c r="O386" s="24" t="str">
        <f t="shared" si="62"/>
        <v/>
      </c>
      <c r="P386" s="24" t="str">
        <f t="shared" si="63"/>
        <v/>
      </c>
      <c r="Q386" s="24" t="str">
        <f t="shared" si="64"/>
        <v/>
      </c>
      <c r="R386" s="24" t="str">
        <f t="shared" si="58"/>
        <v/>
      </c>
      <c r="T386" s="13" t="s">
        <v>23</v>
      </c>
      <c r="U386" s="7" t="s">
        <v>23</v>
      </c>
      <c r="V386" s="7" t="s">
        <v>23</v>
      </c>
      <c r="W386" s="7" t="s">
        <v>23</v>
      </c>
      <c r="X386" s="7" t="s">
        <v>23</v>
      </c>
      <c r="Y386" s="7" t="s">
        <v>23</v>
      </c>
      <c r="Z386" s="7" t="s">
        <v>23</v>
      </c>
      <c r="AB386" s="7" t="s">
        <v>23</v>
      </c>
      <c r="AC386" s="7" t="s">
        <v>23</v>
      </c>
      <c r="AD386" s="7" t="s">
        <v>23</v>
      </c>
      <c r="AE386" s="7" t="s">
        <v>23</v>
      </c>
      <c r="AF386" s="7" t="s">
        <v>23</v>
      </c>
      <c r="AG386" s="7" t="s">
        <v>23</v>
      </c>
      <c r="AH386" s="7" t="s">
        <v>23</v>
      </c>
      <c r="AJ386" s="7" t="s">
        <v>23</v>
      </c>
      <c r="AK386" s="7" t="s">
        <v>23</v>
      </c>
      <c r="AL386" s="7" t="s">
        <v>23</v>
      </c>
      <c r="AM386" s="7" t="s">
        <v>23</v>
      </c>
      <c r="AN386" s="7" t="s">
        <v>23</v>
      </c>
      <c r="AO386" s="7" t="s">
        <v>23</v>
      </c>
      <c r="AP386" s="7" t="s">
        <v>23</v>
      </c>
    </row>
    <row r="387" spans="11:42">
      <c r="K387" s="21">
        <v>383</v>
      </c>
      <c r="L387" s="24" t="str">
        <f t="shared" si="59"/>
        <v/>
      </c>
      <c r="M387" s="24" t="str">
        <f t="shared" si="60"/>
        <v/>
      </c>
      <c r="N387" s="24" t="str">
        <f t="shared" si="61"/>
        <v/>
      </c>
      <c r="O387" s="24" t="str">
        <f t="shared" si="62"/>
        <v/>
      </c>
      <c r="P387" s="24" t="str">
        <f t="shared" si="63"/>
        <v/>
      </c>
      <c r="Q387" s="24" t="str">
        <f t="shared" si="64"/>
        <v/>
      </c>
      <c r="R387" s="24" t="str">
        <f t="shared" si="58"/>
        <v/>
      </c>
      <c r="T387" s="13" t="s">
        <v>23</v>
      </c>
      <c r="U387" s="7" t="s">
        <v>23</v>
      </c>
      <c r="V387" s="7" t="s">
        <v>23</v>
      </c>
      <c r="W387" s="7" t="s">
        <v>23</v>
      </c>
      <c r="X387" s="7" t="s">
        <v>23</v>
      </c>
      <c r="Y387" s="7" t="s">
        <v>23</v>
      </c>
      <c r="Z387" s="7" t="s">
        <v>23</v>
      </c>
      <c r="AB387" s="7" t="s">
        <v>23</v>
      </c>
      <c r="AC387" s="7" t="s">
        <v>23</v>
      </c>
      <c r="AD387" s="7" t="s">
        <v>23</v>
      </c>
      <c r="AE387" s="7" t="s">
        <v>23</v>
      </c>
      <c r="AF387" s="7" t="s">
        <v>23</v>
      </c>
      <c r="AG387" s="7" t="s">
        <v>23</v>
      </c>
      <c r="AH387" s="7" t="s">
        <v>23</v>
      </c>
      <c r="AJ387" s="7" t="s">
        <v>23</v>
      </c>
      <c r="AK387" s="7" t="s">
        <v>23</v>
      </c>
      <c r="AL387" s="7" t="s">
        <v>23</v>
      </c>
      <c r="AM387" s="7" t="s">
        <v>23</v>
      </c>
      <c r="AN387" s="7" t="s">
        <v>23</v>
      </c>
      <c r="AO387" s="7" t="s">
        <v>23</v>
      </c>
      <c r="AP387" s="7" t="s">
        <v>23</v>
      </c>
    </row>
    <row r="388" spans="11:42">
      <c r="K388" s="22">
        <v>384</v>
      </c>
      <c r="L388" s="24" t="str">
        <f t="shared" si="59"/>
        <v/>
      </c>
      <c r="M388" s="24" t="str">
        <f t="shared" si="60"/>
        <v/>
      </c>
      <c r="N388" s="24" t="str">
        <f t="shared" si="61"/>
        <v/>
      </c>
      <c r="O388" s="24" t="str">
        <f t="shared" si="62"/>
        <v/>
      </c>
      <c r="P388" s="24" t="str">
        <f t="shared" si="63"/>
        <v/>
      </c>
      <c r="Q388" s="24" t="str">
        <f t="shared" si="64"/>
        <v/>
      </c>
      <c r="R388" s="24" t="str">
        <f t="shared" si="58"/>
        <v/>
      </c>
      <c r="T388" s="13" t="s">
        <v>23</v>
      </c>
      <c r="U388" s="7" t="s">
        <v>23</v>
      </c>
      <c r="V388" s="7" t="s">
        <v>23</v>
      </c>
      <c r="W388" s="7" t="s">
        <v>23</v>
      </c>
      <c r="X388" s="7" t="s">
        <v>23</v>
      </c>
      <c r="Y388" s="7" t="s">
        <v>23</v>
      </c>
      <c r="Z388" s="7" t="s">
        <v>23</v>
      </c>
      <c r="AB388" s="7" t="s">
        <v>23</v>
      </c>
      <c r="AC388" s="7" t="s">
        <v>23</v>
      </c>
      <c r="AD388" s="7" t="s">
        <v>23</v>
      </c>
      <c r="AE388" s="7" t="s">
        <v>23</v>
      </c>
      <c r="AF388" s="7" t="s">
        <v>23</v>
      </c>
      <c r="AG388" s="7" t="s">
        <v>23</v>
      </c>
      <c r="AH388" s="7" t="s">
        <v>23</v>
      </c>
      <c r="AJ388" s="7" t="s">
        <v>23</v>
      </c>
      <c r="AK388" s="7" t="s">
        <v>23</v>
      </c>
      <c r="AL388" s="7" t="s">
        <v>23</v>
      </c>
      <c r="AM388" s="7" t="s">
        <v>23</v>
      </c>
      <c r="AN388" s="7" t="s">
        <v>23</v>
      </c>
      <c r="AO388" s="7" t="s">
        <v>23</v>
      </c>
      <c r="AP388" s="7" t="s">
        <v>23</v>
      </c>
    </row>
    <row r="389" spans="11:42">
      <c r="K389" s="21">
        <v>385</v>
      </c>
      <c r="L389" s="24" t="str">
        <f t="shared" si="59"/>
        <v/>
      </c>
      <c r="M389" s="24" t="str">
        <f t="shared" si="60"/>
        <v/>
      </c>
      <c r="N389" s="24" t="str">
        <f t="shared" si="61"/>
        <v/>
      </c>
      <c r="O389" s="24" t="str">
        <f t="shared" si="62"/>
        <v/>
      </c>
      <c r="P389" s="24" t="str">
        <f t="shared" si="63"/>
        <v/>
      </c>
      <c r="Q389" s="24" t="str">
        <f t="shared" si="64"/>
        <v/>
      </c>
      <c r="R389" s="24" t="str">
        <f t="shared" si="58"/>
        <v/>
      </c>
      <c r="T389" s="13" t="s">
        <v>23</v>
      </c>
      <c r="U389" s="7" t="s">
        <v>23</v>
      </c>
      <c r="V389" s="7" t="s">
        <v>23</v>
      </c>
      <c r="W389" s="7" t="s">
        <v>23</v>
      </c>
      <c r="X389" s="7" t="s">
        <v>23</v>
      </c>
      <c r="Y389" s="7" t="s">
        <v>23</v>
      </c>
      <c r="Z389" s="7" t="s">
        <v>23</v>
      </c>
      <c r="AB389" s="7" t="s">
        <v>23</v>
      </c>
      <c r="AC389" s="7" t="s">
        <v>23</v>
      </c>
      <c r="AD389" s="7" t="s">
        <v>23</v>
      </c>
      <c r="AE389" s="7" t="s">
        <v>23</v>
      </c>
      <c r="AF389" s="7" t="s">
        <v>23</v>
      </c>
      <c r="AG389" s="7" t="s">
        <v>23</v>
      </c>
      <c r="AH389" s="7" t="s">
        <v>23</v>
      </c>
      <c r="AJ389" s="7" t="s">
        <v>23</v>
      </c>
      <c r="AK389" s="7" t="s">
        <v>23</v>
      </c>
      <c r="AL389" s="7" t="s">
        <v>23</v>
      </c>
      <c r="AM389" s="7" t="s">
        <v>23</v>
      </c>
      <c r="AN389" s="7" t="s">
        <v>23</v>
      </c>
      <c r="AO389" s="7" t="s">
        <v>23</v>
      </c>
      <c r="AP389" s="7" t="s">
        <v>23</v>
      </c>
    </row>
    <row r="390" spans="11:42">
      <c r="K390" s="22">
        <v>386</v>
      </c>
      <c r="L390" s="24" t="str">
        <f t="shared" si="59"/>
        <v/>
      </c>
      <c r="M390" s="24" t="str">
        <f t="shared" si="60"/>
        <v/>
      </c>
      <c r="N390" s="24" t="str">
        <f t="shared" si="61"/>
        <v/>
      </c>
      <c r="O390" s="24" t="str">
        <f t="shared" si="62"/>
        <v/>
      </c>
      <c r="P390" s="24" t="str">
        <f t="shared" si="63"/>
        <v/>
      </c>
      <c r="Q390" s="24" t="str">
        <f t="shared" si="64"/>
        <v/>
      </c>
      <c r="R390" s="24" t="str">
        <f t="shared" si="58"/>
        <v/>
      </c>
      <c r="T390" s="13" t="s">
        <v>23</v>
      </c>
      <c r="U390" s="7" t="s">
        <v>23</v>
      </c>
      <c r="V390" s="7" t="s">
        <v>23</v>
      </c>
      <c r="W390" s="7" t="s">
        <v>23</v>
      </c>
      <c r="X390" s="7" t="s">
        <v>23</v>
      </c>
      <c r="Y390" s="7" t="s">
        <v>23</v>
      </c>
      <c r="Z390" s="7" t="s">
        <v>23</v>
      </c>
      <c r="AB390" s="7" t="s">
        <v>23</v>
      </c>
      <c r="AC390" s="7" t="s">
        <v>23</v>
      </c>
      <c r="AD390" s="7" t="s">
        <v>23</v>
      </c>
      <c r="AE390" s="7" t="s">
        <v>23</v>
      </c>
      <c r="AF390" s="7" t="s">
        <v>23</v>
      </c>
      <c r="AG390" s="7" t="s">
        <v>23</v>
      </c>
      <c r="AH390" s="7" t="s">
        <v>23</v>
      </c>
      <c r="AJ390" s="7" t="s">
        <v>23</v>
      </c>
      <c r="AK390" s="7" t="s">
        <v>23</v>
      </c>
      <c r="AL390" s="7" t="s">
        <v>23</v>
      </c>
      <c r="AM390" s="7" t="s">
        <v>23</v>
      </c>
      <c r="AN390" s="7" t="s">
        <v>23</v>
      </c>
      <c r="AO390" s="7" t="s">
        <v>23</v>
      </c>
      <c r="AP390" s="7" t="s">
        <v>23</v>
      </c>
    </row>
    <row r="391" spans="11:42">
      <c r="K391" s="21">
        <v>387</v>
      </c>
      <c r="L391" s="24" t="str">
        <f t="shared" si="59"/>
        <v/>
      </c>
      <c r="M391" s="24" t="str">
        <f t="shared" si="60"/>
        <v/>
      </c>
      <c r="N391" s="24" t="str">
        <f t="shared" si="61"/>
        <v/>
      </c>
      <c r="O391" s="24" t="str">
        <f t="shared" si="62"/>
        <v/>
      </c>
      <c r="P391" s="24" t="str">
        <f t="shared" si="63"/>
        <v/>
      </c>
      <c r="Q391" s="24" t="str">
        <f t="shared" si="64"/>
        <v/>
      </c>
      <c r="R391" s="24" t="str">
        <f t="shared" si="58"/>
        <v/>
      </c>
      <c r="T391" s="13" t="s">
        <v>23</v>
      </c>
      <c r="U391" s="7" t="s">
        <v>23</v>
      </c>
      <c r="V391" s="7" t="s">
        <v>23</v>
      </c>
      <c r="W391" s="7" t="s">
        <v>23</v>
      </c>
      <c r="X391" s="7" t="s">
        <v>23</v>
      </c>
      <c r="Y391" s="7" t="s">
        <v>23</v>
      </c>
      <c r="Z391" s="7" t="s">
        <v>23</v>
      </c>
      <c r="AB391" s="7" t="s">
        <v>23</v>
      </c>
      <c r="AC391" s="7" t="s">
        <v>23</v>
      </c>
      <c r="AD391" s="7" t="s">
        <v>23</v>
      </c>
      <c r="AE391" s="7" t="s">
        <v>23</v>
      </c>
      <c r="AF391" s="7" t="s">
        <v>23</v>
      </c>
      <c r="AG391" s="7" t="s">
        <v>23</v>
      </c>
      <c r="AH391" s="7" t="s">
        <v>23</v>
      </c>
      <c r="AJ391" s="7" t="s">
        <v>23</v>
      </c>
      <c r="AK391" s="7" t="s">
        <v>23</v>
      </c>
      <c r="AL391" s="7" t="s">
        <v>23</v>
      </c>
      <c r="AM391" s="7" t="s">
        <v>23</v>
      </c>
      <c r="AN391" s="7" t="s">
        <v>23</v>
      </c>
      <c r="AO391" s="7" t="s">
        <v>23</v>
      </c>
      <c r="AP391" s="7" t="s">
        <v>23</v>
      </c>
    </row>
    <row r="392" spans="11:42">
      <c r="K392" s="22">
        <v>388</v>
      </c>
      <c r="L392" s="24" t="str">
        <f t="shared" si="59"/>
        <v/>
      </c>
      <c r="M392" s="24" t="str">
        <f t="shared" si="60"/>
        <v/>
      </c>
      <c r="N392" s="24" t="str">
        <f t="shared" si="61"/>
        <v/>
      </c>
      <c r="O392" s="24" t="str">
        <f t="shared" si="62"/>
        <v/>
      </c>
      <c r="P392" s="24" t="str">
        <f t="shared" si="63"/>
        <v/>
      </c>
      <c r="Q392" s="24" t="str">
        <f t="shared" si="64"/>
        <v/>
      </c>
      <c r="R392" s="24" t="str">
        <f t="shared" si="58"/>
        <v/>
      </c>
      <c r="T392" s="13" t="s">
        <v>23</v>
      </c>
      <c r="U392" s="7" t="s">
        <v>23</v>
      </c>
      <c r="V392" s="7" t="s">
        <v>23</v>
      </c>
      <c r="W392" s="7" t="s">
        <v>23</v>
      </c>
      <c r="X392" s="7" t="s">
        <v>23</v>
      </c>
      <c r="Y392" s="7" t="s">
        <v>23</v>
      </c>
      <c r="Z392" s="7" t="s">
        <v>23</v>
      </c>
      <c r="AB392" s="7" t="s">
        <v>23</v>
      </c>
      <c r="AC392" s="7" t="s">
        <v>23</v>
      </c>
      <c r="AD392" s="7" t="s">
        <v>23</v>
      </c>
      <c r="AE392" s="7" t="s">
        <v>23</v>
      </c>
      <c r="AF392" s="7" t="s">
        <v>23</v>
      </c>
      <c r="AG392" s="7" t="s">
        <v>23</v>
      </c>
      <c r="AH392" s="7" t="s">
        <v>23</v>
      </c>
      <c r="AJ392" s="7" t="s">
        <v>23</v>
      </c>
      <c r="AK392" s="7" t="s">
        <v>23</v>
      </c>
      <c r="AL392" s="7" t="s">
        <v>23</v>
      </c>
      <c r="AM392" s="7" t="s">
        <v>23</v>
      </c>
      <c r="AN392" s="7" t="s">
        <v>23</v>
      </c>
      <c r="AO392" s="7" t="s">
        <v>23</v>
      </c>
      <c r="AP392" s="7" t="s">
        <v>23</v>
      </c>
    </row>
    <row r="393" spans="11:42">
      <c r="K393" s="21">
        <v>389</v>
      </c>
      <c r="L393" s="24" t="str">
        <f t="shared" si="59"/>
        <v/>
      </c>
      <c r="M393" s="24" t="str">
        <f t="shared" si="60"/>
        <v/>
      </c>
      <c r="N393" s="24" t="str">
        <f t="shared" si="61"/>
        <v/>
      </c>
      <c r="O393" s="24" t="str">
        <f t="shared" si="62"/>
        <v/>
      </c>
      <c r="P393" s="24" t="str">
        <f t="shared" si="63"/>
        <v/>
      </c>
      <c r="Q393" s="24" t="str">
        <f t="shared" si="64"/>
        <v/>
      </c>
      <c r="R393" s="24" t="str">
        <f t="shared" si="58"/>
        <v/>
      </c>
      <c r="T393" s="13" t="s">
        <v>23</v>
      </c>
      <c r="U393" s="7" t="s">
        <v>23</v>
      </c>
      <c r="V393" s="7" t="s">
        <v>23</v>
      </c>
      <c r="W393" s="7" t="s">
        <v>23</v>
      </c>
      <c r="X393" s="7" t="s">
        <v>23</v>
      </c>
      <c r="Y393" s="7" t="s">
        <v>23</v>
      </c>
      <c r="Z393" s="7" t="s">
        <v>23</v>
      </c>
      <c r="AB393" s="7" t="s">
        <v>23</v>
      </c>
      <c r="AC393" s="7" t="s">
        <v>23</v>
      </c>
      <c r="AD393" s="7" t="s">
        <v>23</v>
      </c>
      <c r="AE393" s="7" t="s">
        <v>23</v>
      </c>
      <c r="AF393" s="7" t="s">
        <v>23</v>
      </c>
      <c r="AG393" s="7" t="s">
        <v>23</v>
      </c>
      <c r="AH393" s="7" t="s">
        <v>23</v>
      </c>
      <c r="AJ393" s="7" t="s">
        <v>23</v>
      </c>
      <c r="AK393" s="7" t="s">
        <v>23</v>
      </c>
      <c r="AL393" s="7" t="s">
        <v>23</v>
      </c>
      <c r="AM393" s="7" t="s">
        <v>23</v>
      </c>
      <c r="AN393" s="7" t="s">
        <v>23</v>
      </c>
      <c r="AO393" s="7" t="s">
        <v>23</v>
      </c>
      <c r="AP393" s="7" t="s">
        <v>23</v>
      </c>
    </row>
    <row r="394" spans="11:42">
      <c r="K394" s="22">
        <v>390</v>
      </c>
      <c r="L394" s="24" t="str">
        <f t="shared" si="59"/>
        <v/>
      </c>
      <c r="M394" s="24" t="str">
        <f t="shared" si="60"/>
        <v/>
      </c>
      <c r="N394" s="24" t="str">
        <f t="shared" si="61"/>
        <v/>
      </c>
      <c r="O394" s="24" t="str">
        <f t="shared" si="62"/>
        <v/>
      </c>
      <c r="P394" s="24" t="str">
        <f t="shared" si="63"/>
        <v/>
      </c>
      <c r="Q394" s="24" t="str">
        <f t="shared" si="64"/>
        <v/>
      </c>
      <c r="R394" s="24" t="str">
        <f t="shared" si="58"/>
        <v/>
      </c>
      <c r="T394" s="13" t="s">
        <v>23</v>
      </c>
      <c r="U394" s="7" t="s">
        <v>23</v>
      </c>
      <c r="V394" s="7" t="s">
        <v>23</v>
      </c>
      <c r="W394" s="7" t="s">
        <v>23</v>
      </c>
      <c r="X394" s="7" t="s">
        <v>23</v>
      </c>
      <c r="Y394" s="7" t="s">
        <v>23</v>
      </c>
      <c r="Z394" s="7" t="s">
        <v>23</v>
      </c>
      <c r="AB394" s="7" t="s">
        <v>23</v>
      </c>
      <c r="AC394" s="7" t="s">
        <v>23</v>
      </c>
      <c r="AD394" s="7" t="s">
        <v>23</v>
      </c>
      <c r="AE394" s="7" t="s">
        <v>23</v>
      </c>
      <c r="AF394" s="7" t="s">
        <v>23</v>
      </c>
      <c r="AG394" s="7" t="s">
        <v>23</v>
      </c>
      <c r="AH394" s="7" t="s">
        <v>23</v>
      </c>
      <c r="AJ394" s="7" t="s">
        <v>23</v>
      </c>
      <c r="AK394" s="7" t="s">
        <v>23</v>
      </c>
      <c r="AL394" s="7" t="s">
        <v>23</v>
      </c>
      <c r="AM394" s="7" t="s">
        <v>23</v>
      </c>
      <c r="AN394" s="7" t="s">
        <v>23</v>
      </c>
      <c r="AO394" s="7" t="s">
        <v>23</v>
      </c>
      <c r="AP394" s="7" t="s">
        <v>23</v>
      </c>
    </row>
    <row r="395" spans="11:42">
      <c r="K395" s="21">
        <v>391</v>
      </c>
      <c r="L395" s="24" t="str">
        <f t="shared" si="59"/>
        <v/>
      </c>
      <c r="M395" s="24" t="str">
        <f t="shared" si="60"/>
        <v/>
      </c>
      <c r="N395" s="24" t="str">
        <f t="shared" si="61"/>
        <v/>
      </c>
      <c r="O395" s="24" t="str">
        <f t="shared" si="62"/>
        <v/>
      </c>
      <c r="P395" s="24" t="str">
        <f t="shared" si="63"/>
        <v/>
      </c>
      <c r="Q395" s="24" t="str">
        <f t="shared" si="64"/>
        <v/>
      </c>
      <c r="R395" s="24" t="str">
        <f t="shared" si="58"/>
        <v/>
      </c>
      <c r="T395" s="13" t="s">
        <v>23</v>
      </c>
      <c r="U395" s="7" t="s">
        <v>23</v>
      </c>
      <c r="V395" s="7" t="s">
        <v>23</v>
      </c>
      <c r="W395" s="7" t="s">
        <v>23</v>
      </c>
      <c r="X395" s="7" t="s">
        <v>23</v>
      </c>
      <c r="Y395" s="7" t="s">
        <v>23</v>
      </c>
      <c r="Z395" s="7" t="s">
        <v>23</v>
      </c>
      <c r="AB395" s="7" t="s">
        <v>23</v>
      </c>
      <c r="AC395" s="7" t="s">
        <v>23</v>
      </c>
      <c r="AD395" s="7" t="s">
        <v>23</v>
      </c>
      <c r="AE395" s="7" t="s">
        <v>23</v>
      </c>
      <c r="AF395" s="7" t="s">
        <v>23</v>
      </c>
      <c r="AG395" s="7" t="s">
        <v>23</v>
      </c>
      <c r="AH395" s="7" t="s">
        <v>23</v>
      </c>
      <c r="AJ395" s="7" t="s">
        <v>23</v>
      </c>
      <c r="AK395" s="7" t="s">
        <v>23</v>
      </c>
      <c r="AL395" s="7" t="s">
        <v>23</v>
      </c>
      <c r="AM395" s="7" t="s">
        <v>23</v>
      </c>
      <c r="AN395" s="7" t="s">
        <v>23</v>
      </c>
      <c r="AO395" s="7" t="s">
        <v>23</v>
      </c>
      <c r="AP395" s="7" t="s">
        <v>23</v>
      </c>
    </row>
    <row r="396" spans="11:42">
      <c r="K396" s="22">
        <v>392</v>
      </c>
      <c r="L396" s="24" t="str">
        <f t="shared" si="59"/>
        <v/>
      </c>
      <c r="M396" s="24" t="str">
        <f t="shared" si="60"/>
        <v/>
      </c>
      <c r="N396" s="24" t="str">
        <f t="shared" si="61"/>
        <v/>
      </c>
      <c r="O396" s="24" t="str">
        <f t="shared" si="62"/>
        <v/>
      </c>
      <c r="P396" s="24" t="str">
        <f t="shared" si="63"/>
        <v/>
      </c>
      <c r="Q396" s="24" t="str">
        <f t="shared" si="64"/>
        <v/>
      </c>
      <c r="R396" s="24" t="str">
        <f t="shared" si="58"/>
        <v/>
      </c>
      <c r="T396" s="13" t="s">
        <v>23</v>
      </c>
      <c r="U396" s="7" t="s">
        <v>23</v>
      </c>
      <c r="V396" s="7" t="s">
        <v>23</v>
      </c>
      <c r="W396" s="7" t="s">
        <v>23</v>
      </c>
      <c r="X396" s="7" t="s">
        <v>23</v>
      </c>
      <c r="Y396" s="7" t="s">
        <v>23</v>
      </c>
      <c r="Z396" s="7" t="s">
        <v>23</v>
      </c>
      <c r="AB396" s="7" t="s">
        <v>23</v>
      </c>
      <c r="AC396" s="7" t="s">
        <v>23</v>
      </c>
      <c r="AD396" s="7" t="s">
        <v>23</v>
      </c>
      <c r="AE396" s="7" t="s">
        <v>23</v>
      </c>
      <c r="AF396" s="7" t="s">
        <v>23</v>
      </c>
      <c r="AG396" s="7" t="s">
        <v>23</v>
      </c>
      <c r="AH396" s="7" t="s">
        <v>23</v>
      </c>
      <c r="AJ396" s="7" t="s">
        <v>23</v>
      </c>
      <c r="AK396" s="7" t="s">
        <v>23</v>
      </c>
      <c r="AL396" s="7" t="s">
        <v>23</v>
      </c>
      <c r="AM396" s="7" t="s">
        <v>23</v>
      </c>
      <c r="AN396" s="7" t="s">
        <v>23</v>
      </c>
      <c r="AO396" s="7" t="s">
        <v>23</v>
      </c>
      <c r="AP396" s="7" t="s">
        <v>23</v>
      </c>
    </row>
    <row r="397" spans="11:42">
      <c r="K397" s="21">
        <v>393</v>
      </c>
      <c r="L397" s="24" t="str">
        <f t="shared" si="59"/>
        <v/>
      </c>
      <c r="M397" s="24" t="str">
        <f t="shared" si="60"/>
        <v/>
      </c>
      <c r="N397" s="24" t="str">
        <f t="shared" si="61"/>
        <v/>
      </c>
      <c r="O397" s="24" t="str">
        <f t="shared" si="62"/>
        <v/>
      </c>
      <c r="P397" s="24" t="str">
        <f t="shared" si="63"/>
        <v/>
      </c>
      <c r="Q397" s="24" t="str">
        <f t="shared" si="64"/>
        <v/>
      </c>
      <c r="R397" s="24" t="str">
        <f t="shared" si="58"/>
        <v/>
      </c>
      <c r="T397" s="13" t="s">
        <v>23</v>
      </c>
      <c r="U397" s="7" t="s">
        <v>23</v>
      </c>
      <c r="V397" s="7" t="s">
        <v>23</v>
      </c>
      <c r="W397" s="7" t="s">
        <v>23</v>
      </c>
      <c r="X397" s="7" t="s">
        <v>23</v>
      </c>
      <c r="Y397" s="7" t="s">
        <v>23</v>
      </c>
      <c r="Z397" s="7" t="s">
        <v>23</v>
      </c>
      <c r="AB397" s="7" t="s">
        <v>23</v>
      </c>
      <c r="AC397" s="7" t="s">
        <v>23</v>
      </c>
      <c r="AD397" s="7" t="s">
        <v>23</v>
      </c>
      <c r="AE397" s="7" t="s">
        <v>23</v>
      </c>
      <c r="AF397" s="7" t="s">
        <v>23</v>
      </c>
      <c r="AG397" s="7" t="s">
        <v>23</v>
      </c>
      <c r="AH397" s="7" t="s">
        <v>23</v>
      </c>
      <c r="AJ397" s="7" t="s">
        <v>23</v>
      </c>
      <c r="AK397" s="7" t="s">
        <v>23</v>
      </c>
      <c r="AL397" s="7" t="s">
        <v>23</v>
      </c>
      <c r="AM397" s="7" t="s">
        <v>23</v>
      </c>
      <c r="AN397" s="7" t="s">
        <v>23</v>
      </c>
      <c r="AO397" s="7" t="s">
        <v>23</v>
      </c>
      <c r="AP397" s="7" t="s">
        <v>23</v>
      </c>
    </row>
    <row r="398" spans="11:42">
      <c r="K398" s="22">
        <v>394</v>
      </c>
      <c r="L398" s="24" t="str">
        <f t="shared" si="59"/>
        <v/>
      </c>
      <c r="M398" s="24" t="str">
        <f t="shared" si="60"/>
        <v/>
      </c>
      <c r="N398" s="24" t="str">
        <f t="shared" si="61"/>
        <v/>
      </c>
      <c r="O398" s="24" t="str">
        <f t="shared" si="62"/>
        <v/>
      </c>
      <c r="P398" s="24" t="str">
        <f t="shared" si="63"/>
        <v/>
      </c>
      <c r="Q398" s="24" t="str">
        <f t="shared" si="64"/>
        <v/>
      </c>
      <c r="R398" s="24" t="str">
        <f t="shared" si="58"/>
        <v/>
      </c>
      <c r="T398" s="13" t="s">
        <v>23</v>
      </c>
      <c r="U398" s="7" t="s">
        <v>23</v>
      </c>
      <c r="V398" s="7" t="s">
        <v>23</v>
      </c>
      <c r="W398" s="7" t="s">
        <v>23</v>
      </c>
      <c r="X398" s="7" t="s">
        <v>23</v>
      </c>
      <c r="Y398" s="7" t="s">
        <v>23</v>
      </c>
      <c r="Z398" s="7" t="s">
        <v>23</v>
      </c>
      <c r="AB398" s="7" t="s">
        <v>23</v>
      </c>
      <c r="AC398" s="7" t="s">
        <v>23</v>
      </c>
      <c r="AD398" s="7" t="s">
        <v>23</v>
      </c>
      <c r="AE398" s="7" t="s">
        <v>23</v>
      </c>
      <c r="AF398" s="7" t="s">
        <v>23</v>
      </c>
      <c r="AG398" s="7" t="s">
        <v>23</v>
      </c>
      <c r="AH398" s="7" t="s">
        <v>23</v>
      </c>
      <c r="AJ398" s="7" t="s">
        <v>23</v>
      </c>
      <c r="AK398" s="7" t="s">
        <v>23</v>
      </c>
      <c r="AL398" s="7" t="s">
        <v>23</v>
      </c>
      <c r="AM398" s="7" t="s">
        <v>23</v>
      </c>
      <c r="AN398" s="7" t="s">
        <v>23</v>
      </c>
      <c r="AO398" s="7" t="s">
        <v>23</v>
      </c>
      <c r="AP398" s="7" t="s">
        <v>23</v>
      </c>
    </row>
    <row r="399" spans="11:42">
      <c r="K399" s="21">
        <v>395</v>
      </c>
      <c r="L399" s="24" t="str">
        <f t="shared" si="59"/>
        <v/>
      </c>
      <c r="M399" s="24" t="str">
        <f t="shared" si="60"/>
        <v/>
      </c>
      <c r="N399" s="24" t="str">
        <f t="shared" si="61"/>
        <v/>
      </c>
      <c r="O399" s="24" t="str">
        <f t="shared" si="62"/>
        <v/>
      </c>
      <c r="P399" s="24" t="str">
        <f t="shared" si="63"/>
        <v/>
      </c>
      <c r="Q399" s="24" t="str">
        <f t="shared" si="64"/>
        <v/>
      </c>
      <c r="R399" s="24" t="str">
        <f t="shared" si="58"/>
        <v/>
      </c>
      <c r="T399" s="13" t="s">
        <v>23</v>
      </c>
      <c r="U399" s="7" t="s">
        <v>23</v>
      </c>
      <c r="V399" s="7" t="s">
        <v>23</v>
      </c>
      <c r="W399" s="7" t="s">
        <v>23</v>
      </c>
      <c r="X399" s="7" t="s">
        <v>23</v>
      </c>
      <c r="Y399" s="7" t="s">
        <v>23</v>
      </c>
      <c r="Z399" s="7" t="s">
        <v>23</v>
      </c>
      <c r="AB399" s="7" t="s">
        <v>23</v>
      </c>
      <c r="AC399" s="7" t="s">
        <v>23</v>
      </c>
      <c r="AD399" s="7" t="s">
        <v>23</v>
      </c>
      <c r="AE399" s="7" t="s">
        <v>23</v>
      </c>
      <c r="AF399" s="7" t="s">
        <v>23</v>
      </c>
      <c r="AG399" s="7" t="s">
        <v>23</v>
      </c>
      <c r="AH399" s="7" t="s">
        <v>23</v>
      </c>
      <c r="AJ399" s="7" t="s">
        <v>23</v>
      </c>
      <c r="AK399" s="7" t="s">
        <v>23</v>
      </c>
      <c r="AL399" s="7" t="s">
        <v>23</v>
      </c>
      <c r="AM399" s="7" t="s">
        <v>23</v>
      </c>
      <c r="AN399" s="7" t="s">
        <v>23</v>
      </c>
      <c r="AO399" s="7" t="s">
        <v>23</v>
      </c>
      <c r="AP399" s="7" t="s">
        <v>23</v>
      </c>
    </row>
    <row r="400" spans="11:42">
      <c r="K400" s="22">
        <v>396</v>
      </c>
      <c r="L400" s="24" t="str">
        <f t="shared" si="59"/>
        <v/>
      </c>
      <c r="M400" s="24" t="str">
        <f t="shared" si="60"/>
        <v/>
      </c>
      <c r="N400" s="24" t="str">
        <f t="shared" si="61"/>
        <v/>
      </c>
      <c r="O400" s="24" t="str">
        <f t="shared" si="62"/>
        <v/>
      </c>
      <c r="P400" s="24" t="str">
        <f t="shared" si="63"/>
        <v/>
      </c>
      <c r="Q400" s="24" t="str">
        <f t="shared" si="64"/>
        <v/>
      </c>
      <c r="R400" s="24" t="str">
        <f t="shared" si="58"/>
        <v/>
      </c>
      <c r="T400" s="13" t="s">
        <v>23</v>
      </c>
      <c r="U400" s="7" t="s">
        <v>23</v>
      </c>
      <c r="V400" s="7" t="s">
        <v>23</v>
      </c>
      <c r="W400" s="7" t="s">
        <v>23</v>
      </c>
      <c r="X400" s="7" t="s">
        <v>23</v>
      </c>
      <c r="Y400" s="7" t="s">
        <v>23</v>
      </c>
      <c r="Z400" s="7" t="s">
        <v>23</v>
      </c>
      <c r="AB400" s="7" t="s">
        <v>23</v>
      </c>
      <c r="AC400" s="7" t="s">
        <v>23</v>
      </c>
      <c r="AD400" s="7" t="s">
        <v>23</v>
      </c>
      <c r="AE400" s="7" t="s">
        <v>23</v>
      </c>
      <c r="AF400" s="7" t="s">
        <v>23</v>
      </c>
      <c r="AG400" s="7" t="s">
        <v>23</v>
      </c>
      <c r="AH400" s="7" t="s">
        <v>23</v>
      </c>
      <c r="AJ400" s="7" t="s">
        <v>23</v>
      </c>
      <c r="AK400" s="7" t="s">
        <v>23</v>
      </c>
      <c r="AL400" s="7" t="s">
        <v>23</v>
      </c>
      <c r="AM400" s="7" t="s">
        <v>23</v>
      </c>
      <c r="AN400" s="7" t="s">
        <v>23</v>
      </c>
      <c r="AO400" s="7" t="s">
        <v>23</v>
      </c>
      <c r="AP400" s="7" t="s">
        <v>23</v>
      </c>
    </row>
    <row r="401" spans="11:42">
      <c r="K401" s="21">
        <v>397</v>
      </c>
      <c r="L401" s="24" t="str">
        <f t="shared" si="59"/>
        <v/>
      </c>
      <c r="M401" s="24" t="str">
        <f t="shared" si="60"/>
        <v/>
      </c>
      <c r="N401" s="24" t="str">
        <f t="shared" si="61"/>
        <v/>
      </c>
      <c r="O401" s="24" t="str">
        <f t="shared" si="62"/>
        <v/>
      </c>
      <c r="P401" s="24" t="str">
        <f t="shared" si="63"/>
        <v/>
      </c>
      <c r="Q401" s="24" t="str">
        <f t="shared" si="64"/>
        <v/>
      </c>
      <c r="R401" s="24" t="str">
        <f t="shared" si="58"/>
        <v/>
      </c>
      <c r="T401" s="13" t="s">
        <v>23</v>
      </c>
      <c r="U401" s="7" t="s">
        <v>23</v>
      </c>
      <c r="V401" s="7" t="s">
        <v>23</v>
      </c>
      <c r="W401" s="7" t="s">
        <v>23</v>
      </c>
      <c r="X401" s="7" t="s">
        <v>23</v>
      </c>
      <c r="Y401" s="7" t="s">
        <v>23</v>
      </c>
      <c r="Z401" s="7" t="s">
        <v>23</v>
      </c>
      <c r="AB401" s="7" t="s">
        <v>23</v>
      </c>
      <c r="AC401" s="7" t="s">
        <v>23</v>
      </c>
      <c r="AD401" s="7" t="s">
        <v>23</v>
      </c>
      <c r="AE401" s="7" t="s">
        <v>23</v>
      </c>
      <c r="AF401" s="7" t="s">
        <v>23</v>
      </c>
      <c r="AG401" s="7" t="s">
        <v>23</v>
      </c>
      <c r="AH401" s="7" t="s">
        <v>23</v>
      </c>
      <c r="AJ401" s="7" t="s">
        <v>23</v>
      </c>
      <c r="AK401" s="7" t="s">
        <v>23</v>
      </c>
      <c r="AL401" s="7" t="s">
        <v>23</v>
      </c>
      <c r="AM401" s="7" t="s">
        <v>23</v>
      </c>
      <c r="AN401" s="7" t="s">
        <v>23</v>
      </c>
      <c r="AO401" s="7" t="s">
        <v>23</v>
      </c>
      <c r="AP401" s="7" t="s">
        <v>23</v>
      </c>
    </row>
    <row r="402" spans="11:42">
      <c r="K402" s="22">
        <v>398</v>
      </c>
      <c r="L402" s="24" t="str">
        <f t="shared" si="59"/>
        <v/>
      </c>
      <c r="M402" s="24" t="str">
        <f t="shared" si="60"/>
        <v/>
      </c>
      <c r="N402" s="24" t="str">
        <f t="shared" si="61"/>
        <v/>
      </c>
      <c r="O402" s="24" t="str">
        <f t="shared" si="62"/>
        <v/>
      </c>
      <c r="P402" s="24" t="str">
        <f t="shared" si="63"/>
        <v/>
      </c>
      <c r="Q402" s="24" t="str">
        <f t="shared" si="64"/>
        <v/>
      </c>
      <c r="R402" s="24" t="str">
        <f t="shared" si="58"/>
        <v/>
      </c>
      <c r="T402" s="13" t="s">
        <v>23</v>
      </c>
      <c r="U402" s="7" t="s">
        <v>23</v>
      </c>
      <c r="V402" s="7" t="s">
        <v>23</v>
      </c>
      <c r="W402" s="7" t="s">
        <v>23</v>
      </c>
      <c r="X402" s="7" t="s">
        <v>23</v>
      </c>
      <c r="Y402" s="7" t="s">
        <v>23</v>
      </c>
      <c r="Z402" s="7" t="s">
        <v>23</v>
      </c>
      <c r="AB402" s="7" t="s">
        <v>23</v>
      </c>
      <c r="AC402" s="7" t="s">
        <v>23</v>
      </c>
      <c r="AD402" s="7" t="s">
        <v>23</v>
      </c>
      <c r="AE402" s="7" t="s">
        <v>23</v>
      </c>
      <c r="AF402" s="7" t="s">
        <v>23</v>
      </c>
      <c r="AG402" s="7" t="s">
        <v>23</v>
      </c>
      <c r="AH402" s="7" t="s">
        <v>23</v>
      </c>
      <c r="AJ402" s="7" t="s">
        <v>23</v>
      </c>
      <c r="AK402" s="7" t="s">
        <v>23</v>
      </c>
      <c r="AL402" s="7" t="s">
        <v>23</v>
      </c>
      <c r="AM402" s="7" t="s">
        <v>23</v>
      </c>
      <c r="AN402" s="7" t="s">
        <v>23</v>
      </c>
      <c r="AO402" s="7" t="s">
        <v>23</v>
      </c>
      <c r="AP402" s="7" t="s">
        <v>23</v>
      </c>
    </row>
    <row r="403" spans="11:42">
      <c r="K403" s="21">
        <v>399</v>
      </c>
      <c r="L403" s="24" t="str">
        <f t="shared" si="59"/>
        <v/>
      </c>
      <c r="M403" s="24" t="str">
        <f t="shared" si="60"/>
        <v/>
      </c>
      <c r="N403" s="24" t="str">
        <f t="shared" si="61"/>
        <v/>
      </c>
      <c r="O403" s="24" t="str">
        <f t="shared" si="62"/>
        <v/>
      </c>
      <c r="P403" s="24" t="str">
        <f t="shared" si="63"/>
        <v/>
      </c>
      <c r="Q403" s="24" t="str">
        <f t="shared" si="64"/>
        <v/>
      </c>
      <c r="R403" s="24" t="str">
        <f t="shared" si="58"/>
        <v/>
      </c>
      <c r="T403" s="13" t="s">
        <v>23</v>
      </c>
      <c r="U403" s="7" t="s">
        <v>23</v>
      </c>
      <c r="V403" s="7" t="s">
        <v>23</v>
      </c>
      <c r="W403" s="7" t="s">
        <v>23</v>
      </c>
      <c r="X403" s="7" t="s">
        <v>23</v>
      </c>
      <c r="Y403" s="7" t="s">
        <v>23</v>
      </c>
      <c r="Z403" s="7" t="s">
        <v>23</v>
      </c>
      <c r="AB403" s="7" t="s">
        <v>23</v>
      </c>
      <c r="AC403" s="7" t="s">
        <v>23</v>
      </c>
      <c r="AD403" s="7" t="s">
        <v>23</v>
      </c>
      <c r="AE403" s="7" t="s">
        <v>23</v>
      </c>
      <c r="AF403" s="7" t="s">
        <v>23</v>
      </c>
      <c r="AG403" s="7" t="s">
        <v>23</v>
      </c>
      <c r="AH403" s="7" t="s">
        <v>23</v>
      </c>
      <c r="AJ403" s="7" t="s">
        <v>23</v>
      </c>
      <c r="AK403" s="7" t="s">
        <v>23</v>
      </c>
      <c r="AL403" s="7" t="s">
        <v>23</v>
      </c>
      <c r="AM403" s="7" t="s">
        <v>23</v>
      </c>
      <c r="AN403" s="7" t="s">
        <v>23</v>
      </c>
      <c r="AO403" s="7" t="s">
        <v>23</v>
      </c>
      <c r="AP403" s="7" t="s">
        <v>23</v>
      </c>
    </row>
    <row r="404" spans="11:42">
      <c r="T404" s="1" t="s">
        <v>23</v>
      </c>
      <c r="U404" s="197" t="s">
        <v>23</v>
      </c>
      <c r="V404" s="197" t="s">
        <v>23</v>
      </c>
      <c r="W404" s="197" t="s">
        <v>23</v>
      </c>
      <c r="X404" s="197" t="s">
        <v>23</v>
      </c>
      <c r="Y404" s="197" t="s">
        <v>23</v>
      </c>
      <c r="Z404" s="197" t="s">
        <v>23</v>
      </c>
      <c r="AB404" s="7" t="s">
        <v>23</v>
      </c>
      <c r="AC404" s="7" t="s">
        <v>23</v>
      </c>
      <c r="AD404" s="7" t="s">
        <v>23</v>
      </c>
      <c r="AE404" s="7" t="s">
        <v>23</v>
      </c>
      <c r="AF404" s="7" t="s">
        <v>23</v>
      </c>
      <c r="AG404" s="7" t="s">
        <v>23</v>
      </c>
      <c r="AH404" s="7" t="s">
        <v>23</v>
      </c>
      <c r="AJ404" s="7" t="s">
        <v>23</v>
      </c>
      <c r="AK404" s="7" t="s">
        <v>23</v>
      </c>
      <c r="AL404" s="7" t="s">
        <v>23</v>
      </c>
      <c r="AM404" s="7" t="s">
        <v>23</v>
      </c>
      <c r="AN404" s="7" t="s">
        <v>23</v>
      </c>
      <c r="AO404" s="7" t="s">
        <v>23</v>
      </c>
      <c r="AP404" s="7" t="s">
        <v>23</v>
      </c>
    </row>
  </sheetData>
  <mergeCells count="1">
    <mergeCell ref="K2:R2"/>
  </mergeCells>
  <phoneticPr fontId="20" type="noConversion"/>
  <conditionalFormatting sqref="A4:A29">
    <cfRule type="containsText" dxfId="42" priority="50" operator="containsText" text="M1">
      <formula>NOT(ISERROR(SEARCH("M1",A4)))</formula>
    </cfRule>
  </conditionalFormatting>
  <conditionalFormatting sqref="A4:A29">
    <cfRule type="containsText" dxfId="41" priority="51" operator="containsText" text="M2">
      <formula>NOT(ISERROR(SEARCH("M2",A4)))</formula>
    </cfRule>
  </conditionalFormatting>
  <conditionalFormatting sqref="A4:A29">
    <cfRule type="containsText" dxfId="40" priority="52" operator="containsText" text="M3">
      <formula>NOT(ISERROR(SEARCH("M3",A4)))</formula>
    </cfRule>
  </conditionalFormatting>
  <conditionalFormatting sqref="A4:A29">
    <cfRule type="containsText" dxfId="39" priority="53" operator="containsText" text="M4">
      <formula>NOT(ISERROR(SEARCH("M4",A4)))</formula>
    </cfRule>
  </conditionalFormatting>
  <conditionalFormatting sqref="A4:A29">
    <cfRule type="containsText" dxfId="38" priority="54" operator="containsText" text="M5">
      <formula>NOT(ISERROR(SEARCH("M5",A4)))</formula>
    </cfRule>
  </conditionalFormatting>
  <conditionalFormatting sqref="A4:A29">
    <cfRule type="containsText" dxfId="37" priority="55" operator="containsText" text="M6">
      <formula>NOT(ISERROR(SEARCH("M6",A4)))</formula>
    </cfRule>
  </conditionalFormatting>
  <conditionalFormatting sqref="A4:A29">
    <cfRule type="containsText" dxfId="36" priority="56" operator="containsText" text="A">
      <formula>NOT(ISERROR(SEARCH("A",A4)))</formula>
    </cfRule>
  </conditionalFormatting>
  <conditionalFormatting sqref="A4:A29">
    <cfRule type="containsText" dxfId="35" priority="57" operator="containsText" text="K">
      <formula>NOT(ISERROR(SEARCH("K",A4)))</formula>
    </cfRule>
  </conditionalFormatting>
  <conditionalFormatting sqref="A4:A29">
    <cfRule type="containsText" dxfId="34" priority="58" operator="containsText" text="Q">
      <formula>NOT(ISERROR(SEARCH("Q",A4)))</formula>
    </cfRule>
  </conditionalFormatting>
  <conditionalFormatting sqref="A4:A29">
    <cfRule type="containsText" dxfId="33" priority="59" operator="containsText" text="J">
      <formula>NOT(ISERROR(SEARCH("J",A4)))</formula>
    </cfRule>
  </conditionalFormatting>
  <conditionalFormatting sqref="A4:A29">
    <cfRule type="containsText" dxfId="32" priority="60" operator="containsText" text="TE">
      <formula>NOT(ISERROR(SEARCH("TE",A4)))</formula>
    </cfRule>
  </conditionalFormatting>
  <conditionalFormatting sqref="A4:A29">
    <cfRule type="containsText" dxfId="31" priority="61" operator="containsText" text="MY">
      <formula>NOT(ISERROR(SEARCH("MY",A4)))</formula>
    </cfRule>
  </conditionalFormatting>
  <conditionalFormatting sqref="L404:R1048576">
    <cfRule type="cellIs" dxfId="30" priority="11" operator="equal">
      <formula>"TE"</formula>
    </cfRule>
    <cfRule type="cellIs" dxfId="29" priority="12" operator="equal">
      <formula>"J"</formula>
    </cfRule>
    <cfRule type="cellIs" dxfId="28" priority="13" operator="equal">
      <formula>"Q"</formula>
    </cfRule>
    <cfRule type="cellIs" dxfId="27" priority="14" operator="equal">
      <formula>"K"</formula>
    </cfRule>
    <cfRule type="cellIs" dxfId="26" priority="15" operator="equal">
      <formula>"A"</formula>
    </cfRule>
    <cfRule type="cellIs" dxfId="25" priority="16" operator="equal">
      <formula>"M4"</formula>
    </cfRule>
    <cfRule type="cellIs" dxfId="24" priority="17" operator="equal">
      <formula>"M3"</formula>
    </cfRule>
    <cfRule type="cellIs" dxfId="23" priority="18" operator="equal">
      <formula>"M2"</formula>
    </cfRule>
    <cfRule type="cellIs" dxfId="22" priority="19" operator="equal">
      <formula>"M1"</formula>
    </cfRule>
  </conditionalFormatting>
  <conditionalFormatting sqref="L1:R1">
    <cfRule type="cellIs" dxfId="21" priority="2" operator="equal">
      <formula>"TE"</formula>
    </cfRule>
    <cfRule type="cellIs" dxfId="20" priority="3" operator="equal">
      <formula>"J"</formula>
    </cfRule>
    <cfRule type="cellIs" dxfId="19" priority="4" operator="equal">
      <formula>"Q"</formula>
    </cfRule>
    <cfRule type="cellIs" dxfId="18" priority="5" operator="equal">
      <formula>"K"</formula>
    </cfRule>
    <cfRule type="cellIs" dxfId="17" priority="6" operator="equal">
      <formula>"A"</formula>
    </cfRule>
    <cfRule type="cellIs" dxfId="16" priority="7" operator="equal">
      <formula>"M4"</formula>
    </cfRule>
    <cfRule type="cellIs" dxfId="15" priority="8" operator="equal">
      <formula>"M3"</formula>
    </cfRule>
    <cfRule type="cellIs" dxfId="14" priority="9" operator="equal">
      <formula>"M2"</formula>
    </cfRule>
    <cfRule type="cellIs" dxfId="13" priority="10" operator="equal">
      <formula>"M1"</formula>
    </cfRule>
  </conditionalFormatting>
  <conditionalFormatting sqref="L4:R304">
    <cfRule type="containsText" dxfId="12" priority="20" operator="containsText" text="M1">
      <formula>NOT(ISERROR(SEARCH("M1",L4)))</formula>
    </cfRule>
  </conditionalFormatting>
  <conditionalFormatting sqref="L4:R304">
    <cfRule type="containsText" dxfId="11" priority="21" operator="containsText" text="M2">
      <formula>NOT(ISERROR(SEARCH("M2",L4)))</formula>
    </cfRule>
  </conditionalFormatting>
  <conditionalFormatting sqref="L4:R304">
    <cfRule type="containsText" dxfId="10" priority="22" operator="containsText" text="M3">
      <formula>NOT(ISERROR(SEARCH("M3",L4)))</formula>
    </cfRule>
  </conditionalFormatting>
  <conditionalFormatting sqref="L4:R304">
    <cfRule type="containsText" dxfId="9" priority="23" operator="containsText" text="M4">
      <formula>NOT(ISERROR(SEARCH("M4",L4)))</formula>
    </cfRule>
  </conditionalFormatting>
  <conditionalFormatting sqref="L4:R304">
    <cfRule type="containsText" dxfId="8" priority="24" operator="containsText" text="M5">
      <formula>NOT(ISERROR(SEARCH("M5",L4)))</formula>
    </cfRule>
  </conditionalFormatting>
  <conditionalFormatting sqref="L4:R304">
    <cfRule type="containsText" dxfId="7" priority="25" operator="containsText" text="M6">
      <formula>NOT(ISERROR(SEARCH("M6",L4)))</formula>
    </cfRule>
  </conditionalFormatting>
  <conditionalFormatting sqref="L4:R304">
    <cfRule type="containsText" dxfId="6" priority="26" operator="containsText" text="A">
      <formula>NOT(ISERROR(SEARCH("A",L4)))</formula>
    </cfRule>
  </conditionalFormatting>
  <conditionalFormatting sqref="L4:R304">
    <cfRule type="containsText" dxfId="5" priority="27" operator="containsText" text="K">
      <formula>NOT(ISERROR(SEARCH("K",L4)))</formula>
    </cfRule>
  </conditionalFormatting>
  <conditionalFormatting sqref="L4:R304">
    <cfRule type="containsText" dxfId="4" priority="28" operator="containsText" text="Q">
      <formula>NOT(ISERROR(SEARCH("Q",L4)))</formula>
    </cfRule>
  </conditionalFormatting>
  <conditionalFormatting sqref="L4:R304">
    <cfRule type="containsText" dxfId="3" priority="29" operator="containsText" text="J">
      <formula>NOT(ISERROR(SEARCH("J",L4)))</formula>
    </cfRule>
  </conditionalFormatting>
  <conditionalFormatting sqref="L4:R304">
    <cfRule type="containsText" dxfId="2" priority="30" operator="containsText" text="TE">
      <formula>NOT(ISERROR(SEARCH("TE",L4)))</formula>
    </cfRule>
  </conditionalFormatting>
  <conditionalFormatting sqref="L4:R304">
    <cfRule type="containsText" dxfId="1" priority="31" operator="containsText" text="MY">
      <formula>NOT(ISERROR(SEARCH("MY",L4)))</formula>
    </cfRule>
  </conditionalFormatting>
  <conditionalFormatting sqref="AR4:AX403">
    <cfRule type="cellIs" dxfId="0" priority="1" operator="equal">
      <formula>"ERROR"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Description</vt:lpstr>
      <vt:lpstr>Multiplier_Weight</vt:lpstr>
      <vt:lpstr>OP Jackpot</vt:lpstr>
      <vt:lpstr>Base Game Symbol</vt:lpstr>
      <vt:lpstr>Free Game Symbol</vt:lpstr>
      <vt:lpstr>Base Game Symbol_FB</vt:lpstr>
      <vt:lpstr>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2026-07-09T08:06:49Z</dcterms:modified>
</cp:coreProperties>
</file>