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45_超級鑽石\文件\"/>
    </mc:Choice>
  </mc:AlternateContent>
  <xr:revisionPtr revIDLastSave="0" documentId="13_ncr:1_{BEF3844C-4E0B-4CDE-A2BF-9E92361B93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腳本表_92A" sheetId="1" r:id="rId1"/>
    <sheet name="腳本表_94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1" l="1"/>
  <c r="D24" i="1"/>
  <c r="D23" i="1"/>
  <c r="D31" i="1"/>
  <c r="D30" i="1"/>
  <c r="D29" i="1"/>
  <c r="D22" i="1"/>
  <c r="D21" i="1"/>
  <c r="D42" i="2"/>
  <c r="D41" i="2"/>
  <c r="D40" i="2"/>
  <c r="D39" i="2"/>
  <c r="D38" i="2"/>
  <c r="D37" i="2"/>
  <c r="D36" i="2"/>
  <c r="D35" i="2"/>
  <c r="D34" i="2"/>
  <c r="D33" i="2"/>
  <c r="D32" i="2"/>
  <c r="D25" i="2"/>
  <c r="D24" i="2"/>
  <c r="D23" i="2"/>
  <c r="D22" i="2"/>
  <c r="D21" i="2"/>
  <c r="D20" i="2"/>
  <c r="D13" i="2"/>
  <c r="D12" i="2"/>
  <c r="D11" i="2"/>
  <c r="D10" i="2"/>
  <c r="D9" i="2"/>
  <c r="D8" i="2"/>
  <c r="D7" i="2"/>
  <c r="D6" i="2"/>
  <c r="D48" i="1"/>
  <c r="D47" i="1"/>
  <c r="D46" i="1"/>
  <c r="D45" i="1"/>
  <c r="D44" i="1"/>
  <c r="D43" i="1"/>
  <c r="D42" i="1"/>
  <c r="D41" i="1"/>
  <c r="D40" i="1"/>
  <c r="D39" i="1"/>
  <c r="D38" i="1"/>
  <c r="D28" i="1"/>
  <c r="D27" i="1"/>
  <c r="D26" i="1"/>
  <c r="D20" i="1"/>
  <c r="D13" i="1"/>
  <c r="D12" i="1"/>
  <c r="D11" i="1"/>
  <c r="D10" i="1"/>
  <c r="D9" i="1"/>
  <c r="D8" i="1"/>
  <c r="D7" i="1"/>
  <c r="D6" i="1"/>
  <c r="H28" i="1" l="1"/>
  <c r="H22" i="2"/>
  <c r="H25" i="1"/>
  <c r="H22" i="1"/>
  <c r="H25" i="2"/>
  <c r="H31" i="1"/>
</calcChain>
</file>

<file path=xl/sharedStrings.xml><?xml version="1.0" encoding="utf-8"?>
<sst xmlns="http://schemas.openxmlformats.org/spreadsheetml/2006/main" count="208" uniqueCount="77">
  <si>
    <t>H045 超級鑽石（101015）表演腳本表 — 92A 版（待填）</t>
  </si>
  <si>
    <t>版本 6.0.0.1｜依《專案需知／腳本規範》｜RNG 錄好後必須在 92A 正式 Config 重放驗證，得分＝表列 Multi</t>
  </si>
  <si>
    <t>一、新手體驗</t>
  </si>
  <si>
    <t>腳本</t>
  </si>
  <si>
    <t>RNG</t>
  </si>
  <si>
    <t>Multi</t>
  </si>
  <si>
    <t>RTP</t>
  </si>
  <si>
    <t>抽選權重</t>
  </si>
  <si>
    <t>押注</t>
  </si>
  <si>
    <t>新手體驗 NB Free Game A</t>
  </si>
  <si>
    <t>新手體驗 NB Free Game B</t>
  </si>
  <si>
    <t>新手體驗 NB Jackpot Game A</t>
  </si>
  <si>
    <t>新手體驗 NB Jackpot Game B</t>
  </si>
  <si>
    <t>新手體驗 EB Free Game A</t>
  </si>
  <si>
    <t>新手體驗 EB Free Game B</t>
  </si>
  <si>
    <t>新手體驗 EB Jackpot Game A</t>
  </si>
  <si>
    <t>新手體驗 EB Jackpot Game B</t>
  </si>
  <si>
    <t>• 抽選權重固定＝1；押注 NB＝1、EB＝2；RTP＝Multi÷押注。同名 A／B 兩支等權重擇一。</t>
  </si>
  <si>
    <t>• Free Game 體驗＝觸發 3 顆以上 [C1] 進 FG（10 把）的完整表演；Jackpot Game 體驗＝OP Jackpot 12 選 3 小遊戲表演。</t>
  </si>
  <si>
    <t>• 新手體驗不含 BF。新手權重 92A／94A／92A_Bet100 三份相同，RNG 可跨版共用（須各自重放確認）。</t>
  </si>
  <si>
    <t>二、Buy Feature（押注 50）</t>
  </si>
  <si>
    <t>Buy Feature A1 中Bet</t>
  </si>
  <si>
    <t>50</t>
  </si>
  <si>
    <t>Buy Feature A2 中Bet</t>
  </si>
  <si>
    <t>Buy Feature A3 中Bet</t>
  </si>
  <si>
    <t>← 中 Bet（92 版） 加權 RTP</t>
  </si>
  <si>
    <t>Buy Feature A1 大Bet</t>
  </si>
  <si>
    <t>Buy Feature A2 大Bet</t>
  </si>
  <si>
    <t>Buy Feature A3 大Bet</t>
  </si>
  <si>
    <t>← 大 Bet（92_Bet100） 加權 RTP</t>
  </si>
  <si>
    <t>Buy Feature B1 中Bet</t>
  </si>
  <si>
    <t>Buy Feature B2 中Bet</t>
  </si>
  <si>
    <t>Buy Feature B3 中Bet</t>
  </si>
  <si>
    <t>Buy Feature B1 大Bet</t>
  </si>
  <si>
    <t>Buy Feature B2 大Bet</t>
  </si>
  <si>
    <t>Buy Feature B3 大Bet</t>
  </si>
  <si>
    <t>• 三檔＝高／中／低 RTP；權重必須滿足 Σ(RTP×權重)÷Σ(權重)＝92.50%（H 欄自動驗算，小數 2 位精確）。</t>
  </si>
  <si>
    <t>• RTP＝Multi÷50；A／B 兩組為表演變化：先等權重抽 A／B，再依權重抽 1～3。</t>
  </si>
  <si>
    <t>• 押注分層：小 Bet（實際押注 &lt; $2）用 94 版；中 Bet 用 92 版；大 Bet（基礎押注 &gt; $100）用 92_Bet100。</t>
  </si>
  <si>
    <t>三、新手 NB Free Spin 系統（FG 10 把）</t>
  </si>
  <si>
    <t>Free Spin 0-1x</t>
  </si>
  <si>
    <t>1</t>
  </si>
  <si>
    <t>Free Spin 9x 01</t>
  </si>
  <si>
    <t>Free Spin 9x 02</t>
  </si>
  <si>
    <t>Free Spin 9x 03</t>
  </si>
  <si>
    <t>Free Spin 9x 04</t>
  </si>
  <si>
    <t>Free Spin 9x 05</t>
  </si>
  <si>
    <t>Free Spin 9x 06</t>
  </si>
  <si>
    <t>Free Spin 9x 07</t>
  </si>
  <si>
    <t>Free Spin 9x 08</t>
  </si>
  <si>
    <t>Free Spin 9x 09</t>
  </si>
  <si>
    <t>Free Spin 9x 10</t>
  </si>
  <si>
    <t>• 10 把中挑一把跑 0-1x、挑一把跑 9x（10 支等權重擇一，權重鎖死＝1，不得調整），其餘各把不中獎；整段合計約 10x。</t>
  </si>
  <si>
    <t>合計：新手體驗 8＋Buy Feature 12（中 Bet 6＋大 Bet 6）＋Free Spin 系統 11</t>
  </si>
  <si>
    <t>□ 每支 RNG 已在 92A（大 Bet 列在 92A_Bet100）正式 Config 重放驗證，結果＝表列 Multi</t>
  </si>
  <si>
    <t>□ BF 各組加權整合＝92.50%（小數 2 位精確）</t>
  </si>
  <si>
    <t>□ 新手體驗 NB／EB 各 Free Game A／B、Jackpot Game A／B 齊全，權重＝1</t>
  </si>
  <si>
    <t>□ Free Spin 系統：9x 腳本 10 支、權重全部＝1；0-1x 與 9x 各佔一把、其餘不中獎</t>
  </si>
  <si>
    <t>□ 腳本倍率未超上限（92 版：BG 400x、FG 20,000x；大 Bet（92_Bet100）：BG 200x、FG／BF 1,000x）</t>
  </si>
  <si>
    <t>H045 超級鑽石（101015）表演腳本表 — 94A 版（待填）</t>
  </si>
  <si>
    <t>版本 6.0.0.1｜依《專案需知／腳本規範》｜RNG 錄好後必須在 94A 正式 Config 重放驗證，得分＝表列 Multi</t>
  </si>
  <si>
    <t>Buy Feature A1</t>
  </si>
  <si>
    <t>Buy Feature A2</t>
  </si>
  <si>
    <t>Buy Feature A3</t>
  </si>
  <si>
    <t>← 小 Bet（94 版） 加權 RTP</t>
  </si>
  <si>
    <t>Buy Feature B1</t>
  </si>
  <si>
    <t>Buy Feature B2</t>
  </si>
  <si>
    <t>Buy Feature B3</t>
  </si>
  <si>
    <t>合計：新手體驗 8＋Buy Feature 6＋Free Spin 系統 11</t>
  </si>
  <si>
    <t>□ 每支 RNG 已在 94A 正式 Config 重放驗證，結果＝表列 Multi</t>
  </si>
  <si>
    <t>□ 腳本倍率未超上限（94 版：BG 400x、FG 20,000x）</t>
  </si>
  <si>
    <t>788134234,36814,55541,19639,634261,1578297,58705,0,0,0,52544,0,0,0,684,8584113069,1,920099,1685361,1224181,1405819,1211889,78276,1,2,0,0,58070,1,2,1,0,63164,0,1,1,0,84,71,272596,36512,180233,23923,88275,0,1,1205276,820129,317699,1218722,1354266,4256,81749,0,2,1,0,13537,1,9,6,7,6,3,3,0,0,1,0,0,8,1441252,1285260,1680208,707455,761861,8276,15907,74415,2,2,0,0,0,1,3,5,4,1,1,0,1,2,1,0,5,46752,1337085,277713,1560469,702474,55487,3,0,0,0,24862,43123,70,155,153063,374532,93821,0,25,57,270925,367396,53159,372954,46925,0,50983,82,69,173479,159288,38860,942978,853475,179383,421154,400014,356284,276688,269636,400428,76916,1,0,4377,98001,0,1,0,513684,864720,431904,977340,157507,522733,41515,19039,39,92,50969,945168,844559,651761,83473,0,4,122,85579,591085,175958,87498,0,94804,0,80981,967571,272216,815781,261492,56655,35642,3,707505,1583645,427358,968448,1343391,7946,92063,0,2,1,0,86475,2,0,0,0,0,0,3,5,3,3,0,1,1,0,4,1366089,987044,1764713,1613552,1166881,65492,1,1,0,0,31491,65722,2,1,1,0,207183,877272,163053,704768,999693,566425,59326,67815,1,1,0,2,1489505,880235,920445,79802,1619255,3704,66205,0,1,1,0,80976,0,1,0,0,35056,241899,620528,285036,260547,22939,82154,2,1559888,260000,1718241,847207,250542,55602,1,0,0,35999,54273,373730,380678,628937,207558,113586,221157,71939,4058,90568,0,5474522470,0,469031,790570,158686,153701,1417422,91102,2,1,0,77677,1,0,1,0,57643,3,1,0,0,8359260254,0,4,4,4,3,1,0,0,1,143871,1264125,1071971,358385,233031,17065,83294,0,0,0,0,61277,3,0,0,0,1,2,4,2,3,2,4,3,1,1,0</t>
    <phoneticPr fontId="4" type="noConversion"/>
  </si>
  <si>
    <t>788134234,120159,81521,85793,376553,1410040,92667,0,1,0,17825,12109,9909772341,4,264198,834542,953329,1143580,350319,61554,1,0,1,0,35662,15450,13,197,52251,366717,317774,582126,985535,753496,36668,25016,71449,0,3,1370525,281200,501995,629810,212250,3076,21071,27808,814835,47819,794088,586865,960303,228551,338542,70364,192073,18871,28521,17916,8461953200,2,1568422,462584,482021,1082650,656157,2303,91323,0,0,1,0,77294,2,1,1,0,0,3,7,6,2,2,2,0,1,0,4,29569,461816,1451575,1071784,1582745,61750,3,1,0,0,91882,1,2,0,0,6992,1890476173,0,2,1,0,1,2,2,1,1,0,6,1085548,130418,632897,1441999,888339,39760,6918,22810,740435,201692,508946,92187,0,19412,8,1722825,426057,1632376,1094342,98030,37229,59782,1,2,1,0,54122,59,173,195437,433747,680762,242851,685009,741628,28928,16899,65154,0,0,32,50,137492,418109,511800,273603,275630,51928,0,70160,0,46735,2,1695149,298079,31999,1236414,1550111,63336,1,1,1,0,5387,51817,83,237,135566,256425,590736,600351,435247,741458,673390,362828,54933,0,0,2339,32446,871555,927946,869770,963754,745379,4235,51158,1,0,1,186,456822,220754,848565,593028,460410,97189,1,0,77776,0,79506,0,676778,4861,995681,715812,14850,12662,8388653333,1,914623,537149,681434,1505130,881608,47611,0,0,0,0,10856,99923,2,1,0,0,188503,510567,551385,1635,30090,0,1529332,371909,1393323,1229952,667012,26631,36800,37025,0,7,6,5,1,5,6,1,4,1,1,0,0,4,807399,1568318,660973,1145904,465257,15786,15946,36987,802663,974497,948610,952636,835391,24439,45994,799500,275441,778975,716860,577102,287429,376721,44354,158756,369508,21046,63944,0,0,45471,49,124,285543,874547,28435,298840,395374,296141,883628,82838,0,62507,0</t>
    <phoneticPr fontId="4" type="noConversion"/>
  </si>
  <si>
    <t>826020852,71014,19123,39436,1071852,1719771,18341,34172,42933,7137027224,3,109203,541477,1424333,395527,811799,88115,3,1,1,0,80958,3,1,0,0,79668,0,2,0,0,32,175,32,7,53,7,284201,454953,652218,926837,683209,324293,634201,11209,43492,767631,465720,923087,797170,408781,908883,34737,288826,576,358771,41433,920531,7557,33189,25244,6163836901,4,869974,1292094,795377,1339679,166580,97415,2,0,0,0,38500,34231,38,103,830766,980229,47859,342012,32633,57256,0,910161,844831,707034,50775,14298,1,681987,177282,980322,739893,353067,53192,0,2,0,0,44129,88292,3,0,1,0,1,7,0,1,4,1,0,2,2,0,0,6,577080,1309680,399369,1326904,1297941,59185,1,2,1,0,71856,3,0,0,0,89528,0,1,1,0,8759620034,1,6,4,6,4,2,2,2,0,0,6,599897,88832,207642,606671,1425600,32101,10192,21183,969359,346926,975242,589201,266763,964160,939210,195530,84408,0,1,0,97796,0,89588,0,1178366373,9,628720,681441,781230,67604,1669492,67284,2,2,0,0,66295,0,1,1,0,64985,1,2,0,0,0,8,2,4,2,3,1,0,1,0,1,49772,1328676,1648295,845115,651475,39614,52136,2,0,0,0,33961,878688,130524,359928,31853,95771,0,5,1044577,746825,730885,695772,384800,91298,2,0,1,0,71221,2,1,0,41812,236070,128092,297162,32923,9483,4739621727,3,1265756,963759,901659,293384,1382903,40392,65198,1,0,1,0,29248,85,87,176391,118851,763649,982844,318817,612615,533396,998828,268751,783432,209418,53961,1,0,0,67078,1,0,86345,0,171218,367116,991083,252424,939144,792604,66541,46202,24215,4,788424,331751,83394,1133446,1517569,27581,80600,2,1,0,10659,4742110080,1,5,2,3,4,1,2,1,2,0,0</t>
    <phoneticPr fontId="4" type="noConversion"/>
  </si>
  <si>
    <t>669663120,90486,5160,106373,1059882,673198,83210,0,0,0,13577,69527,1,0,1,0,4554792097,2,1056128,1320047,413387,984103,903420,9829,4788,8020,200810,28541,666888,560679,55131,0,0,75384,0,6,516411,1613060,1224272,425101,336855,23423,95617,2,1,0,0,13279,76,160,873127,188585,205302,926098,678851,93511,313348,686726,468669,49976,0,2,1,0,78573,37337,60,226,947465,999544,286784,545160,564979,32294,62592,864002,122456,858974,511082,278835,253364,287164,629771,39762,69610,49642,1,1223349,1058784,528077,1518209,1113495,44369,3,2,1,0,82812,2,0,1,0,93167,1,1,1,0,1,2,6,2,2,3,1,1,0,3,733287,384914,1753831,604621,701133,80985,2,0,1,0,51783,3,2,1,0,46947,0,7,6,6,4,0,4,2,2,1,0,8,724196,1291607,567941,660026,1157082,82514,2,1,0,0,11230,48049,1,10,0,7,3,3,0,3,2,2,1,0,1,1382716,1118521,983535,654593,1570863,33101,78502,1,2,1,0,67689,0,0,0,0,134429,673345,526748,31240,44228,11,145,592588,289639,780368,41343,5,46,181976,57867,825395,485457,680064,66117,0,80243,0,0,6255,9481040543,2,39804,625679,1756737,1129300,120501,76074,1,2,1,0,85374,2,0,1,0,55162,1,1,5,0,1,5,1,1,2,1,0,4,21501,728767,946466,1233967,1391567,83014,3,2,1,0,95946,0,0,0,0,99042,1,1,0,0,1,2,5,3,3,0,1,0,2,583312,1628223,325348,79105,199305,12620,82135,0,0,1,0,10450,1424765576,1,5,8,4,4,6,4,3,3,0,0,0,1,1111365,815216,1038111,510838,1192409,55464,2,2,1,0,90772,3,0,1,0,95840,0,1,0,5081831331,0,2,2,1,2,0,0</t>
    <phoneticPr fontId="4" type="noConversion"/>
  </si>
  <si>
    <t>669663120,140726,11646,69875,669379,1542635,86215,0,0,0,89767,2,0,0,25265,8568469725,1,420716,1232549,74626,251620,1128726,38133,25333,31172,6466952360,0,9,4,5,3,3,2,2,3,2,1,0,6,961575,886589,1177989,140241,984069,84054,0,1,1,0,29052,22048,981578,980946,164859,424456,21972,46219,64872,0,0,882139005,9,952506,535638,1265989,1436768,106164,81599,3,0,0,0,19826,80782,2,1,0,0,37,14,536794,74443,795988,363900,518415,587200,99275,0,38182,548593,467479,961689,320981,391063,168289,517418,955314,955218,913334,31439,48392,6,1175457,1416963,1294879,1437214,13618,93439,3,2,0,0,62964,3,0,0,0,78618,3,2,0,0,1,1,5,2,1,3,0,0,0,9,7990,1199077,1261290,401788,1339623,88291,1,1,1,0,49303,27436,83,167,343029,226985,302615,120134,879328,996167,960788,78926,22780,60979,0,9,12,109254,675634,351772,521293,376358,803830,623162,675291,43778,97269,1,0,0,39574,8,1139670,1434027,882763,176221,1339906,17467,98252,1,0,1,0,81289,1,2,0,0,6297154953,0,1,0,5,2,0,1,0,0,1,181009,1035162,1356212,567066,1687564,68249,3,2,1,0,76652,2,2,0,0,96758,2,0,0,0,1,2,4,2,4,0,2,1,0,8,1350535,864564,604748,1699426,1010343,7480,83679,1,0,0,0,34906,81725,904426,225180,499912,855205,43645,0,0,30467,5,1146813,1080279,1540988,293573,1625927,68046,1,1,0,0,36298,54245,885905,194991,522238,459440,610683,11652,113203,54023,71699,0,0,78989,0,9,513134,288100,762648,950384,1399168,89997,3,0,1,0,26968,73843,1,2,1,0,86,137,93,109,978964,14103,532398,831211,494701,471983,502666,888769,15670,3330,1,11,9,2,7,5,3,6,5,1,3,3,0,1,0,198421,962987,659485,241634,731695,542105,210516,77329,72510,0,23128</t>
    <phoneticPr fontId="4" type="noConversion"/>
  </si>
  <si>
    <t>728364350,28173,35826,23563,1544487,894158,63936,0,1,0,48175,24357,6469721520,7,1326271,921063,1263733,1561666,588327,58711,1,0,0,0,55456,3,0,0,0,26799,267521,191298,511905,81798,76760,54454,4,706074,1625495,1358859,1250849,1525673,10463,47353,6676,1,10,10,5,5,6,6,2,1,2,0,1,0,8,1240859,1250529,1461371,1666225,497304,17086,24272,27992,892178,63503,445489,999020,11596,1409,9485,5,424574,614162,1376425,770058,459116,52033,1,1,1,0,45361,10810,954558,974854,851824,24650,13387,21877,41465,343392,792047,347242,968993,627384,94926,773369,756547,77043,32451,35678,2,57186,59650,719716,862262,958700,26110,98047,1,0,0,97885,1,0,0,0,4601207592,1,3,0,0,0,0,1,0,2,568700,1669345,1779147,1138005,465319,94357,3,0,1,0,15862,15503,1,3,7,4,1,0,3,3,0,0,0,4,962992,363372,97676,1659497,876099,77282,0,1,1,0,72103,0,0,0,5666,8,243,607901,825422,892047,291579,21972,7400,1095748432,2,770701,1237348,1401755,1109953,508957,17158,54328,2,1,0,0,27077,91,7,232676,280616,48865,93952,333170,495024,185799,397369,778571,492519,779760,744168,55961,1,0,41497,22745,5,4,0,5,10,2,7,1,5,0,3,0,2,2,1,0,16,93,246301,172450,172835,796443,836782,198407,191961,644276,190665,171915,85028,81745,0,13311,66694,0,0,0,87,163,274582,26421,202547,232697,426750,460505,196478,489143,61026,94573,1,0,64028,1,0,5,270655,430643,1480376,490863,1287936,99115,1,1,1,0,42985,97512,2,1,0,8717122117,0,1,1,1,2,1,0,7,31754,30665,377080,861408,1373626,92706,3,2,1,0,9638,58568,1,1,0,0,1,6,2,0,1,4,0,0,0,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</si>
</sst>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b/>
      <sz val="12"/>
      <name val="Courier New"/>
    </font>
    <font>
      <sz val="12"/>
      <color rgb="FF7F7F00"/>
      <name val="Courier New"/>
    </font>
    <font>
      <sz val="12"/>
      <name val="Courier New"/>
    </font>
    <font>
      <sz val="9"/>
      <name val="新細明體"/>
      <family val="3"/>
      <charset val="136"/>
      <scheme val="minor"/>
    </font>
    <font>
      <sz val="12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9D9D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3" borderId="1" xfId="0" applyFont="1" applyFill="1" applyBorder="1"/>
    <xf numFmtId="0" fontId="3" fillId="0" borderId="1" xfId="0" applyFont="1" applyBorder="1"/>
    <xf numFmtId="10" fontId="3" fillId="0" borderId="1" xfId="0" applyNumberFormat="1" applyFont="1" applyBorder="1"/>
    <xf numFmtId="0" fontId="3" fillId="4" borderId="1" xfId="0" applyFont="1" applyFill="1" applyBorder="1"/>
    <xf numFmtId="10" fontId="3" fillId="0" borderId="0" xfId="0" applyNumberFormat="1" applyFont="1"/>
    <xf numFmtId="0" fontId="3" fillId="0" borderId="0" xfId="0" applyFont="1"/>
    <xf numFmtId="0" fontId="5" fillId="0" borderId="1" xfId="0" applyFont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workbookViewId="0">
      <pane ySplit="3" topLeftCell="A13" activePane="bottomLeft" state="frozen"/>
      <selection pane="bottomLeft" activeCell="H21" sqref="H21"/>
    </sheetView>
  </sheetViews>
  <sheetFormatPr defaultRowHeight="15"/>
  <cols>
    <col min="1" max="1" width="42.5" customWidth="1"/>
    <col min="2" max="2" width="31.375" customWidth="1"/>
    <col min="3" max="3" width="10" customWidth="1"/>
    <col min="4" max="4" width="15.125" customWidth="1"/>
    <col min="5" max="5" width="12.375" customWidth="1"/>
    <col min="6" max="6" width="7.125" customWidth="1"/>
    <col min="7" max="7" width="13.25" customWidth="1"/>
    <col min="8" max="8" width="14" customWidth="1"/>
    <col min="9" max="9" width="22" customWidth="1"/>
  </cols>
  <sheetData>
    <row r="1" spans="1:6" ht="16.2" customHeight="1">
      <c r="A1" s="1" t="s">
        <v>0</v>
      </c>
    </row>
    <row r="2" spans="1:6" ht="15.6" customHeight="1">
      <c r="A2" s="2" t="s">
        <v>1</v>
      </c>
    </row>
    <row r="4" spans="1:6" ht="16.2" customHeight="1">
      <c r="A4" s="3" t="s">
        <v>2</v>
      </c>
    </row>
    <row r="5" spans="1:6" ht="16.2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ht="15.6" customHeight="1">
      <c r="A6" s="5" t="s">
        <v>9</v>
      </c>
      <c r="B6" s="5"/>
      <c r="C6" s="5"/>
      <c r="D6" s="6" t="str">
        <f t="shared" ref="D6:D13" si="0">IF(C6="","",C6/F6)</f>
        <v/>
      </c>
      <c r="E6" s="7">
        <v>1</v>
      </c>
      <c r="F6" s="5">
        <v>1</v>
      </c>
    </row>
    <row r="7" spans="1:6" ht="15.6" customHeight="1">
      <c r="A7" s="5" t="s">
        <v>10</v>
      </c>
      <c r="B7" s="5"/>
      <c r="C7" s="5"/>
      <c r="D7" s="6" t="str">
        <f t="shared" si="0"/>
        <v/>
      </c>
      <c r="E7" s="7">
        <v>1</v>
      </c>
      <c r="F7" s="5">
        <v>1</v>
      </c>
    </row>
    <row r="8" spans="1:6" ht="15.6" customHeight="1">
      <c r="A8" s="5" t="s">
        <v>11</v>
      </c>
      <c r="B8" s="5"/>
      <c r="C8" s="5"/>
      <c r="D8" s="6" t="str">
        <f t="shared" si="0"/>
        <v/>
      </c>
      <c r="E8" s="7">
        <v>1</v>
      </c>
      <c r="F8" s="5">
        <v>1</v>
      </c>
    </row>
    <row r="9" spans="1:6" ht="15.6" customHeight="1">
      <c r="A9" s="5" t="s">
        <v>12</v>
      </c>
      <c r="B9" s="5"/>
      <c r="C9" s="5"/>
      <c r="D9" s="6" t="str">
        <f t="shared" si="0"/>
        <v/>
      </c>
      <c r="E9" s="7">
        <v>1</v>
      </c>
      <c r="F9" s="5">
        <v>1</v>
      </c>
    </row>
    <row r="10" spans="1:6" ht="15.6" customHeight="1">
      <c r="A10" s="5" t="s">
        <v>13</v>
      </c>
      <c r="B10" s="5"/>
      <c r="C10" s="5"/>
      <c r="D10" s="6" t="str">
        <f t="shared" si="0"/>
        <v/>
      </c>
      <c r="E10" s="7">
        <v>1</v>
      </c>
      <c r="F10" s="5">
        <v>2</v>
      </c>
    </row>
    <row r="11" spans="1:6" ht="15.6" customHeight="1">
      <c r="A11" s="5" t="s">
        <v>14</v>
      </c>
      <c r="B11" s="5"/>
      <c r="C11" s="5"/>
      <c r="D11" s="6" t="str">
        <f t="shared" si="0"/>
        <v/>
      </c>
      <c r="E11" s="7">
        <v>1</v>
      </c>
      <c r="F11" s="5">
        <v>2</v>
      </c>
    </row>
    <row r="12" spans="1:6" ht="15.6" customHeight="1">
      <c r="A12" s="5" t="s">
        <v>15</v>
      </c>
      <c r="B12" s="5"/>
      <c r="C12" s="5"/>
      <c r="D12" s="6" t="str">
        <f t="shared" si="0"/>
        <v/>
      </c>
      <c r="E12" s="7">
        <v>1</v>
      </c>
      <c r="F12" s="5">
        <v>2</v>
      </c>
    </row>
    <row r="13" spans="1:6" ht="15.6" customHeight="1">
      <c r="A13" s="5" t="s">
        <v>16</v>
      </c>
      <c r="B13" s="5"/>
      <c r="C13" s="5"/>
      <c r="D13" s="6" t="str">
        <f t="shared" si="0"/>
        <v/>
      </c>
      <c r="E13" s="7">
        <v>1</v>
      </c>
      <c r="F13" s="5">
        <v>2</v>
      </c>
    </row>
    <row r="14" spans="1:6" ht="15.6" customHeight="1">
      <c r="A14" s="2" t="s">
        <v>17</v>
      </c>
    </row>
    <row r="15" spans="1:6" ht="15.6" customHeight="1">
      <c r="A15" s="2" t="s">
        <v>18</v>
      </c>
    </row>
    <row r="16" spans="1:6" ht="15.6" customHeight="1">
      <c r="A16" s="2" t="s">
        <v>19</v>
      </c>
    </row>
    <row r="18" spans="1:9" ht="16.2" customHeight="1">
      <c r="A18" s="3" t="s">
        <v>20</v>
      </c>
    </row>
    <row r="19" spans="1:9" ht="16.2" customHeight="1">
      <c r="A19" s="4" t="s">
        <v>3</v>
      </c>
      <c r="B19" s="4" t="s">
        <v>4</v>
      </c>
      <c r="C19" s="4" t="s">
        <v>5</v>
      </c>
      <c r="D19" s="4" t="s">
        <v>6</v>
      </c>
      <c r="E19" s="4" t="s">
        <v>7</v>
      </c>
      <c r="F19" s="4" t="s">
        <v>8</v>
      </c>
    </row>
    <row r="20" spans="1:9" ht="15.6" customHeight="1">
      <c r="A20" s="5" t="s">
        <v>21</v>
      </c>
      <c r="B20" s="10" t="s">
        <v>74</v>
      </c>
      <c r="C20" s="5">
        <v>47.5</v>
      </c>
      <c r="D20" s="6">
        <f t="shared" ref="D20:D31" si="1">IF(C20="","",C20/F20)</f>
        <v>0.95</v>
      </c>
      <c r="E20" s="5">
        <v>101</v>
      </c>
      <c r="F20" s="5" t="s">
        <v>22</v>
      </c>
    </row>
    <row r="21" spans="1:9" ht="15.6" customHeight="1">
      <c r="A21" s="5" t="s">
        <v>23</v>
      </c>
      <c r="B21" s="10" t="s">
        <v>75</v>
      </c>
      <c r="C21" s="5">
        <v>46.3</v>
      </c>
      <c r="D21" s="6">
        <f t="shared" ref="D21:D23" si="2">IF(C21="","",C21/F21)</f>
        <v>0.92599999999999993</v>
      </c>
      <c r="E21" s="5">
        <v>102</v>
      </c>
      <c r="F21" s="5" t="s">
        <v>22</v>
      </c>
    </row>
    <row r="22" spans="1:9" ht="15.6" customHeight="1">
      <c r="A22" s="5" t="s">
        <v>24</v>
      </c>
      <c r="B22" s="10" t="s">
        <v>76</v>
      </c>
      <c r="C22" s="5">
        <v>57.3</v>
      </c>
      <c r="D22" s="6">
        <f t="shared" si="2"/>
        <v>1.1459999999999999</v>
      </c>
      <c r="E22" s="5">
        <v>37</v>
      </c>
      <c r="F22" s="5" t="s">
        <v>22</v>
      </c>
      <c r="H22" s="8">
        <f>IFERROR(SUMPRODUCT(D20:D22,E20:E22)/SUM(E20:E22),"")</f>
        <v>0.97001666666666653</v>
      </c>
      <c r="I22" s="9" t="s">
        <v>25</v>
      </c>
    </row>
    <row r="23" spans="1:9" ht="15.6" customHeight="1">
      <c r="A23" s="5" t="s">
        <v>26</v>
      </c>
      <c r="B23" s="10" t="s">
        <v>74</v>
      </c>
      <c r="C23" s="5">
        <v>47.5</v>
      </c>
      <c r="D23" s="6">
        <f t="shared" si="2"/>
        <v>0.95</v>
      </c>
      <c r="E23" s="5">
        <v>101</v>
      </c>
      <c r="F23" s="5" t="s">
        <v>22</v>
      </c>
    </row>
    <row r="24" spans="1:9" ht="15.6" customHeight="1">
      <c r="A24" s="5" t="s">
        <v>27</v>
      </c>
      <c r="B24" s="10" t="s">
        <v>75</v>
      </c>
      <c r="C24" s="5">
        <v>46.3</v>
      </c>
      <c r="D24" s="6">
        <f t="shared" ref="D24:D25" si="3">IF(C24="","",C24/F24)</f>
        <v>0.92599999999999993</v>
      </c>
      <c r="E24" s="5">
        <v>102</v>
      </c>
      <c r="F24" s="5" t="s">
        <v>22</v>
      </c>
    </row>
    <row r="25" spans="1:9" ht="15.6" customHeight="1">
      <c r="A25" s="5" t="s">
        <v>28</v>
      </c>
      <c r="B25" s="10" t="s">
        <v>76</v>
      </c>
      <c r="C25" s="5">
        <v>57.3</v>
      </c>
      <c r="D25" s="6">
        <f t="shared" si="3"/>
        <v>1.1459999999999999</v>
      </c>
      <c r="E25" s="5">
        <v>37</v>
      </c>
      <c r="F25" s="5" t="s">
        <v>22</v>
      </c>
      <c r="H25" s="8">
        <f>IFERROR(SUMPRODUCT(D23:D25,E23:E25)/SUM(E23:E25),"")</f>
        <v>0.97001666666666653</v>
      </c>
      <c r="I25" s="9" t="s">
        <v>29</v>
      </c>
    </row>
    <row r="26" spans="1:9" ht="15.6" customHeight="1">
      <c r="A26" s="5" t="s">
        <v>30</v>
      </c>
      <c r="B26" s="10" t="s">
        <v>71</v>
      </c>
      <c r="C26" s="5">
        <v>43</v>
      </c>
      <c r="D26" s="6">
        <f t="shared" si="1"/>
        <v>0.86</v>
      </c>
      <c r="E26" s="5">
        <v>20</v>
      </c>
      <c r="F26" s="5" t="s">
        <v>22</v>
      </c>
    </row>
    <row r="27" spans="1:9" ht="15.6" customHeight="1">
      <c r="A27" s="5" t="s">
        <v>31</v>
      </c>
      <c r="B27" s="10" t="s">
        <v>72</v>
      </c>
      <c r="C27" s="5">
        <v>40.5</v>
      </c>
      <c r="D27" s="6">
        <f t="shared" si="1"/>
        <v>0.81</v>
      </c>
      <c r="E27" s="5">
        <v>20</v>
      </c>
      <c r="F27" s="5" t="s">
        <v>22</v>
      </c>
    </row>
    <row r="28" spans="1:9" ht="15.6" customHeight="1">
      <c r="A28" s="5" t="s">
        <v>32</v>
      </c>
      <c r="B28" s="10" t="s">
        <v>73</v>
      </c>
      <c r="C28" s="5">
        <v>49.3</v>
      </c>
      <c r="D28" s="6">
        <f t="shared" si="1"/>
        <v>0.98599999999999999</v>
      </c>
      <c r="E28" s="5">
        <v>337</v>
      </c>
      <c r="F28" s="5" t="s">
        <v>22</v>
      </c>
      <c r="H28" s="8">
        <f>IFERROR(SUMPRODUCT(D26:D28,E26:E28)/SUM(E26:E28),"")</f>
        <v>0.9699787798408489</v>
      </c>
      <c r="I28" s="9" t="s">
        <v>25</v>
      </c>
    </row>
    <row r="29" spans="1:9" ht="15.6" customHeight="1">
      <c r="A29" s="5" t="s">
        <v>33</v>
      </c>
      <c r="B29" s="10" t="s">
        <v>71</v>
      </c>
      <c r="C29" s="5">
        <v>43</v>
      </c>
      <c r="D29" s="6">
        <f t="shared" ref="D29:D31" si="4">IF(C29="","",C29/F29)</f>
        <v>0.86</v>
      </c>
      <c r="E29" s="5">
        <v>20</v>
      </c>
      <c r="F29" s="5" t="s">
        <v>22</v>
      </c>
    </row>
    <row r="30" spans="1:9" ht="15.6" customHeight="1">
      <c r="A30" s="5" t="s">
        <v>34</v>
      </c>
      <c r="B30" s="10" t="s">
        <v>72</v>
      </c>
      <c r="C30" s="5">
        <v>40.5</v>
      </c>
      <c r="D30" s="6">
        <f t="shared" si="4"/>
        <v>0.81</v>
      </c>
      <c r="E30" s="5">
        <v>20</v>
      </c>
      <c r="F30" s="5" t="s">
        <v>22</v>
      </c>
    </row>
    <row r="31" spans="1:9" ht="15.6" customHeight="1">
      <c r="A31" s="5" t="s">
        <v>35</v>
      </c>
      <c r="B31" s="10" t="s">
        <v>73</v>
      </c>
      <c r="C31" s="5">
        <v>49.3</v>
      </c>
      <c r="D31" s="6">
        <f t="shared" si="4"/>
        <v>0.98599999999999999</v>
      </c>
      <c r="E31" s="5">
        <v>337</v>
      </c>
      <c r="F31" s="5" t="s">
        <v>22</v>
      </c>
      <c r="H31" s="8">
        <f>IFERROR(SUMPRODUCT(D29:D31,E29:E31)/SUM(E29:E31),"")</f>
        <v>0.9699787798408489</v>
      </c>
      <c r="I31" s="9" t="s">
        <v>29</v>
      </c>
    </row>
    <row r="32" spans="1:9" ht="15.6" customHeight="1">
      <c r="A32" s="2" t="s">
        <v>36</v>
      </c>
    </row>
    <row r="33" spans="1:6" ht="15.6" customHeight="1">
      <c r="A33" s="2" t="s">
        <v>37</v>
      </c>
    </row>
    <row r="34" spans="1:6" ht="15.6" customHeight="1">
      <c r="A34" s="2" t="s">
        <v>38</v>
      </c>
    </row>
    <row r="36" spans="1:6" ht="16.2" customHeight="1">
      <c r="A36" s="3" t="s">
        <v>39</v>
      </c>
    </row>
    <row r="37" spans="1:6" ht="16.2" customHeight="1">
      <c r="A37" s="4" t="s">
        <v>3</v>
      </c>
      <c r="B37" s="4" t="s">
        <v>4</v>
      </c>
      <c r="C37" s="4" t="s">
        <v>5</v>
      </c>
      <c r="D37" s="4" t="s">
        <v>6</v>
      </c>
      <c r="E37" s="4" t="s">
        <v>7</v>
      </c>
      <c r="F37" s="4" t="s">
        <v>8</v>
      </c>
    </row>
    <row r="38" spans="1:6" ht="15.6" customHeight="1">
      <c r="A38" s="5" t="s">
        <v>40</v>
      </c>
      <c r="B38" s="5"/>
      <c r="C38" s="5"/>
      <c r="D38" s="6" t="str">
        <f t="shared" ref="D38:D48" si="5">IF(C38="","",C38/F38)</f>
        <v/>
      </c>
      <c r="E38" s="5" t="s">
        <v>41</v>
      </c>
      <c r="F38" s="5" t="s">
        <v>41</v>
      </c>
    </row>
    <row r="39" spans="1:6" ht="15.6" customHeight="1">
      <c r="A39" s="5" t="s">
        <v>42</v>
      </c>
      <c r="B39" s="5"/>
      <c r="C39" s="5"/>
      <c r="D39" s="6" t="str">
        <f t="shared" si="5"/>
        <v/>
      </c>
      <c r="E39" s="5" t="s">
        <v>41</v>
      </c>
      <c r="F39" s="5" t="s">
        <v>41</v>
      </c>
    </row>
    <row r="40" spans="1:6" ht="15.6" customHeight="1">
      <c r="A40" s="5" t="s">
        <v>43</v>
      </c>
      <c r="B40" s="5"/>
      <c r="C40" s="5"/>
      <c r="D40" s="6" t="str">
        <f t="shared" si="5"/>
        <v/>
      </c>
      <c r="E40" s="5" t="s">
        <v>41</v>
      </c>
      <c r="F40" s="5" t="s">
        <v>41</v>
      </c>
    </row>
    <row r="41" spans="1:6" ht="15.6" customHeight="1">
      <c r="A41" s="5" t="s">
        <v>44</v>
      </c>
      <c r="B41" s="5"/>
      <c r="C41" s="5"/>
      <c r="D41" s="6" t="str">
        <f t="shared" si="5"/>
        <v/>
      </c>
      <c r="E41" s="5" t="s">
        <v>41</v>
      </c>
      <c r="F41" s="5" t="s">
        <v>41</v>
      </c>
    </row>
    <row r="42" spans="1:6" ht="15.6">
      <c r="A42" s="5" t="s">
        <v>45</v>
      </c>
      <c r="B42" s="5"/>
      <c r="C42" s="5"/>
      <c r="D42" s="6" t="str">
        <f t="shared" si="5"/>
        <v/>
      </c>
      <c r="E42" s="5" t="s">
        <v>41</v>
      </c>
      <c r="F42" s="5" t="s">
        <v>41</v>
      </c>
    </row>
    <row r="43" spans="1:6" ht="16.2" customHeight="1">
      <c r="A43" s="5" t="s">
        <v>46</v>
      </c>
      <c r="B43" s="5"/>
      <c r="C43" s="5"/>
      <c r="D43" s="6" t="str">
        <f t="shared" si="5"/>
        <v/>
      </c>
      <c r="E43" s="5" t="s">
        <v>41</v>
      </c>
      <c r="F43" s="5" t="s">
        <v>41</v>
      </c>
    </row>
    <row r="44" spans="1:6" ht="15.6">
      <c r="A44" s="5" t="s">
        <v>47</v>
      </c>
      <c r="B44" s="5"/>
      <c r="C44" s="5"/>
      <c r="D44" s="6" t="str">
        <f t="shared" si="5"/>
        <v/>
      </c>
      <c r="E44" s="5" t="s">
        <v>41</v>
      </c>
      <c r="F44" s="5" t="s">
        <v>41</v>
      </c>
    </row>
    <row r="45" spans="1:6" ht="15.6" customHeight="1">
      <c r="A45" s="5" t="s">
        <v>48</v>
      </c>
      <c r="B45" s="5"/>
      <c r="C45" s="5"/>
      <c r="D45" s="6" t="str">
        <f t="shared" si="5"/>
        <v/>
      </c>
      <c r="E45" s="5" t="s">
        <v>41</v>
      </c>
      <c r="F45" s="5" t="s">
        <v>41</v>
      </c>
    </row>
    <row r="46" spans="1:6" ht="15.6" customHeight="1">
      <c r="A46" s="5" t="s">
        <v>49</v>
      </c>
      <c r="B46" s="5"/>
      <c r="C46" s="5"/>
      <c r="D46" s="6" t="str">
        <f t="shared" si="5"/>
        <v/>
      </c>
      <c r="E46" s="5" t="s">
        <v>41</v>
      </c>
      <c r="F46" s="5" t="s">
        <v>41</v>
      </c>
    </row>
    <row r="47" spans="1:6" ht="15.6" customHeight="1">
      <c r="A47" s="5" t="s">
        <v>50</v>
      </c>
      <c r="B47" s="5"/>
      <c r="C47" s="5"/>
      <c r="D47" s="6" t="str">
        <f t="shared" si="5"/>
        <v/>
      </c>
      <c r="E47" s="5" t="s">
        <v>41</v>
      </c>
      <c r="F47" s="5" t="s">
        <v>41</v>
      </c>
    </row>
    <row r="48" spans="1:6" ht="15.6" customHeight="1">
      <c r="A48" s="5" t="s">
        <v>51</v>
      </c>
      <c r="B48" s="5"/>
      <c r="C48" s="5"/>
      <c r="D48" s="6" t="str">
        <f t="shared" si="5"/>
        <v/>
      </c>
      <c r="E48" s="5" t="s">
        <v>41</v>
      </c>
      <c r="F48" s="5" t="s">
        <v>41</v>
      </c>
    </row>
    <row r="49" spans="1:1" ht="15.6">
      <c r="A49" s="2" t="s">
        <v>52</v>
      </c>
    </row>
    <row r="51" spans="1:1" ht="16.2">
      <c r="A51" s="1" t="s">
        <v>53</v>
      </c>
    </row>
    <row r="53" spans="1:1" ht="15.6">
      <c r="A53" s="9" t="s">
        <v>54</v>
      </c>
    </row>
    <row r="54" spans="1:1" ht="15.6">
      <c r="A54" s="9" t="s">
        <v>55</v>
      </c>
    </row>
    <row r="55" spans="1:1" ht="15.6">
      <c r="A55" s="9" t="s">
        <v>56</v>
      </c>
    </row>
    <row r="56" spans="1:1" ht="15.6">
      <c r="A56" s="9" t="s">
        <v>57</v>
      </c>
    </row>
    <row r="57" spans="1:1" ht="15.6">
      <c r="A57" s="9" t="s">
        <v>58</v>
      </c>
    </row>
  </sheetData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42.5" customWidth="1"/>
    <col min="2" max="2" width="90" customWidth="1"/>
    <col min="3" max="3" width="10" customWidth="1"/>
    <col min="4" max="4" width="15.125" customWidth="1"/>
    <col min="5" max="5" width="12.375" customWidth="1"/>
    <col min="6" max="6" width="7.125" customWidth="1"/>
    <col min="7" max="7" width="13.25" customWidth="1"/>
    <col min="8" max="8" width="14" customWidth="1"/>
    <col min="9" max="9" width="22" customWidth="1"/>
  </cols>
  <sheetData>
    <row r="1" spans="1:6" ht="16.2" customHeight="1">
      <c r="A1" s="1" t="s">
        <v>59</v>
      </c>
    </row>
    <row r="2" spans="1:6" ht="15.6" customHeight="1">
      <c r="A2" s="2" t="s">
        <v>60</v>
      </c>
    </row>
    <row r="4" spans="1:6" ht="16.2" customHeight="1">
      <c r="A4" s="3" t="s">
        <v>2</v>
      </c>
    </row>
    <row r="5" spans="1:6" ht="16.2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ht="15.6" customHeight="1">
      <c r="A6" s="5" t="s">
        <v>9</v>
      </c>
      <c r="B6" s="5"/>
      <c r="C6" s="5"/>
      <c r="D6" s="6" t="str">
        <f t="shared" ref="D6:D13" si="0">IF(C6="","",C6/F6)</f>
        <v/>
      </c>
      <c r="E6" s="7">
        <v>1</v>
      </c>
      <c r="F6" s="5">
        <v>1</v>
      </c>
    </row>
    <row r="7" spans="1:6" ht="15.6" customHeight="1">
      <c r="A7" s="5" t="s">
        <v>10</v>
      </c>
      <c r="B7" s="5"/>
      <c r="C7" s="5"/>
      <c r="D7" s="6" t="str">
        <f t="shared" si="0"/>
        <v/>
      </c>
      <c r="E7" s="7">
        <v>1</v>
      </c>
      <c r="F7" s="5">
        <v>1</v>
      </c>
    </row>
    <row r="8" spans="1:6" ht="15.6" customHeight="1">
      <c r="A8" s="5" t="s">
        <v>11</v>
      </c>
      <c r="B8" s="5"/>
      <c r="C8" s="5"/>
      <c r="D8" s="6" t="str">
        <f t="shared" si="0"/>
        <v/>
      </c>
      <c r="E8" s="7">
        <v>1</v>
      </c>
      <c r="F8" s="5">
        <v>1</v>
      </c>
    </row>
    <row r="9" spans="1:6" ht="15.6" customHeight="1">
      <c r="A9" s="5" t="s">
        <v>12</v>
      </c>
      <c r="B9" s="5"/>
      <c r="C9" s="5"/>
      <c r="D9" s="6" t="str">
        <f t="shared" si="0"/>
        <v/>
      </c>
      <c r="E9" s="7">
        <v>1</v>
      </c>
      <c r="F9" s="5">
        <v>1</v>
      </c>
    </row>
    <row r="10" spans="1:6" ht="15.6" customHeight="1">
      <c r="A10" s="5" t="s">
        <v>13</v>
      </c>
      <c r="B10" s="5"/>
      <c r="C10" s="5"/>
      <c r="D10" s="6" t="str">
        <f t="shared" si="0"/>
        <v/>
      </c>
      <c r="E10" s="7">
        <v>1</v>
      </c>
      <c r="F10" s="5">
        <v>2</v>
      </c>
    </row>
    <row r="11" spans="1:6" ht="15.6" customHeight="1">
      <c r="A11" s="5" t="s">
        <v>14</v>
      </c>
      <c r="B11" s="5"/>
      <c r="C11" s="5"/>
      <c r="D11" s="6" t="str">
        <f t="shared" si="0"/>
        <v/>
      </c>
      <c r="E11" s="7">
        <v>1</v>
      </c>
      <c r="F11" s="5">
        <v>2</v>
      </c>
    </row>
    <row r="12" spans="1:6" ht="15.6" customHeight="1">
      <c r="A12" s="5" t="s">
        <v>15</v>
      </c>
      <c r="B12" s="5"/>
      <c r="C12" s="5"/>
      <c r="D12" s="6" t="str">
        <f t="shared" si="0"/>
        <v/>
      </c>
      <c r="E12" s="7">
        <v>1</v>
      </c>
      <c r="F12" s="5">
        <v>2</v>
      </c>
    </row>
    <row r="13" spans="1:6" ht="15.6" customHeight="1">
      <c r="A13" s="5" t="s">
        <v>16</v>
      </c>
      <c r="B13" s="5"/>
      <c r="C13" s="5"/>
      <c r="D13" s="6" t="str">
        <f t="shared" si="0"/>
        <v/>
      </c>
      <c r="E13" s="7">
        <v>1</v>
      </c>
      <c r="F13" s="5">
        <v>2</v>
      </c>
    </row>
    <row r="14" spans="1:6" ht="15.6" customHeight="1">
      <c r="A14" s="2" t="s">
        <v>17</v>
      </c>
    </row>
    <row r="15" spans="1:6" ht="15.6" customHeight="1">
      <c r="A15" s="2" t="s">
        <v>18</v>
      </c>
    </row>
    <row r="16" spans="1:6" ht="15.6" customHeight="1">
      <c r="A16" s="2" t="s">
        <v>19</v>
      </c>
    </row>
    <row r="18" spans="1:9" ht="16.2" customHeight="1">
      <c r="A18" s="3" t="s">
        <v>20</v>
      </c>
    </row>
    <row r="19" spans="1:9" ht="16.2" customHeight="1">
      <c r="A19" s="4" t="s">
        <v>3</v>
      </c>
      <c r="B19" s="4" t="s">
        <v>4</v>
      </c>
      <c r="C19" s="4" t="s">
        <v>5</v>
      </c>
      <c r="D19" s="4" t="s">
        <v>6</v>
      </c>
      <c r="E19" s="4" t="s">
        <v>7</v>
      </c>
      <c r="F19" s="4" t="s">
        <v>8</v>
      </c>
    </row>
    <row r="20" spans="1:9" ht="15.6" customHeight="1">
      <c r="A20" s="5" t="s">
        <v>61</v>
      </c>
      <c r="B20" s="5"/>
      <c r="C20" s="5"/>
      <c r="D20" s="6" t="str">
        <f t="shared" ref="D20:D25" si="1">IF(C20="","",C20/F20)</f>
        <v/>
      </c>
      <c r="E20" s="5"/>
      <c r="F20" s="5" t="s">
        <v>22</v>
      </c>
    </row>
    <row r="21" spans="1:9" ht="15.6" customHeight="1">
      <c r="A21" s="5" t="s">
        <v>62</v>
      </c>
      <c r="B21" s="5"/>
      <c r="C21" s="5"/>
      <c r="D21" s="6" t="str">
        <f t="shared" si="1"/>
        <v/>
      </c>
      <c r="E21" s="5"/>
      <c r="F21" s="5" t="s">
        <v>22</v>
      </c>
    </row>
    <row r="22" spans="1:9" ht="15.6" customHeight="1">
      <c r="A22" s="5" t="s">
        <v>63</v>
      </c>
      <c r="B22" s="5"/>
      <c r="C22" s="5"/>
      <c r="D22" s="6" t="str">
        <f t="shared" si="1"/>
        <v/>
      </c>
      <c r="E22" s="5"/>
      <c r="F22" s="5" t="s">
        <v>22</v>
      </c>
      <c r="H22" s="8" t="str">
        <f>IFERROR(SUMPRODUCT(D20:D22,E20:E22)/SUM(E20:E22),"")</f>
        <v/>
      </c>
      <c r="I22" s="9" t="s">
        <v>64</v>
      </c>
    </row>
    <row r="23" spans="1:9" ht="15.6" customHeight="1">
      <c r="A23" s="5" t="s">
        <v>65</v>
      </c>
      <c r="B23" s="5"/>
      <c r="C23" s="5"/>
      <c r="D23" s="6" t="str">
        <f t="shared" si="1"/>
        <v/>
      </c>
      <c r="E23" s="5"/>
      <c r="F23" s="5" t="s">
        <v>22</v>
      </c>
    </row>
    <row r="24" spans="1:9" ht="15.6" customHeight="1">
      <c r="A24" s="5" t="s">
        <v>66</v>
      </c>
      <c r="B24" s="5"/>
      <c r="C24" s="5"/>
      <c r="D24" s="6" t="str">
        <f t="shared" si="1"/>
        <v/>
      </c>
      <c r="E24" s="5"/>
      <c r="F24" s="5" t="s">
        <v>22</v>
      </c>
    </row>
    <row r="25" spans="1:9" ht="15.6" customHeight="1">
      <c r="A25" s="5" t="s">
        <v>67</v>
      </c>
      <c r="B25" s="5"/>
      <c r="C25" s="5"/>
      <c r="D25" s="6" t="str">
        <f t="shared" si="1"/>
        <v/>
      </c>
      <c r="E25" s="5"/>
      <c r="F25" s="5" t="s">
        <v>22</v>
      </c>
      <c r="H25" s="8" t="str">
        <f>IFERROR(SUMPRODUCT(D23:D25,E23:E25)/SUM(E23:E25),"")</f>
        <v/>
      </c>
      <c r="I25" s="9" t="s">
        <v>64</v>
      </c>
    </row>
    <row r="26" spans="1:9" ht="15.6" customHeight="1">
      <c r="A26" s="2" t="s">
        <v>36</v>
      </c>
    </row>
    <row r="27" spans="1:9" ht="15.6" customHeight="1">
      <c r="A27" s="2" t="s">
        <v>37</v>
      </c>
    </row>
    <row r="28" spans="1:9" ht="15.6" customHeight="1">
      <c r="A28" s="2" t="s">
        <v>38</v>
      </c>
    </row>
    <row r="30" spans="1:9" ht="16.2" customHeight="1">
      <c r="A30" s="3" t="s">
        <v>39</v>
      </c>
    </row>
    <row r="31" spans="1:9" ht="16.2" customHeight="1">
      <c r="A31" s="4" t="s">
        <v>3</v>
      </c>
      <c r="B31" s="4" t="s">
        <v>4</v>
      </c>
      <c r="C31" s="4" t="s">
        <v>5</v>
      </c>
      <c r="D31" s="4" t="s">
        <v>6</v>
      </c>
      <c r="E31" s="4" t="s">
        <v>7</v>
      </c>
      <c r="F31" s="4" t="s">
        <v>8</v>
      </c>
    </row>
    <row r="32" spans="1:9" ht="15.6" customHeight="1">
      <c r="A32" s="5" t="s">
        <v>40</v>
      </c>
      <c r="B32" s="5"/>
      <c r="C32" s="5"/>
      <c r="D32" s="6" t="str">
        <f t="shared" ref="D32:D42" si="2">IF(C32="","",C32/F32)</f>
        <v/>
      </c>
      <c r="E32" s="5" t="s">
        <v>41</v>
      </c>
      <c r="F32" s="5" t="s">
        <v>41</v>
      </c>
    </row>
    <row r="33" spans="1:6" ht="15.6" customHeight="1">
      <c r="A33" s="5" t="s">
        <v>42</v>
      </c>
      <c r="B33" s="5"/>
      <c r="C33" s="5"/>
      <c r="D33" s="6" t="str">
        <f t="shared" si="2"/>
        <v/>
      </c>
      <c r="E33" s="5" t="s">
        <v>41</v>
      </c>
      <c r="F33" s="5" t="s">
        <v>41</v>
      </c>
    </row>
    <row r="34" spans="1:6" ht="15.6" customHeight="1">
      <c r="A34" s="5" t="s">
        <v>43</v>
      </c>
      <c r="B34" s="5"/>
      <c r="C34" s="5"/>
      <c r="D34" s="6" t="str">
        <f t="shared" si="2"/>
        <v/>
      </c>
      <c r="E34" s="5" t="s">
        <v>41</v>
      </c>
      <c r="F34" s="5" t="s">
        <v>41</v>
      </c>
    </row>
    <row r="35" spans="1:6" ht="15.6" customHeight="1">
      <c r="A35" s="5" t="s">
        <v>44</v>
      </c>
      <c r="B35" s="5"/>
      <c r="C35" s="5"/>
      <c r="D35" s="6" t="str">
        <f t="shared" si="2"/>
        <v/>
      </c>
      <c r="E35" s="5" t="s">
        <v>41</v>
      </c>
      <c r="F35" s="5" t="s">
        <v>41</v>
      </c>
    </row>
    <row r="36" spans="1:6" ht="15.6">
      <c r="A36" s="5" t="s">
        <v>45</v>
      </c>
      <c r="B36" s="5"/>
      <c r="C36" s="5"/>
      <c r="D36" s="6" t="str">
        <f t="shared" si="2"/>
        <v/>
      </c>
      <c r="E36" s="5" t="s">
        <v>41</v>
      </c>
      <c r="F36" s="5" t="s">
        <v>41</v>
      </c>
    </row>
    <row r="37" spans="1:6" ht="16.2" customHeight="1">
      <c r="A37" s="5" t="s">
        <v>46</v>
      </c>
      <c r="B37" s="5"/>
      <c r="C37" s="5"/>
      <c r="D37" s="6" t="str">
        <f t="shared" si="2"/>
        <v/>
      </c>
      <c r="E37" s="5" t="s">
        <v>41</v>
      </c>
      <c r="F37" s="5" t="s">
        <v>41</v>
      </c>
    </row>
    <row r="38" spans="1:6" ht="15.6">
      <c r="A38" s="5" t="s">
        <v>47</v>
      </c>
      <c r="B38" s="5"/>
      <c r="C38" s="5"/>
      <c r="D38" s="6" t="str">
        <f t="shared" si="2"/>
        <v/>
      </c>
      <c r="E38" s="5" t="s">
        <v>41</v>
      </c>
      <c r="F38" s="5" t="s">
        <v>41</v>
      </c>
    </row>
    <row r="39" spans="1:6" ht="15.6" customHeight="1">
      <c r="A39" s="5" t="s">
        <v>48</v>
      </c>
      <c r="B39" s="5"/>
      <c r="C39" s="5"/>
      <c r="D39" s="6" t="str">
        <f t="shared" si="2"/>
        <v/>
      </c>
      <c r="E39" s="5" t="s">
        <v>41</v>
      </c>
      <c r="F39" s="5" t="s">
        <v>41</v>
      </c>
    </row>
    <row r="40" spans="1:6" ht="15.6" customHeight="1">
      <c r="A40" s="5" t="s">
        <v>49</v>
      </c>
      <c r="B40" s="5"/>
      <c r="C40" s="5"/>
      <c r="D40" s="6" t="str">
        <f t="shared" si="2"/>
        <v/>
      </c>
      <c r="E40" s="5" t="s">
        <v>41</v>
      </c>
      <c r="F40" s="5" t="s">
        <v>41</v>
      </c>
    </row>
    <row r="41" spans="1:6" ht="15.6" customHeight="1">
      <c r="A41" s="5" t="s">
        <v>50</v>
      </c>
      <c r="B41" s="5"/>
      <c r="C41" s="5"/>
      <c r="D41" s="6" t="str">
        <f t="shared" si="2"/>
        <v/>
      </c>
      <c r="E41" s="5" t="s">
        <v>41</v>
      </c>
      <c r="F41" s="5" t="s">
        <v>41</v>
      </c>
    </row>
    <row r="42" spans="1:6" ht="15.6" customHeight="1">
      <c r="A42" s="5" t="s">
        <v>51</v>
      </c>
      <c r="B42" s="5"/>
      <c r="C42" s="5"/>
      <c r="D42" s="6" t="str">
        <f t="shared" si="2"/>
        <v/>
      </c>
      <c r="E42" s="5" t="s">
        <v>41</v>
      </c>
      <c r="F42" s="5" t="s">
        <v>41</v>
      </c>
    </row>
    <row r="43" spans="1:6" ht="15.6">
      <c r="A43" s="2" t="s">
        <v>52</v>
      </c>
    </row>
    <row r="45" spans="1:6" ht="16.2">
      <c r="A45" s="1" t="s">
        <v>68</v>
      </c>
    </row>
    <row r="47" spans="1:6" ht="15.6">
      <c r="A47" s="9" t="s">
        <v>69</v>
      </c>
    </row>
    <row r="48" spans="1:6" ht="15.6">
      <c r="A48" s="9" t="s">
        <v>55</v>
      </c>
    </row>
    <row r="49" spans="1:1" ht="15.6">
      <c r="A49" s="9" t="s">
        <v>56</v>
      </c>
    </row>
    <row r="50" spans="1:1" ht="15.6">
      <c r="A50" s="9" t="s">
        <v>57</v>
      </c>
    </row>
    <row r="51" spans="1:1" ht="15.6">
      <c r="A51" s="9" t="s">
        <v>70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腳本表_92A</vt:lpstr>
      <vt:lpstr>腳本表_94A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2026-10-19T05:51:30Z</dcterms:created>
  <dcterms:modified xsi:type="dcterms:W3CDTF">2026-10-28T08:41:33Z</dcterms:modified>
</cp:coreProperties>
</file>