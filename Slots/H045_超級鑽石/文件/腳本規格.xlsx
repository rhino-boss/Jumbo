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腳本表_92A" sheetId="1" state="visible" r:id="rId1"/>
    <sheet xmlns:r="http://schemas.openxmlformats.org/officeDocument/2006/relationships" name="腳本表_94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1"/>
      <scheme val="minor"/>
    </font>
    <font>
      <name val="Courier New"/>
      <b val="1"/>
      <sz val="12"/>
    </font>
    <font>
      <name val="Courier New"/>
      <color rgb="FF7F7F00"/>
      <sz val="12"/>
    </font>
    <font>
      <name val="Courier New"/>
      <sz val="12"/>
    </font>
    <font>
      <name val="新細明體"/>
      <charset val="136"/>
      <family val="3"/>
      <sz val="9"/>
      <scheme val="minor"/>
    </font>
    <font>
      <name val="Courier New"/>
      <family val="3"/>
      <sz val="12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1" pivotButton="0" quotePrefix="0" xfId="0"/>
    <xf numFmtId="0" fontId="3" fillId="0" borderId="1" pivotButton="0" quotePrefix="0" xfId="0"/>
    <xf numFmtId="10" fontId="3" fillId="0" borderId="1" pivotButton="0" quotePrefix="0" xfId="0"/>
    <xf numFmtId="0" fontId="3" fillId="4" borderId="1" pivotButton="0" quotePrefix="0" xfId="0"/>
    <xf numFmtId="10" fontId="3" fillId="0" borderId="0" pivotButton="0" quotePrefix="0" xfId="0"/>
    <xf numFmtId="0" fontId="3" fillId="0" borderId="0" pivotButton="0" quotePrefix="0" xfId="0"/>
    <xf numFmtId="0" fontId="5" fillId="0" borderId="1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tabSelected="1" workbookViewId="0">
      <pane ySplit="3" topLeftCell="A9" activePane="bottomLeft" state="frozen"/>
      <selection pane="bottomLeft" activeCell="K22" sqref="K22"/>
    </sheetView>
  </sheetViews>
  <sheetFormatPr baseColWidth="8" defaultRowHeight="15"/>
  <cols>
    <col width="42.5" customWidth="1" min="1" max="1"/>
    <col width="31.375" customWidth="1" min="2" max="2"/>
    <col width="10" customWidth="1" min="3" max="3"/>
    <col width="15.125" customWidth="1" min="4" max="4"/>
    <col width="12.375" customWidth="1" min="5" max="5"/>
    <col width="7.125" customWidth="1" min="6" max="6"/>
    <col width="13.25" customWidth="1" min="7" max="7"/>
    <col width="14" customWidth="1" min="8" max="8"/>
    <col width="22" customWidth="1" min="9" max="9"/>
  </cols>
  <sheetData>
    <row r="1" ht="16.2" customHeight="1">
      <c r="A1" s="1" t="inlineStr">
        <is>
          <t>H045 超級鑽石（101015）表演腳本表 — 92A 版（待填）</t>
        </is>
      </c>
    </row>
    <row r="2" ht="15.6" customHeight="1">
      <c r="A2" s="2" t="inlineStr">
        <is>
          <t>版本 6.0.0.1｜依《專案需知／腳本規範》｜RNG 錄好後必須在 92A 正式 Config 重放驗證，得分＝表列 Multi</t>
        </is>
      </c>
    </row>
    <row r="3"/>
    <row r="4" ht="16.2" customHeight="1">
      <c r="A4" s="3" t="inlineStr">
        <is>
          <t>一、新手體驗</t>
        </is>
      </c>
    </row>
    <row r="5" ht="16.2" customHeight="1">
      <c r="A5" s="4" t="inlineStr">
        <is>
          <t>腳本</t>
        </is>
      </c>
      <c r="B5" s="4" t="inlineStr">
        <is>
          <t>RNG</t>
        </is>
      </c>
      <c r="C5" s="4" t="inlineStr">
        <is>
          <t>Multi</t>
        </is>
      </c>
      <c r="D5" s="4" t="inlineStr">
        <is>
          <t>RTP</t>
        </is>
      </c>
      <c r="E5" s="4" t="inlineStr">
        <is>
          <t>抽選權重</t>
        </is>
      </c>
      <c r="F5" s="4" t="inlineStr">
        <is>
          <t>押注</t>
        </is>
      </c>
    </row>
    <row r="6" ht="15.6" customHeight="1">
      <c r="A6" s="5" t="inlineStr">
        <is>
          <t>新手體驗 NB Free Game A</t>
        </is>
      </c>
      <c r="B6" s="5" t="n"/>
      <c r="C6" s="5" t="n"/>
      <c r="D6" s="6">
        <f>IF(C6="","",C6/F6)</f>
        <v/>
      </c>
      <c r="E6" s="7" t="n">
        <v>1</v>
      </c>
      <c r="F6" s="5" t="n">
        <v>1</v>
      </c>
    </row>
    <row r="7" ht="15.6" customHeight="1">
      <c r="A7" s="5" t="inlineStr">
        <is>
          <t>新手體驗 NB Free Game B</t>
        </is>
      </c>
      <c r="B7" s="5" t="n"/>
      <c r="C7" s="5" t="n"/>
      <c r="D7" s="6">
        <f>IF(C7="","",C7/F7)</f>
        <v/>
      </c>
      <c r="E7" s="7" t="n">
        <v>1</v>
      </c>
      <c r="F7" s="5" t="n">
        <v>1</v>
      </c>
    </row>
    <row r="8" ht="15.6" customHeight="1">
      <c r="A8" s="5" t="inlineStr">
        <is>
          <t>新手體驗 NB Jackpot Game A</t>
        </is>
      </c>
      <c r="B8" s="5" t="n"/>
      <c r="C8" s="5" t="n"/>
      <c r="D8" s="6">
        <f>IF(C8="","",C8/F8)</f>
        <v/>
      </c>
      <c r="E8" s="7" t="n">
        <v>1</v>
      </c>
      <c r="F8" s="5" t="n">
        <v>1</v>
      </c>
    </row>
    <row r="9" ht="15.6" customHeight="1">
      <c r="A9" s="5" t="inlineStr">
        <is>
          <t>新手體驗 NB Jackpot Game B</t>
        </is>
      </c>
      <c r="B9" s="5" t="n"/>
      <c r="C9" s="5" t="n"/>
      <c r="D9" s="6">
        <f>IF(C9="","",C9/F9)</f>
        <v/>
      </c>
      <c r="E9" s="7" t="n">
        <v>1</v>
      </c>
      <c r="F9" s="5" t="n">
        <v>1</v>
      </c>
    </row>
    <row r="10" ht="15.6" customHeight="1">
      <c r="A10" s="5" t="inlineStr">
        <is>
          <t>新手體驗 EB Free Game A</t>
        </is>
      </c>
      <c r="B10" s="5" t="n"/>
      <c r="C10" s="5" t="n"/>
      <c r="D10" s="6">
        <f>IF(C10="","",C10/F10)</f>
        <v/>
      </c>
      <c r="E10" s="7" t="n">
        <v>1</v>
      </c>
      <c r="F10" s="5" t="n">
        <v>2</v>
      </c>
    </row>
    <row r="11" ht="15.6" customHeight="1">
      <c r="A11" s="5" t="inlineStr">
        <is>
          <t>新手體驗 EB Free Game B</t>
        </is>
      </c>
      <c r="B11" s="5" t="n"/>
      <c r="C11" s="5" t="n"/>
      <c r="D11" s="6">
        <f>IF(C11="","",C11/F11)</f>
        <v/>
      </c>
      <c r="E11" s="7" t="n">
        <v>1</v>
      </c>
      <c r="F11" s="5" t="n">
        <v>2</v>
      </c>
    </row>
    <row r="12" ht="15.6" customHeight="1">
      <c r="A12" s="5" t="inlineStr">
        <is>
          <t>新手體驗 EB Jackpot Game A</t>
        </is>
      </c>
      <c r="B12" s="5" t="n"/>
      <c r="C12" s="5" t="n"/>
      <c r="D12" s="6">
        <f>IF(C12="","",C12/F12)</f>
        <v/>
      </c>
      <c r="E12" s="7" t="n">
        <v>1</v>
      </c>
      <c r="F12" s="5" t="n">
        <v>2</v>
      </c>
    </row>
    <row r="13" ht="15.6" customHeight="1">
      <c r="A13" s="5" t="inlineStr">
        <is>
          <t>新手體驗 EB Jackpot Game B</t>
        </is>
      </c>
      <c r="B13" s="5" t="n"/>
      <c r="C13" s="5" t="n"/>
      <c r="D13" s="6">
        <f>IF(C13="","",C13/F13)</f>
        <v/>
      </c>
      <c r="E13" s="7" t="n">
        <v>1</v>
      </c>
      <c r="F13" s="5" t="n">
        <v>2</v>
      </c>
    </row>
    <row r="14" ht="15.6" customHeight="1">
      <c r="A14" s="2" t="inlineStr">
        <is>
          <t>• 抽選權重固定＝1；押注 NB＝1、EB＝2；RTP＝Multi÷押注。同名 A／B 兩支等權重擇一。</t>
        </is>
      </c>
    </row>
    <row r="15" ht="15.6" customHeight="1">
      <c r="A15" s="2" t="inlineStr">
        <is>
          <t>• Free Game 體驗＝觸發 3 顆以上 [C1] 進 FG（10 把）的完整表演；Jackpot Game 體驗＝OP Jackpot 12 選 3 小遊戲表演。</t>
        </is>
      </c>
    </row>
    <row r="16" ht="15.6" customHeight="1">
      <c r="A16" s="2" t="inlineStr">
        <is>
          <t>• 新手體驗不含 BF。新手權重 92A／94A／92A_Bet100 三份相同，RNG 可跨版共用（須各自重放確認）。</t>
        </is>
      </c>
    </row>
    <row r="17"/>
    <row r="18" ht="16.2" customHeight="1">
      <c r="A18" s="3" t="inlineStr">
        <is>
          <t>二、Buy Feature（押注 50）</t>
        </is>
      </c>
    </row>
    <row r="19" ht="16.2" customHeight="1">
      <c r="A19" s="4" t="inlineStr">
        <is>
          <t>腳本</t>
        </is>
      </c>
      <c r="B19" s="4" t="inlineStr">
        <is>
          <t>RNG</t>
        </is>
      </c>
      <c r="C19" s="4" t="inlineStr">
        <is>
          <t>Multi</t>
        </is>
      </c>
      <c r="D19" s="4" t="inlineStr">
        <is>
          <t>RTP</t>
        </is>
      </c>
      <c r="E19" s="4" t="inlineStr">
        <is>
          <t>抽選權重</t>
        </is>
      </c>
      <c r="F19" s="4" t="inlineStr">
        <is>
          <t>押注</t>
        </is>
      </c>
    </row>
    <row r="20" ht="15.6" customHeight="1">
      <c r="A20" s="5" t="inlineStr">
        <is>
          <t>Buy Feature A1 中Bet</t>
        </is>
      </c>
      <c r="B20" s="10" t="n"/>
      <c r="C20" s="5" t="n"/>
      <c r="D20" s="6">
        <f>IF(C20="","",C20/F20)</f>
        <v/>
      </c>
      <c r="E20" s="5" t="n"/>
      <c r="F20" s="5" t="inlineStr">
        <is>
          <t>50</t>
        </is>
      </c>
    </row>
    <row r="21" ht="15.6" customHeight="1">
      <c r="A21" s="5" t="inlineStr">
        <is>
          <t>Buy Feature A2 中Bet</t>
        </is>
      </c>
      <c r="B21" s="10" t="n"/>
      <c r="C21" s="5" t="n"/>
      <c r="D21" s="6">
        <f>IF(C21="","",C21/F21)</f>
        <v/>
      </c>
      <c r="E21" s="5" t="n"/>
      <c r="F21" s="5" t="inlineStr">
        <is>
          <t>50</t>
        </is>
      </c>
    </row>
    <row r="22" ht="15.6" customHeight="1">
      <c r="A22" s="5" t="inlineStr">
        <is>
          <t>Buy Feature A3 中Bet</t>
        </is>
      </c>
      <c r="B22" s="10" t="n"/>
      <c r="C22" s="5" t="n"/>
      <c r="D22" s="6">
        <f>IF(C22="","",C22/F22)</f>
        <v/>
      </c>
      <c r="E22" s="5" t="n"/>
      <c r="F22" s="5" t="inlineStr">
        <is>
          <t>50</t>
        </is>
      </c>
      <c r="H22" s="8">
        <f>IFERROR(SUMPRODUCT(D20:D22,E20:E22)/SUM(E20:E22),"")</f>
        <v/>
      </c>
      <c r="I22" s="9" t="inlineStr">
        <is>
          <t>← 中 Bet（92 版） 加權 RTP</t>
        </is>
      </c>
    </row>
    <row r="23" ht="15.6" customHeight="1">
      <c r="A23" s="5" t="inlineStr">
        <is>
          <t>Buy Feature A1 大Bet</t>
        </is>
      </c>
      <c r="B23" s="10" t="n"/>
      <c r="C23" s="5" t="n"/>
      <c r="D23" s="6">
        <f>IF(C23="","",C23/F23)</f>
        <v/>
      </c>
      <c r="E23" s="5" t="n"/>
      <c r="F23" s="5" t="inlineStr">
        <is>
          <t>50</t>
        </is>
      </c>
    </row>
    <row r="24" ht="15.6" customHeight="1">
      <c r="A24" s="5" t="inlineStr">
        <is>
          <t>Buy Feature A2 大Bet</t>
        </is>
      </c>
      <c r="B24" s="10" t="n"/>
      <c r="C24" s="5" t="n"/>
      <c r="D24" s="6">
        <f>IF(C24="","",C24/F24)</f>
        <v/>
      </c>
      <c r="E24" s="5" t="n"/>
      <c r="F24" s="5" t="inlineStr">
        <is>
          <t>50</t>
        </is>
      </c>
    </row>
    <row r="25" ht="15.6" customHeight="1">
      <c r="A25" s="5" t="inlineStr">
        <is>
          <t>Buy Feature A3 大Bet</t>
        </is>
      </c>
      <c r="B25" s="10" t="n"/>
      <c r="C25" s="5" t="n"/>
      <c r="D25" s="6">
        <f>IF(C25="","",C25/F25)</f>
        <v/>
      </c>
      <c r="E25" s="5" t="n"/>
      <c r="F25" s="5" t="inlineStr">
        <is>
          <t>50</t>
        </is>
      </c>
      <c r="H25" s="8">
        <f>IFERROR(SUMPRODUCT(D23:D25,E23:E25)/SUM(E23:E25),"")</f>
        <v/>
      </c>
      <c r="I25" s="9" t="inlineStr">
        <is>
          <t>← 大 Bet（92_Bet100） 加權 RTP</t>
        </is>
      </c>
    </row>
    <row r="26" ht="15.6" customHeight="1">
      <c r="A26" s="5" t="inlineStr">
        <is>
          <t>Buy Feature B1 中Bet</t>
        </is>
      </c>
      <c r="B26" s="10" t="n"/>
      <c r="C26" s="5" t="n"/>
      <c r="D26" s="6">
        <f>IF(C26="","",C26/F26)</f>
        <v/>
      </c>
      <c r="E26" s="5" t="n"/>
      <c r="F26" s="5" t="inlineStr">
        <is>
          <t>50</t>
        </is>
      </c>
    </row>
    <row r="27" ht="15.6" customHeight="1">
      <c r="A27" s="5" t="inlineStr">
        <is>
          <t>Buy Feature B2 中Bet</t>
        </is>
      </c>
      <c r="B27" s="10" t="n"/>
      <c r="C27" s="5" t="n"/>
      <c r="D27" s="6">
        <f>IF(C27="","",C27/F27)</f>
        <v/>
      </c>
      <c r="E27" s="5" t="n"/>
      <c r="F27" s="5" t="inlineStr">
        <is>
          <t>50</t>
        </is>
      </c>
    </row>
    <row r="28" ht="15.6" customHeight="1">
      <c r="A28" s="5" t="inlineStr">
        <is>
          <t>Buy Feature B3 中Bet</t>
        </is>
      </c>
      <c r="B28" s="10" t="n"/>
      <c r="C28" s="5" t="n"/>
      <c r="D28" s="6">
        <f>IF(C28="","",C28/F28)</f>
        <v/>
      </c>
      <c r="E28" s="5" t="n"/>
      <c r="F28" s="5" t="inlineStr">
        <is>
          <t>50</t>
        </is>
      </c>
      <c r="H28" s="8">
        <f>IFERROR(SUMPRODUCT(D26:D28,E26:E28)/SUM(E26:E28),"")</f>
        <v/>
      </c>
      <c r="I28" s="9" t="inlineStr">
        <is>
          <t>← 中 Bet（92 版） 加權 RTP</t>
        </is>
      </c>
    </row>
    <row r="29" ht="15.6" customHeight="1">
      <c r="A29" s="5" t="inlineStr">
        <is>
          <t>Buy Feature B1 大Bet</t>
        </is>
      </c>
      <c r="B29" s="10" t="n"/>
      <c r="C29" s="5" t="n"/>
      <c r="D29" s="6">
        <f>IF(C29="","",C29/F29)</f>
        <v/>
      </c>
      <c r="E29" s="5" t="n"/>
      <c r="F29" s="5" t="inlineStr">
        <is>
          <t>50</t>
        </is>
      </c>
    </row>
    <row r="30" ht="15.6" customHeight="1">
      <c r="A30" s="5" t="inlineStr">
        <is>
          <t>Buy Feature B2 大Bet</t>
        </is>
      </c>
      <c r="B30" s="10" t="n"/>
      <c r="C30" s="5" t="n"/>
      <c r="D30" s="6">
        <f>IF(C30="","",C30/F30)</f>
        <v/>
      </c>
      <c r="E30" s="5" t="n"/>
      <c r="F30" s="5" t="inlineStr">
        <is>
          <t>50</t>
        </is>
      </c>
    </row>
    <row r="31" ht="15.6" customHeight="1">
      <c r="A31" s="5" t="inlineStr">
        <is>
          <t>Buy Feature B3 大Bet</t>
        </is>
      </c>
      <c r="B31" s="10" t="n"/>
      <c r="C31" s="5" t="n"/>
      <c r="D31" s="6">
        <f>IF(C31="","",C31/F31)</f>
        <v/>
      </c>
      <c r="E31" s="5" t="n"/>
      <c r="F31" s="5" t="inlineStr">
        <is>
          <t>50</t>
        </is>
      </c>
      <c r="H31" s="8">
        <f>IFERROR(SUMPRODUCT(D29:D31,E29:E31)/SUM(E29:E31),"")</f>
        <v/>
      </c>
      <c r="I31" s="9" t="inlineStr">
        <is>
          <t>← 大 Bet（92_Bet100） 加權 RTP</t>
        </is>
      </c>
    </row>
    <row r="32" ht="15.6" customHeight="1">
      <c r="A32" s="2" t="inlineStr">
        <is>
          <t>• 三檔＝高／中／低 RTP；權重必須滿足 Σ(RTP×權重)÷Σ(權重)＝92.50%（H 欄自動驗算，小數 2 位精確）。</t>
        </is>
      </c>
    </row>
    <row r="33" ht="15.6" customHeight="1">
      <c r="A33" s="2" t="inlineStr">
        <is>
          <t>• RTP＝Multi÷50；A／B 兩組為表演變化：先等權重抽 A／B，再依權重抽 1～3。</t>
        </is>
      </c>
    </row>
    <row r="34" ht="15.6" customHeight="1">
      <c r="A34" s="2" t="inlineStr">
        <is>
          <t>• 押注分層：小 Bet（實際押注 &lt; $2）用 94 版；中 Bet 用 92 版；大 Bet（基礎押注 &gt; $100）用 92_Bet100。</t>
        </is>
      </c>
    </row>
    <row r="35"/>
    <row r="36" ht="16.2" customHeight="1">
      <c r="A36" s="3" t="inlineStr">
        <is>
          <t>三、新手 NB Free Spin 系統（FG 10 把）</t>
        </is>
      </c>
    </row>
    <row r="37" ht="16.2" customHeight="1">
      <c r="A37" s="4" t="inlineStr">
        <is>
          <t>腳本</t>
        </is>
      </c>
      <c r="B37" s="4" t="inlineStr">
        <is>
          <t>RNG</t>
        </is>
      </c>
      <c r="C37" s="4" t="inlineStr">
        <is>
          <t>Multi</t>
        </is>
      </c>
      <c r="D37" s="4" t="inlineStr">
        <is>
          <t>RTP</t>
        </is>
      </c>
      <c r="E37" s="4" t="inlineStr">
        <is>
          <t>抽選權重</t>
        </is>
      </c>
      <c r="F37" s="4" t="inlineStr">
        <is>
          <t>押注</t>
        </is>
      </c>
    </row>
    <row r="38" ht="15.6" customHeight="1">
      <c r="A38" s="5" t="inlineStr">
        <is>
          <t>Free Spin 0-1x</t>
        </is>
      </c>
      <c r="B38" s="5" t="n"/>
      <c r="C38" s="5" t="n"/>
      <c r="D38" s="6">
        <f>IF(C38="","",C38/F38)</f>
        <v/>
      </c>
      <c r="E38" s="5" t="inlineStr">
        <is>
          <t>1</t>
        </is>
      </c>
      <c r="F38" s="5" t="inlineStr">
        <is>
          <t>1</t>
        </is>
      </c>
    </row>
    <row r="39" ht="15.6" customHeight="1">
      <c r="A39" s="5" t="inlineStr">
        <is>
          <t>Free Spin 9x 01</t>
        </is>
      </c>
      <c r="B39" s="5" t="n"/>
      <c r="C39" s="5" t="n"/>
      <c r="D39" s="6">
        <f>IF(C39="","",C39/F39)</f>
        <v/>
      </c>
      <c r="E39" s="5" t="inlineStr">
        <is>
          <t>1</t>
        </is>
      </c>
      <c r="F39" s="5" t="inlineStr">
        <is>
          <t>1</t>
        </is>
      </c>
    </row>
    <row r="40" ht="15.6" customHeight="1">
      <c r="A40" s="5" t="inlineStr">
        <is>
          <t>Free Spin 9x 02</t>
        </is>
      </c>
      <c r="B40" s="5" t="n"/>
      <c r="C40" s="5" t="n"/>
      <c r="D40" s="6">
        <f>IF(C40="","",C40/F40)</f>
        <v/>
      </c>
      <c r="E40" s="5" t="inlineStr">
        <is>
          <t>1</t>
        </is>
      </c>
      <c r="F40" s="5" t="inlineStr">
        <is>
          <t>1</t>
        </is>
      </c>
    </row>
    <row r="41" ht="15.6" customHeight="1">
      <c r="A41" s="5" t="inlineStr">
        <is>
          <t>Free Spin 9x 03</t>
        </is>
      </c>
      <c r="B41" s="5" t="n"/>
      <c r="C41" s="5" t="n"/>
      <c r="D41" s="6">
        <f>IF(C41="","",C41/F41)</f>
        <v/>
      </c>
      <c r="E41" s="5" t="inlineStr">
        <is>
          <t>1</t>
        </is>
      </c>
      <c r="F41" s="5" t="inlineStr">
        <is>
          <t>1</t>
        </is>
      </c>
    </row>
    <row r="42">
      <c r="A42" s="5" t="inlineStr">
        <is>
          <t>Free Spin 9x 04</t>
        </is>
      </c>
      <c r="B42" s="5" t="n"/>
      <c r="C42" s="5" t="n"/>
      <c r="D42" s="6">
        <f>IF(C42="","",C42/F42)</f>
        <v/>
      </c>
      <c r="E42" s="5" t="inlineStr">
        <is>
          <t>1</t>
        </is>
      </c>
      <c r="F42" s="5" t="inlineStr">
        <is>
          <t>1</t>
        </is>
      </c>
    </row>
    <row r="43" ht="16.2" customHeight="1">
      <c r="A43" s="5" t="inlineStr">
        <is>
          <t>Free Spin 9x 05</t>
        </is>
      </c>
      <c r="B43" s="5" t="n"/>
      <c r="C43" s="5" t="n"/>
      <c r="D43" s="6">
        <f>IF(C43="","",C43/F43)</f>
        <v/>
      </c>
      <c r="E43" s="5" t="inlineStr">
        <is>
          <t>1</t>
        </is>
      </c>
      <c r="F43" s="5" t="inlineStr">
        <is>
          <t>1</t>
        </is>
      </c>
    </row>
    <row r="44">
      <c r="A44" s="5" t="inlineStr">
        <is>
          <t>Free Spin 9x 06</t>
        </is>
      </c>
      <c r="B44" s="5" t="n"/>
      <c r="C44" s="5" t="n"/>
      <c r="D44" s="6">
        <f>IF(C44="","",C44/F44)</f>
        <v/>
      </c>
      <c r="E44" s="5" t="inlineStr">
        <is>
          <t>1</t>
        </is>
      </c>
      <c r="F44" s="5" t="inlineStr">
        <is>
          <t>1</t>
        </is>
      </c>
    </row>
    <row r="45" ht="15.6" customHeight="1">
      <c r="A45" s="5" t="inlineStr">
        <is>
          <t>Free Spin 9x 07</t>
        </is>
      </c>
      <c r="B45" s="5" t="n"/>
      <c r="C45" s="5" t="n"/>
      <c r="D45" s="6">
        <f>IF(C45="","",C45/F45)</f>
        <v/>
      </c>
      <c r="E45" s="5" t="inlineStr">
        <is>
          <t>1</t>
        </is>
      </c>
      <c r="F45" s="5" t="inlineStr">
        <is>
          <t>1</t>
        </is>
      </c>
    </row>
    <row r="46" ht="15.6" customHeight="1">
      <c r="A46" s="5" t="inlineStr">
        <is>
          <t>Free Spin 9x 08</t>
        </is>
      </c>
      <c r="B46" s="5" t="n"/>
      <c r="C46" s="5" t="n"/>
      <c r="D46" s="6">
        <f>IF(C46="","",C46/F46)</f>
        <v/>
      </c>
      <c r="E46" s="5" t="inlineStr">
        <is>
          <t>1</t>
        </is>
      </c>
      <c r="F46" s="5" t="inlineStr">
        <is>
          <t>1</t>
        </is>
      </c>
    </row>
    <row r="47" ht="15.6" customHeight="1">
      <c r="A47" s="5" t="inlineStr">
        <is>
          <t>Free Spin 9x 09</t>
        </is>
      </c>
      <c r="B47" s="5" t="n"/>
      <c r="C47" s="5" t="n"/>
      <c r="D47" s="6">
        <f>IF(C47="","",C47/F47)</f>
        <v/>
      </c>
      <c r="E47" s="5" t="inlineStr">
        <is>
          <t>1</t>
        </is>
      </c>
      <c r="F47" s="5" t="inlineStr">
        <is>
          <t>1</t>
        </is>
      </c>
    </row>
    <row r="48" ht="15.6" customHeight="1">
      <c r="A48" s="5" t="inlineStr">
        <is>
          <t>Free Spin 9x 10</t>
        </is>
      </c>
      <c r="B48" s="5" t="n"/>
      <c r="C48" s="5" t="n"/>
      <c r="D48" s="6">
        <f>IF(C48="","",C48/F48)</f>
        <v/>
      </c>
      <c r="E48" s="5" t="inlineStr">
        <is>
          <t>1</t>
        </is>
      </c>
      <c r="F48" s="5" t="inlineStr">
        <is>
          <t>1</t>
        </is>
      </c>
    </row>
    <row r="49">
      <c r="A49" s="2" t="inlineStr">
        <is>
          <t>• 10 把中挑一把跑 0-1x、挑一把跑 9x（10 支等權重擇一，權重鎖死＝1，不得調整），其餘各把不中獎；整段合計約 10x。</t>
        </is>
      </c>
    </row>
    <row r="51">
      <c r="A51" s="1" t="inlineStr">
        <is>
          <t>合計：新手體驗 8＋Buy Feature 12（中 Bet 6＋大 Bet 6）＋Free Spin 系統 11</t>
        </is>
      </c>
    </row>
    <row r="53">
      <c r="A53" s="9" t="inlineStr">
        <is>
          <t>□ 每支 RNG 已在 92A（大 Bet 列在 92A_Bet100）正式 Config 重放驗證，結果＝表列 Multi</t>
        </is>
      </c>
    </row>
    <row r="54">
      <c r="A54" s="9" t="inlineStr">
        <is>
          <t>□ BF 各組加權整合＝92.50%（小數 2 位精確）</t>
        </is>
      </c>
    </row>
    <row r="55">
      <c r="A55" s="9" t="inlineStr">
        <is>
          <t>□ 新手體驗 NB／EB 各 Free Game A／B、Jackpot Game A／B 齊全，權重＝1</t>
        </is>
      </c>
    </row>
    <row r="56">
      <c r="A56" s="9" t="inlineStr">
        <is>
          <t>□ Free Spin 系統：9x 腳本 10 支、權重全部＝1；0-1x 與 9x 各佔一把、其餘不中獎</t>
        </is>
      </c>
    </row>
    <row r="57">
      <c r="A57" s="9" t="inlineStr">
        <is>
          <t>□ 腳本倍率未超上限（92 版：BG 400x、FG 20,000x；大 Bet（92_Bet100）：BG 200x、FG／BF 1,000x）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.5" customWidth="1" min="1" max="1"/>
    <col width="90" customWidth="1" min="2" max="2"/>
    <col width="10" customWidth="1" min="3" max="3"/>
    <col width="15.125" customWidth="1" min="4" max="4"/>
    <col width="12.375" customWidth="1" min="5" max="5"/>
    <col width="7.125" customWidth="1" min="6" max="6"/>
    <col width="13.25" customWidth="1" min="7" max="7"/>
    <col width="14" customWidth="1" min="8" max="8"/>
    <col width="22" customWidth="1" min="9" max="9"/>
  </cols>
  <sheetData>
    <row r="1" ht="16.2" customHeight="1">
      <c r="A1" s="1" t="inlineStr">
        <is>
          <t>H045 超級鑽石（101015）表演腳本表 — 94A 版（待填）</t>
        </is>
      </c>
    </row>
    <row r="2" ht="15.6" customHeight="1">
      <c r="A2" s="2" t="inlineStr">
        <is>
          <t>版本 6.0.0.1｜依《專案需知／腳本規範》｜RNG 錄好後必須在 94A 正式 Config 重放驗證，得分＝表列 Multi</t>
        </is>
      </c>
    </row>
    <row r="3"/>
    <row r="4" ht="16.2" customHeight="1">
      <c r="A4" s="3" t="inlineStr">
        <is>
          <t>一、新手體驗</t>
        </is>
      </c>
    </row>
    <row r="5" ht="16.2" customHeight="1">
      <c r="A5" s="4" t="inlineStr">
        <is>
          <t>腳本</t>
        </is>
      </c>
      <c r="B5" s="4" t="inlineStr">
        <is>
          <t>RNG</t>
        </is>
      </c>
      <c r="C5" s="4" t="inlineStr">
        <is>
          <t>Multi</t>
        </is>
      </c>
      <c r="D5" s="4" t="inlineStr">
        <is>
          <t>RTP</t>
        </is>
      </c>
      <c r="E5" s="4" t="inlineStr">
        <is>
          <t>抽選權重</t>
        </is>
      </c>
      <c r="F5" s="4" t="inlineStr">
        <is>
          <t>押注</t>
        </is>
      </c>
    </row>
    <row r="6" ht="15.6" customHeight="1">
      <c r="A6" s="5" t="inlineStr">
        <is>
          <t>新手體驗 NB Free Game A</t>
        </is>
      </c>
      <c r="B6" s="5" t="n"/>
      <c r="C6" s="5" t="n"/>
      <c r="D6" s="6">
        <f>IF(C6="","",C6/F6)</f>
        <v/>
      </c>
      <c r="E6" s="7" t="n">
        <v>1</v>
      </c>
      <c r="F6" s="5" t="n">
        <v>1</v>
      </c>
    </row>
    <row r="7" ht="15.6" customHeight="1">
      <c r="A7" s="5" t="inlineStr">
        <is>
          <t>新手體驗 NB Free Game B</t>
        </is>
      </c>
      <c r="B7" s="5" t="n"/>
      <c r="C7" s="5" t="n"/>
      <c r="D7" s="6">
        <f>IF(C7="","",C7/F7)</f>
        <v/>
      </c>
      <c r="E7" s="7" t="n">
        <v>1</v>
      </c>
      <c r="F7" s="5" t="n">
        <v>1</v>
      </c>
    </row>
    <row r="8" ht="15.6" customHeight="1">
      <c r="A8" s="5" t="inlineStr">
        <is>
          <t>新手體驗 NB Jackpot Game A</t>
        </is>
      </c>
      <c r="B8" s="5" t="n"/>
      <c r="C8" s="5" t="n"/>
      <c r="D8" s="6">
        <f>IF(C8="","",C8/F8)</f>
        <v/>
      </c>
      <c r="E8" s="7" t="n">
        <v>1</v>
      </c>
      <c r="F8" s="5" t="n">
        <v>1</v>
      </c>
    </row>
    <row r="9" ht="15.6" customHeight="1">
      <c r="A9" s="5" t="inlineStr">
        <is>
          <t>新手體驗 NB Jackpot Game B</t>
        </is>
      </c>
      <c r="B9" s="5" t="n"/>
      <c r="C9" s="5" t="n"/>
      <c r="D9" s="6">
        <f>IF(C9="","",C9/F9)</f>
        <v/>
      </c>
      <c r="E9" s="7" t="n">
        <v>1</v>
      </c>
      <c r="F9" s="5" t="n">
        <v>1</v>
      </c>
    </row>
    <row r="10" ht="15.6" customHeight="1">
      <c r="A10" s="5" t="inlineStr">
        <is>
          <t>新手體驗 EB Free Game A</t>
        </is>
      </c>
      <c r="B10" s="5" t="n"/>
      <c r="C10" s="5" t="n"/>
      <c r="D10" s="6">
        <f>IF(C10="","",C10/F10)</f>
        <v/>
      </c>
      <c r="E10" s="7" t="n">
        <v>1</v>
      </c>
      <c r="F10" s="5" t="n">
        <v>2</v>
      </c>
    </row>
    <row r="11" ht="15.6" customHeight="1">
      <c r="A11" s="5" t="inlineStr">
        <is>
          <t>新手體驗 EB Free Game B</t>
        </is>
      </c>
      <c r="B11" s="5" t="n"/>
      <c r="C11" s="5" t="n"/>
      <c r="D11" s="6">
        <f>IF(C11="","",C11/F11)</f>
        <v/>
      </c>
      <c r="E11" s="7" t="n">
        <v>1</v>
      </c>
      <c r="F11" s="5" t="n">
        <v>2</v>
      </c>
    </row>
    <row r="12" ht="15.6" customHeight="1">
      <c r="A12" s="5" t="inlineStr">
        <is>
          <t>新手體驗 EB Jackpot Game A</t>
        </is>
      </c>
      <c r="B12" s="5" t="n"/>
      <c r="C12" s="5" t="n"/>
      <c r="D12" s="6">
        <f>IF(C12="","",C12/F12)</f>
        <v/>
      </c>
      <c r="E12" s="7" t="n">
        <v>1</v>
      </c>
      <c r="F12" s="5" t="n">
        <v>2</v>
      </c>
    </row>
    <row r="13" ht="15.6" customHeight="1">
      <c r="A13" s="5" t="inlineStr">
        <is>
          <t>新手體驗 EB Jackpot Game B</t>
        </is>
      </c>
      <c r="B13" s="5" t="n"/>
      <c r="C13" s="5" t="n"/>
      <c r="D13" s="6">
        <f>IF(C13="","",C13/F13)</f>
        <v/>
      </c>
      <c r="E13" s="7" t="n">
        <v>1</v>
      </c>
      <c r="F13" s="5" t="n">
        <v>2</v>
      </c>
    </row>
    <row r="14" ht="15.6" customHeight="1">
      <c r="A14" s="2" t="inlineStr">
        <is>
          <t>• 抽選權重固定＝1；押注 NB＝1、EB＝2；RTP＝Multi÷押注。同名 A／B 兩支等權重擇一。</t>
        </is>
      </c>
    </row>
    <row r="15" ht="15.6" customHeight="1">
      <c r="A15" s="2" t="inlineStr">
        <is>
          <t>• Free Game 體驗＝觸發 3 顆以上 [C1] 進 FG（10 把）的完整表演；Jackpot Game 體驗＝OP Jackpot 12 選 3 小遊戲表演。</t>
        </is>
      </c>
    </row>
    <row r="16" ht="15.6" customHeight="1">
      <c r="A16" s="2" t="inlineStr">
        <is>
          <t>• 新手體驗不含 BF。新手權重 92A／94A／92A_Bet100 三份相同，RNG 可跨版共用（須各自重放確認）。</t>
        </is>
      </c>
    </row>
    <row r="17"/>
    <row r="18" ht="16.2" customHeight="1">
      <c r="A18" s="3" t="inlineStr">
        <is>
          <t>二、Buy Feature（押注 50）</t>
        </is>
      </c>
    </row>
    <row r="19" ht="16.2" customHeight="1">
      <c r="A19" s="4" t="inlineStr">
        <is>
          <t>腳本</t>
        </is>
      </c>
      <c r="B19" s="4" t="inlineStr">
        <is>
          <t>RNG</t>
        </is>
      </c>
      <c r="C19" s="4" t="inlineStr">
        <is>
          <t>Multi</t>
        </is>
      </c>
      <c r="D19" s="4" t="inlineStr">
        <is>
          <t>RTP</t>
        </is>
      </c>
      <c r="E19" s="4" t="inlineStr">
        <is>
          <t>抽選權重</t>
        </is>
      </c>
      <c r="F19" s="4" t="inlineStr">
        <is>
          <t>押注</t>
        </is>
      </c>
    </row>
    <row r="20" ht="15.6" customHeight="1">
      <c r="A20" s="5" t="inlineStr">
        <is>
          <t>Buy Feature A1</t>
        </is>
      </c>
      <c r="B20" s="5" t="n"/>
      <c r="C20" s="5" t="n"/>
      <c r="D20" s="6">
        <f>IF(C20="","",C20/F20)</f>
        <v/>
      </c>
      <c r="E20" s="5" t="n"/>
      <c r="F20" s="5" t="inlineStr">
        <is>
          <t>50</t>
        </is>
      </c>
    </row>
    <row r="21" ht="15.6" customHeight="1">
      <c r="A21" s="5" t="inlineStr">
        <is>
          <t>Buy Feature A2</t>
        </is>
      </c>
      <c r="B21" s="5" t="n"/>
      <c r="C21" s="5" t="n"/>
      <c r="D21" s="6">
        <f>IF(C21="","",C21/F21)</f>
        <v/>
      </c>
      <c r="E21" s="5" t="n"/>
      <c r="F21" s="5" t="inlineStr">
        <is>
          <t>50</t>
        </is>
      </c>
    </row>
    <row r="22" ht="15.6" customHeight="1">
      <c r="A22" s="5" t="inlineStr">
        <is>
          <t>Buy Feature A3</t>
        </is>
      </c>
      <c r="B22" s="5" t="n"/>
      <c r="C22" s="5" t="n"/>
      <c r="D22" s="6">
        <f>IF(C22="","",C22/F22)</f>
        <v/>
      </c>
      <c r="E22" s="5" t="n"/>
      <c r="F22" s="5" t="inlineStr">
        <is>
          <t>50</t>
        </is>
      </c>
      <c r="H22" s="8">
        <f>IFERROR(SUMPRODUCT(D20:D22,E20:E22)/SUM(E20:E22),"")</f>
        <v/>
      </c>
      <c r="I22" s="9" t="inlineStr">
        <is>
          <t>← 小 Bet（94 版） 加權 RTP</t>
        </is>
      </c>
    </row>
    <row r="23" ht="15.6" customHeight="1">
      <c r="A23" s="5" t="inlineStr">
        <is>
          <t>Buy Feature B1</t>
        </is>
      </c>
      <c r="B23" s="5" t="n"/>
      <c r="C23" s="5" t="n"/>
      <c r="D23" s="6">
        <f>IF(C23="","",C23/F23)</f>
        <v/>
      </c>
      <c r="E23" s="5" t="n"/>
      <c r="F23" s="5" t="inlineStr">
        <is>
          <t>50</t>
        </is>
      </c>
    </row>
    <row r="24" ht="15.6" customHeight="1">
      <c r="A24" s="5" t="inlineStr">
        <is>
          <t>Buy Feature B2</t>
        </is>
      </c>
      <c r="B24" s="5" t="n"/>
      <c r="C24" s="5" t="n"/>
      <c r="D24" s="6">
        <f>IF(C24="","",C24/F24)</f>
        <v/>
      </c>
      <c r="E24" s="5" t="n"/>
      <c r="F24" s="5" t="inlineStr">
        <is>
          <t>50</t>
        </is>
      </c>
    </row>
    <row r="25" ht="15.6" customHeight="1">
      <c r="A25" s="5" t="inlineStr">
        <is>
          <t>Buy Feature B3</t>
        </is>
      </c>
      <c r="B25" s="5" t="n"/>
      <c r="C25" s="5" t="n"/>
      <c r="D25" s="6">
        <f>IF(C25="","",C25/F25)</f>
        <v/>
      </c>
      <c r="E25" s="5" t="n"/>
      <c r="F25" s="5" t="inlineStr">
        <is>
          <t>50</t>
        </is>
      </c>
      <c r="H25" s="8">
        <f>IFERROR(SUMPRODUCT(D23:D25,E23:E25)/SUM(E23:E25),"")</f>
        <v/>
      </c>
      <c r="I25" s="9" t="inlineStr">
        <is>
          <t>← 小 Bet（94 版） 加權 RTP</t>
        </is>
      </c>
    </row>
    <row r="26" ht="15.6" customHeight="1">
      <c r="A26" s="2" t="inlineStr">
        <is>
          <t>• 三檔＝高／中／低 RTP；權重必須滿足 Σ(RTP×權重)÷Σ(權重)＝92.50%（H 欄自動驗算，小數 2 位精確）。</t>
        </is>
      </c>
    </row>
    <row r="27" ht="15.6" customHeight="1">
      <c r="A27" s="2" t="inlineStr">
        <is>
          <t>• RTP＝Multi÷50；A／B 兩組為表演變化：先等權重抽 A／B，再依權重抽 1～3。</t>
        </is>
      </c>
    </row>
    <row r="28" ht="15.6" customHeight="1">
      <c r="A28" s="2" t="inlineStr">
        <is>
          <t>• 押注分層：小 Bet（實際押注 &lt; $2）用 94 版；中 Bet 用 92 版；大 Bet（基礎押注 &gt; $100）用 92_Bet100。</t>
        </is>
      </c>
    </row>
    <row r="29"/>
    <row r="30" ht="16.2" customHeight="1">
      <c r="A30" s="3" t="inlineStr">
        <is>
          <t>三、新手 NB Free Spin 系統（FG 10 把）</t>
        </is>
      </c>
    </row>
    <row r="31" ht="16.2" customHeight="1">
      <c r="A31" s="4" t="inlineStr">
        <is>
          <t>腳本</t>
        </is>
      </c>
      <c r="B31" s="4" t="inlineStr">
        <is>
          <t>RNG</t>
        </is>
      </c>
      <c r="C31" s="4" t="inlineStr">
        <is>
          <t>Multi</t>
        </is>
      </c>
      <c r="D31" s="4" t="inlineStr">
        <is>
          <t>RTP</t>
        </is>
      </c>
      <c r="E31" s="4" t="inlineStr">
        <is>
          <t>抽選權重</t>
        </is>
      </c>
      <c r="F31" s="4" t="inlineStr">
        <is>
          <t>押注</t>
        </is>
      </c>
    </row>
    <row r="32" ht="15.6" customHeight="1">
      <c r="A32" s="5" t="inlineStr">
        <is>
          <t>Free Spin 0-1x</t>
        </is>
      </c>
      <c r="B32" s="5" t="n"/>
      <c r="C32" s="5" t="n"/>
      <c r="D32" s="6">
        <f>IF(C32="","",C32/F32)</f>
        <v/>
      </c>
      <c r="E32" s="5" t="inlineStr">
        <is>
          <t>1</t>
        </is>
      </c>
      <c r="F32" s="5" t="inlineStr">
        <is>
          <t>1</t>
        </is>
      </c>
    </row>
    <row r="33" ht="15.6" customHeight="1">
      <c r="A33" s="5" t="inlineStr">
        <is>
          <t>Free Spin 9x 01</t>
        </is>
      </c>
      <c r="B33" s="5" t="n"/>
      <c r="C33" s="5" t="n"/>
      <c r="D33" s="6">
        <f>IF(C33="","",C33/F33)</f>
        <v/>
      </c>
      <c r="E33" s="5" t="inlineStr">
        <is>
          <t>1</t>
        </is>
      </c>
      <c r="F33" s="5" t="inlineStr">
        <is>
          <t>1</t>
        </is>
      </c>
    </row>
    <row r="34" ht="15.6" customHeight="1">
      <c r="A34" s="5" t="inlineStr">
        <is>
          <t>Free Spin 9x 02</t>
        </is>
      </c>
      <c r="B34" s="5" t="n"/>
      <c r="C34" s="5" t="n"/>
      <c r="D34" s="6">
        <f>IF(C34="","",C34/F34)</f>
        <v/>
      </c>
      <c r="E34" s="5" t="inlineStr">
        <is>
          <t>1</t>
        </is>
      </c>
      <c r="F34" s="5" t="inlineStr">
        <is>
          <t>1</t>
        </is>
      </c>
    </row>
    <row r="35" ht="15.6" customHeight="1">
      <c r="A35" s="5" t="inlineStr">
        <is>
          <t>Free Spin 9x 03</t>
        </is>
      </c>
      <c r="B35" s="5" t="n"/>
      <c r="C35" s="5" t="n"/>
      <c r="D35" s="6">
        <f>IF(C35="","",C35/F35)</f>
        <v/>
      </c>
      <c r="E35" s="5" t="inlineStr">
        <is>
          <t>1</t>
        </is>
      </c>
      <c r="F35" s="5" t="inlineStr">
        <is>
          <t>1</t>
        </is>
      </c>
    </row>
    <row r="36">
      <c r="A36" s="5" t="inlineStr">
        <is>
          <t>Free Spin 9x 04</t>
        </is>
      </c>
      <c r="B36" s="5" t="n"/>
      <c r="C36" s="5" t="n"/>
      <c r="D36" s="6">
        <f>IF(C36="","",C36/F36)</f>
        <v/>
      </c>
      <c r="E36" s="5" t="inlineStr">
        <is>
          <t>1</t>
        </is>
      </c>
      <c r="F36" s="5" t="inlineStr">
        <is>
          <t>1</t>
        </is>
      </c>
    </row>
    <row r="37" ht="16.2" customHeight="1">
      <c r="A37" s="5" t="inlineStr">
        <is>
          <t>Free Spin 9x 05</t>
        </is>
      </c>
      <c r="B37" s="5" t="n"/>
      <c r="C37" s="5" t="n"/>
      <c r="D37" s="6">
        <f>IF(C37="","",C37/F37)</f>
        <v/>
      </c>
      <c r="E37" s="5" t="inlineStr">
        <is>
          <t>1</t>
        </is>
      </c>
      <c r="F37" s="5" t="inlineStr">
        <is>
          <t>1</t>
        </is>
      </c>
    </row>
    <row r="38">
      <c r="A38" s="5" t="inlineStr">
        <is>
          <t>Free Spin 9x 06</t>
        </is>
      </c>
      <c r="B38" s="5" t="n"/>
      <c r="C38" s="5" t="n"/>
      <c r="D38" s="6">
        <f>IF(C38="","",C38/F38)</f>
        <v/>
      </c>
      <c r="E38" s="5" t="inlineStr">
        <is>
          <t>1</t>
        </is>
      </c>
      <c r="F38" s="5" t="inlineStr">
        <is>
          <t>1</t>
        </is>
      </c>
    </row>
    <row r="39" ht="15.6" customHeight="1">
      <c r="A39" s="5" t="inlineStr">
        <is>
          <t>Free Spin 9x 07</t>
        </is>
      </c>
      <c r="B39" s="5" t="n"/>
      <c r="C39" s="5" t="n"/>
      <c r="D39" s="6">
        <f>IF(C39="","",C39/F39)</f>
        <v/>
      </c>
      <c r="E39" s="5" t="inlineStr">
        <is>
          <t>1</t>
        </is>
      </c>
      <c r="F39" s="5" t="inlineStr">
        <is>
          <t>1</t>
        </is>
      </c>
    </row>
    <row r="40" ht="15.6" customHeight="1">
      <c r="A40" s="5" t="inlineStr">
        <is>
          <t>Free Spin 9x 08</t>
        </is>
      </c>
      <c r="B40" s="5" t="n"/>
      <c r="C40" s="5" t="n"/>
      <c r="D40" s="6">
        <f>IF(C40="","",C40/F40)</f>
        <v/>
      </c>
      <c r="E40" s="5" t="inlineStr">
        <is>
          <t>1</t>
        </is>
      </c>
      <c r="F40" s="5" t="inlineStr">
        <is>
          <t>1</t>
        </is>
      </c>
    </row>
    <row r="41" ht="15.6" customHeight="1">
      <c r="A41" s="5" t="inlineStr">
        <is>
          <t>Free Spin 9x 09</t>
        </is>
      </c>
      <c r="B41" s="5" t="n"/>
      <c r="C41" s="5" t="n"/>
      <c r="D41" s="6">
        <f>IF(C41="","",C41/F41)</f>
        <v/>
      </c>
      <c r="E41" s="5" t="inlineStr">
        <is>
          <t>1</t>
        </is>
      </c>
      <c r="F41" s="5" t="inlineStr">
        <is>
          <t>1</t>
        </is>
      </c>
    </row>
    <row r="42" ht="15.6" customHeight="1">
      <c r="A42" s="5" t="inlineStr">
        <is>
          <t>Free Spin 9x 10</t>
        </is>
      </c>
      <c r="B42" s="5" t="n"/>
      <c r="C42" s="5" t="n"/>
      <c r="D42" s="6">
        <f>IF(C42="","",C42/F42)</f>
        <v/>
      </c>
      <c r="E42" s="5" t="inlineStr">
        <is>
          <t>1</t>
        </is>
      </c>
      <c r="F42" s="5" t="inlineStr">
        <is>
          <t>1</t>
        </is>
      </c>
    </row>
    <row r="43">
      <c r="A43" s="2" t="inlineStr">
        <is>
          <t>• 10 把中挑一把跑 0-1x、挑一把跑 9x（10 支等權重擇一，權重鎖死＝1，不得調整），其餘各把不中獎；整段合計約 10x。</t>
        </is>
      </c>
    </row>
    <row r="45">
      <c r="A45" s="1" t="inlineStr">
        <is>
          <t>合計：新手體驗 8＋Buy Feature 6＋Free Spin 系統 11</t>
        </is>
      </c>
    </row>
    <row r="47">
      <c r="A47" s="9" t="inlineStr">
        <is>
          <t>□ 每支 RNG 已在 94A 正式 Config 重放驗證，結果＝表列 Multi</t>
        </is>
      </c>
    </row>
    <row r="48">
      <c r="A48" s="9" t="inlineStr">
        <is>
          <t>□ BF 各組加權整合＝92.50%（小數 2 位精確）</t>
        </is>
      </c>
    </row>
    <row r="49">
      <c r="A49" s="9" t="inlineStr">
        <is>
          <t>□ 新手體驗 NB／EB 各 Free Game A／B、Jackpot Game A／B 齊全，權重＝1</t>
        </is>
      </c>
    </row>
    <row r="50">
      <c r="A50" s="9" t="inlineStr">
        <is>
          <t>□ Free Spin 系統：9x 腳本 10 支、權重全部＝1；0-1x 與 9x 各佔一把、其餘不中獎</t>
        </is>
      </c>
    </row>
    <row r="51">
      <c r="A51" s="9" t="inlineStr">
        <is>
          <t>□ 腳本倍率未超上限（94 版：BG 400x、FG 20,000x）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2026-10-19T05:51:30Z</dcterms:created>
  <dcterms:modified xmlns:dcterms="http://purl.org/dc/terms/" xmlns:xsi="http://www.w3.org/2001/XMLSchema-instance" xsi:type="dcterms:W3CDTF">2026-10-27T06:47:09Z</dcterms:modified>
  <cp:lastModifiedBy>宏羲 沈</cp:lastModifiedBy>
</cp:coreProperties>
</file>