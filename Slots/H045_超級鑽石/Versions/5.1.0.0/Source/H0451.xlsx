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ame Description" sheetId="2" state="visible" r:id="rId2"/>
    <sheet xmlns:r="http://schemas.openxmlformats.org/officeDocument/2006/relationships" name="Parameter" sheetId="3" state="visible" r:id="rId3"/>
    <sheet xmlns:r="http://schemas.openxmlformats.org/officeDocument/2006/relationships" name="BG_Symbol" sheetId="4" state="visible" r:id="rId4"/>
    <sheet xmlns:r="http://schemas.openxmlformats.org/officeDocument/2006/relationships" name="BG_Symbol (2)" sheetId="5" state="visible" r:id="rId5"/>
    <sheet xmlns:r="http://schemas.openxmlformats.org/officeDocument/2006/relationships" name="BG_Symbol (3)" sheetId="6" state="visible" r:id="rId6"/>
    <sheet xmlns:r="http://schemas.openxmlformats.org/officeDocument/2006/relationships" name="FG_Symbol" sheetId="7" state="visible" r:id="rId7"/>
    <sheet xmlns:r="http://schemas.openxmlformats.org/officeDocument/2006/relationships" name="FG_Symbol (2)" sheetId="8" state="visible" r:id="rId8"/>
    <sheet xmlns:r="http://schemas.openxmlformats.org/officeDocument/2006/relationships" name="FG_Symbol (3)" sheetId="9" state="visible" r:id="rId9"/>
    <sheet xmlns:r="http://schemas.openxmlformats.org/officeDocument/2006/relationships" name="BF_Symbol" sheetId="10" state="visible" r:id="rId10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9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  <font>
      <b val="1"/>
    </font>
    <font>
      <name val="Courier New"/>
      <color rgb="FF808080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 style="thin"/>
      <bottom style="thin"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72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19" fillId="0" borderId="11" applyAlignment="1" pivotButton="0" quotePrefix="0" xfId="0">
      <alignment horizontal="center" vertical="top" wrapText="1"/>
    </xf>
    <xf numFmtId="0" fontId="23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19" fillId="34" borderId="11" applyAlignment="1" pivotButton="0" quotePrefix="0" xfId="0">
      <alignment horizontal="center" vertical="center"/>
    </xf>
    <xf numFmtId="0" fontId="24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4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5" fillId="0" borderId="0" pivotButton="0" quotePrefix="0" xfId="0"/>
    <xf numFmtId="0" fontId="19" fillId="0" borderId="0" applyAlignment="1" pivotButton="0" quotePrefix="0" xfId="0">
      <alignment horizontal="left" vertical="center"/>
    </xf>
    <xf numFmtId="1" fontId="19" fillId="0" borderId="10" applyAlignment="1" pivotButton="0" quotePrefix="0" xfId="0">
      <alignment horizontal="center"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36" borderId="11" applyAlignment="1" pivotButton="0" quotePrefix="0" xfId="0">
      <alignment horizontal="center" vertical="center"/>
    </xf>
    <xf numFmtId="0" fontId="24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24" fillId="0" borderId="11" applyAlignment="1" pivotButton="0" quotePrefix="0" xfId="0">
      <alignment horizontal="center"/>
    </xf>
    <xf numFmtId="0" fontId="19" fillId="34" borderId="13" applyAlignment="1" pivotButton="0" quotePrefix="0" xfId="0">
      <alignment horizontal="center" vertical="center"/>
    </xf>
    <xf numFmtId="0" fontId="19" fillId="0" borderId="11" pivotButton="0" quotePrefix="0" xfId="0"/>
    <xf numFmtId="0" fontId="19" fillId="35" borderId="10" pivotButton="0" quotePrefix="0" xfId="0"/>
    <xf numFmtId="0" fontId="19" fillId="35" borderId="11" pivotButton="0" quotePrefix="0" xfId="0"/>
    <xf numFmtId="0" fontId="24" fillId="0" borderId="0" applyAlignment="1" pivotButton="0" quotePrefix="0" xfId="0">
      <alignment horizontal="left"/>
    </xf>
    <xf numFmtId="10" fontId="24" fillId="0" borderId="0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0" fontId="27" fillId="0" borderId="0" pivotButton="0" quotePrefix="0" xfId="0"/>
    <xf numFmtId="0" fontId="0" fillId="0" borderId="0" applyAlignment="1" pivotButton="0" quotePrefix="0" xfId="0">
      <alignment vertical="top" wrapText="1"/>
    </xf>
    <xf numFmtId="0" fontId="27" fillId="34" borderId="13" applyAlignment="1" pivotButton="0" quotePrefix="0" xfId="0">
      <alignment horizontal="center" vertical="center"/>
    </xf>
    <xf numFmtId="0" fontId="27" fillId="34" borderId="11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167" fontId="19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19" fillId="0" borderId="10" pivotButton="0" quotePrefix="0" xfId="0"/>
    <xf numFmtId="0" fontId="19" fillId="34" borderId="14" applyAlignment="1" pivotButton="0" quotePrefix="0" xfId="0">
      <alignment horizontal="center" vertical="center"/>
    </xf>
    <xf numFmtId="0" fontId="19" fillId="0" borderId="15" pivotButton="0" quotePrefix="0" xfId="0"/>
    <xf numFmtId="0" fontId="19" fillId="35" borderId="15" pivotButton="0" quotePrefix="0" xfId="0"/>
    <xf numFmtId="0" fontId="19" fillId="0" borderId="14" pivotButton="0" quotePrefix="0" xfId="0"/>
    <xf numFmtId="0" fontId="19" fillId="35" borderId="14" pivotButton="0" quotePrefix="0" xfId="0"/>
    <xf numFmtId="0" fontId="19" fillId="0" borderId="15" applyAlignment="1" pivotButton="0" quotePrefix="0" xfId="0">
      <alignment horizontal="center" vertical="center"/>
    </xf>
    <xf numFmtId="0" fontId="19" fillId="35" borderId="15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221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ont>
        <color theme="0" tint="-0.249946592608417"/>
      </font>
      <numFmt numFmtId="1" formatCode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H17" sqref="H17"/>
    </sheetView>
  </sheetViews>
  <sheetFormatPr baseColWidth="8" defaultColWidth="8.88671875" defaultRowHeight="16.2"/>
  <cols>
    <col width="24" customWidth="1" style="11" min="1" max="1"/>
    <col width="28.33203125" customWidth="1" style="11" min="2" max="2"/>
    <col width="19.88671875" bestFit="1" customWidth="1" style="11" min="3" max="3"/>
    <col width="16" customWidth="1" style="11" min="4" max="4"/>
    <col width="16" customWidth="1" style="18" min="5" max="7"/>
    <col width="16" customWidth="1" style="11" min="8" max="8"/>
    <col width="16" customWidth="1" style="18" min="9" max="9"/>
    <col width="14.77734375" bestFit="1" customWidth="1" style="11" min="10" max="10"/>
    <col width="8.88671875" customWidth="1" style="11" min="11" max="38"/>
    <col width="8.88671875" customWidth="1" style="11" min="39" max="16384"/>
  </cols>
  <sheetData>
    <row r="1" ht="15.6" customHeight="1" s="18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2" ht="15.6" customHeight="1" s="18">
      <c r="A2" s="22" t="inlineStr">
        <is>
          <t>Model:</t>
        </is>
      </c>
      <c r="B2" s="13" t="inlineStr">
        <is>
          <t>H0451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</row>
    <row r="3" ht="15.6" customHeight="1" s="18">
      <c r="A3" s="22" t="inlineStr">
        <is>
          <t>Version:</t>
        </is>
      </c>
      <c r="B3" s="20" t="n">
        <v>5</v>
      </c>
      <c r="C3" s="20" t="n"/>
      <c r="D3" s="21" t="n"/>
      <c r="E3" s="21" t="n"/>
      <c r="F3" s="21" t="n"/>
      <c r="G3" s="21" t="n"/>
      <c r="H3" s="21" t="n"/>
      <c r="I3" s="21" t="n"/>
      <c r="J3" s="21" t="n"/>
    </row>
    <row r="4" ht="15.6" customHeight="1" s="18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</row>
    <row r="5" ht="15.6" customHeight="1" s="18">
      <c r="A5" s="22" t="n"/>
      <c r="B5" s="23" t="n"/>
      <c r="C5" s="23" t="n"/>
      <c r="D5" s="21" t="n"/>
      <c r="E5" s="21" t="n"/>
      <c r="F5" s="21" t="n"/>
      <c r="G5" s="21" t="n"/>
      <c r="H5" s="21" t="n"/>
      <c r="I5" s="21" t="n"/>
      <c r="J5" s="21" t="n"/>
    </row>
    <row r="6" ht="15.6" customHeight="1" s="18">
      <c r="A6" s="5" t="inlineStr">
        <is>
          <t>Base Bet</t>
        </is>
      </c>
      <c r="B6" s="5" t="inlineStr">
        <is>
          <t>Multiway</t>
        </is>
      </c>
      <c r="E6" s="53" t="n"/>
      <c r="F6" s="53" t="n"/>
      <c r="G6" s="54" t="n"/>
      <c r="H6" s="54" t="n"/>
      <c r="I6" s="54" t="n"/>
      <c r="J6" s="53" t="n"/>
    </row>
    <row r="7" ht="15.6" customHeight="1" s="18">
      <c r="A7" s="24" t="n">
        <v>100</v>
      </c>
      <c r="B7" s="24">
        <f>PRODUCT(B17:F17)</f>
        <v/>
      </c>
      <c r="E7" s="11" t="n"/>
      <c r="F7" s="11" t="n"/>
      <c r="G7" s="21" t="n"/>
      <c r="H7" s="25" t="n"/>
      <c r="I7" s="55" t="n"/>
      <c r="J7" s="56" t="n"/>
    </row>
    <row r="8" ht="15.6" customHeight="1" s="18">
      <c r="E8" s="11" t="n"/>
      <c r="F8" s="11" t="n"/>
      <c r="G8" s="21" t="n"/>
      <c r="H8" s="25" t="n"/>
      <c r="I8" s="55" t="n"/>
      <c r="J8" s="56" t="n"/>
    </row>
    <row r="9" ht="15.6" customHeight="1" s="18">
      <c r="E9" s="11" t="n"/>
      <c r="F9" s="11" t="n"/>
      <c r="G9" s="21" t="n"/>
      <c r="H9" s="25" t="n"/>
      <c r="I9" s="55" t="n"/>
      <c r="J9" s="56" t="n"/>
    </row>
    <row r="10" ht="15.6" customHeight="1" s="18">
      <c r="A10" s="5" t="inlineStr">
        <is>
          <t>Coin in</t>
        </is>
      </c>
      <c r="B10" s="5" t="inlineStr">
        <is>
          <t>Price(x)</t>
        </is>
      </c>
      <c r="C10" s="26" t="inlineStr">
        <is>
          <t>Bet Type</t>
        </is>
      </c>
      <c r="D10" s="21" t="n"/>
      <c r="E10" s="11" t="n"/>
      <c r="F10" s="11" t="n"/>
      <c r="G10" s="21" t="n"/>
      <c r="H10" s="25" t="n"/>
      <c r="I10" s="55" t="n"/>
      <c r="J10" s="56" t="n"/>
    </row>
    <row r="11" ht="15.6" customHeight="1" s="18">
      <c r="A11" s="27">
        <f>A7*B11</f>
        <v/>
      </c>
      <c r="B11" s="24" t="n">
        <v>1</v>
      </c>
      <c r="C11" s="28" t="inlineStr">
        <is>
          <t>Normal Bet</t>
        </is>
      </c>
      <c r="D11" s="21" t="n"/>
      <c r="E11" s="11" t="n"/>
      <c r="F11" s="11" t="n"/>
      <c r="G11" s="21" t="n"/>
      <c r="H11" s="25" t="n"/>
      <c r="I11" s="55" t="n"/>
      <c r="J11" s="56" t="n"/>
    </row>
    <row r="12" ht="15.6" customHeight="1" s="18">
      <c r="A12" s="27">
        <f>A7*B12</f>
        <v/>
      </c>
      <c r="B12" s="24" t="n">
        <v>2</v>
      </c>
      <c r="C12" s="34" t="inlineStr">
        <is>
          <t>Extra Bet</t>
        </is>
      </c>
      <c r="D12" s="21" t="n"/>
      <c r="E12" s="21" t="n"/>
      <c r="F12" s="11" t="n"/>
      <c r="G12" s="21" t="n"/>
      <c r="H12" s="25" t="n"/>
      <c r="I12" s="55" t="n"/>
      <c r="J12" s="56" t="n"/>
    </row>
    <row r="13" ht="15.6" customHeight="1" s="18">
      <c r="A13" s="27">
        <f>A7*B13</f>
        <v/>
      </c>
      <c r="B13" s="24" t="n">
        <v>50</v>
      </c>
      <c r="C13" s="34" t="inlineStr">
        <is>
          <t>Buy Feature</t>
        </is>
      </c>
      <c r="D13" s="21" t="n"/>
      <c r="E13" s="21" t="n"/>
      <c r="F13" s="11" t="n"/>
      <c r="G13" s="21" t="n"/>
      <c r="H13" s="25" t="n"/>
      <c r="I13" s="55" t="n"/>
      <c r="J13" s="56" t="n"/>
    </row>
    <row r="14" ht="15.6" customHeight="1" s="18">
      <c r="A14" s="35" t="n"/>
      <c r="B14" s="21" t="n"/>
      <c r="C14" s="36" t="n"/>
      <c r="D14" s="21" t="n"/>
      <c r="E14" s="21" t="n"/>
      <c r="F14" s="11" t="n"/>
      <c r="G14" s="21" t="n"/>
      <c r="H14" s="25" t="n"/>
      <c r="I14" s="55" t="n"/>
      <c r="J14" s="56" t="n"/>
    </row>
    <row r="15" ht="15.6" customHeight="1" s="18">
      <c r="A15" s="21" t="n"/>
      <c r="B15" s="21" t="n"/>
      <c r="C15" s="21" t="n"/>
      <c r="D15" s="21" t="n"/>
      <c r="E15" s="21" t="n"/>
      <c r="F15" s="11" t="n"/>
      <c r="G15" s="21" t="n"/>
      <c r="H15" s="25" t="n"/>
      <c r="I15" s="55" t="n"/>
      <c r="J15" s="56" t="n"/>
    </row>
    <row r="16" ht="15.6" customHeight="1" s="18">
      <c r="A16" s="5" t="inlineStr">
        <is>
          <t>Reel #</t>
        </is>
      </c>
      <c r="B16" s="5" t="n">
        <v>1</v>
      </c>
      <c r="C16" s="5" t="n">
        <v>2</v>
      </c>
      <c r="D16" s="5" t="n">
        <v>3</v>
      </c>
      <c r="E16" s="5" t="n">
        <v>4</v>
      </c>
      <c r="F16" s="5" t="n">
        <v>5</v>
      </c>
      <c r="G16" s="21" t="n"/>
      <c r="H16" s="21" t="n"/>
      <c r="I16" s="21" t="n"/>
      <c r="J16" s="21" t="n"/>
    </row>
    <row r="17" ht="31.2" customHeight="1" s="18">
      <c r="A17" s="27" t="inlineStr">
        <is>
          <t>Visible Window Size</t>
        </is>
      </c>
      <c r="B17" s="37" t="n">
        <v>4</v>
      </c>
      <c r="C17" s="37" t="n">
        <v>4</v>
      </c>
      <c r="D17" s="37" t="n">
        <v>4</v>
      </c>
      <c r="E17" s="37" t="n">
        <v>4</v>
      </c>
      <c r="F17" s="37" t="n">
        <v>4</v>
      </c>
      <c r="G17" s="21" t="n"/>
      <c r="H17" s="21" t="n"/>
      <c r="I17" s="21" t="n"/>
      <c r="J17" s="21" t="n"/>
    </row>
    <row r="18" ht="15.6" customHeight="1" s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 ht="15.6" customHeight="1" s="18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</row>
    <row r="20" ht="15.6" customHeight="1" s="18">
      <c r="A20" s="11" t="inlineStr">
        <is>
          <t>Free Spins Setting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</row>
    <row r="21" ht="15.6" customHeight="1" s="18">
      <c r="A21" s="5" t="inlineStr">
        <is>
          <t>C1 Num</t>
        </is>
      </c>
      <c r="B21" s="5" t="inlineStr">
        <is>
          <t>Initial Free Spins</t>
        </is>
      </c>
      <c r="C21" s="5" t="inlineStr">
        <is>
          <t>Retrigger</t>
        </is>
      </c>
      <c r="D21" s="21" t="n"/>
      <c r="E21" s="21" t="n"/>
      <c r="F21" s="21" t="n"/>
      <c r="G21" s="21" t="n"/>
      <c r="H21" s="21" t="n"/>
      <c r="I21" s="21" t="n"/>
      <c r="J21" s="21" t="n"/>
    </row>
    <row r="22" ht="15.6" customHeight="1" s="18">
      <c r="A22" s="37" t="n">
        <v>3</v>
      </c>
      <c r="B22" s="29" t="n">
        <v>10</v>
      </c>
      <c r="C22" s="29" t="n">
        <v>5</v>
      </c>
      <c r="D22" s="21" t="n"/>
      <c r="E22" s="21" t="n"/>
      <c r="F22" s="21" t="n"/>
      <c r="G22" s="21" t="n"/>
      <c r="H22" s="21" t="n"/>
      <c r="I22" s="21" t="n"/>
      <c r="J22" s="21" t="n"/>
    </row>
    <row r="23" ht="15.6" customHeight="1" s="18">
      <c r="A23" s="38" t="n">
        <v>4</v>
      </c>
      <c r="B23" s="12" t="n">
        <v>10</v>
      </c>
      <c r="C23" s="12" t="n">
        <v>5</v>
      </c>
      <c r="D23" s="21" t="n"/>
      <c r="E23" s="21" t="n"/>
      <c r="F23" s="21" t="n"/>
      <c r="G23" s="21" t="n"/>
      <c r="H23" s="21" t="n"/>
      <c r="I23" s="21" t="n"/>
      <c r="J23" s="21" t="n"/>
    </row>
    <row r="24" ht="15.6" customHeight="1" s="18">
      <c r="A24" s="38" t="n">
        <v>5</v>
      </c>
      <c r="B24" s="12" t="n">
        <v>10</v>
      </c>
      <c r="C24" s="12" t="n">
        <v>5</v>
      </c>
      <c r="D24" s="21" t="n"/>
      <c r="E24" s="21" t="n"/>
      <c r="F24" s="21" t="n"/>
      <c r="G24" s="21" t="n"/>
      <c r="H24" s="21" t="n"/>
      <c r="I24" s="21" t="n"/>
      <c r="J24" s="21" t="n"/>
    </row>
    <row r="25" ht="15.6" customHeight="1" s="18">
      <c r="A25" s="30" t="inlineStr">
        <is>
          <t>The maximum of free spins is 50.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 ht="15.6" customHeight="1" s="18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 ht="15.6" customHeight="1" s="18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 ht="15.6" customHeight="1" s="18">
      <c r="A28" s="11" t="inlineStr">
        <is>
          <t>Pay Table：</t>
        </is>
      </c>
      <c r="B28" s="11">
        <f>"All wins show for "&amp;A7&amp;" credit bet."</f>
        <v/>
      </c>
      <c r="C28" s="21" t="n"/>
      <c r="D28" s="21" t="n"/>
      <c r="E28" s="21" t="n"/>
      <c r="F28" s="21" t="n"/>
      <c r="G28" s="21" t="n"/>
      <c r="H28" s="21" t="n"/>
      <c r="I28" s="21" t="n"/>
    </row>
    <row r="29" ht="15.6" customHeight="1" s="18">
      <c r="A29" s="5" t="inlineStr">
        <is>
          <t>Symbol</t>
        </is>
      </c>
      <c r="B29" s="5" t="inlineStr">
        <is>
          <t>Description</t>
        </is>
      </c>
      <c r="C29" s="5" t="n">
        <v>1</v>
      </c>
      <c r="D29" s="5" t="n">
        <v>2</v>
      </c>
      <c r="E29" s="5" t="n">
        <v>3</v>
      </c>
      <c r="F29" s="5" t="n">
        <v>4</v>
      </c>
      <c r="G29" s="5" t="n">
        <v>5</v>
      </c>
      <c r="H29" s="5" t="inlineStr">
        <is>
          <t>Id</t>
        </is>
      </c>
      <c r="I29" s="21" t="n"/>
    </row>
    <row r="30" ht="15.6" customHeight="1" s="18">
      <c r="A30" s="37" t="inlineStr">
        <is>
          <t>WW</t>
        </is>
      </c>
      <c r="B30" s="37" t="inlineStr">
        <is>
          <t>Wild</t>
        </is>
      </c>
      <c r="C30" s="41" t="n">
        <v>0</v>
      </c>
      <c r="D30" s="41" t="n">
        <v>0</v>
      </c>
      <c r="E30" s="41" t="n">
        <v>0</v>
      </c>
      <c r="F30" s="41" t="n">
        <v>0</v>
      </c>
      <c r="G30" s="41" t="n">
        <v>0</v>
      </c>
      <c r="H30" s="41" t="n">
        <v>0</v>
      </c>
      <c r="I30" s="21" t="n"/>
    </row>
    <row r="31" ht="15.6" customHeight="1" s="18">
      <c r="A31" s="37" t="inlineStr">
        <is>
          <t>W2</t>
        </is>
      </c>
      <c r="B31" s="37" t="inlineStr">
        <is>
          <t>Split Wild</t>
        </is>
      </c>
      <c r="C31" s="41" t="n">
        <v>0</v>
      </c>
      <c r="D31" s="41" t="n">
        <v>0</v>
      </c>
      <c r="E31" s="41" t="n">
        <v>0</v>
      </c>
      <c r="F31" s="41" t="n">
        <v>0</v>
      </c>
      <c r="G31" s="41" t="n">
        <v>0</v>
      </c>
      <c r="H31" s="41" t="n">
        <v>1</v>
      </c>
      <c r="I31" s="21" t="n"/>
    </row>
    <row r="32" ht="15.6" customHeight="1" s="18">
      <c r="A32" s="37" t="inlineStr">
        <is>
          <t>C1</t>
        </is>
      </c>
      <c r="B32" s="37" t="inlineStr">
        <is>
          <t>Scatter</t>
        </is>
      </c>
      <c r="C32" s="41" t="n">
        <v>0</v>
      </c>
      <c r="D32" s="41" t="n">
        <v>0</v>
      </c>
      <c r="E32" s="41" t="n">
        <v>0</v>
      </c>
      <c r="F32" s="41" t="n">
        <v>0</v>
      </c>
      <c r="G32" s="41" t="n">
        <v>0</v>
      </c>
      <c r="H32" s="41" t="n">
        <v>2</v>
      </c>
      <c r="I32" s="21" t="n"/>
    </row>
    <row r="33" ht="15.6" customHeight="1" s="18">
      <c r="A33" s="37" t="inlineStr">
        <is>
          <t>M1</t>
        </is>
      </c>
      <c r="B33" s="37" t="inlineStr">
        <is>
          <t>M1</t>
        </is>
      </c>
      <c r="C33" s="41" t="n">
        <v>0</v>
      </c>
      <c r="D33" s="41" t="n">
        <v>0</v>
      </c>
      <c r="E33" s="41" t="n">
        <v>25</v>
      </c>
      <c r="F33" s="41" t="n">
        <v>75</v>
      </c>
      <c r="G33" s="41" t="n">
        <v>125</v>
      </c>
      <c r="H33" s="41" t="n">
        <v>3</v>
      </c>
      <c r="I33" s="21" t="n"/>
    </row>
    <row r="34" ht="15.6" customHeight="1" s="18">
      <c r="A34" s="37" t="inlineStr">
        <is>
          <t>M2</t>
        </is>
      </c>
      <c r="B34" s="37" t="inlineStr">
        <is>
          <t>M2</t>
        </is>
      </c>
      <c r="C34" s="41" t="n">
        <v>0</v>
      </c>
      <c r="D34" s="41" t="n">
        <v>0</v>
      </c>
      <c r="E34" s="41" t="n">
        <v>20</v>
      </c>
      <c r="F34" s="41" t="n">
        <v>60</v>
      </c>
      <c r="G34" s="41" t="n">
        <v>100</v>
      </c>
      <c r="H34" s="41" t="n">
        <v>4</v>
      </c>
      <c r="I34" s="21" t="n"/>
    </row>
    <row r="35" ht="15.6" customHeight="1" s="18">
      <c r="A35" s="37" t="inlineStr">
        <is>
          <t>M3</t>
        </is>
      </c>
      <c r="B35" s="37" t="inlineStr">
        <is>
          <t>M3</t>
        </is>
      </c>
      <c r="C35" s="41" t="n">
        <v>0</v>
      </c>
      <c r="D35" s="41" t="n">
        <v>0</v>
      </c>
      <c r="E35" s="41" t="n">
        <v>15</v>
      </c>
      <c r="F35" s="41" t="n">
        <v>45</v>
      </c>
      <c r="G35" s="41" t="n">
        <v>75</v>
      </c>
      <c r="H35" s="41" t="n">
        <v>5</v>
      </c>
      <c r="I35" s="21" t="n"/>
    </row>
    <row r="36" ht="15.6" customHeight="1" s="18">
      <c r="A36" s="37" t="inlineStr">
        <is>
          <t>M4</t>
        </is>
      </c>
      <c r="B36" s="37" t="inlineStr">
        <is>
          <t>M4</t>
        </is>
      </c>
      <c r="C36" s="41" t="n">
        <v>0</v>
      </c>
      <c r="D36" s="41" t="n">
        <v>0</v>
      </c>
      <c r="E36" s="41" t="n">
        <v>10</v>
      </c>
      <c r="F36" s="41" t="n">
        <v>30</v>
      </c>
      <c r="G36" s="41" t="n">
        <v>50</v>
      </c>
      <c r="H36" s="41" t="n">
        <v>6</v>
      </c>
      <c r="I36" s="21" t="n"/>
    </row>
    <row r="37" ht="15.6" customHeight="1" s="18">
      <c r="A37" s="37" t="inlineStr">
        <is>
          <t>A</t>
        </is>
      </c>
      <c r="B37" s="37" t="inlineStr">
        <is>
          <t>A</t>
        </is>
      </c>
      <c r="C37" s="41" t="n">
        <v>0</v>
      </c>
      <c r="D37" s="41" t="n">
        <v>0</v>
      </c>
      <c r="E37" s="41" t="n">
        <v>5</v>
      </c>
      <c r="F37" s="41" t="n">
        <v>15</v>
      </c>
      <c r="G37" s="41" t="n">
        <v>25</v>
      </c>
      <c r="H37" s="41" t="n">
        <v>7</v>
      </c>
      <c r="I37" s="21" t="n"/>
    </row>
    <row r="38" ht="15.6" customHeight="1" s="18">
      <c r="A38" s="37" t="inlineStr">
        <is>
          <t>K</t>
        </is>
      </c>
      <c r="B38" s="37" t="inlineStr">
        <is>
          <t>K</t>
        </is>
      </c>
      <c r="C38" s="41" t="n">
        <v>0</v>
      </c>
      <c r="D38" s="41" t="n">
        <v>0</v>
      </c>
      <c r="E38" s="41" t="n">
        <v>5</v>
      </c>
      <c r="F38" s="41" t="n">
        <v>15</v>
      </c>
      <c r="G38" s="41" t="n">
        <v>25</v>
      </c>
      <c r="H38" s="41" t="n">
        <v>8</v>
      </c>
      <c r="I38" s="21" t="n"/>
    </row>
    <row r="39" ht="15.6" customHeight="1" s="18">
      <c r="A39" s="37" t="inlineStr">
        <is>
          <t>Q</t>
        </is>
      </c>
      <c r="B39" s="37" t="inlineStr">
        <is>
          <t>Q</t>
        </is>
      </c>
      <c r="C39" s="41" t="n">
        <v>0</v>
      </c>
      <c r="D39" s="41" t="n">
        <v>0</v>
      </c>
      <c r="E39" s="41" t="n">
        <v>5</v>
      </c>
      <c r="F39" s="41" t="n">
        <v>10</v>
      </c>
      <c r="G39" s="41" t="n">
        <v>15</v>
      </c>
      <c r="H39" s="41" t="n">
        <v>9</v>
      </c>
      <c r="I39" s="21" t="n"/>
    </row>
    <row r="40" ht="15.6" customHeight="1" s="18">
      <c r="A40" s="37" t="inlineStr">
        <is>
          <t>J</t>
        </is>
      </c>
      <c r="B40" s="37" t="inlineStr">
        <is>
          <t>J</t>
        </is>
      </c>
      <c r="C40" s="41" t="n">
        <v>0</v>
      </c>
      <c r="D40" s="41" t="n">
        <v>0</v>
      </c>
      <c r="E40" s="41" t="n">
        <v>5</v>
      </c>
      <c r="F40" s="41" t="n">
        <v>10</v>
      </c>
      <c r="G40" s="41" t="n">
        <v>15</v>
      </c>
      <c r="H40" s="41" t="n">
        <v>10</v>
      </c>
      <c r="I40" s="21" t="n"/>
    </row>
    <row r="41" ht="15.6" customHeight="1" s="18">
      <c r="I41" s="21" t="n"/>
    </row>
    <row r="42" ht="15.6" customHeight="1" s="18">
      <c r="I42" s="21" t="n"/>
    </row>
    <row r="43" ht="15.6" customHeight="1" s="18">
      <c r="I43" s="21" t="n"/>
    </row>
    <row r="44" ht="15.6" customHeight="1" s="18">
      <c r="I44" s="21" t="n"/>
    </row>
    <row r="45" ht="15.6" customHeight="1" s="18">
      <c r="I45" s="21" t="n"/>
    </row>
    <row r="46" ht="15.6" customHeight="1" s="18">
      <c r="I46" s="21" t="n"/>
      <c r="J46" s="21" t="n"/>
    </row>
    <row r="47" ht="15.6" customHeight="1" s="18">
      <c r="I47" s="21" t="n"/>
      <c r="J47" s="21" t="n"/>
    </row>
    <row r="48" ht="15.6" customHeight="1" s="18">
      <c r="I48" s="21" t="n"/>
      <c r="J48" s="21" t="n"/>
    </row>
    <row r="49" ht="15.6" customHeight="1" s="1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21" t="n"/>
    </row>
    <row r="50" ht="15.6" customHeight="1" s="1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21" t="n"/>
    </row>
    <row r="51" ht="15.6" customHeight="1" s="1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21" t="n"/>
    </row>
    <row r="52" ht="15.6" customHeight="1" s="1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21" t="n"/>
    </row>
    <row r="53" ht="15.6" customHeight="1" s="1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21" t="n"/>
    </row>
    <row r="54" ht="15.6" customHeight="1" s="1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21" t="n"/>
    </row>
    <row r="55" ht="15.6" customHeight="1" s="1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21" t="n"/>
    </row>
    <row r="56" ht="15.6" customHeight="1" s="1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21" t="n"/>
    </row>
    <row r="57" ht="15.6" customHeight="1" s="1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21" t="n"/>
    </row>
    <row r="58" ht="15.6" customHeight="1" s="1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21" t="n"/>
    </row>
    <row r="59" ht="15.6" customHeight="1" s="1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21" t="n"/>
    </row>
    <row r="60" ht="15.6" customHeight="1" s="1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21" t="n"/>
    </row>
    <row r="61" ht="15.6" customHeight="1" s="1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21" t="n"/>
    </row>
    <row r="62" ht="15.6" customHeight="1" s="1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21" t="n"/>
    </row>
    <row r="63" ht="15.6" customHeight="1" s="1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21" t="n"/>
    </row>
    <row r="64" ht="15.6" customHeight="1" s="1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21" t="n"/>
    </row>
    <row r="65" ht="15.6" customHeight="1" s="1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21" t="n"/>
    </row>
    <row r="66" ht="15.6" customHeight="1" s="1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21" t="n"/>
    </row>
    <row r="67" ht="15.6" customHeight="1" s="1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21" t="n"/>
    </row>
    <row r="68" ht="15.6" customHeight="1" s="1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21" t="n"/>
    </row>
    <row r="69" ht="15.6" customHeight="1" s="1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21" t="n"/>
    </row>
    <row r="70" ht="15.6" customHeight="1" s="1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21" t="n"/>
    </row>
    <row r="71" ht="15.6" customHeight="1" s="18">
      <c r="A71" s="21" t="n"/>
      <c r="B71" s="1" t="n"/>
      <c r="C71" s="1" t="n"/>
      <c r="D71" s="1" t="n"/>
      <c r="E71" s="21" t="n"/>
      <c r="F71" s="21" t="n"/>
      <c r="G71" s="21" t="n"/>
      <c r="H71" s="21" t="n"/>
      <c r="I71" s="21" t="n"/>
      <c r="J71" s="21" t="n"/>
    </row>
    <row r="72" ht="15.6" customHeight="1" s="1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 ht="15.6" customHeight="1" s="1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 ht="15.6" customHeight="1" s="1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</row>
    <row r="75" ht="15.6" customHeight="1" s="1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 ht="15.6" customHeight="1" s="1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</row>
    <row r="77" ht="15.6" customHeight="1" s="1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 ht="15.6" customHeight="1" s="1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</row>
    <row r="79" ht="15.6" customHeight="1" s="1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 ht="15.6" customHeight="1" s="1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</row>
    <row r="81" ht="15.6" customHeight="1" s="1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 ht="15.6" customHeight="1" s="1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</row>
    <row r="83" ht="15.6" customHeight="1" s="1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 ht="15.6" customHeight="1" s="18">
      <c r="B84" s="1" t="n"/>
      <c r="C84" s="1" t="n"/>
      <c r="D84" s="1" t="n"/>
    </row>
    <row r="85" ht="15.6" customHeight="1" s="18"/>
    <row r="86" ht="15.6" customHeight="1" s="18">
      <c r="F86" s="6" t="n"/>
      <c r="G86" s="6" t="n"/>
      <c r="H86" s="6" t="n"/>
      <c r="I86" s="6" t="n"/>
    </row>
    <row r="87" ht="15.6" customHeight="1" s="18"/>
    <row r="88" ht="15.6" customHeight="1" s="18"/>
    <row r="89" ht="15.6" customHeight="1" s="18"/>
    <row r="90" ht="15.6" customHeight="1" s="18"/>
    <row r="91" ht="15.6" customHeight="1" s="18">
      <c r="F91" s="6" t="n"/>
      <c r="G91" s="6" t="n"/>
      <c r="H91" s="6" t="n"/>
      <c r="I91" s="6" t="n"/>
    </row>
    <row r="92" ht="15.6" customHeight="1" s="18"/>
    <row r="93" ht="15.6" customHeight="1" s="18"/>
    <row r="94" ht="15.6" customHeight="1" s="18"/>
    <row r="95" ht="15.6" customHeight="1" s="18"/>
    <row r="96" ht="15.6" customHeight="1" s="18">
      <c r="F96" s="6" t="n"/>
      <c r="G96" s="6" t="n"/>
    </row>
    <row r="97" ht="15.6" customHeight="1" s="18"/>
    <row r="98" ht="15.6" customHeight="1" s="18"/>
    <row r="99" ht="15.6" customHeight="1" s="18"/>
    <row r="100" ht="15.6" customHeight="1" s="18"/>
    <row r="101" ht="15.6" customHeight="1" s="18">
      <c r="F101" s="6" t="n"/>
      <c r="G101" s="6" t="n"/>
    </row>
    <row r="102" ht="15.6" customHeight="1" s="18"/>
    <row r="103" ht="15.6" customHeight="1" s="18"/>
    <row r="104" ht="15.6" customHeight="1" s="18"/>
    <row r="105" ht="15.6" customHeight="1" s="18"/>
    <row r="106" ht="15.6" customHeight="1" s="18">
      <c r="F106" s="6" t="n"/>
      <c r="G106" s="6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style="18" min="1" max="1"/>
    <col width="110" customWidth="1" style="18" min="2" max="2"/>
  </cols>
  <sheetData>
    <row r="1">
      <c r="A1" s="57" t="inlineStr">
        <is>
          <t>Model</t>
        </is>
      </c>
      <c r="B1" s="58" t="inlineStr">
        <is>
          <t>H0451 超級鑽石 (Super Diamond) — 基礎數學模型</t>
        </is>
      </c>
    </row>
    <row r="2">
      <c r="A2" s="57" t="inlineStr">
        <is>
          <t>Game ID</t>
        </is>
      </c>
      <c r="B2" s="58" t="inlineStr">
        <is>
          <t>101015</t>
        </is>
      </c>
    </row>
    <row r="3">
      <c r="A3" s="57" t="inlineStr">
        <is>
          <t>Version</t>
        </is>
      </c>
      <c r="B3" s="58" t="inlineStr">
        <is>
          <t>1（非競品衍生：初始來源為自家 H0161 與前端規格書 Lucky Ace Deluxe v2.2.0）</t>
        </is>
      </c>
    </row>
    <row r="4">
      <c r="A4" s="57" t="inlineStr">
        <is>
          <t>規則來源</t>
        </is>
      </c>
      <c r="B4" s="58" t="inlineStr">
        <is>
          <t>Slots/H045_超級鑽石/game_rule.md</t>
        </is>
      </c>
    </row>
    <row r="5">
      <c r="A5" s="57" t="inlineStr"/>
      <c r="B5" s="58" t="inlineStr"/>
    </row>
    <row r="6">
      <c r="A6" s="57" t="inlineStr">
        <is>
          <t>Overview</t>
        </is>
      </c>
      <c r="B6" s="58" t="inlineStr">
        <is>
          <t>基礎設定：Base Bet、Multiway、Coin in / Price(x) / Bet Type、Free Spins Setting、Pay Table 與 Symbol ID。</t>
        </is>
      </c>
    </row>
    <row r="7">
      <c r="A7" s="57" t="inlineStr">
        <is>
          <t>Parameter</t>
        </is>
      </c>
      <c r="B7" s="58" t="inlineStr">
        <is>
          <t>BG / FG / Retrigger 的 Table Selection Weight；Cascade Multiplier 階梯；Max Win 與場數上限；OP Jackpot 觸發權重。</t>
        </is>
      </c>
    </row>
    <row r="8">
      <c r="A8" s="57" t="inlineStr">
        <is>
          <t>BG_Symbol (1~3)</t>
        </is>
      </c>
      <c r="B8" s="58" t="inlineStr">
        <is>
          <t>Base Game 三張輪帶表，依 Parameter 的 Table Selection Weight 每 Spin 抽一張。</t>
        </is>
      </c>
    </row>
    <row r="9">
      <c r="A9" s="57" t="inlineStr">
        <is>
          <t>FG_Symbol (1~3)</t>
        </is>
      </c>
      <c r="B9" s="58" t="inlineStr">
        <is>
          <t>Free Game 三張輪帶表；FG 與 Retrigger 各自有一組 Table Selection Weight。</t>
        </is>
      </c>
    </row>
    <row r="10">
      <c r="A10" s="57" t="inlineStr">
        <is>
          <t>BF_Symbol</t>
        </is>
      </c>
      <c r="B10" s="58" t="inlineStr">
        <is>
          <t>Buy Feature 進場輪帶，保證盤面 C1 &gt;= 3；該盤不判獎、不 Cascade、不得產生任何 BG 派彩。</t>
        </is>
      </c>
    </row>
    <row r="11">
      <c r="A11" s="57" t="inlineStr"/>
      <c r="B11" s="58" t="inlineStr"/>
    </row>
    <row r="12">
      <c r="A12" s="57" t="inlineStr">
        <is>
          <t>輪帶表欄位</t>
        </is>
      </c>
      <c r="B12" s="58" t="inlineStr">
        <is>
          <t>A:H 符號表與各輪物理停點數；J:O 物理輪帶（Line # 0~199 的符號名）；Q:U 同區的 Symbol ID；W:AA 各輪每個停點的 Symbol Weight（初始停輪用）；AF:AK 各符號各輪的 Symbol Drop Weight（Cascade 補牌用）。</t>
        </is>
      </c>
    </row>
    <row r="13">
      <c r="A13" s="57" t="inlineStr">
        <is>
          <t>AC:AD 三張權重表</t>
        </is>
      </c>
      <c r="B13" s="58" t="inlineStr">
        <is>
          <t>Golden_Result_Weight：金框中獎翻牌的四種結果（WW 小鬼 / WW_M 小鬼帶倍 / W2 大鬼 / W2_M 大鬼帶倍），每顆中獎金框各自獨立抽一次。</t>
        </is>
      </c>
    </row>
    <row r="14">
      <c r="A14" s="57" t="inlineStr"/>
      <c r="B14" s="58" t="inlineStr">
        <is>
          <t>Split_Count_Weight：抽中 W2 或 W2_M 時，額外分裂的 W2 顆數（2~4）；落點只取 R2~R5 的合格一般符號。</t>
        </is>
      </c>
    </row>
    <row r="15">
      <c r="A15" s="57" t="inlineStr"/>
      <c r="B15" s="58" t="inlineStr">
        <is>
          <t>Multiplier_Wild_Weight：抽中 WW_M 或 W2_M 時，該顆 WILD 身上的倍數（x2 / x3 / x5）；盤面帶倍 WILD 數量不設上限，同一連線用到多顆時倍數相乘。</t>
        </is>
      </c>
    </row>
    <row r="16">
      <c r="A16" s="57" t="inlineStr"/>
      <c r="B16" s="58" t="inlineStr"/>
    </row>
    <row r="17">
      <c r="A17" s="57" t="inlineStr">
        <is>
          <t>得分口徑</t>
        </is>
      </c>
      <c r="B17" s="58" t="inlineStr">
        <is>
          <t>單一符號該次 Cascade 得分 = 賠率 x Ways 數 x Bet 基準 x Cascade Multiplier x 該連線帶倍 WILD 倍數乘積。</t>
        </is>
      </c>
    </row>
    <row r="18">
      <c r="A18" s="57" t="inlineStr"/>
      <c r="B18" s="58" t="inlineStr">
        <is>
          <t>同一顆 WILD 在單一連線只計一次；未參與該連線的帶倍 WILD 不計入。</t>
        </is>
      </c>
    </row>
    <row r="19">
      <c r="A19" s="57" t="inlineStr">
        <is>
          <t>Max Win</t>
        </is>
      </c>
      <c r="B19" s="58" t="inlineStr">
        <is>
          <t>單一 Spin（含其觸發的全部 FG 場次）累計上限 20,000 x Bet；達上限即截斷。OP Jackpot 派彩不計入。</t>
        </is>
      </c>
    </row>
    <row r="20">
      <c r="A20" s="57" t="inlineStr"/>
      <c r="B20" s="58" t="inlineStr"/>
    </row>
    <row r="21">
      <c r="A21" s="57" t="inlineStr">
        <is>
          <t>與 H0161 的差異</t>
        </is>
      </c>
      <c r="B21" s="58" t="inlineStr">
        <is>
          <t>1. 移除 SF_Symbol 三張表：本作只有一檔 50x Buy Feature，購買後走一般 FG 權重。</t>
        </is>
      </c>
    </row>
    <row r="22">
      <c r="A22" s="57" t="inlineStr"/>
      <c r="B22" s="58" t="inlineStr">
        <is>
          <t>2. Random Wild Trigger Weight（0/2/3/4）改為 Golden_Result_Weight + Split_Count_Weight + Multiplier_Wild_Weight 三張表。</t>
        </is>
      </c>
    </row>
    <row r="23">
      <c r="A23" s="57" t="inlineStr"/>
      <c r="B23" s="58" t="inlineStr">
        <is>
          <t>3. 新增帶倍數 WILD；Cascade Multiplier 由 4 階改 5 階（BG 頂 x10、FG 頂 x20）。</t>
        </is>
      </c>
    </row>
    <row r="24">
      <c r="A24" s="57" t="inlineStr"/>
      <c r="B24" s="58" t="inlineStr">
        <is>
          <t>4. 新增 OP Jackpot 四階（參數待定，目前權重 0 停用）。</t>
        </is>
      </c>
    </row>
    <row r="25">
      <c r="A25" s="57" t="inlineStr"/>
      <c r="B25" s="58" t="inlineStr">
        <is>
          <t>5. Buy Feature 價格 40.5x/250x 兩檔改為單一 50x（2026-10-08；原單一 250x）。</t>
        </is>
      </c>
    </row>
    <row r="26">
      <c r="A26" s="57" t="inlineStr"/>
      <c r="B26" s="58" t="inlineStr"/>
    </row>
    <row r="27">
      <c r="A27" s="57" t="inlineStr">
        <is>
          <t>待校準</t>
        </is>
      </c>
      <c r="B27" s="58" t="inlineStr">
        <is>
          <t>已完成初次自然機率校準（2026-09-23）。金框物理停點保留約 55%；Golden_Result_Weight = WW 82 / WW_M 8 / W2 8 / W2_M 2。註：早期以拋棄式原型量到的 319% 係因原型先翻金框才補牌、分裂 W2 部分落在待消除格而失真；正式 Simulator 依 game_rule 5.6 先補牌再翻牌，數值以 Simulator 為準。</t>
        </is>
      </c>
    </row>
    <row r="28">
      <c r="A28" s="57" t="inlineStr">
        <is>
          <t>量測結果</t>
        </is>
      </c>
      <c r="B28" s="58" t="inlineStr">
        <is>
          <t>Simulator card-off 50 萬局（Normal Bet）：RTP 446.01%（BG 280.99% / FG 165.02%）、Hit Rate 36.99%、FG 觸發週期 1/116、FG 平均 10.14 場、平均 Cascade BG 0.689 / FG 1.098、單局最大 15,115x、volatility_std 58.47。</t>
        </is>
      </c>
    </row>
    <row r="29">
      <c r="A29" s="57" t="inlineStr">
        <is>
          <t>基準對照</t>
        </is>
      </c>
      <c r="B29" s="58" t="inlineStr">
        <is>
          <t>H028 card-off 1e9 局為 RTP 371.5%、Hit 37.5%、FG 週期 1/143；本模型卡片系統壓縮比 4.85:1（H028 為 4.04:1），同量級、略高，屬可接受範圍。</t>
        </is>
      </c>
    </row>
    <row r="30">
      <c r="A30" s="57" t="inlineStr">
        <is>
          <t>提案值否決</t>
        </is>
      </c>
      <c r="B30" s="58" t="inlineStr">
        <is>
          <t>前端規格書提案的 35/20/30/15 實測自然 RTP 2,926~3,597%，需 32:1 壓縮，遠超常態，卡片系統將被迫幾乎全數 Retry，故不採用。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51"/>
  <sheetViews>
    <sheetView topLeftCell="A3" workbookViewId="0">
      <selection activeCell="H21" sqref="H21"/>
    </sheetView>
  </sheetViews>
  <sheetFormatPr baseColWidth="8" defaultRowHeight="15.6"/>
  <cols>
    <col width="8.88671875" customWidth="1" style="6" min="1" max="1"/>
    <col width="72.44140625" bestFit="1" customWidth="1" style="6" min="2" max="2"/>
    <col width="9.6640625" bestFit="1" customWidth="1" style="6" min="3" max="3"/>
    <col width="9.44140625" bestFit="1" customWidth="1" style="6" min="4" max="4"/>
    <col width="30" customWidth="1" style="6" min="5" max="5"/>
    <col width="43" customWidth="1" style="6" min="6" max="6"/>
    <col width="8.88671875" customWidth="1" style="6" min="7" max="13"/>
    <col width="8.88671875" customWidth="1" style="6" min="14" max="16384"/>
  </cols>
  <sheetData>
    <row r="2">
      <c r="B2" s="14" t="inlineStr">
        <is>
          <t>Table Selection Weight - Base Game (Weight/Total)</t>
        </is>
      </c>
    </row>
    <row r="3">
      <c r="B3" s="65" t="inlineStr">
        <is>
          <t>Worksheet Name</t>
        </is>
      </c>
      <c r="C3" s="65" t="inlineStr">
        <is>
          <t>Weight</t>
        </is>
      </c>
    </row>
    <row r="4">
      <c r="B4" s="66" t="inlineStr">
        <is>
          <t>BG_Symbol</t>
        </is>
      </c>
      <c r="C4" s="67" t="n">
        <v>4</v>
      </c>
    </row>
    <row r="5">
      <c r="B5" s="66" t="inlineStr">
        <is>
          <t>BG_Symbol (2)</t>
        </is>
      </c>
      <c r="C5" s="67" t="n">
        <v>1</v>
      </c>
    </row>
    <row r="6">
      <c r="B6" s="66" t="inlineStr">
        <is>
          <t>BG_Symbol (3)</t>
        </is>
      </c>
      <c r="C6" s="67" t="n">
        <v>5</v>
      </c>
    </row>
    <row r="9">
      <c r="B9" s="14" t="inlineStr">
        <is>
          <t>Table Selection Weight - Free Game (Weight/Total)</t>
        </is>
      </c>
    </row>
    <row r="10">
      <c r="B10" s="65" t="inlineStr">
        <is>
          <t>Worksheet Name</t>
        </is>
      </c>
      <c r="C10" s="65" t="inlineStr">
        <is>
          <t>Weight</t>
        </is>
      </c>
    </row>
    <row r="11">
      <c r="B11" s="66" t="inlineStr">
        <is>
          <t>FG_Symbol</t>
        </is>
      </c>
      <c r="C11" s="67" t="n">
        <v>2</v>
      </c>
    </row>
    <row r="12">
      <c r="B12" s="66" t="inlineStr">
        <is>
          <t>FG_Symbol (2)</t>
        </is>
      </c>
      <c r="C12" s="67" t="n">
        <v>8</v>
      </c>
    </row>
    <row r="13">
      <c r="B13" s="66" t="inlineStr">
        <is>
          <t>FG_Symbol (3)</t>
        </is>
      </c>
      <c r="C13" s="67" t="n">
        <v>0</v>
      </c>
    </row>
    <row r="16">
      <c r="B16" s="14" t="inlineStr">
        <is>
          <t>Table Selection Weight - Retrigger (Weight/Total)</t>
        </is>
      </c>
    </row>
    <row r="17">
      <c r="B17" s="65" t="inlineStr">
        <is>
          <t>Worksheet Name</t>
        </is>
      </c>
      <c r="C17" s="65" t="inlineStr">
        <is>
          <t>Weight</t>
        </is>
      </c>
    </row>
    <row r="18">
      <c r="B18" s="66" t="inlineStr">
        <is>
          <t>FG_Symbol</t>
        </is>
      </c>
      <c r="C18" s="67" t="n">
        <v>2</v>
      </c>
    </row>
    <row r="19">
      <c r="B19" s="66" t="inlineStr">
        <is>
          <t>FG_Symbol (2)</t>
        </is>
      </c>
      <c r="C19" s="67" t="n">
        <v>8</v>
      </c>
    </row>
    <row r="20">
      <c r="B20" s="66" t="inlineStr">
        <is>
          <t>FG_Symbol (3)</t>
        </is>
      </c>
      <c r="C20" s="67" t="n">
        <v>0</v>
      </c>
    </row>
    <row r="23">
      <c r="B23" s="14" t="inlineStr">
        <is>
          <t>Gold Count Weight - Base Game (gold frames per reel, weight/100,000)</t>
        </is>
      </c>
    </row>
    <row r="24">
      <c r="B24" s="65" t="inlineStr">
        <is>
          <t>Gold Num BG</t>
        </is>
      </c>
      <c r="C24" s="65" t="inlineStr">
        <is>
          <t>R1</t>
        </is>
      </c>
      <c r="D24" s="65" t="inlineStr">
        <is>
          <t>R2</t>
        </is>
      </c>
      <c r="E24" s="65" t="inlineStr">
        <is>
          <t>R3</t>
        </is>
      </c>
      <c r="F24" s="65" t="inlineStr">
        <is>
          <t>R4</t>
        </is>
      </c>
      <c r="G24" s="65" t="inlineStr">
        <is>
          <t>R5</t>
        </is>
      </c>
    </row>
    <row r="25">
      <c r="B25" s="66" t="n">
        <v>0</v>
      </c>
      <c r="C25" s="67" t="n">
        <v>100000</v>
      </c>
      <c r="D25" s="67" t="n">
        <v>52142</v>
      </c>
      <c r="E25" s="67" t="n">
        <v>61771</v>
      </c>
      <c r="F25" s="67" t="n">
        <v>72894</v>
      </c>
      <c r="G25" s="67" t="n">
        <v>100000</v>
      </c>
    </row>
    <row r="26">
      <c r="B26" s="66" t="n">
        <v>1</v>
      </c>
      <c r="C26" s="67" t="n">
        <v>0</v>
      </c>
      <c r="D26" s="67" t="n">
        <v>42406</v>
      </c>
      <c r="E26" s="67" t="n">
        <v>36366</v>
      </c>
      <c r="F26" s="67" t="n">
        <v>27579</v>
      </c>
      <c r="G26" s="67" t="n">
        <v>0</v>
      </c>
    </row>
    <row r="27">
      <c r="B27" s="66" t="n">
        <v>2</v>
      </c>
      <c r="C27" s="67" t="n">
        <v>0</v>
      </c>
      <c r="D27" s="67" t="n">
        <v>12933</v>
      </c>
      <c r="E27" s="67" t="n">
        <v>8029</v>
      </c>
      <c r="F27" s="67" t="n">
        <v>3913</v>
      </c>
      <c r="G27" s="67" t="n">
        <v>0</v>
      </c>
    </row>
    <row r="28">
      <c r="B28" s="66" t="n">
        <v>3</v>
      </c>
      <c r="C28" s="67" t="n">
        <v>0</v>
      </c>
      <c r="D28" s="67" t="n">
        <v>1754</v>
      </c>
      <c r="E28" s="67" t="n">
        <v>788</v>
      </c>
      <c r="F28" s="67" t="n">
        <v>246</v>
      </c>
      <c r="G28" s="67" t="n">
        <v>0</v>
      </c>
    </row>
    <row r="29">
      <c r="B29" s="66" t="n">
        <v>4</v>
      </c>
      <c r="C29" s="67" t="n">
        <v>0</v>
      </c>
      <c r="D29" s="67" t="n">
        <v>89</v>
      </c>
      <c r="E29" s="67" t="n">
        <v>30</v>
      </c>
      <c r="F29" s="67" t="n">
        <v>5</v>
      </c>
      <c r="G29" s="67" t="n">
        <v>0</v>
      </c>
    </row>
    <row r="30">
      <c r="B30" s="14" t="inlineStr">
        <is>
          <t>Note: gold frames show no symbol preference (per-symbol rate differs from the reel rate by &lt;0.5pp), so the weights are set per reel only. Initial values converted from the Super Ace field capture (per-cell rate, binomial over 4 cells per reel).</t>
        </is>
      </c>
    </row>
    <row r="33">
      <c r="B33" s="14" t="inlineStr">
        <is>
          <t>Gold Count Weight - Free Game (gold frames per reel, weight/100,000)</t>
        </is>
      </c>
    </row>
    <row r="34">
      <c r="B34" s="65" t="inlineStr">
        <is>
          <t>Gold Num FG</t>
        </is>
      </c>
      <c r="C34" s="65" t="inlineStr">
        <is>
          <t>R1</t>
        </is>
      </c>
      <c r="D34" s="65" t="inlineStr">
        <is>
          <t>R2</t>
        </is>
      </c>
      <c r="E34" s="65" t="inlineStr">
        <is>
          <t>R3</t>
        </is>
      </c>
      <c r="F34" s="65" t="inlineStr">
        <is>
          <t>R4</t>
        </is>
      </c>
      <c r="G34" s="65" t="inlineStr">
        <is>
          <t>R5</t>
        </is>
      </c>
    </row>
    <row r="35">
      <c r="B35" s="66" t="n">
        <v>0</v>
      </c>
      <c r="C35" s="67" t="n">
        <v>100000</v>
      </c>
      <c r="D35" s="67" t="n">
        <v>38837</v>
      </c>
      <c r="E35" s="67" t="n">
        <v>44823</v>
      </c>
      <c r="F35" s="67" t="n">
        <v>51604</v>
      </c>
      <c r="G35" s="67" t="n">
        <v>100000</v>
      </c>
    </row>
    <row r="36">
      <c r="B36" s="66" t="n">
        <v>1</v>
      </c>
      <c r="C36" s="67" t="n">
        <v>0</v>
      </c>
      <c r="D36" s="67" t="n">
        <v>29007</v>
      </c>
      <c r="E36" s="67" t="n">
        <v>27881</v>
      </c>
      <c r="F36" s="67" t="n">
        <v>25988</v>
      </c>
      <c r="G36" s="67" t="n">
        <v>0</v>
      </c>
    </row>
    <row r="37">
      <c r="B37" s="66" t="n">
        <v>2</v>
      </c>
      <c r="C37" s="67" t="n">
        <v>0</v>
      </c>
      <c r="D37" s="67" t="n">
        <v>8124</v>
      </c>
      <c r="E37" s="67" t="n">
        <v>6503</v>
      </c>
      <c r="F37" s="67" t="n">
        <v>4908</v>
      </c>
      <c r="G37" s="67" t="n">
        <v>0</v>
      </c>
    </row>
    <row r="38">
      <c r="B38" s="66" t="n">
        <v>3</v>
      </c>
      <c r="C38" s="67" t="n">
        <v>0</v>
      </c>
      <c r="D38" s="67" t="n">
        <v>1011</v>
      </c>
      <c r="E38" s="67" t="n">
        <v>674</v>
      </c>
      <c r="F38" s="67" t="n">
        <v>412</v>
      </c>
      <c r="G38" s="67" t="n">
        <v>0</v>
      </c>
    </row>
    <row r="39">
      <c r="B39" s="66" t="n">
        <v>4</v>
      </c>
      <c r="C39" s="67" t="n">
        <v>0</v>
      </c>
      <c r="D39" s="67" t="n">
        <v>47</v>
      </c>
      <c r="E39" s="67" t="n">
        <v>26</v>
      </c>
      <c r="F39" s="67" t="n">
        <v>13</v>
      </c>
      <c r="G39" s="67" t="n">
        <v>0</v>
      </c>
    </row>
    <row r="42">
      <c r="B42" s="14" t="inlineStr">
        <is>
          <t>Cascade Multiplier Ladder</t>
        </is>
      </c>
    </row>
    <row r="43">
      <c r="B43" s="65" t="inlineStr">
        <is>
          <t>Mode</t>
        </is>
      </c>
      <c r="C43" s="65" t="inlineStr">
        <is>
          <t>1st</t>
        </is>
      </c>
      <c r="D43" s="65" t="inlineStr">
        <is>
          <t>2nd</t>
        </is>
      </c>
      <c r="E43" s="65" t="inlineStr">
        <is>
          <t>3rd</t>
        </is>
      </c>
      <c r="F43" s="65" t="inlineStr">
        <is>
          <t>4th</t>
        </is>
      </c>
      <c r="G43" s="65" t="inlineStr">
        <is>
          <t>5th</t>
        </is>
      </c>
    </row>
    <row r="44">
      <c r="B44" s="66" t="inlineStr">
        <is>
          <t>Base Game</t>
        </is>
      </c>
      <c r="C44" s="67" t="n">
        <v>1</v>
      </c>
      <c r="D44" s="67" t="n">
        <v>2</v>
      </c>
      <c r="E44" s="67" t="n">
        <v>3</v>
      </c>
      <c r="F44" s="67" t="n">
        <v>5</v>
      </c>
      <c r="G44" s="67" t="n">
        <v>10</v>
      </c>
    </row>
    <row r="45">
      <c r="B45" s="66" t="inlineStr">
        <is>
          <t>Free Game</t>
        </is>
      </c>
      <c r="C45" s="67" t="n">
        <v>2</v>
      </c>
      <c r="D45" s="67" t="n">
        <v>4</v>
      </c>
      <c r="E45" s="67" t="n">
        <v>6</v>
      </c>
      <c r="F45" s="67" t="n">
        <v>10</v>
      </c>
      <c r="G45" s="67" t="n">
        <v>20</v>
      </c>
    </row>
    <row r="48">
      <c r="B48" s="14" t="inlineStr">
        <is>
          <t>Game Limit</t>
        </is>
      </c>
    </row>
    <row r="49">
      <c r="B49" s="68" t="inlineStr">
        <is>
          <t>Max Free Spins</t>
        </is>
      </c>
      <c r="C49" s="69" t="n">
        <v>50</v>
      </c>
      <c r="D49" s="68" t="n"/>
    </row>
    <row r="50">
      <c r="B50" s="66" t="inlineStr">
        <is>
          <t>Free Spins Initial / Retrigger</t>
        </is>
      </c>
      <c r="C50" s="67" t="n">
        <v>10</v>
      </c>
      <c r="D50" s="67" t="n">
        <v>5</v>
      </c>
    </row>
    <row r="51">
      <c r="B51" s="14" t="inlineStr">
        <is>
          <t>Note: Max Win is set by the Card System multiplier cap, not hard-coded in the base model. OP Jackpot is triggered by SC; the model only supplies SCR.</t>
        </is>
      </c>
    </row>
  </sheetData>
  <conditionalFormatting sqref="D4:D6">
    <cfRule type="cellIs" priority="1" operator="equal" dxfId="220">
      <formula>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10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3</v>
      </c>
      <c r="D6" s="9" t="n">
        <v>0</v>
      </c>
      <c r="E6" s="9" t="n">
        <v>2</v>
      </c>
      <c r="F6" s="9" t="n">
        <v>0</v>
      </c>
      <c r="G6" s="9" t="n">
        <v>0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J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10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30</v>
      </c>
      <c r="D14" s="9" t="n">
        <v>14</v>
      </c>
      <c r="E14" s="9" t="n">
        <v>40</v>
      </c>
      <c r="F14" s="9" t="n">
        <v>18</v>
      </c>
      <c r="G14" s="9" t="n">
        <v>29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180200</v>
      </c>
      <c r="AH14" s="9" t="n">
        <v>152016</v>
      </c>
      <c r="AI14" s="9" t="n">
        <v>187808</v>
      </c>
      <c r="AJ14" s="9" t="n">
        <v>154112</v>
      </c>
      <c r="AK14" s="9" t="n">
        <v>186172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J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10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J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10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J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10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J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10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J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10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J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10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J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10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J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10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J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10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J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10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J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10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J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10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J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10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J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10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J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10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10631</v>
      </c>
      <c r="X172" s="7" t="n">
        <v>10000</v>
      </c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9423</v>
      </c>
      <c r="X173" s="7" t="n">
        <v>10000</v>
      </c>
      <c r="Y173" s="7" t="n">
        <v>10897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9507</v>
      </c>
      <c r="Y174" s="7" t="n">
        <v>11146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10355</v>
      </c>
      <c r="Y175" s="7" t="n">
        <v>10887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10016</v>
      </c>
      <c r="Y176" s="7" t="n">
        <v>10000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10196</v>
      </c>
      <c r="Y177" s="7" t="n">
        <v>10000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9327</v>
      </c>
      <c r="Y178" s="7" t="n">
        <v>10000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10642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Q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J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10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0</v>
      </c>
      <c r="D6" s="9" t="n">
        <v>3</v>
      </c>
      <c r="E6" s="9" t="n">
        <v>0</v>
      </c>
      <c r="F6" s="9" t="n">
        <v>0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5</v>
      </c>
      <c r="D7" s="9" t="n">
        <v>7</v>
      </c>
      <c r="E7" s="9" t="n">
        <v>7</v>
      </c>
      <c r="F7" s="9" t="n">
        <v>3</v>
      </c>
      <c r="G7" s="9" t="n">
        <v>7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1428</v>
      </c>
      <c r="AH7" s="9" t="n">
        <v>1429</v>
      </c>
      <c r="AI7" s="9" t="n">
        <v>1427</v>
      </c>
      <c r="AJ7" s="9" t="n">
        <v>1428</v>
      </c>
      <c r="AK7" s="9" t="n">
        <v>1428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11</v>
      </c>
      <c r="D8" s="9" t="n">
        <v>15</v>
      </c>
      <c r="E8" s="9" t="n">
        <v>8</v>
      </c>
      <c r="F8" s="9" t="n">
        <v>6</v>
      </c>
      <c r="G8" s="9" t="n">
        <v>8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3196</v>
      </c>
      <c r="AH8" s="9" t="n">
        <v>3197</v>
      </c>
      <c r="AI8" s="9" t="n">
        <v>3193</v>
      </c>
      <c r="AJ8" s="9" t="n">
        <v>3195</v>
      </c>
      <c r="AK8" s="9" t="n">
        <v>3196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11</v>
      </c>
      <c r="D9" s="9" t="n">
        <v>7</v>
      </c>
      <c r="E9" s="9" t="n">
        <v>16</v>
      </c>
      <c r="F9" s="9" t="n">
        <v>7</v>
      </c>
      <c r="G9" s="9" t="n">
        <v>12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3297</v>
      </c>
      <c r="AH9" s="9" t="n">
        <v>3298</v>
      </c>
      <c r="AI9" s="9" t="n">
        <v>3294</v>
      </c>
      <c r="AJ9" s="9" t="n">
        <v>3296</v>
      </c>
      <c r="AK9" s="9" t="n">
        <v>3297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4</v>
      </c>
      <c r="D10" s="9" t="n">
        <v>17</v>
      </c>
      <c r="E10" s="9" t="n">
        <v>8</v>
      </c>
      <c r="F10" s="9" t="n">
        <v>14</v>
      </c>
      <c r="G10" s="9" t="n">
        <v>5</v>
      </c>
      <c r="H10" s="9" t="n">
        <v>6</v>
      </c>
      <c r="I10" s="62" t="n"/>
      <c r="J10" s="7" t="n">
        <v>6</v>
      </c>
      <c r="K10" s="41" t="inlineStr">
        <is>
          <t>J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11310</v>
      </c>
      <c r="AH10" s="9" t="n">
        <v>11314</v>
      </c>
      <c r="AI10" s="9" t="n">
        <v>11300</v>
      </c>
      <c r="AJ10" s="9" t="n">
        <v>11307</v>
      </c>
      <c r="AK10" s="9" t="n">
        <v>11310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202510</v>
      </c>
      <c r="AH11" s="9" t="n">
        <v>202575</v>
      </c>
      <c r="AI11" s="9" t="n">
        <v>202327</v>
      </c>
      <c r="AJ11" s="9" t="n">
        <v>202451</v>
      </c>
      <c r="AK11" s="9" t="n">
        <v>202505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28</v>
      </c>
      <c r="D12" s="9" t="n">
        <v>14</v>
      </c>
      <c r="E12" s="9" t="n">
        <v>13</v>
      </c>
      <c r="F12" s="9" t="n">
        <v>41</v>
      </c>
      <c r="G12" s="9" t="n">
        <v>24</v>
      </c>
      <c r="H12" s="9" t="n">
        <v>8</v>
      </c>
      <c r="I12" s="62" t="n"/>
      <c r="J12" s="7" t="n">
        <v>8</v>
      </c>
      <c r="K12" s="41" t="inlineStr">
        <is>
          <t>J</t>
        </is>
      </c>
      <c r="L12" s="41" t="inlineStr">
        <is>
          <t>Q</t>
        </is>
      </c>
      <c r="M12" s="41" t="inlineStr">
        <is>
          <t>J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208985</v>
      </c>
      <c r="AH12" s="9" t="n">
        <v>209052</v>
      </c>
      <c r="AI12" s="9" t="n">
        <v>208796</v>
      </c>
      <c r="AJ12" s="9" t="n">
        <v>208924</v>
      </c>
      <c r="AK12" s="9" t="n">
        <v>208979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25</v>
      </c>
      <c r="D13" s="9" t="n">
        <v>23</v>
      </c>
      <c r="E13" s="9" t="n">
        <v>47</v>
      </c>
      <c r="F13" s="9" t="n">
        <v>40</v>
      </c>
      <c r="G13" s="9" t="n">
        <v>31</v>
      </c>
      <c r="H13" s="9" t="n">
        <v>9</v>
      </c>
      <c r="I13" s="62" t="n"/>
      <c r="J13" s="7" t="n">
        <v>9</v>
      </c>
      <c r="K13" s="41" t="inlineStr">
        <is>
          <t>Q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J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238071</v>
      </c>
      <c r="AH13" s="9" t="n">
        <v>238148</v>
      </c>
      <c r="AI13" s="9" t="n">
        <v>237856</v>
      </c>
      <c r="AJ13" s="9" t="n">
        <v>238002</v>
      </c>
      <c r="AK13" s="9" t="n">
        <v>238065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65</v>
      </c>
      <c r="D14" s="9" t="n">
        <v>47</v>
      </c>
      <c r="E14" s="9" t="n">
        <v>64</v>
      </c>
      <c r="F14" s="9" t="n">
        <v>51</v>
      </c>
      <c r="G14" s="9" t="n">
        <v>54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316801</v>
      </c>
      <c r="AH14" s="9" t="n">
        <v>316903</v>
      </c>
      <c r="AI14" s="9" t="n">
        <v>316514</v>
      </c>
      <c r="AJ14" s="9" t="n">
        <v>316708</v>
      </c>
      <c r="AK14" s="9" t="n">
        <v>316792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J</t>
        </is>
      </c>
      <c r="L16" s="41" t="inlineStr">
        <is>
          <t>J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Q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J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J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J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J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Q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Q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J</t>
        </is>
      </c>
      <c r="O26" s="41" t="inlineStr">
        <is>
          <t>Q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J</t>
        </is>
      </c>
      <c r="N28" s="41" t="inlineStr">
        <is>
          <t>K</t>
        </is>
      </c>
      <c r="O28" s="41" t="inlineStr">
        <is>
          <t>J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K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J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Q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Q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J</t>
        </is>
      </c>
      <c r="L33" s="41" t="inlineStr">
        <is>
          <t>Q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Q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J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J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J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J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Q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J</t>
        </is>
      </c>
      <c r="M39" s="41" t="inlineStr">
        <is>
          <t>J</t>
        </is>
      </c>
      <c r="N39" s="41" t="inlineStr">
        <is>
          <t>Q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J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J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J</t>
        </is>
      </c>
      <c r="L43" s="41" t="inlineStr">
        <is>
          <t>J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Q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J</t>
        </is>
      </c>
      <c r="L45" s="41" t="inlineStr">
        <is>
          <t>J</t>
        </is>
      </c>
      <c r="M45" s="41" t="inlineStr">
        <is>
          <t>J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Q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J</t>
        </is>
      </c>
      <c r="O46" s="41" t="inlineStr">
        <is>
          <t>K</t>
        </is>
      </c>
      <c r="Q46" s="17" t="n">
        <v>6</v>
      </c>
      <c r="R46" s="17" t="n">
        <v>8</v>
      </c>
      <c r="S46" s="17" t="n">
        <v>7</v>
      </c>
      <c r="T46" s="17" t="n">
        <v>10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J</t>
        </is>
      </c>
      <c r="N48" s="41" t="inlineStr">
        <is>
          <t>J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J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Q</t>
        </is>
      </c>
      <c r="M50" s="41" t="inlineStr">
        <is>
          <t>M4</t>
        </is>
      </c>
      <c r="N50" s="41" t="inlineStr">
        <is>
          <t>J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J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Q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J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J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J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J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J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J</t>
        </is>
      </c>
      <c r="O60" s="41" t="inlineStr">
        <is>
          <t>Q</t>
        </is>
      </c>
      <c r="Q60" s="17" t="n">
        <v>10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J</t>
        </is>
      </c>
      <c r="M62" s="41" t="inlineStr">
        <is>
          <t>J</t>
        </is>
      </c>
      <c r="N62" s="41" t="inlineStr">
        <is>
          <t>J</t>
        </is>
      </c>
      <c r="O62" s="41" t="inlineStr">
        <is>
          <t>Q</t>
        </is>
      </c>
      <c r="Q62" s="17" t="n">
        <v>7</v>
      </c>
      <c r="R62" s="17" t="n">
        <v>10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J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J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J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J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J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Q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J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J</t>
        </is>
      </c>
      <c r="M69" s="41" t="inlineStr">
        <is>
          <t>J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J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J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J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J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J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10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J</t>
        </is>
      </c>
      <c r="O77" s="41" t="inlineStr">
        <is>
          <t>J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J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J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J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J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J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J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J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J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Q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Q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J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J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J</t>
        </is>
      </c>
      <c r="O91" s="41" t="inlineStr">
        <is>
          <t>J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J</t>
        </is>
      </c>
      <c r="N92" s="41" t="inlineStr">
        <is>
          <t>J</t>
        </is>
      </c>
      <c r="O92" s="41" t="inlineStr">
        <is>
          <t>Q</t>
        </is>
      </c>
      <c r="Q92" s="17" t="n">
        <v>10</v>
      </c>
      <c r="R92" s="17" t="n">
        <v>5</v>
      </c>
      <c r="S92" s="17" t="n">
        <v>10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Q</t>
        </is>
      </c>
      <c r="N93" s="41" t="inlineStr">
        <is>
          <t>K</t>
        </is>
      </c>
      <c r="O93" s="41" t="inlineStr">
        <is>
          <t>J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Q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J</t>
        </is>
      </c>
      <c r="M95" s="41" t="inlineStr">
        <is>
          <t>Q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Q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J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J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J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J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J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J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J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J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10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J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J</t>
        </is>
      </c>
      <c r="M105" s="41" t="inlineStr">
        <is>
          <t>J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J</t>
        </is>
      </c>
      <c r="N108" s="41" t="inlineStr">
        <is>
          <t>J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J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J</t>
        </is>
      </c>
      <c r="M110" s="41" t="inlineStr">
        <is>
          <t>J</t>
        </is>
      </c>
      <c r="N110" s="41" t="inlineStr">
        <is>
          <t>J</t>
        </is>
      </c>
      <c r="O110" s="41" t="inlineStr">
        <is>
          <t>J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J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J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J</t>
        </is>
      </c>
      <c r="L112" s="41" t="inlineStr">
        <is>
          <t>J</t>
        </is>
      </c>
      <c r="M112" s="41" t="inlineStr">
        <is>
          <t>J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J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J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J</t>
        </is>
      </c>
      <c r="O116" s="41" t="inlineStr">
        <is>
          <t>J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J</t>
        </is>
      </c>
      <c r="N117" s="41" t="inlineStr">
        <is>
          <t>J</t>
        </is>
      </c>
      <c r="O117" s="41" t="inlineStr">
        <is>
          <t>J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J</t>
        </is>
      </c>
      <c r="O119" s="41" t="inlineStr">
        <is>
          <t>J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J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J</t>
        </is>
      </c>
      <c r="M122" s="41" t="inlineStr">
        <is>
          <t>J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J</t>
        </is>
      </c>
      <c r="L124" s="41" t="inlineStr">
        <is>
          <t>M4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J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J</t>
        </is>
      </c>
      <c r="M127" s="41" t="inlineStr">
        <is>
          <t>Q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J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Q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J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J</t>
        </is>
      </c>
      <c r="N130" s="41" t="inlineStr">
        <is>
          <t>J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J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J</t>
        </is>
      </c>
      <c r="N133" s="41" t="inlineStr">
        <is>
          <t>J</t>
        </is>
      </c>
      <c r="O133" s="41" t="inlineStr">
        <is>
          <t>J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J</t>
        </is>
      </c>
      <c r="M134" s="41" t="inlineStr">
        <is>
          <t>Q</t>
        </is>
      </c>
      <c r="N134" s="41" t="inlineStr">
        <is>
          <t>Q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J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J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J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Q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J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J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M1</t>
        </is>
      </c>
      <c r="O144" s="41" t="inlineStr">
        <is>
          <t>Q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J</t>
        </is>
      </c>
      <c r="M145" s="41" t="inlineStr">
        <is>
          <t>J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Q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J</t>
        </is>
      </c>
      <c r="N147" s="41" t="inlineStr">
        <is>
          <t>J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J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Q</t>
        </is>
      </c>
      <c r="M149" s="41" t="inlineStr">
        <is>
          <t>A</t>
        </is>
      </c>
      <c r="N149" s="41" t="inlineStr">
        <is>
          <t>J</t>
        </is>
      </c>
      <c r="O149" s="41" t="inlineStr">
        <is>
          <t>J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J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J</t>
        </is>
      </c>
      <c r="L155" s="41" t="inlineStr">
        <is>
          <t>K</t>
        </is>
      </c>
      <c r="M155" s="41" t="inlineStr">
        <is>
          <t>Q</t>
        </is>
      </c>
      <c r="N155" s="41" t="inlineStr">
        <is>
          <t>K</t>
        </is>
      </c>
      <c r="O155" s="41" t="inlineStr">
        <is>
          <t>J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J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J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J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J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J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J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J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J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A</t>
        </is>
      </c>
      <c r="M164" s="41" t="inlineStr">
        <is>
          <t>Q</t>
        </is>
      </c>
      <c r="N164" s="41" t="inlineStr">
        <is>
          <t>J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J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J</t>
        </is>
      </c>
      <c r="L167" s="41" t="inlineStr">
        <is>
          <t>J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J</t>
        </is>
      </c>
      <c r="M168" s="41" t="inlineStr">
        <is>
          <t>A</t>
        </is>
      </c>
      <c r="N168" s="41" t="inlineStr">
        <is>
          <t>Q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J</t>
        </is>
      </c>
      <c r="L169" s="41" t="inlineStr">
        <is>
          <t>J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Q</t>
        </is>
      </c>
      <c r="N171" s="41" t="inlineStr">
        <is>
          <t>K</t>
        </is>
      </c>
      <c r="O171" s="41" t="inlineStr">
        <is>
          <t>J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J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10631</v>
      </c>
      <c r="X172" s="7" t="n">
        <v>10000</v>
      </c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9423</v>
      </c>
      <c r="X173" s="7" t="n">
        <v>10000</v>
      </c>
      <c r="Y173" s="7" t="n">
        <v>10897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J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9507</v>
      </c>
      <c r="Y174" s="7" t="n">
        <v>11146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10355</v>
      </c>
      <c r="Y175" s="7" t="n">
        <v>10887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K</t>
        </is>
      </c>
      <c r="M176" s="41" t="inlineStr">
        <is>
          <t>Q</t>
        </is>
      </c>
      <c r="O176" s="41" t="inlineStr">
        <is>
          <t>Q</t>
        </is>
      </c>
      <c r="Q176" s="17" t="n">
        <v>4</v>
      </c>
      <c r="S176" s="17" t="n">
        <v>9</v>
      </c>
      <c r="U176" s="17" t="n">
        <v>3</v>
      </c>
      <c r="W176" s="7" t="n">
        <v>10016</v>
      </c>
      <c r="Y176" s="7" t="n">
        <v>10000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J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10196</v>
      </c>
      <c r="Y177" s="7" t="n">
        <v>10000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9327</v>
      </c>
      <c r="Y178" s="7" t="n">
        <v>10000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10642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958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42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4</v>
      </c>
      <c r="D6" s="9" t="n">
        <v>4</v>
      </c>
      <c r="E6" s="9" t="n">
        <v>4</v>
      </c>
      <c r="F6" s="9" t="n">
        <v>4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20000</v>
      </c>
      <c r="AH6" s="9" t="n">
        <v>19700</v>
      </c>
      <c r="AI6" s="9" t="n">
        <v>21100</v>
      </c>
      <c r="AJ6" s="9" t="n">
        <v>20400</v>
      </c>
      <c r="AK6" s="9" t="n">
        <v>19900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35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38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34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34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174600</v>
      </c>
      <c r="AH14" s="9" t="n">
        <v>146500</v>
      </c>
      <c r="AI14" s="9" t="n">
        <v>181900</v>
      </c>
      <c r="AJ14" s="9" t="n">
        <v>148400</v>
      </c>
      <c r="AK14" s="9" t="n">
        <v>180600</v>
      </c>
    </row>
    <row r="15" ht="15.9" customHeight="1" s="18">
      <c r="C15" s="63" t="n">
        <v>176</v>
      </c>
      <c r="D15" s="63" t="n">
        <v>168</v>
      </c>
      <c r="E15" s="63" t="n">
        <v>172</v>
      </c>
      <c r="F15" s="63" t="n">
        <v>169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0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0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0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0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  <c r="AC35" s="16" t="inlineStr">
        <is>
          <t>Gold_Count_Weight</t>
        </is>
      </c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  <c r="AC36" s="65" t="inlineStr">
        <is>
          <t>Count</t>
        </is>
      </c>
      <c r="AD36" s="65" t="inlineStr">
        <is>
          <t>R1</t>
        </is>
      </c>
      <c r="AE36" s="65" t="inlineStr">
        <is>
          <t>R2</t>
        </is>
      </c>
      <c r="AF36" s="65" t="inlineStr">
        <is>
          <t>R3</t>
        </is>
      </c>
      <c r="AG36" s="65" t="inlineStr">
        <is>
          <t>R4</t>
        </is>
      </c>
      <c r="AH36" s="65" t="inlineStr">
        <is>
          <t>R5</t>
        </is>
      </c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  <c r="AC37" s="70" t="n">
        <v>0</v>
      </c>
      <c r="AD37" s="71" t="n">
        <v>100000</v>
      </c>
      <c r="AE37" s="71" t="n">
        <v>52142</v>
      </c>
      <c r="AF37" s="71" t="n">
        <v>61771</v>
      </c>
      <c r="AG37" s="71" t="n">
        <v>72894</v>
      </c>
      <c r="AH37" s="71" t="n">
        <v>100000</v>
      </c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  <c r="AC38" s="70" t="n">
        <v>1</v>
      </c>
      <c r="AD38" s="71" t="n">
        <v>0</v>
      </c>
      <c r="AE38" s="71" t="n">
        <v>36875</v>
      </c>
      <c r="AF38" s="71" t="n">
        <v>31623</v>
      </c>
      <c r="AG38" s="71" t="n">
        <v>23982</v>
      </c>
      <c r="AH38" s="71" t="n">
        <v>0</v>
      </c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  <c r="AC39" s="70" t="n">
        <v>2</v>
      </c>
      <c r="AD39" s="71" t="n">
        <v>0</v>
      </c>
      <c r="AE39" s="71" t="n">
        <v>9779</v>
      </c>
      <c r="AF39" s="71" t="n">
        <v>6071</v>
      </c>
      <c r="AG39" s="71" t="n">
        <v>2959</v>
      </c>
      <c r="AH39" s="71" t="n">
        <v>0</v>
      </c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  <c r="AC40" s="70" t="n">
        <v>3</v>
      </c>
      <c r="AD40" s="71" t="n">
        <v>0</v>
      </c>
      <c r="AE40" s="71" t="n">
        <v>1153</v>
      </c>
      <c r="AF40" s="71" t="n">
        <v>518</v>
      </c>
      <c r="AG40" s="71" t="n">
        <v>162</v>
      </c>
      <c r="AH40" s="71" t="n">
        <v>0</v>
      </c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  <c r="AC41" s="70" t="n">
        <v>4</v>
      </c>
      <c r="AD41" s="71" t="n">
        <v>0</v>
      </c>
      <c r="AE41" s="71" t="n">
        <v>51</v>
      </c>
      <c r="AF41" s="71" t="n">
        <v>17</v>
      </c>
      <c r="AG41" s="71" t="n">
        <v>3</v>
      </c>
      <c r="AH41" s="71" t="n">
        <v>0</v>
      </c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  <c r="AC43" s="16" t="inlineStr">
        <is>
          <t>Note: Table 3 copies Super Ace (field capture): reels, stop weights, drop weights, gold frames per reel (binomial from per-cell rate), Big Wild share (BG 4.2%, FG 0%), no Wild multipliers. This block overrides the Parameter Gold Count Weight for this table only.</t>
        </is>
      </c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C1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2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C1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2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C1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2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C1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2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C1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2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C1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2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21" t="n"/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21" t="n"/>
      <c r="S172" s="17" t="n">
        <v>5</v>
      </c>
      <c r="T172" s="17" t="n">
        <v>5</v>
      </c>
      <c r="U172" s="17" t="n">
        <v>5</v>
      </c>
      <c r="W172" s="7" t="n">
        <v>10631</v>
      </c>
      <c r="X172" s="21" t="n"/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21" t="n"/>
      <c r="M173" s="41" t="inlineStr">
        <is>
          <t>Q</t>
        </is>
      </c>
      <c r="N173" s="21" t="n"/>
      <c r="O173" s="41" t="inlineStr">
        <is>
          <t>M3</t>
        </is>
      </c>
      <c r="Q173" s="17" t="n">
        <v>10</v>
      </c>
      <c r="R173" s="21" t="n"/>
      <c r="S173" s="17" t="n">
        <v>9</v>
      </c>
      <c r="T173" s="21" t="n"/>
      <c r="U173" s="17" t="n">
        <v>5</v>
      </c>
      <c r="W173" s="7" t="n">
        <v>9423</v>
      </c>
      <c r="X173" s="21" t="n"/>
      <c r="Y173" s="7" t="n">
        <v>10897</v>
      </c>
      <c r="Z173" s="21" t="n"/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21" t="n"/>
      <c r="O174" s="41" t="inlineStr">
        <is>
          <t>M3</t>
        </is>
      </c>
      <c r="Q174" s="17" t="n">
        <v>7</v>
      </c>
      <c r="S174" s="17" t="n">
        <v>10</v>
      </c>
      <c r="T174" s="21" t="n"/>
      <c r="U174" s="17" t="n">
        <v>5</v>
      </c>
      <c r="W174" s="7" t="n">
        <v>9507</v>
      </c>
      <c r="Y174" s="7" t="n">
        <v>11146</v>
      </c>
      <c r="Z174" s="21" t="n"/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21" t="n"/>
      <c r="O175" s="41" t="inlineStr">
        <is>
          <t>K</t>
        </is>
      </c>
      <c r="Q175" s="17" t="n">
        <v>8</v>
      </c>
      <c r="S175" s="17" t="n">
        <v>10</v>
      </c>
      <c r="T175" s="21" t="n"/>
      <c r="U175" s="17" t="n">
        <v>8</v>
      </c>
      <c r="W175" s="7" t="n">
        <v>10355</v>
      </c>
      <c r="Y175" s="7" t="n">
        <v>10887</v>
      </c>
      <c r="Z175" s="21" t="n"/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21" t="n"/>
      <c r="O176" s="41" t="inlineStr">
        <is>
          <t>M1</t>
        </is>
      </c>
      <c r="Q176" s="17" t="n">
        <v>4</v>
      </c>
      <c r="S176" s="21" t="n"/>
      <c r="U176" s="17" t="n">
        <v>3</v>
      </c>
      <c r="W176" s="7" t="n">
        <v>10016</v>
      </c>
      <c r="Y176" s="21" t="n"/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21" t="n"/>
      <c r="Q177" s="17" t="n">
        <v>6</v>
      </c>
      <c r="S177" s="21" t="n"/>
      <c r="W177" s="7" t="n">
        <v>10196</v>
      </c>
      <c r="Y177" s="21" t="n"/>
      <c r="AB177" s="13" t="n"/>
    </row>
    <row r="178" ht="15.6" customHeight="1" s="18">
      <c r="J178" s="7" t="n">
        <v>174</v>
      </c>
      <c r="K178" s="41" t="inlineStr">
        <is>
          <t>M2</t>
        </is>
      </c>
      <c r="M178" s="21" t="n"/>
      <c r="Q178" s="17" t="n">
        <v>4</v>
      </c>
      <c r="S178" s="21" t="n"/>
      <c r="W178" s="7" t="n">
        <v>9327</v>
      </c>
      <c r="Y178" s="21" t="n"/>
      <c r="AB178" s="13" t="n"/>
    </row>
    <row r="179" ht="15.6" customHeight="1" s="18">
      <c r="J179" s="7" t="n">
        <v>175</v>
      </c>
      <c r="K179" s="41" t="inlineStr">
        <is>
          <t>M1</t>
        </is>
      </c>
      <c r="M179" s="21" t="n"/>
      <c r="Q179" s="17" t="n">
        <v>3</v>
      </c>
      <c r="S179" s="21" t="n"/>
      <c r="W179" s="7" t="n">
        <v>10642</v>
      </c>
      <c r="Y179" s="21" t="n"/>
      <c r="AB179" s="13" t="n"/>
    </row>
    <row r="180" ht="15.6" customHeight="1" s="18">
      <c r="J180" s="21" t="n"/>
      <c r="M180" s="21" t="n"/>
      <c r="S180" s="21" t="n"/>
      <c r="Y180" s="21" t="n"/>
      <c r="AB180" s="13" t="n"/>
    </row>
    <row r="181" ht="15.6" customHeight="1" s="18">
      <c r="J181" s="21" t="n"/>
      <c r="M181" s="21" t="n"/>
      <c r="S181" s="21" t="n"/>
      <c r="Y181" s="21" t="n"/>
      <c r="AB181" s="13" t="n"/>
    </row>
    <row r="182" ht="15.6" customHeight="1" s="18">
      <c r="J182" s="21" t="n"/>
      <c r="M182" s="21" t="n"/>
      <c r="S182" s="21" t="n"/>
      <c r="Y182" s="21" t="n"/>
      <c r="AB182" s="13" t="n"/>
    </row>
    <row r="183" ht="15.6" customHeight="1" s="18">
      <c r="J183" s="21" t="n"/>
      <c r="M183" s="21" t="n"/>
      <c r="S183" s="21" t="n"/>
      <c r="Y183" s="21" t="n"/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W1" sqref="W1:AA1048576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88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12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M4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48900</v>
      </c>
      <c r="AH7" s="9" t="n">
        <v>97400</v>
      </c>
      <c r="AI7" s="9" t="n">
        <v>51800</v>
      </c>
      <c r="AJ7" s="9" t="n">
        <v>97400</v>
      </c>
      <c r="AK7" s="9" t="n">
        <v>52800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100600</v>
      </c>
      <c r="AH8" s="9" t="n">
        <v>46800</v>
      </c>
      <c r="AI8" s="9" t="n">
        <v>102800</v>
      </c>
      <c r="AJ8" s="9" t="n">
        <v>50300</v>
      </c>
      <c r="AK8" s="9" t="n">
        <v>108900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M4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101000</v>
      </c>
      <c r="AH9" s="9" t="n">
        <v>74700</v>
      </c>
      <c r="AI9" s="9" t="n">
        <v>75400</v>
      </c>
      <c r="AJ9" s="9" t="n">
        <v>72400</v>
      </c>
      <c r="AK9" s="9" t="n">
        <v>76800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M2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98000</v>
      </c>
      <c r="AH10" s="9" t="n">
        <v>124200</v>
      </c>
      <c r="AI10" s="9" t="n">
        <v>76700</v>
      </c>
      <c r="AJ10" s="9" t="n">
        <v>123600</v>
      </c>
      <c r="AK10" s="9" t="n">
        <v>83000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M3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151300</v>
      </c>
      <c r="AH11" s="9" t="n">
        <v>177100</v>
      </c>
      <c r="AI11" s="9" t="n">
        <v>160300</v>
      </c>
      <c r="AJ11" s="9" t="n">
        <v>174400</v>
      </c>
      <c r="AK11" s="9" t="n">
        <v>151200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22</v>
      </c>
      <c r="H12" s="9" t="n">
        <v>8</v>
      </c>
      <c r="I12" s="62" t="n"/>
      <c r="J12" s="7" t="n">
        <v>8</v>
      </c>
      <c r="K12" s="41" t="inlineStr">
        <is>
          <t>M2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149600</v>
      </c>
      <c r="AH12" s="9" t="n">
        <v>173300</v>
      </c>
      <c r="AI12" s="9" t="n">
        <v>153300</v>
      </c>
      <c r="AJ12" s="9" t="n">
        <v>172900</v>
      </c>
      <c r="AK12" s="9" t="n">
        <v>149300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171900</v>
      </c>
      <c r="AH13" s="9" t="n">
        <v>147200</v>
      </c>
      <c r="AI13" s="9" t="n">
        <v>186200</v>
      </c>
      <c r="AJ13" s="9" t="n">
        <v>151500</v>
      </c>
      <c r="AK13" s="9" t="n">
        <v>187600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171600</v>
      </c>
      <c r="AH14" s="9" t="n">
        <v>151400</v>
      </c>
      <c r="AI14" s="9" t="n">
        <v>183600</v>
      </c>
      <c r="AJ14" s="9" t="n">
        <v>148300</v>
      </c>
      <c r="AK14" s="9" t="n">
        <v>180600</v>
      </c>
    </row>
    <row r="15" ht="15.9" customHeight="1" s="18">
      <c r="C15" s="63" t="n">
        <v>174</v>
      </c>
      <c r="D15" s="63" t="n">
        <v>169</v>
      </c>
      <c r="E15" s="63" t="n">
        <v>178</v>
      </c>
      <c r="F15" s="63" t="n">
        <v>170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M3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M3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M4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M4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M4</t>
        </is>
      </c>
      <c r="O19" s="41" t="inlineStr">
        <is>
          <t>M4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400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M2</t>
        </is>
      </c>
      <c r="M21" s="41" t="inlineStr">
        <is>
          <t>M4</t>
        </is>
      </c>
      <c r="N21" s="41" t="inlineStr">
        <is>
          <t>M4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M2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M4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M4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M4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M2</t>
        </is>
      </c>
      <c r="M28" s="41" t="inlineStr">
        <is>
          <t>Q</t>
        </is>
      </c>
      <c r="N28" s="41" t="inlineStr">
        <is>
          <t>M2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186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M3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M2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M1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M1</t>
        </is>
      </c>
      <c r="L33" s="41" t="inlineStr">
        <is>
          <t>M4</t>
        </is>
      </c>
      <c r="M33" s="41" t="inlineStr">
        <is>
          <t>M3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M4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</row>
    <row r="36" ht="16.5" customHeight="1" s="18">
      <c r="J36" s="7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M2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</row>
    <row r="37" ht="16.5" customHeight="1" s="18">
      <c r="J37" s="7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</row>
    <row r="40" ht="16.5" customHeight="1" s="18">
      <c r="J40" s="7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M1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M2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M3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M2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M4</t>
        </is>
      </c>
      <c r="L50" s="41" t="inlineStr">
        <is>
          <t>M2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M4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M3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M3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M1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M1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M1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M1</t>
        </is>
      </c>
      <c r="M60" s="41" t="inlineStr">
        <is>
          <t>M4</t>
        </is>
      </c>
      <c r="N60" s="41" t="inlineStr">
        <is>
          <t>K</t>
        </is>
      </c>
      <c r="O60" s="41" t="inlineStr">
        <is>
          <t>M2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M4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M4</t>
        </is>
      </c>
      <c r="M64" s="41" t="inlineStr">
        <is>
          <t>M3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M4</t>
        </is>
      </c>
      <c r="N66" s="41" t="inlineStr">
        <is>
          <t>K</t>
        </is>
      </c>
      <c r="O66" s="41" t="inlineStr">
        <is>
          <t>M3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M4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M2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M3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M4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M2</t>
        </is>
      </c>
      <c r="O74" s="41" t="inlineStr">
        <is>
          <t>M1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M2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M4</t>
        </is>
      </c>
      <c r="N78" s="41" t="inlineStr">
        <is>
          <t>A</t>
        </is>
      </c>
      <c r="O78" s="41" t="inlineStr">
        <is>
          <t>M3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M3</t>
        </is>
      </c>
      <c r="N79" s="41" t="inlineStr">
        <is>
          <t>M3</t>
        </is>
      </c>
      <c r="O79" s="41" t="inlineStr">
        <is>
          <t>M4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M2</t>
        </is>
      </c>
      <c r="N80" s="41" t="inlineStr">
        <is>
          <t>M3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M1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M1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M1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Q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M2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M3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M1</t>
        </is>
      </c>
      <c r="M89" s="41" t="inlineStr">
        <is>
          <t>M4</t>
        </is>
      </c>
      <c r="N89" s="41" t="inlineStr">
        <is>
          <t>Q</t>
        </is>
      </c>
      <c r="O89" s="41" t="inlineStr">
        <is>
          <t>M3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M3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M3</t>
        </is>
      </c>
      <c r="O92" s="41" t="inlineStr">
        <is>
          <t>M1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M3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M3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M4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M2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M1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M3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M2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M1</t>
        </is>
      </c>
      <c r="O105" s="41" t="inlineStr">
        <is>
          <t>M3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M3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M2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M2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M2</t>
        </is>
      </c>
      <c r="L110" s="41" t="inlineStr">
        <is>
          <t>M4</t>
        </is>
      </c>
      <c r="M110" s="41" t="inlineStr">
        <is>
          <t>M3</t>
        </is>
      </c>
      <c r="N110" s="41" t="inlineStr">
        <is>
          <t>M3</t>
        </is>
      </c>
      <c r="O110" s="41" t="inlineStr">
        <is>
          <t>M2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M2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M2</t>
        </is>
      </c>
      <c r="M112" s="41" t="inlineStr">
        <is>
          <t>M4</t>
        </is>
      </c>
      <c r="N112" s="41" t="inlineStr">
        <is>
          <t>Q</t>
        </is>
      </c>
      <c r="O112" s="41" t="inlineStr">
        <is>
          <t>M2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M2</t>
        </is>
      </c>
      <c r="O113" s="41" t="inlineStr">
        <is>
          <t>M3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M4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M4</t>
        </is>
      </c>
      <c r="L116" s="41" t="inlineStr">
        <is>
          <t>M4</t>
        </is>
      </c>
      <c r="M116" s="41" t="inlineStr">
        <is>
          <t>M1</t>
        </is>
      </c>
      <c r="N116" s="41" t="inlineStr">
        <is>
          <t>M1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M3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M3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M4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M1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M2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M1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M2</t>
        </is>
      </c>
      <c r="L127" s="41" t="inlineStr">
        <is>
          <t>M4</t>
        </is>
      </c>
      <c r="M127" s="41" t="inlineStr">
        <is>
          <t>M3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M2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M4</t>
        </is>
      </c>
      <c r="M131" s="41" t="inlineStr">
        <is>
          <t>M4</t>
        </is>
      </c>
      <c r="N131" s="41" t="inlineStr">
        <is>
          <t>K</t>
        </is>
      </c>
      <c r="O131" s="41" t="inlineStr">
        <is>
          <t>M4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M3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M3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M4</t>
        </is>
      </c>
      <c r="M134" s="41" t="inlineStr">
        <is>
          <t>M3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M2</t>
        </is>
      </c>
      <c r="N135" s="41" t="inlineStr">
        <is>
          <t>M4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M4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M4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M3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M3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M2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M2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M3</t>
        </is>
      </c>
      <c r="M140" s="41" t="inlineStr">
        <is>
          <t>J</t>
        </is>
      </c>
      <c r="N140" s="41" t="inlineStr">
        <is>
          <t>M2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M3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M3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M2</t>
        </is>
      </c>
      <c r="O146" s="41" t="inlineStr">
        <is>
          <t>M4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M2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M4</t>
        </is>
      </c>
      <c r="O154" s="41" t="inlineStr">
        <is>
          <t>M1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M3</t>
        </is>
      </c>
      <c r="L156" s="41" t="inlineStr">
        <is>
          <t>A</t>
        </is>
      </c>
      <c r="M156" s="41" t="inlineStr">
        <is>
          <t>M2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M4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M2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M2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M3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M1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M2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M2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M4</t>
        </is>
      </c>
      <c r="L167" s="41" t="inlineStr">
        <is>
          <t>A</t>
        </is>
      </c>
      <c r="M167" s="41" t="inlineStr">
        <is>
          <t>M3</t>
        </is>
      </c>
      <c r="N167" s="41" t="inlineStr">
        <is>
          <t>K</t>
        </is>
      </c>
      <c r="O167" s="41" t="inlineStr">
        <is>
          <t>M3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M4</t>
        </is>
      </c>
      <c r="L168" s="41" t="inlineStr">
        <is>
          <t>M2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M3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M3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M2</t>
        </is>
      </c>
      <c r="L171" s="41" t="inlineStr">
        <is>
          <t>A</t>
        </is>
      </c>
      <c r="M171" s="41" t="inlineStr">
        <is>
          <t>A</t>
        </is>
      </c>
      <c r="N171" s="41" t="inlineStr">
        <is>
          <t>K</t>
        </is>
      </c>
      <c r="O171" s="41" t="inlineStr">
        <is>
          <t>J</t>
        </is>
      </c>
      <c r="Q171" s="17" t="n">
        <v>4</v>
      </c>
      <c r="R171" s="17" t="n">
        <v>7</v>
      </c>
      <c r="S171" s="17" t="n">
        <v>7</v>
      </c>
      <c r="T171" s="17" t="n">
        <v>8</v>
      </c>
      <c r="U171" s="17" t="n">
        <v>10</v>
      </c>
      <c r="W171" s="7" t="n">
        <v>9639</v>
      </c>
      <c r="X171" s="7" t="n">
        <v>10000</v>
      </c>
      <c r="Y171" s="7" t="n">
        <v>11150</v>
      </c>
      <c r="Z171" s="7" t="n">
        <v>10000</v>
      </c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J</t>
        </is>
      </c>
      <c r="N172" s="41" t="inlineStr">
        <is>
          <t>K</t>
        </is>
      </c>
      <c r="O172" s="41" t="inlineStr">
        <is>
          <t>A</t>
        </is>
      </c>
      <c r="Q172" s="17" t="n">
        <v>3</v>
      </c>
      <c r="R172" s="17" t="n">
        <v>7</v>
      </c>
      <c r="S172" s="17" t="n">
        <v>10</v>
      </c>
      <c r="T172" s="17" t="n">
        <v>8</v>
      </c>
      <c r="U172" s="17" t="n">
        <v>7</v>
      </c>
      <c r="W172" s="7" t="n">
        <v>9485</v>
      </c>
      <c r="X172" s="7" t="n">
        <v>10000</v>
      </c>
      <c r="Y172" s="7" t="n">
        <v>9568</v>
      </c>
      <c r="Z172" s="7" t="n">
        <v>10000</v>
      </c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41" t="inlineStr">
        <is>
          <t>K</t>
        </is>
      </c>
      <c r="Q173" s="17" t="n">
        <v>9</v>
      </c>
      <c r="S173" s="17" t="n">
        <v>5</v>
      </c>
      <c r="T173" s="17" t="n">
        <v>8</v>
      </c>
      <c r="W173" s="7" t="n">
        <v>10101</v>
      </c>
      <c r="Y173" s="7" t="n">
        <v>8212</v>
      </c>
      <c r="Z173" s="7" t="n">
        <v>10000</v>
      </c>
      <c r="AB173" s="13" t="n"/>
    </row>
    <row r="174" ht="15.6" customHeight="1" s="18">
      <c r="J174" s="7" t="n">
        <v>170</v>
      </c>
      <c r="K174" s="41" t="inlineStr">
        <is>
          <t>M2</t>
        </is>
      </c>
      <c r="M174" s="41" t="inlineStr">
        <is>
          <t>Q</t>
        </is>
      </c>
      <c r="Q174" s="17" t="n">
        <v>4</v>
      </c>
      <c r="S174" s="17" t="n">
        <v>9</v>
      </c>
      <c r="W174" s="7" t="n">
        <v>8791</v>
      </c>
      <c r="Y174" s="7" t="n">
        <v>10000</v>
      </c>
      <c r="AB174" s="13" t="n"/>
    </row>
    <row r="175" ht="15.6" customHeight="1" s="18">
      <c r="J175" s="7" t="n">
        <v>171</v>
      </c>
      <c r="K175" s="41" t="inlineStr">
        <is>
          <t>A</t>
        </is>
      </c>
      <c r="M175" s="41" t="inlineStr">
        <is>
          <t>Q</t>
        </is>
      </c>
      <c r="Q175" s="17" t="n">
        <v>7</v>
      </c>
      <c r="S175" s="17" t="n">
        <v>9</v>
      </c>
      <c r="W175" s="7" t="n">
        <v>9947</v>
      </c>
      <c r="Y175" s="7" t="n">
        <v>10000</v>
      </c>
      <c r="AB175" s="13" t="n"/>
    </row>
    <row r="176" ht="15.6" customHeight="1" s="18">
      <c r="J176" s="7" t="n">
        <v>172</v>
      </c>
      <c r="K176" s="41" t="inlineStr">
        <is>
          <t>J</t>
        </is>
      </c>
      <c r="M176" s="41" t="inlineStr">
        <is>
          <t>Q</t>
        </is>
      </c>
      <c r="Q176" s="17" t="n">
        <v>10</v>
      </c>
      <c r="S176" s="17" t="n">
        <v>9</v>
      </c>
      <c r="W176" s="7" t="n">
        <v>11798</v>
      </c>
      <c r="Y176" s="7" t="n">
        <v>10000</v>
      </c>
      <c r="AB176" s="13" t="n"/>
    </row>
    <row r="177" ht="15.6" customHeight="1" s="18">
      <c r="J177" s="7" t="n">
        <v>173</v>
      </c>
      <c r="K177" s="41" t="inlineStr">
        <is>
          <t>K</t>
        </is>
      </c>
      <c r="M177" s="41" t="inlineStr">
        <is>
          <t>Q</t>
        </is>
      </c>
      <c r="Q177" s="17" t="n">
        <v>8</v>
      </c>
      <c r="S177" s="17" t="n">
        <v>9</v>
      </c>
      <c r="W177" s="7" t="n">
        <v>11027</v>
      </c>
      <c r="Y177" s="7" t="n">
        <v>10000</v>
      </c>
      <c r="AB177" s="13" t="n"/>
    </row>
    <row r="178" ht="15.6" customHeight="1" s="18">
      <c r="J178" s="7" t="n">
        <v>174</v>
      </c>
      <c r="M178" s="41" t="inlineStr">
        <is>
          <t>J</t>
        </is>
      </c>
      <c r="S178" s="17" t="n">
        <v>10</v>
      </c>
      <c r="Y178" s="7" t="n">
        <v>10000</v>
      </c>
      <c r="AB178" s="13" t="n"/>
    </row>
    <row r="179" ht="15.6" customHeight="1" s="18">
      <c r="J179" s="7" t="n">
        <v>175</v>
      </c>
      <c r="M179" s="41" t="inlineStr">
        <is>
          <t>J</t>
        </is>
      </c>
      <c r="S179" s="17" t="n">
        <v>10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A1" sqref="A1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88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J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12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6</v>
      </c>
      <c r="D7" s="9" t="n">
        <v>3</v>
      </c>
      <c r="E7" s="9" t="n">
        <v>8</v>
      </c>
      <c r="F7" s="9" t="n">
        <v>6</v>
      </c>
      <c r="G7" s="9" t="n">
        <v>7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J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1384</v>
      </c>
      <c r="AH7" s="9" t="n">
        <v>1383</v>
      </c>
      <c r="AI7" s="9" t="n">
        <v>1380</v>
      </c>
      <c r="AJ7" s="9" t="n">
        <v>1381</v>
      </c>
      <c r="AK7" s="9" t="n">
        <v>1380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11</v>
      </c>
      <c r="D8" s="9" t="n">
        <v>11</v>
      </c>
      <c r="E8" s="9" t="n">
        <v>9</v>
      </c>
      <c r="F8" s="9" t="n">
        <v>4</v>
      </c>
      <c r="G8" s="9" t="n">
        <v>11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3653</v>
      </c>
      <c r="AH8" s="9" t="n">
        <v>3650</v>
      </c>
      <c r="AI8" s="9" t="n">
        <v>3642</v>
      </c>
      <c r="AJ8" s="9" t="n">
        <v>3645</v>
      </c>
      <c r="AK8" s="9" t="n">
        <v>3643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5</v>
      </c>
      <c r="D9" s="9" t="n">
        <v>10</v>
      </c>
      <c r="E9" s="9" t="n">
        <v>16</v>
      </c>
      <c r="F9" s="9" t="n">
        <v>5</v>
      </c>
      <c r="G9" s="9" t="n">
        <v>9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J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3188</v>
      </c>
      <c r="AH9" s="9" t="n">
        <v>3185</v>
      </c>
      <c r="AI9" s="9" t="n">
        <v>3179</v>
      </c>
      <c r="AJ9" s="9" t="n">
        <v>3181</v>
      </c>
      <c r="AK9" s="9" t="n">
        <v>3179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9</v>
      </c>
      <c r="D10" s="9" t="n">
        <v>22</v>
      </c>
      <c r="E10" s="9" t="n">
        <v>6</v>
      </c>
      <c r="F10" s="9" t="n">
        <v>15</v>
      </c>
      <c r="G10" s="9" t="n">
        <v>5</v>
      </c>
      <c r="H10" s="9" t="n">
        <v>6</v>
      </c>
      <c r="I10" s="62" t="n"/>
      <c r="J10" s="7" t="n">
        <v>6</v>
      </c>
      <c r="K10" s="41" t="inlineStr">
        <is>
          <t>Q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12928</v>
      </c>
      <c r="AH10" s="9" t="n">
        <v>12918</v>
      </c>
      <c r="AI10" s="9" t="n">
        <v>12892</v>
      </c>
      <c r="AJ10" s="9" t="n">
        <v>12901</v>
      </c>
      <c r="AK10" s="9" t="n">
        <v>12893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J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226032</v>
      </c>
      <c r="AH11" s="9" t="n">
        <v>225850</v>
      </c>
      <c r="AI11" s="9" t="n">
        <v>225395</v>
      </c>
      <c r="AJ11" s="9" t="n">
        <v>225554</v>
      </c>
      <c r="AK11" s="9" t="n">
        <v>225417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28</v>
      </c>
      <c r="D12" s="9" t="n">
        <v>14</v>
      </c>
      <c r="E12" s="9" t="n">
        <v>13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J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200804</v>
      </c>
      <c r="AH12" s="9" t="n">
        <v>200642</v>
      </c>
      <c r="AI12" s="9" t="n">
        <v>200238</v>
      </c>
      <c r="AJ12" s="9" t="n">
        <v>200379</v>
      </c>
      <c r="AK12" s="9" t="n">
        <v>200258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24</v>
      </c>
      <c r="D13" s="9" t="n">
        <v>23</v>
      </c>
      <c r="E13" s="9" t="n">
        <v>46</v>
      </c>
      <c r="F13" s="9" t="n">
        <v>39</v>
      </c>
      <c r="G13" s="9" t="n">
        <v>31</v>
      </c>
      <c r="H13" s="9" t="n">
        <v>9</v>
      </c>
      <c r="I13" s="62" t="n"/>
      <c r="J13" s="7" t="n">
        <v>9</v>
      </c>
      <c r="K13" s="41" t="inlineStr">
        <is>
          <t>Q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J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281128</v>
      </c>
      <c r="AH13" s="9" t="n">
        <v>280901</v>
      </c>
      <c r="AI13" s="9" t="n">
        <v>280335</v>
      </c>
      <c r="AJ13" s="9" t="n">
        <v>280533</v>
      </c>
      <c r="AK13" s="9" t="n">
        <v>280363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62</v>
      </c>
      <c r="D14" s="9" t="n">
        <v>46</v>
      </c>
      <c r="E14" s="9" t="n">
        <v>61</v>
      </c>
      <c r="F14" s="9" t="n">
        <v>48</v>
      </c>
      <c r="G14" s="9" t="n">
        <v>54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J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263784</v>
      </c>
      <c r="AH14" s="9" t="n">
        <v>263571</v>
      </c>
      <c r="AI14" s="9" t="n">
        <v>263040</v>
      </c>
      <c r="AJ14" s="9" t="n">
        <v>263226</v>
      </c>
      <c r="AK14" s="9" t="n">
        <v>263067</v>
      </c>
    </row>
    <row r="15" ht="15.9" customHeight="1" s="18">
      <c r="C15" s="63" t="n">
        <v>174</v>
      </c>
      <c r="D15" s="63" t="n">
        <v>169</v>
      </c>
      <c r="E15" s="63" t="n">
        <v>178</v>
      </c>
      <c r="F15" s="63" t="n">
        <v>170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J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Q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J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Q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Q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Q</t>
        </is>
      </c>
      <c r="O19" s="41" t="inlineStr">
        <is>
          <t>Q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400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Q</t>
        </is>
      </c>
      <c r="M21" s="41" t="inlineStr">
        <is>
          <t>K</t>
        </is>
      </c>
      <c r="N21" s="41" t="inlineStr">
        <is>
          <t>Q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Q</t>
        </is>
      </c>
      <c r="L22" s="41" t="inlineStr">
        <is>
          <t>Q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J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J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J</t>
        </is>
      </c>
      <c r="M25" s="41" t="inlineStr">
        <is>
          <t>A</t>
        </is>
      </c>
      <c r="N25" s="41" t="inlineStr">
        <is>
          <t>J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J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J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J</t>
        </is>
      </c>
      <c r="M28" s="41" t="inlineStr">
        <is>
          <t>Q</t>
        </is>
      </c>
      <c r="N28" s="41" t="inlineStr">
        <is>
          <t>J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186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J</t>
        </is>
      </c>
      <c r="N29" s="41" t="inlineStr">
        <is>
          <t>J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J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J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J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J</t>
        </is>
      </c>
      <c r="L33" s="41" t="inlineStr">
        <is>
          <t>J</t>
        </is>
      </c>
      <c r="M33" s="41" t="inlineStr">
        <is>
          <t>J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J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</row>
    <row r="36" ht="16.5" customHeight="1" s="18">
      <c r="J36" s="7" t="n">
        <v>32</v>
      </c>
      <c r="K36" s="41" t="inlineStr">
        <is>
          <t>J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J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</row>
    <row r="37" ht="16.5" customHeight="1" s="18">
      <c r="J37" s="7" t="n">
        <v>33</v>
      </c>
      <c r="K37" s="41" t="inlineStr">
        <is>
          <t>Q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J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</row>
    <row r="40" ht="16.5" customHeight="1" s="18">
      <c r="J40" s="7" t="n">
        <v>36</v>
      </c>
      <c r="K40" s="41" t="inlineStr">
        <is>
          <t>J</t>
        </is>
      </c>
      <c r="L40" s="41" t="inlineStr">
        <is>
          <t>K</t>
        </is>
      </c>
      <c r="M40" s="41" t="inlineStr">
        <is>
          <t>J</t>
        </is>
      </c>
      <c r="N40" s="41" t="inlineStr">
        <is>
          <t>J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Q</t>
        </is>
      </c>
      <c r="M41" s="41" t="inlineStr">
        <is>
          <t>J</t>
        </is>
      </c>
      <c r="N41" s="41" t="inlineStr">
        <is>
          <t>J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J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K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J</t>
        </is>
      </c>
      <c r="L43" s="41" t="inlineStr">
        <is>
          <t>M3</t>
        </is>
      </c>
      <c r="M43" s="41" t="inlineStr">
        <is>
          <t>J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Q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J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J</t>
        </is>
      </c>
      <c r="L49" s="41" t="inlineStr">
        <is>
          <t>J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Q</t>
        </is>
      </c>
      <c r="L50" s="41" t="inlineStr">
        <is>
          <t>J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J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J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J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J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Q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J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J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J</t>
        </is>
      </c>
      <c r="M60" s="41" t="inlineStr">
        <is>
          <t>J</t>
        </is>
      </c>
      <c r="N60" s="41" t="inlineStr">
        <is>
          <t>K</t>
        </is>
      </c>
      <c r="O60" s="41" t="inlineStr">
        <is>
          <t>J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J</t>
        </is>
      </c>
      <c r="M64" s="41" t="inlineStr">
        <is>
          <t>J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J</t>
        </is>
      </c>
      <c r="N66" s="41" t="inlineStr">
        <is>
          <t>K</t>
        </is>
      </c>
      <c r="O66" s="41" t="inlineStr">
        <is>
          <t>J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J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J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Q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J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J</t>
        </is>
      </c>
      <c r="O74" s="41" t="inlineStr">
        <is>
          <t>Q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J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J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Q</t>
        </is>
      </c>
      <c r="M78" s="41" t="inlineStr">
        <is>
          <t>Q</t>
        </is>
      </c>
      <c r="N78" s="41" t="inlineStr">
        <is>
          <t>A</t>
        </is>
      </c>
      <c r="O78" s="41" t="inlineStr">
        <is>
          <t>J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Q</t>
        </is>
      </c>
      <c r="N79" s="41" t="inlineStr">
        <is>
          <t>J</t>
        </is>
      </c>
      <c r="O79" s="41" t="inlineStr">
        <is>
          <t>Q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Q</t>
        </is>
      </c>
      <c r="N80" s="41" t="inlineStr">
        <is>
          <t>J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J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J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J</t>
        </is>
      </c>
      <c r="L86" s="41" t="inlineStr">
        <is>
          <t>Q</t>
        </is>
      </c>
      <c r="M86" s="41" t="inlineStr">
        <is>
          <t>J</t>
        </is>
      </c>
      <c r="N86" s="41" t="inlineStr">
        <is>
          <t>J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J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J</t>
        </is>
      </c>
      <c r="M89" s="41" t="inlineStr">
        <is>
          <t>J</t>
        </is>
      </c>
      <c r="N89" s="41" t="inlineStr">
        <is>
          <t>Q</t>
        </is>
      </c>
      <c r="O89" s="41" t="inlineStr">
        <is>
          <t>J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J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J</t>
        </is>
      </c>
      <c r="O92" s="41" t="inlineStr">
        <is>
          <t>J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J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J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J</t>
        </is>
      </c>
      <c r="M95" s="41" t="inlineStr">
        <is>
          <t>J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J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J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J</t>
        </is>
      </c>
      <c r="L99" s="41" t="inlineStr">
        <is>
          <t>J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J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J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J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J</t>
        </is>
      </c>
      <c r="O105" s="41" t="inlineStr">
        <is>
          <t>J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J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J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J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J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J</t>
        </is>
      </c>
      <c r="L110" s="41" t="inlineStr">
        <is>
          <t>M4</t>
        </is>
      </c>
      <c r="M110" s="41" t="inlineStr">
        <is>
          <t>J</t>
        </is>
      </c>
      <c r="N110" s="41" t="inlineStr">
        <is>
          <t>J</t>
        </is>
      </c>
      <c r="O110" s="41" t="inlineStr">
        <is>
          <t>J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J</t>
        </is>
      </c>
      <c r="N111" s="41" t="inlineStr">
        <is>
          <t>Q</t>
        </is>
      </c>
      <c r="O111" s="41" t="inlineStr">
        <is>
          <t>J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J</t>
        </is>
      </c>
      <c r="M112" s="41" t="inlineStr">
        <is>
          <t>J</t>
        </is>
      </c>
      <c r="N112" s="41" t="inlineStr">
        <is>
          <t>Q</t>
        </is>
      </c>
      <c r="O112" s="41" t="inlineStr">
        <is>
          <t>J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J</t>
        </is>
      </c>
      <c r="O113" s="41" t="inlineStr">
        <is>
          <t>J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J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J</t>
        </is>
      </c>
      <c r="L116" s="41" t="inlineStr">
        <is>
          <t>M4</t>
        </is>
      </c>
      <c r="M116" s="41" t="inlineStr">
        <is>
          <t>Q</t>
        </is>
      </c>
      <c r="N116" s="41" t="inlineStr">
        <is>
          <t>Q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J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J</t>
        </is>
      </c>
      <c r="L119" s="41" t="inlineStr">
        <is>
          <t>J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J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J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J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Q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J</t>
        </is>
      </c>
      <c r="M131" s="41" t="inlineStr">
        <is>
          <t>J</t>
        </is>
      </c>
      <c r="N131" s="41" t="inlineStr">
        <is>
          <t>K</t>
        </is>
      </c>
      <c r="O131" s="41" t="inlineStr">
        <is>
          <t>J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J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Q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J</t>
        </is>
      </c>
      <c r="M134" s="41" t="inlineStr">
        <is>
          <t>Q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J</t>
        </is>
      </c>
      <c r="N135" s="41" t="inlineStr">
        <is>
          <t>J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Q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J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J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J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J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Q</t>
        </is>
      </c>
      <c r="M140" s="41" t="inlineStr">
        <is>
          <t>J</t>
        </is>
      </c>
      <c r="N140" s="41" t="inlineStr">
        <is>
          <t>J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J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J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Q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J</t>
        </is>
      </c>
      <c r="O146" s="41" t="inlineStr">
        <is>
          <t>J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J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J</t>
        </is>
      </c>
      <c r="O154" s="41" t="inlineStr">
        <is>
          <t>J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A</t>
        </is>
      </c>
      <c r="M156" s="41" t="inlineStr">
        <is>
          <t>Q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J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J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J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J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J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J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J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J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J</t>
        </is>
      </c>
      <c r="L167" s="41" t="inlineStr">
        <is>
          <t>A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J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J</t>
        </is>
      </c>
      <c r="L168" s="41" t="inlineStr">
        <is>
          <t>J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Q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K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A</t>
        </is>
      </c>
      <c r="M171" s="41" t="inlineStr">
        <is>
          <t>A</t>
        </is>
      </c>
      <c r="N171" s="41" t="inlineStr">
        <is>
          <t>K</t>
        </is>
      </c>
      <c r="O171" s="41" t="inlineStr">
        <is>
          <t>J</t>
        </is>
      </c>
      <c r="Q171" s="17" t="n">
        <v>4</v>
      </c>
      <c r="R171" s="17" t="n">
        <v>7</v>
      </c>
      <c r="S171" s="17" t="n">
        <v>7</v>
      </c>
      <c r="T171" s="17" t="n">
        <v>8</v>
      </c>
      <c r="U171" s="17" t="n">
        <v>10</v>
      </c>
      <c r="W171" s="7" t="n">
        <v>9639</v>
      </c>
      <c r="X171" s="7" t="n">
        <v>10000</v>
      </c>
      <c r="Y171" s="7" t="n">
        <v>11150</v>
      </c>
      <c r="Z171" s="7" t="n">
        <v>10000</v>
      </c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J</t>
        </is>
      </c>
      <c r="N172" s="41" t="inlineStr">
        <is>
          <t>K</t>
        </is>
      </c>
      <c r="O172" s="41" t="inlineStr">
        <is>
          <t>A</t>
        </is>
      </c>
      <c r="Q172" s="17" t="n">
        <v>3</v>
      </c>
      <c r="R172" s="17" t="n">
        <v>7</v>
      </c>
      <c r="S172" s="17" t="n">
        <v>10</v>
      </c>
      <c r="T172" s="17" t="n">
        <v>8</v>
      </c>
      <c r="U172" s="17" t="n">
        <v>7</v>
      </c>
      <c r="W172" s="7" t="n">
        <v>9485</v>
      </c>
      <c r="X172" s="7" t="n">
        <v>10000</v>
      </c>
      <c r="Y172" s="7" t="n">
        <v>9568</v>
      </c>
      <c r="Z172" s="7" t="n">
        <v>10000</v>
      </c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41" t="inlineStr">
        <is>
          <t>K</t>
        </is>
      </c>
      <c r="Q173" s="17" t="n">
        <v>9</v>
      </c>
      <c r="S173" s="17" t="n">
        <v>5</v>
      </c>
      <c r="T173" s="17" t="n">
        <v>8</v>
      </c>
      <c r="W173" s="7" t="n">
        <v>10101</v>
      </c>
      <c r="Y173" s="7" t="n">
        <v>8212</v>
      </c>
      <c r="Z173" s="7" t="n">
        <v>10000</v>
      </c>
      <c r="AB173" s="13" t="n"/>
    </row>
    <row r="174" ht="15.6" customHeight="1" s="18">
      <c r="J174" s="7" t="n">
        <v>170</v>
      </c>
      <c r="K174" s="41" t="inlineStr">
        <is>
          <t>M2</t>
        </is>
      </c>
      <c r="M174" s="41" t="inlineStr">
        <is>
          <t>Q</t>
        </is>
      </c>
      <c r="Q174" s="17" t="n">
        <v>4</v>
      </c>
      <c r="S174" s="17" t="n">
        <v>9</v>
      </c>
      <c r="W174" s="7" t="n">
        <v>8791</v>
      </c>
      <c r="Y174" s="7" t="n">
        <v>10000</v>
      </c>
      <c r="AB174" s="13" t="n"/>
    </row>
    <row r="175" ht="15.6" customHeight="1" s="18">
      <c r="J175" s="7" t="n">
        <v>171</v>
      </c>
      <c r="K175" s="41" t="inlineStr">
        <is>
          <t>A</t>
        </is>
      </c>
      <c r="M175" s="41" t="inlineStr">
        <is>
          <t>Q</t>
        </is>
      </c>
      <c r="Q175" s="17" t="n">
        <v>7</v>
      </c>
      <c r="S175" s="17" t="n">
        <v>9</v>
      </c>
      <c r="W175" s="7" t="n">
        <v>9947</v>
      </c>
      <c r="Y175" s="7" t="n">
        <v>10000</v>
      </c>
      <c r="AB175" s="13" t="n"/>
    </row>
    <row r="176" ht="15.6" customHeight="1" s="18">
      <c r="J176" s="7" t="n">
        <v>172</v>
      </c>
      <c r="K176" s="41" t="inlineStr">
        <is>
          <t>J</t>
        </is>
      </c>
      <c r="M176" s="41" t="inlineStr">
        <is>
          <t>Q</t>
        </is>
      </c>
      <c r="Q176" s="17" t="n">
        <v>10</v>
      </c>
      <c r="S176" s="17" t="n">
        <v>9</v>
      </c>
      <c r="W176" s="7" t="n">
        <v>11798</v>
      </c>
      <c r="Y176" s="7" t="n">
        <v>10000</v>
      </c>
      <c r="AB176" s="13" t="n"/>
    </row>
    <row r="177" ht="15.6" customHeight="1" s="18">
      <c r="J177" s="7" t="n">
        <v>173</v>
      </c>
      <c r="K177" s="41" t="inlineStr">
        <is>
          <t>K</t>
        </is>
      </c>
      <c r="M177" s="41" t="inlineStr">
        <is>
          <t>Q</t>
        </is>
      </c>
      <c r="Q177" s="17" t="n">
        <v>8</v>
      </c>
      <c r="S177" s="17" t="n">
        <v>9</v>
      </c>
      <c r="W177" s="7" t="n">
        <v>11027</v>
      </c>
      <c r="Y177" s="7" t="n">
        <v>10000</v>
      </c>
      <c r="AB177" s="13" t="n"/>
    </row>
    <row r="178" ht="15.6" customHeight="1" s="18">
      <c r="J178" s="7" t="n">
        <v>174</v>
      </c>
      <c r="M178" s="41" t="inlineStr">
        <is>
          <t>J</t>
        </is>
      </c>
      <c r="S178" s="17" t="n">
        <v>10</v>
      </c>
      <c r="Y178" s="7" t="n">
        <v>10000</v>
      </c>
      <c r="AB178" s="13" t="n"/>
    </row>
    <row r="179" ht="15.6" customHeight="1" s="18">
      <c r="J179" s="7" t="n">
        <v>175</v>
      </c>
      <c r="M179" s="41" t="inlineStr">
        <is>
          <t>J</t>
        </is>
      </c>
      <c r="S179" s="17" t="n">
        <v>10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A1" sqref="A1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100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M4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48900</v>
      </c>
      <c r="AH7" s="9" t="n">
        <v>97400</v>
      </c>
      <c r="AI7" s="9" t="n">
        <v>51800</v>
      </c>
      <c r="AJ7" s="9" t="n">
        <v>97400</v>
      </c>
      <c r="AK7" s="9" t="n">
        <v>52800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100600</v>
      </c>
      <c r="AH8" s="9" t="n">
        <v>46800</v>
      </c>
      <c r="AI8" s="9" t="n">
        <v>102800</v>
      </c>
      <c r="AJ8" s="9" t="n">
        <v>50300</v>
      </c>
      <c r="AK8" s="9" t="n">
        <v>108900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M4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101000</v>
      </c>
      <c r="AH9" s="9" t="n">
        <v>74700</v>
      </c>
      <c r="AI9" s="9" t="n">
        <v>75400</v>
      </c>
      <c r="AJ9" s="9" t="n">
        <v>72400</v>
      </c>
      <c r="AK9" s="9" t="n">
        <v>76800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M2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98000</v>
      </c>
      <c r="AH10" s="9" t="n">
        <v>124200</v>
      </c>
      <c r="AI10" s="9" t="n">
        <v>76700</v>
      </c>
      <c r="AJ10" s="9" t="n">
        <v>123600</v>
      </c>
      <c r="AK10" s="9" t="n">
        <v>83000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35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M3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151300</v>
      </c>
      <c r="AH11" s="9" t="n">
        <v>177100</v>
      </c>
      <c r="AI11" s="9" t="n">
        <v>160300</v>
      </c>
      <c r="AJ11" s="9" t="n">
        <v>174400</v>
      </c>
      <c r="AK11" s="9" t="n">
        <v>151200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38</v>
      </c>
      <c r="G12" s="9" t="n">
        <v>22</v>
      </c>
      <c r="H12" s="9" t="n">
        <v>8</v>
      </c>
      <c r="I12" s="62" t="n"/>
      <c r="J12" s="7" t="n">
        <v>8</v>
      </c>
      <c r="K12" s="41" t="inlineStr">
        <is>
          <t>M2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149600</v>
      </c>
      <c r="AH12" s="9" t="n">
        <v>173300</v>
      </c>
      <c r="AI12" s="9" t="n">
        <v>153300</v>
      </c>
      <c r="AJ12" s="9" t="n">
        <v>172900</v>
      </c>
      <c r="AK12" s="9" t="n">
        <v>149300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34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171900</v>
      </c>
      <c r="AH13" s="9" t="n">
        <v>147200</v>
      </c>
      <c r="AI13" s="9" t="n">
        <v>186200</v>
      </c>
      <c r="AJ13" s="9" t="n">
        <v>151500</v>
      </c>
      <c r="AK13" s="9" t="n">
        <v>187600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34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171600</v>
      </c>
      <c r="AH14" s="9" t="n">
        <v>151400</v>
      </c>
      <c r="AI14" s="9" t="n">
        <v>183600</v>
      </c>
      <c r="AJ14" s="9" t="n">
        <v>148300</v>
      </c>
      <c r="AK14" s="9" t="n">
        <v>180600</v>
      </c>
    </row>
    <row r="15" ht="15.9" customHeight="1" s="18">
      <c r="C15" s="63" t="n">
        <v>174</v>
      </c>
      <c r="D15" s="63" t="n">
        <v>167</v>
      </c>
      <c r="E15" s="63" t="n">
        <v>170</v>
      </c>
      <c r="F15" s="63" t="n">
        <v>167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M3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M3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M4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M4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M4</t>
        </is>
      </c>
      <c r="O19" s="41" t="inlineStr">
        <is>
          <t>M4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0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M2</t>
        </is>
      </c>
      <c r="M21" s="41" t="inlineStr">
        <is>
          <t>M4</t>
        </is>
      </c>
      <c r="N21" s="41" t="inlineStr">
        <is>
          <t>M4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0</v>
      </c>
    </row>
    <row r="22" ht="15.9" customHeight="1" s="18">
      <c r="I22" s="62" t="n"/>
      <c r="J22" s="7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0</v>
      </c>
    </row>
    <row r="23" ht="15.9" customHeight="1" s="18">
      <c r="I23" s="62" t="n"/>
      <c r="J23" s="7" t="n">
        <v>19</v>
      </c>
      <c r="K23" s="41" t="inlineStr">
        <is>
          <t>M2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M4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M4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M4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M2</t>
        </is>
      </c>
      <c r="M28" s="41" t="inlineStr">
        <is>
          <t>Q</t>
        </is>
      </c>
      <c r="N28" s="41" t="inlineStr">
        <is>
          <t>M2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100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0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M3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M2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0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M1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M1</t>
        </is>
      </c>
      <c r="L33" s="41" t="inlineStr">
        <is>
          <t>M4</t>
        </is>
      </c>
      <c r="M33" s="41" t="inlineStr">
        <is>
          <t>M3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M4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  <c r="AC35" s="16" t="inlineStr">
        <is>
          <t>Gold_Count_Weight</t>
        </is>
      </c>
    </row>
    <row r="36" ht="16.5" customHeight="1" s="18">
      <c r="J36" s="7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M2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  <c r="AC36" s="65" t="inlineStr">
        <is>
          <t>Count</t>
        </is>
      </c>
      <c r="AD36" s="65" t="inlineStr">
        <is>
          <t>R1</t>
        </is>
      </c>
      <c r="AE36" s="65" t="inlineStr">
        <is>
          <t>R2</t>
        </is>
      </c>
      <c r="AF36" s="65" t="inlineStr">
        <is>
          <t>R3</t>
        </is>
      </c>
      <c r="AG36" s="65" t="inlineStr">
        <is>
          <t>R4</t>
        </is>
      </c>
      <c r="AH36" s="65" t="inlineStr">
        <is>
          <t>R5</t>
        </is>
      </c>
    </row>
    <row r="37" ht="16.5" customHeight="1" s="18">
      <c r="J37" s="7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  <c r="AC37" s="70" t="n">
        <v>0</v>
      </c>
      <c r="AD37" s="71" t="n">
        <v>100000</v>
      </c>
      <c r="AE37" s="71" t="n">
        <v>38838</v>
      </c>
      <c r="AF37" s="71" t="n">
        <v>44823</v>
      </c>
      <c r="AG37" s="71" t="n">
        <v>51604</v>
      </c>
      <c r="AH37" s="71" t="n">
        <v>100000</v>
      </c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  <c r="AC38" s="70" t="n">
        <v>1</v>
      </c>
      <c r="AD38" s="71" t="n">
        <v>0</v>
      </c>
      <c r="AE38" s="71" t="n">
        <v>41438</v>
      </c>
      <c r="AF38" s="71" t="n">
        <v>39830</v>
      </c>
      <c r="AG38" s="71" t="n">
        <v>37125</v>
      </c>
      <c r="AH38" s="71" t="n">
        <v>0</v>
      </c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  <c r="AC39" s="70" t="n">
        <v>2</v>
      </c>
      <c r="AD39" s="71" t="n">
        <v>0</v>
      </c>
      <c r="AE39" s="71" t="n">
        <v>16580</v>
      </c>
      <c r="AF39" s="71" t="n">
        <v>13272</v>
      </c>
      <c r="AG39" s="71" t="n">
        <v>10016</v>
      </c>
      <c r="AH39" s="71" t="n">
        <v>0</v>
      </c>
    </row>
    <row r="40" ht="16.5" customHeight="1" s="18">
      <c r="J40" s="7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  <c r="AC40" s="70" t="n">
        <v>3</v>
      </c>
      <c r="AD40" s="71" t="n">
        <v>0</v>
      </c>
      <c r="AE40" s="71" t="n">
        <v>2948</v>
      </c>
      <c r="AF40" s="71" t="n">
        <v>1966</v>
      </c>
      <c r="AG40" s="71" t="n">
        <v>1201</v>
      </c>
      <c r="AH40" s="71" t="n">
        <v>0</v>
      </c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  <c r="AC41" s="70" t="n">
        <v>4</v>
      </c>
      <c r="AD41" s="71" t="n">
        <v>0</v>
      </c>
      <c r="AE41" s="71" t="n">
        <v>197</v>
      </c>
      <c r="AF41" s="71" t="n">
        <v>109</v>
      </c>
      <c r="AG41" s="71" t="n">
        <v>54</v>
      </c>
      <c r="AH41" s="71" t="n">
        <v>0</v>
      </c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M1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M2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M3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  <c r="AC43" s="16" t="inlineStr">
        <is>
          <t>Note: Table 3 copies Super Ace (field capture): reels, stop weights, drop weights, gold frames per reel (binomial from per-cell rate), Big Wild share (BG 4.2%, FG 0%), no Wild multipliers. This block overrides the Parameter Gold Count Weight for this table only.</t>
        </is>
      </c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M2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M4</t>
        </is>
      </c>
      <c r="L50" s="41" t="inlineStr">
        <is>
          <t>M2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M4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M3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M3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M1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M1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M1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M1</t>
        </is>
      </c>
      <c r="M60" s="41" t="inlineStr">
        <is>
          <t>M4</t>
        </is>
      </c>
      <c r="N60" s="41" t="inlineStr">
        <is>
          <t>K</t>
        </is>
      </c>
      <c r="O60" s="41" t="inlineStr">
        <is>
          <t>M2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M4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M4</t>
        </is>
      </c>
      <c r="M64" s="41" t="inlineStr">
        <is>
          <t>M3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M4</t>
        </is>
      </c>
      <c r="N66" s="41" t="inlineStr">
        <is>
          <t>K</t>
        </is>
      </c>
      <c r="O66" s="41" t="inlineStr">
        <is>
          <t>M3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M4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M2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M3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M4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M2</t>
        </is>
      </c>
      <c r="O74" s="41" t="inlineStr">
        <is>
          <t>M1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M2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M4</t>
        </is>
      </c>
      <c r="N78" s="41" t="inlineStr">
        <is>
          <t>A</t>
        </is>
      </c>
      <c r="O78" s="41" t="inlineStr">
        <is>
          <t>M3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M3</t>
        </is>
      </c>
      <c r="N79" s="41" t="inlineStr">
        <is>
          <t>M3</t>
        </is>
      </c>
      <c r="O79" s="41" t="inlineStr">
        <is>
          <t>M4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M2</t>
        </is>
      </c>
      <c r="N80" s="41" t="inlineStr">
        <is>
          <t>M3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M1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M1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M1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Q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M2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M3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M1</t>
        </is>
      </c>
      <c r="M89" s="41" t="inlineStr">
        <is>
          <t>M4</t>
        </is>
      </c>
      <c r="N89" s="41" t="inlineStr">
        <is>
          <t>Q</t>
        </is>
      </c>
      <c r="O89" s="41" t="inlineStr">
        <is>
          <t>M3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M3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M3</t>
        </is>
      </c>
      <c r="O92" s="41" t="inlineStr">
        <is>
          <t>M1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M3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M3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M4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M2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M1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M3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M2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M1</t>
        </is>
      </c>
      <c r="O105" s="41" t="inlineStr">
        <is>
          <t>M3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M3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M2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M2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M2</t>
        </is>
      </c>
      <c r="L110" s="41" t="inlineStr">
        <is>
          <t>M4</t>
        </is>
      </c>
      <c r="M110" s="41" t="inlineStr">
        <is>
          <t>M3</t>
        </is>
      </c>
      <c r="N110" s="41" t="inlineStr">
        <is>
          <t>M3</t>
        </is>
      </c>
      <c r="O110" s="41" t="inlineStr">
        <is>
          <t>M2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M2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M2</t>
        </is>
      </c>
      <c r="M112" s="41" t="inlineStr">
        <is>
          <t>M4</t>
        </is>
      </c>
      <c r="N112" s="41" t="inlineStr">
        <is>
          <t>Q</t>
        </is>
      </c>
      <c r="O112" s="41" t="inlineStr">
        <is>
          <t>M2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M2</t>
        </is>
      </c>
      <c r="O113" s="41" t="inlineStr">
        <is>
          <t>M3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M4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M4</t>
        </is>
      </c>
      <c r="L116" s="41" t="inlineStr">
        <is>
          <t>M4</t>
        </is>
      </c>
      <c r="M116" s="41" t="inlineStr">
        <is>
          <t>M1</t>
        </is>
      </c>
      <c r="N116" s="41" t="inlineStr">
        <is>
          <t>M1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M3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M3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M4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M1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M2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M1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M2</t>
        </is>
      </c>
      <c r="L127" s="41" t="inlineStr">
        <is>
          <t>M4</t>
        </is>
      </c>
      <c r="M127" s="41" t="inlineStr">
        <is>
          <t>M3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M2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M4</t>
        </is>
      </c>
      <c r="M131" s="41" t="inlineStr">
        <is>
          <t>M4</t>
        </is>
      </c>
      <c r="N131" s="41" t="inlineStr">
        <is>
          <t>K</t>
        </is>
      </c>
      <c r="O131" s="41" t="inlineStr">
        <is>
          <t>M4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M3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M3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M4</t>
        </is>
      </c>
      <c r="M134" s="41" t="inlineStr">
        <is>
          <t>M3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M2</t>
        </is>
      </c>
      <c r="N135" s="41" t="inlineStr">
        <is>
          <t>M4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M4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M4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M3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M3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M2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M2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M3</t>
        </is>
      </c>
      <c r="M140" s="41" t="inlineStr">
        <is>
          <t>J</t>
        </is>
      </c>
      <c r="N140" s="41" t="inlineStr">
        <is>
          <t>M2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M3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M3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M2</t>
        </is>
      </c>
      <c r="O146" s="41" t="inlineStr">
        <is>
          <t>M4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M2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M4</t>
        </is>
      </c>
      <c r="O154" s="41" t="inlineStr">
        <is>
          <t>M1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M3</t>
        </is>
      </c>
      <c r="L156" s="41" t="inlineStr">
        <is>
          <t>A</t>
        </is>
      </c>
      <c r="M156" s="41" t="inlineStr">
        <is>
          <t>M2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M4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M2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M2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M3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M1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M2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M2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M4</t>
        </is>
      </c>
      <c r="L167" s="41" t="inlineStr">
        <is>
          <t>A</t>
        </is>
      </c>
      <c r="M167" s="41" t="inlineStr">
        <is>
          <t>M3</t>
        </is>
      </c>
      <c r="N167" s="41" t="inlineStr">
        <is>
          <t>K</t>
        </is>
      </c>
      <c r="O167" s="41" t="inlineStr">
        <is>
          <t>M3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M4</t>
        </is>
      </c>
      <c r="L168" s="41" t="inlineStr">
        <is>
          <t>M2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M3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M3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M2</t>
        </is>
      </c>
      <c r="L171" s="21" t="n"/>
      <c r="M171" s="41" t="inlineStr">
        <is>
          <t>A</t>
        </is>
      </c>
      <c r="N171" s="21" t="n"/>
      <c r="O171" s="41" t="inlineStr">
        <is>
          <t>J</t>
        </is>
      </c>
      <c r="Q171" s="17" t="n">
        <v>4</v>
      </c>
      <c r="R171" s="21" t="n"/>
      <c r="S171" s="17" t="n">
        <v>7</v>
      </c>
      <c r="T171" s="21" t="n"/>
      <c r="U171" s="17" t="n">
        <v>10</v>
      </c>
      <c r="W171" s="7" t="n">
        <v>9639</v>
      </c>
      <c r="X171" s="21" t="n"/>
      <c r="Y171" s="7" t="n">
        <v>11150</v>
      </c>
      <c r="Z171" s="21" t="n"/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21" t="n"/>
      <c r="M172" s="41" t="inlineStr">
        <is>
          <t>J</t>
        </is>
      </c>
      <c r="N172" s="21" t="n"/>
      <c r="O172" s="41" t="inlineStr">
        <is>
          <t>A</t>
        </is>
      </c>
      <c r="Q172" s="17" t="n">
        <v>3</v>
      </c>
      <c r="R172" s="21" t="n"/>
      <c r="S172" s="17" t="n">
        <v>10</v>
      </c>
      <c r="T172" s="21" t="n"/>
      <c r="U172" s="17" t="n">
        <v>7</v>
      </c>
      <c r="W172" s="7" t="n">
        <v>9485</v>
      </c>
      <c r="X172" s="21" t="n"/>
      <c r="Y172" s="7" t="n">
        <v>9568</v>
      </c>
      <c r="Z172" s="21" t="n"/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21" t="n"/>
      <c r="Q173" s="17" t="n">
        <v>9</v>
      </c>
      <c r="S173" s="17" t="n">
        <v>5</v>
      </c>
      <c r="T173" s="21" t="n"/>
      <c r="W173" s="7" t="n">
        <v>10101</v>
      </c>
      <c r="Y173" s="7" t="n">
        <v>8212</v>
      </c>
      <c r="Z173" s="21" t="n"/>
      <c r="AB173" s="13" t="n"/>
    </row>
    <row r="174" ht="15.6" customHeight="1" s="18">
      <c r="J174" s="7" t="n">
        <v>170</v>
      </c>
      <c r="K174" s="41" t="inlineStr">
        <is>
          <t>M2</t>
        </is>
      </c>
      <c r="M174" s="21" t="n"/>
      <c r="Q174" s="17" t="n">
        <v>4</v>
      </c>
      <c r="S174" s="21" t="n"/>
      <c r="W174" s="7" t="n">
        <v>8791</v>
      </c>
      <c r="Y174" s="21" t="n"/>
      <c r="AB174" s="13" t="n"/>
    </row>
    <row r="175" ht="15.6" customHeight="1" s="18">
      <c r="J175" s="7" t="n">
        <v>171</v>
      </c>
      <c r="K175" s="41" t="inlineStr">
        <is>
          <t>A</t>
        </is>
      </c>
      <c r="M175" s="21" t="n"/>
      <c r="Q175" s="17" t="n">
        <v>7</v>
      </c>
      <c r="S175" s="21" t="n"/>
      <c r="W175" s="7" t="n">
        <v>9947</v>
      </c>
      <c r="Y175" s="21" t="n"/>
      <c r="AB175" s="13" t="n"/>
    </row>
    <row r="176" ht="15.6" customHeight="1" s="18">
      <c r="J176" s="7" t="n">
        <v>172</v>
      </c>
      <c r="K176" s="41" t="inlineStr">
        <is>
          <t>J</t>
        </is>
      </c>
      <c r="M176" s="21" t="n"/>
      <c r="Q176" s="17" t="n">
        <v>10</v>
      </c>
      <c r="S176" s="21" t="n"/>
      <c r="W176" s="7" t="n">
        <v>11798</v>
      </c>
      <c r="Y176" s="21" t="n"/>
      <c r="AB176" s="13" t="n"/>
    </row>
    <row r="177" ht="15.6" customHeight="1" s="18">
      <c r="J177" s="7" t="n">
        <v>173</v>
      </c>
      <c r="K177" s="41" t="inlineStr">
        <is>
          <t>K</t>
        </is>
      </c>
      <c r="M177" s="21" t="n"/>
      <c r="Q177" s="17" t="n">
        <v>8</v>
      </c>
      <c r="S177" s="21" t="n"/>
      <c r="W177" s="7" t="n">
        <v>11027</v>
      </c>
      <c r="Y177" s="21" t="n"/>
      <c r="AB177" s="13" t="n"/>
    </row>
    <row r="178" ht="15.6" customHeight="1" s="18">
      <c r="J178" s="21" t="n"/>
      <c r="M178" s="21" t="n"/>
      <c r="S178" s="21" t="n"/>
      <c r="Y178" s="21" t="n"/>
      <c r="AB178" s="13" t="n"/>
    </row>
    <row r="179" ht="15.6" customHeight="1" s="18">
      <c r="J179" s="21" t="n"/>
      <c r="M179" s="21" t="n"/>
      <c r="S179" s="21" t="n"/>
      <c r="Y179" s="21" t="n"/>
      <c r="AB179" s="13" t="n"/>
    </row>
    <row r="180" ht="15.6" customHeight="1" s="18">
      <c r="J180" s="21" t="n"/>
      <c r="M180" s="21" t="n"/>
      <c r="S180" s="21" t="n"/>
      <c r="Y180" s="21" t="n"/>
      <c r="AB180" s="13" t="n"/>
    </row>
    <row r="181" ht="15.6" customHeight="1" s="18">
      <c r="J181" s="21" t="n"/>
      <c r="M181" s="21" t="n"/>
      <c r="S181" s="21" t="n"/>
      <c r="Y181" s="21" t="n"/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A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5.5546875" bestFit="1" customWidth="1" style="6" min="24" max="26"/>
    <col width="4.21875" bestFit="1" customWidth="1" style="6" min="27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4.6640625" bestFit="1" customWidth="1" style="13" min="33" max="37"/>
    <col width="9" customWidth="1" style="13" min="38" max="46"/>
    <col width="9" customWidth="1" style="13" min="47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0</v>
      </c>
      <c r="X4" s="7" t="n">
        <v>0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0</v>
      </c>
      <c r="X5" s="7" t="n">
        <v>0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4</v>
      </c>
      <c r="D6" s="9" t="n">
        <v>4</v>
      </c>
      <c r="E6" s="9" t="n">
        <v>4</v>
      </c>
      <c r="F6" s="9" t="n">
        <v>4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0</v>
      </c>
      <c r="X6" s="7" t="n">
        <v>10714</v>
      </c>
      <c r="Y6" s="7" t="n">
        <v>0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20000</v>
      </c>
      <c r="AH6" s="9" t="n">
        <v>19700</v>
      </c>
      <c r="AI6" s="9" t="n">
        <v>21100</v>
      </c>
      <c r="AJ6" s="9" t="n">
        <v>20400</v>
      </c>
      <c r="AK6" s="9" t="n">
        <v>19900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0</v>
      </c>
      <c r="X7" s="7" t="n">
        <v>10178</v>
      </c>
      <c r="Y7" s="7" t="n">
        <v>0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0</v>
      </c>
      <c r="X8" s="7" t="n">
        <v>9106</v>
      </c>
      <c r="Y8" s="7" t="n">
        <v>0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0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0</v>
      </c>
      <c r="Y10" s="7" t="n">
        <v>0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0</v>
      </c>
      <c r="Y11" s="7" t="n">
        <v>0</v>
      </c>
      <c r="Z11" s="7" t="n">
        <v>10167</v>
      </c>
      <c r="AA11" s="7" t="n">
        <v>10169</v>
      </c>
      <c r="AB11" s="13" t="n"/>
      <c r="AC11" s="70" t="n">
        <v>2</v>
      </c>
      <c r="AD11" s="71" t="n">
        <v>0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0</v>
      </c>
      <c r="Y12" s="7" t="n">
        <v>0</v>
      </c>
      <c r="Z12" s="7" t="n">
        <v>10727</v>
      </c>
      <c r="AA12" s="7" t="n">
        <v>9668</v>
      </c>
      <c r="AB12" s="13" t="n"/>
      <c r="AC12" s="70" t="n">
        <v>3</v>
      </c>
      <c r="AD12" s="71" t="n">
        <v>0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0</v>
      </c>
      <c r="X13" s="7" t="n">
        <v>0</v>
      </c>
      <c r="Y13" s="7" t="n">
        <v>0</v>
      </c>
      <c r="Z13" s="7" t="n">
        <v>9832</v>
      </c>
      <c r="AA13" s="7" t="n">
        <v>10491</v>
      </c>
      <c r="AB13" s="13" t="n"/>
      <c r="AC13" s="70" t="n">
        <v>4</v>
      </c>
      <c r="AD13" s="71" t="n">
        <v>0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0</v>
      </c>
      <c r="X14" s="7" t="n">
        <v>0</v>
      </c>
      <c r="Y14" s="7" t="n">
        <v>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174600</v>
      </c>
      <c r="AH14" s="9" t="n">
        <v>146500</v>
      </c>
      <c r="AI14" s="9" t="n">
        <v>181900</v>
      </c>
      <c r="AJ14" s="9" t="n">
        <v>148400</v>
      </c>
      <c r="AK14" s="9" t="n">
        <v>180600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0</v>
      </c>
      <c r="X15" s="7" t="n">
        <v>0</v>
      </c>
      <c r="Y15" s="7" t="n">
        <v>0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0</v>
      </c>
      <c r="Y16" s="7" t="n">
        <v>0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0</v>
      </c>
      <c r="Y17" s="7" t="n">
        <v>0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0</v>
      </c>
      <c r="Y18" s="7" t="n">
        <v>0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0</v>
      </c>
      <c r="Y19" s="7" t="n">
        <v>0</v>
      </c>
      <c r="Z19" s="7" t="n">
        <v>10076</v>
      </c>
      <c r="AA19" s="7" t="n">
        <v>10075</v>
      </c>
      <c r="AB19" s="13" t="n"/>
      <c r="AC19" s="70" t="n">
        <v>1</v>
      </c>
      <c r="AD19" s="71" t="n">
        <v>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0</v>
      </c>
      <c r="X20" s="7" t="n">
        <v>0</v>
      </c>
      <c r="Y20" s="7" t="n">
        <v>0</v>
      </c>
      <c r="Z20" s="7" t="n">
        <v>9893</v>
      </c>
      <c r="AA20" s="7" t="n">
        <v>9366</v>
      </c>
      <c r="AB20" s="13" t="n"/>
      <c r="AC20" s="70" t="n">
        <v>2</v>
      </c>
      <c r="AD20" s="71" t="n">
        <v>0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0</v>
      </c>
      <c r="X21" s="7" t="n">
        <v>0</v>
      </c>
      <c r="Y21" s="7" t="n">
        <v>0</v>
      </c>
      <c r="Z21" s="7" t="n">
        <v>9720</v>
      </c>
      <c r="AA21" s="7" t="n">
        <v>10064</v>
      </c>
      <c r="AB21" s="13" t="n"/>
      <c r="AC21" s="70" t="n">
        <v>3</v>
      </c>
      <c r="AD21" s="71" t="n">
        <v>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0</v>
      </c>
      <c r="X22" s="7" t="n">
        <v>0</v>
      </c>
      <c r="Y22" s="7" t="n">
        <v>0</v>
      </c>
      <c r="Z22" s="7" t="n">
        <v>9913</v>
      </c>
      <c r="AA22" s="7" t="n">
        <v>10210</v>
      </c>
      <c r="AB22" s="13" t="n"/>
      <c r="AC22" s="70" t="n">
        <v>5</v>
      </c>
      <c r="AD22" s="71" t="n">
        <v>0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0</v>
      </c>
      <c r="X23" s="7" t="n">
        <v>0</v>
      </c>
      <c r="Y23" s="7" t="n">
        <v>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0</v>
      </c>
      <c r="X24" s="7" t="n">
        <v>0</v>
      </c>
      <c r="Y24" s="7" t="n">
        <v>0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0</v>
      </c>
      <c r="X25" s="7" t="n">
        <v>0</v>
      </c>
      <c r="Y25" s="7" t="n">
        <v>0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0</v>
      </c>
      <c r="X26" s="7" t="n">
        <v>0</v>
      </c>
      <c r="Y26" s="7" t="n">
        <v>0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0</v>
      </c>
      <c r="X27" s="7" t="n">
        <v>0</v>
      </c>
      <c r="Y27" s="7" t="n">
        <v>0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0</v>
      </c>
      <c r="X28" s="7" t="n">
        <v>0</v>
      </c>
      <c r="Y28" s="7" t="n">
        <v>0</v>
      </c>
      <c r="Z28" s="7" t="n">
        <v>10010</v>
      </c>
      <c r="AA28" s="7" t="n">
        <v>10210</v>
      </c>
      <c r="AB28" s="13" t="n"/>
      <c r="AC28" s="70" t="n">
        <v>1</v>
      </c>
      <c r="AD28" s="71" t="n">
        <v>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0</v>
      </c>
      <c r="X29" s="7" t="n">
        <v>0</v>
      </c>
      <c r="Y29" s="7" t="n">
        <v>0</v>
      </c>
      <c r="Z29" s="7" t="n">
        <v>9918</v>
      </c>
      <c r="AA29" s="7" t="n">
        <v>9752</v>
      </c>
      <c r="AB29" s="13" t="n"/>
      <c r="AC29" s="70" t="n">
        <v>2</v>
      </c>
      <c r="AD29" s="71" t="n">
        <v>0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0</v>
      </c>
      <c r="X30" s="7" t="n">
        <v>0</v>
      </c>
      <c r="Y30" s="7" t="n">
        <v>0</v>
      </c>
      <c r="Z30" s="7" t="n">
        <v>9760</v>
      </c>
      <c r="AA30" s="7" t="n">
        <v>10179</v>
      </c>
      <c r="AB30" s="13" t="n"/>
      <c r="AC30" s="70" t="n">
        <v>3</v>
      </c>
      <c r="AD30" s="71" t="n">
        <v>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0</v>
      </c>
      <c r="X31" s="7" t="n">
        <v>0</v>
      </c>
      <c r="Y31" s="7" t="n">
        <v>0</v>
      </c>
      <c r="Z31" s="7" t="n">
        <v>9740</v>
      </c>
      <c r="AA31" s="7" t="n">
        <v>9700</v>
      </c>
      <c r="AB31" s="13" t="n"/>
      <c r="AC31" s="70" t="n">
        <v>5</v>
      </c>
      <c r="AD31" s="71" t="n">
        <v>0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0</v>
      </c>
      <c r="X32" s="7" t="n">
        <v>0</v>
      </c>
      <c r="Y32" s="7" t="n">
        <v>0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0</v>
      </c>
      <c r="X33" s="7" t="n">
        <v>0</v>
      </c>
      <c r="Y33" s="7" t="n">
        <v>0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0</v>
      </c>
      <c r="X34" s="7" t="n">
        <v>0</v>
      </c>
      <c r="Y34" s="7" t="n">
        <v>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0</v>
      </c>
      <c r="X35" s="7" t="n">
        <v>0</v>
      </c>
      <c r="Y35" s="7" t="n">
        <v>0</v>
      </c>
      <c r="Z35" s="7" t="n">
        <v>10534</v>
      </c>
      <c r="AA35" s="7" t="n">
        <v>10137</v>
      </c>
      <c r="AB35" s="13" t="n"/>
      <c r="AC35" s="16" t="inlineStr">
        <is>
          <t>Note: the Buy Feature entry board pays nothing and does not cascade, so gold frames never flip and these weight tables are unused.</t>
        </is>
      </c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0</v>
      </c>
      <c r="X36" s="7" t="n">
        <v>0</v>
      </c>
      <c r="Y36" s="7" t="n">
        <v>0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0</v>
      </c>
      <c r="X37" s="7" t="n">
        <v>0</v>
      </c>
      <c r="Y37" s="7" t="n">
        <v>0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0</v>
      </c>
      <c r="X38" s="7" t="n">
        <v>0</v>
      </c>
      <c r="Y38" s="7" t="n">
        <v>0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0</v>
      </c>
      <c r="X39" s="7" t="n">
        <v>0</v>
      </c>
      <c r="Y39" s="7" t="n">
        <v>0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0</v>
      </c>
      <c r="X40" s="7" t="n">
        <v>0</v>
      </c>
      <c r="Y40" s="7" t="n">
        <v>0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0</v>
      </c>
      <c r="X41" s="7" t="n">
        <v>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0</v>
      </c>
      <c r="X42" s="7" t="n">
        <v>0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0</v>
      </c>
      <c r="X43" s="7" t="n">
        <v>0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0</v>
      </c>
      <c r="X44" s="7" t="n">
        <v>0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0</v>
      </c>
      <c r="X45" s="7" t="n">
        <v>0</v>
      </c>
      <c r="Y45" s="7" t="n">
        <v>0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C1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2</v>
      </c>
      <c r="U46" s="17" t="n">
        <v>5</v>
      </c>
      <c r="W46" s="7" t="n">
        <v>0</v>
      </c>
      <c r="X46" s="7" t="n">
        <v>0</v>
      </c>
      <c r="Y46" s="7" t="n">
        <v>0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0</v>
      </c>
      <c r="X47" s="7" t="n">
        <v>0</v>
      </c>
      <c r="Y47" s="7" t="n">
        <v>0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0</v>
      </c>
      <c r="X48" s="7" t="n">
        <v>0</v>
      </c>
      <c r="Y48" s="7" t="n">
        <v>0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0</v>
      </c>
      <c r="X49" s="7" t="n">
        <v>0</v>
      </c>
      <c r="Y49" s="7" t="n">
        <v>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0</v>
      </c>
      <c r="X50" s="7" t="n">
        <v>0</v>
      </c>
      <c r="Y50" s="7" t="n">
        <v>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0</v>
      </c>
      <c r="X51" s="7" t="n">
        <v>0</v>
      </c>
      <c r="Y51" s="7" t="n">
        <v>0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0</v>
      </c>
      <c r="X52" s="7" t="n">
        <v>0</v>
      </c>
      <c r="Y52" s="7" t="n">
        <v>0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0</v>
      </c>
      <c r="X53" s="7" t="n">
        <v>0</v>
      </c>
      <c r="Y53" s="7" t="n">
        <v>0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0</v>
      </c>
      <c r="X54" s="7" t="n">
        <v>0</v>
      </c>
      <c r="Y54" s="7" t="n">
        <v>0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0</v>
      </c>
      <c r="X55" s="7" t="n">
        <v>0</v>
      </c>
      <c r="Y55" s="7" t="n">
        <v>0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0</v>
      </c>
      <c r="X56" s="7" t="n">
        <v>0</v>
      </c>
      <c r="Y56" s="7" t="n">
        <v>0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0</v>
      </c>
      <c r="Y57" s="7" t="n">
        <v>0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0</v>
      </c>
      <c r="Y58" s="7" t="n">
        <v>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0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C1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2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0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0</v>
      </c>
      <c r="X61" s="7" t="n">
        <v>9581</v>
      </c>
      <c r="Y61" s="7" t="n">
        <v>0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C1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2</v>
      </c>
      <c r="S62" s="17" t="n">
        <v>10</v>
      </c>
      <c r="T62" s="17" t="n">
        <v>6</v>
      </c>
      <c r="U62" s="17" t="n">
        <v>9</v>
      </c>
      <c r="W62" s="7" t="n">
        <v>0</v>
      </c>
      <c r="X62" s="7" t="n">
        <v>10269</v>
      </c>
      <c r="Y62" s="7" t="n">
        <v>0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0</v>
      </c>
      <c r="X63" s="7" t="n">
        <v>0</v>
      </c>
      <c r="Y63" s="7" t="n">
        <v>0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0</v>
      </c>
      <c r="X64" s="7" t="n">
        <v>0</v>
      </c>
      <c r="Y64" s="7" t="n">
        <v>0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0</v>
      </c>
      <c r="X65" s="7" t="n">
        <v>0</v>
      </c>
      <c r="Y65" s="7" t="n">
        <v>0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0</v>
      </c>
      <c r="X66" s="7" t="n">
        <v>0</v>
      </c>
      <c r="Y66" s="7" t="n">
        <v>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0</v>
      </c>
      <c r="X67" s="7" t="n">
        <v>0</v>
      </c>
      <c r="Y67" s="7" t="n">
        <v>0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0</v>
      </c>
      <c r="X68" s="7" t="n">
        <v>0</v>
      </c>
      <c r="Y68" s="7" t="n">
        <v>0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0</v>
      </c>
      <c r="X69" s="7" t="n">
        <v>0</v>
      </c>
      <c r="Y69" s="7" t="n">
        <v>0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0</v>
      </c>
      <c r="X70" s="7" t="n">
        <v>0</v>
      </c>
      <c r="Y70" s="7" t="n">
        <v>0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0</v>
      </c>
      <c r="X71" s="7" t="n">
        <v>0</v>
      </c>
      <c r="Y71" s="7" t="n">
        <v>0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0</v>
      </c>
      <c r="X72" s="7" t="n">
        <v>0</v>
      </c>
      <c r="Y72" s="7" t="n">
        <v>0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0</v>
      </c>
      <c r="X73" s="7" t="n">
        <v>0</v>
      </c>
      <c r="Y73" s="7" t="n">
        <v>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0</v>
      </c>
      <c r="X74" s="7" t="n">
        <v>0</v>
      </c>
      <c r="Y74" s="7" t="n">
        <v>0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C1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2</v>
      </c>
      <c r="U75" s="17" t="n">
        <v>8</v>
      </c>
      <c r="W75" s="7" t="n">
        <v>0</v>
      </c>
      <c r="X75" s="7" t="n">
        <v>0</v>
      </c>
      <c r="Y75" s="7" t="n">
        <v>0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0</v>
      </c>
      <c r="X76" s="7" t="n">
        <v>10168</v>
      </c>
      <c r="Y76" s="7" t="n">
        <v>0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0</v>
      </c>
      <c r="X77" s="7" t="n">
        <v>10886</v>
      </c>
      <c r="Y77" s="7" t="n">
        <v>0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0</v>
      </c>
      <c r="X78" s="7" t="n">
        <v>11372</v>
      </c>
      <c r="Y78" s="7" t="n">
        <v>0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0</v>
      </c>
      <c r="X79" s="7" t="n">
        <v>11332</v>
      </c>
      <c r="Y79" s="7" t="n">
        <v>0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0</v>
      </c>
      <c r="X80" s="7" t="n">
        <v>0</v>
      </c>
      <c r="Y80" s="7" t="n">
        <v>0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0</v>
      </c>
      <c r="X81" s="7" t="n">
        <v>0</v>
      </c>
      <c r="Y81" s="7" t="n">
        <v>0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0</v>
      </c>
      <c r="X82" s="7" t="n">
        <v>0</v>
      </c>
      <c r="Y82" s="7" t="n">
        <v>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0</v>
      </c>
      <c r="X83" s="7" t="n">
        <v>0</v>
      </c>
      <c r="Y83" s="7" t="n">
        <v>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0</v>
      </c>
      <c r="X84" s="7" t="n">
        <v>0</v>
      </c>
      <c r="Y84" s="7" t="n">
        <v>0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0</v>
      </c>
      <c r="X85" s="7" t="n">
        <v>0</v>
      </c>
      <c r="Y85" s="7" t="n">
        <v>0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0</v>
      </c>
      <c r="X86" s="7" t="n">
        <v>0</v>
      </c>
      <c r="Y86" s="7" t="n">
        <v>0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0</v>
      </c>
      <c r="X87" s="7" t="n">
        <v>0</v>
      </c>
      <c r="Y87" s="7" t="n">
        <v>0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0</v>
      </c>
      <c r="X88" s="7" t="n">
        <v>0</v>
      </c>
      <c r="Y88" s="7" t="n">
        <v>0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0</v>
      </c>
      <c r="X89" s="7" t="n">
        <v>0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0</v>
      </c>
      <c r="X90" s="7" t="n">
        <v>0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0</v>
      </c>
      <c r="X91" s="7" t="n">
        <v>0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C1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2</v>
      </c>
      <c r="T92" s="17" t="n">
        <v>5</v>
      </c>
      <c r="U92" s="17" t="n">
        <v>3</v>
      </c>
      <c r="W92" s="7" t="n">
        <v>0</v>
      </c>
      <c r="X92" s="7" t="n">
        <v>0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0</v>
      </c>
      <c r="X93" s="7" t="n">
        <v>0</v>
      </c>
      <c r="Y93" s="7" t="n">
        <v>0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0</v>
      </c>
      <c r="X94" s="7" t="n">
        <v>0</v>
      </c>
      <c r="Y94" s="7" t="n">
        <v>0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0</v>
      </c>
      <c r="X95" s="7" t="n">
        <v>0</v>
      </c>
      <c r="Y95" s="7" t="n">
        <v>0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0</v>
      </c>
      <c r="X96" s="7" t="n">
        <v>0</v>
      </c>
      <c r="Y96" s="7" t="n">
        <v>0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0</v>
      </c>
      <c r="X97" s="7" t="n">
        <v>0</v>
      </c>
      <c r="Y97" s="7" t="n">
        <v>0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0</v>
      </c>
      <c r="X98" s="7" t="n">
        <v>0</v>
      </c>
      <c r="Y98" s="7" t="n">
        <v>0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0</v>
      </c>
      <c r="X99" s="7" t="n">
        <v>0</v>
      </c>
      <c r="Y99" s="7" t="n">
        <v>0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0</v>
      </c>
      <c r="X100" s="7" t="n">
        <v>0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0</v>
      </c>
      <c r="X101" s="7" t="n">
        <v>0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0</v>
      </c>
      <c r="X102" s="7" t="n">
        <v>0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C1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2</v>
      </c>
      <c r="T103" s="17" t="n">
        <v>9</v>
      </c>
      <c r="U103" s="17" t="n">
        <v>10</v>
      </c>
      <c r="W103" s="7" t="n">
        <v>0</v>
      </c>
      <c r="X103" s="7" t="n">
        <v>0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0</v>
      </c>
      <c r="X104" s="7" t="n">
        <v>0</v>
      </c>
      <c r="Y104" s="7" t="n">
        <v>0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0</v>
      </c>
      <c r="X105" s="7" t="n">
        <v>0</v>
      </c>
      <c r="Y105" s="7" t="n">
        <v>0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0</v>
      </c>
      <c r="X106" s="7" t="n">
        <v>0</v>
      </c>
      <c r="Y106" s="7" t="n">
        <v>0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0</v>
      </c>
      <c r="X107" s="7" t="n">
        <v>0</v>
      </c>
      <c r="Y107" s="7" t="n">
        <v>0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0</v>
      </c>
      <c r="X108" s="7" t="n">
        <v>0</v>
      </c>
      <c r="Y108" s="7" t="n">
        <v>0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0</v>
      </c>
      <c r="X109" s="7" t="n">
        <v>0</v>
      </c>
      <c r="Y109" s="7" t="n">
        <v>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0</v>
      </c>
      <c r="X110" s="7" t="n">
        <v>0</v>
      </c>
      <c r="Y110" s="7" t="n">
        <v>0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0</v>
      </c>
      <c r="X111" s="7" t="n">
        <v>0</v>
      </c>
      <c r="Y111" s="7" t="n">
        <v>0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0</v>
      </c>
      <c r="X112" s="7" t="n">
        <v>0</v>
      </c>
      <c r="Y112" s="7" t="n">
        <v>0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0</v>
      </c>
      <c r="X113" s="7" t="n">
        <v>0</v>
      </c>
      <c r="Y113" s="7" t="n">
        <v>0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0</v>
      </c>
      <c r="X114" s="7" t="n">
        <v>0</v>
      </c>
      <c r="Y114" s="7" t="n">
        <v>0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0</v>
      </c>
      <c r="X115" s="7" t="n">
        <v>0</v>
      </c>
      <c r="Y115" s="7" t="n">
        <v>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0</v>
      </c>
      <c r="X116" s="7" t="n">
        <v>0</v>
      </c>
      <c r="Y116" s="7" t="n">
        <v>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0</v>
      </c>
      <c r="X117" s="7" t="n">
        <v>0</v>
      </c>
      <c r="Y117" s="7" t="n">
        <v>0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0</v>
      </c>
      <c r="X118" s="7" t="n">
        <v>0</v>
      </c>
      <c r="Y118" s="7" t="n">
        <v>0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0</v>
      </c>
      <c r="X119" s="7" t="n">
        <v>0</v>
      </c>
      <c r="Y119" s="7" t="n">
        <v>0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0</v>
      </c>
      <c r="X120" s="7" t="n">
        <v>0</v>
      </c>
      <c r="Y120" s="7" t="n">
        <v>0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0</v>
      </c>
      <c r="X121" s="7" t="n">
        <v>0</v>
      </c>
      <c r="Y121" s="7" t="n">
        <v>0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0</v>
      </c>
      <c r="X122" s="7" t="n">
        <v>0</v>
      </c>
      <c r="Y122" s="7" t="n">
        <v>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0</v>
      </c>
      <c r="X123" s="7" t="n">
        <v>0</v>
      </c>
      <c r="Y123" s="7" t="n">
        <v>0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0</v>
      </c>
      <c r="X124" s="7" t="n">
        <v>0</v>
      </c>
      <c r="Y124" s="7" t="n">
        <v>0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0</v>
      </c>
      <c r="X125" s="7" t="n">
        <v>0</v>
      </c>
      <c r="Y125" s="7" t="n">
        <v>0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0</v>
      </c>
      <c r="X126" s="7" t="n">
        <v>0</v>
      </c>
      <c r="Y126" s="7" t="n">
        <v>0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0</v>
      </c>
      <c r="X127" s="7" t="n">
        <v>0</v>
      </c>
      <c r="Y127" s="7" t="n">
        <v>0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0</v>
      </c>
      <c r="X128" s="7" t="n">
        <v>0</v>
      </c>
      <c r="Y128" s="7" t="n">
        <v>0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0</v>
      </c>
      <c r="X129" s="7" t="n">
        <v>0</v>
      </c>
      <c r="Y129" s="7" t="n">
        <v>0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0</v>
      </c>
      <c r="X130" s="7" t="n">
        <v>0</v>
      </c>
      <c r="Y130" s="7" t="n">
        <v>0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0</v>
      </c>
      <c r="X131" s="7" t="n">
        <v>0</v>
      </c>
      <c r="Y131" s="7" t="n">
        <v>0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0</v>
      </c>
      <c r="X132" s="7" t="n">
        <v>0</v>
      </c>
      <c r="Y132" s="7" t="n">
        <v>0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0</v>
      </c>
      <c r="X133" s="7" t="n">
        <v>0</v>
      </c>
      <c r="Y133" s="7" t="n">
        <v>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0</v>
      </c>
      <c r="X134" s="7" t="n">
        <v>0</v>
      </c>
      <c r="Y134" s="7" t="n">
        <v>0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0</v>
      </c>
      <c r="X135" s="7" t="n">
        <v>0</v>
      </c>
      <c r="Y135" s="7" t="n">
        <v>0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0</v>
      </c>
      <c r="X136" s="7" t="n">
        <v>0</v>
      </c>
      <c r="Y136" s="7" t="n">
        <v>0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0</v>
      </c>
      <c r="X137" s="7" t="n">
        <v>0</v>
      </c>
      <c r="Y137" s="7" t="n">
        <v>0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0</v>
      </c>
      <c r="X138" s="7" t="n">
        <v>0</v>
      </c>
      <c r="Y138" s="7" t="n">
        <v>0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0</v>
      </c>
      <c r="X139" s="7" t="n">
        <v>0</v>
      </c>
      <c r="Y139" s="7" t="n">
        <v>0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0</v>
      </c>
      <c r="X140" s="7" t="n">
        <v>0</v>
      </c>
      <c r="Y140" s="7" t="n">
        <v>0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0</v>
      </c>
      <c r="X141" s="7" t="n">
        <v>0</v>
      </c>
      <c r="Y141" s="7" t="n">
        <v>0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0</v>
      </c>
      <c r="X142" s="7" t="n">
        <v>0</v>
      </c>
      <c r="Y142" s="7" t="n">
        <v>0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0</v>
      </c>
      <c r="X143" s="7" t="n">
        <v>0</v>
      </c>
      <c r="Y143" s="7" t="n">
        <v>0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0</v>
      </c>
      <c r="X144" s="7" t="n">
        <v>0</v>
      </c>
      <c r="Y144" s="7" t="n">
        <v>0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0</v>
      </c>
      <c r="X145" s="7" t="n">
        <v>0</v>
      </c>
      <c r="Y145" s="7" t="n">
        <v>0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0</v>
      </c>
      <c r="X146" s="7" t="n">
        <v>0</v>
      </c>
      <c r="Y146" s="7" t="n">
        <v>0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0</v>
      </c>
      <c r="X147" s="7" t="n">
        <v>0</v>
      </c>
      <c r="Y147" s="7" t="n">
        <v>0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0</v>
      </c>
      <c r="X148" s="7" t="n">
        <v>0</v>
      </c>
      <c r="Y148" s="7" t="n">
        <v>0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0</v>
      </c>
      <c r="X149" s="7" t="n">
        <v>0</v>
      </c>
      <c r="Y149" s="7" t="n">
        <v>0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0</v>
      </c>
      <c r="X150" s="7" t="n">
        <v>0</v>
      </c>
      <c r="Y150" s="7" t="n">
        <v>0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0</v>
      </c>
      <c r="X151" s="7" t="n">
        <v>0</v>
      </c>
      <c r="Y151" s="7" t="n">
        <v>0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0</v>
      </c>
      <c r="X152" s="7" t="n">
        <v>0</v>
      </c>
      <c r="Y152" s="7" t="n">
        <v>0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0</v>
      </c>
      <c r="X153" s="7" t="n">
        <v>0</v>
      </c>
      <c r="Y153" s="7" t="n">
        <v>0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0</v>
      </c>
      <c r="X154" s="7" t="n">
        <v>0</v>
      </c>
      <c r="Y154" s="7" t="n">
        <v>0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0</v>
      </c>
      <c r="X155" s="7" t="n">
        <v>0</v>
      </c>
      <c r="Y155" s="7" t="n">
        <v>0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0</v>
      </c>
      <c r="X156" s="7" t="n">
        <v>0</v>
      </c>
      <c r="Y156" s="7" t="n">
        <v>0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0</v>
      </c>
      <c r="X157" s="7" t="n">
        <v>0</v>
      </c>
      <c r="Y157" s="7" t="n">
        <v>0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0</v>
      </c>
      <c r="X158" s="7" t="n">
        <v>0</v>
      </c>
      <c r="Y158" s="7" t="n">
        <v>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0</v>
      </c>
      <c r="X159" s="7" t="n">
        <v>0</v>
      </c>
      <c r="Y159" s="7" t="n">
        <v>0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0</v>
      </c>
      <c r="X160" s="7" t="n">
        <v>0</v>
      </c>
      <c r="Y160" s="7" t="n">
        <v>0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0</v>
      </c>
      <c r="X161" s="7" t="n">
        <v>0</v>
      </c>
      <c r="Y161" s="7" t="n">
        <v>0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0</v>
      </c>
      <c r="X162" s="7" t="n">
        <v>0</v>
      </c>
      <c r="Y162" s="7" t="n">
        <v>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0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0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0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0</v>
      </c>
      <c r="X167" s="7" t="n">
        <v>0</v>
      </c>
      <c r="Y167" s="7" t="n">
        <v>0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0</v>
      </c>
      <c r="X168" s="7" t="n">
        <v>0</v>
      </c>
      <c r="Y168" s="7" t="n">
        <v>0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0</v>
      </c>
      <c r="X169" s="7" t="n">
        <v>0</v>
      </c>
      <c r="Y169" s="7" t="n">
        <v>0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0</v>
      </c>
      <c r="X170" s="7" t="n">
        <v>0</v>
      </c>
      <c r="Y170" s="7" t="n">
        <v>0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0</v>
      </c>
      <c r="X171" s="7" t="n">
        <v>0</v>
      </c>
      <c r="Y171" s="7" t="n">
        <v>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0</v>
      </c>
      <c r="X172" s="7" t="n">
        <v>0</v>
      </c>
      <c r="Y172" s="7" t="n">
        <v>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0</v>
      </c>
      <c r="X173" s="7" t="n">
        <v>0</v>
      </c>
      <c r="Y173" s="7" t="n">
        <v>0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0</v>
      </c>
      <c r="Y174" s="7" t="n">
        <v>0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0</v>
      </c>
      <c r="Y175" s="7" t="n">
        <v>0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0</v>
      </c>
      <c r="Y176" s="7" t="n">
        <v>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0</v>
      </c>
      <c r="Y177" s="7" t="n">
        <v>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0</v>
      </c>
      <c r="Y178" s="7" t="n">
        <v>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0</v>
      </c>
      <c r="Y179" s="7" t="n">
        <v>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2026-10-15T05:17:40Z</dcterms:modified>
  <cp:lastModifiedBy>宏羲 沈</cp:lastModifiedBy>
</cp:coreProperties>
</file>