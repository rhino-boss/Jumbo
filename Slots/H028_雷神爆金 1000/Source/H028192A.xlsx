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 1000\Source\"/>
    </mc:Choice>
  </mc:AlternateContent>
  <xr:revisionPtr revIDLastSave="0" documentId="13_ncr:1_{01A55ADE-9E08-4C91-B307-5D865C68400B}" xr6:coauthVersionLast="47" xr6:coauthVersionMax="47" xr10:uidLastSave="{00000000-0000-0000-0000-000000000000}"/>
  <bookViews>
    <workbookView xWindow="-23460" yWindow="1335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<sst xmlns="http://schemas.openxmlformats.org/spreadsheetml/2006/main" count="289" uniqueCount="129">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</sst>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inlineStr">
        <is>
          <t>3.2.0.0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0.9199997779524085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0.71999982973814702</v>
      </c>
      <c r="C17" s="102">
        <f>1/D17</f>
        <v>3.3333327320111106E-3</v>
      </c>
      <c r="D17" s="105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0.19999994821426148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0.92499987292709762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48277941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1232886</v>
      </c>
      <c r="E17" s="10">
        <f>Detail!K100</f>
        <v>194895365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69880327</v>
      </c>
      <c r="F18" s="10">
        <f>Detail!K178</f>
        <v>53604140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117190727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97049766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79154503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71212050</v>
      </c>
      <c r="F22" s="10">
        <f>Detail!K182</f>
        <v>67919080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88338144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38352415</v>
      </c>
      <c r="F24" s="10">
        <f>Detail!K184</f>
        <v>44395304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66601059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23135104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46852850</v>
      </c>
      <c r="F27" s="10">
        <f>Detail!K187</f>
        <v>76051372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14125180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18647539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8031600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7570601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1411977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1153523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975300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844603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744928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666147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602668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550020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506018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468372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435985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407863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383103</v>
      </c>
      <c r="F44" s="10">
        <f>Detail!K204</f>
        <v>95776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361199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341622</v>
      </c>
      <c r="F46" s="10">
        <f>Detail!K206</f>
        <v>85405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324115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240529</v>
      </c>
      <c r="F48" s="10">
        <f>Detail!K208</f>
        <v>60132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266857</v>
      </c>
      <c r="F49" s="10">
        <f>Detail!K209</f>
        <v>66714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0.720000001897047</v>
      </c>
      <c r="D7" s="40">
        <f>SUM(_xlfn.ANCHORARRAY(M86))*F7</f>
        <v>0.199999979942077</v>
      </c>
      <c r="E7" s="41">
        <f>SUM(C7:D7)</f>
        <v>0.919999981839124</v>
      </c>
      <c r="F7" s="42">
        <f>L79</f>
        <v>0.003333333</v>
      </c>
      <c r="G7" s="43">
        <f>1/F7</f>
        <v>300.000030000003</v>
      </c>
      <c r="H7" s="44">
        <f>D7*G7</f>
        <v>59.9999999826233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0.924999989281417</v>
      </c>
      <c r="E8" s="41">
        <f>SUM(C8:D8)</f>
        <v>0.924999989281417</v>
      </c>
      <c r="F8" s="45">
        <f>D156</f>
        <v>1</v>
      </c>
      <c r="G8" s="43">
        <f>1/F8</f>
        <v>1</v>
      </c>
      <c r="H8" s="44">
        <f>D8*G8*B8</f>
        <v>69.3749991961063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</v>
      </c>
      <c r="J15" s="36" cm="1">
        <f t="array" ref="J15:J78">I15:I78/SUM(I15:I78)</f>
        <v>0.725330287</v>
      </c>
      <c r="K15" s="71" cm="1">
        <f t="array" ref="K15:K79">INT(J15:J79*$B$2)</f>
        <v>725330287</v>
      </c>
      <c r="L15" s="36" cm="1">
        <f t="array" ref="L15:L79">_xlfn.LET(_xlpm.x, K15:K79, _xlpm.x/SUM(_xlpm.x))</f>
        <v>0.72291252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1.0779287532111</v>
      </c>
      <c r="I16" s="36">
        <v>0.15442775</v>
      </c>
      <c r="J16" s="36">
        <v>0.15442775</v>
      </c>
      <c r="K16" s="71">
        <v>154427750</v>
      </c>
      <c r="L16" s="36">
        <v>0.153912991</v>
      </c>
      <c r="M16" s="36">
        <v>0.0667590275562355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0.825672552799965</v>
      </c>
      <c r="I17" s="36">
        <v>0.045355881</v>
      </c>
      <c r="J17" s="36">
        <v>0.045355881</v>
      </c>
      <c r="K17" s="71">
        <v>45355881</v>
      </c>
      <c r="L17" s="36">
        <v>0.045204695</v>
      </c>
      <c r="M17" s="36">
        <v>0.0680555305310765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0.630224801878479</v>
      </c>
      <c r="I18" s="36">
        <v>0.020824186</v>
      </c>
      <c r="J18" s="36">
        <v>0.020824186</v>
      </c>
      <c r="K18" s="71">
        <v>20824186</v>
      </c>
      <c r="L18" s="36">
        <v>0.020754772</v>
      </c>
      <c r="M18" s="36">
        <v>0.052542397044821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0.559584553449423</v>
      </c>
      <c r="I19" s="36">
        <v>0.012801763</v>
      </c>
      <c r="J19" s="36">
        <v>0.012801763</v>
      </c>
      <c r="K19" s="71">
        <v>12801763</v>
      </c>
      <c r="L19" s="36">
        <v>0.012759091</v>
      </c>
      <c r="M19" s="36">
        <v>0.0450179873651804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0.490918512261427</v>
      </c>
      <c r="I20" s="36">
        <v>0.00833049</v>
      </c>
      <c r="J20" s="36">
        <v>0.00833049</v>
      </c>
      <c r="K20" s="71">
        <v>8330490</v>
      </c>
      <c r="L20" s="36">
        <v>0.008302722</v>
      </c>
      <c r="M20" s="36">
        <v>0.0376324678292621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0.478150819357727</v>
      </c>
      <c r="I21" s="36">
        <v>0.006442268</v>
      </c>
      <c r="J21" s="36">
        <v>0.006442268</v>
      </c>
      <c r="K21" s="71">
        <v>6442268</v>
      </c>
      <c r="L21" s="36">
        <v>0.006420794</v>
      </c>
      <c r="M21" s="36">
        <v>0.0356507045609493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0.326631871258242</v>
      </c>
      <c r="I22" s="36">
        <v>0.003475271</v>
      </c>
      <c r="J22" s="36">
        <v>0.003475271</v>
      </c>
      <c r="K22" s="71">
        <v>3475271</v>
      </c>
      <c r="L22" s="36">
        <v>0.003463687</v>
      </c>
      <c r="M22" s="36">
        <v>0.0225990881733536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0.436178686632522</v>
      </c>
      <c r="I23" s="36">
        <v>0.003905407</v>
      </c>
      <c r="J23" s="36">
        <v>0.003905407</v>
      </c>
      <c r="K23" s="71">
        <v>3905407</v>
      </c>
      <c r="L23" s="36">
        <v>0.003892389</v>
      </c>
      <c r="M23" s="36">
        <v>0.0293191141419149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0.420642498835658</v>
      </c>
      <c r="I24" s="36">
        <v>0.003166537</v>
      </c>
      <c r="J24" s="36">
        <v>0.003166537</v>
      </c>
      <c r="K24" s="71">
        <v>3166537</v>
      </c>
      <c r="L24" s="36">
        <v>0.003155982</v>
      </c>
      <c r="M24" s="36">
        <v>0.0269910739913185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0.330538719959981</v>
      </c>
      <c r="I25" s="36">
        <v>0.002057627</v>
      </c>
      <c r="J25" s="36">
        <v>0.002057627</v>
      </c>
      <c r="K25" s="71">
        <v>2057627</v>
      </c>
      <c r="L25" s="36">
        <v>0.002050768</v>
      </c>
      <c r="M25" s="36">
        <v>0.0195599493636268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0.301980648849728</v>
      </c>
      <c r="I26" s="36">
        <v>0.006253983</v>
      </c>
      <c r="J26" s="36">
        <v>0.006253983</v>
      </c>
      <c r="K26" s="71">
        <v>6253983</v>
      </c>
      <c r="L26" s="36">
        <v>0.006233136</v>
      </c>
      <c r="M26" s="36">
        <v>0.0765443677875091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0.243041407519471</v>
      </c>
      <c r="I27" s="36">
        <v>0.002710975</v>
      </c>
      <c r="J27" s="36">
        <v>0.002710975</v>
      </c>
      <c r="K27" s="71">
        <v>2710975</v>
      </c>
      <c r="L27" s="36">
        <v>0.002701938</v>
      </c>
      <c r="M27" s="36">
        <v>0.0468429536799904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0.226898965555597</v>
      </c>
      <c r="I28" s="36">
        <v>0.001529923</v>
      </c>
      <c r="J28" s="36">
        <v>0.001529923</v>
      </c>
      <c r="K28" s="71">
        <v>1529923</v>
      </c>
      <c r="L28" s="36">
        <v>0.001524823</v>
      </c>
      <c r="M28" s="36">
        <v>0.0341076824865717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0.275263019939102</v>
      </c>
      <c r="I29" s="36">
        <v>0.001232886</v>
      </c>
      <c r="J29" s="36">
        <v>0.001232886</v>
      </c>
      <c r="K29" s="71">
        <v>1232886</v>
      </c>
      <c r="L29" s="36">
        <v>0.001228776</v>
      </c>
      <c r="M29" s="36">
        <v>0.0336637533025033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0.195256096401696</v>
      </c>
      <c r="I30" s="36">
        <v>0.000589501</v>
      </c>
      <c r="J30" s="36">
        <v>0.000589501</v>
      </c>
      <c r="K30" s="71">
        <v>589501</v>
      </c>
      <c r="L30" s="36">
        <v>0.000587536</v>
      </c>
      <c r="M30" s="36">
        <v>0.019035189374643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0.184646039866321</v>
      </c>
      <c r="I31" s="36">
        <v>0.000407639</v>
      </c>
      <c r="J31" s="36">
        <v>0.000407639</v>
      </c>
      <c r="K31" s="71">
        <v>407639</v>
      </c>
      <c r="L31" s="36">
        <v>0.00040628</v>
      </c>
      <c r="M31" s="36">
        <v>0.0152104437742606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0.151261356089826</v>
      </c>
      <c r="I32" s="36">
        <v>0.000249181</v>
      </c>
      <c r="J32" s="36">
        <v>0.000249181</v>
      </c>
      <c r="K32" s="71">
        <v>249181</v>
      </c>
      <c r="L32" s="36">
        <v>0.00024835</v>
      </c>
      <c r="M32" s="36">
        <v>0.0105392973562498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0.169420222909382</v>
      </c>
      <c r="I33" s="36">
        <v>0.000208692</v>
      </c>
      <c r="J33" s="36">
        <v>0.000208692</v>
      </c>
      <c r="K33" s="71">
        <v>208692</v>
      </c>
      <c r="L33" s="36">
        <v>0.000207996</v>
      </c>
      <c r="M33" s="36">
        <v>0.00987156666660102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0.253038418824833</v>
      </c>
      <c r="I34" s="36">
        <v>0.0004459</v>
      </c>
      <c r="J34" s="36">
        <v>0.0004459</v>
      </c>
      <c r="K34" s="71">
        <v>445900</v>
      </c>
      <c r="L34" s="36">
        <v>0.000444414</v>
      </c>
      <c r="M34" s="36">
        <v>0.0243102149951971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0.227557583445012</v>
      </c>
      <c r="I35" s="36">
        <v>0.000253853</v>
      </c>
      <c r="J35" s="36">
        <v>0.000253853</v>
      </c>
      <c r="K35" s="71">
        <v>253853</v>
      </c>
      <c r="L35" s="36">
        <v>0.000253007</v>
      </c>
      <c r="M35" s="36">
        <v>0.0163656381187234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0.47796633422963</v>
      </c>
      <c r="I79" s="36">
        <v>0.003344481</v>
      </c>
      <c r="J79" s="36">
        <f>I79</f>
        <v>0.003344481</v>
      </c>
      <c r="K79" s="72">
        <v>3344481</v>
      </c>
      <c r="L79" s="36">
        <v>0.003333333</v>
      </c>
      <c r="M79" s="36">
        <v>0.0293815537970587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2.02157901157006</v>
      </c>
      <c r="I99" s="36">
        <v>0.048277941</v>
      </c>
      <c r="J99" s="36">
        <v>0.048277941</v>
      </c>
      <c r="K99" s="71">
        <v>48277941</v>
      </c>
      <c r="L99" s="36">
        <v>0.048277941</v>
      </c>
      <c r="M99" s="36">
        <v>1.08951627960283</v>
      </c>
      <c r="N99" s="73"/>
      <c r="O99" s="59">
        <v>20</v>
      </c>
      <c r="P99" s="59">
        <v>25</v>
      </c>
      <c r="Q99" s="36">
        <v>4.8651537097303077E-2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7.8955568218765</v>
      </c>
      <c r="I100" s="36">
        <v>0.194895365</v>
      </c>
      <c r="J100" s="36">
        <v>0.194895365</v>
      </c>
      <c r="K100" s="71">
        <v>194895365</v>
      </c>
      <c r="L100" s="36">
        <v>0.194895365</v>
      </c>
      <c r="M100" s="36">
        <v>5.37286513836038</v>
      </c>
      <c r="N100" s="73"/>
      <c r="O100" s="59">
        <v>25</v>
      </c>
      <c r="P100" s="59">
        <v>30</v>
      </c>
      <c r="Q100" s="36">
        <v>0.19624817239249634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2.84872243803856</v>
      </c>
      <c r="I101" s="36">
        <v>0.069880327</v>
      </c>
      <c r="J101" s="36">
        <v>0.069880327</v>
      </c>
      <c r="K101" s="71">
        <v>69880327</v>
      </c>
      <c r="L101" s="36">
        <v>0.069880327</v>
      </c>
      <c r="M101" s="36">
        <v>2.27513363068279</v>
      </c>
      <c r="N101" s="73"/>
      <c r="O101" s="59">
        <v>30</v>
      </c>
      <c r="P101" s="59">
        <v>35</v>
      </c>
      <c r="Q101" s="36">
        <v>7.0309832140619657E-2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4.74699951893256</v>
      </c>
      <c r="I102" s="36">
        <v>0.117190727</v>
      </c>
      <c r="J102" s="36">
        <v>0.117190727</v>
      </c>
      <c r="K102" s="71">
        <v>117190727</v>
      </c>
      <c r="L102" s="36">
        <v>0.117190727</v>
      </c>
      <c r="M102" s="36">
        <v>4.40091242974426</v>
      </c>
      <c r="N102" s="73"/>
      <c r="O102" s="59">
        <v>35</v>
      </c>
      <c r="P102" s="59">
        <v>40</v>
      </c>
      <c r="Q102" s="36">
        <v>0.11781781723563564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3.98918994888323</v>
      </c>
      <c r="I103" s="36">
        <v>0.097049766</v>
      </c>
      <c r="J103" s="36">
        <v>0.097049766</v>
      </c>
      <c r="K103" s="71">
        <v>97049766</v>
      </c>
      <c r="L103" s="36">
        <v>0.097049766</v>
      </c>
      <c r="M103" s="36">
        <v>4.12958649528127</v>
      </c>
      <c r="N103" s="73"/>
      <c r="O103" s="59">
        <v>40</v>
      </c>
      <c r="P103" s="59">
        <v>45</v>
      </c>
      <c r="Q103" s="36">
        <v>9.7491931194983866E-2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3.29595638763096</v>
      </c>
      <c r="I104" s="36">
        <v>0.079154503</v>
      </c>
      <c r="J104" s="36">
        <v>0.079154503</v>
      </c>
      <c r="K104" s="71">
        <v>79154503</v>
      </c>
      <c r="L104" s="36">
        <v>0.079154503</v>
      </c>
      <c r="M104" s="36">
        <v>3.76343568969663</v>
      </c>
      <c r="N104" s="73"/>
      <c r="O104" s="59">
        <v>45</v>
      </c>
      <c r="P104" s="59">
        <v>50</v>
      </c>
      <c r="Q104" s="36">
        <v>7.9452307158904611E-2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1.53950031403937</v>
      </c>
      <c r="I105" s="36">
        <v>0.07121205</v>
      </c>
      <c r="J105" s="36">
        <v>0.07121205</v>
      </c>
      <c r="K105" s="71">
        <v>71212050</v>
      </c>
      <c r="L105" s="36">
        <v>0.07121205</v>
      </c>
      <c r="M105" s="36">
        <v>3.91759728824916</v>
      </c>
      <c r="N105" s="73"/>
      <c r="O105" s="59">
        <v>50</v>
      </c>
      <c r="P105" s="59">
        <v>60</v>
      </c>
      <c r="Q105" s="36">
        <v>7.1395536142791066E-2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2.01519168038652</v>
      </c>
      <c r="I106" s="36">
        <v>0.088338144</v>
      </c>
      <c r="J106" s="36">
        <v>0.088338144</v>
      </c>
      <c r="K106" s="71">
        <v>88338144</v>
      </c>
      <c r="L106" s="36">
        <v>0.088338144</v>
      </c>
      <c r="M106" s="36">
        <v>5.74259736845423</v>
      </c>
      <c r="N106" s="73"/>
      <c r="O106" s="59">
        <v>60</v>
      </c>
      <c r="P106" s="59">
        <v>70</v>
      </c>
      <c r="Q106" s="36">
        <v>8.8425776176851559E-2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0.921706033678132</v>
      </c>
      <c r="I107" s="36">
        <v>0.038352415</v>
      </c>
      <c r="J107" s="36">
        <v>0.038352415</v>
      </c>
      <c r="K107" s="71">
        <v>38352415</v>
      </c>
      <c r="L107" s="36">
        <v>0.038352415</v>
      </c>
      <c r="M107" s="36">
        <v>2.87637042712656</v>
      </c>
      <c r="N107" s="73"/>
      <c r="O107" s="59">
        <v>70</v>
      </c>
      <c r="P107" s="59">
        <v>80</v>
      </c>
      <c r="Q107" s="36">
        <v>3.8329798076659594E-2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1.71196202012565</v>
      </c>
      <c r="I108" s="36">
        <v>0.066601059</v>
      </c>
      <c r="J108" s="36">
        <v>0.066601059</v>
      </c>
      <c r="K108" s="71">
        <v>66601059</v>
      </c>
      <c r="L108" s="36">
        <v>0.066601059</v>
      </c>
      <c r="M108" s="36">
        <v>5.66024143678527</v>
      </c>
      <c r="N108" s="73"/>
      <c r="O108" s="59">
        <v>80</v>
      </c>
      <c r="P108" s="59">
        <v>90</v>
      </c>
      <c r="Q108" s="36">
        <v>6.6456632132913265E-2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0.638153583308406</v>
      </c>
      <c r="I109" s="79">
        <v>0.023135104</v>
      </c>
      <c r="J109" s="79">
        <v>0.023135104</v>
      </c>
      <c r="K109" s="71">
        <v>23135104</v>
      </c>
      <c r="L109" s="79">
        <v>0.023135104</v>
      </c>
      <c r="M109" s="79">
        <v>2.19785363979459</v>
      </c>
      <c r="N109" s="73"/>
      <c r="O109" s="59">
        <v>90</v>
      </c>
      <c r="P109" s="59">
        <v>100</v>
      </c>
      <c r="Q109" s="36">
        <v>2.3048376046096754E-2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0.717708349510063</v>
      </c>
      <c r="I110" s="79">
        <v>0.04685285</v>
      </c>
      <c r="J110" s="79">
        <v>0.04685285</v>
      </c>
      <c r="K110" s="71">
        <v>46852850</v>
      </c>
      <c r="L110" s="79">
        <v>0.04685285</v>
      </c>
      <c r="M110" s="79">
        <v>5.1459976827777</v>
      </c>
      <c r="N110" s="73"/>
      <c r="O110" s="59">
        <v>100</v>
      </c>
      <c r="P110" s="59">
        <v>120</v>
      </c>
      <c r="Q110" s="36">
        <v>4.656775909313552E-2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0.249709670707379</v>
      </c>
      <c r="I111" s="79">
        <v>0.01412518</v>
      </c>
      <c r="J111" s="79">
        <v>0.01412518</v>
      </c>
      <c r="K111" s="71">
        <v>14125180</v>
      </c>
      <c r="L111" s="79">
        <v>0.01412518</v>
      </c>
      <c r="M111" s="79">
        <v>1.83363184613164</v>
      </c>
      <c r="N111" s="73"/>
      <c r="O111" s="59">
        <v>120</v>
      </c>
      <c r="P111" s="59">
        <v>140</v>
      </c>
      <c r="Q111" s="36">
        <v>1.3994904027989807E-2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0.379828034028326</v>
      </c>
      <c r="I112" s="79">
        <v>0.018647539</v>
      </c>
      <c r="J112" s="79">
        <v>0.018647539</v>
      </c>
      <c r="K112" s="71">
        <v>18647539</v>
      </c>
      <c r="L112" s="79">
        <v>0.018647539</v>
      </c>
      <c r="M112" s="79">
        <v>2.79347694884015</v>
      </c>
      <c r="N112" s="73"/>
      <c r="O112" s="59">
        <v>140</v>
      </c>
      <c r="P112" s="59">
        <v>160</v>
      </c>
      <c r="Q112" s="36">
        <v>1.8417188036834377E-2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0.188192785519107</v>
      </c>
      <c r="I113" s="79">
        <v>0.0080316</v>
      </c>
      <c r="J113" s="79">
        <v>0.0080316</v>
      </c>
      <c r="K113" s="71">
        <v>8031600</v>
      </c>
      <c r="L113" s="79">
        <v>0.0080316</v>
      </c>
      <c r="M113" s="79">
        <v>1.36383097702526</v>
      </c>
      <c r="N113" s="73"/>
      <c r="O113" s="59">
        <v>160</v>
      </c>
      <c r="P113" s="59">
        <v>180</v>
      </c>
      <c r="Q113" s="36">
        <v>7.9073110158146224E-3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0.205057269908356</v>
      </c>
      <c r="I114" s="79">
        <v>0.007570601</v>
      </c>
      <c r="J114" s="79">
        <v>0.007570601</v>
      </c>
      <c r="K114" s="71">
        <v>7570601</v>
      </c>
      <c r="L114" s="79">
        <v>0.007570601</v>
      </c>
      <c r="M114" s="79">
        <v>1.43695265933237</v>
      </c>
      <c r="N114" s="73"/>
      <c r="O114" s="59">
        <v>180</v>
      </c>
      <c r="P114" s="59">
        <v>200</v>
      </c>
      <c r="Q114" s="36">
        <v>7.4298910148597819E-3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0.0192434850829725</v>
      </c>
      <c r="I115" s="79">
        <v>0.001411977</v>
      </c>
      <c r="J115" s="79">
        <v>0.001411977</v>
      </c>
      <c r="K115" s="71">
        <v>1411977</v>
      </c>
      <c r="L115" s="79">
        <v>0.001411977</v>
      </c>
      <c r="M115" s="79">
        <v>0.315789484799918</v>
      </c>
      <c r="N115" s="73"/>
      <c r="O115" s="59">
        <v>200</v>
      </c>
      <c r="P115" s="59">
        <v>250</v>
      </c>
      <c r="Q115" s="36">
        <v>1.02811500205623E-3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0.0217774858237553</v>
      </c>
      <c r="I116" s="79">
        <v>0.001153523</v>
      </c>
      <c r="J116" s="79">
        <v>0.001153523</v>
      </c>
      <c r="K116" s="71">
        <v>1153523</v>
      </c>
      <c r="L116" s="79">
        <v>0.001153523</v>
      </c>
      <c r="M116" s="79">
        <v>0.315789531984787</v>
      </c>
      <c r="N116" s="73"/>
      <c r="O116" s="59">
        <v>250</v>
      </c>
      <c r="P116" s="59">
        <v>300</v>
      </c>
      <c r="Q116" s="36">
        <v>8.4073100168146199E-4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0.024902049309805</v>
      </c>
      <c r="I117" s="79">
        <v>0.0009753</v>
      </c>
      <c r="J117" s="79">
        <v>0.0009753</v>
      </c>
      <c r="K117" s="71">
        <v>975300</v>
      </c>
      <c r="L117" s="79">
        <v>0.0009753</v>
      </c>
      <c r="M117" s="79">
        <v>0.315789435971308</v>
      </c>
      <c r="N117" s="73"/>
      <c r="O117" s="59">
        <v>300</v>
      </c>
      <c r="P117" s="59">
        <v>350</v>
      </c>
      <c r="Q117" s="36">
        <v>7.1119600142239203E-4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0.0287686961054617</v>
      </c>
      <c r="I118" s="79">
        <v>0.000844603</v>
      </c>
      <c r="J118" s="79">
        <v>0.000844603</v>
      </c>
      <c r="K118" s="71">
        <v>844603</v>
      </c>
      <c r="L118" s="79">
        <v>0.000844603</v>
      </c>
      <c r="M118" s="79">
        <v>0.315789300833267</v>
      </c>
      <c r="N118" s="73"/>
      <c r="O118" s="59">
        <v>350</v>
      </c>
      <c r="P118" s="59">
        <v>400</v>
      </c>
      <c r="Q118" s="36">
        <v>6.1617400123234803E-4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0.0334172908945904</v>
      </c>
      <c r="I119" s="79">
        <v>0.000744928</v>
      </c>
      <c r="J119" s="79">
        <v>0.000744928</v>
      </c>
      <c r="K119" s="71">
        <v>744928</v>
      </c>
      <c r="L119" s="79">
        <v>0.000744928</v>
      </c>
      <c r="M119" s="79">
        <v>0.315789487153</v>
      </c>
      <c r="N119" s="73"/>
      <c r="O119" s="59">
        <v>400</v>
      </c>
      <c r="P119" s="59">
        <v>450</v>
      </c>
      <c r="Q119" s="36">
        <v>5.4362800108725604E-4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0.0383726457344842</v>
      </c>
      <c r="I120" s="79">
        <v>0.000666147</v>
      </c>
      <c r="J120" s="79">
        <v>0.000666147</v>
      </c>
      <c r="K120" s="71">
        <v>666147</v>
      </c>
      <c r="L120" s="79">
        <v>0.000666147</v>
      </c>
      <c r="M120" s="79">
        <v>0.315789688369241</v>
      </c>
      <c r="N120" s="73"/>
      <c r="O120" s="59">
        <v>450</v>
      </c>
      <c r="P120" s="59">
        <v>500</v>
      </c>
      <c r="Q120" s="36">
        <v>4.8631700097263403E-4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0.0439982663483087</v>
      </c>
      <c r="I121" s="79">
        <v>0.000602668</v>
      </c>
      <c r="J121" s="79">
        <v>0.000602668</v>
      </c>
      <c r="K121" s="71">
        <v>602668</v>
      </c>
      <c r="L121" s="79">
        <v>0.000602668</v>
      </c>
      <c r="M121" s="79">
        <v>0.315789387739071</v>
      </c>
      <c r="N121" s="73"/>
      <c r="O121" s="59">
        <v>500</v>
      </c>
      <c r="P121" s="59">
        <v>550</v>
      </c>
      <c r="Q121" s="36">
        <v>4.39923000879846E-4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0.0505133571721069</v>
      </c>
      <c r="I122" s="36">
        <v>0.00055002</v>
      </c>
      <c r="J122" s="36">
        <v>0.00055002</v>
      </c>
      <c r="K122" s="71">
        <v>550020</v>
      </c>
      <c r="L122" s="36">
        <v>0.00055002</v>
      </c>
      <c r="M122" s="36">
        <v>0.315789476562429</v>
      </c>
      <c r="N122" s="73"/>
      <c r="O122" s="59">
        <v>550</v>
      </c>
      <c r="P122" s="59">
        <v>600</v>
      </c>
      <c r="Q122" s="36">
        <v>4.0164300080328602E-4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0.0579778838019682</v>
      </c>
      <c r="I123" s="36">
        <v>0.000506018</v>
      </c>
      <c r="J123" s="36">
        <v>0.000506018</v>
      </c>
      <c r="K123" s="71">
        <v>506018</v>
      </c>
      <c r="L123" s="36">
        <v>0.000506018</v>
      </c>
      <c r="M123" s="36">
        <v>0.315789480663066</v>
      </c>
      <c r="N123" s="73"/>
      <c r="O123" s="59">
        <v>600</v>
      </c>
      <c r="P123" s="59">
        <v>650</v>
      </c>
      <c r="Q123" s="36">
        <v>3.69498000738996E-4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0.0662023315055045</v>
      </c>
      <c r="I124" s="36">
        <v>0.000468372</v>
      </c>
      <c r="J124" s="36">
        <v>0.000468372</v>
      </c>
      <c r="K124" s="71">
        <v>468372</v>
      </c>
      <c r="L124" s="36">
        <v>0.000468372</v>
      </c>
      <c r="M124" s="36">
        <v>0.31578912285559</v>
      </c>
      <c r="N124" s="73"/>
      <c r="O124" s="59">
        <v>650</v>
      </c>
      <c r="P124" s="59">
        <v>700</v>
      </c>
      <c r="Q124" s="36">
        <v>3.4211600068423202E-4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0.0746153788650149</v>
      </c>
      <c r="I125" s="36">
        <v>0.000435985</v>
      </c>
      <c r="J125" s="36">
        <v>0.000435985</v>
      </c>
      <c r="K125" s="71">
        <v>435985</v>
      </c>
      <c r="L125" s="36">
        <v>0.000435985</v>
      </c>
      <c r="M125" s="36">
        <v>0.315789750268393</v>
      </c>
      <c r="N125" s="73"/>
      <c r="O125" s="59">
        <v>700</v>
      </c>
      <c r="P125" s="59">
        <v>750</v>
      </c>
      <c r="Q125" s="36">
        <v>3.1845800063691601E-4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0.0842941160718611</v>
      </c>
      <c r="I126" s="36">
        <v>0.000407863</v>
      </c>
      <c r="J126" s="36">
        <v>0.000407863</v>
      </c>
      <c r="K126" s="71">
        <v>407863</v>
      </c>
      <c r="L126" s="36">
        <v>0.000407863</v>
      </c>
      <c r="M126" s="36">
        <v>0.315789549829716</v>
      </c>
      <c r="N126" s="73"/>
      <c r="O126" s="59">
        <v>750</v>
      </c>
      <c r="P126" s="59">
        <v>800</v>
      </c>
      <c r="Q126" s="36">
        <v>2.9791500059583002E-4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0.0947542458182814</v>
      </c>
      <c r="I127" s="36">
        <v>0.000383103</v>
      </c>
      <c r="J127" s="36">
        <v>0.000383103</v>
      </c>
      <c r="K127" s="71">
        <v>383103</v>
      </c>
      <c r="L127" s="36">
        <v>0.000383103</v>
      </c>
      <c r="M127" s="36">
        <v>0.315789709381786</v>
      </c>
      <c r="N127" s="73"/>
      <c r="O127" s="59">
        <v>800</v>
      </c>
      <c r="P127" s="59">
        <v>850</v>
      </c>
      <c r="Q127" s="36">
        <v>2.7985200055970401E-4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0.10698087537291</v>
      </c>
      <c r="I128" s="36">
        <v>0.000361199</v>
      </c>
      <c r="J128" s="36">
        <v>0.000361199</v>
      </c>
      <c r="K128" s="72">
        <v>361199</v>
      </c>
      <c r="L128" s="36">
        <v>0.000361199</v>
      </c>
      <c r="M128" s="36">
        <v>0.315789415656798</v>
      </c>
      <c r="N128" s="73"/>
      <c r="O128" s="59">
        <v>850</v>
      </c>
      <c r="P128" s="59">
        <v>900</v>
      </c>
      <c r="Q128" s="36">
        <v>2.6381600052763203E-4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0.118885798225991</v>
      </c>
      <c r="I129" s="36">
        <v>0.000341622</v>
      </c>
      <c r="J129" s="36">
        <v>0.000341622</v>
      </c>
      <c r="K129" s="72">
        <v>341622</v>
      </c>
      <c r="L129" s="36">
        <v>0.000341622</v>
      </c>
      <c r="M129" s="36">
        <v>0.315789717363575</v>
      </c>
      <c r="N129" s="73"/>
      <c r="O129" s="59">
        <v>900</v>
      </c>
      <c r="P129" s="59">
        <v>950</v>
      </c>
      <c r="Q129" s="36">
        <v>2.49579000499158E-4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0.133400079479148</v>
      </c>
      <c r="I130" s="36">
        <v>0.000324115</v>
      </c>
      <c r="J130" s="36">
        <v>0.000324115</v>
      </c>
      <c r="K130" s="72">
        <v>324115</v>
      </c>
      <c r="L130" s="36">
        <v>0.000324115</v>
      </c>
      <c r="M130" s="36">
        <v>0.315789413898888</v>
      </c>
      <c r="N130" s="73"/>
      <c r="O130" s="59">
        <v>950</v>
      </c>
      <c r="P130" s="59">
        <v>1000</v>
      </c>
      <c r="Q130" s="36">
        <v>2.3673500047346999E-4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0.0153851380742721</v>
      </c>
      <c r="I131" s="36">
        <v>0.000240529</v>
      </c>
      <c r="J131" s="36">
        <v>0.000240529</v>
      </c>
      <c r="K131" s="72">
        <v>240529</v>
      </c>
      <c r="L131" s="36">
        <v>0.000240529</v>
      </c>
      <c r="M131" s="36">
        <v>0.315788814375146</v>
      </c>
      <c r="N131" s="73"/>
      <c r="O131" s="59">
        <v>1000</v>
      </c>
      <c r="P131" s="59">
        <v>2000</v>
      </c>
      <c r="Q131" s="36">
        <v>1.66164000332328E-4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0.140123254461579</v>
      </c>
      <c r="I132" s="36">
        <v>0.000266857</v>
      </c>
      <c r="J132" s="36">
        <v>0.000266857</v>
      </c>
      <c r="K132" s="72">
        <v>266857</v>
      </c>
      <c r="L132" s="36">
        <v>0.000266857</v>
      </c>
      <c r="M132" s="36">
        <v>0.631579277032178</v>
      </c>
      <c r="N132" s="73"/>
      <c r="O132" s="59">
        <v>2000</v>
      </c>
      <c r="P132" s="59">
        <v>3000</v>
      </c>
      <c r="Q132" s="36">
        <v>1.9043900038087801E-4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6.7076000134152E-5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5.1846000103692003E-5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4.2283000084566002E-5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3.5711000071421998E-5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3.0917000061833997E-5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2.7253000054505999E-5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1.7846000035692001E-5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1.40778088783238</v>
      </c>
      <c r="I176" s="36">
        <v>0.033619642</v>
      </c>
      <c r="J176" s="36">
        <v>0.033619642</v>
      </c>
      <c r="K176" s="71">
        <v>33619642</v>
      </c>
      <c r="L176" s="36">
        <v>0.033619642</v>
      </c>
      <c r="M176" s="36">
        <v>0.75871394915991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5.7719735457184</v>
      </c>
      <c r="I177" s="36">
        <v>0.142476448</v>
      </c>
      <c r="J177" s="36">
        <v>0.142476448</v>
      </c>
      <c r="K177" s="71">
        <v>142476448</v>
      </c>
      <c r="L177" s="36">
        <v>0.142476448</v>
      </c>
      <c r="M177" s="36">
        <v>3.92778320047076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2.18521181776611</v>
      </c>
      <c r="I178" s="36">
        <v>0.05360414</v>
      </c>
      <c r="J178" s="36">
        <v>0.05360414</v>
      </c>
      <c r="K178" s="71">
        <v>53604140</v>
      </c>
      <c r="L178" s="36">
        <v>0.05360414</v>
      </c>
      <c r="M178" s="36">
        <v>1.74522053478411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3.82242451467904</v>
      </c>
      <c r="I179" s="36">
        <v>0.094365442</v>
      </c>
      <c r="J179" s="36">
        <v>0.094365442</v>
      </c>
      <c r="K179" s="71">
        <v>94365442</v>
      </c>
      <c r="L179" s="36">
        <v>0.094365442</v>
      </c>
      <c r="M179" s="36">
        <v>3.54374494695396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3.37201017607442</v>
      </c>
      <c r="I180" s="36">
        <v>0.0820349</v>
      </c>
      <c r="J180" s="36">
        <v>0.0820349</v>
      </c>
      <c r="K180" s="71">
        <v>82034900</v>
      </c>
      <c r="L180" s="36">
        <v>0.0820349</v>
      </c>
      <c r="M180" s="36">
        <v>3.49068554355659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2.92364489004291</v>
      </c>
      <c r="I181" s="36">
        <v>0.070213204</v>
      </c>
      <c r="J181" s="36">
        <v>0.070213204</v>
      </c>
      <c r="K181" s="71">
        <v>70213204</v>
      </c>
      <c r="L181" s="36">
        <v>0.070213204</v>
      </c>
      <c r="M181" s="36">
        <v>3.33831769269716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1.46831112135186</v>
      </c>
      <c r="I182" s="36">
        <v>0.06791908</v>
      </c>
      <c r="J182" s="36">
        <v>0.06791908</v>
      </c>
      <c r="K182" s="71">
        <v>67919080</v>
      </c>
      <c r="L182" s="36">
        <v>0.06791908</v>
      </c>
      <c r="M182" s="36">
        <v>3.73644072356263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2.11739447673575</v>
      </c>
      <c r="I183" s="36">
        <v>0.092818316</v>
      </c>
      <c r="J183" s="36">
        <v>0.092818316</v>
      </c>
      <c r="K183" s="71">
        <v>92818316</v>
      </c>
      <c r="L183" s="36">
        <v>0.092818316</v>
      </c>
      <c r="M183" s="36">
        <v>6.03383989147376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1.06693201885135</v>
      </c>
      <c r="I184" s="36">
        <v>0.044395304</v>
      </c>
      <c r="J184" s="36">
        <v>0.044395304</v>
      </c>
      <c r="K184" s="71">
        <v>44395304</v>
      </c>
      <c r="L184" s="36">
        <v>0.044395304</v>
      </c>
      <c r="M184" s="36">
        <v>3.32957753843906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2.18327329871466</v>
      </c>
      <c r="I185" s="36">
        <v>0.084936647</v>
      </c>
      <c r="J185" s="36">
        <v>0.084936647</v>
      </c>
      <c r="K185" s="71">
        <v>84936647</v>
      </c>
      <c r="L185" s="36">
        <v>0.084936647</v>
      </c>
      <c r="M185" s="36">
        <v>7.21853279917071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0.896510010359456</v>
      </c>
      <c r="I186" s="36">
        <v>0.032501349</v>
      </c>
      <c r="J186" s="36">
        <v>0.032501349</v>
      </c>
      <c r="K186" s="71">
        <v>32501349</v>
      </c>
      <c r="L186" s="36">
        <v>0.032501349</v>
      </c>
      <c r="M186" s="36">
        <v>3.08765450969593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1.16498152569365</v>
      </c>
      <c r="I187" s="36">
        <v>0.076051372</v>
      </c>
      <c r="J187" s="36">
        <v>0.076051372</v>
      </c>
      <c r="K187" s="71">
        <v>76051372</v>
      </c>
      <c r="L187" s="36">
        <v>0.076051372</v>
      </c>
      <c r="M187" s="36">
        <v>8.35296431453081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0.492066055451602</v>
      </c>
      <c r="I188" s="36">
        <v>0.027834411</v>
      </c>
      <c r="J188" s="36">
        <v>0.027834411</v>
      </c>
      <c r="K188" s="71">
        <v>27834411</v>
      </c>
      <c r="L188" s="36">
        <v>0.027834411</v>
      </c>
      <c r="M188" s="36">
        <v>3.61326810900228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0.908093551381244</v>
      </c>
      <c r="I189" s="36">
        <v>0.04458257</v>
      </c>
      <c r="J189" s="36">
        <v>0.04458257</v>
      </c>
      <c r="K189" s="71">
        <v>44582570</v>
      </c>
      <c r="L189" s="36">
        <v>0.04458257</v>
      </c>
      <c r="M189" s="36">
        <v>6.67864974649214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0.546197482186031</v>
      </c>
      <c r="I190" s="36">
        <v>0.02331035</v>
      </c>
      <c r="J190" s="36">
        <v>0.02331035</v>
      </c>
      <c r="K190" s="71">
        <v>23310350</v>
      </c>
      <c r="L190" s="36">
        <v>0.02331035</v>
      </c>
      <c r="M190" s="36">
        <v>3.95828694348583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0.722264827785683</v>
      </c>
      <c r="I191" s="36">
        <v>0.026665618</v>
      </c>
      <c r="J191" s="36">
        <v>0.026665618</v>
      </c>
      <c r="K191" s="71">
        <v>26665618</v>
      </c>
      <c r="L191" s="36">
        <v>0.026665618</v>
      </c>
      <c r="M191" s="36">
        <v>5.06131953035713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0.004810867863555</v>
      </c>
      <c r="I192" s="36">
        <v>0.000352994</v>
      </c>
      <c r="J192" s="36">
        <v>0.000352994</v>
      </c>
      <c r="K192" s="71">
        <v>352994</v>
      </c>
      <c r="L192" s="36">
        <v>0.000352994</v>
      </c>
      <c r="M192" s="36">
        <v>0.0789473152873327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0.00544437617571593</v>
      </c>
      <c r="I193" s="36">
        <v>0.000288381</v>
      </c>
      <c r="J193" s="36">
        <v>0.000288381</v>
      </c>
      <c r="K193" s="71">
        <v>288381</v>
      </c>
      <c r="L193" s="36">
        <v>0.000288381</v>
      </c>
      <c r="M193" s="36">
        <v>0.0789474514364298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0.00622551232745126</v>
      </c>
      <c r="I194" s="36">
        <v>0.000243825</v>
      </c>
      <c r="J194" s="36">
        <v>0.000243825</v>
      </c>
      <c r="K194" s="71">
        <v>243825</v>
      </c>
      <c r="L194" s="36">
        <v>0.000243825</v>
      </c>
      <c r="M194" s="36">
        <v>0.0789473589928271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0.00719218254181473</v>
      </c>
      <c r="I195" s="36">
        <v>0.000211151</v>
      </c>
      <c r="J195" s="36">
        <v>0.000211151</v>
      </c>
      <c r="K195" s="71">
        <v>211151</v>
      </c>
      <c r="L195" s="36">
        <v>0.000211151</v>
      </c>
      <c r="M195" s="36">
        <v>0.0789474186810196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0.0083543227236476</v>
      </c>
      <c r="I196" s="36">
        <v>0.000186232</v>
      </c>
      <c r="J196" s="36">
        <v>0.000186232</v>
      </c>
      <c r="K196" s="71">
        <v>186232</v>
      </c>
      <c r="L196" s="36">
        <v>0.000186232</v>
      </c>
      <c r="M196" s="36">
        <v>0.0789473717882499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0.00959317583458876</v>
      </c>
      <c r="I197" s="36">
        <v>0.000166537</v>
      </c>
      <c r="J197" s="36">
        <v>0.000166537</v>
      </c>
      <c r="K197" s="71">
        <v>166537</v>
      </c>
      <c r="L197" s="36">
        <v>0.000166537</v>
      </c>
      <c r="M197" s="36">
        <v>0.0789475406058247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0.0109995665870772</v>
      </c>
      <c r="I198" s="36">
        <v>0.000150667</v>
      </c>
      <c r="J198" s="36">
        <v>0.000150667</v>
      </c>
      <c r="K198" s="71">
        <v>150667</v>
      </c>
      <c r="L198" s="36">
        <v>0.000150667</v>
      </c>
      <c r="M198" s="36">
        <v>0.0789473469347678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0.0126283392930267</v>
      </c>
      <c r="I199" s="36">
        <v>0.000137505</v>
      </c>
      <c r="J199" s="36">
        <v>0.000137505</v>
      </c>
      <c r="K199" s="71">
        <v>137505</v>
      </c>
      <c r="L199" s="36">
        <v>0.000137505</v>
      </c>
      <c r="M199" s="36">
        <v>0.0789473691406072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0.014494413662131</v>
      </c>
      <c r="I200" s="36">
        <v>0.000126504</v>
      </c>
      <c r="J200" s="36">
        <v>0.000126504</v>
      </c>
      <c r="K200" s="71">
        <v>126504</v>
      </c>
      <c r="L200" s="36">
        <v>0.000126504</v>
      </c>
      <c r="M200" s="36">
        <v>0.0789470581319251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0.0165505828763761</v>
      </c>
      <c r="I201" s="36">
        <v>0.000117093</v>
      </c>
      <c r="J201" s="36">
        <v>0.000117093</v>
      </c>
      <c r="K201" s="71">
        <v>117093</v>
      </c>
      <c r="L201" s="36">
        <v>0.000117093</v>
      </c>
      <c r="M201" s="36">
        <v>0.0789472807138976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0.0186538019307342</v>
      </c>
      <c r="I202" s="36">
        <v>0.000108996</v>
      </c>
      <c r="J202" s="36">
        <v>0.000108996</v>
      </c>
      <c r="K202" s="71">
        <v>108996</v>
      </c>
      <c r="L202" s="36">
        <v>0.000108996</v>
      </c>
      <c r="M202" s="36">
        <v>0.0789472564887639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0.021073580686121</v>
      </c>
      <c r="I203" s="36">
        <v>0.000101966</v>
      </c>
      <c r="J203" s="36">
        <v>0.000101966</v>
      </c>
      <c r="K203" s="71">
        <v>101966</v>
      </c>
      <c r="L203" s="36">
        <v>0.000101966</v>
      </c>
      <c r="M203" s="36">
        <v>0.0789475810209233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0.0236886232879714</v>
      </c>
      <c r="I204" s="36">
        <v>9.5776e-05</v>
      </c>
      <c r="J204" s="36">
        <v>9.5776e-05</v>
      </c>
      <c r="K204" s="71">
        <v>95776</v>
      </c>
      <c r="L204" s="36">
        <v>9.5776e-05</v>
      </c>
      <c r="M204" s="36">
        <v>0.0789476334190803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0.0267452928888889</v>
      </c>
      <c r="I205" s="36">
        <v>9.03e-05</v>
      </c>
      <c r="J205" s="36">
        <v>9.03e-05</v>
      </c>
      <c r="K205" s="72">
        <v>90300</v>
      </c>
      <c r="L205" s="36">
        <v>9.03e-05</v>
      </c>
      <c r="M205" s="36">
        <v>0.0789475724844445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0.0297212755545332</v>
      </c>
      <c r="I206" s="36">
        <v>8.5405e-05</v>
      </c>
      <c r="J206" s="36">
        <v>8.5405e-05</v>
      </c>
      <c r="K206" s="72">
        <v>85405</v>
      </c>
      <c r="L206" s="36">
        <v>8.5405e-05</v>
      </c>
      <c r="M206" s="36">
        <v>0.0789469671491769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0.0333501227654256</v>
      </c>
      <c r="I207" s="36">
        <v>8.1029e-05</v>
      </c>
      <c r="J207" s="36">
        <v>8.1029e-05</v>
      </c>
      <c r="K207" s="72">
        <v>81029</v>
      </c>
      <c r="L207" s="36">
        <v>8.1029e-05</v>
      </c>
      <c r="M207" s="36">
        <v>0.0789475970529381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0.00384626852762923</v>
      </c>
      <c r="I208" s="36">
        <v>6.0132e-05</v>
      </c>
      <c r="J208" s="36">
        <v>6.0132e-05</v>
      </c>
      <c r="K208" s="72">
        <v>60132</v>
      </c>
      <c r="L208" s="36">
        <v>6.0132e-05</v>
      </c>
      <c r="M208" s="36">
        <v>0.0789468753705636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0.0350306823435389</v>
      </c>
      <c r="I209" s="36">
        <v>6.6714e-05</v>
      </c>
      <c r="J209" s="36">
        <v>6.6714e-05</v>
      </c>
      <c r="K209" s="72">
        <v>66714</v>
      </c>
      <c r="L209" s="36">
        <v>6.6714e-05</v>
      </c>
      <c r="M209" s="36">
        <v>0.157894227574786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0.720000018031069</v>
      </c>
      <c r="D7" s="40">
        <f>SUM(_xlfn.ANCHORARRAY(M86))*F7</f>
        <v>0.209999941175442</v>
      </c>
      <c r="E7" s="41">
        <f>SUM(C7:D7)</f>
        <v>0.929999959206511</v>
      </c>
      <c r="F7" s="42">
        <f>L79</f>
        <v>0.003577802</v>
      </c>
      <c r="G7" s="43">
        <f>1/F7</f>
        <v>279.501213314767</v>
      </c>
      <c r="H7" s="44">
        <f>D7*G7</f>
        <v>58.6952383545656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</v>
      </c>
      <c r="I15" s="36" cm="1">
        <f t="array" ref="I15:I79">D15:D79*H15:H79</f>
        <v>0.733362426</v>
      </c>
      <c r="J15" s="36" cm="1">
        <f t="array" ref="J15:J78">I15:I78/SUM(I15:I78)</f>
        <v>0.733362426</v>
      </c>
      <c r="K15" s="71" cm="1">
        <f t="array" ref="K15:K79">INT(J15:J79*$B$2)</f>
        <v>733362426</v>
      </c>
      <c r="L15" s="36" cm="1">
        <f t="array" ref="L15:L79">_xlfn.LET(_xlpm.x, K15:K79, _xlpm.x/SUM(_xlpm.x))</f>
        <v>0.7307386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0.59742955680103</v>
      </c>
      <c r="I18" s="36">
        <v>0.01974055</v>
      </c>
      <c r="J18" s="36">
        <v>0.01974055</v>
      </c>
      <c r="K18" s="71">
        <v>19740550</v>
      </c>
      <c r="L18" s="36">
        <v>0.019669922</v>
      </c>
      <c r="M18" s="36">
        <v>0.0497960108434175</v>
      </c>
      <c r="N18" s="73"/>
      <c r="O18" s="59">
        <v>2</v>
      </c>
      <c r="P18" s="59">
        <v>3</v>
      </c>
      <c r="Q18" s="36">
        <v>1.9669832535476325E-2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0.408928903693965</v>
      </c>
      <c r="I23" s="36">
        <v>0.003661421</v>
      </c>
      <c r="J23" s="36">
        <v>0.003661421</v>
      </c>
      <c r="K23" s="71">
        <v>3661421</v>
      </c>
      <c r="L23" s="36">
        <v>0.003648321</v>
      </c>
      <c r="M23" s="36">
        <v>0.0274806911193473</v>
      </c>
      <c r="N23" s="73"/>
      <c r="O23" s="59">
        <v>7</v>
      </c>
      <c r="P23" s="59">
        <v>8</v>
      </c>
      <c r="Q23" s="36">
        <v>3.6482593811015072E-3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1.0123713298966778E-2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3.9595496503695</v>
      </c>
      <c r="I108" s="36">
        <v>0.154039749</v>
      </c>
      <c r="J108" s="36">
        <v>0.154039749</v>
      </c>
      <c r="K108" s="71">
        <v>154039749</v>
      </c>
      <c r="L108" s="36">
        <v>0.154039749</v>
      </c>
      <c r="M108" s="36">
        <v>13.0914160118956</v>
      </c>
      <c r="N108" s="73"/>
      <c r="O108" s="59">
        <v>80</v>
      </c>
      <c r="P108" s="59">
        <v>90</v>
      </c>
      <c r="Q108" s="36">
        <v>0.15384678299999999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1.70038519685759</v>
      </c>
      <c r="I109" s="79">
        <v>0.06164439</v>
      </c>
      <c r="J109" s="79">
        <v>0.06164439</v>
      </c>
      <c r="K109" s="71">
        <v>61644390</v>
      </c>
      <c r="L109" s="79">
        <v>0.06164439</v>
      </c>
      <c r="M109" s="79">
        <v>5.85626703620685</v>
      </c>
      <c r="N109" s="73"/>
      <c r="O109" s="59">
        <v>90</v>
      </c>
      <c r="P109" s="59">
        <v>100</v>
      </c>
      <c r="Q109" s="36">
        <v>6.1537793E-2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3864674550</v>
      </c>
    </row>
    <row r="6" spans="1:3" x14ac:dyDescent="0.3">
      <c r="A6" s="21"/>
      <c r="B6" s="15" t="s">
        <v>84</v>
      </c>
      <c r="C6" s="22">
        <v>3834937400</v>
      </c>
    </row>
    <row r="7" spans="1:3" x14ac:dyDescent="0.3">
      <c r="A7" s="21"/>
      <c r="B7" s="15" t="s">
        <v>86</v>
      </c>
      <c r="C7" s="22">
        <v>51240310600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2026-08-11T02:25:07Z</dcterms:modified>
</cp:coreProperties>
</file>