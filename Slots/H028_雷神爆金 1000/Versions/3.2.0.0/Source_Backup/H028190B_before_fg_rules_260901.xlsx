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683BC32D-D3C1-40C2-8D68-20668CFA7020}" xr6:coauthVersionLast="47" xr6:coauthVersionMax="47" xr10:uidLastSave="{00000000-0000-0000-0000-000000000000}"/>
  <bookViews>
    <workbookView xWindow="-23025" yWindow="1770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<sst xmlns="http://schemas.openxmlformats.org/spreadsheetml/2006/main" count="289" uniqueCount="129">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</sst>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0.93999977432805881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0.71999982973814702</v>
      </c>
      <c r="C17" s="101">
        <f>1/D17</f>
        <v>3.3333327320111106E-3</v>
      </c>
      <c r="D17" s="104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0.21999994458991176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0.92499987292709762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725057783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20844829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6459199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1547946</v>
      </c>
      <c r="E16" s="10">
        <f>Detail!K99</f>
        <v>40540881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1250803</v>
      </c>
      <c r="E17" s="10">
        <f>Detail!K100</f>
        <v>167816621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599686</v>
      </c>
      <c r="E18" s="10">
        <f>Detail!K101</f>
        <v>61684705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106070442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90069575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75312581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70339805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91727397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41865114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76428467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27908260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60894788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20291139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29598434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14090022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14676941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666146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2734731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0.719999999969292</v>
      </c>
      <c r="D7" s="40">
        <f>SUM(_xlfn.ANCHORARRAY(M86))*F7</f>
        <v>0.180000017073873</v>
      </c>
      <c r="E7" s="41">
        <f>SUM(C7:D7)</f>
        <v>0.900000017043165</v>
      </c>
      <c r="F7" s="42">
        <f>L79</f>
        <v>0.002727273</v>
      </c>
      <c r="G7" s="43">
        <f>1/F7</f>
        <v>366.666630000004</v>
      </c>
      <c r="H7" s="44">
        <f>D7*G7</f>
        <v>65.99999966042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1.16052134249467</v>
      </c>
      <c r="I15" s="36" cm="1">
        <f t="array" ref="I15:I79">D15:D79*H15:H79</f>
        <v>0.725057783</v>
      </c>
      <c r="J15" s="36" cm="1">
        <f t="array" ref="J15:J78">I15:I78/SUM(I15:I78)</f>
        <v>0.725057783</v>
      </c>
      <c r="K15" s="71" cm="1">
        <f t="array" ref="K15:K79">INT(J15:J79*$B$2)</f>
        <v>725057783</v>
      </c>
      <c r="L15" s="36" cm="1">
        <f t="array" ref="L15:L79">_xlfn.LET(_xlpm.x, K15:K79, _xlpm.x/SUM(_xlpm.x))</f>
        <v>0.723080353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1.07777636259128</v>
      </c>
      <c r="I16" s="36">
        <v>0.154405918</v>
      </c>
      <c r="J16" s="36">
        <v>0.154405918</v>
      </c>
      <c r="K16" s="71">
        <v>154405918</v>
      </c>
      <c r="L16" s="36">
        <v>0.153984811</v>
      </c>
      <c r="M16" s="36">
        <v>0.066790179139529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0.826034618336794</v>
      </c>
      <c r="I17" s="36">
        <v>0.04537577</v>
      </c>
      <c r="J17" s="36">
        <v>0.04537577</v>
      </c>
      <c r="K17" s="71">
        <v>45375770</v>
      </c>
      <c r="L17" s="36">
        <v>0.045252018</v>
      </c>
      <c r="M17" s="36">
        <v>0.0681267751633281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0.630849543253012</v>
      </c>
      <c r="I18" s="36">
        <v>0.020844829</v>
      </c>
      <c r="J18" s="36">
        <v>0.020844829</v>
      </c>
      <c r="K18" s="71">
        <v>20844829</v>
      </c>
      <c r="L18" s="36">
        <v>0.020787979</v>
      </c>
      <c r="M18" s="36">
        <v>0.0526264632720321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0.560441823831811</v>
      </c>
      <c r="I19" s="36">
        <v>0.012821375</v>
      </c>
      <c r="J19" s="36">
        <v>0.012821375</v>
      </c>
      <c r="K19" s="71">
        <v>12821375</v>
      </c>
      <c r="L19" s="36">
        <v>0.012786408</v>
      </c>
      <c r="M19" s="36">
        <v>0.0451143701216679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0.49193753550184</v>
      </c>
      <c r="I20" s="36">
        <v>0.008347782</v>
      </c>
      <c r="J20" s="36">
        <v>0.008347782</v>
      </c>
      <c r="K20" s="71">
        <v>8347782</v>
      </c>
      <c r="L20" s="36">
        <v>0.008325015</v>
      </c>
      <c r="M20" s="36">
        <v>0.0377335118730489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0.479407453127471</v>
      </c>
      <c r="I21" s="36">
        <v>0.006459199</v>
      </c>
      <c r="J21" s="36">
        <v>0.006459199</v>
      </c>
      <c r="K21" s="71">
        <v>6459199</v>
      </c>
      <c r="L21" s="36">
        <v>0.006441583</v>
      </c>
      <c r="M21" s="36">
        <v>0.0357661330417755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0.327662349697614</v>
      </c>
      <c r="I22" s="36">
        <v>0.003486235</v>
      </c>
      <c r="J22" s="36">
        <v>0.003486235</v>
      </c>
      <c r="K22" s="71">
        <v>3486235</v>
      </c>
      <c r="L22" s="36">
        <v>0.003476727</v>
      </c>
      <c r="M22" s="36">
        <v>0.0226841686410115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0.437793217229195</v>
      </c>
      <c r="I23" s="36">
        <v>0.003919863</v>
      </c>
      <c r="J23" s="36">
        <v>0.003919863</v>
      </c>
      <c r="K23" s="71">
        <v>3919863</v>
      </c>
      <c r="L23" s="36">
        <v>0.003909172</v>
      </c>
      <c r="M23" s="36">
        <v>0.0294455307700175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0.422432250980292</v>
      </c>
      <c r="I24" s="36">
        <v>0.00318001</v>
      </c>
      <c r="J24" s="36">
        <v>0.00318001</v>
      </c>
      <c r="K24" s="71">
        <v>3180010</v>
      </c>
      <c r="L24" s="36">
        <v>0.003171337</v>
      </c>
      <c r="M24" s="36">
        <v>0.0271223953807107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0.332121834433696</v>
      </c>
      <c r="I25" s="36">
        <v>0.002067482</v>
      </c>
      <c r="J25" s="36">
        <v>0.002067482</v>
      </c>
      <c r="K25" s="71">
        <v>2067482</v>
      </c>
      <c r="L25" s="36">
        <v>0.002061843</v>
      </c>
      <c r="M25" s="36">
        <v>0.0196655812240821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0.3038769418268</v>
      </c>
      <c r="I26" s="36">
        <v>0.006293255</v>
      </c>
      <c r="J26" s="36">
        <v>0.006293255</v>
      </c>
      <c r="K26" s="71">
        <v>6293255</v>
      </c>
      <c r="L26" s="36">
        <v>0.006276092</v>
      </c>
      <c r="M26" s="36">
        <v>0.0770718775133807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0.245236779290637</v>
      </c>
      <c r="I27" s="36">
        <v>0.002735463</v>
      </c>
      <c r="J27" s="36">
        <v>0.002735463</v>
      </c>
      <c r="K27" s="71">
        <v>2735463</v>
      </c>
      <c r="L27" s="36">
        <v>0.002728003</v>
      </c>
      <c r="M27" s="36">
        <v>0.0472948373233859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0.229571910570613</v>
      </c>
      <c r="I28" s="36">
        <v>0.001547946</v>
      </c>
      <c r="J28" s="36">
        <v>0.001547946</v>
      </c>
      <c r="K28" s="71">
        <v>1547946</v>
      </c>
      <c r="L28" s="36">
        <v>0.001543724</v>
      </c>
      <c r="M28" s="36">
        <v>0.0345304655287207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0.279263298576582</v>
      </c>
      <c r="I29" s="36">
        <v>0.001250803</v>
      </c>
      <c r="J29" s="36">
        <v>0.001250803</v>
      </c>
      <c r="K29" s="71">
        <v>1250803</v>
      </c>
      <c r="L29" s="36">
        <v>0.001247392</v>
      </c>
      <c r="M29" s="36">
        <v>0.0341737603595091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0.198629599316621</v>
      </c>
      <c r="I30" s="36">
        <v>0.000599686</v>
      </c>
      <c r="J30" s="36">
        <v>0.000599686</v>
      </c>
      <c r="K30" s="71">
        <v>599686</v>
      </c>
      <c r="L30" s="36">
        <v>0.000598051</v>
      </c>
      <c r="M30" s="36">
        <v>0.0193758578890393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0.188348572572631</v>
      </c>
      <c r="I31" s="36">
        <v>0.000415813</v>
      </c>
      <c r="J31" s="36">
        <v>0.000415813</v>
      </c>
      <c r="K31" s="71">
        <v>415813</v>
      </c>
      <c r="L31" s="36">
        <v>0.000414679</v>
      </c>
      <c r="M31" s="36">
        <v>0.0155248882885365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0.154711737732145</v>
      </c>
      <c r="I32" s="36">
        <v>0.000254865</v>
      </c>
      <c r="J32" s="36">
        <v>0.000254865</v>
      </c>
      <c r="K32" s="71">
        <v>254865</v>
      </c>
      <c r="L32" s="36">
        <v>0.00025417</v>
      </c>
      <c r="M32" s="36">
        <v>0.0107862822993276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0.173756150547045</v>
      </c>
      <c r="I33" s="36">
        <v>0.000214033</v>
      </c>
      <c r="J33" s="36">
        <v>0.000214033</v>
      </c>
      <c r="K33" s="71">
        <v>214033</v>
      </c>
      <c r="L33" s="36">
        <v>0.000213449</v>
      </c>
      <c r="M33" s="36">
        <v>0.0101303680523631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0.260531965181823</v>
      </c>
      <c r="I34" s="36">
        <v>0.000459105</v>
      </c>
      <c r="J34" s="36">
        <v>0.000459105</v>
      </c>
      <c r="K34" s="71">
        <v>459105</v>
      </c>
      <c r="L34" s="36">
        <v>0.000457853</v>
      </c>
      <c r="M34" s="36">
        <v>0.0250453515555225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0.235564360340817</v>
      </c>
      <c r="I35" s="36">
        <v>0.000262785</v>
      </c>
      <c r="J35" s="36">
        <v>0.000262785</v>
      </c>
      <c r="K35" s="71">
        <v>262785</v>
      </c>
      <c r="L35" s="36">
        <v>0.000262068</v>
      </c>
      <c r="M35" s="36">
        <v>0.0169517446177284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0.390825766740528</v>
      </c>
      <c r="I79" s="36">
        <v>0.002734731</v>
      </c>
      <c r="J79" s="36">
        <f>I79</f>
        <v>0.002734731</v>
      </c>
      <c r="K79" s="72">
        <v>2734731</v>
      </c>
      <c r="L79" s="36">
        <v>0.002727273</v>
      </c>
      <c r="M79" s="36">
        <v>0.0240394579145755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1.6975992025045</v>
      </c>
      <c r="I99" s="36">
        <v>0.040540881</v>
      </c>
      <c r="J99" s="36">
        <v>0.040540881</v>
      </c>
      <c r="K99" s="71">
        <v>40540881</v>
      </c>
      <c r="L99" s="36">
        <v>0.040540881</v>
      </c>
      <c r="M99" s="36">
        <v>0.914909561676236</v>
      </c>
      <c r="N99" s="73"/>
      <c r="O99" s="59">
        <v>20</v>
      </c>
      <c r="P99" s="59">
        <v>25</v>
      </c>
      <c r="Q99" s="36">
        <v>4.0859217122577653E-2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6.7985488867876</v>
      </c>
      <c r="I100" s="36">
        <v>0.167816621</v>
      </c>
      <c r="J100" s="36">
        <v>0.167816621</v>
      </c>
      <c r="K100" s="71">
        <v>167816621</v>
      </c>
      <c r="L100" s="36">
        <v>0.167816621</v>
      </c>
      <c r="M100" s="36">
        <v>4.62635975262078</v>
      </c>
      <c r="N100" s="73"/>
      <c r="O100" s="59">
        <v>25</v>
      </c>
      <c r="P100" s="59">
        <v>30</v>
      </c>
      <c r="Q100" s="36">
        <v>0.16901935350705807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2.51462193669027</v>
      </c>
      <c r="I101" s="36">
        <v>0.061684705</v>
      </c>
      <c r="J101" s="36">
        <v>0.061684705</v>
      </c>
      <c r="K101" s="71">
        <v>61684705</v>
      </c>
      <c r="L101" s="36">
        <v>0.061684705</v>
      </c>
      <c r="M101" s="36">
        <v>2.00830409457367</v>
      </c>
      <c r="N101" s="73"/>
      <c r="O101" s="59">
        <v>30</v>
      </c>
      <c r="P101" s="59">
        <v>35</v>
      </c>
      <c r="Q101" s="36">
        <v>6.208464418625393E-2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4.29655442914834</v>
      </c>
      <c r="I102" s="36">
        <v>0.106070442</v>
      </c>
      <c r="J102" s="36">
        <v>0.106070442</v>
      </c>
      <c r="K102" s="71">
        <v>106070442</v>
      </c>
      <c r="L102" s="36">
        <v>0.106070442</v>
      </c>
      <c r="M102" s="36">
        <v>3.98330771193414</v>
      </c>
      <c r="N102" s="73"/>
      <c r="O102" s="59">
        <v>35</v>
      </c>
      <c r="P102" s="59">
        <v>40</v>
      </c>
      <c r="Q102" s="36">
        <v>0.10668563632005691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3.70227212387286</v>
      </c>
      <c r="I103" s="36">
        <v>0.090069575</v>
      </c>
      <c r="J103" s="36">
        <v>0.090069575</v>
      </c>
      <c r="K103" s="71">
        <v>90069575</v>
      </c>
      <c r="L103" s="36">
        <v>0.090069575</v>
      </c>
      <c r="M103" s="36">
        <v>3.83257081274904</v>
      </c>
      <c r="N103" s="73"/>
      <c r="O103" s="59">
        <v>40</v>
      </c>
      <c r="P103" s="59">
        <v>45</v>
      </c>
      <c r="Q103" s="36">
        <v>9.0530400271591205E-2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3.13598055711277</v>
      </c>
      <c r="I104" s="36">
        <v>0.075312581</v>
      </c>
      <c r="J104" s="36">
        <v>0.075312581</v>
      </c>
      <c r="K104" s="71">
        <v>75312581</v>
      </c>
      <c r="L104" s="36">
        <v>0.075312581</v>
      </c>
      <c r="M104" s="36">
        <v>3.58076981695619</v>
      </c>
      <c r="N104" s="73"/>
      <c r="O104" s="59">
        <v>45</v>
      </c>
      <c r="P104" s="59">
        <v>50</v>
      </c>
      <c r="Q104" s="36">
        <v>7.5646497226939488E-2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1.52064365352448</v>
      </c>
      <c r="I105" s="36">
        <v>0.070339805</v>
      </c>
      <c r="J105" s="36">
        <v>0.070339805</v>
      </c>
      <c r="K105" s="71">
        <v>70339805</v>
      </c>
      <c r="L105" s="36">
        <v>0.070339805</v>
      </c>
      <c r="M105" s="36">
        <v>3.86961236650223</v>
      </c>
      <c r="N105" s="73"/>
      <c r="O105" s="59">
        <v>50</v>
      </c>
      <c r="P105" s="59">
        <v>60</v>
      </c>
      <c r="Q105" s="36">
        <v>7.0579942211739827E-2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2.09250816156961</v>
      </c>
      <c r="I106" s="36">
        <v>0.091727397</v>
      </c>
      <c r="J106" s="36">
        <v>0.091727397</v>
      </c>
      <c r="K106" s="71">
        <v>91727397</v>
      </c>
      <c r="L106" s="36">
        <v>0.091727397</v>
      </c>
      <c r="M106" s="36">
        <v>5.96292252446867</v>
      </c>
      <c r="N106" s="73"/>
      <c r="O106" s="59">
        <v>60</v>
      </c>
      <c r="P106" s="59">
        <v>70</v>
      </c>
      <c r="Q106" s="36">
        <v>9.191551427574654E-2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1.00612512078895</v>
      </c>
      <c r="I107" s="36">
        <v>0.041865114</v>
      </c>
      <c r="J107" s="36">
        <v>0.041865114</v>
      </c>
      <c r="K107" s="71">
        <v>41865114</v>
      </c>
      <c r="L107" s="36">
        <v>0.041865114</v>
      </c>
      <c r="M107" s="36">
        <v>3.13981729280625</v>
      </c>
      <c r="N107" s="73"/>
      <c r="O107" s="59">
        <v>70</v>
      </c>
      <c r="P107" s="59">
        <v>80</v>
      </c>
      <c r="Q107" s="36">
        <v>4.1893996125681988E-2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1.96457285702359</v>
      </c>
      <c r="I108" s="36">
        <v>0.076428467</v>
      </c>
      <c r="J108" s="36">
        <v>0.076428467</v>
      </c>
      <c r="K108" s="71">
        <v>76428467</v>
      </c>
      <c r="L108" s="36">
        <v>0.076428467</v>
      </c>
      <c r="M108" s="36">
        <v>6.49544590369615</v>
      </c>
      <c r="N108" s="73"/>
      <c r="O108" s="59">
        <v>80</v>
      </c>
      <c r="P108" s="59">
        <v>90</v>
      </c>
      <c r="Q108" s="36">
        <v>7.6377346229132045E-2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0.769815260951611</v>
      </c>
      <c r="I109" s="79">
        <v>0.02790826</v>
      </c>
      <c r="J109" s="79">
        <v>0.02790826</v>
      </c>
      <c r="K109" s="71">
        <v>27908260</v>
      </c>
      <c r="L109" s="79">
        <v>0.02790826</v>
      </c>
      <c r="M109" s="79">
        <v>2.65130733025163</v>
      </c>
      <c r="N109" s="73"/>
      <c r="O109" s="59">
        <v>90</v>
      </c>
      <c r="P109" s="59">
        <v>100</v>
      </c>
      <c r="Q109" s="36">
        <v>2.7851631083554894E-2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0.932807668887702</v>
      </c>
      <c r="I110" s="79">
        <v>0.060894788</v>
      </c>
      <c r="J110" s="79">
        <v>0.060894788</v>
      </c>
      <c r="K110" s="71">
        <v>60894788</v>
      </c>
      <c r="L110" s="79">
        <v>0.060894788</v>
      </c>
      <c r="M110" s="79">
        <v>6.68826843919291</v>
      </c>
      <c r="N110" s="73"/>
      <c r="O110" s="59">
        <v>100</v>
      </c>
      <c r="P110" s="59">
        <v>120</v>
      </c>
      <c r="Q110" s="36">
        <v>6.0648738181946216E-2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0.358713562444349</v>
      </c>
      <c r="I111" s="79">
        <v>0.020291139</v>
      </c>
      <c r="J111" s="79">
        <v>0.020291139</v>
      </c>
      <c r="K111" s="71">
        <v>20291139</v>
      </c>
      <c r="L111" s="79">
        <v>0.020291139</v>
      </c>
      <c r="M111" s="79">
        <v>2.63405341841192</v>
      </c>
      <c r="N111" s="73"/>
      <c r="O111" s="59">
        <v>120</v>
      </c>
      <c r="P111" s="59">
        <v>140</v>
      </c>
      <c r="Q111" s="36">
        <v>2.0154302060462904E-2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0.602884648560712</v>
      </c>
      <c r="I112" s="79">
        <v>0.029598434</v>
      </c>
      <c r="J112" s="79">
        <v>0.029598434</v>
      </c>
      <c r="K112" s="71">
        <v>29598434</v>
      </c>
      <c r="L112" s="79">
        <v>0.029598434</v>
      </c>
      <c r="M112" s="79">
        <v>4.43396542035742</v>
      </c>
      <c r="N112" s="73"/>
      <c r="O112" s="59">
        <v>140</v>
      </c>
      <c r="P112" s="59">
        <v>160</v>
      </c>
      <c r="Q112" s="36">
        <v>2.9318996087956989E-2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0.330150964715064</v>
      </c>
      <c r="I113" s="79">
        <v>0.014090022</v>
      </c>
      <c r="J113" s="79">
        <v>0.014090022</v>
      </c>
      <c r="K113" s="71">
        <v>14090022</v>
      </c>
      <c r="L113" s="79">
        <v>0.014090022</v>
      </c>
      <c r="M113" s="79">
        <v>2.39260028768458</v>
      </c>
      <c r="N113" s="73"/>
      <c r="O113" s="59">
        <v>160</v>
      </c>
      <c r="P113" s="59">
        <v>180</v>
      </c>
      <c r="Q113" s="36">
        <v>1.3919072041757217E-2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0.397539568135478</v>
      </c>
      <c r="I114" s="79">
        <v>0.014676941</v>
      </c>
      <c r="J114" s="79">
        <v>0.014676941</v>
      </c>
      <c r="K114" s="71">
        <v>14676941</v>
      </c>
      <c r="L114" s="79">
        <v>0.014676941</v>
      </c>
      <c r="M114" s="79">
        <v>2.78578535585409</v>
      </c>
      <c r="N114" s="73"/>
      <c r="O114" s="59">
        <v>180</v>
      </c>
      <c r="P114" s="59">
        <v>200</v>
      </c>
      <c r="Q114" s="36">
        <v>1.4459482043378446E-2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1.0281150030843451E-3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8.4073100252219301E-4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7.11196002133588E-4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6.1617400184852203E-4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5.4362800163088401E-4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0.0383725881306134</v>
      </c>
      <c r="I120" s="79">
        <v>0.000666146</v>
      </c>
      <c r="J120" s="79">
        <v>0.000666146</v>
      </c>
      <c r="K120" s="71">
        <v>666146</v>
      </c>
      <c r="L120" s="79">
        <v>0.000666146</v>
      </c>
      <c r="M120" s="79">
        <v>0.315789214315184</v>
      </c>
      <c r="N120" s="73"/>
      <c r="O120" s="59">
        <v>450</v>
      </c>
      <c r="P120" s="59">
        <v>500</v>
      </c>
      <c r="Q120" s="36">
        <v>4.8631700145895101E-4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4.39923001319769E-4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4.0164300120492898E-4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3.69498001108494E-4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3.4211600102634801E-4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3.18458000955374E-4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2.9791500089374498E-4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2.7985200083955599E-4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2.6381600079144801E-4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2.49579000748737E-4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2.36735000710205E-4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1.6616400049849201E-4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1.9043900057131701E-4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6.7076000201227997E-5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5.1846000155538002E-5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4.2283000126848999E-5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3.5711000107133002E-5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3.0917000092750998E-5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2.7253000081759E-5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1.7846000053538E-5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1.9669834528320721E-2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3.6482583846793098E-3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1.0123712302544581E-2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0.15384678199999999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6.1537794E-2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2026-08-11T02:25:05Z</dcterms:modified>
</cp:coreProperties>
</file>