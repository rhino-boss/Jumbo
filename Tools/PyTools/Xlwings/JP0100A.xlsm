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SVN\Slot\IGaming\Jackpot\00_OP\"/>
    </mc:Choice>
  </mc:AlternateContent>
  <xr:revisionPtr revIDLastSave="0" documentId="13_ncr:1_{51DBD258-C86F-4EA0-8021-D869426AE6F0}" xr6:coauthVersionLast="47" xr6:coauthVersionMax="47" xr10:uidLastSave="{00000000-0000-0000-0000-000000000000}"/>
  <bookViews>
    <workbookView xWindow="-28920" yWindow="60" windowWidth="29040" windowHeight="15720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02" i="36" l="1"/>
  <c r="R101" i="36"/>
  <c r="R100" i="36"/>
  <c r="R99" i="36"/>
  <c r="R98" i="36"/>
  <c r="R97" i="36"/>
  <c r="R96" i="36"/>
  <c r="R95" i="36"/>
  <c r="R94" i="36"/>
  <c r="R93" i="36"/>
  <c r="R92" i="36" l="1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D6" i="8" l="1"/>
  <c r="U3" i="36" a="1"/>
  <c r="U3" i="36" s="1"/>
  <c r="T3" i="36" a="1"/>
  <c r="T3" i="36" s="1"/>
  <c r="S3" i="36" a="1"/>
  <c r="S3" i="36" s="1"/>
  <c r="R62" i="36" l="1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R64" i="36"/>
  <c r="R65" i="36"/>
  <c r="R66" i="36"/>
  <c r="R67" i="36"/>
  <c r="R68" i="36"/>
  <c r="R69" i="36"/>
  <c r="R70" i="36"/>
  <c r="R71" i="36"/>
  <c r="R72" i="36"/>
  <c r="R63" i="36"/>
  <c r="C3" i="93" a="1"/>
  <c r="C3" i="93" s="1"/>
  <c r="B24" i="8" a="1"/>
  <c r="B24" i="8" s="1"/>
  <c r="A48" i="94" l="1"/>
  <c r="A37" i="94"/>
  <c r="A26" i="94"/>
  <c r="A15" i="94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I30" i="94" l="1" a="1"/>
  <c r="I30" i="94" s="1"/>
  <c r="J30" i="94" a="1"/>
  <c r="J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<sst xmlns="http://schemas.openxmlformats.org/spreadsheetml/2006/main" count="668" uniqueCount="68">
  <si>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</si>
  <si>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</si>
  <si>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</si>
  <si>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</si>
  <si>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</si>
  <si>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</si>
  <si>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</si>
  <si>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</si>
  <si>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</si>
  <si>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</si>
  <si>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</si>
  <si>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</si>
  <si>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</si>
  <si>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</si>
  <si>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</si>
  <si>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</si>
  <si>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</si>
  <si>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</si>
  <si>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</si>
  <si>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</si>
  <si>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</si>
  <si>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</si>
  <si>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</si>
  <si>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</si>
  <si>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</si>
  <si>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</si>
  <si>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</si>
  <si>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</si>
  <si>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</si>
  <si>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</si>
  <si>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</si>
  <si>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</si>
  <si>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</si>
  <si>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</si>
  <si>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</si>
  <si>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</si>
  <si>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</si>
  <si>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</si>
  <si>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</si>
  <si>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</si>
  <si>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</si>
  <si>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</si>
  <si>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</si>
  <si>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</si>
  <si>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</si>
  <si>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</si>
  <si>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</si>
  <si>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</si>
  <si>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</si>
  <si>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</si>
  <si>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</si>
  <si>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</si>
  <si>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</si>
  <si>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</si>
  <si>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</si>
  <si>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</si>
  <si>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</si>
  <si>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</si>
  <si>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</si>
  <si>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</si>
  <si>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JP0100A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</si>
  <si>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</si>
  <si>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</si>
  <si>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</si>
  <si>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</si>
  <si>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</si>
  <si>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SPS use</t>
    <phoneticPr fontId="1" type="noConversion"/>
  </si>
  <si>
    <t>4.0.0.4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</si>
</sst>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6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  <font>
      <sz val="12"/>
      <color rgb="FFFF000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186" fontId="4" fillId="0" borderId="0" xfId="0" applyNumberFormat="1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0" fontId="4" fillId="0" borderId="1" xfId="0" applyFont="1" applyFill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85" fontId="4" fillId="0" borderId="1" xfId="0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0" borderId="1" xfId="0" applyNumberFormat="1" applyFont="1" applyFill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5" fontId="4" fillId="3" borderId="1" xfId="0" applyNumberFormat="1" applyFont="1" applyFill="1" applyBorder="1">
      <alignment vertical="center"/>
    </xf>
    <xf numFmtId="10" fontId="15" fillId="3" borderId="1" xfId="2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12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J15" sqref="J15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1" t="s">
        <v>47</v>
      </c>
      <c r="C3" s="77" t="s">
        <v>60</v>
      </c>
    </row>
    <row r="4" spans="2:7">
      <c r="B4" s="45" t="s">
        <v>0</v>
      </c>
      <c r="C4" s="78" t="s">
        <v>67</v>
      </c>
    </row>
    <row r="6" spans="2:7">
      <c r="B6" s="45" t="s">
        <v>41</v>
      </c>
      <c r="C6" s="63">
        <v>28</v>
      </c>
      <c r="D6" s="84">
        <f>VLOOKUP(C6, Parameter_List!A:B, 2, 0)</f>
        <v>0</v>
      </c>
    </row>
    <row r="7" spans="2:7">
      <c r="B7" s="45" t="s">
        <v>48</v>
      </c>
      <c r="C7" s="63">
        <v>1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2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5" t="s">
        <v>43</v>
      </c>
      <c r="C15" s="66" t="s">
        <v>53</v>
      </c>
      <c r="D15" s="66" t="s">
        <v>50</v>
      </c>
      <c r="E15" s="55" t="s">
        <v>49</v>
      </c>
      <c r="F15" s="66" t="s">
        <v>51</v>
      </c>
      <c r="G15" s="66" t="s">
        <v>52</v>
      </c>
    </row>
    <row r="16" spans="2:7">
      <c r="B16" s="64" t="s">
        <v>32</v>
      </c>
      <c r="C16" s="69" cm="1">
        <f t="array" ref="C16:C19">Setting!D25:D28</f>
        <v>500000</v>
      </c>
      <c r="D16" s="67" cm="1">
        <f t="array" ref="D16:D19">_xlfn.ANCHORARRAY(F16)-_xlfn.ANCHORARRAY(E16)</f>
        <v>0</v>
      </c>
      <c r="E16" s="67" cm="1">
        <f t="array" ref="E16:E19">Setting!C17:C20</f>
        <v>3.5000000000000001E-3</v>
      </c>
      <c r="F16" s="67" cm="1">
        <f t="array" ref="F16:F19">Setting!C9:C12</f>
        <v>3.5000000000000001E-3</v>
      </c>
      <c r="G16" s="81" t="e" cm="1">
        <f t="array" ref="G16:G17">Calculate!J8:J9</f>
        <v>#DIV/0!</v>
      </c>
    </row>
    <row r="17" spans="2:7">
      <c r="B17" s="12" t="s">
        <v>25</v>
      </c>
      <c r="C17" s="68">
        <v>100000</v>
      </c>
      <c r="D17" s="57">
        <v>0</v>
      </c>
      <c r="E17" s="57">
        <v>5.0000000000000001E-3</v>
      </c>
      <c r="F17" s="57">
        <v>5.0000000000000001E-3</v>
      </c>
      <c r="G17" s="37" t="e">
        <v>#DIV/0!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80">
        <f>SUM(_xlfn.ANCHORARRAY(D16))</f>
        <v>1.9999999999999997E-2</v>
      </c>
      <c r="E20" s="80">
        <f>SUM(_xlfn.ANCHORARRAY(E16))</f>
        <v>8.5000000000000006E-3</v>
      </c>
      <c r="F20" s="80">
        <f>SUM(_xlfn.ANCHORARRAY(F16))</f>
        <v>2.8499999999999998E-2</v>
      </c>
    </row>
    <row r="22" spans="2:7">
      <c r="B22" s="2" t="s">
        <v>54</v>
      </c>
    </row>
    <row r="23" spans="2:7">
      <c r="B23" s="65" t="s">
        <v>57</v>
      </c>
      <c r="C23" s="65" t="s">
        <v>58</v>
      </c>
      <c r="D23" s="66" t="s">
        <v>54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0.2</v>
      </c>
      <c r="D24" s="58">
        <f ca="1">OFFSET(Calculate!$A$1, 7+11*(B24-1), 10)</f>
        <v>735.2941176470589</v>
      </c>
    </row>
    <row r="25" spans="2:7">
      <c r="B25" s="37">
        <v>2</v>
      </c>
      <c r="C25" s="68">
        <v>0.4</v>
      </c>
      <c r="D25" s="58">
        <f ca="1">OFFSET(Calculate!$A$1, 7+11*(B25-1), 10)</f>
        <v>735.2941176470589</v>
      </c>
    </row>
    <row r="26" spans="2:7">
      <c r="B26" s="37">
        <v>3</v>
      </c>
      <c r="C26" s="68">
        <v>1</v>
      </c>
      <c r="D26" s="58">
        <f ca="1">OFFSET(Calculate!$A$1, 7+11*(B26-1), 10)</f>
        <v>735.2941176470589</v>
      </c>
    </row>
    <row r="27" spans="2:7">
      <c r="B27" s="37">
        <v>4</v>
      </c>
      <c r="C27" s="68">
        <v>2</v>
      </c>
      <c r="D27" s="58">
        <f ca="1">OFFSET(Calculate!$A$1, 7+11*(B27-1), 10)</f>
        <v>735.2941176470589</v>
      </c>
    </row>
    <row r="28" spans="2:7">
      <c r="B28" s="37">
        <v>5</v>
      </c>
      <c r="C28" s="68">
        <v>2.4</v>
      </c>
      <c r="D28" s="58">
        <f ca="1">OFFSET(Calculate!$A$1, 7+11*(B28-1), 10)</f>
        <v>735.2941176470589</v>
      </c>
    </row>
    <row r="29" spans="2:7">
      <c r="B29" s="37">
        <v>6</v>
      </c>
      <c r="C29" s="68">
        <v>3</v>
      </c>
      <c r="D29" s="58">
        <f ca="1">OFFSET(Calculate!$A$1, 7+11*(B29-1), 10)</f>
        <v>735.2941176470589</v>
      </c>
    </row>
    <row r="30" spans="2:7">
      <c r="B30" s="37">
        <v>7</v>
      </c>
      <c r="C30" s="68">
        <v>4</v>
      </c>
      <c r="D30" s="58">
        <f ca="1">OFFSET(Calculate!$A$1, 7+11*(B30-1), 10)</f>
        <v>735.2941176470589</v>
      </c>
    </row>
    <row r="31" spans="2:7">
      <c r="B31" s="37">
        <v>8</v>
      </c>
      <c r="C31" s="68">
        <v>5</v>
      </c>
      <c r="D31" s="58">
        <f ca="1">OFFSET(Calculate!$A$1, 7+11*(B31-1), 10)</f>
        <v>735.2941176470589</v>
      </c>
    </row>
    <row r="32" spans="2:7">
      <c r="B32" s="37">
        <v>9</v>
      </c>
      <c r="C32" s="68">
        <v>6</v>
      </c>
      <c r="D32" s="58">
        <f ca="1">OFFSET(Calculate!$A$1, 7+11*(B32-1), 10)</f>
        <v>735.2941176470589</v>
      </c>
    </row>
    <row r="33" spans="2:4">
      <c r="B33" s="37">
        <v>10</v>
      </c>
      <c r="C33" s="68">
        <v>7</v>
      </c>
      <c r="D33" s="58">
        <f ca="1">OFFSET(Calculate!$A$1, 7+11*(B33-1), 10)</f>
        <v>735.2941176470589</v>
      </c>
    </row>
    <row r="34" spans="2:4">
      <c r="B34" s="37">
        <v>11</v>
      </c>
      <c r="C34" s="68">
        <v>8</v>
      </c>
      <c r="D34" s="58">
        <f ca="1">OFFSET(Calculate!$A$1, 7+11*(B34-1), 10)</f>
        <v>735.2941176470589</v>
      </c>
    </row>
    <row r="35" spans="2:4">
      <c r="B35" s="37">
        <v>12</v>
      </c>
      <c r="C35" s="68">
        <v>9</v>
      </c>
      <c r="D35" s="58">
        <f ca="1">OFFSET(Calculate!$A$1, 7+11*(B35-1), 10)</f>
        <v>735.2941176470589</v>
      </c>
    </row>
    <row r="36" spans="2:4">
      <c r="B36" s="37">
        <v>13</v>
      </c>
      <c r="C36" s="68">
        <v>10</v>
      </c>
      <c r="D36" s="58">
        <f ca="1">OFFSET(Calculate!$A$1, 7+11*(B36-1), 10)</f>
        <v>735.2941176470589</v>
      </c>
    </row>
    <row r="37" spans="2:4">
      <c r="B37" s="37">
        <v>14</v>
      </c>
      <c r="C37" s="68">
        <v>12</v>
      </c>
      <c r="D37" s="58">
        <f ca="1">OFFSET(Calculate!$A$1, 7+11*(B37-1), 10)</f>
        <v>735.2941176470589</v>
      </c>
    </row>
    <row r="38" spans="2:4">
      <c r="B38" s="37">
        <v>15</v>
      </c>
      <c r="C38" s="68">
        <v>14</v>
      </c>
      <c r="D38" s="58">
        <f ca="1">OFFSET(Calculate!$A$1, 7+11*(B38-1), 10)</f>
        <v>735.2941176470589</v>
      </c>
    </row>
    <row r="39" spans="2:4">
      <c r="B39" s="37">
        <v>16</v>
      </c>
      <c r="C39" s="68">
        <v>16</v>
      </c>
      <c r="D39" s="58">
        <f ca="1">OFFSET(Calculate!$A$1, 7+11*(B39-1), 10)</f>
        <v>735.2941176470589</v>
      </c>
    </row>
    <row r="40" spans="2:4">
      <c r="B40" s="37">
        <v>17</v>
      </c>
      <c r="C40" s="68">
        <v>18</v>
      </c>
      <c r="D40" s="58">
        <f ca="1">OFFSET(Calculate!$A$1, 7+11*(B40-1), 10)</f>
        <v>735.2941176470589</v>
      </c>
    </row>
    <row r="41" spans="2:4">
      <c r="B41" s="37">
        <v>18</v>
      </c>
      <c r="C41" s="68">
        <v>20</v>
      </c>
      <c r="D41" s="58">
        <f ca="1">OFFSET(Calculate!$A$1, 7+11*(B41-1), 10)</f>
        <v>735.2941176470589</v>
      </c>
    </row>
    <row r="42" spans="2:4">
      <c r="B42" s="37">
        <v>19</v>
      </c>
      <c r="C42" s="68">
        <v>30</v>
      </c>
      <c r="D42" s="58">
        <f ca="1">OFFSET(Calculate!$A$1, 7+11*(B42-1), 10)</f>
        <v>735.2941176470589</v>
      </c>
    </row>
    <row r="43" spans="2:4">
      <c r="B43" s="37">
        <v>20</v>
      </c>
      <c r="C43" s="68">
        <v>40</v>
      </c>
      <c r="D43" s="58">
        <f ca="1">OFFSET(Calculate!$A$1, 7+11*(B43-1), 10)</f>
        <v>735.2941176470589</v>
      </c>
    </row>
    <row r="44" spans="2:4">
      <c r="B44" s="37">
        <v>21</v>
      </c>
      <c r="C44" s="68">
        <v>60</v>
      </c>
      <c r="D44" s="58">
        <f ca="1">OFFSET(Calculate!$A$1, 7+11*(B44-1), 10)</f>
        <v>735.2941176470589</v>
      </c>
    </row>
    <row r="45" spans="2:4">
      <c r="B45" s="37">
        <v>22</v>
      </c>
      <c r="C45" s="68">
        <v>100</v>
      </c>
      <c r="D45" s="58">
        <f ca="1">OFFSET(Calculate!$A$1, 7+11*(B45-1), 10)</f>
        <v>735.2941176470589</v>
      </c>
    </row>
    <row r="46" spans="2:4">
      <c r="B46" s="37">
        <v>23</v>
      </c>
      <c r="C46" s="68">
        <v>200</v>
      </c>
      <c r="D46" s="58">
        <f ca="1">OFFSET(Calculate!$A$1, 7+11*(B46-1), 10)</f>
        <v>735.2941176470589</v>
      </c>
    </row>
    <row r="47" spans="2:4">
      <c r="B47" s="37">
        <v>24</v>
      </c>
      <c r="C47" s="68">
        <v>300</v>
      </c>
      <c r="D47" s="58">
        <f ca="1">OFFSET(Calculate!$A$1, 7+11*(B47-1), 10)</f>
        <v>735.2941176470589</v>
      </c>
    </row>
    <row r="48" spans="2:4">
      <c r="B48" s="37">
        <v>25</v>
      </c>
      <c r="C48" s="68">
        <v>600</v>
      </c>
      <c r="D48" s="58">
        <f ca="1">OFFSET(Calculate!$A$1, 7+11*(B48-1), 10)</f>
        <v>735.2941176470589</v>
      </c>
    </row>
    <row r="49" spans="2:4">
      <c r="B49" s="37">
        <v>26</v>
      </c>
      <c r="C49" s="68">
        <v>1000</v>
      </c>
      <c r="D49" s="58">
        <f ca="1">OFFSET(Calculate!$A$1, 7+11*(B49-1), 10)</f>
        <v>735.2941176470589</v>
      </c>
    </row>
    <row r="50" spans="2:4">
      <c r="B50" s="37">
        <v>27</v>
      </c>
      <c r="C50" s="68">
        <v>1500</v>
      </c>
      <c r="D50" s="58">
        <f ca="1">OFFSET(Calculate!$A$1, 7+11*(B50-1), 10)</f>
        <v>735.2941176470589</v>
      </c>
    </row>
    <row r="51" spans="2:4">
      <c r="B51" s="37">
        <v>28</v>
      </c>
      <c r="C51" s="68">
        <v>2000</v>
      </c>
      <c r="D51" s="58">
        <f ca="1">OFFSET(Calculate!$A$1, 7+11*(B51-1), 10)</f>
        <v>735.2941176470589</v>
      </c>
    </row>
    <row r="52" spans="2:4">
      <c r="B52" s="37">
        <v>29</v>
      </c>
      <c r="C52" s="68">
        <v>3000</v>
      </c>
      <c r="D52" s="58">
        <f ca="1">OFFSET(Calculate!$A$1, 7+11*(B52-1), 10)</f>
        <v>735.2941176470589</v>
      </c>
    </row>
    <row r="53" spans="2:4">
      <c r="B53" s="37">
        <v>30</v>
      </c>
      <c r="C53" s="68">
        <v>5000</v>
      </c>
      <c r="D53" s="58">
        <f ca="1">OFFSET(Calculate!$A$1, 7+11*(B53-1), 10)</f>
        <v>735.2941176470589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Parameter_List!$S$3:$S$20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Parameter_List!$U$3:$U$20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176"/>
  <sheetViews>
    <sheetView zoomScaleNormal="85" workbookViewId="0">
      <pane ySplit="2" topLeftCell="A75" activePane="bottomLeft" state="frozen"/>
      <selection pane="bottomLeft" activeCell="G105" sqref="G105"/>
    </sheetView>
  </sheetViews>
  <sheetFormatPr defaultColWidth="8.6640625" defaultRowHeight="15.6"/>
  <cols>
    <col min="1" max="1" width="24.5" style="79" bestFit="1" customWidth="1"/>
    <col min="2" max="2" width="8.75" style="79" customWidth="1"/>
    <col min="3" max="3" width="6.6640625" style="79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59"/>
    <col min="19" max="19" width="31.25" style="59" bestFit="1" customWidth="1"/>
    <col min="20" max="20" width="8.75" style="59" bestFit="1" customWidth="1"/>
    <col min="21" max="21" width="5.58203125" style="59" bestFit="1" customWidth="1"/>
    <col min="22" max="16384" width="8.6640625" style="59"/>
  </cols>
  <sheetData>
    <row r="1" spans="1:21" ht="15.6" customHeight="1">
      <c r="A1" s="95" t="s">
        <v>42</v>
      </c>
      <c r="B1" s="94" t="s">
        <v>36</v>
      </c>
      <c r="C1" s="94" t="s">
        <v>30</v>
      </c>
      <c r="D1" s="94" t="s">
        <v>15</v>
      </c>
      <c r="E1" s="94" t="s">
        <v>31</v>
      </c>
      <c r="F1" s="94" t="s">
        <v>33</v>
      </c>
      <c r="G1" s="94"/>
      <c r="H1" s="94"/>
      <c r="I1" s="94"/>
      <c r="J1" s="94" t="s">
        <v>34</v>
      </c>
      <c r="K1" s="94"/>
      <c r="L1" s="94"/>
      <c r="M1" s="94"/>
      <c r="N1" s="94" t="s">
        <v>35</v>
      </c>
      <c r="O1" s="94"/>
      <c r="P1" s="94"/>
      <c r="Q1" s="94"/>
      <c r="S1" s="75"/>
      <c r="T1" s="75"/>
      <c r="U1" s="75"/>
    </row>
    <row r="2" spans="1:21">
      <c r="A2" s="96"/>
      <c r="B2" s="94"/>
      <c r="C2" s="94"/>
      <c r="D2" s="94"/>
      <c r="E2" s="94"/>
      <c r="F2" s="83" t="s">
        <v>32</v>
      </c>
      <c r="G2" s="83" t="s">
        <v>25</v>
      </c>
      <c r="H2" s="83" t="s">
        <v>18</v>
      </c>
      <c r="I2" s="83" t="s">
        <v>19</v>
      </c>
      <c r="J2" s="83" t="s">
        <v>32</v>
      </c>
      <c r="K2" s="83" t="s">
        <v>25</v>
      </c>
      <c r="L2" s="83" t="s">
        <v>18</v>
      </c>
      <c r="M2" s="83" t="s">
        <v>19</v>
      </c>
      <c r="N2" s="55" t="s">
        <v>37</v>
      </c>
      <c r="O2" s="55" t="s">
        <v>38</v>
      </c>
      <c r="P2" s="55" t="s">
        <v>39</v>
      </c>
      <c r="Q2" s="55" t="s">
        <v>40</v>
      </c>
      <c r="S2" s="75"/>
      <c r="T2" s="75"/>
      <c r="U2" s="75"/>
    </row>
    <row r="3" spans="1:21" ht="15.6" customHeight="1">
      <c r="A3" s="90">
        <v>1</v>
      </c>
      <c r="B3" s="77" t="s">
        <v>44</v>
      </c>
      <c r="C3" s="77">
        <v>2E-3</v>
      </c>
      <c r="D3" s="85">
        <v>100</v>
      </c>
      <c r="E3" s="85">
        <v>1</v>
      </c>
      <c r="F3" s="86">
        <v>3.5000000000000001E-3</v>
      </c>
      <c r="G3" s="86">
        <v>5.0000000000000001E-3</v>
      </c>
      <c r="H3" s="86">
        <v>8.0000000000000002E-3</v>
      </c>
      <c r="I3" s="86">
        <v>2.35E-2</v>
      </c>
      <c r="J3" s="86">
        <v>3.5000000000000001E-3</v>
      </c>
      <c r="K3" s="86">
        <v>5.0000000000000001E-3</v>
      </c>
      <c r="L3" s="86">
        <v>0</v>
      </c>
      <c r="M3" s="86">
        <v>0</v>
      </c>
      <c r="N3" s="87">
        <v>100000</v>
      </c>
      <c r="O3" s="87">
        <v>10000</v>
      </c>
      <c r="P3" s="87">
        <v>50</v>
      </c>
      <c r="Q3" s="87">
        <v>10</v>
      </c>
      <c r="R3" s="82">
        <f t="shared" ref="R3:R62" si="0">SUM(F3:I3)</f>
        <v>0.04</v>
      </c>
      <c r="S3" s="79" t="str" cm="1">
        <f t="array" ref="S3:S14">_xlfn.LET(_xlpm.x, _xlfn.UNIQUE(A:A), IF(_xlpm.x=0, "", _xlpm.x))</f>
        <v>Option
(Water Level / Group)</v>
      </c>
      <c r="T3" s="79" t="str" cm="1">
        <f t="array" ref="T3:T10">_xlfn.LET(_xlpm.x, _xlfn.UNIQUE(B:B), IF(_xlpm.x=0, "", _xlpm.x))</f>
        <v>Area</v>
      </c>
      <c r="U3" s="79" t="str" cm="1">
        <f t="array" ref="U3:U14">_xlfn.LET(_xlpm.x, _xlfn.UNIQUE(E:E), IF(_xlpm.x=0, "", _xlpm.x))</f>
        <v>Bet</v>
      </c>
    </row>
    <row r="4" spans="1:21" ht="15.6" customHeight="1">
      <c r="A4" s="90">
        <v>1</v>
      </c>
      <c r="B4" s="77" t="s">
        <v>44</v>
      </c>
      <c r="C4" s="77">
        <v>2E-3</v>
      </c>
      <c r="D4" s="85">
        <v>100</v>
      </c>
      <c r="E4" s="85">
        <v>1.25</v>
      </c>
      <c r="F4" s="86">
        <v>3.5000000000000001E-3</v>
      </c>
      <c r="G4" s="86">
        <v>5.0000000000000001E-3</v>
      </c>
      <c r="H4" s="86">
        <v>8.0000000000000002E-3</v>
      </c>
      <c r="I4" s="86">
        <v>2.35E-2</v>
      </c>
      <c r="J4" s="86">
        <v>3.5000000000000001E-3</v>
      </c>
      <c r="K4" s="86">
        <v>5.0000000000000001E-3</v>
      </c>
      <c r="L4" s="86">
        <v>0</v>
      </c>
      <c r="M4" s="86">
        <v>0</v>
      </c>
      <c r="N4" s="87">
        <v>100000</v>
      </c>
      <c r="O4" s="87">
        <v>10000</v>
      </c>
      <c r="P4" s="87">
        <v>50</v>
      </c>
      <c r="Q4" s="87">
        <v>10</v>
      </c>
      <c r="R4" s="82">
        <f t="shared" si="0"/>
        <v>0.04</v>
      </c>
      <c r="S4" s="79" t="str">
        <v/>
      </c>
      <c r="T4" s="79" t="str">
        <v/>
      </c>
      <c r="U4" s="79" t="str">
        <v/>
      </c>
    </row>
    <row r="5" spans="1:21" ht="15.6" customHeight="1">
      <c r="A5" s="90">
        <v>1</v>
      </c>
      <c r="B5" s="77" t="s">
        <v>44</v>
      </c>
      <c r="C5" s="77">
        <v>2E-3</v>
      </c>
      <c r="D5" s="85">
        <v>100</v>
      </c>
      <c r="E5" s="85">
        <v>1.5</v>
      </c>
      <c r="F5" s="86">
        <v>3.5000000000000001E-3</v>
      </c>
      <c r="G5" s="86">
        <v>5.0000000000000001E-3</v>
      </c>
      <c r="H5" s="86">
        <v>8.0000000000000002E-3</v>
      </c>
      <c r="I5" s="86">
        <v>2.35E-2</v>
      </c>
      <c r="J5" s="86">
        <v>3.5000000000000001E-3</v>
      </c>
      <c r="K5" s="86">
        <v>5.0000000000000001E-3</v>
      </c>
      <c r="L5" s="86">
        <v>0</v>
      </c>
      <c r="M5" s="86">
        <v>0</v>
      </c>
      <c r="N5" s="87">
        <v>100000</v>
      </c>
      <c r="O5" s="87">
        <v>10000</v>
      </c>
      <c r="P5" s="87">
        <v>50</v>
      </c>
      <c r="Q5" s="87">
        <v>10</v>
      </c>
      <c r="R5" s="82">
        <f t="shared" si="0"/>
        <v>0.04</v>
      </c>
      <c r="S5" s="79">
        <v>1</v>
      </c>
      <c r="T5" s="79" t="str">
        <v>Lakiwin</v>
      </c>
      <c r="U5" s="79">
        <v>1</v>
      </c>
    </row>
    <row r="6" spans="1:21" ht="15.6" customHeight="1">
      <c r="A6" s="90">
        <v>1</v>
      </c>
      <c r="B6" s="77" t="s">
        <v>44</v>
      </c>
      <c r="C6" s="77">
        <v>2E-3</v>
      </c>
      <c r="D6" s="85">
        <v>100</v>
      </c>
      <c r="E6" s="85">
        <v>8</v>
      </c>
      <c r="F6" s="86">
        <v>3.5000000000000001E-3</v>
      </c>
      <c r="G6" s="86">
        <v>5.0000000000000001E-3</v>
      </c>
      <c r="H6" s="86">
        <v>0.03</v>
      </c>
      <c r="I6" s="86">
        <v>1.5E-3</v>
      </c>
      <c r="J6" s="86">
        <v>3.5000000000000001E-3</v>
      </c>
      <c r="K6" s="86">
        <v>5.0000000000000001E-3</v>
      </c>
      <c r="L6" s="86">
        <v>0</v>
      </c>
      <c r="M6" s="86">
        <v>0</v>
      </c>
      <c r="N6" s="87">
        <v>100000</v>
      </c>
      <c r="O6" s="87">
        <v>10000</v>
      </c>
      <c r="P6" s="87">
        <v>50</v>
      </c>
      <c r="Q6" s="87">
        <v>10</v>
      </c>
      <c r="R6" s="82">
        <f t="shared" si="0"/>
        <v>0.04</v>
      </c>
      <c r="S6" s="79">
        <v>11</v>
      </c>
      <c r="T6" s="79" t="str">
        <v>Club</v>
      </c>
      <c r="U6" s="79">
        <v>1.25</v>
      </c>
    </row>
    <row r="7" spans="1:21" ht="15.6" customHeight="1">
      <c r="A7" s="90">
        <v>1</v>
      </c>
      <c r="B7" s="77" t="s">
        <v>44</v>
      </c>
      <c r="C7" s="77">
        <v>2E-3</v>
      </c>
      <c r="D7" s="85">
        <v>100</v>
      </c>
      <c r="E7" s="85">
        <v>40.5</v>
      </c>
      <c r="F7" s="86">
        <v>3.5000000000000001E-3</v>
      </c>
      <c r="G7" s="86">
        <v>5.0000000000000001E-3</v>
      </c>
      <c r="H7" s="86">
        <v>8.0000000000000002E-3</v>
      </c>
      <c r="I7" s="86">
        <v>2.35E-2</v>
      </c>
      <c r="J7" s="86">
        <v>3.5000000000000001E-3</v>
      </c>
      <c r="K7" s="86">
        <v>5.0000000000000001E-3</v>
      </c>
      <c r="L7" s="86">
        <v>0</v>
      </c>
      <c r="M7" s="86">
        <v>0</v>
      </c>
      <c r="N7" s="87">
        <v>100000</v>
      </c>
      <c r="O7" s="87">
        <v>10000</v>
      </c>
      <c r="P7" s="87">
        <v>50</v>
      </c>
      <c r="Q7" s="87">
        <v>10</v>
      </c>
      <c r="R7" s="82">
        <f t="shared" si="0"/>
        <v>0.04</v>
      </c>
      <c r="S7" s="79">
        <v>21</v>
      </c>
      <c r="T7" s="79" t="str">
        <v>Okbet</v>
      </c>
      <c r="U7" s="79">
        <v>1.5</v>
      </c>
    </row>
    <row r="8" spans="1:21" ht="15.6" customHeight="1">
      <c r="A8" s="90">
        <v>1</v>
      </c>
      <c r="B8" s="77" t="s">
        <v>44</v>
      </c>
      <c r="C8" s="77">
        <v>2E-3</v>
      </c>
      <c r="D8" s="85">
        <v>100</v>
      </c>
      <c r="E8" s="88">
        <v>50</v>
      </c>
      <c r="F8" s="86">
        <v>3.5000000000000001E-3</v>
      </c>
      <c r="G8" s="86">
        <v>5.0000000000000001E-3</v>
      </c>
      <c r="H8" s="86">
        <v>5.0000000000000001E-3</v>
      </c>
      <c r="I8" s="86">
        <v>2.6499999999999999E-2</v>
      </c>
      <c r="J8" s="86">
        <v>3.5000000000000001E-3</v>
      </c>
      <c r="K8" s="86">
        <v>5.0000000000000001E-3</v>
      </c>
      <c r="L8" s="86">
        <v>0</v>
      </c>
      <c r="M8" s="86">
        <v>0</v>
      </c>
      <c r="N8" s="87">
        <v>100000</v>
      </c>
      <c r="O8" s="87">
        <v>10000</v>
      </c>
      <c r="P8" s="87">
        <v>50</v>
      </c>
      <c r="Q8" s="87">
        <v>10</v>
      </c>
      <c r="R8" s="82">
        <f t="shared" si="0"/>
        <v>0.04</v>
      </c>
      <c r="S8" s="79">
        <v>22</v>
      </c>
      <c r="T8" s="79" t="str">
        <v>Else</v>
      </c>
      <c r="U8" s="79">
        <v>8</v>
      </c>
    </row>
    <row r="9" spans="1:21" ht="15.6" customHeight="1">
      <c r="A9" s="90">
        <v>1</v>
      </c>
      <c r="B9" s="77" t="s">
        <v>44</v>
      </c>
      <c r="C9" s="77">
        <v>2E-3</v>
      </c>
      <c r="D9" s="85">
        <v>100</v>
      </c>
      <c r="E9" s="88">
        <v>75</v>
      </c>
      <c r="F9" s="86">
        <v>3.5000000000000001E-3</v>
      </c>
      <c r="G9" s="86">
        <v>5.0000000000000001E-3</v>
      </c>
      <c r="H9" s="86">
        <v>5.0000000000000001E-3</v>
      </c>
      <c r="I9" s="86">
        <v>2.6499999999999999E-2</v>
      </c>
      <c r="J9" s="86">
        <v>3.5000000000000001E-3</v>
      </c>
      <c r="K9" s="86">
        <v>5.0000000000000001E-3</v>
      </c>
      <c r="L9" s="86">
        <v>0</v>
      </c>
      <c r="M9" s="86">
        <v>0</v>
      </c>
      <c r="N9" s="87">
        <v>100000</v>
      </c>
      <c r="O9" s="87">
        <v>10000</v>
      </c>
      <c r="P9" s="87">
        <v>75</v>
      </c>
      <c r="Q9" s="87">
        <v>15</v>
      </c>
      <c r="R9" s="82">
        <f t="shared" si="0"/>
        <v>0.04</v>
      </c>
      <c r="S9" s="79">
        <v>23</v>
      </c>
      <c r="T9" s="79" t="str">
        <v>Jumbo</v>
      </c>
      <c r="U9" s="79">
        <v>40.5</v>
      </c>
    </row>
    <row r="10" spans="1:21" ht="15.6" customHeight="1">
      <c r="A10" s="90">
        <v>1</v>
      </c>
      <c r="B10" s="77" t="s">
        <v>44</v>
      </c>
      <c r="C10" s="77">
        <v>2E-3</v>
      </c>
      <c r="D10" s="85">
        <v>100</v>
      </c>
      <c r="E10" s="88">
        <v>100</v>
      </c>
      <c r="F10" s="86">
        <v>3.5000000000000001E-3</v>
      </c>
      <c r="G10" s="86">
        <v>5.0000000000000001E-3</v>
      </c>
      <c r="H10" s="86">
        <v>2.6499999999999999E-2</v>
      </c>
      <c r="I10" s="86">
        <v>5.0000000000000001E-3</v>
      </c>
      <c r="J10" s="86">
        <v>3.5000000000000001E-3</v>
      </c>
      <c r="K10" s="86">
        <v>5.0000000000000001E-3</v>
      </c>
      <c r="L10" s="86">
        <v>0</v>
      </c>
      <c r="M10" s="86">
        <v>0</v>
      </c>
      <c r="N10" s="87">
        <v>100000</v>
      </c>
      <c r="O10" s="87">
        <v>10000</v>
      </c>
      <c r="P10" s="87">
        <v>100</v>
      </c>
      <c r="Q10" s="87">
        <v>20</v>
      </c>
      <c r="R10" s="82">
        <f t="shared" si="0"/>
        <v>0.04</v>
      </c>
      <c r="S10" s="79">
        <v>24</v>
      </c>
      <c r="T10" s="79" t="str">
        <v>SPS use</v>
      </c>
      <c r="U10" s="79">
        <v>50</v>
      </c>
    </row>
    <row r="11" spans="1:21" ht="15.6" customHeight="1">
      <c r="A11" s="90">
        <v>1</v>
      </c>
      <c r="B11" s="77" t="s">
        <v>44</v>
      </c>
      <c r="C11" s="77">
        <v>2E-3</v>
      </c>
      <c r="D11" s="85">
        <v>100</v>
      </c>
      <c r="E11" s="88">
        <v>250</v>
      </c>
      <c r="F11" s="86">
        <v>3.5000000000000001E-3</v>
      </c>
      <c r="G11" s="86">
        <v>5.0000000000000001E-3</v>
      </c>
      <c r="H11" s="86">
        <v>9.9999999999999985E-3</v>
      </c>
      <c r="I11" s="86">
        <v>2.1499999999999998E-2</v>
      </c>
      <c r="J11" s="86">
        <v>3.5000000000000001E-3</v>
      </c>
      <c r="K11" s="86">
        <v>5.0000000000000001E-3</v>
      </c>
      <c r="L11" s="86">
        <v>0</v>
      </c>
      <c r="M11" s="86">
        <v>0</v>
      </c>
      <c r="N11" s="87">
        <v>100000</v>
      </c>
      <c r="O11" s="87">
        <v>10000</v>
      </c>
      <c r="P11" s="87">
        <v>100</v>
      </c>
      <c r="Q11" s="87">
        <v>20</v>
      </c>
      <c r="R11" s="82">
        <f t="shared" si="0"/>
        <v>3.9999999999999994E-2</v>
      </c>
      <c r="S11" s="79">
        <v>25</v>
      </c>
      <c r="T11" s="79"/>
      <c r="U11" s="79">
        <v>75</v>
      </c>
    </row>
    <row r="12" spans="1:21" ht="15.6" customHeight="1">
      <c r="A12" s="90">
        <v>1</v>
      </c>
      <c r="B12" s="77" t="s">
        <v>44</v>
      </c>
      <c r="C12" s="77">
        <v>2E-3</v>
      </c>
      <c r="D12" s="85">
        <v>100</v>
      </c>
      <c r="E12" s="88">
        <v>500</v>
      </c>
      <c r="F12" s="86">
        <v>3.5000000000000001E-3</v>
      </c>
      <c r="G12" s="86">
        <v>5.0000000000000001E-3</v>
      </c>
      <c r="H12" s="86">
        <v>9.9999999999999985E-3</v>
      </c>
      <c r="I12" s="86">
        <v>2.1499999999999998E-2</v>
      </c>
      <c r="J12" s="86">
        <v>3.5000000000000001E-3</v>
      </c>
      <c r="K12" s="86">
        <v>5.0000000000000001E-3</v>
      </c>
      <c r="L12" s="86">
        <v>0</v>
      </c>
      <c r="M12" s="86">
        <v>0</v>
      </c>
      <c r="N12" s="87">
        <v>100000</v>
      </c>
      <c r="O12" s="87">
        <v>10000</v>
      </c>
      <c r="P12" s="87">
        <v>500</v>
      </c>
      <c r="Q12" s="87">
        <v>100</v>
      </c>
      <c r="R12" s="82">
        <f t="shared" si="0"/>
        <v>3.9999999999999994E-2</v>
      </c>
      <c r="S12" s="79">
        <v>26</v>
      </c>
      <c r="T12" s="79"/>
      <c r="U12" s="79">
        <v>100</v>
      </c>
    </row>
    <row r="13" spans="1:21" ht="15.6" customHeight="1">
      <c r="A13" s="90">
        <v>11</v>
      </c>
      <c r="B13" s="77" t="s">
        <v>45</v>
      </c>
      <c r="C13" s="77">
        <v>2E-3</v>
      </c>
      <c r="D13" s="85">
        <v>100</v>
      </c>
      <c r="E13" s="88">
        <v>1</v>
      </c>
      <c r="F13" s="86">
        <v>3.5000000000000001E-3</v>
      </c>
      <c r="G13" s="86">
        <v>5.0000000000000001E-3</v>
      </c>
      <c r="H13" s="86">
        <v>8.0000000000000002E-3</v>
      </c>
      <c r="I13" s="86">
        <v>2.35E-2</v>
      </c>
      <c r="J13" s="86">
        <v>3.5000000000000001E-3</v>
      </c>
      <c r="K13" s="86">
        <v>5.0000000000000001E-3</v>
      </c>
      <c r="L13" s="86">
        <v>0</v>
      </c>
      <c r="M13" s="86">
        <v>0</v>
      </c>
      <c r="N13" s="87">
        <v>8000</v>
      </c>
      <c r="O13" s="87">
        <v>1500</v>
      </c>
      <c r="P13" s="87">
        <v>50</v>
      </c>
      <c r="Q13" s="87">
        <v>10</v>
      </c>
      <c r="R13" s="82">
        <f t="shared" si="0"/>
        <v>0.04</v>
      </c>
      <c r="S13" s="79">
        <v>27</v>
      </c>
      <c r="T13" s="79"/>
      <c r="U13" s="79">
        <v>250</v>
      </c>
    </row>
    <row r="14" spans="1:21" ht="15.6" customHeight="1">
      <c r="A14" s="90">
        <v>11</v>
      </c>
      <c r="B14" s="77" t="s">
        <v>45</v>
      </c>
      <c r="C14" s="77">
        <v>2E-3</v>
      </c>
      <c r="D14" s="85">
        <v>100</v>
      </c>
      <c r="E14" s="88">
        <v>1.25</v>
      </c>
      <c r="F14" s="86">
        <v>3.5000000000000001E-3</v>
      </c>
      <c r="G14" s="86">
        <v>5.0000000000000001E-3</v>
      </c>
      <c r="H14" s="86">
        <v>8.0000000000000002E-3</v>
      </c>
      <c r="I14" s="86">
        <v>2.35E-2</v>
      </c>
      <c r="J14" s="86">
        <v>3.5000000000000001E-3</v>
      </c>
      <c r="K14" s="86">
        <v>5.0000000000000001E-3</v>
      </c>
      <c r="L14" s="86">
        <v>0</v>
      </c>
      <c r="M14" s="86">
        <v>0</v>
      </c>
      <c r="N14" s="87">
        <v>8000</v>
      </c>
      <c r="O14" s="87">
        <v>1500</v>
      </c>
      <c r="P14" s="87">
        <v>50</v>
      </c>
      <c r="Q14" s="87">
        <v>10</v>
      </c>
      <c r="R14" s="82">
        <f t="shared" si="0"/>
        <v>0.04</v>
      </c>
      <c r="S14" s="79">
        <v>28</v>
      </c>
      <c r="T14" s="79"/>
      <c r="U14" s="79">
        <v>500</v>
      </c>
    </row>
    <row r="15" spans="1:21" ht="15.6" customHeight="1">
      <c r="A15" s="90">
        <v>11</v>
      </c>
      <c r="B15" s="77" t="s">
        <v>45</v>
      </c>
      <c r="C15" s="77">
        <v>2E-3</v>
      </c>
      <c r="D15" s="85">
        <v>100</v>
      </c>
      <c r="E15" s="88">
        <v>1.5</v>
      </c>
      <c r="F15" s="86">
        <v>3.5000000000000001E-3</v>
      </c>
      <c r="G15" s="86">
        <v>5.0000000000000001E-3</v>
      </c>
      <c r="H15" s="86">
        <v>8.0000000000000002E-3</v>
      </c>
      <c r="I15" s="86">
        <v>2.35E-2</v>
      </c>
      <c r="J15" s="86">
        <v>3.5000000000000001E-3</v>
      </c>
      <c r="K15" s="86">
        <v>5.0000000000000001E-3</v>
      </c>
      <c r="L15" s="86">
        <v>0</v>
      </c>
      <c r="M15" s="86">
        <v>0</v>
      </c>
      <c r="N15" s="87">
        <v>8000</v>
      </c>
      <c r="O15" s="87">
        <v>1500</v>
      </c>
      <c r="P15" s="87">
        <v>50</v>
      </c>
      <c r="Q15" s="87">
        <v>10</v>
      </c>
      <c r="R15" s="82">
        <f t="shared" si="0"/>
        <v>0.04</v>
      </c>
      <c r="S15" s="79"/>
      <c r="T15" s="79"/>
      <c r="U15" s="79"/>
    </row>
    <row r="16" spans="1:21" ht="15.6" customHeight="1">
      <c r="A16" s="90">
        <v>11</v>
      </c>
      <c r="B16" s="77" t="s">
        <v>45</v>
      </c>
      <c r="C16" s="77">
        <v>2E-3</v>
      </c>
      <c r="D16" s="85">
        <v>100</v>
      </c>
      <c r="E16" s="88">
        <v>8</v>
      </c>
      <c r="F16" s="86">
        <v>3.5000000000000001E-3</v>
      </c>
      <c r="G16" s="86">
        <v>5.0000000000000001E-3</v>
      </c>
      <c r="H16" s="86">
        <v>0.03</v>
      </c>
      <c r="I16" s="86">
        <v>1.5E-3</v>
      </c>
      <c r="J16" s="86">
        <v>3.5000000000000001E-3</v>
      </c>
      <c r="K16" s="86">
        <v>5.0000000000000001E-3</v>
      </c>
      <c r="L16" s="86">
        <v>0</v>
      </c>
      <c r="M16" s="86">
        <v>0</v>
      </c>
      <c r="N16" s="87">
        <v>8000</v>
      </c>
      <c r="O16" s="87">
        <v>1500</v>
      </c>
      <c r="P16" s="87">
        <v>50</v>
      </c>
      <c r="Q16" s="87">
        <v>10</v>
      </c>
      <c r="R16" s="82">
        <f t="shared" si="0"/>
        <v>0.04</v>
      </c>
      <c r="S16" s="79"/>
      <c r="T16" s="79"/>
      <c r="U16" s="79"/>
    </row>
    <row r="17" spans="1:21" ht="15.6" customHeight="1">
      <c r="A17" s="90">
        <v>11</v>
      </c>
      <c r="B17" s="77" t="s">
        <v>45</v>
      </c>
      <c r="C17" s="77">
        <v>2E-3</v>
      </c>
      <c r="D17" s="85">
        <v>100</v>
      </c>
      <c r="E17" s="88">
        <v>40.5</v>
      </c>
      <c r="F17" s="86">
        <v>3.5000000000000001E-3</v>
      </c>
      <c r="G17" s="86">
        <v>5.0000000000000001E-3</v>
      </c>
      <c r="H17" s="86">
        <v>8.0000000000000002E-3</v>
      </c>
      <c r="I17" s="86">
        <v>2.35E-2</v>
      </c>
      <c r="J17" s="86">
        <v>3.5000000000000001E-3</v>
      </c>
      <c r="K17" s="86">
        <v>5.0000000000000001E-3</v>
      </c>
      <c r="L17" s="86">
        <v>0</v>
      </c>
      <c r="M17" s="86">
        <v>0</v>
      </c>
      <c r="N17" s="87">
        <v>8000</v>
      </c>
      <c r="O17" s="87">
        <v>1500</v>
      </c>
      <c r="P17" s="87">
        <v>50</v>
      </c>
      <c r="Q17" s="87">
        <v>10</v>
      </c>
      <c r="R17" s="82">
        <f t="shared" si="0"/>
        <v>0.04</v>
      </c>
      <c r="S17" s="79"/>
      <c r="T17" s="79"/>
      <c r="U17" s="79"/>
    </row>
    <row r="18" spans="1:21" ht="15.6" customHeight="1">
      <c r="A18" s="90">
        <v>11</v>
      </c>
      <c r="B18" s="77" t="s">
        <v>45</v>
      </c>
      <c r="C18" s="77">
        <v>2E-3</v>
      </c>
      <c r="D18" s="85">
        <v>100</v>
      </c>
      <c r="E18" s="88">
        <v>50</v>
      </c>
      <c r="F18" s="86">
        <v>3.5000000000000001E-3</v>
      </c>
      <c r="G18" s="86">
        <v>5.0000000000000001E-3</v>
      </c>
      <c r="H18" s="86">
        <v>5.0000000000000001E-3</v>
      </c>
      <c r="I18" s="86">
        <v>2.6499999999999999E-2</v>
      </c>
      <c r="J18" s="86">
        <v>3.5000000000000001E-3</v>
      </c>
      <c r="K18" s="86">
        <v>5.0000000000000001E-3</v>
      </c>
      <c r="L18" s="86">
        <v>0</v>
      </c>
      <c r="M18" s="86">
        <v>0</v>
      </c>
      <c r="N18" s="87">
        <v>8000</v>
      </c>
      <c r="O18" s="87">
        <v>1500</v>
      </c>
      <c r="P18" s="87">
        <v>50</v>
      </c>
      <c r="Q18" s="87">
        <v>10</v>
      </c>
      <c r="R18" s="82">
        <f t="shared" si="0"/>
        <v>0.04</v>
      </c>
      <c r="S18" s="79"/>
      <c r="T18" s="79"/>
      <c r="U18" s="79"/>
    </row>
    <row r="19" spans="1:21" ht="15.6" customHeight="1">
      <c r="A19" s="90">
        <v>11</v>
      </c>
      <c r="B19" s="77" t="s">
        <v>45</v>
      </c>
      <c r="C19" s="77">
        <v>2E-3</v>
      </c>
      <c r="D19" s="85">
        <v>100</v>
      </c>
      <c r="E19" s="88">
        <v>75</v>
      </c>
      <c r="F19" s="86">
        <v>3.5000000000000001E-3</v>
      </c>
      <c r="G19" s="86">
        <v>5.0000000000000001E-3</v>
      </c>
      <c r="H19" s="86">
        <v>5.0000000000000001E-3</v>
      </c>
      <c r="I19" s="86">
        <v>2.6499999999999999E-2</v>
      </c>
      <c r="J19" s="86">
        <v>3.5000000000000001E-3</v>
      </c>
      <c r="K19" s="86">
        <v>5.0000000000000001E-3</v>
      </c>
      <c r="L19" s="86">
        <v>0</v>
      </c>
      <c r="M19" s="86">
        <v>0</v>
      </c>
      <c r="N19" s="87">
        <v>8000</v>
      </c>
      <c r="O19" s="87">
        <v>1500</v>
      </c>
      <c r="P19" s="87">
        <v>75</v>
      </c>
      <c r="Q19" s="87">
        <v>15</v>
      </c>
      <c r="R19" s="82">
        <f t="shared" si="0"/>
        <v>0.04</v>
      </c>
      <c r="S19" s="79"/>
      <c r="T19" s="79"/>
      <c r="U19" s="79"/>
    </row>
    <row r="20" spans="1:21" ht="15.6" customHeight="1">
      <c r="A20" s="90">
        <v>11</v>
      </c>
      <c r="B20" s="77" t="s">
        <v>45</v>
      </c>
      <c r="C20" s="77">
        <v>2E-3</v>
      </c>
      <c r="D20" s="85">
        <v>100</v>
      </c>
      <c r="E20" s="88">
        <v>100</v>
      </c>
      <c r="F20" s="86">
        <v>3.5000000000000001E-3</v>
      </c>
      <c r="G20" s="86">
        <v>5.0000000000000001E-3</v>
      </c>
      <c r="H20" s="86">
        <v>2.6499999999999999E-2</v>
      </c>
      <c r="I20" s="86">
        <v>5.0000000000000001E-3</v>
      </c>
      <c r="J20" s="86">
        <v>3.5000000000000001E-3</v>
      </c>
      <c r="K20" s="86">
        <v>5.0000000000000001E-3</v>
      </c>
      <c r="L20" s="86">
        <v>0</v>
      </c>
      <c r="M20" s="86">
        <v>0</v>
      </c>
      <c r="N20" s="87">
        <v>8000</v>
      </c>
      <c r="O20" s="87">
        <v>1500</v>
      </c>
      <c r="P20" s="87">
        <v>50</v>
      </c>
      <c r="Q20" s="87">
        <v>10</v>
      </c>
      <c r="R20" s="82">
        <f t="shared" si="0"/>
        <v>0.04</v>
      </c>
      <c r="S20" s="79"/>
      <c r="T20" s="79"/>
      <c r="U20" s="79"/>
    </row>
    <row r="21" spans="1:21" ht="15.6" customHeight="1">
      <c r="A21" s="90">
        <v>11</v>
      </c>
      <c r="B21" s="77" t="s">
        <v>45</v>
      </c>
      <c r="C21" s="77">
        <v>2E-3</v>
      </c>
      <c r="D21" s="85">
        <v>100</v>
      </c>
      <c r="E21" s="88">
        <v>250</v>
      </c>
      <c r="F21" s="86">
        <v>3.5000000000000001E-3</v>
      </c>
      <c r="G21" s="86">
        <v>5.0000000000000001E-3</v>
      </c>
      <c r="H21" s="86">
        <v>9.9999999999999985E-3</v>
      </c>
      <c r="I21" s="86">
        <v>2.1499999999999998E-2</v>
      </c>
      <c r="J21" s="86">
        <v>3.5000000000000001E-3</v>
      </c>
      <c r="K21" s="86">
        <v>5.0000000000000001E-3</v>
      </c>
      <c r="L21" s="86">
        <v>0</v>
      </c>
      <c r="M21" s="86">
        <v>0</v>
      </c>
      <c r="N21" s="87">
        <v>8000</v>
      </c>
      <c r="O21" s="87">
        <v>1500</v>
      </c>
      <c r="P21" s="87">
        <v>50</v>
      </c>
      <c r="Q21" s="87">
        <v>10</v>
      </c>
      <c r="R21" s="82">
        <f t="shared" si="0"/>
        <v>3.9999999999999994E-2</v>
      </c>
      <c r="S21" s="79"/>
      <c r="T21" s="79"/>
      <c r="U21" s="79"/>
    </row>
    <row r="22" spans="1:21" ht="15.6" customHeight="1">
      <c r="A22" s="90">
        <v>11</v>
      </c>
      <c r="B22" s="77" t="s">
        <v>45</v>
      </c>
      <c r="C22" s="77">
        <v>2E-3</v>
      </c>
      <c r="D22" s="85">
        <v>100</v>
      </c>
      <c r="E22" s="88">
        <v>500</v>
      </c>
      <c r="F22" s="86">
        <v>3.5000000000000001E-3</v>
      </c>
      <c r="G22" s="86">
        <v>5.0000000000000001E-3</v>
      </c>
      <c r="H22" s="86">
        <v>9.9999999999999985E-3</v>
      </c>
      <c r="I22" s="86">
        <v>2.1499999999999998E-2</v>
      </c>
      <c r="J22" s="86">
        <v>3.5000000000000001E-3</v>
      </c>
      <c r="K22" s="86">
        <v>5.0000000000000001E-3</v>
      </c>
      <c r="L22" s="86">
        <v>0</v>
      </c>
      <c r="M22" s="86">
        <v>0</v>
      </c>
      <c r="N22" s="87">
        <v>8000</v>
      </c>
      <c r="O22" s="87">
        <v>1500</v>
      </c>
      <c r="P22" s="87">
        <v>50</v>
      </c>
      <c r="Q22" s="87">
        <v>10</v>
      </c>
      <c r="R22" s="82">
        <f t="shared" si="0"/>
        <v>3.9999999999999994E-2</v>
      </c>
      <c r="S22" s="79"/>
      <c r="T22" s="79"/>
      <c r="U22" s="79"/>
    </row>
    <row r="23" spans="1:21" ht="15.6" customHeight="1">
      <c r="A23" s="89">
        <v>21</v>
      </c>
      <c r="B23" s="76" t="s">
        <v>46</v>
      </c>
      <c r="C23" s="76">
        <v>2E-3</v>
      </c>
      <c r="D23" s="70">
        <v>100</v>
      </c>
      <c r="E23" s="70">
        <v>1</v>
      </c>
      <c r="F23" s="71">
        <v>3.5000000000000001E-3</v>
      </c>
      <c r="G23" s="71">
        <v>5.0000000000000001E-3</v>
      </c>
      <c r="H23" s="71">
        <v>8.0000000000000002E-3</v>
      </c>
      <c r="I23" s="71">
        <v>2.35E-2</v>
      </c>
      <c r="J23" s="71">
        <v>3.5000000000000001E-3</v>
      </c>
      <c r="K23" s="71">
        <v>5.0000000000000001E-3</v>
      </c>
      <c r="L23" s="71">
        <v>0</v>
      </c>
      <c r="M23" s="71">
        <v>0</v>
      </c>
      <c r="N23" s="72">
        <v>500000</v>
      </c>
      <c r="O23" s="72">
        <v>100000</v>
      </c>
      <c r="P23" s="72">
        <v>50</v>
      </c>
      <c r="Q23" s="72">
        <v>10</v>
      </c>
      <c r="R23" s="82">
        <f t="shared" si="0"/>
        <v>0.04</v>
      </c>
      <c r="S23" s="79"/>
      <c r="T23" s="79"/>
      <c r="U23" s="79"/>
    </row>
    <row r="24" spans="1:21" ht="15.6" customHeight="1">
      <c r="A24" s="89">
        <v>21</v>
      </c>
      <c r="B24" s="76" t="s">
        <v>46</v>
      </c>
      <c r="C24" s="76">
        <v>2E-3</v>
      </c>
      <c r="D24" s="70">
        <v>100</v>
      </c>
      <c r="E24" s="70">
        <v>1.25</v>
      </c>
      <c r="F24" s="71">
        <v>3.5000000000000001E-3</v>
      </c>
      <c r="G24" s="71">
        <v>5.0000000000000001E-3</v>
      </c>
      <c r="H24" s="71">
        <v>8.0000000000000002E-3</v>
      </c>
      <c r="I24" s="71">
        <v>2.35E-2</v>
      </c>
      <c r="J24" s="71">
        <v>3.5000000000000001E-3</v>
      </c>
      <c r="K24" s="71">
        <v>5.0000000000000001E-3</v>
      </c>
      <c r="L24" s="71">
        <v>0</v>
      </c>
      <c r="M24" s="71">
        <v>0</v>
      </c>
      <c r="N24" s="72">
        <v>500000</v>
      </c>
      <c r="O24" s="72">
        <v>100000</v>
      </c>
      <c r="P24" s="72">
        <v>50</v>
      </c>
      <c r="Q24" s="72">
        <v>10</v>
      </c>
      <c r="R24" s="82">
        <f t="shared" si="0"/>
        <v>0.04</v>
      </c>
      <c r="S24" s="79"/>
      <c r="T24" s="79"/>
      <c r="U24" s="79"/>
    </row>
    <row r="25" spans="1:21" ht="15.6" customHeight="1">
      <c r="A25" s="89">
        <v>21</v>
      </c>
      <c r="B25" s="76" t="s">
        <v>46</v>
      </c>
      <c r="C25" s="76">
        <v>2E-3</v>
      </c>
      <c r="D25" s="70">
        <v>100</v>
      </c>
      <c r="E25" s="70">
        <v>1.5</v>
      </c>
      <c r="F25" s="71">
        <v>3.5000000000000001E-3</v>
      </c>
      <c r="G25" s="71">
        <v>5.0000000000000001E-3</v>
      </c>
      <c r="H25" s="71">
        <v>8.0000000000000002E-3</v>
      </c>
      <c r="I25" s="71">
        <v>2.35E-2</v>
      </c>
      <c r="J25" s="71">
        <v>3.5000000000000001E-3</v>
      </c>
      <c r="K25" s="71">
        <v>5.0000000000000001E-3</v>
      </c>
      <c r="L25" s="71">
        <v>0</v>
      </c>
      <c r="M25" s="71">
        <v>0</v>
      </c>
      <c r="N25" s="72">
        <v>500000</v>
      </c>
      <c r="O25" s="72">
        <v>100000</v>
      </c>
      <c r="P25" s="72">
        <v>50</v>
      </c>
      <c r="Q25" s="72">
        <v>10</v>
      </c>
      <c r="R25" s="82">
        <f t="shared" si="0"/>
        <v>0.04</v>
      </c>
      <c r="S25" s="79"/>
      <c r="T25" s="79"/>
      <c r="U25" s="79"/>
    </row>
    <row r="26" spans="1:21" ht="15.6" customHeight="1">
      <c r="A26" s="89">
        <v>21</v>
      </c>
      <c r="B26" s="76" t="s">
        <v>46</v>
      </c>
      <c r="C26" s="76">
        <v>2E-3</v>
      </c>
      <c r="D26" s="70">
        <v>100</v>
      </c>
      <c r="E26" s="70">
        <v>8</v>
      </c>
      <c r="F26" s="71">
        <v>3.5000000000000001E-3</v>
      </c>
      <c r="G26" s="71">
        <v>5.0000000000000001E-3</v>
      </c>
      <c r="H26" s="71">
        <v>0.03</v>
      </c>
      <c r="I26" s="71">
        <v>1.5E-3</v>
      </c>
      <c r="J26" s="71">
        <v>3.5000000000000001E-3</v>
      </c>
      <c r="K26" s="71">
        <v>5.0000000000000001E-3</v>
      </c>
      <c r="L26" s="71">
        <v>0</v>
      </c>
      <c r="M26" s="71">
        <v>0</v>
      </c>
      <c r="N26" s="72">
        <v>500000</v>
      </c>
      <c r="O26" s="72">
        <v>100000</v>
      </c>
      <c r="P26" s="72">
        <v>50</v>
      </c>
      <c r="Q26" s="72">
        <v>10</v>
      </c>
      <c r="R26" s="82">
        <f t="shared" si="0"/>
        <v>0.04</v>
      </c>
      <c r="S26" s="79"/>
      <c r="T26" s="79"/>
      <c r="U26" s="79"/>
    </row>
    <row r="27" spans="1:21" ht="15.6" customHeight="1">
      <c r="A27" s="89">
        <v>21</v>
      </c>
      <c r="B27" s="76" t="s">
        <v>46</v>
      </c>
      <c r="C27" s="76">
        <v>2E-3</v>
      </c>
      <c r="D27" s="70">
        <v>100</v>
      </c>
      <c r="E27" s="70">
        <v>40.5</v>
      </c>
      <c r="F27" s="71">
        <v>3.5000000000000001E-3</v>
      </c>
      <c r="G27" s="71">
        <v>5.0000000000000001E-3</v>
      </c>
      <c r="H27" s="71">
        <v>8.0000000000000002E-3</v>
      </c>
      <c r="I27" s="71">
        <v>2.35E-2</v>
      </c>
      <c r="J27" s="71">
        <v>3.5000000000000001E-3</v>
      </c>
      <c r="K27" s="71">
        <v>5.0000000000000001E-3</v>
      </c>
      <c r="L27" s="71">
        <v>0</v>
      </c>
      <c r="M27" s="71">
        <v>0</v>
      </c>
      <c r="N27" s="72">
        <v>500000</v>
      </c>
      <c r="O27" s="72">
        <v>100000</v>
      </c>
      <c r="P27" s="72">
        <v>50</v>
      </c>
      <c r="Q27" s="72">
        <v>10</v>
      </c>
      <c r="R27" s="82">
        <f t="shared" si="0"/>
        <v>0.04</v>
      </c>
      <c r="S27" s="79"/>
      <c r="T27" s="79"/>
      <c r="U27" s="79"/>
    </row>
    <row r="28" spans="1:21" ht="15.6" customHeight="1">
      <c r="A28" s="89">
        <v>21</v>
      </c>
      <c r="B28" s="76" t="s">
        <v>46</v>
      </c>
      <c r="C28" s="76">
        <v>2E-3</v>
      </c>
      <c r="D28" s="70">
        <v>100</v>
      </c>
      <c r="E28" s="73">
        <v>50</v>
      </c>
      <c r="F28" s="71">
        <v>3.5000000000000001E-3</v>
      </c>
      <c r="G28" s="71">
        <v>5.0000000000000001E-3</v>
      </c>
      <c r="H28" s="71">
        <v>5.0000000000000001E-3</v>
      </c>
      <c r="I28" s="71">
        <v>2.6499999999999999E-2</v>
      </c>
      <c r="J28" s="71">
        <v>3.5000000000000001E-3</v>
      </c>
      <c r="K28" s="71">
        <v>5.0000000000000001E-3</v>
      </c>
      <c r="L28" s="71">
        <v>0</v>
      </c>
      <c r="M28" s="71">
        <v>0</v>
      </c>
      <c r="N28" s="72">
        <v>500000</v>
      </c>
      <c r="O28" s="72">
        <v>100000</v>
      </c>
      <c r="P28" s="72">
        <v>50</v>
      </c>
      <c r="Q28" s="72">
        <v>10</v>
      </c>
      <c r="R28" s="82">
        <f t="shared" si="0"/>
        <v>0.04</v>
      </c>
    </row>
    <row r="29" spans="1:21" ht="15.6" customHeight="1">
      <c r="A29" s="89">
        <v>21</v>
      </c>
      <c r="B29" s="76" t="s">
        <v>46</v>
      </c>
      <c r="C29" s="76">
        <v>2E-3</v>
      </c>
      <c r="D29" s="70">
        <v>100</v>
      </c>
      <c r="E29" s="73">
        <v>75</v>
      </c>
      <c r="F29" s="71">
        <v>3.5000000000000001E-3</v>
      </c>
      <c r="G29" s="71">
        <v>5.0000000000000001E-3</v>
      </c>
      <c r="H29" s="71">
        <v>5.0000000000000001E-3</v>
      </c>
      <c r="I29" s="71">
        <v>2.6499999999999999E-2</v>
      </c>
      <c r="J29" s="71">
        <v>3.5000000000000001E-3</v>
      </c>
      <c r="K29" s="71">
        <v>5.0000000000000001E-3</v>
      </c>
      <c r="L29" s="71">
        <v>0</v>
      </c>
      <c r="M29" s="71">
        <v>0</v>
      </c>
      <c r="N29" s="72">
        <v>500000</v>
      </c>
      <c r="O29" s="72">
        <v>100000</v>
      </c>
      <c r="P29" s="72">
        <v>75</v>
      </c>
      <c r="Q29" s="72">
        <v>15</v>
      </c>
      <c r="R29" s="82">
        <f t="shared" si="0"/>
        <v>0.04</v>
      </c>
    </row>
    <row r="30" spans="1:21" ht="15.6" customHeight="1">
      <c r="A30" s="89">
        <v>21</v>
      </c>
      <c r="B30" s="76" t="s">
        <v>46</v>
      </c>
      <c r="C30" s="76">
        <v>2E-3</v>
      </c>
      <c r="D30" s="70">
        <v>100</v>
      </c>
      <c r="E30" s="73">
        <v>100</v>
      </c>
      <c r="F30" s="71">
        <v>3.5000000000000001E-3</v>
      </c>
      <c r="G30" s="71">
        <v>5.0000000000000001E-3</v>
      </c>
      <c r="H30" s="71">
        <v>2.6499999999999999E-2</v>
      </c>
      <c r="I30" s="71">
        <v>5.0000000000000001E-3</v>
      </c>
      <c r="J30" s="71">
        <v>3.5000000000000001E-3</v>
      </c>
      <c r="K30" s="71">
        <v>5.0000000000000001E-3</v>
      </c>
      <c r="L30" s="71">
        <v>0</v>
      </c>
      <c r="M30" s="71">
        <v>0</v>
      </c>
      <c r="N30" s="72">
        <v>500000</v>
      </c>
      <c r="O30" s="72">
        <v>100000</v>
      </c>
      <c r="P30" s="72">
        <v>50</v>
      </c>
      <c r="Q30" s="72">
        <v>10</v>
      </c>
      <c r="R30" s="82">
        <f t="shared" si="0"/>
        <v>0.04</v>
      </c>
    </row>
    <row r="31" spans="1:21" ht="15.6" customHeight="1">
      <c r="A31" s="89">
        <v>21</v>
      </c>
      <c r="B31" s="76" t="s">
        <v>46</v>
      </c>
      <c r="C31" s="76">
        <v>2E-3</v>
      </c>
      <c r="D31" s="70">
        <v>100</v>
      </c>
      <c r="E31" s="73">
        <v>250</v>
      </c>
      <c r="F31" s="71">
        <v>3.5000000000000001E-3</v>
      </c>
      <c r="G31" s="71">
        <v>5.0000000000000001E-3</v>
      </c>
      <c r="H31" s="71">
        <v>9.9999999999999985E-3</v>
      </c>
      <c r="I31" s="71">
        <v>2.1499999999999998E-2</v>
      </c>
      <c r="J31" s="71">
        <v>3.5000000000000001E-3</v>
      </c>
      <c r="K31" s="71">
        <v>5.0000000000000001E-3</v>
      </c>
      <c r="L31" s="71">
        <v>0</v>
      </c>
      <c r="M31" s="71">
        <v>0</v>
      </c>
      <c r="N31" s="72">
        <v>500000</v>
      </c>
      <c r="O31" s="72">
        <v>100000</v>
      </c>
      <c r="P31" s="72">
        <v>50</v>
      </c>
      <c r="Q31" s="72">
        <v>10</v>
      </c>
      <c r="R31" s="82">
        <f t="shared" si="0"/>
        <v>3.9999999999999994E-2</v>
      </c>
    </row>
    <row r="32" spans="1:21" ht="15.6" customHeight="1">
      <c r="A32" s="89">
        <v>21</v>
      </c>
      <c r="B32" s="76" t="s">
        <v>46</v>
      </c>
      <c r="C32" s="76">
        <v>2E-3</v>
      </c>
      <c r="D32" s="70">
        <v>100</v>
      </c>
      <c r="E32" s="73">
        <v>500</v>
      </c>
      <c r="F32" s="71">
        <v>3.5000000000000001E-3</v>
      </c>
      <c r="G32" s="71">
        <v>5.0000000000000001E-3</v>
      </c>
      <c r="H32" s="71">
        <v>1.2500000000000001E-2</v>
      </c>
      <c r="I32" s="71">
        <v>1E-3</v>
      </c>
      <c r="J32" s="71">
        <v>3.5000000000000001E-3</v>
      </c>
      <c r="K32" s="71">
        <v>5.0000000000000001E-3</v>
      </c>
      <c r="L32" s="71">
        <v>0</v>
      </c>
      <c r="M32" s="71">
        <v>0</v>
      </c>
      <c r="N32" s="72">
        <v>500000</v>
      </c>
      <c r="O32" s="72">
        <v>100000</v>
      </c>
      <c r="P32" s="72">
        <v>50</v>
      </c>
      <c r="Q32" s="72">
        <v>10</v>
      </c>
      <c r="R32" s="82">
        <f t="shared" si="0"/>
        <v>2.2000000000000002E-2</v>
      </c>
    </row>
    <row r="33" spans="1:19">
      <c r="A33" s="90">
        <v>22</v>
      </c>
      <c r="B33" s="77" t="s">
        <v>64</v>
      </c>
      <c r="C33" s="77">
        <v>2E-3</v>
      </c>
      <c r="D33" s="85">
        <v>100</v>
      </c>
      <c r="E33" s="88">
        <v>1</v>
      </c>
      <c r="F33" s="86">
        <v>3.5000000000000001E-3</v>
      </c>
      <c r="G33" s="86">
        <v>5.0000000000000001E-3</v>
      </c>
      <c r="H33" s="86">
        <v>8.0000000000000002E-3</v>
      </c>
      <c r="I33" s="86">
        <v>2.35E-2</v>
      </c>
      <c r="J33" s="86">
        <v>3.5000000000000001E-3</v>
      </c>
      <c r="K33" s="86">
        <v>5.0000000000000001E-3</v>
      </c>
      <c r="L33" s="86">
        <v>0</v>
      </c>
      <c r="M33" s="86">
        <v>0</v>
      </c>
      <c r="N33" s="87">
        <v>500000</v>
      </c>
      <c r="O33" s="87">
        <v>100000</v>
      </c>
      <c r="P33" s="87">
        <v>50</v>
      </c>
      <c r="Q33" s="87">
        <v>10</v>
      </c>
      <c r="R33" s="82">
        <f t="shared" si="0"/>
        <v>0.04</v>
      </c>
    </row>
    <row r="34" spans="1:19">
      <c r="A34" s="90">
        <v>22</v>
      </c>
      <c r="B34" s="77" t="s">
        <v>64</v>
      </c>
      <c r="C34" s="77">
        <v>2E-3</v>
      </c>
      <c r="D34" s="85">
        <v>100</v>
      </c>
      <c r="E34" s="88">
        <v>1.25</v>
      </c>
      <c r="F34" s="86">
        <v>3.5000000000000001E-3</v>
      </c>
      <c r="G34" s="86">
        <v>5.0000000000000001E-3</v>
      </c>
      <c r="H34" s="86">
        <v>8.0000000000000002E-3</v>
      </c>
      <c r="I34" s="86">
        <v>2.35E-2</v>
      </c>
      <c r="J34" s="86">
        <v>3.5000000000000001E-3</v>
      </c>
      <c r="K34" s="86">
        <v>5.0000000000000001E-3</v>
      </c>
      <c r="L34" s="86">
        <v>0</v>
      </c>
      <c r="M34" s="86">
        <v>0</v>
      </c>
      <c r="N34" s="87">
        <v>500000</v>
      </c>
      <c r="O34" s="87">
        <v>100000</v>
      </c>
      <c r="P34" s="87">
        <v>50</v>
      </c>
      <c r="Q34" s="87">
        <v>10</v>
      </c>
      <c r="R34" s="82">
        <f t="shared" si="0"/>
        <v>0.04</v>
      </c>
      <c r="S34" s="60"/>
    </row>
    <row r="35" spans="1:19">
      <c r="A35" s="90">
        <v>22</v>
      </c>
      <c r="B35" s="77" t="s">
        <v>64</v>
      </c>
      <c r="C35" s="77">
        <v>2E-3</v>
      </c>
      <c r="D35" s="85">
        <v>100</v>
      </c>
      <c r="E35" s="88">
        <v>1.5</v>
      </c>
      <c r="F35" s="86">
        <v>3.5000000000000001E-3</v>
      </c>
      <c r="G35" s="86">
        <v>5.0000000000000001E-3</v>
      </c>
      <c r="H35" s="86">
        <v>8.0000000000000002E-3</v>
      </c>
      <c r="I35" s="86">
        <v>2.35E-2</v>
      </c>
      <c r="J35" s="86">
        <v>3.5000000000000001E-3</v>
      </c>
      <c r="K35" s="86">
        <v>5.0000000000000001E-3</v>
      </c>
      <c r="L35" s="86">
        <v>0</v>
      </c>
      <c r="M35" s="86">
        <v>0</v>
      </c>
      <c r="N35" s="87">
        <v>500000</v>
      </c>
      <c r="O35" s="87">
        <v>100000</v>
      </c>
      <c r="P35" s="87">
        <v>50</v>
      </c>
      <c r="Q35" s="87">
        <v>10</v>
      </c>
      <c r="R35" s="82">
        <f t="shared" si="0"/>
        <v>0.04</v>
      </c>
    </row>
    <row r="36" spans="1:19">
      <c r="A36" s="90">
        <v>22</v>
      </c>
      <c r="B36" s="77" t="s">
        <v>64</v>
      </c>
      <c r="C36" s="77">
        <v>2E-3</v>
      </c>
      <c r="D36" s="85">
        <v>100</v>
      </c>
      <c r="E36" s="88">
        <v>8</v>
      </c>
      <c r="F36" s="86">
        <v>3.5000000000000001E-3</v>
      </c>
      <c r="G36" s="86">
        <v>5.0000000000000001E-3</v>
      </c>
      <c r="H36" s="86">
        <v>0.03</v>
      </c>
      <c r="I36" s="86">
        <v>1.5E-3</v>
      </c>
      <c r="J36" s="86">
        <v>3.5000000000000001E-3</v>
      </c>
      <c r="K36" s="86">
        <v>5.0000000000000001E-3</v>
      </c>
      <c r="L36" s="86">
        <v>0</v>
      </c>
      <c r="M36" s="86">
        <v>0</v>
      </c>
      <c r="N36" s="87">
        <v>500000</v>
      </c>
      <c r="O36" s="87">
        <v>100000</v>
      </c>
      <c r="P36" s="87">
        <v>50</v>
      </c>
      <c r="Q36" s="87">
        <v>10</v>
      </c>
      <c r="R36" s="82">
        <f t="shared" si="0"/>
        <v>0.04</v>
      </c>
    </row>
    <row r="37" spans="1:19">
      <c r="A37" s="90">
        <v>22</v>
      </c>
      <c r="B37" s="77" t="s">
        <v>64</v>
      </c>
      <c r="C37" s="77">
        <v>2E-3</v>
      </c>
      <c r="D37" s="85">
        <v>100</v>
      </c>
      <c r="E37" s="88">
        <v>40.5</v>
      </c>
      <c r="F37" s="86">
        <v>3.5000000000000001E-3</v>
      </c>
      <c r="G37" s="86">
        <v>5.0000000000000001E-3</v>
      </c>
      <c r="H37" s="86">
        <v>8.0000000000000002E-3</v>
      </c>
      <c r="I37" s="86">
        <v>2.35E-2</v>
      </c>
      <c r="J37" s="86">
        <v>3.5000000000000001E-3</v>
      </c>
      <c r="K37" s="86">
        <v>5.0000000000000001E-3</v>
      </c>
      <c r="L37" s="86">
        <v>0</v>
      </c>
      <c r="M37" s="86">
        <v>0</v>
      </c>
      <c r="N37" s="87">
        <v>500000</v>
      </c>
      <c r="O37" s="87">
        <v>100000</v>
      </c>
      <c r="P37" s="87">
        <v>50</v>
      </c>
      <c r="Q37" s="87">
        <v>10</v>
      </c>
      <c r="R37" s="82">
        <f t="shared" si="0"/>
        <v>0.04</v>
      </c>
    </row>
    <row r="38" spans="1:19">
      <c r="A38" s="90">
        <v>22</v>
      </c>
      <c r="B38" s="77" t="s">
        <v>64</v>
      </c>
      <c r="C38" s="77">
        <v>2E-3</v>
      </c>
      <c r="D38" s="85">
        <v>100</v>
      </c>
      <c r="E38" s="88">
        <v>50</v>
      </c>
      <c r="F38" s="86">
        <v>3.5000000000000001E-3</v>
      </c>
      <c r="G38" s="86">
        <v>5.0000000000000001E-3</v>
      </c>
      <c r="H38" s="86">
        <v>5.0000000000000001E-3</v>
      </c>
      <c r="I38" s="86">
        <v>2.6499999999999999E-2</v>
      </c>
      <c r="J38" s="86">
        <v>3.5000000000000001E-3</v>
      </c>
      <c r="K38" s="86">
        <v>5.0000000000000001E-3</v>
      </c>
      <c r="L38" s="86">
        <v>0</v>
      </c>
      <c r="M38" s="86">
        <v>0</v>
      </c>
      <c r="N38" s="87">
        <v>500000</v>
      </c>
      <c r="O38" s="87">
        <v>100000</v>
      </c>
      <c r="P38" s="87">
        <v>50</v>
      </c>
      <c r="Q38" s="87">
        <v>10</v>
      </c>
      <c r="R38" s="82">
        <f t="shared" si="0"/>
        <v>0.04</v>
      </c>
    </row>
    <row r="39" spans="1:19">
      <c r="A39" s="90">
        <v>22</v>
      </c>
      <c r="B39" s="77" t="s">
        <v>64</v>
      </c>
      <c r="C39" s="77">
        <v>2E-3</v>
      </c>
      <c r="D39" s="85">
        <v>100</v>
      </c>
      <c r="E39" s="88">
        <v>75</v>
      </c>
      <c r="F39" s="86">
        <v>3.5000000000000001E-3</v>
      </c>
      <c r="G39" s="86">
        <v>5.0000000000000001E-3</v>
      </c>
      <c r="H39" s="86">
        <v>5.0000000000000001E-3</v>
      </c>
      <c r="I39" s="86">
        <v>2.6499999999999999E-2</v>
      </c>
      <c r="J39" s="86">
        <v>3.5000000000000001E-3</v>
      </c>
      <c r="K39" s="86">
        <v>5.0000000000000001E-3</v>
      </c>
      <c r="L39" s="86">
        <v>0</v>
      </c>
      <c r="M39" s="86">
        <v>0</v>
      </c>
      <c r="N39" s="87">
        <v>500000</v>
      </c>
      <c r="O39" s="87">
        <v>100000</v>
      </c>
      <c r="P39" s="87">
        <v>75</v>
      </c>
      <c r="Q39" s="87">
        <v>15</v>
      </c>
      <c r="R39" s="82">
        <f t="shared" si="0"/>
        <v>0.04</v>
      </c>
    </row>
    <row r="40" spans="1:19">
      <c r="A40" s="90">
        <v>22</v>
      </c>
      <c r="B40" s="77" t="s">
        <v>64</v>
      </c>
      <c r="C40" s="77">
        <v>2E-3</v>
      </c>
      <c r="D40" s="85">
        <v>100</v>
      </c>
      <c r="E40" s="88">
        <v>100</v>
      </c>
      <c r="F40" s="86">
        <v>3.5000000000000001E-3</v>
      </c>
      <c r="G40" s="86">
        <v>5.0000000000000001E-3</v>
      </c>
      <c r="H40" s="86">
        <v>2.6499999999999999E-2</v>
      </c>
      <c r="I40" s="86">
        <v>5.0000000000000001E-3</v>
      </c>
      <c r="J40" s="86">
        <v>3.5000000000000001E-3</v>
      </c>
      <c r="K40" s="86">
        <v>5.0000000000000001E-3</v>
      </c>
      <c r="L40" s="86">
        <v>0</v>
      </c>
      <c r="M40" s="86">
        <v>0</v>
      </c>
      <c r="N40" s="87">
        <v>500000</v>
      </c>
      <c r="O40" s="87">
        <v>100000</v>
      </c>
      <c r="P40" s="87">
        <v>100</v>
      </c>
      <c r="Q40" s="87">
        <v>20</v>
      </c>
      <c r="R40" s="82">
        <f t="shared" si="0"/>
        <v>0.04</v>
      </c>
    </row>
    <row r="41" spans="1:19">
      <c r="A41" s="90">
        <v>22</v>
      </c>
      <c r="B41" s="77" t="s">
        <v>64</v>
      </c>
      <c r="C41" s="77">
        <v>2E-3</v>
      </c>
      <c r="D41" s="85">
        <v>100</v>
      </c>
      <c r="E41" s="88">
        <v>250</v>
      </c>
      <c r="F41" s="86">
        <v>3.5000000000000001E-3</v>
      </c>
      <c r="G41" s="86">
        <v>5.0000000000000001E-3</v>
      </c>
      <c r="H41" s="86">
        <v>9.9999999999999985E-3</v>
      </c>
      <c r="I41" s="86">
        <v>2.1499999999999998E-2</v>
      </c>
      <c r="J41" s="86">
        <v>3.5000000000000001E-3</v>
      </c>
      <c r="K41" s="86">
        <v>5.0000000000000001E-3</v>
      </c>
      <c r="L41" s="86">
        <v>0</v>
      </c>
      <c r="M41" s="86">
        <v>0</v>
      </c>
      <c r="N41" s="87">
        <v>500000</v>
      </c>
      <c r="O41" s="87">
        <v>100000</v>
      </c>
      <c r="P41" s="87">
        <v>250</v>
      </c>
      <c r="Q41" s="87">
        <v>50</v>
      </c>
      <c r="R41" s="82">
        <f t="shared" si="0"/>
        <v>3.9999999999999994E-2</v>
      </c>
    </row>
    <row r="42" spans="1:19">
      <c r="A42" s="90">
        <v>22</v>
      </c>
      <c r="B42" s="77" t="s">
        <v>64</v>
      </c>
      <c r="C42" s="77">
        <v>2E-3</v>
      </c>
      <c r="D42" s="85">
        <v>100</v>
      </c>
      <c r="E42" s="88">
        <v>500</v>
      </c>
      <c r="F42" s="86">
        <v>3.5000000000000001E-3</v>
      </c>
      <c r="G42" s="86">
        <v>5.0000000000000001E-3</v>
      </c>
      <c r="H42" s="86">
        <v>9.9999999999999985E-3</v>
      </c>
      <c r="I42" s="86">
        <v>2.1499999999999998E-2</v>
      </c>
      <c r="J42" s="86">
        <v>3.5000000000000001E-3</v>
      </c>
      <c r="K42" s="86">
        <v>5.0000000000000001E-3</v>
      </c>
      <c r="L42" s="86">
        <v>0</v>
      </c>
      <c r="M42" s="86">
        <v>0</v>
      </c>
      <c r="N42" s="87">
        <v>500000</v>
      </c>
      <c r="O42" s="87">
        <v>100000</v>
      </c>
      <c r="P42" s="87">
        <v>500</v>
      </c>
      <c r="Q42" s="87">
        <v>100</v>
      </c>
      <c r="R42" s="82">
        <f t="shared" si="0"/>
        <v>3.9999999999999994E-2</v>
      </c>
    </row>
    <row r="43" spans="1:19" ht="15.6" customHeight="1">
      <c r="A43" s="89">
        <v>23</v>
      </c>
      <c r="B43" s="76" t="s">
        <v>46</v>
      </c>
      <c r="C43" s="76">
        <v>2E-3</v>
      </c>
      <c r="D43" s="70">
        <v>100</v>
      </c>
      <c r="E43" s="74">
        <v>1</v>
      </c>
      <c r="F43" s="71">
        <v>3.5000000000000001E-3</v>
      </c>
      <c r="G43" s="71">
        <v>5.0000000000000001E-3</v>
      </c>
      <c r="H43" s="71">
        <v>5.0000000000000001E-3</v>
      </c>
      <c r="I43" s="71">
        <v>2.1499999999999998E-2</v>
      </c>
      <c r="J43" s="71">
        <v>3.5000000000000001E-3</v>
      </c>
      <c r="K43" s="71">
        <v>5.0000000000000001E-3</v>
      </c>
      <c r="L43" s="71">
        <v>0</v>
      </c>
      <c r="M43" s="71">
        <v>0</v>
      </c>
      <c r="N43" s="72">
        <v>500000</v>
      </c>
      <c r="O43" s="72">
        <v>100000</v>
      </c>
      <c r="P43" s="72">
        <v>50</v>
      </c>
      <c r="Q43" s="72">
        <v>10</v>
      </c>
      <c r="R43" s="82">
        <f t="shared" si="0"/>
        <v>3.5000000000000003E-2</v>
      </c>
    </row>
    <row r="44" spans="1:19" ht="15.6" customHeight="1">
      <c r="A44" s="89">
        <v>23</v>
      </c>
      <c r="B44" s="76" t="s">
        <v>46</v>
      </c>
      <c r="C44" s="76">
        <v>2E-3</v>
      </c>
      <c r="D44" s="70">
        <v>100</v>
      </c>
      <c r="E44" s="74">
        <v>1.25</v>
      </c>
      <c r="F44" s="71">
        <v>3.5000000000000001E-3</v>
      </c>
      <c r="G44" s="71">
        <v>5.0000000000000001E-3</v>
      </c>
      <c r="H44" s="71">
        <v>5.0000000000000001E-3</v>
      </c>
      <c r="I44" s="71">
        <v>2.1499999999999998E-2</v>
      </c>
      <c r="J44" s="71">
        <v>3.5000000000000001E-3</v>
      </c>
      <c r="K44" s="71">
        <v>5.0000000000000001E-3</v>
      </c>
      <c r="L44" s="71">
        <v>0</v>
      </c>
      <c r="M44" s="71">
        <v>0</v>
      </c>
      <c r="N44" s="72">
        <v>500000</v>
      </c>
      <c r="O44" s="72">
        <v>100000</v>
      </c>
      <c r="P44" s="72">
        <v>50</v>
      </c>
      <c r="Q44" s="72">
        <v>10</v>
      </c>
      <c r="R44" s="82">
        <f t="shared" si="0"/>
        <v>3.5000000000000003E-2</v>
      </c>
    </row>
    <row r="45" spans="1:19" ht="15.6" customHeight="1">
      <c r="A45" s="89">
        <v>23</v>
      </c>
      <c r="B45" s="76" t="s">
        <v>46</v>
      </c>
      <c r="C45" s="76">
        <v>2E-3</v>
      </c>
      <c r="D45" s="70">
        <v>100</v>
      </c>
      <c r="E45" s="74">
        <v>1.5</v>
      </c>
      <c r="F45" s="71">
        <v>3.5000000000000001E-3</v>
      </c>
      <c r="G45" s="71">
        <v>5.0000000000000001E-3</v>
      </c>
      <c r="H45" s="71">
        <v>5.0000000000000001E-3</v>
      </c>
      <c r="I45" s="71">
        <v>2.1499999999999998E-2</v>
      </c>
      <c r="J45" s="71">
        <v>3.5000000000000001E-3</v>
      </c>
      <c r="K45" s="71">
        <v>5.0000000000000001E-3</v>
      </c>
      <c r="L45" s="71">
        <v>0</v>
      </c>
      <c r="M45" s="71">
        <v>0</v>
      </c>
      <c r="N45" s="72">
        <v>500000</v>
      </c>
      <c r="O45" s="72">
        <v>100000</v>
      </c>
      <c r="P45" s="72">
        <v>50</v>
      </c>
      <c r="Q45" s="72">
        <v>10</v>
      </c>
      <c r="R45" s="82">
        <f t="shared" si="0"/>
        <v>3.5000000000000003E-2</v>
      </c>
    </row>
    <row r="46" spans="1:19" ht="15.6" customHeight="1">
      <c r="A46" s="89">
        <v>23</v>
      </c>
      <c r="B46" s="76" t="s">
        <v>46</v>
      </c>
      <c r="C46" s="76">
        <v>2E-3</v>
      </c>
      <c r="D46" s="70">
        <v>100</v>
      </c>
      <c r="E46" s="74">
        <v>8</v>
      </c>
      <c r="F46" s="71">
        <v>3.5000000000000001E-3</v>
      </c>
      <c r="G46" s="71">
        <v>5.0000000000000001E-3</v>
      </c>
      <c r="H46" s="71">
        <v>2.5000000000000001E-2</v>
      </c>
      <c r="I46" s="71">
        <v>1.5E-3</v>
      </c>
      <c r="J46" s="71">
        <v>3.5000000000000001E-3</v>
      </c>
      <c r="K46" s="71">
        <v>5.0000000000000001E-3</v>
      </c>
      <c r="L46" s="71">
        <v>0</v>
      </c>
      <c r="M46" s="71">
        <v>0</v>
      </c>
      <c r="N46" s="72">
        <v>500000</v>
      </c>
      <c r="O46" s="72">
        <v>100000</v>
      </c>
      <c r="P46" s="72">
        <v>50</v>
      </c>
      <c r="Q46" s="72">
        <v>10</v>
      </c>
      <c r="R46" s="82">
        <f t="shared" si="0"/>
        <v>3.5000000000000003E-2</v>
      </c>
    </row>
    <row r="47" spans="1:19" ht="15.6" customHeight="1">
      <c r="A47" s="89">
        <v>23</v>
      </c>
      <c r="B47" s="76" t="s">
        <v>46</v>
      </c>
      <c r="C47" s="76">
        <v>2E-3</v>
      </c>
      <c r="D47" s="70">
        <v>100</v>
      </c>
      <c r="E47" s="74">
        <v>40.5</v>
      </c>
      <c r="F47" s="71">
        <v>3.5000000000000001E-3</v>
      </c>
      <c r="G47" s="71">
        <v>5.0000000000000001E-3</v>
      </c>
      <c r="H47" s="71">
        <v>8.0000000000000002E-3</v>
      </c>
      <c r="I47" s="71">
        <v>1.8499999999999999E-2</v>
      </c>
      <c r="J47" s="71">
        <v>3.5000000000000001E-3</v>
      </c>
      <c r="K47" s="71">
        <v>5.0000000000000001E-3</v>
      </c>
      <c r="L47" s="71">
        <v>0</v>
      </c>
      <c r="M47" s="71">
        <v>0</v>
      </c>
      <c r="N47" s="72">
        <v>500000</v>
      </c>
      <c r="O47" s="72">
        <v>100000</v>
      </c>
      <c r="P47" s="72">
        <v>50</v>
      </c>
      <c r="Q47" s="72">
        <v>10</v>
      </c>
      <c r="R47" s="82">
        <f t="shared" si="0"/>
        <v>3.5000000000000003E-2</v>
      </c>
    </row>
    <row r="48" spans="1:19" ht="15.6" customHeight="1">
      <c r="A48" s="89">
        <v>23</v>
      </c>
      <c r="B48" s="76" t="s">
        <v>46</v>
      </c>
      <c r="C48" s="76">
        <v>2E-3</v>
      </c>
      <c r="D48" s="70">
        <v>100</v>
      </c>
      <c r="E48" s="74">
        <v>50</v>
      </c>
      <c r="F48" s="71">
        <v>3.5000000000000001E-3</v>
      </c>
      <c r="G48" s="71">
        <v>5.0000000000000001E-3</v>
      </c>
      <c r="H48" s="71">
        <v>5.0000000000000001E-3</v>
      </c>
      <c r="I48" s="71">
        <v>2.1499999999999998E-2</v>
      </c>
      <c r="J48" s="71">
        <v>3.5000000000000001E-3</v>
      </c>
      <c r="K48" s="71">
        <v>5.0000000000000001E-3</v>
      </c>
      <c r="L48" s="71">
        <v>0</v>
      </c>
      <c r="M48" s="71">
        <v>0</v>
      </c>
      <c r="N48" s="72">
        <v>500000</v>
      </c>
      <c r="O48" s="72">
        <v>100000</v>
      </c>
      <c r="P48" s="72">
        <v>50</v>
      </c>
      <c r="Q48" s="72">
        <v>10</v>
      </c>
      <c r="R48" s="82">
        <f t="shared" si="0"/>
        <v>3.5000000000000003E-2</v>
      </c>
    </row>
    <row r="49" spans="1:18" ht="15.6" customHeight="1">
      <c r="A49" s="89">
        <v>23</v>
      </c>
      <c r="B49" s="76" t="s">
        <v>46</v>
      </c>
      <c r="C49" s="76">
        <v>2E-3</v>
      </c>
      <c r="D49" s="70">
        <v>100</v>
      </c>
      <c r="E49" s="74">
        <v>75</v>
      </c>
      <c r="F49" s="71">
        <v>3.5000000000000001E-3</v>
      </c>
      <c r="G49" s="71">
        <v>5.0000000000000001E-3</v>
      </c>
      <c r="H49" s="71">
        <v>5.0000000000000001E-3</v>
      </c>
      <c r="I49" s="71">
        <v>2.1499999999999998E-2</v>
      </c>
      <c r="J49" s="71">
        <v>3.5000000000000001E-3</v>
      </c>
      <c r="K49" s="71">
        <v>5.0000000000000001E-3</v>
      </c>
      <c r="L49" s="71">
        <v>0</v>
      </c>
      <c r="M49" s="71">
        <v>0</v>
      </c>
      <c r="N49" s="72">
        <v>500000</v>
      </c>
      <c r="O49" s="72">
        <v>100000</v>
      </c>
      <c r="P49" s="72">
        <v>75</v>
      </c>
      <c r="Q49" s="72">
        <v>15</v>
      </c>
      <c r="R49" s="82">
        <f t="shared" si="0"/>
        <v>3.5000000000000003E-2</v>
      </c>
    </row>
    <row r="50" spans="1:18" ht="15.6" customHeight="1">
      <c r="A50" s="89">
        <v>23</v>
      </c>
      <c r="B50" s="76" t="s">
        <v>46</v>
      </c>
      <c r="C50" s="76">
        <v>2E-3</v>
      </c>
      <c r="D50" s="70">
        <v>100</v>
      </c>
      <c r="E50" s="74">
        <v>100</v>
      </c>
      <c r="F50" s="71">
        <v>3.5000000000000001E-3</v>
      </c>
      <c r="G50" s="71">
        <v>5.0000000000000001E-3</v>
      </c>
      <c r="H50" s="71">
        <v>2.1499999999999998E-2</v>
      </c>
      <c r="I50" s="71">
        <v>5.0000000000000001E-3</v>
      </c>
      <c r="J50" s="71">
        <v>3.5000000000000001E-3</v>
      </c>
      <c r="K50" s="71">
        <v>5.0000000000000001E-3</v>
      </c>
      <c r="L50" s="71">
        <v>0</v>
      </c>
      <c r="M50" s="71">
        <v>0</v>
      </c>
      <c r="N50" s="72">
        <v>500000</v>
      </c>
      <c r="O50" s="72">
        <v>100000</v>
      </c>
      <c r="P50" s="72">
        <v>100</v>
      </c>
      <c r="Q50" s="72">
        <v>20</v>
      </c>
      <c r="R50" s="82">
        <f t="shared" si="0"/>
        <v>3.4999999999999996E-2</v>
      </c>
    </row>
    <row r="51" spans="1:18" ht="15.6" customHeight="1">
      <c r="A51" s="89">
        <v>23</v>
      </c>
      <c r="B51" s="76" t="s">
        <v>46</v>
      </c>
      <c r="C51" s="76">
        <v>2E-3</v>
      </c>
      <c r="D51" s="70">
        <v>100</v>
      </c>
      <c r="E51" s="74">
        <v>250</v>
      </c>
      <c r="F51" s="71">
        <v>3.5000000000000001E-3</v>
      </c>
      <c r="G51" s="71">
        <v>5.0000000000000001E-3</v>
      </c>
      <c r="H51" s="71">
        <v>7.4999999999999997E-3</v>
      </c>
      <c r="I51" s="71">
        <v>1.9E-2</v>
      </c>
      <c r="J51" s="71">
        <v>3.5000000000000001E-3</v>
      </c>
      <c r="K51" s="71">
        <v>5.0000000000000001E-3</v>
      </c>
      <c r="L51" s="71">
        <v>0</v>
      </c>
      <c r="M51" s="71">
        <v>0</v>
      </c>
      <c r="N51" s="72">
        <v>500000</v>
      </c>
      <c r="O51" s="72">
        <v>100000</v>
      </c>
      <c r="P51" s="72">
        <v>250</v>
      </c>
      <c r="Q51" s="72">
        <v>50</v>
      </c>
      <c r="R51" s="82">
        <f t="shared" si="0"/>
        <v>3.5000000000000003E-2</v>
      </c>
    </row>
    <row r="52" spans="1:18" ht="15.6" customHeight="1">
      <c r="A52" s="89">
        <v>23</v>
      </c>
      <c r="B52" s="76" t="s">
        <v>46</v>
      </c>
      <c r="C52" s="76">
        <v>2E-3</v>
      </c>
      <c r="D52" s="70">
        <v>100</v>
      </c>
      <c r="E52" s="74">
        <v>500</v>
      </c>
      <c r="F52" s="71">
        <v>3.5000000000000001E-3</v>
      </c>
      <c r="G52" s="71">
        <v>5.0000000000000001E-3</v>
      </c>
      <c r="H52" s="71">
        <v>7.4999999999999997E-3</v>
      </c>
      <c r="I52" s="71">
        <v>1.9E-2</v>
      </c>
      <c r="J52" s="71">
        <v>3.5000000000000001E-3</v>
      </c>
      <c r="K52" s="71">
        <v>5.0000000000000001E-3</v>
      </c>
      <c r="L52" s="71">
        <v>0</v>
      </c>
      <c r="M52" s="71">
        <v>0</v>
      </c>
      <c r="N52" s="72">
        <v>500000</v>
      </c>
      <c r="O52" s="72">
        <v>100000</v>
      </c>
      <c r="P52" s="72">
        <v>500</v>
      </c>
      <c r="Q52" s="72">
        <v>100</v>
      </c>
      <c r="R52" s="82">
        <f t="shared" si="0"/>
        <v>3.5000000000000003E-2</v>
      </c>
    </row>
    <row r="53" spans="1:18" ht="15.6" customHeight="1">
      <c r="A53" s="89">
        <v>24</v>
      </c>
      <c r="B53" s="76" t="s">
        <v>59</v>
      </c>
      <c r="C53" s="76">
        <v>2E-3</v>
      </c>
      <c r="D53" s="70">
        <v>100</v>
      </c>
      <c r="E53" s="73">
        <v>1</v>
      </c>
      <c r="F53" s="71">
        <v>3.5000000000000001E-3</v>
      </c>
      <c r="G53" s="71">
        <v>5.0000000000000001E-3</v>
      </c>
      <c r="H53" s="71">
        <v>8.0000000000000002E-3</v>
      </c>
      <c r="I53" s="71">
        <v>2.35E-2</v>
      </c>
      <c r="J53" s="71">
        <v>3.5000000000000001E-3</v>
      </c>
      <c r="K53" s="71">
        <v>5.0000000000000001E-3</v>
      </c>
      <c r="L53" s="71">
        <v>0</v>
      </c>
      <c r="M53" s="71">
        <v>0</v>
      </c>
      <c r="N53" s="72">
        <v>200000</v>
      </c>
      <c r="O53" s="72">
        <v>100000</v>
      </c>
      <c r="P53" s="72">
        <v>50</v>
      </c>
      <c r="Q53" s="72">
        <v>10</v>
      </c>
      <c r="R53" s="82">
        <f t="shared" si="0"/>
        <v>0.04</v>
      </c>
    </row>
    <row r="54" spans="1:18" ht="15.6" customHeight="1">
      <c r="A54" s="89">
        <v>24</v>
      </c>
      <c r="B54" s="76" t="s">
        <v>59</v>
      </c>
      <c r="C54" s="76">
        <v>2E-3</v>
      </c>
      <c r="D54" s="70">
        <v>100</v>
      </c>
      <c r="E54" s="73">
        <v>1.25</v>
      </c>
      <c r="F54" s="71">
        <v>3.5000000000000001E-3</v>
      </c>
      <c r="G54" s="71">
        <v>5.0000000000000001E-3</v>
      </c>
      <c r="H54" s="71">
        <v>8.0000000000000002E-3</v>
      </c>
      <c r="I54" s="71">
        <v>2.35E-2</v>
      </c>
      <c r="J54" s="71">
        <v>3.5000000000000001E-3</v>
      </c>
      <c r="K54" s="71">
        <v>5.0000000000000001E-3</v>
      </c>
      <c r="L54" s="71">
        <v>0</v>
      </c>
      <c r="M54" s="71">
        <v>0</v>
      </c>
      <c r="N54" s="72">
        <v>200000</v>
      </c>
      <c r="O54" s="72">
        <v>100000</v>
      </c>
      <c r="P54" s="72">
        <v>50</v>
      </c>
      <c r="Q54" s="72">
        <v>10</v>
      </c>
      <c r="R54" s="82">
        <f t="shared" si="0"/>
        <v>0.04</v>
      </c>
    </row>
    <row r="55" spans="1:18" ht="15.6" customHeight="1">
      <c r="A55" s="89">
        <v>24</v>
      </c>
      <c r="B55" s="76" t="s">
        <v>59</v>
      </c>
      <c r="C55" s="76">
        <v>2E-3</v>
      </c>
      <c r="D55" s="70">
        <v>100</v>
      </c>
      <c r="E55" s="73">
        <v>1.5</v>
      </c>
      <c r="F55" s="71">
        <v>3.5000000000000001E-3</v>
      </c>
      <c r="G55" s="71">
        <v>5.0000000000000001E-3</v>
      </c>
      <c r="H55" s="71">
        <v>8.0000000000000002E-3</v>
      </c>
      <c r="I55" s="71">
        <v>2.35E-2</v>
      </c>
      <c r="J55" s="71">
        <v>3.5000000000000001E-3</v>
      </c>
      <c r="K55" s="71">
        <v>5.0000000000000001E-3</v>
      </c>
      <c r="L55" s="71">
        <v>0</v>
      </c>
      <c r="M55" s="71">
        <v>0</v>
      </c>
      <c r="N55" s="72">
        <v>200000</v>
      </c>
      <c r="O55" s="72">
        <v>100000</v>
      </c>
      <c r="P55" s="72">
        <v>50</v>
      </c>
      <c r="Q55" s="72">
        <v>10</v>
      </c>
      <c r="R55" s="82">
        <f t="shared" si="0"/>
        <v>0.04</v>
      </c>
    </row>
    <row r="56" spans="1:18" ht="15.6" customHeight="1">
      <c r="A56" s="89">
        <v>24</v>
      </c>
      <c r="B56" s="76" t="s">
        <v>59</v>
      </c>
      <c r="C56" s="76">
        <v>2E-3</v>
      </c>
      <c r="D56" s="70">
        <v>100</v>
      </c>
      <c r="E56" s="73">
        <v>8</v>
      </c>
      <c r="F56" s="71">
        <v>3.5000000000000001E-3</v>
      </c>
      <c r="G56" s="71">
        <v>5.0000000000000001E-3</v>
      </c>
      <c r="H56" s="71">
        <v>0.03</v>
      </c>
      <c r="I56" s="71">
        <v>1.5E-3</v>
      </c>
      <c r="J56" s="71">
        <v>3.5000000000000001E-3</v>
      </c>
      <c r="K56" s="71">
        <v>5.0000000000000001E-3</v>
      </c>
      <c r="L56" s="71">
        <v>0</v>
      </c>
      <c r="M56" s="71">
        <v>0</v>
      </c>
      <c r="N56" s="72">
        <v>200000</v>
      </c>
      <c r="O56" s="72">
        <v>100000</v>
      </c>
      <c r="P56" s="72">
        <v>50</v>
      </c>
      <c r="Q56" s="72">
        <v>10</v>
      </c>
      <c r="R56" s="82">
        <f t="shared" si="0"/>
        <v>0.04</v>
      </c>
    </row>
    <row r="57" spans="1:18" ht="15.6" customHeight="1">
      <c r="A57" s="89">
        <v>24</v>
      </c>
      <c r="B57" s="76" t="s">
        <v>59</v>
      </c>
      <c r="C57" s="76">
        <v>2E-3</v>
      </c>
      <c r="D57" s="70">
        <v>100</v>
      </c>
      <c r="E57" s="73">
        <v>40.5</v>
      </c>
      <c r="F57" s="71">
        <v>3.5000000000000001E-3</v>
      </c>
      <c r="G57" s="71">
        <v>5.0000000000000001E-3</v>
      </c>
      <c r="H57" s="71">
        <v>8.0000000000000002E-3</v>
      </c>
      <c r="I57" s="71">
        <v>2.35E-2</v>
      </c>
      <c r="J57" s="71">
        <v>3.5000000000000001E-3</v>
      </c>
      <c r="K57" s="71">
        <v>5.0000000000000001E-3</v>
      </c>
      <c r="L57" s="71">
        <v>0</v>
      </c>
      <c r="M57" s="71">
        <v>0</v>
      </c>
      <c r="N57" s="72">
        <v>200000</v>
      </c>
      <c r="O57" s="72">
        <v>100000</v>
      </c>
      <c r="P57" s="72">
        <v>50</v>
      </c>
      <c r="Q57" s="72">
        <v>10</v>
      </c>
      <c r="R57" s="82">
        <f t="shared" si="0"/>
        <v>0.04</v>
      </c>
    </row>
    <row r="58" spans="1:18" ht="15.6" customHeight="1">
      <c r="A58" s="89">
        <v>24</v>
      </c>
      <c r="B58" s="76" t="s">
        <v>59</v>
      </c>
      <c r="C58" s="76">
        <v>2E-3</v>
      </c>
      <c r="D58" s="70">
        <v>100</v>
      </c>
      <c r="E58" s="73">
        <v>50</v>
      </c>
      <c r="F58" s="71">
        <v>3.5000000000000001E-3</v>
      </c>
      <c r="G58" s="71">
        <v>5.0000000000000001E-3</v>
      </c>
      <c r="H58" s="71">
        <v>5.0000000000000001E-3</v>
      </c>
      <c r="I58" s="71">
        <v>2.6499999999999999E-2</v>
      </c>
      <c r="J58" s="71">
        <v>3.5000000000000001E-3</v>
      </c>
      <c r="K58" s="71">
        <v>5.0000000000000001E-3</v>
      </c>
      <c r="L58" s="71">
        <v>0</v>
      </c>
      <c r="M58" s="71">
        <v>0</v>
      </c>
      <c r="N58" s="72">
        <v>200000</v>
      </c>
      <c r="O58" s="72">
        <v>100000</v>
      </c>
      <c r="P58" s="72">
        <v>50</v>
      </c>
      <c r="Q58" s="72">
        <v>10</v>
      </c>
      <c r="R58" s="82">
        <f t="shared" si="0"/>
        <v>0.04</v>
      </c>
    </row>
    <row r="59" spans="1:18" ht="15.6" customHeight="1">
      <c r="A59" s="89">
        <v>24</v>
      </c>
      <c r="B59" s="76" t="s">
        <v>59</v>
      </c>
      <c r="C59" s="76">
        <v>2E-3</v>
      </c>
      <c r="D59" s="70">
        <v>100</v>
      </c>
      <c r="E59" s="73">
        <v>75</v>
      </c>
      <c r="F59" s="71">
        <v>3.5000000000000001E-3</v>
      </c>
      <c r="G59" s="71">
        <v>5.0000000000000001E-3</v>
      </c>
      <c r="H59" s="71">
        <v>5.0000000000000001E-3</v>
      </c>
      <c r="I59" s="71">
        <v>2.6499999999999999E-2</v>
      </c>
      <c r="J59" s="71">
        <v>3.5000000000000001E-3</v>
      </c>
      <c r="K59" s="71">
        <v>5.0000000000000001E-3</v>
      </c>
      <c r="L59" s="71">
        <v>0</v>
      </c>
      <c r="M59" s="71">
        <v>0</v>
      </c>
      <c r="N59" s="72">
        <v>200000</v>
      </c>
      <c r="O59" s="72">
        <v>100000</v>
      </c>
      <c r="P59" s="72">
        <v>75</v>
      </c>
      <c r="Q59" s="72">
        <v>15</v>
      </c>
      <c r="R59" s="82">
        <f t="shared" si="0"/>
        <v>0.04</v>
      </c>
    </row>
    <row r="60" spans="1:18" ht="15.6" customHeight="1">
      <c r="A60" s="89">
        <v>24</v>
      </c>
      <c r="B60" s="76" t="s">
        <v>59</v>
      </c>
      <c r="C60" s="76">
        <v>2E-3</v>
      </c>
      <c r="D60" s="70">
        <v>100</v>
      </c>
      <c r="E60" s="73">
        <v>100</v>
      </c>
      <c r="F60" s="71">
        <v>3.5000000000000001E-3</v>
      </c>
      <c r="G60" s="71">
        <v>5.0000000000000001E-3</v>
      </c>
      <c r="H60" s="71">
        <v>2.6499999999999999E-2</v>
      </c>
      <c r="I60" s="71">
        <v>5.0000000000000001E-3</v>
      </c>
      <c r="J60" s="71">
        <v>3.5000000000000001E-3</v>
      </c>
      <c r="K60" s="71">
        <v>5.0000000000000001E-3</v>
      </c>
      <c r="L60" s="71">
        <v>0</v>
      </c>
      <c r="M60" s="71">
        <v>0</v>
      </c>
      <c r="N60" s="72">
        <v>200000</v>
      </c>
      <c r="O60" s="72">
        <v>100000</v>
      </c>
      <c r="P60" s="72">
        <v>100</v>
      </c>
      <c r="Q60" s="72">
        <v>20</v>
      </c>
      <c r="R60" s="82">
        <f t="shared" si="0"/>
        <v>0.04</v>
      </c>
    </row>
    <row r="61" spans="1:18" ht="15.6" customHeight="1">
      <c r="A61" s="89">
        <v>24</v>
      </c>
      <c r="B61" s="76" t="s">
        <v>59</v>
      </c>
      <c r="C61" s="76">
        <v>2E-3</v>
      </c>
      <c r="D61" s="70">
        <v>100</v>
      </c>
      <c r="E61" s="73">
        <v>250</v>
      </c>
      <c r="F61" s="71">
        <v>3.5000000000000001E-3</v>
      </c>
      <c r="G61" s="71">
        <v>5.0000000000000001E-3</v>
      </c>
      <c r="H61" s="71">
        <v>9.9999999999999985E-3</v>
      </c>
      <c r="I61" s="71">
        <v>2.1499999999999998E-2</v>
      </c>
      <c r="J61" s="71">
        <v>3.5000000000000001E-3</v>
      </c>
      <c r="K61" s="71">
        <v>5.0000000000000001E-3</v>
      </c>
      <c r="L61" s="71">
        <v>0</v>
      </c>
      <c r="M61" s="71">
        <v>0</v>
      </c>
      <c r="N61" s="72">
        <v>200000</v>
      </c>
      <c r="O61" s="72">
        <v>100000</v>
      </c>
      <c r="P61" s="72">
        <v>250</v>
      </c>
      <c r="Q61" s="72">
        <v>50</v>
      </c>
      <c r="R61" s="82">
        <f t="shared" si="0"/>
        <v>3.9999999999999994E-2</v>
      </c>
    </row>
    <row r="62" spans="1:18" ht="15.6" customHeight="1">
      <c r="A62" s="89">
        <v>24</v>
      </c>
      <c r="B62" s="76" t="s">
        <v>59</v>
      </c>
      <c r="C62" s="76">
        <v>2E-3</v>
      </c>
      <c r="D62" s="70">
        <v>100</v>
      </c>
      <c r="E62" s="73">
        <v>500</v>
      </c>
      <c r="F62" s="71">
        <v>3.5000000000000001E-3</v>
      </c>
      <c r="G62" s="71">
        <v>5.0000000000000001E-3</v>
      </c>
      <c r="H62" s="71">
        <v>9.9999999999999985E-3</v>
      </c>
      <c r="I62" s="71">
        <v>2.1499999999999998E-2</v>
      </c>
      <c r="J62" s="71">
        <v>3.5000000000000001E-3</v>
      </c>
      <c r="K62" s="71">
        <v>5.0000000000000001E-3</v>
      </c>
      <c r="L62" s="71">
        <v>0</v>
      </c>
      <c r="M62" s="71">
        <v>0</v>
      </c>
      <c r="N62" s="72">
        <v>200000</v>
      </c>
      <c r="O62" s="72">
        <v>100000</v>
      </c>
      <c r="P62" s="72">
        <v>500</v>
      </c>
      <c r="Q62" s="72">
        <v>100</v>
      </c>
      <c r="R62" s="82">
        <f t="shared" si="0"/>
        <v>3.9999999999999994E-2</v>
      </c>
    </row>
    <row r="63" spans="1:18">
      <c r="A63" s="90">
        <v>25</v>
      </c>
      <c r="B63" s="77" t="s">
        <v>46</v>
      </c>
      <c r="C63" s="77">
        <v>2E-3</v>
      </c>
      <c r="D63" s="85">
        <v>100</v>
      </c>
      <c r="E63" s="92">
        <v>1</v>
      </c>
      <c r="F63" s="86">
        <v>3.5000000000000001E-3</v>
      </c>
      <c r="G63" s="86">
        <v>5.0000000000000001E-3</v>
      </c>
      <c r="H63" s="86">
        <v>8.0000000000000002E-3</v>
      </c>
      <c r="I63" s="86">
        <v>1.1999999999999999E-2</v>
      </c>
      <c r="J63" s="86">
        <v>3.5000000000000001E-3</v>
      </c>
      <c r="K63" s="86">
        <v>5.0000000000000001E-3</v>
      </c>
      <c r="L63" s="86">
        <v>0</v>
      </c>
      <c r="M63" s="86">
        <v>0</v>
      </c>
      <c r="N63" s="87">
        <v>500000</v>
      </c>
      <c r="O63" s="87">
        <v>100000</v>
      </c>
      <c r="P63" s="87">
        <v>50</v>
      </c>
      <c r="Q63" s="87">
        <v>10</v>
      </c>
      <c r="R63" s="82">
        <f>SUM(F63:I63)</f>
        <v>2.8499999999999998E-2</v>
      </c>
    </row>
    <row r="64" spans="1:18">
      <c r="A64" s="90">
        <v>25</v>
      </c>
      <c r="B64" s="77" t="s">
        <v>46</v>
      </c>
      <c r="C64" s="77">
        <v>2E-3</v>
      </c>
      <c r="D64" s="85">
        <v>100</v>
      </c>
      <c r="E64" s="92">
        <v>1.25</v>
      </c>
      <c r="F64" s="86">
        <v>3.5000000000000001E-3</v>
      </c>
      <c r="G64" s="86">
        <v>5.0000000000000001E-3</v>
      </c>
      <c r="H64" s="86">
        <v>8.0000000000000002E-3</v>
      </c>
      <c r="I64" s="86">
        <v>1.1999999999999999E-2</v>
      </c>
      <c r="J64" s="86">
        <v>3.5000000000000001E-3</v>
      </c>
      <c r="K64" s="86">
        <v>5.0000000000000001E-3</v>
      </c>
      <c r="L64" s="86">
        <v>0</v>
      </c>
      <c r="M64" s="86">
        <v>0</v>
      </c>
      <c r="N64" s="87">
        <v>500000</v>
      </c>
      <c r="O64" s="87">
        <v>100000</v>
      </c>
      <c r="P64" s="87">
        <v>50</v>
      </c>
      <c r="Q64" s="87">
        <v>10</v>
      </c>
      <c r="R64" s="82">
        <f t="shared" ref="R64:R92" si="1">SUM(F64:I64)</f>
        <v>2.8499999999999998E-2</v>
      </c>
    </row>
    <row r="65" spans="1:18">
      <c r="A65" s="90">
        <v>25</v>
      </c>
      <c r="B65" s="77" t="s">
        <v>46</v>
      </c>
      <c r="C65" s="77">
        <v>2E-3</v>
      </c>
      <c r="D65" s="85">
        <v>100</v>
      </c>
      <c r="E65" s="92">
        <v>1.5</v>
      </c>
      <c r="F65" s="86">
        <v>3.5000000000000001E-3</v>
      </c>
      <c r="G65" s="86">
        <v>5.0000000000000001E-3</v>
      </c>
      <c r="H65" s="86">
        <v>8.0000000000000002E-3</v>
      </c>
      <c r="I65" s="86">
        <v>1.1999999999999999E-2</v>
      </c>
      <c r="J65" s="86">
        <v>3.5000000000000001E-3</v>
      </c>
      <c r="K65" s="86">
        <v>5.0000000000000001E-3</v>
      </c>
      <c r="L65" s="86">
        <v>0</v>
      </c>
      <c r="M65" s="86">
        <v>0</v>
      </c>
      <c r="N65" s="87">
        <v>500000</v>
      </c>
      <c r="O65" s="87">
        <v>100000</v>
      </c>
      <c r="P65" s="87">
        <v>50</v>
      </c>
      <c r="Q65" s="87">
        <v>10</v>
      </c>
      <c r="R65" s="82">
        <f t="shared" si="1"/>
        <v>2.8499999999999998E-2</v>
      </c>
    </row>
    <row r="66" spans="1:18">
      <c r="A66" s="90">
        <v>25</v>
      </c>
      <c r="B66" s="77" t="s">
        <v>46</v>
      </c>
      <c r="C66" s="77">
        <v>2E-3</v>
      </c>
      <c r="D66" s="85">
        <v>100</v>
      </c>
      <c r="E66" s="92">
        <v>8</v>
      </c>
      <c r="F66" s="86">
        <v>3.5000000000000001E-3</v>
      </c>
      <c r="G66" s="86">
        <v>5.0000000000000001E-3</v>
      </c>
      <c r="H66" s="86">
        <v>1.9E-2</v>
      </c>
      <c r="I66" s="86">
        <v>1E-3</v>
      </c>
      <c r="J66" s="86">
        <v>3.5000000000000001E-3</v>
      </c>
      <c r="K66" s="86">
        <v>5.0000000000000001E-3</v>
      </c>
      <c r="L66" s="86">
        <v>0</v>
      </c>
      <c r="M66" s="86">
        <v>0</v>
      </c>
      <c r="N66" s="87">
        <v>500000</v>
      </c>
      <c r="O66" s="87">
        <v>100000</v>
      </c>
      <c r="P66" s="87">
        <v>50</v>
      </c>
      <c r="Q66" s="87">
        <v>10</v>
      </c>
      <c r="R66" s="82">
        <f t="shared" si="1"/>
        <v>2.8500000000000001E-2</v>
      </c>
    </row>
    <row r="67" spans="1:18">
      <c r="A67" s="90">
        <v>25</v>
      </c>
      <c r="B67" s="77" t="s">
        <v>46</v>
      </c>
      <c r="C67" s="77">
        <v>2E-3</v>
      </c>
      <c r="D67" s="85">
        <v>100</v>
      </c>
      <c r="E67" s="92">
        <v>40.5</v>
      </c>
      <c r="F67" s="86">
        <v>3.5000000000000001E-3</v>
      </c>
      <c r="G67" s="86">
        <v>5.0000000000000001E-3</v>
      </c>
      <c r="H67" s="86">
        <v>5.0000000000000001E-3</v>
      </c>
      <c r="I67" s="86">
        <v>1.4999999999999999E-2</v>
      </c>
      <c r="J67" s="86">
        <v>3.5000000000000001E-3</v>
      </c>
      <c r="K67" s="86">
        <v>5.0000000000000001E-3</v>
      </c>
      <c r="L67" s="86">
        <v>0</v>
      </c>
      <c r="M67" s="86">
        <v>0</v>
      </c>
      <c r="N67" s="87">
        <v>500000</v>
      </c>
      <c r="O67" s="87">
        <v>100000</v>
      </c>
      <c r="P67" s="87">
        <v>50</v>
      </c>
      <c r="Q67" s="87">
        <v>10</v>
      </c>
      <c r="R67" s="82">
        <f t="shared" si="1"/>
        <v>2.8500000000000001E-2</v>
      </c>
    </row>
    <row r="68" spans="1:18">
      <c r="A68" s="90">
        <v>25</v>
      </c>
      <c r="B68" s="77" t="s">
        <v>46</v>
      </c>
      <c r="C68" s="77">
        <v>2E-3</v>
      </c>
      <c r="D68" s="85">
        <v>100</v>
      </c>
      <c r="E68" s="92">
        <v>50</v>
      </c>
      <c r="F68" s="86">
        <v>3.5000000000000001E-3</v>
      </c>
      <c r="G68" s="86">
        <v>5.0000000000000001E-3</v>
      </c>
      <c r="H68" s="86">
        <v>8.0000000000000002E-3</v>
      </c>
      <c r="I68" s="86">
        <v>1.2E-2</v>
      </c>
      <c r="J68" s="86">
        <v>3.5000000000000001E-3</v>
      </c>
      <c r="K68" s="86">
        <v>5.0000000000000001E-3</v>
      </c>
      <c r="L68" s="86">
        <v>0</v>
      </c>
      <c r="M68" s="86">
        <v>0</v>
      </c>
      <c r="N68" s="87">
        <v>500000</v>
      </c>
      <c r="O68" s="87">
        <v>100000</v>
      </c>
      <c r="P68" s="87">
        <v>50</v>
      </c>
      <c r="Q68" s="87">
        <v>10</v>
      </c>
      <c r="R68" s="82">
        <f t="shared" si="1"/>
        <v>2.8500000000000001E-2</v>
      </c>
    </row>
    <row r="69" spans="1:18">
      <c r="A69" s="90">
        <v>25</v>
      </c>
      <c r="B69" s="77" t="s">
        <v>46</v>
      </c>
      <c r="C69" s="77">
        <v>2E-3</v>
      </c>
      <c r="D69" s="85">
        <v>100</v>
      </c>
      <c r="E69" s="92">
        <v>75</v>
      </c>
      <c r="F69" s="86">
        <v>3.5000000000000001E-3</v>
      </c>
      <c r="G69" s="86">
        <v>5.0000000000000001E-3</v>
      </c>
      <c r="H69" s="86">
        <v>8.0000000000000002E-3</v>
      </c>
      <c r="I69" s="86">
        <v>1.2E-2</v>
      </c>
      <c r="J69" s="86">
        <v>3.5000000000000001E-3</v>
      </c>
      <c r="K69" s="86">
        <v>5.0000000000000001E-3</v>
      </c>
      <c r="L69" s="86">
        <v>0</v>
      </c>
      <c r="M69" s="86">
        <v>0</v>
      </c>
      <c r="N69" s="87">
        <v>500000</v>
      </c>
      <c r="O69" s="87">
        <v>100000</v>
      </c>
      <c r="P69" s="87">
        <v>75</v>
      </c>
      <c r="Q69" s="87">
        <v>15</v>
      </c>
      <c r="R69" s="82">
        <f t="shared" si="1"/>
        <v>2.8500000000000001E-2</v>
      </c>
    </row>
    <row r="70" spans="1:18">
      <c r="A70" s="90">
        <v>25</v>
      </c>
      <c r="B70" s="77" t="s">
        <v>46</v>
      </c>
      <c r="C70" s="77">
        <v>2E-3</v>
      </c>
      <c r="D70" s="85">
        <v>100</v>
      </c>
      <c r="E70" s="92">
        <v>100</v>
      </c>
      <c r="F70" s="86">
        <v>3.5000000000000001E-3</v>
      </c>
      <c r="G70" s="86">
        <v>5.0000000000000001E-3</v>
      </c>
      <c r="H70" s="86">
        <v>0.01</v>
      </c>
      <c r="I70" s="86">
        <v>0.01</v>
      </c>
      <c r="J70" s="86">
        <v>3.5000000000000001E-3</v>
      </c>
      <c r="K70" s="86">
        <v>5.0000000000000001E-3</v>
      </c>
      <c r="L70" s="86">
        <v>0</v>
      </c>
      <c r="M70" s="86">
        <v>0</v>
      </c>
      <c r="N70" s="87">
        <v>500000</v>
      </c>
      <c r="O70" s="87">
        <v>100000</v>
      </c>
      <c r="P70" s="87">
        <v>100</v>
      </c>
      <c r="Q70" s="87">
        <v>20</v>
      </c>
      <c r="R70" s="82">
        <f t="shared" si="1"/>
        <v>2.8500000000000004E-2</v>
      </c>
    </row>
    <row r="71" spans="1:18">
      <c r="A71" s="90">
        <v>25</v>
      </c>
      <c r="B71" s="77" t="s">
        <v>46</v>
      </c>
      <c r="C71" s="77">
        <v>2E-3</v>
      </c>
      <c r="D71" s="85">
        <v>100</v>
      </c>
      <c r="E71" s="92">
        <v>250</v>
      </c>
      <c r="F71" s="86">
        <v>3.5000000000000001E-3</v>
      </c>
      <c r="G71" s="86">
        <v>5.0000000000000001E-3</v>
      </c>
      <c r="H71" s="86">
        <v>0.01</v>
      </c>
      <c r="I71" s="86">
        <v>0.01</v>
      </c>
      <c r="J71" s="86">
        <v>3.5000000000000001E-3</v>
      </c>
      <c r="K71" s="86">
        <v>5.0000000000000001E-3</v>
      </c>
      <c r="L71" s="86">
        <v>0</v>
      </c>
      <c r="M71" s="86">
        <v>0</v>
      </c>
      <c r="N71" s="87">
        <v>500000</v>
      </c>
      <c r="O71" s="87">
        <v>100000</v>
      </c>
      <c r="P71" s="87">
        <v>250</v>
      </c>
      <c r="Q71" s="87">
        <v>50</v>
      </c>
      <c r="R71" s="82">
        <f t="shared" si="1"/>
        <v>2.8500000000000004E-2</v>
      </c>
    </row>
    <row r="72" spans="1:18">
      <c r="A72" s="90">
        <v>25</v>
      </c>
      <c r="B72" s="77" t="s">
        <v>46</v>
      </c>
      <c r="C72" s="77">
        <v>2E-3</v>
      </c>
      <c r="D72" s="85">
        <v>100</v>
      </c>
      <c r="E72" s="92">
        <v>500</v>
      </c>
      <c r="F72" s="86">
        <v>3.5000000000000001E-3</v>
      </c>
      <c r="G72" s="86">
        <v>5.0000000000000001E-3</v>
      </c>
      <c r="H72" s="86">
        <v>0.01</v>
      </c>
      <c r="I72" s="86">
        <v>0.01</v>
      </c>
      <c r="J72" s="86">
        <v>3.5000000000000001E-3</v>
      </c>
      <c r="K72" s="86">
        <v>5.0000000000000001E-3</v>
      </c>
      <c r="L72" s="86">
        <v>0</v>
      </c>
      <c r="M72" s="86">
        <v>0</v>
      </c>
      <c r="N72" s="87">
        <v>500000</v>
      </c>
      <c r="O72" s="87">
        <v>100000</v>
      </c>
      <c r="P72" s="87">
        <v>500</v>
      </c>
      <c r="Q72" s="87">
        <v>100</v>
      </c>
      <c r="R72" s="82">
        <f t="shared" si="1"/>
        <v>2.8500000000000004E-2</v>
      </c>
    </row>
    <row r="73" spans="1:18" s="79" customFormat="1">
      <c r="A73" s="89">
        <v>26</v>
      </c>
      <c r="B73" s="76" t="s">
        <v>65</v>
      </c>
      <c r="C73" s="76">
        <v>2E-3</v>
      </c>
      <c r="D73" s="70">
        <v>100</v>
      </c>
      <c r="E73" s="73">
        <v>1</v>
      </c>
      <c r="F73" s="71">
        <v>3.5000000000000001E-3</v>
      </c>
      <c r="G73" s="71">
        <v>5.0000000000000001E-3</v>
      </c>
      <c r="H73" s="71">
        <v>8.0000000000000002E-3</v>
      </c>
      <c r="I73" s="71">
        <v>2.35E-2</v>
      </c>
      <c r="J73" s="71">
        <v>3.5000000000000001E-3</v>
      </c>
      <c r="K73" s="71">
        <v>5.0000000000000001E-3</v>
      </c>
      <c r="L73" s="71">
        <v>0</v>
      </c>
      <c r="M73" s="71">
        <v>0</v>
      </c>
      <c r="N73" s="72">
        <v>500000</v>
      </c>
      <c r="O73" s="72">
        <v>100000</v>
      </c>
      <c r="P73" s="72">
        <v>50</v>
      </c>
      <c r="Q73" s="72">
        <v>10</v>
      </c>
      <c r="R73" s="82">
        <f t="shared" si="1"/>
        <v>0.04</v>
      </c>
    </row>
    <row r="74" spans="1:18" s="79" customFormat="1">
      <c r="A74" s="89">
        <v>26</v>
      </c>
      <c r="B74" s="76" t="s">
        <v>65</v>
      </c>
      <c r="C74" s="76">
        <v>2E-3</v>
      </c>
      <c r="D74" s="70">
        <v>100</v>
      </c>
      <c r="E74" s="73">
        <v>1.25</v>
      </c>
      <c r="F74" s="71">
        <v>3.5000000000000001E-3</v>
      </c>
      <c r="G74" s="71">
        <v>5.0000000000000001E-3</v>
      </c>
      <c r="H74" s="71">
        <v>8.0000000000000002E-3</v>
      </c>
      <c r="I74" s="71">
        <v>2.35E-2</v>
      </c>
      <c r="J74" s="71">
        <v>3.5000000000000001E-3</v>
      </c>
      <c r="K74" s="71">
        <v>5.0000000000000001E-3</v>
      </c>
      <c r="L74" s="71">
        <v>0</v>
      </c>
      <c r="M74" s="71">
        <v>0</v>
      </c>
      <c r="N74" s="72">
        <v>500000</v>
      </c>
      <c r="O74" s="72">
        <v>100000</v>
      </c>
      <c r="P74" s="72">
        <v>50</v>
      </c>
      <c r="Q74" s="72">
        <v>10</v>
      </c>
      <c r="R74" s="82">
        <f t="shared" si="1"/>
        <v>0.04</v>
      </c>
    </row>
    <row r="75" spans="1:18" s="79" customFormat="1">
      <c r="A75" s="89">
        <v>26</v>
      </c>
      <c r="B75" s="76" t="s">
        <v>65</v>
      </c>
      <c r="C75" s="76">
        <v>2E-3</v>
      </c>
      <c r="D75" s="70">
        <v>100</v>
      </c>
      <c r="E75" s="73">
        <v>1.5</v>
      </c>
      <c r="F75" s="71">
        <v>3.5000000000000001E-3</v>
      </c>
      <c r="G75" s="71">
        <v>5.0000000000000001E-3</v>
      </c>
      <c r="H75" s="71">
        <v>8.0000000000000002E-3</v>
      </c>
      <c r="I75" s="71">
        <v>2.35E-2</v>
      </c>
      <c r="J75" s="71">
        <v>3.5000000000000001E-3</v>
      </c>
      <c r="K75" s="71">
        <v>5.0000000000000001E-3</v>
      </c>
      <c r="L75" s="71">
        <v>0</v>
      </c>
      <c r="M75" s="71">
        <v>0</v>
      </c>
      <c r="N75" s="72">
        <v>500000</v>
      </c>
      <c r="O75" s="72">
        <v>100000</v>
      </c>
      <c r="P75" s="72">
        <v>50</v>
      </c>
      <c r="Q75" s="72">
        <v>10</v>
      </c>
      <c r="R75" s="82">
        <f t="shared" si="1"/>
        <v>0.04</v>
      </c>
    </row>
    <row r="76" spans="1:18" s="79" customFormat="1">
      <c r="A76" s="89">
        <v>26</v>
      </c>
      <c r="B76" s="76" t="s">
        <v>65</v>
      </c>
      <c r="C76" s="76">
        <v>2E-3</v>
      </c>
      <c r="D76" s="70">
        <v>100</v>
      </c>
      <c r="E76" s="73">
        <v>8</v>
      </c>
      <c r="F76" s="71">
        <v>3.5000000000000001E-3</v>
      </c>
      <c r="G76" s="71">
        <v>5.0000000000000001E-3</v>
      </c>
      <c r="H76" s="71">
        <v>0.03</v>
      </c>
      <c r="I76" s="71">
        <v>1.5E-3</v>
      </c>
      <c r="J76" s="71">
        <v>3.5000000000000001E-3</v>
      </c>
      <c r="K76" s="71">
        <v>5.0000000000000001E-3</v>
      </c>
      <c r="L76" s="71">
        <v>0</v>
      </c>
      <c r="M76" s="71">
        <v>0</v>
      </c>
      <c r="N76" s="72">
        <v>500000</v>
      </c>
      <c r="O76" s="72">
        <v>100000</v>
      </c>
      <c r="P76" s="72">
        <v>50</v>
      </c>
      <c r="Q76" s="72">
        <v>10</v>
      </c>
      <c r="R76" s="82">
        <f t="shared" si="1"/>
        <v>0.04</v>
      </c>
    </row>
    <row r="77" spans="1:18" s="79" customFormat="1">
      <c r="A77" s="89">
        <v>26</v>
      </c>
      <c r="B77" s="76" t="s">
        <v>65</v>
      </c>
      <c r="C77" s="76">
        <v>2E-3</v>
      </c>
      <c r="D77" s="70">
        <v>100</v>
      </c>
      <c r="E77" s="73">
        <v>40.5</v>
      </c>
      <c r="F77" s="71">
        <v>3.5000000000000001E-3</v>
      </c>
      <c r="G77" s="71">
        <v>5.0000000000000001E-3</v>
      </c>
      <c r="H77" s="71">
        <v>8.0000000000000002E-3</v>
      </c>
      <c r="I77" s="71">
        <v>2.35E-2</v>
      </c>
      <c r="J77" s="71">
        <v>3.5000000000000001E-3</v>
      </c>
      <c r="K77" s="71">
        <v>5.0000000000000001E-3</v>
      </c>
      <c r="L77" s="71">
        <v>0</v>
      </c>
      <c r="M77" s="71">
        <v>0</v>
      </c>
      <c r="N77" s="72">
        <v>500000</v>
      </c>
      <c r="O77" s="72">
        <v>100000</v>
      </c>
      <c r="P77" s="72">
        <v>50</v>
      </c>
      <c r="Q77" s="72">
        <v>10</v>
      </c>
      <c r="R77" s="82">
        <f t="shared" si="1"/>
        <v>0.04</v>
      </c>
    </row>
    <row r="78" spans="1:18" s="79" customFormat="1">
      <c r="A78" s="89">
        <v>26</v>
      </c>
      <c r="B78" s="76" t="s">
        <v>65</v>
      </c>
      <c r="C78" s="76">
        <v>2E-3</v>
      </c>
      <c r="D78" s="70">
        <v>100</v>
      </c>
      <c r="E78" s="73">
        <v>50</v>
      </c>
      <c r="F78" s="71">
        <v>3.5000000000000001E-3</v>
      </c>
      <c r="G78" s="71">
        <v>5.0000000000000001E-3</v>
      </c>
      <c r="H78" s="71">
        <v>5.0000000000000001E-3</v>
      </c>
      <c r="I78" s="71">
        <v>2.6499999999999999E-2</v>
      </c>
      <c r="J78" s="71">
        <v>3.5000000000000001E-3</v>
      </c>
      <c r="K78" s="71">
        <v>5.0000000000000001E-3</v>
      </c>
      <c r="L78" s="71">
        <v>0</v>
      </c>
      <c r="M78" s="71">
        <v>0</v>
      </c>
      <c r="N78" s="72">
        <v>500000</v>
      </c>
      <c r="O78" s="72">
        <v>100000</v>
      </c>
      <c r="P78" s="72">
        <v>50</v>
      </c>
      <c r="Q78" s="72">
        <v>10</v>
      </c>
      <c r="R78" s="82">
        <f t="shared" si="1"/>
        <v>0.04</v>
      </c>
    </row>
    <row r="79" spans="1:18" s="79" customFormat="1">
      <c r="A79" s="89">
        <v>26</v>
      </c>
      <c r="B79" s="76" t="s">
        <v>65</v>
      </c>
      <c r="C79" s="76">
        <v>2E-3</v>
      </c>
      <c r="D79" s="70">
        <v>100</v>
      </c>
      <c r="E79" s="73">
        <v>75</v>
      </c>
      <c r="F79" s="71">
        <v>3.5000000000000001E-3</v>
      </c>
      <c r="G79" s="71">
        <v>5.0000000000000001E-3</v>
      </c>
      <c r="H79" s="71">
        <v>5.0000000000000001E-3</v>
      </c>
      <c r="I79" s="71">
        <v>2.6499999999999999E-2</v>
      </c>
      <c r="J79" s="71">
        <v>3.5000000000000001E-3</v>
      </c>
      <c r="K79" s="71">
        <v>5.0000000000000001E-3</v>
      </c>
      <c r="L79" s="71">
        <v>0</v>
      </c>
      <c r="M79" s="71">
        <v>0</v>
      </c>
      <c r="N79" s="72">
        <v>500000</v>
      </c>
      <c r="O79" s="72">
        <v>100000</v>
      </c>
      <c r="P79" s="72">
        <v>75</v>
      </c>
      <c r="Q79" s="72">
        <v>15</v>
      </c>
      <c r="R79" s="82">
        <f t="shared" si="1"/>
        <v>0.04</v>
      </c>
    </row>
    <row r="80" spans="1:18" s="79" customFormat="1">
      <c r="A80" s="89">
        <v>26</v>
      </c>
      <c r="B80" s="76" t="s">
        <v>65</v>
      </c>
      <c r="C80" s="76">
        <v>2E-3</v>
      </c>
      <c r="D80" s="70">
        <v>100</v>
      </c>
      <c r="E80" s="73">
        <v>100</v>
      </c>
      <c r="F80" s="71">
        <v>3.5000000000000001E-3</v>
      </c>
      <c r="G80" s="71">
        <v>5.0000000000000001E-3</v>
      </c>
      <c r="H80" s="71">
        <v>2.6499999999999999E-2</v>
      </c>
      <c r="I80" s="71">
        <v>5.0000000000000001E-3</v>
      </c>
      <c r="J80" s="71">
        <v>3.5000000000000001E-3</v>
      </c>
      <c r="K80" s="71">
        <v>5.0000000000000001E-3</v>
      </c>
      <c r="L80" s="71">
        <v>0</v>
      </c>
      <c r="M80" s="71">
        <v>0</v>
      </c>
      <c r="N80" s="72">
        <v>500000</v>
      </c>
      <c r="O80" s="72">
        <v>100000</v>
      </c>
      <c r="P80" s="72">
        <v>100</v>
      </c>
      <c r="Q80" s="72">
        <v>20</v>
      </c>
      <c r="R80" s="82">
        <f t="shared" si="1"/>
        <v>0.04</v>
      </c>
    </row>
    <row r="81" spans="1:18" s="79" customFormat="1">
      <c r="A81" s="89">
        <v>26</v>
      </c>
      <c r="B81" s="76" t="s">
        <v>65</v>
      </c>
      <c r="C81" s="76">
        <v>2E-3</v>
      </c>
      <c r="D81" s="70">
        <v>100</v>
      </c>
      <c r="E81" s="73">
        <v>250</v>
      </c>
      <c r="F81" s="71">
        <v>3.5000000000000001E-3</v>
      </c>
      <c r="G81" s="71">
        <v>5.0000000000000001E-3</v>
      </c>
      <c r="H81" s="71">
        <v>9.9999999999999985E-3</v>
      </c>
      <c r="I81" s="71">
        <v>2.1499999999999998E-2</v>
      </c>
      <c r="J81" s="71">
        <v>3.5000000000000001E-3</v>
      </c>
      <c r="K81" s="71">
        <v>5.0000000000000001E-3</v>
      </c>
      <c r="L81" s="71">
        <v>0</v>
      </c>
      <c r="M81" s="71">
        <v>0</v>
      </c>
      <c r="N81" s="72">
        <v>500000</v>
      </c>
      <c r="O81" s="72">
        <v>100000</v>
      </c>
      <c r="P81" s="72">
        <v>250</v>
      </c>
      <c r="Q81" s="72">
        <v>50</v>
      </c>
      <c r="R81" s="82">
        <f t="shared" si="1"/>
        <v>3.9999999999999994E-2</v>
      </c>
    </row>
    <row r="82" spans="1:18" s="79" customFormat="1">
      <c r="A82" s="89">
        <v>26</v>
      </c>
      <c r="B82" s="76" t="s">
        <v>65</v>
      </c>
      <c r="C82" s="76">
        <v>2E-3</v>
      </c>
      <c r="D82" s="70">
        <v>100</v>
      </c>
      <c r="E82" s="73">
        <v>500</v>
      </c>
      <c r="F82" s="71">
        <v>3.5000000000000001E-3</v>
      </c>
      <c r="G82" s="71">
        <v>5.0000000000000001E-3</v>
      </c>
      <c r="H82" s="71">
        <v>9.9999999999999985E-3</v>
      </c>
      <c r="I82" s="71">
        <v>2.1499999999999998E-2</v>
      </c>
      <c r="J82" s="71">
        <v>3.5000000000000001E-3</v>
      </c>
      <c r="K82" s="71">
        <v>5.0000000000000001E-3</v>
      </c>
      <c r="L82" s="71">
        <v>0</v>
      </c>
      <c r="M82" s="71">
        <v>0</v>
      </c>
      <c r="N82" s="72">
        <v>500000</v>
      </c>
      <c r="O82" s="72">
        <v>100000</v>
      </c>
      <c r="P82" s="72">
        <v>500</v>
      </c>
      <c r="Q82" s="72">
        <v>100</v>
      </c>
      <c r="R82" s="82">
        <f t="shared" si="1"/>
        <v>3.9999999999999994E-2</v>
      </c>
    </row>
    <row r="83" spans="1:18">
      <c r="A83" s="91">
        <v>27</v>
      </c>
      <c r="B83" s="76" t="s">
        <v>46</v>
      </c>
      <c r="C83" s="76">
        <v>2E-3</v>
      </c>
      <c r="D83" s="70">
        <v>100</v>
      </c>
      <c r="E83" s="74">
        <v>1</v>
      </c>
      <c r="F83" s="71">
        <v>3.5000000000000001E-3</v>
      </c>
      <c r="G83" s="71">
        <v>5.0000000000000001E-3</v>
      </c>
      <c r="H83" s="71">
        <v>8.0000000000000002E-3</v>
      </c>
      <c r="I83" s="71">
        <v>1.1999999999999999E-2</v>
      </c>
      <c r="J83" s="71">
        <v>3.5000000000000001E-3</v>
      </c>
      <c r="K83" s="71">
        <v>5.0000000000000001E-3</v>
      </c>
      <c r="L83" s="71">
        <v>0</v>
      </c>
      <c r="M83" s="71">
        <v>0</v>
      </c>
      <c r="N83" s="72">
        <v>500000</v>
      </c>
      <c r="O83" s="72">
        <v>100000</v>
      </c>
      <c r="P83" s="72">
        <v>50</v>
      </c>
      <c r="Q83" s="72">
        <v>10</v>
      </c>
      <c r="R83" s="82">
        <f t="shared" si="1"/>
        <v>2.8499999999999998E-2</v>
      </c>
    </row>
    <row r="84" spans="1:18">
      <c r="A84" s="91">
        <v>27</v>
      </c>
      <c r="B84" s="76" t="s">
        <v>46</v>
      </c>
      <c r="C84" s="76">
        <v>2E-3</v>
      </c>
      <c r="D84" s="70">
        <v>100</v>
      </c>
      <c r="E84" s="74">
        <v>1.25</v>
      </c>
      <c r="F84" s="71">
        <v>3.5000000000000001E-3</v>
      </c>
      <c r="G84" s="71">
        <v>5.0000000000000001E-3</v>
      </c>
      <c r="H84" s="71">
        <v>8.0000000000000002E-3</v>
      </c>
      <c r="I84" s="71">
        <v>1.1999999999999999E-2</v>
      </c>
      <c r="J84" s="71">
        <v>3.5000000000000001E-3</v>
      </c>
      <c r="K84" s="71">
        <v>5.0000000000000001E-3</v>
      </c>
      <c r="L84" s="71">
        <v>0</v>
      </c>
      <c r="M84" s="71">
        <v>0</v>
      </c>
      <c r="N84" s="72">
        <v>500000</v>
      </c>
      <c r="O84" s="72">
        <v>100000</v>
      </c>
      <c r="P84" s="72">
        <v>50</v>
      </c>
      <c r="Q84" s="72">
        <v>10</v>
      </c>
      <c r="R84" s="82">
        <f t="shared" si="1"/>
        <v>2.8499999999999998E-2</v>
      </c>
    </row>
    <row r="85" spans="1:18">
      <c r="A85" s="91">
        <v>27</v>
      </c>
      <c r="B85" s="76" t="s">
        <v>46</v>
      </c>
      <c r="C85" s="76">
        <v>2E-3</v>
      </c>
      <c r="D85" s="70">
        <v>100</v>
      </c>
      <c r="E85" s="74">
        <v>1.5</v>
      </c>
      <c r="F85" s="71">
        <v>3.5000000000000001E-3</v>
      </c>
      <c r="G85" s="71">
        <v>5.0000000000000001E-3</v>
      </c>
      <c r="H85" s="71">
        <v>8.0000000000000002E-3</v>
      </c>
      <c r="I85" s="71">
        <v>1.1999999999999999E-2</v>
      </c>
      <c r="J85" s="71">
        <v>3.5000000000000001E-3</v>
      </c>
      <c r="K85" s="71">
        <v>5.0000000000000001E-3</v>
      </c>
      <c r="L85" s="71">
        <v>0</v>
      </c>
      <c r="M85" s="71">
        <v>0</v>
      </c>
      <c r="N85" s="72">
        <v>500000</v>
      </c>
      <c r="O85" s="72">
        <v>100000</v>
      </c>
      <c r="P85" s="72">
        <v>50</v>
      </c>
      <c r="Q85" s="72">
        <v>10</v>
      </c>
      <c r="R85" s="82">
        <f t="shared" si="1"/>
        <v>2.8499999999999998E-2</v>
      </c>
    </row>
    <row r="86" spans="1:18">
      <c r="A86" s="91">
        <v>27</v>
      </c>
      <c r="B86" s="76" t="s">
        <v>46</v>
      </c>
      <c r="C86" s="76">
        <v>2E-3</v>
      </c>
      <c r="D86" s="70">
        <v>100</v>
      </c>
      <c r="E86" s="74">
        <v>8</v>
      </c>
      <c r="F86" s="71">
        <v>3.5000000000000001E-3</v>
      </c>
      <c r="G86" s="71">
        <v>5.0000000000000001E-3</v>
      </c>
      <c r="H86" s="71">
        <v>1.9E-2</v>
      </c>
      <c r="I86" s="71">
        <v>1E-3</v>
      </c>
      <c r="J86" s="71">
        <v>3.5000000000000001E-3</v>
      </c>
      <c r="K86" s="71">
        <v>5.0000000000000001E-3</v>
      </c>
      <c r="L86" s="71">
        <v>0</v>
      </c>
      <c r="M86" s="71">
        <v>0</v>
      </c>
      <c r="N86" s="72">
        <v>500000</v>
      </c>
      <c r="O86" s="72">
        <v>100000</v>
      </c>
      <c r="P86" s="72">
        <v>50</v>
      </c>
      <c r="Q86" s="72">
        <v>10</v>
      </c>
      <c r="R86" s="82">
        <f t="shared" si="1"/>
        <v>2.8500000000000001E-2</v>
      </c>
    </row>
    <row r="87" spans="1:18">
      <c r="A87" s="91">
        <v>27</v>
      </c>
      <c r="B87" s="76" t="s">
        <v>46</v>
      </c>
      <c r="C87" s="76">
        <v>2E-3</v>
      </c>
      <c r="D87" s="70">
        <v>100</v>
      </c>
      <c r="E87" s="74">
        <v>40.5</v>
      </c>
      <c r="F87" s="71">
        <v>3.5000000000000001E-3</v>
      </c>
      <c r="G87" s="71">
        <v>5.0000000000000001E-3</v>
      </c>
      <c r="H87" s="71">
        <v>5.0000000000000001E-3</v>
      </c>
      <c r="I87" s="71">
        <v>1.4999999999999999E-2</v>
      </c>
      <c r="J87" s="71">
        <v>3.5000000000000001E-3</v>
      </c>
      <c r="K87" s="71">
        <v>5.0000000000000001E-3</v>
      </c>
      <c r="L87" s="71">
        <v>0</v>
      </c>
      <c r="M87" s="71">
        <v>0</v>
      </c>
      <c r="N87" s="72">
        <v>500000</v>
      </c>
      <c r="O87" s="72">
        <v>100000</v>
      </c>
      <c r="P87" s="72">
        <v>50</v>
      </c>
      <c r="Q87" s="72">
        <v>10</v>
      </c>
      <c r="R87" s="82">
        <f t="shared" si="1"/>
        <v>2.8500000000000001E-2</v>
      </c>
    </row>
    <row r="88" spans="1:18">
      <c r="A88" s="91">
        <v>27</v>
      </c>
      <c r="B88" s="76" t="s">
        <v>46</v>
      </c>
      <c r="C88" s="76">
        <v>2E-3</v>
      </c>
      <c r="D88" s="70">
        <v>100</v>
      </c>
      <c r="E88" s="74">
        <v>50</v>
      </c>
      <c r="F88" s="71">
        <v>3.5000000000000001E-3</v>
      </c>
      <c r="G88" s="71">
        <v>5.0000000000000001E-3</v>
      </c>
      <c r="H88" s="71">
        <v>8.0000000000000002E-3</v>
      </c>
      <c r="I88" s="71">
        <v>1.2E-2</v>
      </c>
      <c r="J88" s="71">
        <v>3.5000000000000001E-3</v>
      </c>
      <c r="K88" s="71">
        <v>5.0000000000000001E-3</v>
      </c>
      <c r="L88" s="71">
        <v>0</v>
      </c>
      <c r="M88" s="71">
        <v>0</v>
      </c>
      <c r="N88" s="72">
        <v>500000</v>
      </c>
      <c r="O88" s="72">
        <v>100000</v>
      </c>
      <c r="P88" s="72">
        <v>50</v>
      </c>
      <c r="Q88" s="72">
        <v>10</v>
      </c>
      <c r="R88" s="82">
        <f t="shared" si="1"/>
        <v>2.8500000000000001E-2</v>
      </c>
    </row>
    <row r="89" spans="1:18">
      <c r="A89" s="91">
        <v>27</v>
      </c>
      <c r="B89" s="76" t="s">
        <v>46</v>
      </c>
      <c r="C89" s="76">
        <v>2E-3</v>
      </c>
      <c r="D89" s="70">
        <v>100</v>
      </c>
      <c r="E89" s="74">
        <v>75</v>
      </c>
      <c r="F89" s="71">
        <v>3.5000000000000001E-3</v>
      </c>
      <c r="G89" s="71">
        <v>5.0000000000000001E-3</v>
      </c>
      <c r="H89" s="71">
        <v>8.0000000000000002E-3</v>
      </c>
      <c r="I89" s="71">
        <v>1.2E-2</v>
      </c>
      <c r="J89" s="71">
        <v>3.5000000000000001E-3</v>
      </c>
      <c r="K89" s="71">
        <v>5.0000000000000001E-3</v>
      </c>
      <c r="L89" s="71">
        <v>0</v>
      </c>
      <c r="M89" s="71">
        <v>0</v>
      </c>
      <c r="N89" s="72">
        <v>500000</v>
      </c>
      <c r="O89" s="72">
        <v>100000</v>
      </c>
      <c r="P89" s="72">
        <v>75</v>
      </c>
      <c r="Q89" s="72">
        <v>15</v>
      </c>
      <c r="R89" s="82">
        <f t="shared" si="1"/>
        <v>2.8500000000000001E-2</v>
      </c>
    </row>
    <row r="90" spans="1:18">
      <c r="A90" s="91">
        <v>27</v>
      </c>
      <c r="B90" s="76" t="s">
        <v>46</v>
      </c>
      <c r="C90" s="76">
        <v>2E-3</v>
      </c>
      <c r="D90" s="70">
        <v>100</v>
      </c>
      <c r="E90" s="74">
        <v>100</v>
      </c>
      <c r="F90" s="71">
        <v>3.5000000000000001E-3</v>
      </c>
      <c r="G90" s="71">
        <v>5.0000000000000001E-3</v>
      </c>
      <c r="H90" s="71">
        <v>0.01</v>
      </c>
      <c r="I90" s="71">
        <v>0.01</v>
      </c>
      <c r="J90" s="71">
        <v>3.5000000000000001E-3</v>
      </c>
      <c r="K90" s="71">
        <v>5.0000000000000001E-3</v>
      </c>
      <c r="L90" s="71">
        <v>0</v>
      </c>
      <c r="M90" s="71">
        <v>0</v>
      </c>
      <c r="N90" s="72">
        <v>500000</v>
      </c>
      <c r="O90" s="72">
        <v>100000</v>
      </c>
      <c r="P90" s="72">
        <v>100</v>
      </c>
      <c r="Q90" s="72">
        <v>20</v>
      </c>
      <c r="R90" s="82">
        <f t="shared" si="1"/>
        <v>2.8500000000000004E-2</v>
      </c>
    </row>
    <row r="91" spans="1:18">
      <c r="A91" s="91">
        <v>27</v>
      </c>
      <c r="B91" s="76" t="s">
        <v>46</v>
      </c>
      <c r="C91" s="76">
        <v>2E-3</v>
      </c>
      <c r="D91" s="70">
        <v>100</v>
      </c>
      <c r="E91" s="74">
        <v>250</v>
      </c>
      <c r="F91" s="71">
        <v>3.5000000000000001E-3</v>
      </c>
      <c r="G91" s="71">
        <v>5.0000000000000001E-3</v>
      </c>
      <c r="H91" s="71">
        <v>0.01</v>
      </c>
      <c r="I91" s="71">
        <v>0.01</v>
      </c>
      <c r="J91" s="71">
        <v>3.5000000000000001E-3</v>
      </c>
      <c r="K91" s="71">
        <v>5.0000000000000001E-3</v>
      </c>
      <c r="L91" s="71">
        <v>0</v>
      </c>
      <c r="M91" s="71">
        <v>0</v>
      </c>
      <c r="N91" s="72">
        <v>500000</v>
      </c>
      <c r="O91" s="72">
        <v>100000</v>
      </c>
      <c r="P91" s="72">
        <v>250</v>
      </c>
      <c r="Q91" s="72">
        <v>50</v>
      </c>
      <c r="R91" s="82">
        <f t="shared" si="1"/>
        <v>2.8500000000000004E-2</v>
      </c>
    </row>
    <row r="92" spans="1:18">
      <c r="A92" s="91">
        <v>27</v>
      </c>
      <c r="B92" s="76" t="s">
        <v>46</v>
      </c>
      <c r="C92" s="76">
        <v>2E-3</v>
      </c>
      <c r="D92" s="70">
        <v>100</v>
      </c>
      <c r="E92" s="74">
        <v>500</v>
      </c>
      <c r="F92" s="71">
        <v>3.5000000000000001E-3</v>
      </c>
      <c r="G92" s="71">
        <v>5.0000000000000001E-3</v>
      </c>
      <c r="H92" s="71">
        <v>0.01</v>
      </c>
      <c r="I92" s="71">
        <v>0.01</v>
      </c>
      <c r="J92" s="71">
        <v>3.5000000000000001E-3</v>
      </c>
      <c r="K92" s="71">
        <v>5.0000000000000001E-3</v>
      </c>
      <c r="L92" s="71">
        <v>0</v>
      </c>
      <c r="M92" s="71">
        <v>0</v>
      </c>
      <c r="N92" s="72">
        <v>500000</v>
      </c>
      <c r="O92" s="72">
        <v>100000</v>
      </c>
      <c r="P92" s="72">
        <v>500</v>
      </c>
      <c r="Q92" s="72">
        <v>100</v>
      </c>
      <c r="R92" s="82">
        <f t="shared" si="1"/>
        <v>2.8500000000000004E-2</v>
      </c>
    </row>
    <row r="93" spans="1:18">
      <c r="A93" s="90">
        <v>28</v>
      </c>
      <c r="B93" s="77"/>
      <c r="C93" s="77">
        <v>2E-3</v>
      </c>
      <c r="D93" s="85">
        <v>100</v>
      </c>
      <c r="E93" s="92">
        <v>1</v>
      </c>
      <c r="F93" s="86">
        <v>3.5000000000000001E-3</v>
      </c>
      <c r="G93" s="86">
        <v>5.0000000000000001E-3</v>
      </c>
      <c r="H93" s="86">
        <v>8.0000000000000002E-3</v>
      </c>
      <c r="I93" s="86">
        <v>1.1999999999999999E-2</v>
      </c>
      <c r="J93" s="86">
        <v>3.5000000000000001E-3</v>
      </c>
      <c r="K93" s="86">
        <v>5.0000000000000001E-3</v>
      </c>
      <c r="L93" s="86">
        <v>0</v>
      </c>
      <c r="M93" s="86">
        <v>0</v>
      </c>
      <c r="N93" s="87">
        <v>500000</v>
      </c>
      <c r="O93" s="87">
        <v>100000</v>
      </c>
      <c r="P93" s="87">
        <v>50</v>
      </c>
      <c r="Q93" s="87">
        <v>10</v>
      </c>
      <c r="R93" s="82">
        <f>SUM(F93:I93)</f>
        <v>2.8499999999999998E-2</v>
      </c>
    </row>
    <row r="94" spans="1:18">
      <c r="A94" s="90">
        <v>28</v>
      </c>
      <c r="B94" s="77"/>
      <c r="C94" s="77">
        <v>2E-3</v>
      </c>
      <c r="D94" s="85">
        <v>100</v>
      </c>
      <c r="E94" s="92">
        <v>1.25</v>
      </c>
      <c r="F94" s="86">
        <v>3.5000000000000001E-3</v>
      </c>
      <c r="G94" s="86">
        <v>5.0000000000000001E-3</v>
      </c>
      <c r="H94" s="86">
        <v>8.0000000000000002E-3</v>
      </c>
      <c r="I94" s="86">
        <v>1.1999999999999999E-2</v>
      </c>
      <c r="J94" s="86">
        <v>3.5000000000000001E-3</v>
      </c>
      <c r="K94" s="86">
        <v>5.0000000000000001E-3</v>
      </c>
      <c r="L94" s="86">
        <v>0</v>
      </c>
      <c r="M94" s="86">
        <v>0</v>
      </c>
      <c r="N94" s="87">
        <v>500000</v>
      </c>
      <c r="O94" s="87">
        <v>100000</v>
      </c>
      <c r="P94" s="87">
        <v>50</v>
      </c>
      <c r="Q94" s="87">
        <v>10</v>
      </c>
      <c r="R94" s="82">
        <f t="shared" ref="R94:R102" si="2">SUM(F94:I94)</f>
        <v>2.8499999999999998E-2</v>
      </c>
    </row>
    <row r="95" spans="1:18">
      <c r="A95" s="90">
        <v>28</v>
      </c>
      <c r="B95" s="77"/>
      <c r="C95" s="77">
        <v>2E-3</v>
      </c>
      <c r="D95" s="85">
        <v>100</v>
      </c>
      <c r="E95" s="92">
        <v>1.5</v>
      </c>
      <c r="F95" s="86">
        <v>3.5000000000000001E-3</v>
      </c>
      <c r="G95" s="86">
        <v>5.0000000000000001E-3</v>
      </c>
      <c r="H95" s="86">
        <v>8.0000000000000002E-3</v>
      </c>
      <c r="I95" s="86">
        <v>1.1999999999999999E-2</v>
      </c>
      <c r="J95" s="86">
        <v>3.5000000000000001E-3</v>
      </c>
      <c r="K95" s="86">
        <v>5.0000000000000001E-3</v>
      </c>
      <c r="L95" s="86">
        <v>0</v>
      </c>
      <c r="M95" s="86">
        <v>0</v>
      </c>
      <c r="N95" s="87">
        <v>500000</v>
      </c>
      <c r="O95" s="87">
        <v>100000</v>
      </c>
      <c r="P95" s="87">
        <v>50</v>
      </c>
      <c r="Q95" s="87">
        <v>10</v>
      </c>
      <c r="R95" s="82">
        <f t="shared" si="2"/>
        <v>2.8499999999999998E-2</v>
      </c>
    </row>
    <row r="96" spans="1:18">
      <c r="A96" s="90">
        <v>28</v>
      </c>
      <c r="B96" s="77"/>
      <c r="C96" s="77">
        <v>2E-3</v>
      </c>
      <c r="D96" s="85">
        <v>100</v>
      </c>
      <c r="E96" s="92">
        <v>8</v>
      </c>
      <c r="F96" s="86">
        <v>3.5000000000000001E-3</v>
      </c>
      <c r="G96" s="86">
        <v>5.0000000000000001E-3</v>
      </c>
      <c r="H96" s="86">
        <v>1.9E-2</v>
      </c>
      <c r="I96" s="86">
        <v>1E-3</v>
      </c>
      <c r="J96" s="86">
        <v>3.5000000000000001E-3</v>
      </c>
      <c r="K96" s="86">
        <v>5.0000000000000001E-3</v>
      </c>
      <c r="L96" s="86">
        <v>0</v>
      </c>
      <c r="M96" s="86">
        <v>0</v>
      </c>
      <c r="N96" s="87">
        <v>500000</v>
      </c>
      <c r="O96" s="87">
        <v>100000</v>
      </c>
      <c r="P96" s="87">
        <v>50</v>
      </c>
      <c r="Q96" s="87">
        <v>10</v>
      </c>
      <c r="R96" s="82">
        <f t="shared" si="2"/>
        <v>2.8500000000000001E-2</v>
      </c>
    </row>
    <row r="97" spans="1:18">
      <c r="A97" s="90">
        <v>28</v>
      </c>
      <c r="B97" s="77" t="s">
        <v>66</v>
      </c>
      <c r="C97" s="77">
        <v>2E-3</v>
      </c>
      <c r="D97" s="85">
        <v>100</v>
      </c>
      <c r="E97" s="92">
        <v>40.5</v>
      </c>
      <c r="F97" s="93">
        <v>0</v>
      </c>
      <c r="G97" s="93">
        <v>0</v>
      </c>
      <c r="H97" s="93">
        <v>0.01</v>
      </c>
      <c r="I97" s="93">
        <v>0.03</v>
      </c>
      <c r="J97" s="93">
        <v>0</v>
      </c>
      <c r="K97" s="93">
        <v>0</v>
      </c>
      <c r="L97" s="86">
        <v>0</v>
      </c>
      <c r="M97" s="86">
        <v>0</v>
      </c>
      <c r="N97" s="87">
        <v>500000</v>
      </c>
      <c r="O97" s="87">
        <v>100000</v>
      </c>
      <c r="P97" s="87">
        <v>50</v>
      </c>
      <c r="Q97" s="87">
        <v>10</v>
      </c>
      <c r="R97" s="82">
        <f t="shared" si="2"/>
        <v>0.04</v>
      </c>
    </row>
    <row r="98" spans="1:18">
      <c r="A98" s="90">
        <v>28</v>
      </c>
      <c r="B98" s="77" t="s">
        <v>66</v>
      </c>
      <c r="C98" s="77">
        <v>2E-3</v>
      </c>
      <c r="D98" s="85">
        <v>100</v>
      </c>
      <c r="E98" s="92">
        <v>50</v>
      </c>
      <c r="F98" s="93">
        <v>0</v>
      </c>
      <c r="G98" s="93">
        <v>0</v>
      </c>
      <c r="H98" s="93">
        <v>1.6E-2</v>
      </c>
      <c r="I98" s="93">
        <v>2.4E-2</v>
      </c>
      <c r="J98" s="93">
        <v>0</v>
      </c>
      <c r="K98" s="93">
        <v>0</v>
      </c>
      <c r="L98" s="86">
        <v>0</v>
      </c>
      <c r="M98" s="86">
        <v>0</v>
      </c>
      <c r="N98" s="87">
        <v>500000</v>
      </c>
      <c r="O98" s="87">
        <v>100000</v>
      </c>
      <c r="P98" s="87">
        <v>50</v>
      </c>
      <c r="Q98" s="87">
        <v>10</v>
      </c>
      <c r="R98" s="82">
        <f t="shared" si="2"/>
        <v>0.04</v>
      </c>
    </row>
    <row r="99" spans="1:18">
      <c r="A99" s="90">
        <v>28</v>
      </c>
      <c r="B99" s="77" t="s">
        <v>66</v>
      </c>
      <c r="C99" s="77">
        <v>2E-3</v>
      </c>
      <c r="D99" s="85">
        <v>100</v>
      </c>
      <c r="E99" s="92">
        <v>75</v>
      </c>
      <c r="F99" s="93">
        <v>0</v>
      </c>
      <c r="G99" s="93">
        <v>0</v>
      </c>
      <c r="H99" s="93">
        <v>1.6E-2</v>
      </c>
      <c r="I99" s="93">
        <v>2.4E-2</v>
      </c>
      <c r="J99" s="93">
        <v>0</v>
      </c>
      <c r="K99" s="93">
        <v>0</v>
      </c>
      <c r="L99" s="86">
        <v>0</v>
      </c>
      <c r="M99" s="86">
        <v>0</v>
      </c>
      <c r="N99" s="87">
        <v>500000</v>
      </c>
      <c r="O99" s="87">
        <v>100000</v>
      </c>
      <c r="P99" s="87">
        <v>75</v>
      </c>
      <c r="Q99" s="87">
        <v>15</v>
      </c>
      <c r="R99" s="82">
        <f t="shared" si="2"/>
        <v>0.04</v>
      </c>
    </row>
    <row r="100" spans="1:18">
      <c r="A100" s="90">
        <v>28</v>
      </c>
      <c r="B100" s="77" t="s">
        <v>66</v>
      </c>
      <c r="C100" s="77">
        <v>2E-3</v>
      </c>
      <c r="D100" s="85">
        <v>100</v>
      </c>
      <c r="E100" s="92">
        <v>100</v>
      </c>
      <c r="F100" s="93">
        <v>0</v>
      </c>
      <c r="G100" s="93">
        <v>0</v>
      </c>
      <c r="H100" s="93">
        <v>0.02</v>
      </c>
      <c r="I100" s="93">
        <v>0.02</v>
      </c>
      <c r="J100" s="93">
        <v>0</v>
      </c>
      <c r="K100" s="93">
        <v>0</v>
      </c>
      <c r="L100" s="86">
        <v>0</v>
      </c>
      <c r="M100" s="86">
        <v>0</v>
      </c>
      <c r="N100" s="87">
        <v>500000</v>
      </c>
      <c r="O100" s="87">
        <v>100000</v>
      </c>
      <c r="P100" s="87">
        <v>100</v>
      </c>
      <c r="Q100" s="87">
        <v>20</v>
      </c>
      <c r="R100" s="82">
        <f t="shared" si="2"/>
        <v>0.04</v>
      </c>
    </row>
    <row r="101" spans="1:18">
      <c r="A101" s="90">
        <v>28</v>
      </c>
      <c r="B101" s="77" t="s">
        <v>66</v>
      </c>
      <c r="C101" s="77">
        <v>2E-3</v>
      </c>
      <c r="D101" s="85">
        <v>100</v>
      </c>
      <c r="E101" s="92">
        <v>250</v>
      </c>
      <c r="F101" s="93">
        <v>0</v>
      </c>
      <c r="G101" s="93">
        <v>0</v>
      </c>
      <c r="H101" s="93">
        <v>0.02</v>
      </c>
      <c r="I101" s="93">
        <v>0.02</v>
      </c>
      <c r="J101" s="93">
        <v>0</v>
      </c>
      <c r="K101" s="93">
        <v>0</v>
      </c>
      <c r="L101" s="86">
        <v>0</v>
      </c>
      <c r="M101" s="86">
        <v>0</v>
      </c>
      <c r="N101" s="87">
        <v>500000</v>
      </c>
      <c r="O101" s="87">
        <v>100000</v>
      </c>
      <c r="P101" s="87">
        <v>250</v>
      </c>
      <c r="Q101" s="87">
        <v>50</v>
      </c>
      <c r="R101" s="82">
        <f t="shared" si="2"/>
        <v>0.04</v>
      </c>
    </row>
    <row r="102" spans="1:18">
      <c r="A102" s="90">
        <v>28</v>
      </c>
      <c r="B102" s="77" t="s">
        <v>66</v>
      </c>
      <c r="C102" s="77">
        <v>2E-3</v>
      </c>
      <c r="D102" s="85">
        <v>100</v>
      </c>
      <c r="E102" s="92">
        <v>500</v>
      </c>
      <c r="F102" s="93">
        <v>0</v>
      </c>
      <c r="G102" s="93">
        <v>0</v>
      </c>
      <c r="H102" s="93">
        <v>0.02</v>
      </c>
      <c r="I102" s="93">
        <v>0.02</v>
      </c>
      <c r="J102" s="93">
        <v>0</v>
      </c>
      <c r="K102" s="93">
        <v>0</v>
      </c>
      <c r="L102" s="86">
        <v>0</v>
      </c>
      <c r="M102" s="86">
        <v>0</v>
      </c>
      <c r="N102" s="87">
        <v>500000</v>
      </c>
      <c r="O102" s="87">
        <v>100000</v>
      </c>
      <c r="P102" s="87">
        <v>500</v>
      </c>
      <c r="Q102" s="87">
        <v>100</v>
      </c>
      <c r="R102" s="82">
        <f t="shared" si="2"/>
        <v>0.04</v>
      </c>
    </row>
    <row r="103" spans="1:18">
      <c r="A103" s="82"/>
      <c r="B103" s="82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</row>
    <row r="104" spans="1:18">
      <c r="A104" s="82"/>
      <c r="B104" s="82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</row>
    <row r="105" spans="1:18">
      <c r="A105" s="82"/>
      <c r="B105" s="82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</row>
    <row r="106" spans="1:18">
      <c r="A106" s="82"/>
      <c r="B106" s="82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</row>
    <row r="107" spans="1:18">
      <c r="A107" s="82"/>
      <c r="B107" s="82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</row>
    <row r="108" spans="1:18">
      <c r="A108" s="82"/>
      <c r="B108" s="82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</row>
    <row r="109" spans="1:18">
      <c r="A109" s="82"/>
      <c r="B109" s="82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</row>
    <row r="110" spans="1:18">
      <c r="A110" s="8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</row>
    <row r="111" spans="1:18">
      <c r="A111" s="82"/>
      <c r="B111" s="82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</row>
    <row r="112" spans="1:18">
      <c r="A112" s="82"/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</row>
    <row r="113" spans="1:18">
      <c r="A113" s="82"/>
      <c r="B113" s="82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</row>
    <row r="114" spans="1:18">
      <c r="A114" s="82"/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</row>
    <row r="115" spans="1:18">
      <c r="A115" s="8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</row>
    <row r="116" spans="1:18">
      <c r="A116" s="82"/>
      <c r="B116" s="82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</row>
    <row r="117" spans="1:18">
      <c r="A117" s="82"/>
      <c r="B117" s="82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</row>
    <row r="118" spans="1:18">
      <c r="A118" s="82"/>
      <c r="B118" s="82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</row>
    <row r="119" spans="1:18">
      <c r="A119" s="82"/>
      <c r="B119" s="82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</row>
    <row r="120" spans="1:18">
      <c r="A120" s="82"/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</row>
    <row r="121" spans="1:18">
      <c r="A121" s="82"/>
      <c r="B121" s="82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</row>
    <row r="122" spans="1:18">
      <c r="A122" s="82"/>
      <c r="B122" s="82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</row>
    <row r="123" spans="1:18">
      <c r="A123" s="82"/>
      <c r="B123" s="82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</row>
    <row r="124" spans="1:18">
      <c r="A124" s="82"/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</row>
    <row r="125" spans="1:18">
      <c r="A125" s="82"/>
      <c r="B125" s="82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</row>
    <row r="126" spans="1:18">
      <c r="A126" s="82"/>
      <c r="B126" s="82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</row>
    <row r="127" spans="1:18">
      <c r="A127" s="82"/>
      <c r="B127" s="82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</row>
    <row r="128" spans="1:18">
      <c r="A128" s="82"/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</row>
    <row r="129" spans="1:18">
      <c r="A129" s="82"/>
      <c r="B129" s="82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</row>
    <row r="130" spans="1:18">
      <c r="A130" s="82"/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</row>
    <row r="131" spans="1:18">
      <c r="A131" s="82"/>
      <c r="B131" s="82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</row>
    <row r="132" spans="1:18">
      <c r="A132" s="82"/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</row>
    <row r="133" spans="1:18">
      <c r="A133" s="82"/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</row>
    <row r="134" spans="1:18">
      <c r="A134" s="82"/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</row>
    <row r="135" spans="1:18">
      <c r="A135" s="82"/>
      <c r="B135" s="82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</row>
    <row r="136" spans="1:18">
      <c r="A136" s="82"/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</row>
    <row r="137" spans="1:18">
      <c r="A137" s="82"/>
      <c r="B137" s="82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</row>
    <row r="138" spans="1:18">
      <c r="A138" s="82"/>
      <c r="B138" s="82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</row>
    <row r="139" spans="1:18">
      <c r="A139" s="82"/>
      <c r="B139" s="82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</row>
    <row r="140" spans="1:18">
      <c r="A140" s="82"/>
      <c r="B140" s="82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</row>
    <row r="141" spans="1:18">
      <c r="A141" s="82"/>
      <c r="B141" s="82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</row>
    <row r="142" spans="1:18">
      <c r="A142" s="82"/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</row>
    <row r="143" spans="1:18">
      <c r="A143" s="82"/>
      <c r="B143" s="82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</row>
    <row r="144" spans="1:18">
      <c r="A144" s="82"/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</row>
    <row r="145" spans="1:18">
      <c r="A145" s="82"/>
      <c r="B145" s="82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</row>
    <row r="146" spans="1:18">
      <c r="A146" s="82"/>
      <c r="B146" s="82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</row>
    <row r="147" spans="1:18">
      <c r="A147" s="82"/>
      <c r="B147" s="82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</row>
    <row r="148" spans="1:18">
      <c r="A148" s="82"/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</row>
    <row r="149" spans="1:18">
      <c r="A149" s="82"/>
      <c r="B149" s="82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</row>
    <row r="150" spans="1:18">
      <c r="A150" s="82"/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</row>
    <row r="151" spans="1:18">
      <c r="A151" s="82"/>
      <c r="B151" s="82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</row>
    <row r="152" spans="1:18">
      <c r="A152" s="82"/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</row>
    <row r="153" spans="1:18">
      <c r="A153" s="82"/>
      <c r="B153" s="82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</row>
    <row r="154" spans="1:18">
      <c r="A154" s="82"/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</row>
    <row r="155" spans="1:18">
      <c r="A155" s="82"/>
      <c r="B155" s="82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</row>
    <row r="156" spans="1:18">
      <c r="A156" s="82"/>
      <c r="B156" s="82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</row>
    <row r="157" spans="1:18">
      <c r="A157" s="82"/>
      <c r="B157" s="82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</row>
    <row r="158" spans="1:18">
      <c r="A158" s="82"/>
      <c r="B158" s="82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</row>
    <row r="159" spans="1:18">
      <c r="A159" s="82"/>
      <c r="B159" s="82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</row>
    <row r="160" spans="1:18">
      <c r="A160" s="82"/>
      <c r="B160" s="82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</row>
    <row r="161" spans="1:18">
      <c r="A161" s="82"/>
      <c r="B161" s="82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</row>
    <row r="162" spans="1:18">
      <c r="A162" s="82"/>
      <c r="B162" s="82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</row>
    <row r="163" spans="1:18">
      <c r="A163" s="82"/>
      <c r="B163" s="82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</row>
    <row r="164" spans="1:18">
      <c r="A164" s="82"/>
      <c r="B164" s="82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</row>
    <row r="165" spans="1:18">
      <c r="A165" s="82"/>
      <c r="B165" s="82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</row>
    <row r="166" spans="1:18">
      <c r="A166" s="82"/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</row>
    <row r="167" spans="1:18">
      <c r="A167" s="82"/>
      <c r="B167" s="82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</row>
    <row r="168" spans="1:18">
      <c r="A168" s="82"/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</row>
    <row r="169" spans="1:18">
      <c r="A169" s="82"/>
      <c r="B169" s="82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</row>
    <row r="170" spans="1:18">
      <c r="A170" s="82"/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</row>
    <row r="171" spans="1:18">
      <c r="A171" s="82"/>
      <c r="B171" s="82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</row>
    <row r="172" spans="1:18">
      <c r="A172" s="82"/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</row>
    <row r="173" spans="1:18">
      <c r="A173" s="82"/>
      <c r="B173" s="82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</row>
    <row r="174" spans="1:18">
      <c r="A174" s="82"/>
      <c r="B174" s="82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</row>
    <row r="175" spans="1:18">
      <c r="A175" s="82"/>
      <c r="B175" s="82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</row>
    <row r="176" spans="1:18">
      <c r="A176" s="82"/>
      <c r="B176" s="82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</row>
  </sheetData>
  <mergeCells count="8"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72 F173:M1048576">
    <cfRule type="cellIs" dxfId="11" priority="19" operator="equal">
      <formula>0</formula>
    </cfRule>
  </conditionalFormatting>
  <conditionalFormatting sqref="F73:M82">
    <cfRule type="cellIs" dxfId="10" priority="17" operator="equal">
      <formula>0</formula>
    </cfRule>
  </conditionalFormatting>
  <conditionalFormatting sqref="F83:M92">
    <cfRule type="cellIs" dxfId="9" priority="16" operator="equal">
      <formula>0</formula>
    </cfRule>
  </conditionalFormatting>
  <conditionalFormatting sqref="F103:M112">
    <cfRule type="cellIs" dxfId="8" priority="8" operator="equal">
      <formula>0</formula>
    </cfRule>
  </conditionalFormatting>
  <conditionalFormatting sqref="F113:M122">
    <cfRule type="cellIs" dxfId="7" priority="7" operator="equal">
      <formula>0</formula>
    </cfRule>
  </conditionalFormatting>
  <conditionalFormatting sqref="F123:M132">
    <cfRule type="cellIs" dxfId="6" priority="6" operator="equal">
      <formula>0</formula>
    </cfRule>
  </conditionalFormatting>
  <conditionalFormatting sqref="F133:M142">
    <cfRule type="cellIs" dxfId="5" priority="5" operator="equal">
      <formula>0</formula>
    </cfRule>
  </conditionalFormatting>
  <conditionalFormatting sqref="F143:M152">
    <cfRule type="cellIs" dxfId="4" priority="4" operator="equal">
      <formula>0</formula>
    </cfRule>
  </conditionalFormatting>
  <conditionalFormatting sqref="F153:M162">
    <cfRule type="cellIs" dxfId="3" priority="3" operator="equal">
      <formula>0</formula>
    </cfRule>
  </conditionalFormatting>
  <conditionalFormatting sqref="F163:M172">
    <cfRule type="cellIs" dxfId="2" priority="2" operator="equal">
      <formula>0</formula>
    </cfRule>
  </conditionalFormatting>
  <conditionalFormatting sqref="F93:M102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R3:R71" formulaRange="1"/>
    <ignoredError sqref="A33:A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C1" workbookViewId="0">
      <selection activeCell="F30" sqref="F30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1600000</v>
      </c>
      <c r="I4" s="31">
        <f ca="1"/>
        <v>12000000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1600000</v>
      </c>
      <c r="I5" s="31">
        <f ca="1"/>
        <v>12000000</v>
      </c>
    </row>
    <row r="6" spans="2:9">
      <c r="B6" s="12" t="str">
        <v>Bet</v>
      </c>
      <c r="C6" s="47">
        <v>1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1600000</v>
      </c>
      <c r="I6" s="31">
        <f ca="1"/>
        <v>12000000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1600000</v>
      </c>
      <c r="I7" s="31">
        <f ca="1"/>
        <v>12000000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1600000</v>
      </c>
      <c r="I8" s="31">
        <f ca="1"/>
        <v>12000000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1600000</v>
      </c>
      <c r="I9" s="31">
        <f ca="1"/>
        <v>12000000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1600000</v>
      </c>
      <c r="I10" s="31">
        <f ca="1"/>
        <v>12000000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1600000</v>
      </c>
      <c r="I11" s="31">
        <f ca="1"/>
        <v>12000000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1600000</v>
      </c>
      <c r="I12" s="31">
        <f ca="1"/>
        <v>12000000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1600000</v>
      </c>
      <c r="I13" s="31">
        <f ca="1"/>
        <v>12000000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1600000</v>
      </c>
      <c r="I14" s="31">
        <f ca="1"/>
        <v>12000000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1600000</v>
      </c>
      <c r="I15" s="31">
        <f ca="1"/>
        <v>12000000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1600000</v>
      </c>
      <c r="I16" s="31">
        <f ca="1"/>
        <v>12000000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1600000</v>
      </c>
      <c r="I17" s="31">
        <f ca="1"/>
        <v>12000000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1600000</v>
      </c>
      <c r="I18" s="31">
        <f ca="1"/>
        <v>12000000</v>
      </c>
    </row>
    <row r="19" spans="2:9">
      <c r="B19" s="12" t="str">
        <v>JP1</v>
      </c>
      <c r="C19" s="50">
        <v>250000000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1600000</v>
      </c>
      <c r="I19" s="31">
        <f ca="1"/>
        <v>12000000</v>
      </c>
    </row>
    <row r="20" spans="2:9">
      <c r="B20" s="12" t="str">
        <v>JP2</v>
      </c>
      <c r="C20" s="50">
        <v>50000000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1600000</v>
      </c>
      <c r="I20" s="31">
        <f ca="1"/>
        <v>12000000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1600000</v>
      </c>
      <c r="I21" s="31">
        <f ca="1"/>
        <v>12000000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1600000</v>
      </c>
      <c r="I22" s="31">
        <f ca="1"/>
        <v>12000000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1600000</v>
      </c>
      <c r="I23" s="31">
        <f ca="1"/>
        <v>12000000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1600000</v>
      </c>
      <c r="I24" s="31">
        <f ca="1"/>
        <v>12000000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1600000</v>
      </c>
      <c r="I25" s="31">
        <f ca="1"/>
        <v>12000000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1600000</v>
      </c>
      <c r="I26" s="31">
        <f ca="1"/>
        <v>12000000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1600000</v>
      </c>
      <c r="I27" s="31">
        <f ca="1"/>
        <v>12000000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1600000</v>
      </c>
      <c r="I28" s="31">
        <f ca="1"/>
        <v>12000000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1600000</v>
      </c>
      <c r="I29" s="31">
        <f ca="1"/>
        <v>12000000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1600000</v>
      </c>
      <c r="I30" s="31">
        <f ca="1"/>
        <v>12000000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1600000</v>
      </c>
      <c r="I31" s="31">
        <f ca="1"/>
        <v>12000000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1600000</v>
      </c>
      <c r="I32" s="31">
        <f ca="1"/>
        <v>12000000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1600000</v>
      </c>
      <c r="I33" s="31">
        <f ca="1"/>
        <v>12000000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27" sqref="D2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97" t="s">
        <v>23</v>
      </c>
      <c r="K1" s="97"/>
      <c r="L1" s="97"/>
      <c r="M1" s="97"/>
      <c r="N1" s="98" t="s">
        <v>22</v>
      </c>
      <c r="O1" s="98"/>
      <c r="P1" s="98"/>
      <c r="Q1" s="98"/>
      <c r="R1" s="97" t="s">
        <v>1</v>
      </c>
      <c r="S1" s="97"/>
      <c r="T1" s="97"/>
      <c r="U1" s="97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250000000</v>
      </c>
      <c r="K3" s="42">
        <f>C26</f>
        <v>50000000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3.5000000000000001E-3</v>
      </c>
      <c r="O3" s="43">
        <v>5.0000000000000001E-3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250000000</v>
      </c>
      <c r="K4" s="22">
        <f t="shared" si="0"/>
        <v>50000000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3.5000000000000001E-3</v>
      </c>
      <c r="O4" s="21">
        <v>5.0000000000000001E-3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1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250000000</v>
      </c>
      <c r="K5" s="22">
        <f t="shared" si="0"/>
        <v>50000000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3.5000000000000001E-3</v>
      </c>
      <c r="O5" s="21">
        <v>5.0000000000000001E-3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250000000</v>
      </c>
      <c r="K6" s="22">
        <f t="shared" si="0"/>
        <v>50000000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3.5000000000000001E-3</v>
      </c>
      <c r="O6" s="21">
        <v>5.0000000000000001E-3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250000000</v>
      </c>
      <c r="K7" s="22">
        <f t="shared" si="0"/>
        <v>50000000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3.5000000000000001E-3</v>
      </c>
      <c r="O7" s="21">
        <v>5.0000000000000001E-3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250000000</v>
      </c>
      <c r="K8" s="22">
        <f t="shared" si="0"/>
        <v>50000000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3.5000000000000001E-3</v>
      </c>
      <c r="O8" s="21">
        <v>5.0000000000000001E-3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3.5000000000000001E-3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250000000</v>
      </c>
      <c r="K9" s="22">
        <f t="shared" si="0"/>
        <v>50000000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3.5000000000000001E-3</v>
      </c>
      <c r="O9" s="21">
        <v>5.0000000000000001E-3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5.0000000000000001E-3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250000000</v>
      </c>
      <c r="K10" s="22">
        <f t="shared" si="0"/>
        <v>50000000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3.5000000000000001E-3</v>
      </c>
      <c r="O10" s="21">
        <v>5.0000000000000001E-3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250000000</v>
      </c>
      <c r="K11" s="22">
        <f t="shared" si="0"/>
        <v>50000000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3.5000000000000001E-3</v>
      </c>
      <c r="O11" s="21">
        <v>5.0000000000000001E-3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250000000</v>
      </c>
      <c r="K12" s="22">
        <f t="shared" si="0"/>
        <v>50000000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3.5000000000000001E-3</v>
      </c>
      <c r="O12" s="21">
        <v>5.0000000000000001E-3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2.8499999999999998E-2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250000000</v>
      </c>
      <c r="K13" s="22">
        <f t="shared" si="0"/>
        <v>50000000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3.5000000000000001E-3</v>
      </c>
      <c r="O13" s="21">
        <v>5.0000000000000001E-3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250000000</v>
      </c>
      <c r="K14" s="22">
        <f t="shared" si="0"/>
        <v>50000000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3.5000000000000001E-3</v>
      </c>
      <c r="O14" s="21">
        <v>5.0000000000000001E-3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250000000</v>
      </c>
      <c r="K15" s="22">
        <f t="shared" si="0"/>
        <v>50000000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3.5000000000000001E-3</v>
      </c>
      <c r="O15" s="21">
        <v>5.0000000000000001E-3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250000000</v>
      </c>
      <c r="K16" s="22">
        <f t="shared" si="0"/>
        <v>50000000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3.5000000000000001E-3</v>
      </c>
      <c r="O16" s="21">
        <v>5.0000000000000001E-3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250000000</v>
      </c>
      <c r="K17" s="22">
        <f t="shared" si="0"/>
        <v>50000000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3.5000000000000001E-3</v>
      </c>
      <c r="O17" s="21">
        <v>5.0000000000000001E-3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250000000</v>
      </c>
      <c r="K18" s="22">
        <f t="shared" si="0"/>
        <v>50000000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3.5000000000000001E-3</v>
      </c>
      <c r="O18" s="21">
        <v>5.0000000000000001E-3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250000000</v>
      </c>
      <c r="K19" s="22">
        <f t="shared" si="0"/>
        <v>50000000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3.5000000000000001E-3</v>
      </c>
      <c r="O19" s="21">
        <v>5.0000000000000001E-3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250000000</v>
      </c>
      <c r="K20" s="22">
        <f t="shared" si="1"/>
        <v>50000000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3.5000000000000001E-3</v>
      </c>
      <c r="O20" s="21">
        <v>5.0000000000000001E-3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250000000</v>
      </c>
      <c r="K21" s="22">
        <f t="shared" si="1"/>
        <v>50000000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3.5000000000000001E-3</v>
      </c>
      <c r="O21" s="21">
        <v>5.0000000000000001E-3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250000000</v>
      </c>
      <c r="K22" s="22">
        <f t="shared" si="1"/>
        <v>50000000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3.5000000000000001E-3</v>
      </c>
      <c r="O22" s="21">
        <v>5.0000000000000001E-3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250000000</v>
      </c>
      <c r="K23" s="22">
        <f t="shared" si="1"/>
        <v>50000000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3.5000000000000001E-3</v>
      </c>
      <c r="O23" s="21">
        <v>5.0000000000000001E-3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250000000</v>
      </c>
      <c r="K24" s="22">
        <f t="shared" si="1"/>
        <v>50000000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3.5000000000000001E-3</v>
      </c>
      <c r="O24" s="21">
        <v>5.0000000000000001E-3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250000000</v>
      </c>
      <c r="D25" s="52" cm="1">
        <f t="array" ref="D25">_xlfn.LET(_xlpm.x, _xlfn._xlws.FILTER(Parameter_List!$B:$Q, (Parameter_List!$E:$E=Overview!$C$7)*(Parameter_List!$A:$A=Overview!$C$6)*1), INDEX(_xlpm.x, A25))</f>
        <v>500000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250000000</v>
      </c>
      <c r="K25" s="22">
        <f t="shared" si="1"/>
        <v>50000000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3.5000000000000001E-3</v>
      </c>
      <c r="O25" s="21">
        <v>5.0000000000000001E-3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50000000</v>
      </c>
      <c r="D26" s="52" cm="1">
        <f t="array" ref="D26">_xlfn.LET(_xlpm.x, _xlfn._xlws.FILTER(Parameter_List!$B:$Q, (Parameter_List!$E:$E=Overview!$C$7)*(Parameter_List!$A:$A=Overview!$C$6)*1), INDEX(_xlpm.x, A26))</f>
        <v>100000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250000000</v>
      </c>
      <c r="K26" s="22">
        <f t="shared" si="1"/>
        <v>50000000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3.5000000000000001E-3</v>
      </c>
      <c r="O26" s="21">
        <v>5.0000000000000001E-3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250000000</v>
      </c>
      <c r="K27" s="22">
        <f t="shared" si="1"/>
        <v>50000000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3.5000000000000001E-3</v>
      </c>
      <c r="O27" s="21">
        <v>5.0000000000000001E-3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250000000</v>
      </c>
      <c r="K28" s="22">
        <f t="shared" si="1"/>
        <v>50000000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3.5000000000000001E-3</v>
      </c>
      <c r="O28" s="21">
        <v>5.0000000000000001E-3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250000000</v>
      </c>
      <c r="K29" s="22">
        <f t="shared" si="1"/>
        <v>50000000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3.5000000000000001E-3</v>
      </c>
      <c r="O29" s="21">
        <v>5.0000000000000001E-3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250000000</v>
      </c>
      <c r="K30" s="22">
        <f t="shared" si="1"/>
        <v>50000000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3.5000000000000001E-3</v>
      </c>
      <c r="O30" s="21">
        <v>5.0000000000000001E-3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250000000</v>
      </c>
      <c r="K31" s="22">
        <f t="shared" si="1"/>
        <v>50000000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3.5000000000000001E-3</v>
      </c>
      <c r="O31" s="21">
        <v>5.0000000000000001E-3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250000000</v>
      </c>
      <c r="K32" s="22">
        <f t="shared" si="1"/>
        <v>50000000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3.5000000000000001E-3</v>
      </c>
      <c r="O32" s="21">
        <v>5.0000000000000001E-3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topLeftCell="C1"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0.2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500000</v>
      </c>
      <c r="D8" s="28" cm="1">
        <f t="array" ref="D8:D11">C8:C11/D4</f>
        <v>2500000</v>
      </c>
      <c r="E8" s="4" cm="1">
        <f t="array" ref="E8:E11">G8:G11-F8:F11</f>
        <v>0</v>
      </c>
      <c r="F8" s="32">
        <f>VLOOKUP(A4, Setting!$E:$U, 14, FALSE)</f>
        <v>3.5000000000000001E-3</v>
      </c>
      <c r="G8" s="32">
        <f>VLOOKUP(A4, Setting!$E:$U, 10, FALSE)</f>
        <v>3.5000000000000001E-3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735.2941176470589</v>
      </c>
      <c r="L8" s="7"/>
      <c r="M8" s="17"/>
    </row>
    <row r="9" spans="1:13">
      <c r="B9" s="3" t="s">
        <v>25</v>
      </c>
      <c r="C9" s="31">
        <f>_xlfn.XLOOKUP(A4, Setting!E:E, Setting!K:K, , 0)*Setting!$C$3</f>
        <v>100000</v>
      </c>
      <c r="D9" s="28">
        <v>500000</v>
      </c>
      <c r="E9" s="4">
        <v>0</v>
      </c>
      <c r="F9" s="32">
        <f>VLOOKUP(A4, Setting!$E:$U, 15, FALSE)</f>
        <v>5.0000000000000001E-3</v>
      </c>
      <c r="G9" s="32">
        <f>VLOOKUP(A4, Setting!$E:$U, 11, FALSE)</f>
        <v>5.0000000000000001E-3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50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1.6000000000000001E-4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10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1.1999999999999999E-3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2.8499999999999998E-2</v>
      </c>
      <c r="H12" s="8">
        <f>SUM(H8:H11)</f>
        <v>1.3599999999999999E-3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0.4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500000</v>
      </c>
      <c r="D19" s="28" cm="1">
        <f t="array" ref="D19:D22">C19:C22/D15</f>
        <v>1250000</v>
      </c>
      <c r="E19" s="4" cm="1">
        <f t="array" ref="E19:E22">G19:G22-F19:F22</f>
        <v>0</v>
      </c>
      <c r="F19" s="32">
        <f>VLOOKUP(A15, Setting!$E:$U, 14, FALSE)</f>
        <v>3.5000000000000001E-3</v>
      </c>
      <c r="G19" s="32">
        <f>VLOOKUP(A15, Setting!$E:$U, 10, FALSE)</f>
        <v>3.5000000000000001E-3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735.2941176470589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100000</v>
      </c>
      <c r="D20" s="28">
        <v>250000</v>
      </c>
      <c r="E20" s="4">
        <v>0</v>
      </c>
      <c r="F20" s="32">
        <f>VLOOKUP(A15, Setting!$E:$U, 15, FALSE)</f>
        <v>5.0000000000000001E-3</v>
      </c>
      <c r="G20" s="32">
        <f>VLOOKUP(A15, Setting!$E:$U, 11, FALSE)</f>
        <v>5.0000000000000001E-3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50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1.6000000000000001E-4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10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1.1999999999999999E-3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2.8499999999999998E-2</v>
      </c>
      <c r="H23" s="8">
        <f>SUM(H19:H22)</f>
        <v>1.3599999999999999E-3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1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500000</v>
      </c>
      <c r="D30" s="28" cm="1">
        <f t="array" ref="D30:D33">C30:C33/D26</f>
        <v>500000</v>
      </c>
      <c r="E30" s="4" cm="1">
        <f t="array" ref="E30:E33">G30:G33-F30:F33</f>
        <v>0</v>
      </c>
      <c r="F30" s="32">
        <f>VLOOKUP(A26, Setting!$E:$U, 14, FALSE)</f>
        <v>3.5000000000000001E-3</v>
      </c>
      <c r="G30" s="32">
        <f>VLOOKUP(A26, Setting!$E:$U, 10, FALSE)</f>
        <v>3.5000000000000001E-3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735.2941176470589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100000</v>
      </c>
      <c r="D31" s="28">
        <v>100000</v>
      </c>
      <c r="E31" s="4">
        <v>0</v>
      </c>
      <c r="F31" s="32">
        <f>VLOOKUP(A26, Setting!$E:$U, 15, FALSE)</f>
        <v>5.0000000000000001E-3</v>
      </c>
      <c r="G31" s="32">
        <f>VLOOKUP(A26, Setting!$E:$U, 11, FALSE)</f>
        <v>5.0000000000000001E-3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50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1.6000000000000001E-4</v>
      </c>
      <c r="I32" s="5">
        <v>1.6000000000000001E-4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10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1.1999999999999999E-3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2.8499999999999998E-2</v>
      </c>
      <c r="H34" s="8">
        <f>SUM(H30:H33)</f>
        <v>1.3599999999999999E-3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2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500000</v>
      </c>
      <c r="D41" s="28" cm="1">
        <f t="array" ref="D41:D44">C41:C44/D37</f>
        <v>250000</v>
      </c>
      <c r="E41" s="4" cm="1">
        <f t="array" ref="E41:E44">G41:G44-F41:F44</f>
        <v>0</v>
      </c>
      <c r="F41" s="32">
        <f>VLOOKUP(A37, Setting!$E:$U, 14, FALSE)</f>
        <v>3.5000000000000001E-3</v>
      </c>
      <c r="G41" s="32">
        <f>VLOOKUP(A37, Setting!$E:$U, 10, FALSE)</f>
        <v>3.5000000000000001E-3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735.2941176470589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100000</v>
      </c>
      <c r="D42" s="28">
        <v>50000</v>
      </c>
      <c r="E42" s="4">
        <v>0</v>
      </c>
      <c r="F42" s="32">
        <f>VLOOKUP(A37, Setting!$E:$U, 15, FALSE)</f>
        <v>5.0000000000000001E-3</v>
      </c>
      <c r="G42" s="32">
        <f>VLOOKUP(A37, Setting!$E:$U, 11, FALSE)</f>
        <v>5.0000000000000001E-3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50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1.6000000000000001E-4</v>
      </c>
      <c r="I43" s="5">
        <v>8.0000000000000007E-5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10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1.1999999999999999E-3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2.8499999999999998E-2</v>
      </c>
      <c r="H45" s="8">
        <f>SUM(H41:H44)</f>
        <v>1.3599999999999999E-3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2.4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500000</v>
      </c>
      <c r="D52" s="28" cm="1">
        <f t="array" ref="D52:D55">C52:C55/D48</f>
        <v>208333.33333333334</v>
      </c>
      <c r="E52" s="4" cm="1">
        <f t="array" ref="E52:E55">G52:G55-F52:F55</f>
        <v>0</v>
      </c>
      <c r="F52" s="32">
        <f>VLOOKUP(A48, Setting!$E:$U, 14, FALSE)</f>
        <v>3.5000000000000001E-3</v>
      </c>
      <c r="G52" s="32">
        <f>VLOOKUP(A48, Setting!$E:$U, 10, FALSE)</f>
        <v>3.5000000000000001E-3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735.2941176470589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100000</v>
      </c>
      <c r="D53" s="28">
        <v>41666.666666666672</v>
      </c>
      <c r="E53" s="4">
        <v>0</v>
      </c>
      <c r="F53" s="32">
        <f>VLOOKUP(A48, Setting!$E:$U, 15, FALSE)</f>
        <v>5.0000000000000001E-3</v>
      </c>
      <c r="G53" s="32">
        <f>VLOOKUP(A48, Setting!$E:$U, 11, FALSE)</f>
        <v>5.0000000000000001E-3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50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1.6000000000000001E-4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10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1.1999999999999999E-3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2.8499999999999998E-2</v>
      </c>
      <c r="H56" s="8">
        <f>SUM(H52:H55)</f>
        <v>1.3599999999999999E-3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3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500000</v>
      </c>
      <c r="D63" s="28" cm="1">
        <f t="array" ref="D63:D66">C63:C66/D59</f>
        <v>166666.66666666666</v>
      </c>
      <c r="E63" s="4" cm="1">
        <f t="array" ref="E63:E66">G63:G66-F63:F66</f>
        <v>0</v>
      </c>
      <c r="F63" s="32">
        <f>VLOOKUP(A59, Setting!$E:$U, 14, FALSE)</f>
        <v>3.5000000000000001E-3</v>
      </c>
      <c r="G63" s="32">
        <f>VLOOKUP(A59, Setting!$E:$U, 10, FALSE)</f>
        <v>3.5000000000000001E-3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735.2941176470589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100000</v>
      </c>
      <c r="D64" s="28">
        <v>33333.333333333336</v>
      </c>
      <c r="E64" s="4">
        <v>0</v>
      </c>
      <c r="F64" s="32">
        <f>VLOOKUP(A59, Setting!$E:$U, 15, FALSE)</f>
        <v>5.0000000000000001E-3</v>
      </c>
      <c r="G64" s="32">
        <f>VLOOKUP(A59, Setting!$E:$U, 11, FALSE)</f>
        <v>5.0000000000000001E-3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50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1.6000000000000001E-4</v>
      </c>
      <c r="I65" s="5">
        <v>5.333333333333334E-5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10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1.1999999999999999E-3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2.8499999999999998E-2</v>
      </c>
      <c r="H67" s="8">
        <f>SUM(H63:H66)</f>
        <v>1.3599999999999999E-3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4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500000</v>
      </c>
      <c r="D74" s="28" cm="1">
        <f t="array" ref="D74:D77">C74:C77/D70</f>
        <v>125000</v>
      </c>
      <c r="E74" s="4" cm="1">
        <f t="array" ref="E74:E77">G74:G77-F74:F77</f>
        <v>0</v>
      </c>
      <c r="F74" s="32">
        <f>VLOOKUP(A70, Setting!$E:$U, 14, FALSE)</f>
        <v>3.5000000000000001E-3</v>
      </c>
      <c r="G74" s="32">
        <f>VLOOKUP(A70, Setting!$E:$U, 10, FALSE)</f>
        <v>3.5000000000000001E-3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735.2941176470589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100000</v>
      </c>
      <c r="D75" s="28">
        <v>25000</v>
      </c>
      <c r="E75" s="4">
        <v>0</v>
      </c>
      <c r="F75" s="32">
        <f>VLOOKUP(A70, Setting!$E:$U, 15, FALSE)</f>
        <v>5.0000000000000001E-3</v>
      </c>
      <c r="G75" s="32">
        <f>VLOOKUP(A70, Setting!$E:$U, 11, FALSE)</f>
        <v>5.0000000000000001E-3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50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1.6000000000000001E-4</v>
      </c>
      <c r="I76" s="5">
        <v>4.0000000000000003E-5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10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1.1999999999999999E-3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2.8499999999999998E-2</v>
      </c>
      <c r="H78" s="8">
        <f>SUM(H74:H77)</f>
        <v>1.3599999999999999E-3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500000</v>
      </c>
      <c r="D85" s="28" cm="1">
        <f t="array" ref="D85:D88">C85:C88/D81</f>
        <v>100000</v>
      </c>
      <c r="E85" s="4" cm="1">
        <f t="array" ref="E85:E88">G85:G88-F85:F88</f>
        <v>0</v>
      </c>
      <c r="F85" s="32">
        <f>VLOOKUP(A81, Setting!$E:$U, 14, FALSE)</f>
        <v>3.5000000000000001E-3</v>
      </c>
      <c r="G85" s="32">
        <f>VLOOKUP(A81, Setting!$E:$U, 10, FALSE)</f>
        <v>3.5000000000000001E-3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735.2941176470589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100000</v>
      </c>
      <c r="D86" s="28">
        <v>20000</v>
      </c>
      <c r="E86" s="4">
        <v>0</v>
      </c>
      <c r="F86" s="32">
        <f>VLOOKUP(A81, Setting!$E:$U, 15, FALSE)</f>
        <v>5.0000000000000001E-3</v>
      </c>
      <c r="G86" s="32">
        <f>VLOOKUP(A81, Setting!$E:$U, 11, FALSE)</f>
        <v>5.0000000000000001E-3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50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1.6000000000000001E-4</v>
      </c>
      <c r="I87" s="5">
        <v>3.2000000000000005E-5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10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1.1999999999999999E-3</v>
      </c>
      <c r="I88" s="5">
        <v>2.3999999999999998E-4</v>
      </c>
      <c r="J88" s="6">
        <v>50</v>
      </c>
      <c r="K88" s="19"/>
      <c r="L88" s="7"/>
      <c r="M88" s="17"/>
    </row>
    <row r="89" spans="1:13">
      <c r="G89" s="34">
        <f>SUM(G85:G88)</f>
        <v>2.8499999999999998E-2</v>
      </c>
      <c r="H89" s="8">
        <f>SUM(H85:H88)</f>
        <v>1.3599999999999999E-3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6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500000</v>
      </c>
      <c r="D96" s="28" cm="1">
        <f t="array" ref="D96:D99">C96:C99/D92</f>
        <v>83333.333333333328</v>
      </c>
      <c r="E96" s="4" cm="1">
        <f t="array" ref="E96:E99">G96:G99-F96:F99</f>
        <v>0</v>
      </c>
      <c r="F96" s="32">
        <f>VLOOKUP(A92, Setting!$E:$U, 14, FALSE)</f>
        <v>3.5000000000000001E-3</v>
      </c>
      <c r="G96" s="32">
        <f>VLOOKUP(A92, Setting!$E:$U, 10, FALSE)</f>
        <v>3.5000000000000001E-3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735.2941176470589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100000</v>
      </c>
      <c r="D97" s="28">
        <v>16666.666666666668</v>
      </c>
      <c r="E97" s="4">
        <v>0</v>
      </c>
      <c r="F97" s="32">
        <f>VLOOKUP(A92, Setting!$E:$U, 15, FALSE)</f>
        <v>5.0000000000000001E-3</v>
      </c>
      <c r="G97" s="32">
        <f>VLOOKUP(A92, Setting!$E:$U, 11, FALSE)</f>
        <v>5.0000000000000001E-3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50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1.6000000000000001E-4</v>
      </c>
      <c r="I98" s="5">
        <v>2.666666666666667E-5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10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1.1999999999999999E-3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2.8499999999999998E-2</v>
      </c>
      <c r="H100" s="8">
        <f>SUM(H96:H99)</f>
        <v>1.3599999999999999E-3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7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500000</v>
      </c>
      <c r="D107" s="28" cm="1">
        <f t="array" ref="D107:D110">C107:C110/D103</f>
        <v>71428.571428571435</v>
      </c>
      <c r="E107" s="4" cm="1">
        <f t="array" ref="E107:E110">G107:G110-F107:F110</f>
        <v>0</v>
      </c>
      <c r="F107" s="32">
        <f>VLOOKUP(A103, Setting!$E:$U, 14, FALSE)</f>
        <v>3.5000000000000001E-3</v>
      </c>
      <c r="G107" s="32">
        <f>VLOOKUP(A103, Setting!$E:$U, 10, FALSE)</f>
        <v>3.5000000000000001E-3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735.2941176470589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100000</v>
      </c>
      <c r="D108" s="28">
        <v>14285.714285714286</v>
      </c>
      <c r="E108" s="4">
        <v>0</v>
      </c>
      <c r="F108" s="32">
        <f>VLOOKUP(A103, Setting!$E:$U, 15, FALSE)</f>
        <v>5.0000000000000001E-3</v>
      </c>
      <c r="G108" s="32">
        <f>VLOOKUP(A103, Setting!$E:$U, 11, FALSE)</f>
        <v>5.0000000000000001E-3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50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1.6000000000000001E-4</v>
      </c>
      <c r="I109" s="5">
        <v>2.2857142857142858E-5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10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1.1999999999999999E-3</v>
      </c>
      <c r="I110" s="5">
        <v>1.7142857142857143E-4</v>
      </c>
      <c r="J110" s="6">
        <v>70</v>
      </c>
      <c r="K110" s="19"/>
      <c r="L110" s="7"/>
      <c r="M110" s="17"/>
    </row>
    <row r="111" spans="1:13">
      <c r="G111" s="34">
        <f>SUM(G107:G110)</f>
        <v>2.8499999999999998E-2</v>
      </c>
      <c r="H111" s="8">
        <f>SUM(H107:H110)</f>
        <v>1.3599999999999999E-3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8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500000</v>
      </c>
      <c r="D118" s="28" cm="1">
        <f t="array" ref="D118:D121">C118:C121/D114</f>
        <v>62500</v>
      </c>
      <c r="E118" s="4" cm="1">
        <f t="array" ref="E118:E121">G118:G121-F118:F121</f>
        <v>0</v>
      </c>
      <c r="F118" s="32">
        <f>VLOOKUP(A114, Setting!$E:$U, 14, FALSE)</f>
        <v>3.5000000000000001E-3</v>
      </c>
      <c r="G118" s="32">
        <f>VLOOKUP(A114, Setting!$E:$U, 10, FALSE)</f>
        <v>3.5000000000000001E-3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735.2941176470589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100000</v>
      </c>
      <c r="D119" s="28">
        <v>12500</v>
      </c>
      <c r="E119" s="4">
        <v>0</v>
      </c>
      <c r="F119" s="32">
        <f>VLOOKUP(A114, Setting!$E:$U, 15, FALSE)</f>
        <v>5.0000000000000001E-3</v>
      </c>
      <c r="G119" s="32">
        <f>VLOOKUP(A114, Setting!$E:$U, 11, FALSE)</f>
        <v>5.0000000000000001E-3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50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1.6000000000000001E-4</v>
      </c>
      <c r="I120" s="5">
        <v>2.0000000000000002E-5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10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1.1999999999999999E-3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2.8499999999999998E-2</v>
      </c>
      <c r="H122" s="8">
        <f>SUM(H118:H121)</f>
        <v>1.3599999999999999E-3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9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500000</v>
      </c>
      <c r="D129" s="28" cm="1">
        <f t="array" ref="D129:D132">C129:C132/D125</f>
        <v>55555.555555555555</v>
      </c>
      <c r="E129" s="4" cm="1">
        <f t="array" ref="E129:E132">G129:G132-F129:F132</f>
        <v>0</v>
      </c>
      <c r="F129" s="32">
        <f>VLOOKUP(A125, Setting!$E:$U, 14, FALSE)</f>
        <v>3.5000000000000001E-3</v>
      </c>
      <c r="G129" s="32">
        <f>VLOOKUP(A125, Setting!$E:$U, 10, FALSE)</f>
        <v>3.5000000000000001E-3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735.2941176470589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100000</v>
      </c>
      <c r="D130" s="28">
        <v>11111.111111111111</v>
      </c>
      <c r="E130" s="4">
        <v>0</v>
      </c>
      <c r="F130" s="32">
        <f>VLOOKUP(A125, Setting!$E:$U, 15, FALSE)</f>
        <v>5.0000000000000001E-3</v>
      </c>
      <c r="G130" s="32">
        <f>VLOOKUP(A125, Setting!$E:$U, 11, FALSE)</f>
        <v>5.0000000000000001E-3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50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1.6000000000000001E-4</v>
      </c>
      <c r="I131" s="5">
        <v>1.777777777777778E-5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10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1.1999999999999999E-3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2.8499999999999998E-2</v>
      </c>
      <c r="H133" s="8">
        <f>SUM(H129:H132)</f>
        <v>1.3599999999999999E-3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10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500000</v>
      </c>
      <c r="D140" s="28" cm="1">
        <f t="array" ref="D140:D143">C140:C143/D136</f>
        <v>50000</v>
      </c>
      <c r="E140" s="4" cm="1">
        <f t="array" ref="E140:E143">G140:G143-F140:F143</f>
        <v>0</v>
      </c>
      <c r="F140" s="32">
        <f>VLOOKUP(A136, Setting!$E:$U, 14, FALSE)</f>
        <v>3.5000000000000001E-3</v>
      </c>
      <c r="G140" s="32">
        <f>VLOOKUP(A136, Setting!$E:$U, 10, FALSE)</f>
        <v>3.5000000000000001E-3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735.2941176470589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100000</v>
      </c>
      <c r="D141" s="28">
        <v>10000</v>
      </c>
      <c r="E141" s="4">
        <v>0</v>
      </c>
      <c r="F141" s="32">
        <f>VLOOKUP(A136, Setting!$E:$U, 15, FALSE)</f>
        <v>5.0000000000000001E-3</v>
      </c>
      <c r="G141" s="32">
        <f>VLOOKUP(A136, Setting!$E:$U, 11, FALSE)</f>
        <v>5.0000000000000001E-3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50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1.6000000000000001E-4</v>
      </c>
      <c r="I142" s="5">
        <v>1.6000000000000003E-5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10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1.1999999999999999E-3</v>
      </c>
      <c r="I143" s="5">
        <v>1.1999999999999999E-4</v>
      </c>
      <c r="J143" s="6">
        <v>100</v>
      </c>
      <c r="K143" s="19"/>
      <c r="L143" s="7"/>
      <c r="M143" s="17"/>
    </row>
    <row r="144" spans="1:13">
      <c r="G144" s="34">
        <f>SUM(G140:G143)</f>
        <v>2.8499999999999998E-2</v>
      </c>
      <c r="H144" s="8">
        <f>SUM(H140:H143)</f>
        <v>1.3599999999999999E-3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12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500000</v>
      </c>
      <c r="D151" s="28" cm="1">
        <f t="array" ref="D151:D154">C151:C154/D147</f>
        <v>41666.666666666664</v>
      </c>
      <c r="E151" s="4" cm="1">
        <f t="array" ref="E151:E154">G151:G154-F151:F154</f>
        <v>0</v>
      </c>
      <c r="F151" s="32">
        <f>VLOOKUP(A147, Setting!$E:$U, 14, FALSE)</f>
        <v>3.5000000000000001E-3</v>
      </c>
      <c r="G151" s="32">
        <f>VLOOKUP(A147, Setting!$E:$U, 10, FALSE)</f>
        <v>3.5000000000000001E-3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735.2941176470589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100000</v>
      </c>
      <c r="D152" s="28">
        <v>8333.3333333333339</v>
      </c>
      <c r="E152" s="4">
        <v>0</v>
      </c>
      <c r="F152" s="32">
        <f>VLOOKUP(A147, Setting!$E:$U, 15, FALSE)</f>
        <v>5.0000000000000001E-3</v>
      </c>
      <c r="G152" s="32">
        <f>VLOOKUP(A147, Setting!$E:$U, 11, FALSE)</f>
        <v>5.0000000000000001E-3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50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1.6000000000000001E-4</v>
      </c>
      <c r="I153" s="5">
        <v>1.3333333333333335E-5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10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1.1999999999999999E-3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2.8499999999999998E-2</v>
      </c>
      <c r="H155" s="8">
        <f>SUM(H151:H154)</f>
        <v>1.3599999999999999E-3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14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500000</v>
      </c>
      <c r="D162" s="28" cm="1">
        <f t="array" ref="D162:D165">C162:C165/D158</f>
        <v>35714.285714285717</v>
      </c>
      <c r="E162" s="4" cm="1">
        <f t="array" ref="E162:E165">G162:G165-F162:F165</f>
        <v>0</v>
      </c>
      <c r="F162" s="32">
        <f>VLOOKUP(A158, Setting!$E:$U, 14, FALSE)</f>
        <v>3.5000000000000001E-3</v>
      </c>
      <c r="G162" s="32">
        <f>VLOOKUP(A158, Setting!$E:$U, 10, FALSE)</f>
        <v>3.5000000000000001E-3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735.2941176470589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100000</v>
      </c>
      <c r="D163" s="28">
        <v>7142.8571428571431</v>
      </c>
      <c r="E163" s="4">
        <v>0</v>
      </c>
      <c r="F163" s="32">
        <f>VLOOKUP(A158, Setting!$E:$U, 15, FALSE)</f>
        <v>5.0000000000000001E-3</v>
      </c>
      <c r="G163" s="32">
        <f>VLOOKUP(A158, Setting!$E:$U, 11, FALSE)</f>
        <v>5.0000000000000001E-3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50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1.6000000000000001E-4</v>
      </c>
      <c r="I164" s="5">
        <v>1.1428571428571429E-5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10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1.1999999999999999E-3</v>
      </c>
      <c r="I165" s="5">
        <v>8.5714285714285713E-5</v>
      </c>
      <c r="J165" s="6">
        <v>140</v>
      </c>
      <c r="K165" s="19"/>
      <c r="L165" s="7"/>
      <c r="M165" s="17"/>
    </row>
    <row r="166" spans="1:13">
      <c r="G166" s="34">
        <f>SUM(G162:G165)</f>
        <v>2.8499999999999998E-2</v>
      </c>
      <c r="H166" s="8">
        <f>SUM(H162:H165)</f>
        <v>1.3599999999999999E-3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16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500000</v>
      </c>
      <c r="D173" s="28" cm="1">
        <f t="array" ref="D173:D176">C173:C176/D169</f>
        <v>31250</v>
      </c>
      <c r="E173" s="4" cm="1">
        <f t="array" ref="E173:E176">G173:G176-F173:F176</f>
        <v>0</v>
      </c>
      <c r="F173" s="32">
        <f>VLOOKUP(A169, Setting!$E:$U, 14, FALSE)</f>
        <v>3.5000000000000001E-3</v>
      </c>
      <c r="G173" s="32">
        <f>VLOOKUP(A169, Setting!$E:$U, 10, FALSE)</f>
        <v>3.5000000000000001E-3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735.2941176470589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100000</v>
      </c>
      <c r="D174" s="28">
        <v>6250</v>
      </c>
      <c r="E174" s="4">
        <v>0</v>
      </c>
      <c r="F174" s="32">
        <f>VLOOKUP(A169, Setting!$E:$U, 15, FALSE)</f>
        <v>5.0000000000000001E-3</v>
      </c>
      <c r="G174" s="32">
        <f>VLOOKUP(A169, Setting!$E:$U, 11, FALSE)</f>
        <v>5.0000000000000001E-3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50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1.6000000000000001E-4</v>
      </c>
      <c r="I175" s="5">
        <v>1.0000000000000001E-5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10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1.1999999999999999E-3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2.8499999999999998E-2</v>
      </c>
      <c r="H177" s="8">
        <f>SUM(H173:H176)</f>
        <v>1.3599999999999999E-3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18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500000</v>
      </c>
      <c r="D184" s="28" cm="1">
        <f t="array" ref="D184:D187">C184:C187/D180</f>
        <v>27777.777777777777</v>
      </c>
      <c r="E184" s="4" cm="1">
        <f t="array" ref="E184:E187">G184:G187-F184:F187</f>
        <v>0</v>
      </c>
      <c r="F184" s="32">
        <f>VLOOKUP(A180, Setting!$E:$U, 14, FALSE)</f>
        <v>3.5000000000000001E-3</v>
      </c>
      <c r="G184" s="32">
        <f>VLOOKUP(A180, Setting!$E:$U, 10, FALSE)</f>
        <v>3.5000000000000001E-3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735.2941176470589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100000</v>
      </c>
      <c r="D185" s="28">
        <v>5555.5555555555557</v>
      </c>
      <c r="E185" s="4">
        <v>0</v>
      </c>
      <c r="F185" s="32">
        <f>VLOOKUP(A180, Setting!$E:$U, 15, FALSE)</f>
        <v>5.0000000000000001E-3</v>
      </c>
      <c r="G185" s="32">
        <f>VLOOKUP(A180, Setting!$E:$U, 11, FALSE)</f>
        <v>5.0000000000000001E-3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50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1.6000000000000001E-4</v>
      </c>
      <c r="I186" s="5">
        <v>8.88888888888889E-6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10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1.1999999999999999E-3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2.8499999999999998E-2</v>
      </c>
      <c r="H188" s="8">
        <f>SUM(H184:H187)</f>
        <v>1.3599999999999999E-3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20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500000</v>
      </c>
      <c r="D195" s="28" cm="1">
        <f t="array" ref="D195:D198">C195:C198/D191</f>
        <v>25000</v>
      </c>
      <c r="E195" s="4" cm="1">
        <f t="array" ref="E195:E198">G195:G198-F195:F198</f>
        <v>0</v>
      </c>
      <c r="F195" s="32">
        <f>VLOOKUP(A191, Setting!$E:$U, 14, FALSE)</f>
        <v>3.5000000000000001E-3</v>
      </c>
      <c r="G195" s="32">
        <f>VLOOKUP(A191, Setting!$E:$U, 10, FALSE)</f>
        <v>3.5000000000000001E-3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735.2941176470589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100000</v>
      </c>
      <c r="D196" s="28">
        <v>5000</v>
      </c>
      <c r="E196" s="4">
        <v>0</v>
      </c>
      <c r="F196" s="32">
        <f>VLOOKUP(A191, Setting!$E:$U, 15, FALSE)</f>
        <v>5.0000000000000001E-3</v>
      </c>
      <c r="G196" s="32">
        <f>VLOOKUP(A191, Setting!$E:$U, 11, FALSE)</f>
        <v>5.0000000000000001E-3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50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1.6000000000000001E-4</v>
      </c>
      <c r="I197" s="5">
        <v>8.0000000000000013E-6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10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1.1999999999999999E-3</v>
      </c>
      <c r="I198" s="5">
        <v>5.9999999999999995E-5</v>
      </c>
      <c r="J198" s="6">
        <v>200</v>
      </c>
      <c r="K198" s="19"/>
      <c r="L198" s="7"/>
      <c r="M198" s="17"/>
    </row>
    <row r="199" spans="1:13">
      <c r="G199" s="34">
        <f>SUM(G195:G198)</f>
        <v>2.8499999999999998E-2</v>
      </c>
      <c r="H199" s="8">
        <f>SUM(H195:H198)</f>
        <v>1.3599999999999999E-3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30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500000</v>
      </c>
      <c r="D206" s="28" cm="1">
        <f t="array" ref="D206:D209">C206:C209/D202</f>
        <v>16666.666666666668</v>
      </c>
      <c r="E206" s="4" cm="1">
        <f t="array" ref="E206:E209">G206:G209-F206:F209</f>
        <v>0</v>
      </c>
      <c r="F206" s="32">
        <f>VLOOKUP(A202, Setting!$E:$U, 14, FALSE)</f>
        <v>3.5000000000000001E-3</v>
      </c>
      <c r="G206" s="32">
        <f>VLOOKUP(A202, Setting!$E:$U, 10, FALSE)</f>
        <v>3.5000000000000001E-3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735.2941176470589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100000</v>
      </c>
      <c r="D207" s="28">
        <v>3333.3333333333335</v>
      </c>
      <c r="E207" s="4">
        <v>0</v>
      </c>
      <c r="F207" s="32">
        <f>VLOOKUP(A202, Setting!$E:$U, 15, FALSE)</f>
        <v>5.0000000000000001E-3</v>
      </c>
      <c r="G207" s="32">
        <f>VLOOKUP(A202, Setting!$E:$U, 11, FALSE)</f>
        <v>5.0000000000000001E-3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50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1.6000000000000001E-4</v>
      </c>
      <c r="I208" s="5">
        <v>5.3333333333333337E-6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10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1.1999999999999999E-3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2.8499999999999998E-2</v>
      </c>
      <c r="H210" s="8">
        <f>SUM(H206:H209)</f>
        <v>1.3599999999999999E-3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40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500000</v>
      </c>
      <c r="D217" s="28" cm="1">
        <f t="array" ref="D217:D220">C217:C220/D213</f>
        <v>12500</v>
      </c>
      <c r="E217" s="4" cm="1">
        <f t="array" ref="E217:E220">G217:G220-F217:F220</f>
        <v>0</v>
      </c>
      <c r="F217" s="32">
        <f>VLOOKUP(A213, Setting!$E:$U, 14, FALSE)</f>
        <v>3.5000000000000001E-3</v>
      </c>
      <c r="G217" s="32">
        <f>VLOOKUP(A213, Setting!$E:$U, 10, FALSE)</f>
        <v>3.5000000000000001E-3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735.2941176470589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100000</v>
      </c>
      <c r="D218" s="28">
        <v>2500</v>
      </c>
      <c r="E218" s="4">
        <v>0</v>
      </c>
      <c r="F218" s="32">
        <f>VLOOKUP(A213, Setting!$E:$U, 15, FALSE)</f>
        <v>5.0000000000000001E-3</v>
      </c>
      <c r="G218" s="32">
        <f>VLOOKUP(A213, Setting!$E:$U, 11, FALSE)</f>
        <v>5.0000000000000001E-3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50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1.6000000000000001E-4</v>
      </c>
      <c r="I219" s="5">
        <v>4.0000000000000007E-6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10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1.1999999999999999E-3</v>
      </c>
      <c r="I220" s="5">
        <v>2.9999999999999997E-5</v>
      </c>
      <c r="J220" s="6">
        <v>400</v>
      </c>
      <c r="K220" s="19"/>
      <c r="L220" s="7"/>
      <c r="M220" s="17"/>
    </row>
    <row r="221" spans="1:13">
      <c r="G221" s="34">
        <f>SUM(G217:G220)</f>
        <v>2.8499999999999998E-2</v>
      </c>
      <c r="H221" s="8">
        <f>SUM(H217:H220)</f>
        <v>1.3599999999999999E-3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60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500000</v>
      </c>
      <c r="D228" s="28" cm="1">
        <f t="array" ref="D228:D231">C228:C231/D224</f>
        <v>8333.3333333333339</v>
      </c>
      <c r="E228" s="4" cm="1">
        <f t="array" ref="E228:E231">G228:G231-F228:F231</f>
        <v>0</v>
      </c>
      <c r="F228" s="32">
        <f>VLOOKUP(A224, Setting!$E:$U, 14, FALSE)</f>
        <v>3.5000000000000001E-3</v>
      </c>
      <c r="G228" s="32">
        <f>VLOOKUP(A224, Setting!$E:$U, 10, FALSE)</f>
        <v>3.5000000000000001E-3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735.2941176470589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100000</v>
      </c>
      <c r="D229" s="28">
        <v>1666.6666666666667</v>
      </c>
      <c r="E229" s="4">
        <v>0</v>
      </c>
      <c r="F229" s="32">
        <f>VLOOKUP(A224, Setting!$E:$U, 15, FALSE)</f>
        <v>5.0000000000000001E-3</v>
      </c>
      <c r="G229" s="32">
        <f>VLOOKUP(A224, Setting!$E:$U, 11, FALSE)</f>
        <v>5.0000000000000001E-3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50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1.6000000000000001E-4</v>
      </c>
      <c r="I230" s="5">
        <v>2.6666666666666668E-6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10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1.1999999999999999E-3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2.8499999999999998E-2</v>
      </c>
      <c r="H232" s="8">
        <f>SUM(H228:H231)</f>
        <v>1.3599999999999999E-3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100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500000</v>
      </c>
      <c r="D239" s="28" cm="1">
        <f t="array" ref="D239:D242">C239:C242/D235</f>
        <v>5000</v>
      </c>
      <c r="E239" s="4" cm="1">
        <f t="array" ref="E239:E242">G239:G242-F239:F242</f>
        <v>0</v>
      </c>
      <c r="F239" s="32">
        <f>VLOOKUP(A235, Setting!$E:$U, 14, FALSE)</f>
        <v>3.5000000000000001E-3</v>
      </c>
      <c r="G239" s="32">
        <f>VLOOKUP(A235, Setting!$E:$U, 10, FALSE)</f>
        <v>3.5000000000000001E-3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735.2941176470589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100000</v>
      </c>
      <c r="D240" s="28">
        <v>1000</v>
      </c>
      <c r="E240" s="4">
        <v>0</v>
      </c>
      <c r="F240" s="32">
        <f>VLOOKUP(A235, Setting!$E:$U, 15, FALSE)</f>
        <v>5.0000000000000001E-3</v>
      </c>
      <c r="G240" s="32">
        <f>VLOOKUP(A235, Setting!$E:$U, 11, FALSE)</f>
        <v>5.0000000000000001E-3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50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1.6000000000000001E-4</v>
      </c>
      <c r="I241" s="5">
        <v>1.6000000000000001E-6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10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1.1999999999999999E-3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2.8499999999999998E-2</v>
      </c>
      <c r="H243" s="8">
        <f>SUM(H239:H242)</f>
        <v>1.3599999999999999E-3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200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500000</v>
      </c>
      <c r="D250" s="28" cm="1">
        <f t="array" ref="D250:D253">C250:C253/D246</f>
        <v>2500</v>
      </c>
      <c r="E250" s="4" cm="1">
        <f t="array" ref="E250:E253">G250:G253-F250:F253</f>
        <v>0</v>
      </c>
      <c r="F250" s="32">
        <f>VLOOKUP(A246, Setting!$E:$U, 14, FALSE)</f>
        <v>3.5000000000000001E-3</v>
      </c>
      <c r="G250" s="32">
        <f>VLOOKUP(A246, Setting!$E:$U, 10, FALSE)</f>
        <v>3.5000000000000001E-3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735.2941176470589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100000</v>
      </c>
      <c r="D251" s="28">
        <v>500</v>
      </c>
      <c r="E251" s="4">
        <v>0</v>
      </c>
      <c r="F251" s="32">
        <f>VLOOKUP(A246, Setting!$E:$U, 15, FALSE)</f>
        <v>5.0000000000000001E-3</v>
      </c>
      <c r="G251" s="32">
        <f>VLOOKUP(A246, Setting!$E:$U, 11, FALSE)</f>
        <v>5.0000000000000001E-3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50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1.6000000000000001E-4</v>
      </c>
      <c r="I252" s="5">
        <v>8.0000000000000007E-7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10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1.1999999999999999E-3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2.8499999999999998E-2</v>
      </c>
      <c r="H254" s="8">
        <f>SUM(H250:H253)</f>
        <v>1.3599999999999999E-3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300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500000</v>
      </c>
      <c r="D261" s="28" cm="1">
        <f t="array" ref="D261:D264">C261:C264/D257</f>
        <v>1666.6666666666667</v>
      </c>
      <c r="E261" s="4" cm="1">
        <f t="array" ref="E261:E264">G261:G264-F261:F264</f>
        <v>0</v>
      </c>
      <c r="F261" s="32">
        <f>VLOOKUP(A257, Setting!$E:$U, 14, FALSE)</f>
        <v>3.5000000000000001E-3</v>
      </c>
      <c r="G261" s="32">
        <f>VLOOKUP(A257, Setting!$E:$U, 10, FALSE)</f>
        <v>3.5000000000000001E-3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735.2941176470589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100000</v>
      </c>
      <c r="D262" s="28">
        <v>333.33333333333331</v>
      </c>
      <c r="E262" s="4">
        <v>0</v>
      </c>
      <c r="F262" s="32">
        <f>VLOOKUP(A257, Setting!$E:$U, 15, FALSE)</f>
        <v>5.0000000000000001E-3</v>
      </c>
      <c r="G262" s="32">
        <f>VLOOKUP(A257, Setting!$E:$U, 11, FALSE)</f>
        <v>5.0000000000000001E-3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50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1.6000000000000001E-4</v>
      </c>
      <c r="I263" s="5">
        <v>5.3333333333333334E-7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10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1.1999999999999999E-3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2.8499999999999998E-2</v>
      </c>
      <c r="H265" s="8">
        <f>SUM(H261:H264)</f>
        <v>1.3599999999999999E-3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600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500000</v>
      </c>
      <c r="D272" s="28" cm="1">
        <f t="array" ref="D272:D275">C272:C275/D268</f>
        <v>833.33333333333337</v>
      </c>
      <c r="E272" s="4" cm="1">
        <f t="array" ref="E272:E275">G272:G275-F272:F275</f>
        <v>0</v>
      </c>
      <c r="F272" s="32">
        <f>VLOOKUP(A268, Setting!$E:$U, 14, FALSE)</f>
        <v>3.5000000000000001E-3</v>
      </c>
      <c r="G272" s="32">
        <f>VLOOKUP(A268, Setting!$E:$U, 10, FALSE)</f>
        <v>3.5000000000000001E-3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735.2941176470589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100000</v>
      </c>
      <c r="D273" s="28">
        <v>166.66666666666666</v>
      </c>
      <c r="E273" s="4">
        <v>0</v>
      </c>
      <c r="F273" s="32">
        <f>VLOOKUP(A268, Setting!$E:$U, 15, FALSE)</f>
        <v>5.0000000000000001E-3</v>
      </c>
      <c r="G273" s="32">
        <f>VLOOKUP(A268, Setting!$E:$U, 11, FALSE)</f>
        <v>5.0000000000000001E-3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50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1.6000000000000001E-4</v>
      </c>
      <c r="I274" s="5">
        <v>2.6666666666666667E-7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10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1.1999999999999999E-3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2.8499999999999998E-2</v>
      </c>
      <c r="H276" s="8">
        <f>SUM(H272:H275)</f>
        <v>1.3599999999999999E-3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1000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500000</v>
      </c>
      <c r="D283" s="28" cm="1">
        <f t="array" ref="D283:D286">C283:C286/D279</f>
        <v>500</v>
      </c>
      <c r="E283" s="4" cm="1">
        <f t="array" ref="E283:E286">G283:G286-F283:F286</f>
        <v>0</v>
      </c>
      <c r="F283" s="32">
        <f>VLOOKUP(A279, Setting!$E:$U, 14, FALSE)</f>
        <v>3.5000000000000001E-3</v>
      </c>
      <c r="G283" s="32">
        <f>VLOOKUP(A279, Setting!$E:$U, 10, FALSE)</f>
        <v>3.5000000000000001E-3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735.2941176470589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100000</v>
      </c>
      <c r="D284" s="28">
        <v>100</v>
      </c>
      <c r="E284" s="4">
        <v>0</v>
      </c>
      <c r="F284" s="32">
        <f>VLOOKUP(A279, Setting!$E:$U, 15, FALSE)</f>
        <v>5.0000000000000001E-3</v>
      </c>
      <c r="G284" s="32">
        <f>VLOOKUP(A279, Setting!$E:$U, 11, FALSE)</f>
        <v>5.0000000000000001E-3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50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1.6000000000000001E-4</v>
      </c>
      <c r="I285" s="5">
        <v>1.6E-7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10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1.1999999999999999E-3</v>
      </c>
      <c r="I286" s="5">
        <v>1.1999999999999999E-6</v>
      </c>
      <c r="J286" s="6">
        <v>10000</v>
      </c>
      <c r="K286" s="19"/>
      <c r="L286" s="7"/>
      <c r="M286" s="17"/>
    </row>
    <row r="287" spans="1:13">
      <c r="G287" s="34">
        <f>SUM(G283:G286)</f>
        <v>2.8499999999999998E-2</v>
      </c>
      <c r="H287" s="8">
        <f>SUM(H283:H286)</f>
        <v>1.3599999999999999E-3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1500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500000</v>
      </c>
      <c r="D294" s="28" cm="1">
        <f t="array" ref="D294:D297">C294:C297/D290</f>
        <v>333.33333333333331</v>
      </c>
      <c r="E294" s="4" cm="1">
        <f t="array" ref="E294:E297">G294:G297-F294:F297</f>
        <v>0</v>
      </c>
      <c r="F294" s="32">
        <f>VLOOKUP(A290, Setting!$E:$U, 14, FALSE)</f>
        <v>3.5000000000000001E-3</v>
      </c>
      <c r="G294" s="32">
        <f>VLOOKUP(A290, Setting!$E:$U, 10, FALSE)</f>
        <v>3.5000000000000001E-3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735.2941176470589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100000</v>
      </c>
      <c r="D295" s="28">
        <v>66.666666666666671</v>
      </c>
      <c r="E295" s="4">
        <v>0</v>
      </c>
      <c r="F295" s="32">
        <f>VLOOKUP(A290, Setting!$E:$U, 15, FALSE)</f>
        <v>5.0000000000000001E-3</v>
      </c>
      <c r="G295" s="32">
        <f>VLOOKUP(A290, Setting!$E:$U, 11, FALSE)</f>
        <v>5.0000000000000001E-3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50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1.6000000000000001E-4</v>
      </c>
      <c r="I296" s="5">
        <v>1.0666666666666667E-7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10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1.1999999999999999E-3</v>
      </c>
      <c r="I297" s="5">
        <v>7.9999999999999996E-7</v>
      </c>
      <c r="J297" s="6">
        <v>15000</v>
      </c>
      <c r="K297" s="19"/>
      <c r="L297" s="7"/>
      <c r="M297" s="17"/>
    </row>
    <row r="298" spans="1:13">
      <c r="G298" s="34">
        <f>SUM(G294:G297)</f>
        <v>2.8499999999999998E-2</v>
      </c>
      <c r="H298" s="8">
        <f>SUM(H294:H297)</f>
        <v>1.3599999999999999E-3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2000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500000</v>
      </c>
      <c r="D305" s="28" cm="1">
        <f t="array" ref="D305:D308">C305:C308/D301</f>
        <v>250</v>
      </c>
      <c r="E305" s="4" cm="1">
        <f t="array" ref="E305:E308">G305:G308-F305:F308</f>
        <v>0</v>
      </c>
      <c r="F305" s="32">
        <f>VLOOKUP(A301, Setting!$E:$U, 14, FALSE)</f>
        <v>3.5000000000000001E-3</v>
      </c>
      <c r="G305" s="32">
        <f>VLOOKUP(A301, Setting!$E:$U, 10, FALSE)</f>
        <v>3.5000000000000001E-3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735.2941176470589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100000</v>
      </c>
      <c r="D306" s="28">
        <v>50</v>
      </c>
      <c r="E306" s="4">
        <v>0</v>
      </c>
      <c r="F306" s="32">
        <f>VLOOKUP(A301, Setting!$E:$U, 15, FALSE)</f>
        <v>5.0000000000000001E-3</v>
      </c>
      <c r="G306" s="32">
        <f>VLOOKUP(A301, Setting!$E:$U, 11, FALSE)</f>
        <v>5.0000000000000001E-3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50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1.6000000000000001E-4</v>
      </c>
      <c r="I307" s="5">
        <v>8.0000000000000002E-8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10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1.1999999999999999E-3</v>
      </c>
      <c r="I308" s="5">
        <v>5.9999999999999997E-7</v>
      </c>
      <c r="J308" s="6">
        <v>20000</v>
      </c>
      <c r="K308" s="19"/>
      <c r="L308" s="7"/>
      <c r="M308" s="17"/>
    </row>
    <row r="309" spans="1:13">
      <c r="G309" s="34">
        <f>SUM(G305:G308)</f>
        <v>2.8499999999999998E-2</v>
      </c>
      <c r="H309" s="8">
        <f>SUM(H305:H308)</f>
        <v>1.3599999999999999E-3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3000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500000</v>
      </c>
      <c r="D316" s="28" cm="1">
        <f t="array" ref="D316:D319">C316:C319/D312</f>
        <v>166.66666666666666</v>
      </c>
      <c r="E316" s="4" cm="1">
        <f t="array" ref="E316:E319">G316:G319-F316:F319</f>
        <v>0</v>
      </c>
      <c r="F316" s="32">
        <f>VLOOKUP(A312, Setting!$E:$U, 14, FALSE)</f>
        <v>3.5000000000000001E-3</v>
      </c>
      <c r="G316" s="32">
        <f>VLOOKUP(A312, Setting!$E:$U, 10, FALSE)</f>
        <v>3.5000000000000001E-3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735.2941176470589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100000</v>
      </c>
      <c r="D317" s="28">
        <v>33.333333333333336</v>
      </c>
      <c r="E317" s="4">
        <v>0</v>
      </c>
      <c r="F317" s="32">
        <f>VLOOKUP(A312, Setting!$E:$U, 15, FALSE)</f>
        <v>5.0000000000000001E-3</v>
      </c>
      <c r="G317" s="32">
        <f>VLOOKUP(A312, Setting!$E:$U, 11, FALSE)</f>
        <v>5.0000000000000001E-3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50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1.6000000000000001E-4</v>
      </c>
      <c r="I318" s="5">
        <v>5.3333333333333334E-8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10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1.1999999999999999E-3</v>
      </c>
      <c r="I319" s="5">
        <v>3.9999999999999998E-7</v>
      </c>
      <c r="J319" s="6">
        <v>30000</v>
      </c>
      <c r="K319" s="19"/>
      <c r="L319" s="7"/>
      <c r="M319" s="17"/>
    </row>
    <row r="320" spans="1:13">
      <c r="G320" s="34">
        <f>SUM(G316:G319)</f>
        <v>2.8499999999999998E-2</v>
      </c>
      <c r="H320" s="8">
        <f>SUM(H316:H319)</f>
        <v>1.3599999999999999E-3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500000</v>
      </c>
      <c r="D327" s="28" cm="1">
        <f t="array" ref="D327:D330">C327:C330/D323</f>
        <v>100</v>
      </c>
      <c r="E327" s="4" cm="1">
        <f t="array" ref="E327:E330">G327:G330-F327:F330</f>
        <v>0</v>
      </c>
      <c r="F327" s="32">
        <f>VLOOKUP(A323, Setting!$E:$U, 14, FALSE)</f>
        <v>3.5000000000000001E-3</v>
      </c>
      <c r="G327" s="32">
        <f>VLOOKUP(A323, Setting!$E:$U, 10, FALSE)</f>
        <v>3.5000000000000001E-3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735.2941176470589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100000</v>
      </c>
      <c r="D328" s="28">
        <v>20</v>
      </c>
      <c r="E328" s="4">
        <v>0</v>
      </c>
      <c r="F328" s="32">
        <f>VLOOKUP(A323, Setting!$E:$U, 15, FALSE)</f>
        <v>5.0000000000000001E-3</v>
      </c>
      <c r="G328" s="32">
        <f>VLOOKUP(A323, Setting!$E:$U, 11, FALSE)</f>
        <v>5.0000000000000001E-3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50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1.6000000000000001E-4</v>
      </c>
      <c r="I329" s="5">
        <v>3.2000000000000002E-8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10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1.1999999999999999E-3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2.8499999999999998E-2</v>
      </c>
      <c r="H331" s="8">
        <f>SUM(H327:H330)</f>
        <v>1.3599999999999999E-3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2026-05-19T06:47:28Z</dcterms:modified>
</cp:coreProperties>
</file>