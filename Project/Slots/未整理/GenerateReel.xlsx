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\Slots\"/>
    </mc:Choice>
  </mc:AlternateContent>
  <xr:revisionPtr revIDLastSave="0" documentId="13_ncr:1_{2D617573-2222-4AE6-B9EB-760511E032A2}" xr6:coauthVersionLast="47" xr6:coauthVersionMax="47" xr10:uidLastSave="{00000000-0000-0000-0000-000000000000}"/>
  <bookViews>
    <workbookView xWindow="732" yWindow="1776" windowWidth="18408" windowHeight="11232" tabRatio="715" xr2:uid="{2D9C4FB0-8D26-4AB3-AABE-13FDF07811A4}"/>
  </bookViews>
  <sheets>
    <sheet name="BG" sheetId="22" r:id="rId1"/>
    <sheet name="FG" sheetId="23" r:id="rId2"/>
    <sheet name="BG (8)" sheetId="19" state="hidden" r:id="rId3"/>
    <sheet name="BG (7)" sheetId="18" state="hidden" r:id="rId4"/>
    <sheet name="BG (6)" sheetId="17" state="hidden" r:id="rId5"/>
    <sheet name="BG (5)" sheetId="16" state="hidden" r:id="rId6"/>
    <sheet name="BG (4)" sheetId="15" state="hidden" r:id="rId7"/>
    <sheet name="BG (3)" sheetId="14" state="hidden" r:id="rId8"/>
    <sheet name="BG (2)" sheetId="10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22" l="1"/>
  <c r="E142" i="22" a="1"/>
  <c r="E142" i="22" s="1"/>
  <c r="E119" i="22" a="1"/>
  <c r="E119" i="22" s="1"/>
  <c r="E96" i="22" a="1"/>
  <c r="E96" i="22" s="1"/>
  <c r="E73" i="22" a="1"/>
  <c r="E73" i="22" s="1"/>
  <c r="C142" i="22" a="1"/>
  <c r="C119" i="22" a="1"/>
  <c r="C96" i="22" a="1"/>
  <c r="C73" i="22" a="1"/>
  <c r="E50" i="22" a="1"/>
  <c r="E50" i="22" s="1"/>
  <c r="C50" i="22" a="1"/>
  <c r="C50" i="22" s="1"/>
  <c r="E27" i="22" a="1"/>
  <c r="E27" i="22" s="1"/>
  <c r="F27" i="22" s="1"/>
  <c r="D27" i="22" a="1"/>
  <c r="D27" i="22" s="1"/>
  <c r="C27" i="22" a="1"/>
  <c r="C27" i="22" s="1"/>
  <c r="H22" i="22"/>
  <c r="G22" i="22"/>
  <c r="E22" i="22"/>
  <c r="D22" i="22"/>
  <c r="C22" i="22"/>
  <c r="F38" i="23"/>
  <c r="K38" i="23"/>
  <c r="E36" i="23" a="1"/>
  <c r="G39" i="23" a="1"/>
  <c r="G39" i="23" s="1"/>
  <c r="G55" i="23"/>
  <c r="F55" i="23" s="1"/>
  <c r="K55" i="23" s="1"/>
  <c r="F56" i="23"/>
  <c r="K56" i="23"/>
  <c r="F57" i="23"/>
  <c r="K57" i="23"/>
  <c r="F58" i="23"/>
  <c r="K58" i="23"/>
  <c r="F59" i="23"/>
  <c r="K59" i="23"/>
  <c r="F60" i="23"/>
  <c r="E52" i="23" a="1"/>
  <c r="K60" i="23" s="1"/>
  <c r="G55" i="23" a="1"/>
  <c r="F70" i="23"/>
  <c r="K70" i="23"/>
  <c r="G71" i="23"/>
  <c r="F71" i="23" s="1"/>
  <c r="K71" i="23" s="1"/>
  <c r="F72" i="23"/>
  <c r="E68" i="23" a="1"/>
  <c r="K72" i="23" s="1"/>
  <c r="G71" i="23" a="1"/>
  <c r="F79" i="23" s="1"/>
  <c r="K79" i="23" s="1"/>
  <c r="E84" i="23"/>
  <c r="F84" i="23"/>
  <c r="K84" i="23"/>
  <c r="E84" i="23" a="1"/>
  <c r="F85" i="23" s="1"/>
  <c r="F102" i="23"/>
  <c r="K102" i="23"/>
  <c r="G103" i="23"/>
  <c r="F103" i="23" s="1"/>
  <c r="K103" i="23" s="1"/>
  <c r="F104" i="23"/>
  <c r="K104" i="23"/>
  <c r="F105" i="23"/>
  <c r="K105" i="23"/>
  <c r="F106" i="23"/>
  <c r="E100" i="23" a="1"/>
  <c r="K106" i="23" s="1"/>
  <c r="G103" i="23" a="1"/>
  <c r="F111" i="23" s="1"/>
  <c r="K111" i="23" s="1"/>
  <c r="C15" i="23"/>
  <c r="D15" i="23"/>
  <c r="E15" i="23"/>
  <c r="F15" i="23"/>
  <c r="G15" i="23"/>
  <c r="H15" i="23"/>
  <c r="E20" i="23" a="1"/>
  <c r="G23" i="23" s="1" a="1"/>
  <c r="F26" i="23" s="1"/>
  <c r="K26" i="23" s="1"/>
  <c r="K16" i="23"/>
  <c r="K23" i="22"/>
  <c r="F78" i="22" l="1"/>
  <c r="K78" i="22" s="1"/>
  <c r="F149" i="22"/>
  <c r="K149" i="22" s="1"/>
  <c r="F150" i="22"/>
  <c r="K150" i="22" s="1"/>
  <c r="F159" i="22"/>
  <c r="K159" i="22" s="1"/>
  <c r="F147" i="22"/>
  <c r="K147" i="22" s="1"/>
  <c r="F148" i="22"/>
  <c r="K148" i="22" s="1"/>
  <c r="F158" i="22"/>
  <c r="K158" i="22" s="1"/>
  <c r="F79" i="22"/>
  <c r="K79" i="22" s="1"/>
  <c r="F89" i="22"/>
  <c r="K89" i="22" s="1"/>
  <c r="F90" i="22"/>
  <c r="K90" i="22" s="1"/>
  <c r="F137" i="22"/>
  <c r="K137" i="22" s="1"/>
  <c r="F80" i="22"/>
  <c r="K80" i="22" s="1"/>
  <c r="F103" i="22"/>
  <c r="K103" i="22" s="1"/>
  <c r="F126" i="22"/>
  <c r="K126" i="22" s="1"/>
  <c r="F127" i="22"/>
  <c r="K127" i="22" s="1"/>
  <c r="F135" i="22"/>
  <c r="K135" i="22" s="1"/>
  <c r="F136" i="22"/>
  <c r="K136" i="22" s="1"/>
  <c r="F156" i="22"/>
  <c r="K156" i="22" s="1"/>
  <c r="F88" i="22"/>
  <c r="K88" i="22" s="1"/>
  <c r="F157" i="22"/>
  <c r="K157" i="22" s="1"/>
  <c r="F101" i="22"/>
  <c r="K101" i="22" s="1"/>
  <c r="F110" i="22"/>
  <c r="K110" i="22" s="1"/>
  <c r="F102" i="22"/>
  <c r="K102" i="22" s="1"/>
  <c r="F134" i="22"/>
  <c r="K134" i="22" s="1"/>
  <c r="F112" i="22"/>
  <c r="K112" i="22" s="1"/>
  <c r="F113" i="22"/>
  <c r="K113" i="22" s="1"/>
  <c r="F104" i="22"/>
  <c r="K104" i="22" s="1"/>
  <c r="F111" i="22"/>
  <c r="K111" i="22" s="1"/>
  <c r="F160" i="22"/>
  <c r="K160" i="22" s="1"/>
  <c r="F114" i="22"/>
  <c r="K114" i="22" s="1"/>
  <c r="F54" i="22"/>
  <c r="K54" i="22" s="1"/>
  <c r="F55" i="22"/>
  <c r="K55" i="22" s="1"/>
  <c r="F56" i="22"/>
  <c r="K56" i="22" s="1"/>
  <c r="F65" i="22"/>
  <c r="K65" i="22" s="1"/>
  <c r="F63" i="22"/>
  <c r="K63" i="22" s="1"/>
  <c r="F57" i="22"/>
  <c r="K57" i="22" s="1"/>
  <c r="F58" i="22"/>
  <c r="K58" i="22" s="1"/>
  <c r="F64" i="22"/>
  <c r="K64" i="22" s="1"/>
  <c r="F66" i="22"/>
  <c r="K66" i="22" s="1"/>
  <c r="F67" i="22"/>
  <c r="K67" i="22" s="1"/>
  <c r="F68" i="22"/>
  <c r="K68" i="22" s="1"/>
  <c r="F133" i="22"/>
  <c r="K133" i="22" s="1"/>
  <c r="F43" i="22"/>
  <c r="F45" i="22"/>
  <c r="F44" i="22"/>
  <c r="F124" i="22"/>
  <c r="K124" i="22" s="1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91" i="22"/>
  <c r="K91" i="22" s="1"/>
  <c r="F125" i="22"/>
  <c r="K125" i="22" s="1"/>
  <c r="C142" i="22"/>
  <c r="F151" i="22"/>
  <c r="K151" i="22" s="1"/>
  <c r="F142" i="22"/>
  <c r="F152" i="22"/>
  <c r="K152" i="22" s="1"/>
  <c r="F143" i="22"/>
  <c r="K143" i="22" s="1"/>
  <c r="F153" i="22"/>
  <c r="K153" i="22" s="1"/>
  <c r="F144" i="22"/>
  <c r="K144" i="22" s="1"/>
  <c r="F154" i="22"/>
  <c r="K154" i="22" s="1"/>
  <c r="F145" i="22"/>
  <c r="K145" i="22" s="1"/>
  <c r="F155" i="22"/>
  <c r="K155" i="22" s="1"/>
  <c r="F146" i="22"/>
  <c r="K146" i="22" s="1"/>
  <c r="C119" i="22"/>
  <c r="F128" i="22"/>
  <c r="K128" i="22" s="1"/>
  <c r="F119" i="22"/>
  <c r="F129" i="22"/>
  <c r="K129" i="22" s="1"/>
  <c r="F120" i="22"/>
  <c r="K120" i="22" s="1"/>
  <c r="F130" i="22"/>
  <c r="K130" i="22" s="1"/>
  <c r="F121" i="22"/>
  <c r="K121" i="22" s="1"/>
  <c r="F131" i="22"/>
  <c r="K131" i="22" s="1"/>
  <c r="F122" i="22"/>
  <c r="K122" i="22" s="1"/>
  <c r="F132" i="22"/>
  <c r="K132" i="22" s="1"/>
  <c r="F123" i="22"/>
  <c r="K123" i="22" s="1"/>
  <c r="C96" i="22"/>
  <c r="F105" i="22"/>
  <c r="K105" i="22" s="1"/>
  <c r="F96" i="22"/>
  <c r="F106" i="22"/>
  <c r="K106" i="22" s="1"/>
  <c r="F97" i="22"/>
  <c r="K97" i="22" s="1"/>
  <c r="F107" i="22"/>
  <c r="K107" i="22" s="1"/>
  <c r="F98" i="22"/>
  <c r="K98" i="22" s="1"/>
  <c r="F108" i="22"/>
  <c r="K108" i="22" s="1"/>
  <c r="F99" i="22"/>
  <c r="K99" i="22" s="1"/>
  <c r="F109" i="22"/>
  <c r="K109" i="22" s="1"/>
  <c r="F100" i="22"/>
  <c r="K100" i="22" s="1"/>
  <c r="F82" i="22"/>
  <c r="K82" i="22" s="1"/>
  <c r="F73" i="22"/>
  <c r="F83" i="22"/>
  <c r="K83" i="22" s="1"/>
  <c r="F74" i="22"/>
  <c r="K74" i="22" s="1"/>
  <c r="F84" i="22"/>
  <c r="K84" i="22" s="1"/>
  <c r="F75" i="22"/>
  <c r="K75" i="22" s="1"/>
  <c r="F85" i="22"/>
  <c r="K85" i="22" s="1"/>
  <c r="F76" i="22"/>
  <c r="K76" i="22" s="1"/>
  <c r="F86" i="22"/>
  <c r="K86" i="22" s="1"/>
  <c r="F77" i="22"/>
  <c r="K77" i="22" s="1"/>
  <c r="F87" i="22"/>
  <c r="K87" i="22" s="1"/>
  <c r="F81" i="22"/>
  <c r="K81" i="22" s="1"/>
  <c r="C73" i="22"/>
  <c r="F59" i="22"/>
  <c r="K59" i="22" s="1"/>
  <c r="F50" i="22"/>
  <c r="F60" i="22"/>
  <c r="K60" i="22" s="1"/>
  <c r="F51" i="22"/>
  <c r="K51" i="22" s="1"/>
  <c r="F61" i="22"/>
  <c r="K61" i="22" s="1"/>
  <c r="F52" i="22"/>
  <c r="K52" i="22" s="1"/>
  <c r="F62" i="22"/>
  <c r="K62" i="22" s="1"/>
  <c r="F53" i="22"/>
  <c r="K53" i="22" s="1"/>
  <c r="F39" i="23"/>
  <c r="F47" i="23"/>
  <c r="K69" i="23"/>
  <c r="F45" i="23"/>
  <c r="K45" i="23" s="1"/>
  <c r="F78" i="23"/>
  <c r="K78" i="23" s="1"/>
  <c r="K77" i="23"/>
  <c r="K101" i="23"/>
  <c r="F77" i="23"/>
  <c r="F101" i="23"/>
  <c r="F110" i="23"/>
  <c r="F76" i="23"/>
  <c r="K76" i="23" s="1"/>
  <c r="F42" i="23"/>
  <c r="K109" i="23"/>
  <c r="F41" i="23"/>
  <c r="K41" i="23" s="1"/>
  <c r="F53" i="23"/>
  <c r="F108" i="23"/>
  <c r="G87" i="23" a="1"/>
  <c r="F95" i="23" s="1"/>
  <c r="K95" i="23" s="1"/>
  <c r="K86" i="23"/>
  <c r="F74" i="23"/>
  <c r="K74" i="23" s="1"/>
  <c r="F62" i="23"/>
  <c r="K62" i="23" s="1"/>
  <c r="F40" i="23"/>
  <c r="K40" i="23" s="1"/>
  <c r="K107" i="23"/>
  <c r="F86" i="23"/>
  <c r="K39" i="23"/>
  <c r="F37" i="23"/>
  <c r="K37" i="23" s="1"/>
  <c r="F46" i="23"/>
  <c r="K46" i="23" s="1"/>
  <c r="E36" i="23"/>
  <c r="F69" i="23"/>
  <c r="F44" i="23"/>
  <c r="K44" i="23" s="1"/>
  <c r="E68" i="23"/>
  <c r="F43" i="23"/>
  <c r="K43" i="23" s="1"/>
  <c r="K110" i="23"/>
  <c r="K42" i="23"/>
  <c r="K75" i="23"/>
  <c r="F63" i="23"/>
  <c r="K63" i="23" s="1"/>
  <c r="F54" i="23"/>
  <c r="K54" i="23" s="1"/>
  <c r="F109" i="23"/>
  <c r="E100" i="23"/>
  <c r="F75" i="23"/>
  <c r="K53" i="23"/>
  <c r="K108" i="23"/>
  <c r="F107" i="23"/>
  <c r="K85" i="23"/>
  <c r="F73" i="23"/>
  <c r="K73" i="23" s="1"/>
  <c r="F61" i="23"/>
  <c r="K61" i="23" s="1"/>
  <c r="E52" i="23"/>
  <c r="K47" i="23"/>
  <c r="J3" i="23" a="1"/>
  <c r="J3" i="23" s="1"/>
  <c r="F21" i="23"/>
  <c r="K21" i="23" s="1"/>
  <c r="F30" i="23"/>
  <c r="K30" i="23" s="1"/>
  <c r="F25" i="23"/>
  <c r="K25" i="23" s="1"/>
  <c r="F27" i="23"/>
  <c r="K27" i="23" s="1"/>
  <c r="F28" i="23"/>
  <c r="K28" i="23" s="1"/>
  <c r="E20" i="23"/>
  <c r="G23" i="23"/>
  <c r="F23" i="23" s="1"/>
  <c r="K23" i="23" s="1"/>
  <c r="F24" i="23"/>
  <c r="K24" i="23" s="1"/>
  <c r="F29" i="23"/>
  <c r="K29" i="23" s="1"/>
  <c r="F22" i="23"/>
  <c r="K22" i="23" s="1"/>
  <c r="F31" i="23"/>
  <c r="K31" i="23" s="1"/>
  <c r="J3" i="22" a="1"/>
  <c r="J3" i="22" s="1"/>
  <c r="B11" i="19" a="1"/>
  <c r="B11" i="19" s="1"/>
  <c r="B11" i="18" a="1"/>
  <c r="B11" i="18" s="1"/>
  <c r="B11" i="17" a="1"/>
  <c r="B11" i="17" s="1"/>
  <c r="B11" i="16" a="1"/>
  <c r="B11" i="16" s="1"/>
  <c r="B11" i="15" a="1"/>
  <c r="B11" i="15" s="1"/>
  <c r="B11" i="14" a="1"/>
  <c r="B11" i="14" s="1"/>
  <c r="B11" i="10" a="1"/>
  <c r="B11" i="10" s="1"/>
  <c r="K142" i="22" l="1"/>
  <c r="K119" i="22"/>
  <c r="K96" i="22"/>
  <c r="K73" i="22"/>
  <c r="K50" i="22"/>
  <c r="K30" i="22"/>
  <c r="K38" i="22"/>
  <c r="K39" i="22"/>
  <c r="K40" i="22"/>
  <c r="K41" i="22"/>
  <c r="K42" i="22"/>
  <c r="K43" i="22"/>
  <c r="K44" i="22"/>
  <c r="K37" i="22"/>
  <c r="K28" i="22"/>
  <c r="K36" i="22"/>
  <c r="K34" i="22"/>
  <c r="K35" i="22"/>
  <c r="K32" i="22"/>
  <c r="K45" i="22"/>
  <c r="K29" i="22"/>
  <c r="K31" i="22"/>
  <c r="K33" i="22"/>
  <c r="K27" i="22"/>
  <c r="F36" i="23"/>
  <c r="K36" i="23"/>
  <c r="F100" i="23"/>
  <c r="K100" i="23"/>
  <c r="F68" i="23"/>
  <c r="K68" i="23"/>
  <c r="G87" i="23"/>
  <c r="F87" i="23" s="1"/>
  <c r="K87" i="23" s="1"/>
  <c r="F89" i="23"/>
  <c r="K89" i="23" s="1"/>
  <c r="F90" i="23"/>
  <c r="K90" i="23" s="1"/>
  <c r="F91" i="23"/>
  <c r="K91" i="23" s="1"/>
  <c r="F94" i="23"/>
  <c r="K94" i="23" s="1"/>
  <c r="F88" i="23"/>
  <c r="K88" i="23" s="1"/>
  <c r="F92" i="23"/>
  <c r="K92" i="23" s="1"/>
  <c r="F93" i="23"/>
  <c r="K93" i="23" s="1"/>
  <c r="F52" i="23"/>
  <c r="K52" i="23"/>
  <c r="F20" i="23"/>
  <c r="K20" i="23" s="1"/>
  <c r="J38" i="19" l="1"/>
  <c r="J38" i="18"/>
  <c r="J38" i="17"/>
  <c r="J38" i="16"/>
  <c r="J38" i="15"/>
  <c r="J38" i="14"/>
  <c r="J38" i="10"/>
  <c r="B3" i="16" l="1"/>
  <c r="B23" i="16" s="1" a="1"/>
  <c r="B8" i="16" a="1"/>
  <c r="B8" i="16" s="1"/>
  <c r="B27" i="16" s="1" a="1"/>
  <c r="B27" i="16" s="1"/>
  <c r="B3" i="15"/>
  <c r="B23" i="15" s="1" a="1"/>
  <c r="B8" i="15" a="1"/>
  <c r="B8" i="15" s="1"/>
  <c r="B27" i="15" s="1" a="1"/>
  <c r="B27" i="15" s="1"/>
  <c r="B3" i="19"/>
  <c r="B23" i="19" s="1" a="1"/>
  <c r="B8" i="19" a="1"/>
  <c r="B8" i="19" s="1"/>
  <c r="B27" i="19" s="1" a="1"/>
  <c r="B27" i="19" s="1"/>
  <c r="B8" i="17" a="1"/>
  <c r="B8" i="17" s="1"/>
  <c r="B27" i="17" s="1" a="1"/>
  <c r="B27" i="17" s="1"/>
  <c r="B3" i="17"/>
  <c r="B23" i="17" s="1" a="1"/>
  <c r="B8" i="10" a="1"/>
  <c r="B8" i="10" s="1"/>
  <c r="B3" i="10"/>
  <c r="B3" i="14"/>
  <c r="B23" i="14" s="1" a="1"/>
  <c r="B8" i="14" a="1"/>
  <c r="B8" i="14" s="1"/>
  <c r="B27" i="14" s="1" a="1"/>
  <c r="B27" i="14" s="1"/>
  <c r="B8" i="18" a="1"/>
  <c r="B8" i="18" s="1"/>
  <c r="B27" i="18" s="1" a="1"/>
  <c r="B27" i="18" s="1"/>
  <c r="B3" i="18"/>
  <c r="B23" i="18" s="1" a="1"/>
  <c r="B23" i="15" l="1"/>
  <c r="B23" i="14"/>
  <c r="B36" i="14" s="1" a="1"/>
  <c r="B23" i="18"/>
  <c r="B23" i="16"/>
  <c r="B23" i="17"/>
  <c r="B23" i="19"/>
  <c r="B36" i="14" l="1"/>
  <c r="B37" i="14" s="1"/>
  <c r="D78" i="14" a="1"/>
  <c r="D78" i="14" s="1"/>
  <c r="E78" i="14" s="1"/>
  <c r="J78" i="14" s="1"/>
  <c r="F37" i="14"/>
  <c r="D114" i="14" a="1"/>
  <c r="E126" i="14" s="1"/>
  <c r="J126" i="14" s="1"/>
  <c r="D37" i="14"/>
  <c r="D60" i="14" a="1"/>
  <c r="B36" i="17" a="1"/>
  <c r="E37" i="14"/>
  <c r="C37" i="14"/>
  <c r="B36" i="16" a="1"/>
  <c r="D96" i="14" a="1"/>
  <c r="B36" i="15" a="1"/>
  <c r="B36" i="19" a="1"/>
  <c r="B36" i="18" a="1"/>
  <c r="E123" i="14" l="1"/>
  <c r="J123" i="14" s="1"/>
  <c r="E119" i="14"/>
  <c r="J119" i="14" s="1"/>
  <c r="E120" i="14"/>
  <c r="J120" i="14" s="1"/>
  <c r="D42" i="14" a="1"/>
  <c r="E50" i="14" s="1"/>
  <c r="J50" i="14" s="1"/>
  <c r="E80" i="14"/>
  <c r="J80" i="14" s="1"/>
  <c r="E83" i="14"/>
  <c r="J83" i="14" s="1"/>
  <c r="E85" i="14"/>
  <c r="J85" i="14" s="1"/>
  <c r="E87" i="14"/>
  <c r="J87" i="14" s="1"/>
  <c r="E90" i="14"/>
  <c r="J90" i="14" s="1"/>
  <c r="E91" i="14"/>
  <c r="J91" i="14" s="1"/>
  <c r="E84" i="14"/>
  <c r="J84" i="14" s="1"/>
  <c r="E79" i="14"/>
  <c r="J79" i="14" s="1"/>
  <c r="E81" i="14"/>
  <c r="J81" i="14" s="1"/>
  <c r="E127" i="14"/>
  <c r="J127" i="14" s="1"/>
  <c r="D114" i="14"/>
  <c r="E114" i="14" s="1"/>
  <c r="J114" i="14" s="1"/>
  <c r="E121" i="14"/>
  <c r="J121" i="14" s="1"/>
  <c r="E124" i="14"/>
  <c r="J124" i="14" s="1"/>
  <c r="E122" i="14"/>
  <c r="J122" i="14" s="1"/>
  <c r="E125" i="14"/>
  <c r="J125" i="14" s="1"/>
  <c r="E115" i="14"/>
  <c r="J115" i="14" s="1"/>
  <c r="E116" i="14"/>
  <c r="J116" i="14" s="1"/>
  <c r="E118" i="14"/>
  <c r="J118" i="14" s="1"/>
  <c r="E86" i="14"/>
  <c r="J86" i="14" s="1"/>
  <c r="E117" i="14"/>
  <c r="J117" i="14" s="1"/>
  <c r="E89" i="14"/>
  <c r="J89" i="14" s="1"/>
  <c r="E82" i="14"/>
  <c r="J82" i="14" s="1"/>
  <c r="E88" i="14"/>
  <c r="J88" i="14" s="1"/>
  <c r="E64" i="14"/>
  <c r="J64" i="14" s="1"/>
  <c r="E63" i="14"/>
  <c r="J63" i="14" s="1"/>
  <c r="E72" i="14"/>
  <c r="J72" i="14" s="1"/>
  <c r="E61" i="14"/>
  <c r="J61" i="14" s="1"/>
  <c r="E73" i="14"/>
  <c r="J73" i="14" s="1"/>
  <c r="E62" i="14"/>
  <c r="J62" i="14" s="1"/>
  <c r="E71" i="14"/>
  <c r="J71" i="14" s="1"/>
  <c r="E70" i="14"/>
  <c r="J70" i="14" s="1"/>
  <c r="E69" i="14"/>
  <c r="J69" i="14" s="1"/>
  <c r="E68" i="14"/>
  <c r="J68" i="14" s="1"/>
  <c r="E67" i="14"/>
  <c r="J67" i="14" s="1"/>
  <c r="E66" i="14"/>
  <c r="J66" i="14" s="1"/>
  <c r="E65" i="14"/>
  <c r="J65" i="14" s="1"/>
  <c r="D60" i="14"/>
  <c r="E60" i="14" s="1"/>
  <c r="J60" i="14" s="1"/>
  <c r="B36" i="16"/>
  <c r="C37" i="16"/>
  <c r="D60" i="16" a="1"/>
  <c r="D96" i="16" a="1"/>
  <c r="D114" i="16" a="1"/>
  <c r="E37" i="16"/>
  <c r="D78" i="16" a="1"/>
  <c r="F37" i="16"/>
  <c r="D37" i="16"/>
  <c r="B36" i="18"/>
  <c r="C37" i="18"/>
  <c r="F37" i="18"/>
  <c r="D37" i="18"/>
  <c r="E37" i="18"/>
  <c r="D60" i="18" a="1"/>
  <c r="D78" i="18" a="1"/>
  <c r="D96" i="18" a="1"/>
  <c r="D114" i="18" a="1"/>
  <c r="B36" i="19"/>
  <c r="D60" i="19" a="1"/>
  <c r="D96" i="19" a="1"/>
  <c r="C37" i="19"/>
  <c r="E37" i="19"/>
  <c r="D37" i="19"/>
  <c r="F37" i="19"/>
  <c r="D78" i="19" a="1"/>
  <c r="D114" i="19" a="1"/>
  <c r="B36" i="15"/>
  <c r="D60" i="15" a="1"/>
  <c r="D78" i="15" a="1"/>
  <c r="D114" i="15" a="1"/>
  <c r="D96" i="15" a="1"/>
  <c r="C37" i="15"/>
  <c r="D37" i="15"/>
  <c r="E37" i="15"/>
  <c r="F37" i="15"/>
  <c r="B36" i="17"/>
  <c r="D37" i="17"/>
  <c r="D114" i="17" a="1"/>
  <c r="F37" i="17"/>
  <c r="E37" i="17"/>
  <c r="C37" i="17"/>
  <c r="D78" i="17" a="1"/>
  <c r="D96" i="17" a="1"/>
  <c r="D60" i="17" a="1"/>
  <c r="E109" i="14"/>
  <c r="J109" i="14" s="1"/>
  <c r="E100" i="14"/>
  <c r="J100" i="14" s="1"/>
  <c r="E108" i="14"/>
  <c r="J108" i="14" s="1"/>
  <c r="E98" i="14"/>
  <c r="J98" i="14" s="1"/>
  <c r="E107" i="14"/>
  <c r="J107" i="14" s="1"/>
  <c r="E97" i="14"/>
  <c r="J97" i="14" s="1"/>
  <c r="E106" i="14"/>
  <c r="J106" i="14" s="1"/>
  <c r="E103" i="14"/>
  <c r="J103" i="14" s="1"/>
  <c r="E99" i="14"/>
  <c r="J99" i="14" s="1"/>
  <c r="D96" i="14"/>
  <c r="E96" i="14" s="1"/>
  <c r="J96" i="14" s="1"/>
  <c r="E104" i="14"/>
  <c r="J104" i="14" s="1"/>
  <c r="E101" i="14"/>
  <c r="J101" i="14" s="1"/>
  <c r="E102" i="14"/>
  <c r="J102" i="14" s="1"/>
  <c r="E105" i="14"/>
  <c r="J105" i="14" s="1"/>
  <c r="E46" i="14" l="1"/>
  <c r="J46" i="14" s="1"/>
  <c r="D42" i="14"/>
  <c r="E42" i="14" s="1"/>
  <c r="J42" i="14" s="1"/>
  <c r="E52" i="14"/>
  <c r="J52" i="14" s="1"/>
  <c r="E53" i="14"/>
  <c r="J53" i="14" s="1"/>
  <c r="E54" i="14"/>
  <c r="J54" i="14" s="1"/>
  <c r="E51" i="14"/>
  <c r="J51" i="14" s="1"/>
  <c r="E55" i="14"/>
  <c r="J55" i="14" s="1"/>
  <c r="E47" i="14"/>
  <c r="J47" i="14" s="1"/>
  <c r="E48" i="14"/>
  <c r="J48" i="14" s="1"/>
  <c r="E49" i="14"/>
  <c r="J49" i="14" s="1"/>
  <c r="E43" i="14"/>
  <c r="J43" i="14" s="1"/>
  <c r="E44" i="14"/>
  <c r="J44" i="14" s="1"/>
  <c r="E45" i="14"/>
  <c r="J45" i="14" s="1"/>
  <c r="E82" i="15"/>
  <c r="J82" i="15" s="1"/>
  <c r="E89" i="15"/>
  <c r="J89" i="15" s="1"/>
  <c r="E88" i="15"/>
  <c r="J88" i="15" s="1"/>
  <c r="E87" i="15"/>
  <c r="J87" i="15" s="1"/>
  <c r="E91" i="15"/>
  <c r="J91" i="15" s="1"/>
  <c r="E81" i="15"/>
  <c r="J81" i="15" s="1"/>
  <c r="E79" i="15"/>
  <c r="J79" i="15" s="1"/>
  <c r="D78" i="15"/>
  <c r="E85" i="15"/>
  <c r="J85" i="15" s="1"/>
  <c r="E84" i="15"/>
  <c r="J84" i="15" s="1"/>
  <c r="E83" i="15"/>
  <c r="J83" i="15" s="1"/>
  <c r="E90" i="15"/>
  <c r="J90" i="15" s="1"/>
  <c r="E80" i="15"/>
  <c r="J80" i="15" s="1"/>
  <c r="E86" i="15"/>
  <c r="J86" i="15" s="1"/>
  <c r="B37" i="18"/>
  <c r="D42" i="18" a="1"/>
  <c r="E126" i="16"/>
  <c r="J126" i="16" s="1"/>
  <c r="E125" i="16"/>
  <c r="J125" i="16" s="1"/>
  <c r="E127" i="16"/>
  <c r="J127" i="16" s="1"/>
  <c r="E117" i="16"/>
  <c r="J117" i="16" s="1"/>
  <c r="E115" i="16"/>
  <c r="J115" i="16" s="1"/>
  <c r="E124" i="16"/>
  <c r="J124" i="16" s="1"/>
  <c r="D114" i="16"/>
  <c r="E114" i="16" s="1"/>
  <c r="J114" i="16" s="1"/>
  <c r="E123" i="16"/>
  <c r="J123" i="16" s="1"/>
  <c r="E122" i="16"/>
  <c r="J122" i="16" s="1"/>
  <c r="E121" i="16"/>
  <c r="J121" i="16" s="1"/>
  <c r="E116" i="16"/>
  <c r="J116" i="16" s="1"/>
  <c r="E120" i="16"/>
  <c r="J120" i="16" s="1"/>
  <c r="E119" i="16"/>
  <c r="J119" i="16" s="1"/>
  <c r="E118" i="16"/>
  <c r="J118" i="16" s="1"/>
  <c r="D42" i="16" a="1"/>
  <c r="B37" i="16"/>
  <c r="E62" i="17"/>
  <c r="J62" i="17" s="1"/>
  <c r="D60" i="17"/>
  <c r="E73" i="17"/>
  <c r="J73" i="17" s="1"/>
  <c r="E71" i="17"/>
  <c r="J71" i="17" s="1"/>
  <c r="E61" i="17"/>
  <c r="J61" i="17" s="1"/>
  <c r="E69" i="17"/>
  <c r="J69" i="17" s="1"/>
  <c r="E68" i="17"/>
  <c r="J68" i="17" s="1"/>
  <c r="E64" i="17"/>
  <c r="J64" i="17" s="1"/>
  <c r="E72" i="17"/>
  <c r="J72" i="17" s="1"/>
  <c r="E67" i="17"/>
  <c r="J67" i="17" s="1"/>
  <c r="E66" i="17"/>
  <c r="J66" i="17" s="1"/>
  <c r="E70" i="17"/>
  <c r="J70" i="17" s="1"/>
  <c r="E65" i="17"/>
  <c r="J65" i="17" s="1"/>
  <c r="E63" i="17"/>
  <c r="J63" i="17" s="1"/>
  <c r="E107" i="17"/>
  <c r="J107" i="17" s="1"/>
  <c r="E109" i="17"/>
  <c r="J109" i="17" s="1"/>
  <c r="E108" i="17"/>
  <c r="J108" i="17" s="1"/>
  <c r="E97" i="17"/>
  <c r="J97" i="17" s="1"/>
  <c r="E98" i="17"/>
  <c r="J98" i="17" s="1"/>
  <c r="E103" i="17"/>
  <c r="J103" i="17" s="1"/>
  <c r="E106" i="17"/>
  <c r="J106" i="17" s="1"/>
  <c r="E104" i="17"/>
  <c r="J104" i="17" s="1"/>
  <c r="E105" i="17"/>
  <c r="J105" i="17" s="1"/>
  <c r="E102" i="17"/>
  <c r="J102" i="17" s="1"/>
  <c r="E101" i="17"/>
  <c r="J101" i="17" s="1"/>
  <c r="E100" i="17"/>
  <c r="J100" i="17" s="1"/>
  <c r="E99" i="17"/>
  <c r="J99" i="17" s="1"/>
  <c r="D96" i="17"/>
  <c r="E96" i="17" s="1"/>
  <c r="J96" i="17" s="1"/>
  <c r="E82" i="17"/>
  <c r="J82" i="17" s="1"/>
  <c r="E91" i="17"/>
  <c r="J91" i="17" s="1"/>
  <c r="E90" i="17"/>
  <c r="J90" i="17" s="1"/>
  <c r="E86" i="17"/>
  <c r="J86" i="17" s="1"/>
  <c r="E84" i="17"/>
  <c r="J84" i="17" s="1"/>
  <c r="E83" i="17"/>
  <c r="J83" i="17" s="1"/>
  <c r="E89" i="17"/>
  <c r="J89" i="17" s="1"/>
  <c r="E87" i="17"/>
  <c r="J87" i="17" s="1"/>
  <c r="E85" i="17"/>
  <c r="J85" i="17" s="1"/>
  <c r="E81" i="17"/>
  <c r="J81" i="17" s="1"/>
  <c r="E80" i="17"/>
  <c r="J80" i="17" s="1"/>
  <c r="E79" i="17"/>
  <c r="J79" i="17" s="1"/>
  <c r="D78" i="17"/>
  <c r="E78" i="17" s="1"/>
  <c r="J78" i="17" s="1"/>
  <c r="E88" i="17"/>
  <c r="J88" i="17" s="1"/>
  <c r="E122" i="17"/>
  <c r="J122" i="17" s="1"/>
  <c r="D114" i="17"/>
  <c r="E125" i="17"/>
  <c r="J125" i="17" s="1"/>
  <c r="E117" i="17"/>
  <c r="J117" i="17" s="1"/>
  <c r="E127" i="17"/>
  <c r="J127" i="17" s="1"/>
  <c r="E124" i="17"/>
  <c r="J124" i="17" s="1"/>
  <c r="E121" i="17"/>
  <c r="J121" i="17" s="1"/>
  <c r="E119" i="17"/>
  <c r="J119" i="17" s="1"/>
  <c r="E118" i="17"/>
  <c r="J118" i="17" s="1"/>
  <c r="E116" i="17"/>
  <c r="J116" i="17" s="1"/>
  <c r="E115" i="17"/>
  <c r="J115" i="17" s="1"/>
  <c r="E120" i="17"/>
  <c r="J120" i="17" s="1"/>
  <c r="E126" i="17"/>
  <c r="J126" i="17" s="1"/>
  <c r="E123" i="17"/>
  <c r="J123" i="17" s="1"/>
  <c r="D42" i="19" a="1"/>
  <c r="B37" i="19"/>
  <c r="D96" i="18"/>
  <c r="E96" i="18" s="1"/>
  <c r="J96" i="18" s="1"/>
  <c r="E101" i="18"/>
  <c r="J101" i="18" s="1"/>
  <c r="E108" i="18"/>
  <c r="J108" i="18" s="1"/>
  <c r="E109" i="18"/>
  <c r="J109" i="18" s="1"/>
  <c r="E103" i="18"/>
  <c r="J103" i="18" s="1"/>
  <c r="E106" i="18"/>
  <c r="J106" i="18" s="1"/>
  <c r="E102" i="18"/>
  <c r="J102" i="18" s="1"/>
  <c r="E99" i="18"/>
  <c r="J99" i="18" s="1"/>
  <c r="E98" i="18"/>
  <c r="J98" i="18" s="1"/>
  <c r="E107" i="18"/>
  <c r="J107" i="18" s="1"/>
  <c r="E105" i="18"/>
  <c r="J105" i="18" s="1"/>
  <c r="E104" i="18"/>
  <c r="J104" i="18" s="1"/>
  <c r="E100" i="18"/>
  <c r="J100" i="18" s="1"/>
  <c r="E97" i="18"/>
  <c r="J97" i="18" s="1"/>
  <c r="E61" i="18"/>
  <c r="J61" i="18" s="1"/>
  <c r="E73" i="18"/>
  <c r="J73" i="18" s="1"/>
  <c r="E72" i="18"/>
  <c r="J72" i="18" s="1"/>
  <c r="E71" i="18"/>
  <c r="J71" i="18" s="1"/>
  <c r="E67" i="18"/>
  <c r="J67" i="18" s="1"/>
  <c r="E63" i="18"/>
  <c r="J63" i="18" s="1"/>
  <c r="D60" i="18"/>
  <c r="E60" i="18" s="1"/>
  <c r="J60" i="18" s="1"/>
  <c r="E65" i="18"/>
  <c r="J65" i="18" s="1"/>
  <c r="E64" i="18"/>
  <c r="J64" i="18" s="1"/>
  <c r="E70" i="18"/>
  <c r="J70" i="18" s="1"/>
  <c r="E66" i="18"/>
  <c r="J66" i="18" s="1"/>
  <c r="E69" i="18"/>
  <c r="J69" i="18" s="1"/>
  <c r="E68" i="18"/>
  <c r="J68" i="18" s="1"/>
  <c r="E62" i="18"/>
  <c r="J62" i="18" s="1"/>
  <c r="E126" i="15"/>
  <c r="J126" i="15" s="1"/>
  <c r="E127" i="15"/>
  <c r="J127" i="15" s="1"/>
  <c r="E115" i="15"/>
  <c r="J115" i="15" s="1"/>
  <c r="E124" i="15"/>
  <c r="J124" i="15" s="1"/>
  <c r="E116" i="15"/>
  <c r="J116" i="15" s="1"/>
  <c r="E118" i="15"/>
  <c r="J118" i="15" s="1"/>
  <c r="E117" i="15"/>
  <c r="J117" i="15" s="1"/>
  <c r="E125" i="15"/>
  <c r="J125" i="15" s="1"/>
  <c r="E123" i="15"/>
  <c r="J123" i="15" s="1"/>
  <c r="E122" i="15"/>
  <c r="J122" i="15" s="1"/>
  <c r="E120" i="15"/>
  <c r="J120" i="15" s="1"/>
  <c r="E121" i="15"/>
  <c r="J121" i="15" s="1"/>
  <c r="E119" i="15"/>
  <c r="J119" i="15" s="1"/>
  <c r="D114" i="15"/>
  <c r="E63" i="15"/>
  <c r="J63" i="15" s="1"/>
  <c r="E73" i="15"/>
  <c r="J73" i="15" s="1"/>
  <c r="E62" i="15"/>
  <c r="J62" i="15" s="1"/>
  <c r="E61" i="15"/>
  <c r="J61" i="15" s="1"/>
  <c r="D60" i="15"/>
  <c r="E60" i="15" s="1"/>
  <c r="J60" i="15" s="1"/>
  <c r="E67" i="15"/>
  <c r="J67" i="15" s="1"/>
  <c r="E69" i="15"/>
  <c r="J69" i="15" s="1"/>
  <c r="E68" i="15"/>
  <c r="J68" i="15" s="1"/>
  <c r="E66" i="15"/>
  <c r="J66" i="15" s="1"/>
  <c r="E70" i="15"/>
  <c r="J70" i="15" s="1"/>
  <c r="E65" i="15"/>
  <c r="J65" i="15" s="1"/>
  <c r="E64" i="15"/>
  <c r="J64" i="15" s="1"/>
  <c r="E72" i="15"/>
  <c r="J72" i="15" s="1"/>
  <c r="E71" i="15"/>
  <c r="J71" i="15" s="1"/>
  <c r="E102" i="16"/>
  <c r="J102" i="16" s="1"/>
  <c r="E100" i="16"/>
  <c r="J100" i="16" s="1"/>
  <c r="E103" i="16"/>
  <c r="J103" i="16" s="1"/>
  <c r="E104" i="16"/>
  <c r="J104" i="16" s="1"/>
  <c r="E101" i="16"/>
  <c r="J101" i="16" s="1"/>
  <c r="E109" i="16"/>
  <c r="J109" i="16" s="1"/>
  <c r="E108" i="16"/>
  <c r="J108" i="16" s="1"/>
  <c r="E106" i="16"/>
  <c r="J106" i="16" s="1"/>
  <c r="E105" i="16"/>
  <c r="J105" i="16" s="1"/>
  <c r="E98" i="16"/>
  <c r="J98" i="16" s="1"/>
  <c r="E97" i="16"/>
  <c r="J97" i="16" s="1"/>
  <c r="E107" i="16"/>
  <c r="J107" i="16" s="1"/>
  <c r="E99" i="16"/>
  <c r="J99" i="16" s="1"/>
  <c r="D96" i="16"/>
  <c r="E96" i="16" s="1"/>
  <c r="J96" i="16" s="1"/>
  <c r="E87" i="19"/>
  <c r="J87" i="19" s="1"/>
  <c r="D78" i="19"/>
  <c r="E78" i="19" s="1"/>
  <c r="J78" i="19" s="1"/>
  <c r="E91" i="19"/>
  <c r="J91" i="19" s="1"/>
  <c r="E90" i="19"/>
  <c r="J90" i="19" s="1"/>
  <c r="E89" i="19"/>
  <c r="J89" i="19"/>
  <c r="E80" i="19"/>
  <c r="J80" i="19" s="1"/>
  <c r="E79" i="19"/>
  <c r="J79" i="19" s="1"/>
  <c r="E84" i="19"/>
  <c r="J84" i="19" s="1"/>
  <c r="E83" i="19"/>
  <c r="J83" i="19" s="1"/>
  <c r="E85" i="19"/>
  <c r="J85" i="19" s="1"/>
  <c r="E82" i="19"/>
  <c r="J82" i="19" s="1"/>
  <c r="E88" i="19"/>
  <c r="J88" i="19" s="1"/>
  <c r="E86" i="19"/>
  <c r="J86" i="19" s="1"/>
  <c r="E81" i="19"/>
  <c r="J81" i="19" s="1"/>
  <c r="D114" i="18"/>
  <c r="E114" i="18" s="1"/>
  <c r="J114" i="18" s="1"/>
  <c r="E122" i="18"/>
  <c r="J122" i="18" s="1"/>
  <c r="E127" i="18"/>
  <c r="J127" i="18" s="1"/>
  <c r="E126" i="18"/>
  <c r="J126" i="18" s="1"/>
  <c r="E123" i="18"/>
  <c r="J123" i="18" s="1"/>
  <c r="E121" i="18"/>
  <c r="J121" i="18" s="1"/>
  <c r="E118" i="18"/>
  <c r="J118" i="18" s="1"/>
  <c r="E115" i="18"/>
  <c r="J115" i="18" s="1"/>
  <c r="E124" i="18"/>
  <c r="J124" i="18" s="1"/>
  <c r="E120" i="18"/>
  <c r="J120" i="18" s="1"/>
  <c r="E119" i="18"/>
  <c r="J119" i="18" s="1"/>
  <c r="E125" i="18"/>
  <c r="J125" i="18" s="1"/>
  <c r="E117" i="18"/>
  <c r="J117" i="18" s="1"/>
  <c r="E116" i="18"/>
  <c r="J116" i="18" s="1"/>
  <c r="D42" i="17" a="1"/>
  <c r="B37" i="17"/>
  <c r="E84" i="18"/>
  <c r="J84" i="18" s="1"/>
  <c r="E90" i="18"/>
  <c r="J90" i="18" s="1"/>
  <c r="D78" i="18"/>
  <c r="E78" i="18" s="1"/>
  <c r="J78" i="18" s="1"/>
  <c r="E86" i="18"/>
  <c r="J86" i="18" s="1"/>
  <c r="E81" i="18"/>
  <c r="J81" i="18" s="1"/>
  <c r="E82" i="18"/>
  <c r="J82" i="18" s="1"/>
  <c r="E80" i="18"/>
  <c r="J80" i="18" s="1"/>
  <c r="E85" i="18"/>
  <c r="J85" i="18" s="1"/>
  <c r="E91" i="18"/>
  <c r="J91" i="18" s="1"/>
  <c r="E88" i="18"/>
  <c r="J88" i="18" s="1"/>
  <c r="E87" i="18"/>
  <c r="J87" i="18" s="1"/>
  <c r="E83" i="18"/>
  <c r="J83" i="18" s="1"/>
  <c r="E89" i="18"/>
  <c r="J89" i="18" s="1"/>
  <c r="E79" i="18"/>
  <c r="J79" i="18" s="1"/>
  <c r="D42" i="15" a="1"/>
  <c r="B37" i="15"/>
  <c r="E67" i="16"/>
  <c r="J67" i="16" s="1"/>
  <c r="E71" i="16"/>
  <c r="J71" i="16" s="1"/>
  <c r="E73" i="16"/>
  <c r="J73" i="16" s="1"/>
  <c r="E69" i="16"/>
  <c r="J69" i="16" s="1"/>
  <c r="E70" i="16"/>
  <c r="J70" i="16" s="1"/>
  <c r="D60" i="16"/>
  <c r="E63" i="16"/>
  <c r="J63" i="16" s="1"/>
  <c r="E61" i="16"/>
  <c r="J61" i="16" s="1"/>
  <c r="E72" i="16"/>
  <c r="J72" i="16" s="1"/>
  <c r="E62" i="16"/>
  <c r="J62" i="16" s="1"/>
  <c r="E64" i="16"/>
  <c r="J64" i="16" s="1"/>
  <c r="E65" i="16"/>
  <c r="J65" i="16" s="1"/>
  <c r="E68" i="16"/>
  <c r="J68" i="16" s="1"/>
  <c r="E66" i="16"/>
  <c r="J66" i="16" s="1"/>
  <c r="E123" i="19"/>
  <c r="J123" i="19" s="1"/>
  <c r="E126" i="19"/>
  <c r="J126" i="19" s="1"/>
  <c r="E122" i="19"/>
  <c r="J122" i="19" s="1"/>
  <c r="E121" i="19"/>
  <c r="J121" i="19" s="1"/>
  <c r="E120" i="19"/>
  <c r="J120" i="19" s="1"/>
  <c r="E119" i="19"/>
  <c r="J119" i="19" s="1"/>
  <c r="E117" i="19"/>
  <c r="J117" i="19" s="1"/>
  <c r="E125" i="19"/>
  <c r="J125" i="19" s="1"/>
  <c r="D114" i="19"/>
  <c r="E114" i="19" s="1"/>
  <c r="J114" i="19" s="1"/>
  <c r="E127" i="19"/>
  <c r="J127" i="19" s="1"/>
  <c r="E115" i="19"/>
  <c r="J115" i="19" s="1"/>
  <c r="E116" i="19"/>
  <c r="J116" i="19" s="1"/>
  <c r="E118" i="19"/>
  <c r="J118" i="19" s="1"/>
  <c r="E124" i="19"/>
  <c r="J124" i="19" s="1"/>
  <c r="E101" i="19"/>
  <c r="J101" i="19" s="1"/>
  <c r="E102" i="19"/>
  <c r="J102" i="19" s="1"/>
  <c r="E97" i="19"/>
  <c r="J97" i="19" s="1"/>
  <c r="D96" i="19"/>
  <c r="E96" i="19" s="1"/>
  <c r="J96" i="19" s="1"/>
  <c r="E105" i="19"/>
  <c r="J105" i="19" s="1"/>
  <c r="E98" i="19"/>
  <c r="J98" i="19" s="1"/>
  <c r="E109" i="19"/>
  <c r="J109" i="19" s="1"/>
  <c r="E108" i="19"/>
  <c r="J108" i="19" s="1"/>
  <c r="E106" i="19"/>
  <c r="J106" i="19" s="1"/>
  <c r="E104" i="19"/>
  <c r="J104" i="19" s="1"/>
  <c r="E103" i="19"/>
  <c r="J103" i="19" s="1"/>
  <c r="E107" i="19"/>
  <c r="J107" i="19" s="1"/>
  <c r="E100" i="19"/>
  <c r="J100" i="19" s="1"/>
  <c r="E99" i="19"/>
  <c r="J99" i="19" s="1"/>
  <c r="D60" i="19"/>
  <c r="E60" i="19" s="1"/>
  <c r="J60" i="19" s="1"/>
  <c r="E69" i="19"/>
  <c r="J69" i="19" s="1"/>
  <c r="E65" i="19"/>
  <c r="J65" i="19" s="1"/>
  <c r="E71" i="19"/>
  <c r="J71" i="19" s="1"/>
  <c r="E72" i="19"/>
  <c r="J72" i="19" s="1"/>
  <c r="E67" i="19"/>
  <c r="J67" i="19" s="1"/>
  <c r="E68" i="19"/>
  <c r="J68" i="19" s="1"/>
  <c r="E66" i="19"/>
  <c r="J66" i="19" s="1"/>
  <c r="E61" i="19"/>
  <c r="J61" i="19" s="1"/>
  <c r="E63" i="19"/>
  <c r="J63" i="19" s="1"/>
  <c r="E62" i="19"/>
  <c r="J62" i="19" s="1"/>
  <c r="E70" i="19"/>
  <c r="J70" i="19" s="1"/>
  <c r="E73" i="19"/>
  <c r="J73" i="19" s="1"/>
  <c r="E64" i="19"/>
  <c r="J64" i="19" s="1"/>
  <c r="E102" i="15"/>
  <c r="J102" i="15" s="1"/>
  <c r="E106" i="15"/>
  <c r="J106" i="15" s="1"/>
  <c r="E108" i="15"/>
  <c r="J108" i="15" s="1"/>
  <c r="E99" i="15"/>
  <c r="J99" i="15" s="1"/>
  <c r="E101" i="15"/>
  <c r="J101" i="15" s="1"/>
  <c r="E98" i="15"/>
  <c r="J98" i="15" s="1"/>
  <c r="E107" i="15"/>
  <c r="J107" i="15" s="1"/>
  <c r="E109" i="15"/>
  <c r="J109" i="15" s="1"/>
  <c r="D96" i="15"/>
  <c r="E96" i="15" s="1"/>
  <c r="J96" i="15" s="1"/>
  <c r="E103" i="15"/>
  <c r="J103" i="15" s="1"/>
  <c r="E105" i="15"/>
  <c r="J105" i="15" s="1"/>
  <c r="E104" i="15"/>
  <c r="J104" i="15" s="1"/>
  <c r="E97" i="15"/>
  <c r="J97" i="15" s="1"/>
  <c r="E85" i="16"/>
  <c r="J85" i="16" s="1"/>
  <c r="E83" i="16"/>
  <c r="J83" i="16" s="1"/>
  <c r="E80" i="16"/>
  <c r="J80" i="16" s="1"/>
  <c r="E91" i="16"/>
  <c r="J91" i="16" s="1"/>
  <c r="E81" i="16"/>
  <c r="J81" i="16" s="1"/>
  <c r="E89" i="16"/>
  <c r="J89" i="16" s="1"/>
  <c r="E79" i="16"/>
  <c r="J79" i="16" s="1"/>
  <c r="E88" i="16"/>
  <c r="J88" i="16" s="1"/>
  <c r="E87" i="16"/>
  <c r="J87" i="16" s="1"/>
  <c r="E86" i="16"/>
  <c r="J86" i="16" s="1"/>
  <c r="E84" i="16"/>
  <c r="J84" i="16" s="1"/>
  <c r="E82" i="16"/>
  <c r="J82" i="16" s="1"/>
  <c r="D78" i="16"/>
  <c r="E78" i="16" s="1"/>
  <c r="J78" i="16" s="1"/>
  <c r="E90" i="16"/>
  <c r="J90" i="16" s="1"/>
  <c r="E60" i="16" l="1"/>
  <c r="J60" i="16" s="1"/>
  <c r="E47" i="18"/>
  <c r="J47" i="18" s="1"/>
  <c r="E53" i="18"/>
  <c r="J53" i="18" s="1"/>
  <c r="E43" i="18"/>
  <c r="J43" i="18" s="1"/>
  <c r="E54" i="18"/>
  <c r="J54" i="18" s="1"/>
  <c r="D42" i="18"/>
  <c r="E42" i="18" s="1"/>
  <c r="J42" i="18" s="1"/>
  <c r="E49" i="18"/>
  <c r="J49" i="18" s="1"/>
  <c r="E44" i="18"/>
  <c r="J44" i="18" s="1"/>
  <c r="E55" i="18"/>
  <c r="J55" i="18" s="1"/>
  <c r="E50" i="18"/>
  <c r="J50" i="18" s="1"/>
  <c r="E48" i="18"/>
  <c r="J48" i="18" s="1"/>
  <c r="E45" i="18"/>
  <c r="J45" i="18" s="1"/>
  <c r="E52" i="18"/>
  <c r="J52" i="18" s="1"/>
  <c r="E51" i="18"/>
  <c r="J51" i="18" s="1"/>
  <c r="E46" i="18"/>
  <c r="J46" i="18" s="1"/>
  <c r="E60" i="17"/>
  <c r="J60" i="17" s="1"/>
  <c r="E114" i="15"/>
  <c r="J114" i="15" s="1"/>
  <c r="E50" i="17"/>
  <c r="J50" i="17" s="1"/>
  <c r="E47" i="17"/>
  <c r="J47" i="17" s="1"/>
  <c r="E52" i="17"/>
  <c r="J52" i="17" s="1"/>
  <c r="E49" i="17"/>
  <c r="J49" i="17" s="1"/>
  <c r="E53" i="17"/>
  <c r="J53" i="17" s="1"/>
  <c r="E51" i="17"/>
  <c r="J51" i="17" s="1"/>
  <c r="E46" i="17"/>
  <c r="J46" i="17" s="1"/>
  <c r="E45" i="17"/>
  <c r="J45" i="17" s="1"/>
  <c r="D42" i="17"/>
  <c r="E42" i="17" s="1"/>
  <c r="J42" i="17" s="1"/>
  <c r="E48" i="17"/>
  <c r="J48" i="17" s="1"/>
  <c r="E55" i="17"/>
  <c r="J55" i="17" s="1"/>
  <c r="E44" i="17"/>
  <c r="J44" i="17" s="1"/>
  <c r="E54" i="17"/>
  <c r="J54" i="17" s="1"/>
  <c r="E43" i="17"/>
  <c r="J43" i="17" s="1"/>
  <c r="E52" i="16"/>
  <c r="J52" i="16" s="1"/>
  <c r="E50" i="16"/>
  <c r="J50" i="16" s="1"/>
  <c r="E48" i="16"/>
  <c r="J48" i="16" s="1"/>
  <c r="E46" i="16"/>
  <c r="J46" i="16" s="1"/>
  <c r="D42" i="16"/>
  <c r="E42" i="16" s="1"/>
  <c r="J42" i="16" s="1"/>
  <c r="E51" i="16"/>
  <c r="J51" i="16" s="1"/>
  <c r="E49" i="16"/>
  <c r="J49" i="16" s="1"/>
  <c r="E47" i="16"/>
  <c r="J47" i="16" s="1"/>
  <c r="E54" i="16"/>
  <c r="J54" i="16" s="1"/>
  <c r="E55" i="16"/>
  <c r="J55" i="16" s="1"/>
  <c r="E45" i="16"/>
  <c r="J45" i="16" s="1"/>
  <c r="E43" i="16"/>
  <c r="J43" i="16" s="1"/>
  <c r="E44" i="16"/>
  <c r="J44" i="16" s="1"/>
  <c r="E53" i="16"/>
  <c r="J53" i="16" s="1"/>
  <c r="E46" i="19"/>
  <c r="J46" i="19" s="1"/>
  <c r="E52" i="19"/>
  <c r="J52" i="19" s="1"/>
  <c r="E45" i="19"/>
  <c r="J45" i="19" s="1"/>
  <c r="E44" i="19"/>
  <c r="J44" i="19" s="1"/>
  <c r="E53" i="19"/>
  <c r="J53" i="19" s="1"/>
  <c r="E51" i="19"/>
  <c r="J51" i="19" s="1"/>
  <c r="E55" i="19"/>
  <c r="J55" i="19" s="1"/>
  <c r="D42" i="19"/>
  <c r="E42" i="19" s="1"/>
  <c r="J42" i="19" s="1"/>
  <c r="E54" i="19"/>
  <c r="J54" i="19" s="1"/>
  <c r="E47" i="19"/>
  <c r="J47" i="19" s="1"/>
  <c r="E50" i="19"/>
  <c r="J50" i="19" s="1"/>
  <c r="E49" i="19"/>
  <c r="J49" i="19" s="1"/>
  <c r="E48" i="19"/>
  <c r="J48" i="19" s="1"/>
  <c r="E43" i="19"/>
  <c r="J43" i="19" s="1"/>
  <c r="E54" i="15"/>
  <c r="J54" i="15" s="1"/>
  <c r="E46" i="15"/>
  <c r="J46" i="15" s="1"/>
  <c r="E44" i="15"/>
  <c r="J44" i="15" s="1"/>
  <c r="E55" i="15"/>
  <c r="J55" i="15" s="1"/>
  <c r="E53" i="15"/>
  <c r="J53" i="15" s="1"/>
  <c r="E43" i="15"/>
  <c r="J43" i="15" s="1"/>
  <c r="E52" i="15"/>
  <c r="J52" i="15" s="1"/>
  <c r="D42" i="15"/>
  <c r="E42" i="15" s="1"/>
  <c r="J42" i="15" s="1"/>
  <c r="E51" i="15"/>
  <c r="J51" i="15" s="1"/>
  <c r="E48" i="15"/>
  <c r="J48" i="15" s="1"/>
  <c r="E45" i="15"/>
  <c r="J45" i="15" s="1"/>
  <c r="E50" i="15"/>
  <c r="J50" i="15" s="1"/>
  <c r="E47" i="15"/>
  <c r="J47" i="15" s="1"/>
  <c r="E49" i="15"/>
  <c r="J49" i="15" s="1"/>
  <c r="E114" i="17"/>
  <c r="J114" i="17" s="1"/>
  <c r="E78" i="15"/>
  <c r="J78" i="15" s="1"/>
  <c r="B23" i="10" l="1" a="1"/>
  <c r="B27" i="10" a="1"/>
  <c r="B27" i="10" l="1"/>
  <c r="B23" i="10"/>
  <c r="B36" i="10" l="1" a="1"/>
  <c r="B36" i="10" s="1"/>
  <c r="D60" i="10" l="1" a="1"/>
  <c r="E71" i="10" s="1"/>
  <c r="J71" i="10" s="1"/>
  <c r="D37" i="10"/>
  <c r="D96" i="10" a="1"/>
  <c r="E106" i="10" s="1"/>
  <c r="J106" i="10" s="1"/>
  <c r="D78" i="10" a="1"/>
  <c r="E86" i="10" s="1"/>
  <c r="J86" i="10" s="1"/>
  <c r="D114" i="10" a="1"/>
  <c r="E125" i="10" s="1"/>
  <c r="J125" i="10" s="1"/>
  <c r="E37" i="10"/>
  <c r="C37" i="10"/>
  <c r="F37" i="10"/>
  <c r="D96" i="10"/>
  <c r="B37" i="10"/>
  <c r="D42" i="10" a="1"/>
  <c r="E109" i="10" l="1"/>
  <c r="J109" i="10" s="1"/>
  <c r="E61" i="10"/>
  <c r="J61" i="10" s="1"/>
  <c r="E67" i="10"/>
  <c r="J67" i="10" s="1"/>
  <c r="E70" i="10"/>
  <c r="J70" i="10" s="1"/>
  <c r="E63" i="10"/>
  <c r="J63" i="10" s="1"/>
  <c r="E64" i="10"/>
  <c r="J64" i="10" s="1"/>
  <c r="E62" i="10"/>
  <c r="J62" i="10" s="1"/>
  <c r="E72" i="10"/>
  <c r="J72" i="10" s="1"/>
  <c r="E73" i="10"/>
  <c r="J73" i="10" s="1"/>
  <c r="E69" i="10"/>
  <c r="J69" i="10" s="1"/>
  <c r="D60" i="10"/>
  <c r="E68" i="10"/>
  <c r="J68" i="10" s="1"/>
  <c r="E66" i="10"/>
  <c r="J66" i="10" s="1"/>
  <c r="E65" i="10"/>
  <c r="J65" i="10" s="1"/>
  <c r="E99" i="10"/>
  <c r="J99" i="10" s="1"/>
  <c r="E107" i="10"/>
  <c r="J107" i="10" s="1"/>
  <c r="E108" i="10"/>
  <c r="J108" i="10" s="1"/>
  <c r="E97" i="10"/>
  <c r="J97" i="10" s="1"/>
  <c r="E103" i="10"/>
  <c r="J103" i="10" s="1"/>
  <c r="E98" i="10"/>
  <c r="J98" i="10" s="1"/>
  <c r="E100" i="10"/>
  <c r="J100" i="10" s="1"/>
  <c r="E104" i="10"/>
  <c r="J104" i="10" s="1"/>
  <c r="E105" i="10"/>
  <c r="J105" i="10" s="1"/>
  <c r="E102" i="10"/>
  <c r="J102" i="10" s="1"/>
  <c r="E101" i="10"/>
  <c r="J101" i="10" s="1"/>
  <c r="E88" i="10"/>
  <c r="J88" i="10" s="1"/>
  <c r="E79" i="10"/>
  <c r="J79" i="10" s="1"/>
  <c r="E90" i="10"/>
  <c r="J90" i="10" s="1"/>
  <c r="E84" i="10"/>
  <c r="J84" i="10" s="1"/>
  <c r="E85" i="10"/>
  <c r="J85" i="10" s="1"/>
  <c r="D78" i="10"/>
  <c r="E82" i="10"/>
  <c r="J82" i="10" s="1"/>
  <c r="E81" i="10"/>
  <c r="J81" i="10" s="1"/>
  <c r="E91" i="10"/>
  <c r="J91" i="10" s="1"/>
  <c r="E89" i="10"/>
  <c r="J89" i="10" s="1"/>
  <c r="E80" i="10"/>
  <c r="J80" i="10" s="1"/>
  <c r="E87" i="10"/>
  <c r="J87" i="10" s="1"/>
  <c r="E83" i="10"/>
  <c r="J83" i="10" s="1"/>
  <c r="E117" i="10"/>
  <c r="J117" i="10" s="1"/>
  <c r="E115" i="10"/>
  <c r="J115" i="10" s="1"/>
  <c r="E120" i="10"/>
  <c r="J120" i="10" s="1"/>
  <c r="E124" i="10"/>
  <c r="J124" i="10" s="1"/>
  <c r="E126" i="10"/>
  <c r="J126" i="10" s="1"/>
  <c r="E116" i="10"/>
  <c r="J116" i="10" s="1"/>
  <c r="E127" i="10"/>
  <c r="J127" i="10" s="1"/>
  <c r="E118" i="10"/>
  <c r="J118" i="10" s="1"/>
  <c r="E121" i="10"/>
  <c r="J121" i="10" s="1"/>
  <c r="E119" i="10"/>
  <c r="J119" i="10" s="1"/>
  <c r="E123" i="10"/>
  <c r="J123" i="10" s="1"/>
  <c r="E122" i="10"/>
  <c r="J122" i="10" s="1"/>
  <c r="D114" i="10"/>
  <c r="E114" i="10" s="1"/>
  <c r="J114" i="10" s="1"/>
  <c r="E96" i="10"/>
  <c r="J96" i="10" s="1"/>
  <c r="E78" i="10"/>
  <c r="J78" i="10" s="1"/>
  <c r="E60" i="10"/>
  <c r="J60" i="10" s="1"/>
  <c r="E50" i="10"/>
  <c r="J50" i="10" s="1"/>
  <c r="E52" i="10"/>
  <c r="J52" i="10" s="1"/>
  <c r="E53" i="10"/>
  <c r="J53" i="10" s="1"/>
  <c r="E55" i="10"/>
  <c r="J55" i="10" s="1"/>
  <c r="E48" i="10"/>
  <c r="J48" i="10" s="1"/>
  <c r="E46" i="10"/>
  <c r="J46" i="10" s="1"/>
  <c r="E51" i="10"/>
  <c r="J51" i="10" s="1"/>
  <c r="E43" i="10"/>
  <c r="J43" i="10" s="1"/>
  <c r="E49" i="10"/>
  <c r="J49" i="10" s="1"/>
  <c r="D42" i="10"/>
  <c r="E54" i="10"/>
  <c r="J54" i="10" s="1"/>
  <c r="E47" i="10"/>
  <c r="J47" i="10" s="1"/>
  <c r="E45" i="10"/>
  <c r="J45" i="10" s="1"/>
  <c r="E44" i="10"/>
  <c r="J44" i="10" s="1"/>
  <c r="E42" i="10" l="1"/>
  <c r="J42" i="10" s="1"/>
  <c r="E100" i="15"/>
  <c r="J100" i="15"/>
  <c r="B3" i="10" l="1" a="1"/>
  <c r="B3" i="14" a="1"/>
  <c r="B3" i="15" a="1"/>
  <c r="B3" i="16" a="1"/>
  <c r="B3" i="17" a="1"/>
  <c r="B3" i="18" a="1"/>
  <c r="B3" i="19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<sst xmlns="http://schemas.openxmlformats.org/spreadsheetml/2006/main" count="1290" uniqueCount="45">
  <si>
    <t>WW</t>
  </si>
  <si>
    <t>C1</t>
  </si>
  <si>
    <t>C2</t>
  </si>
  <si>
    <t>C3</t>
  </si>
  <si>
    <t>M1</t>
  </si>
  <si>
    <t>M2</t>
  </si>
  <si>
    <t>M3</t>
  </si>
  <si>
    <t>M4</t>
  </si>
  <si>
    <t>M5</t>
  </si>
  <si>
    <t>A</t>
  </si>
  <si>
    <t>K</t>
  </si>
  <si>
    <t>Q</t>
  </si>
  <si>
    <t>J</t>
  </si>
  <si>
    <t>TE</t>
  </si>
  <si>
    <t>R1</t>
    <phoneticPr fontId="2" type="noConversion"/>
  </si>
  <si>
    <t>C1</t>
    <phoneticPr fontId="2" type="noConversion"/>
  </si>
  <si>
    <t>R2</t>
  </si>
  <si>
    <t>R3</t>
  </si>
  <si>
    <t>R4</t>
  </si>
  <si>
    <t>R5</t>
  </si>
  <si>
    <t>Total</t>
    <phoneticPr fontId="2" type="noConversion"/>
  </si>
  <si>
    <t>Targe</t>
    <phoneticPr fontId="2" type="noConversion"/>
  </si>
  <si>
    <t>R2</t>
    <phoneticPr fontId="2" type="noConversion"/>
  </si>
  <si>
    <t>R5</t>
    <phoneticPr fontId="2" type="noConversion"/>
  </si>
  <si>
    <t>R4</t>
    <phoneticPr fontId="2" type="noConversion"/>
  </si>
  <si>
    <t>R3</t>
    <phoneticPr fontId="2" type="noConversion"/>
  </si>
  <si>
    <t>symbol_str</t>
    <phoneticPr fontId="2" type="noConversion"/>
  </si>
  <si>
    <t>symbol_id</t>
    <phoneticPr fontId="2" type="noConversion"/>
  </si>
  <si>
    <t>symbol_count</t>
    <phoneticPr fontId="2" type="noConversion"/>
  </si>
  <si>
    <t>WW</t>
    <phoneticPr fontId="2" type="noConversion"/>
  </si>
  <si>
    <t>fix</t>
    <phoneticPr fontId="2" type="noConversion"/>
  </si>
  <si>
    <t>]),columns=columns_name))</t>
    <phoneticPr fontId="2" type="noConversion"/>
  </si>
  <si>
    <t>df_list.append(pd.DataFrame(np.array([</t>
    <phoneticPr fontId="2" type="noConversion"/>
  </si>
  <si>
    <t>Reel State</t>
    <phoneticPr fontId="2" type="noConversion"/>
  </si>
  <si>
    <r>
      <rPr>
        <sz val="12"/>
        <color theme="1"/>
        <rFont val="微軟正黑體"/>
        <family val="2"/>
        <charset val="136"/>
      </rPr>
      <t>目標</t>
    </r>
    <phoneticPr fontId="2" type="noConversion"/>
  </si>
  <si>
    <r>
      <rPr>
        <sz val="12"/>
        <color theme="1"/>
        <rFont val="微軟正黑體"/>
        <family val="2"/>
        <charset val="136"/>
      </rPr>
      <t>目前</t>
    </r>
    <phoneticPr fontId="2" type="noConversion"/>
  </si>
  <si>
    <t>R6</t>
    <phoneticPr fontId="2" type="noConversion"/>
  </si>
  <si>
    <t>G1</t>
  </si>
  <si>
    <t>G2</t>
  </si>
  <si>
    <t>G3</t>
  </si>
  <si>
    <t>G4</t>
  </si>
  <si>
    <t>GA</t>
  </si>
  <si>
    <t>GK</t>
  </si>
  <si>
    <t>GQ</t>
  </si>
  <si>
    <t>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</si>
</sst>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2"/>
      <color theme="1"/>
      <name val="Courier New"/>
      <family val="2"/>
      <charset val="136"/>
    </font>
    <font>
      <sz val="12"/>
      <color theme="1"/>
      <name val="Courier New"/>
      <family val="2"/>
      <charset val="136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Courier New"/>
      <family val="3"/>
    </font>
    <font>
      <sz val="12"/>
      <name val="Courier New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4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2" borderId="2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10" fontId="4" fillId="0" borderId="0" xfId="1" applyNumberFormat="1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1" applyNumberFormat="1" applyFont="1" applyFill="1" applyBorder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176" fontId="4" fillId="6" borderId="1" xfId="0" applyNumberFormat="1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6" borderId="2" xfId="0" applyFont="1" applyFill="1" applyBorder="1">
      <alignment vertical="center"/>
    </xf>
    <xf numFmtId="10" fontId="4" fillId="6" borderId="1" xfId="1" applyNumberFormat="1" applyFont="1" applyFill="1" applyBorder="1">
      <alignment vertical="center"/>
    </xf>
    <xf numFmtId="10" fontId="4" fillId="0" borderId="2" xfId="0" applyNumberFormat="1" applyFont="1" applyFill="1" applyBorder="1">
      <alignment vertical="center"/>
    </xf>
    <xf numFmtId="0" fontId="4" fillId="0" borderId="2" xfId="0" applyFont="1" applyFill="1" applyBorder="1">
      <alignment vertical="center"/>
    </xf>
    <xf numFmtId="9" fontId="4" fillId="6" borderId="1" xfId="1" applyNumberFormat="1" applyFont="1" applyFill="1" applyBorder="1">
      <alignment vertical="center"/>
    </xf>
    <xf numFmtId="10" fontId="4" fillId="0" borderId="1" xfId="1" applyNumberFormat="1" applyFont="1" applyBorder="1">
      <alignment vertical="center"/>
    </xf>
    <xf numFmtId="10" fontId="4" fillId="0" borderId="0" xfId="1" applyNumberFormat="1" applyFont="1" applyBorder="1">
      <alignment vertical="center"/>
    </xf>
    <xf numFmtId="0" fontId="4" fillId="7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4" fillId="9" borderId="1" xfId="0" applyFont="1" applyFill="1" applyBorder="1">
      <alignment vertical="center"/>
    </xf>
    <xf numFmtId="0" fontId="5" fillId="0" borderId="0" xfId="0" applyFont="1">
      <alignment vertical="center"/>
    </xf>
  </cellXfs>
  <cellStyles count="2">
    <cellStyle name="一般" xfId="0" builtinId="0"/>
    <cellStyle name="百分比" xfId="1" builtinId="5"/>
  </cellStyles>
  <dxfs count="140"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</dxfs>
  <tableStyles count="0" defaultTableStyle="TableStyleMedium2" defaultPivotStyle="PivotStyleLight16"/>
  <colors>
    <mruColors>
      <color rgb="FFEFF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1316-2DC9-44F6-8B00-8057DE01FBE9}">
  <dimension ref="A1:Y161"/>
  <sheetViews>
    <sheetView tabSelected="1" topLeftCell="B1" zoomScale="85" zoomScaleNormal="85" workbookViewId="0">
      <selection activeCell="K26" sqref="K26:K161"/>
    </sheetView>
  </sheetViews>
  <sheetFormatPr defaultRowHeight="15.6" x14ac:dyDescent="0.3"/>
  <cols>
    <col min="2" max="2" width="11.25" style="1" bestFit="1" customWidth="1"/>
    <col min="3" max="3" width="10.33203125" style="3" bestFit="1" customWidth="1"/>
    <col min="4" max="4" width="11.33203125" style="3" bestFit="1" customWidth="1"/>
    <col min="5" max="5" width="13.5" style="3" bestFit="1" customWidth="1"/>
    <col min="6" max="9" width="11.08203125" style="3" customWidth="1"/>
    <col min="10" max="18" width="7.33203125" style="3" customWidth="1"/>
  </cols>
  <sheetData>
    <row r="1" spans="1:25" x14ac:dyDescent="0.3">
      <c r="C1" s="9"/>
      <c r="D1" s="9"/>
      <c r="E1" s="9"/>
      <c r="F1" s="9"/>
      <c r="G1" s="9"/>
    </row>
    <row r="3" spans="1:25" x14ac:dyDescent="0.3">
      <c r="A3">
        <v>0</v>
      </c>
      <c r="B3" s="1" t="s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J3" s="23" cm="1">
        <f t="array" ref="J3:O14">C3:H14/C22:H22</f>
        <v>0</v>
      </c>
      <c r="K3" s="23">
        <v>0</v>
      </c>
      <c r="L3" s="23">
        <v>0</v>
      </c>
      <c r="M3" s="23">
        <v>0</v>
      </c>
      <c r="N3" s="23">
        <v>0</v>
      </c>
      <c r="O3" s="3">
        <v>0</v>
      </c>
    </row>
    <row r="4" spans="1:25" x14ac:dyDescent="0.3">
      <c r="A4">
        <v>1</v>
      </c>
      <c r="B4" s="1" t="s">
        <v>1</v>
      </c>
      <c r="C4" s="8">
        <v>3</v>
      </c>
      <c r="D4" s="8">
        <v>3</v>
      </c>
      <c r="E4" s="8">
        <v>2</v>
      </c>
      <c r="F4" s="8">
        <v>2</v>
      </c>
      <c r="G4" s="8">
        <v>1</v>
      </c>
      <c r="H4" s="8">
        <v>1</v>
      </c>
      <c r="J4" s="23">
        <v>1.4999999999999999E-2</v>
      </c>
      <c r="K4" s="23">
        <v>1.4999999999999999E-2</v>
      </c>
      <c r="L4" s="23">
        <v>0.01</v>
      </c>
      <c r="M4" s="23">
        <v>0.01</v>
      </c>
      <c r="N4" s="23">
        <v>5.0000000000000001E-3</v>
      </c>
      <c r="O4" s="3">
        <v>5.0000000000000001E-3</v>
      </c>
    </row>
    <row r="5" spans="1:25" x14ac:dyDescent="0.3">
      <c r="A5">
        <v>2</v>
      </c>
      <c r="B5" s="1" t="s">
        <v>2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3">
        <v>0</v>
      </c>
      <c r="T5" s="29">
        <v>25</v>
      </c>
      <c r="U5" s="29">
        <v>16</v>
      </c>
      <c r="V5" s="29">
        <v>27</v>
      </c>
      <c r="W5" s="29">
        <v>16</v>
      </c>
      <c r="X5" s="29">
        <v>16</v>
      </c>
      <c r="Y5" s="29">
        <v>15</v>
      </c>
    </row>
    <row r="6" spans="1:25" x14ac:dyDescent="0.3">
      <c r="A6">
        <v>3</v>
      </c>
      <c r="B6" s="1" t="s">
        <v>4</v>
      </c>
      <c r="C6" s="28">
        <v>23</v>
      </c>
      <c r="D6" s="28">
        <v>2</v>
      </c>
      <c r="E6" s="28">
        <v>37</v>
      </c>
      <c r="F6" s="28">
        <v>12</v>
      </c>
      <c r="G6" s="28">
        <v>14</v>
      </c>
      <c r="H6" s="28">
        <v>12</v>
      </c>
      <c r="J6" s="23">
        <v>0.115</v>
      </c>
      <c r="K6" s="23">
        <v>0.01</v>
      </c>
      <c r="L6" s="23">
        <v>0.185</v>
      </c>
      <c r="M6" s="23">
        <v>0.06</v>
      </c>
      <c r="N6" s="23">
        <v>7.0000000000000007E-2</v>
      </c>
      <c r="O6" s="3">
        <v>0.06</v>
      </c>
      <c r="T6" s="29">
        <v>28</v>
      </c>
      <c r="U6" s="29">
        <v>20</v>
      </c>
      <c r="V6" s="29">
        <v>24</v>
      </c>
      <c r="W6" s="29">
        <v>19</v>
      </c>
      <c r="X6" s="29">
        <v>19</v>
      </c>
      <c r="Y6" s="29">
        <v>25</v>
      </c>
    </row>
    <row r="7" spans="1:25" x14ac:dyDescent="0.3">
      <c r="A7">
        <v>4</v>
      </c>
      <c r="B7" s="1" t="s">
        <v>5</v>
      </c>
      <c r="C7" s="28">
        <v>49</v>
      </c>
      <c r="D7" s="28">
        <v>3</v>
      </c>
      <c r="E7" s="28">
        <v>32</v>
      </c>
      <c r="F7" s="28">
        <v>15</v>
      </c>
      <c r="G7" s="28">
        <v>17</v>
      </c>
      <c r="H7" s="28">
        <v>27</v>
      </c>
      <c r="J7" s="19">
        <v>0.245</v>
      </c>
      <c r="K7" s="19">
        <v>1.4999999999999999E-2</v>
      </c>
      <c r="L7" s="19">
        <v>0.16</v>
      </c>
      <c r="M7" s="19">
        <v>7.4999999999999997E-2</v>
      </c>
      <c r="N7" s="19">
        <v>8.5000000000000006E-2</v>
      </c>
      <c r="O7" s="3">
        <v>0.13500000000000001</v>
      </c>
      <c r="T7" s="29">
        <v>20</v>
      </c>
      <c r="U7" s="29">
        <v>22</v>
      </c>
      <c r="V7" s="29">
        <v>20</v>
      </c>
      <c r="W7" s="29">
        <v>23</v>
      </c>
      <c r="X7" s="29">
        <v>23</v>
      </c>
      <c r="Y7" s="29">
        <v>16</v>
      </c>
    </row>
    <row r="8" spans="1:25" x14ac:dyDescent="0.3">
      <c r="A8">
        <v>5</v>
      </c>
      <c r="B8" s="1" t="s">
        <v>6</v>
      </c>
      <c r="C8" s="28">
        <v>7</v>
      </c>
      <c r="D8" s="28">
        <v>22</v>
      </c>
      <c r="E8" s="28">
        <v>6</v>
      </c>
      <c r="F8" s="28">
        <v>26</v>
      </c>
      <c r="G8" s="28">
        <v>25</v>
      </c>
      <c r="H8" s="28">
        <v>13</v>
      </c>
      <c r="J8" s="19">
        <v>3.5000000000000003E-2</v>
      </c>
      <c r="K8" s="19">
        <v>0.11</v>
      </c>
      <c r="L8" s="19">
        <v>0.03</v>
      </c>
      <c r="M8" s="19">
        <v>0.13</v>
      </c>
      <c r="N8" s="19">
        <v>0.125</v>
      </c>
      <c r="O8" s="3">
        <v>6.5000000000000002E-2</v>
      </c>
      <c r="T8" s="29">
        <v>28</v>
      </c>
      <c r="U8" s="29">
        <v>24</v>
      </c>
      <c r="V8" s="29">
        <v>29</v>
      </c>
      <c r="W8" s="29">
        <v>23</v>
      </c>
      <c r="X8" s="29">
        <v>24</v>
      </c>
      <c r="Y8" s="29">
        <v>29</v>
      </c>
    </row>
    <row r="9" spans="1:25" x14ac:dyDescent="0.3">
      <c r="A9">
        <v>6</v>
      </c>
      <c r="B9" s="1" t="s">
        <v>7</v>
      </c>
      <c r="C9" s="28">
        <v>49</v>
      </c>
      <c r="D9" s="28">
        <v>4</v>
      </c>
      <c r="E9" s="28">
        <v>43</v>
      </c>
      <c r="F9" s="28">
        <v>16</v>
      </c>
      <c r="G9" s="28">
        <v>23</v>
      </c>
      <c r="H9" s="28">
        <v>32</v>
      </c>
      <c r="J9" s="19">
        <v>0.245</v>
      </c>
      <c r="K9" s="19">
        <v>0.02</v>
      </c>
      <c r="L9" s="19">
        <v>0.215</v>
      </c>
      <c r="M9" s="19">
        <v>0.08</v>
      </c>
      <c r="N9" s="19">
        <v>0.115</v>
      </c>
      <c r="O9" s="3">
        <v>0.16</v>
      </c>
      <c r="T9" s="29">
        <v>23</v>
      </c>
      <c r="U9" s="29">
        <v>27</v>
      </c>
      <c r="V9" s="29">
        <v>21</v>
      </c>
      <c r="W9" s="29">
        <v>28</v>
      </c>
      <c r="X9" s="29">
        <v>28</v>
      </c>
      <c r="Y9" s="29">
        <v>25</v>
      </c>
    </row>
    <row r="10" spans="1:25" x14ac:dyDescent="0.3">
      <c r="A10">
        <v>7</v>
      </c>
      <c r="B10" s="1" t="s">
        <v>9</v>
      </c>
      <c r="C10" s="27">
        <v>4</v>
      </c>
      <c r="D10" s="27">
        <v>41</v>
      </c>
      <c r="E10" s="27">
        <v>8</v>
      </c>
      <c r="F10" s="27">
        <v>30</v>
      </c>
      <c r="G10" s="27">
        <v>30</v>
      </c>
      <c r="H10" s="27">
        <v>25</v>
      </c>
      <c r="J10" s="19">
        <v>0.02</v>
      </c>
      <c r="K10" s="19">
        <v>0.20499999999999999</v>
      </c>
      <c r="L10" s="19">
        <v>0.04</v>
      </c>
      <c r="M10" s="19">
        <v>0.15</v>
      </c>
      <c r="N10" s="19">
        <v>0.15</v>
      </c>
      <c r="O10" s="3">
        <v>0.125</v>
      </c>
      <c r="T10" s="29">
        <v>21</v>
      </c>
      <c r="U10" s="29">
        <v>29</v>
      </c>
      <c r="V10" s="29">
        <v>24</v>
      </c>
      <c r="W10" s="29">
        <v>31</v>
      </c>
      <c r="X10" s="29">
        <v>30</v>
      </c>
      <c r="Y10" s="29">
        <v>27</v>
      </c>
    </row>
    <row r="11" spans="1:25" x14ac:dyDescent="0.3">
      <c r="A11">
        <v>8</v>
      </c>
      <c r="B11" s="1" t="s">
        <v>10</v>
      </c>
      <c r="C11" s="27">
        <v>4</v>
      </c>
      <c r="D11" s="27">
        <v>59</v>
      </c>
      <c r="E11" s="27">
        <v>10</v>
      </c>
      <c r="F11" s="27">
        <v>31</v>
      </c>
      <c r="G11" s="27">
        <v>33</v>
      </c>
      <c r="H11" s="27">
        <v>29</v>
      </c>
      <c r="J11" s="19">
        <v>0.02</v>
      </c>
      <c r="K11" s="19">
        <v>0.29499999999999998</v>
      </c>
      <c r="L11" s="19">
        <v>0.05</v>
      </c>
      <c r="M11" s="19">
        <v>0.155</v>
      </c>
      <c r="N11" s="19">
        <v>0.16500000000000001</v>
      </c>
      <c r="O11" s="3">
        <v>0.14499999999999999</v>
      </c>
      <c r="T11" s="29">
        <v>27</v>
      </c>
      <c r="U11" s="29">
        <v>22</v>
      </c>
      <c r="V11" s="29">
        <v>28</v>
      </c>
      <c r="W11" s="29">
        <v>24</v>
      </c>
      <c r="X11" s="29">
        <v>24</v>
      </c>
      <c r="Y11" s="29">
        <v>33</v>
      </c>
    </row>
    <row r="12" spans="1:25" x14ac:dyDescent="0.3">
      <c r="A12">
        <v>9</v>
      </c>
      <c r="B12" s="1" t="s">
        <v>11</v>
      </c>
      <c r="C12" s="27">
        <v>57</v>
      </c>
      <c r="D12" s="27">
        <v>4</v>
      </c>
      <c r="E12" s="27">
        <v>39</v>
      </c>
      <c r="F12" s="27">
        <v>18</v>
      </c>
      <c r="G12" s="27">
        <v>24</v>
      </c>
      <c r="H12" s="27">
        <v>37</v>
      </c>
      <c r="J12" s="23">
        <v>0.28499999999999998</v>
      </c>
      <c r="K12" s="23">
        <v>0.02</v>
      </c>
      <c r="L12" s="23">
        <v>0.19500000000000001</v>
      </c>
      <c r="M12" s="23">
        <v>0.09</v>
      </c>
      <c r="N12" s="23">
        <v>0.12</v>
      </c>
      <c r="O12" s="3">
        <v>0.185</v>
      </c>
      <c r="T12" s="29">
        <v>20</v>
      </c>
      <c r="U12" s="29">
        <v>32</v>
      </c>
      <c r="V12" s="29">
        <v>20</v>
      </c>
      <c r="W12" s="29">
        <v>29</v>
      </c>
      <c r="X12" s="29">
        <v>30</v>
      </c>
      <c r="Y12" s="29">
        <v>24</v>
      </c>
    </row>
    <row r="13" spans="1:25" x14ac:dyDescent="0.3">
      <c r="A13">
        <v>10</v>
      </c>
      <c r="B13" s="1" t="s">
        <v>12</v>
      </c>
      <c r="C13" s="27">
        <v>4</v>
      </c>
      <c r="D13" s="27">
        <v>62</v>
      </c>
      <c r="E13" s="27">
        <v>7</v>
      </c>
      <c r="F13" s="27">
        <v>34</v>
      </c>
      <c r="G13" s="27">
        <v>33</v>
      </c>
      <c r="H13" s="27">
        <v>24</v>
      </c>
      <c r="J13" s="23">
        <v>0.02</v>
      </c>
      <c r="K13" s="23">
        <v>0.31</v>
      </c>
      <c r="L13" s="23">
        <v>3.5000000000000003E-2</v>
      </c>
      <c r="M13" s="23">
        <v>0.17</v>
      </c>
      <c r="N13" s="23">
        <v>0.16500000000000001</v>
      </c>
      <c r="O13" s="3">
        <v>0.12</v>
      </c>
    </row>
    <row r="14" spans="1:25" x14ac:dyDescent="0.3">
      <c r="A14">
        <v>11</v>
      </c>
      <c r="B14" s="1" t="s">
        <v>37</v>
      </c>
      <c r="C14" s="25">
        <v>0</v>
      </c>
      <c r="D14" s="25">
        <v>0</v>
      </c>
      <c r="E14" s="25">
        <v>2</v>
      </c>
      <c r="F14" s="25">
        <v>2</v>
      </c>
      <c r="G14" s="25">
        <v>0</v>
      </c>
      <c r="H14" s="25">
        <v>0</v>
      </c>
      <c r="J14" s="23">
        <v>0</v>
      </c>
      <c r="K14" s="23">
        <v>0</v>
      </c>
      <c r="L14" s="23">
        <v>0.01</v>
      </c>
      <c r="M14" s="23">
        <v>0.01</v>
      </c>
      <c r="N14" s="23">
        <v>0</v>
      </c>
      <c r="O14" s="3">
        <v>0</v>
      </c>
    </row>
    <row r="15" spans="1:25" x14ac:dyDescent="0.3">
      <c r="A15">
        <v>12</v>
      </c>
      <c r="B15" s="1" t="s">
        <v>38</v>
      </c>
      <c r="C15" s="25">
        <v>0</v>
      </c>
      <c r="D15" s="25">
        <v>0</v>
      </c>
      <c r="E15" s="25">
        <v>2</v>
      </c>
      <c r="F15" s="25">
        <v>2</v>
      </c>
      <c r="G15" s="25">
        <v>0</v>
      </c>
      <c r="H15" s="25">
        <v>0</v>
      </c>
      <c r="J15" s="24"/>
      <c r="K15" s="24"/>
      <c r="L15" s="24"/>
      <c r="M15" s="24"/>
      <c r="N15" s="24"/>
      <c r="T15" s="29">
        <v>25</v>
      </c>
      <c r="U15" s="29">
        <v>16</v>
      </c>
      <c r="V15" s="29">
        <v>27</v>
      </c>
      <c r="W15" s="29">
        <v>16</v>
      </c>
      <c r="X15" s="29">
        <v>16</v>
      </c>
      <c r="Y15" s="29">
        <v>15</v>
      </c>
    </row>
    <row r="16" spans="1:25" x14ac:dyDescent="0.3">
      <c r="A16">
        <v>13</v>
      </c>
      <c r="B16" s="1" t="s">
        <v>39</v>
      </c>
      <c r="C16" s="25">
        <v>0</v>
      </c>
      <c r="D16" s="25">
        <v>0</v>
      </c>
      <c r="E16" s="25">
        <v>2</v>
      </c>
      <c r="F16" s="25">
        <v>2</v>
      </c>
      <c r="G16" s="25">
        <v>0</v>
      </c>
      <c r="H16" s="25">
        <v>0</v>
      </c>
      <c r="J16" s="24"/>
      <c r="K16" s="24"/>
      <c r="L16" s="24"/>
      <c r="M16" s="24"/>
      <c r="N16" s="24"/>
      <c r="T16" s="29">
        <v>28</v>
      </c>
      <c r="U16" s="29">
        <v>20</v>
      </c>
      <c r="V16" s="29">
        <v>24</v>
      </c>
      <c r="W16" s="29">
        <v>19</v>
      </c>
      <c r="X16" s="29">
        <v>19</v>
      </c>
      <c r="Y16" s="29">
        <v>25</v>
      </c>
    </row>
    <row r="17" spans="1:25" x14ac:dyDescent="0.3">
      <c r="A17">
        <v>14</v>
      </c>
      <c r="B17" s="1" t="s">
        <v>40</v>
      </c>
      <c r="C17" s="25">
        <v>0</v>
      </c>
      <c r="D17" s="25">
        <v>0</v>
      </c>
      <c r="E17" s="25">
        <v>2</v>
      </c>
      <c r="F17" s="25">
        <v>2</v>
      </c>
      <c r="G17" s="25">
        <v>0</v>
      </c>
      <c r="H17" s="25">
        <v>0</v>
      </c>
      <c r="J17" s="24"/>
      <c r="K17" s="24"/>
      <c r="L17" s="24"/>
      <c r="M17" s="24"/>
      <c r="N17" s="24"/>
      <c r="T17" s="29">
        <v>20</v>
      </c>
      <c r="U17" s="29">
        <v>22</v>
      </c>
      <c r="V17" s="29">
        <v>20</v>
      </c>
      <c r="W17" s="29">
        <v>23</v>
      </c>
      <c r="X17" s="29">
        <v>23</v>
      </c>
      <c r="Y17" s="29">
        <v>16</v>
      </c>
    </row>
    <row r="18" spans="1:25" x14ac:dyDescent="0.3">
      <c r="A18">
        <v>15</v>
      </c>
      <c r="B18" s="1" t="s">
        <v>41</v>
      </c>
      <c r="C18" s="26">
        <v>0</v>
      </c>
      <c r="D18" s="26">
        <v>0</v>
      </c>
      <c r="E18" s="26">
        <v>2</v>
      </c>
      <c r="F18" s="26">
        <v>2</v>
      </c>
      <c r="G18" s="26">
        <v>0</v>
      </c>
      <c r="H18" s="26">
        <v>0</v>
      </c>
      <c r="J18" s="24"/>
      <c r="K18" s="24"/>
      <c r="L18" s="24"/>
      <c r="M18" s="24"/>
      <c r="N18" s="24"/>
      <c r="T18" s="29">
        <v>28</v>
      </c>
      <c r="U18" s="29">
        <v>24</v>
      </c>
      <c r="V18" s="29">
        <v>29</v>
      </c>
      <c r="W18" s="29">
        <v>23</v>
      </c>
      <c r="X18" s="29">
        <v>24</v>
      </c>
      <c r="Y18" s="29">
        <v>29</v>
      </c>
    </row>
    <row r="19" spans="1:25" x14ac:dyDescent="0.3">
      <c r="A19">
        <v>16</v>
      </c>
      <c r="B19" s="1" t="s">
        <v>42</v>
      </c>
      <c r="C19" s="26">
        <v>0</v>
      </c>
      <c r="D19" s="26">
        <v>0</v>
      </c>
      <c r="E19" s="26">
        <v>2</v>
      </c>
      <c r="F19" s="26">
        <v>2</v>
      </c>
      <c r="G19" s="26">
        <v>0</v>
      </c>
      <c r="H19" s="26">
        <v>0</v>
      </c>
      <c r="J19" s="24"/>
      <c r="K19" s="24"/>
      <c r="L19" s="24"/>
      <c r="M19" s="24"/>
      <c r="N19" s="24"/>
      <c r="T19" s="29">
        <v>23</v>
      </c>
      <c r="U19" s="29">
        <v>27</v>
      </c>
      <c r="V19" s="29">
        <v>21</v>
      </c>
      <c r="W19" s="29">
        <v>28</v>
      </c>
      <c r="X19" s="29">
        <v>28</v>
      </c>
      <c r="Y19" s="29">
        <v>25</v>
      </c>
    </row>
    <row r="20" spans="1:25" x14ac:dyDescent="0.3">
      <c r="A20">
        <v>17</v>
      </c>
      <c r="B20" s="1" t="s">
        <v>43</v>
      </c>
      <c r="C20" s="26">
        <v>0</v>
      </c>
      <c r="D20" s="26">
        <v>0</v>
      </c>
      <c r="E20" s="26">
        <v>2</v>
      </c>
      <c r="F20" s="26">
        <v>2</v>
      </c>
      <c r="G20" s="26">
        <v>0</v>
      </c>
      <c r="H20" s="26">
        <v>0</v>
      </c>
      <c r="J20" s="24"/>
      <c r="K20" s="24"/>
      <c r="L20" s="24"/>
      <c r="M20" s="24"/>
      <c r="N20" s="24"/>
      <c r="T20" s="29">
        <v>21</v>
      </c>
      <c r="U20" s="29">
        <v>29</v>
      </c>
      <c r="V20" s="29">
        <v>24</v>
      </c>
      <c r="W20" s="29">
        <v>31</v>
      </c>
      <c r="X20" s="29">
        <v>30</v>
      </c>
      <c r="Y20" s="29">
        <v>27</v>
      </c>
    </row>
    <row r="21" spans="1:25" x14ac:dyDescent="0.3">
      <c r="A21">
        <v>18</v>
      </c>
      <c r="B21" s="1" t="s">
        <v>44</v>
      </c>
      <c r="C21" s="26">
        <v>0</v>
      </c>
      <c r="D21" s="26">
        <v>0</v>
      </c>
      <c r="E21" s="26">
        <v>2</v>
      </c>
      <c r="F21" s="26">
        <v>2</v>
      </c>
      <c r="G21" s="26">
        <v>0</v>
      </c>
      <c r="H21" s="26">
        <v>0</v>
      </c>
      <c r="J21" s="24"/>
      <c r="K21" s="24"/>
      <c r="L21" s="24"/>
      <c r="M21" s="24"/>
      <c r="N21" s="24"/>
      <c r="T21" s="29">
        <v>27</v>
      </c>
      <c r="U21" s="29">
        <v>22</v>
      </c>
      <c r="V21" s="29">
        <v>28</v>
      </c>
      <c r="W21" s="29">
        <v>24</v>
      </c>
      <c r="X21" s="29">
        <v>24</v>
      </c>
      <c r="Y21" s="29">
        <v>33</v>
      </c>
    </row>
    <row r="22" spans="1:25" x14ac:dyDescent="0.3">
      <c r="B22" s="1" t="s">
        <v>20</v>
      </c>
      <c r="C22" s="8">
        <f t="shared" ref="C22:H22" si="0">SUM(C3:C21)</f>
        <v>200</v>
      </c>
      <c r="D22" s="8">
        <f t="shared" si="0"/>
        <v>200</v>
      </c>
      <c r="E22" s="8">
        <f t="shared" si="0"/>
        <v>200</v>
      </c>
      <c r="F22" s="8">
        <f t="shared" si="0"/>
        <v>200</v>
      </c>
      <c r="G22" s="8">
        <f t="shared" si="0"/>
        <v>200</v>
      </c>
      <c r="H22" s="8">
        <f t="shared" si="0"/>
        <v>200</v>
      </c>
      <c r="T22" s="29">
        <v>20</v>
      </c>
      <c r="U22" s="29">
        <v>32</v>
      </c>
      <c r="V22" s="29">
        <v>20</v>
      </c>
      <c r="W22" s="29">
        <v>29</v>
      </c>
      <c r="X22" s="29">
        <v>30</v>
      </c>
      <c r="Y22" s="29">
        <v>24</v>
      </c>
    </row>
    <row r="23" spans="1:25" x14ac:dyDescent="0.3">
      <c r="C23" s="9"/>
      <c r="D23" s="9"/>
      <c r="E23" s="9"/>
      <c r="F23" s="9"/>
      <c r="G23" s="9"/>
      <c r="K23" s="14" t="str">
        <f>"['"&amp;_xlfn.TEXTJOIN("', '", , C26:E26)&amp;"', "&amp;_xlfn.TEXTJOIN(", ", , F26:I26)&amp;"]"</f>
        <v>['symbol_id', 'symbol_str', 'symbol_count', 1, 2, 3, 5]</v>
      </c>
    </row>
    <row r="25" spans="1:25" x14ac:dyDescent="0.3">
      <c r="C25" s="3" t="s">
        <v>14</v>
      </c>
      <c r="T25" s="29">
        <v>25</v>
      </c>
      <c r="U25" s="29">
        <v>16</v>
      </c>
      <c r="V25" s="29">
        <v>27</v>
      </c>
      <c r="W25" s="29">
        <v>16</v>
      </c>
      <c r="X25" s="29">
        <v>16</v>
      </c>
      <c r="Y25" s="29">
        <v>15</v>
      </c>
    </row>
    <row r="26" spans="1:25" x14ac:dyDescent="0.3">
      <c r="C26" s="2" t="s">
        <v>27</v>
      </c>
      <c r="D26" s="2" t="s">
        <v>26</v>
      </c>
      <c r="E26" s="2" t="s">
        <v>28</v>
      </c>
      <c r="F26" s="2">
        <v>1</v>
      </c>
      <c r="G26" s="2">
        <v>2</v>
      </c>
      <c r="H26" s="2">
        <v>3</v>
      </c>
      <c r="I26" s="2">
        <v>5</v>
      </c>
      <c r="K26" s="14" t="s">
        <v>32</v>
      </c>
      <c r="T26" s="29">
        <v>28</v>
      </c>
      <c r="U26" s="29">
        <v>20</v>
      </c>
      <c r="V26" s="29">
        <v>24</v>
      </c>
      <c r="W26" s="29">
        <v>19</v>
      </c>
      <c r="X26" s="29">
        <v>19</v>
      </c>
      <c r="Y26" s="29">
        <v>25</v>
      </c>
    </row>
    <row r="27" spans="1:25" x14ac:dyDescent="0.3">
      <c r="C27" s="10" cm="1">
        <f t="array" ref="C27:C45">A3:A21</f>
        <v>0</v>
      </c>
      <c r="D27" s="10" t="str" cm="1">
        <f t="array" ref="D27:D45">B3:B21</f>
        <v>WW</v>
      </c>
      <c r="E27" s="4" cm="1">
        <f t="array" ref="E27:E45">C$3:C$21</f>
        <v>0</v>
      </c>
      <c r="F27" s="5">
        <f>E27-SUMPRODUCT($G$26:$I$26,G27:I27)</f>
        <v>0</v>
      </c>
      <c r="G27" s="18">
        <v>0</v>
      </c>
      <c r="H27" s="21">
        <v>0</v>
      </c>
      <c r="I27" s="21">
        <v>0</v>
      </c>
      <c r="K27" s="14" t="str">
        <f t="shared" ref="K27:K45" si="1">"["&amp;C27&amp;", '"&amp;D27&amp;"', "&amp;_xlfn.TEXTJOIN(", ", , E27:I27)&amp;"]"&amp;","</f>
        <v>[0, 'WW', 0, 0, 0, 0, 0],</v>
      </c>
      <c r="T27" s="29">
        <v>20</v>
      </c>
      <c r="U27" s="29">
        <v>22</v>
      </c>
      <c r="V27" s="29">
        <v>20</v>
      </c>
      <c r="W27" s="29">
        <v>23</v>
      </c>
      <c r="X27" s="29">
        <v>23</v>
      </c>
      <c r="Y27" s="29">
        <v>16</v>
      </c>
    </row>
    <row r="28" spans="1:25" x14ac:dyDescent="0.3">
      <c r="C28" s="11">
        <v>1</v>
      </c>
      <c r="D28" s="11" t="str">
        <v>C1</v>
      </c>
      <c r="E28" s="6">
        <v>3</v>
      </c>
      <c r="F28" s="5">
        <f t="shared" ref="F28:F45" si="2">E28-SUMPRODUCT($G$26:$I$26,G28:I28)</f>
        <v>3</v>
      </c>
      <c r="G28" s="17">
        <v>0</v>
      </c>
      <c r="H28" s="8">
        <v>0</v>
      </c>
      <c r="I28" s="8">
        <v>0</v>
      </c>
      <c r="K28" s="14" t="str">
        <f t="shared" si="1"/>
        <v>[1, 'C1', 3, 3, 0, 0, 0],</v>
      </c>
      <c r="T28" s="29">
        <v>28</v>
      </c>
      <c r="U28" s="29">
        <v>24</v>
      </c>
      <c r="V28" s="29">
        <v>29</v>
      </c>
      <c r="W28" s="29">
        <v>23</v>
      </c>
      <c r="X28" s="29">
        <v>24</v>
      </c>
      <c r="Y28" s="29">
        <v>29</v>
      </c>
    </row>
    <row r="29" spans="1:25" x14ac:dyDescent="0.3">
      <c r="C29" s="11">
        <v>2</v>
      </c>
      <c r="D29" s="11" t="str">
        <v>C2</v>
      </c>
      <c r="E29" s="6">
        <v>0</v>
      </c>
      <c r="F29" s="5">
        <f t="shared" si="2"/>
        <v>0</v>
      </c>
      <c r="G29" s="17">
        <v>0</v>
      </c>
      <c r="H29" s="8">
        <v>0</v>
      </c>
      <c r="I29" s="8">
        <v>0</v>
      </c>
      <c r="K29" s="14" t="str">
        <f t="shared" si="1"/>
        <v>[2, 'C2', 0, 0, 0, 0, 0],</v>
      </c>
      <c r="T29" s="29">
        <v>23</v>
      </c>
      <c r="U29" s="29">
        <v>27</v>
      </c>
      <c r="V29" s="29">
        <v>21</v>
      </c>
      <c r="W29" s="29">
        <v>28</v>
      </c>
      <c r="X29" s="29">
        <v>28</v>
      </c>
      <c r="Y29" s="29">
        <v>25</v>
      </c>
    </row>
    <row r="30" spans="1:25" x14ac:dyDescent="0.3">
      <c r="C30" s="11">
        <v>3</v>
      </c>
      <c r="D30" s="11" t="str">
        <v>M1</v>
      </c>
      <c r="E30" s="6">
        <v>23</v>
      </c>
      <c r="F30" s="5">
        <f t="shared" si="2"/>
        <v>23</v>
      </c>
      <c r="G30" s="17">
        <v>0</v>
      </c>
      <c r="H30" s="8">
        <v>0</v>
      </c>
      <c r="I30" s="8">
        <v>0</v>
      </c>
      <c r="K30" s="14" t="str">
        <f t="shared" si="1"/>
        <v>[3, 'M1', 23, 23, 0, 0, 0],</v>
      </c>
      <c r="T30" s="29">
        <v>21</v>
      </c>
      <c r="U30" s="29">
        <v>29</v>
      </c>
      <c r="V30" s="29">
        <v>24</v>
      </c>
      <c r="W30" s="29">
        <v>31</v>
      </c>
      <c r="X30" s="29">
        <v>30</v>
      </c>
      <c r="Y30" s="29">
        <v>27</v>
      </c>
    </row>
    <row r="31" spans="1:25" x14ac:dyDescent="0.3">
      <c r="C31" s="11">
        <v>4</v>
      </c>
      <c r="D31" s="11" t="str">
        <v>M2</v>
      </c>
      <c r="E31" s="6">
        <v>49</v>
      </c>
      <c r="F31" s="5">
        <f t="shared" si="2"/>
        <v>45</v>
      </c>
      <c r="G31" s="17">
        <v>2</v>
      </c>
      <c r="H31" s="8">
        <v>0</v>
      </c>
      <c r="I31" s="8">
        <v>0</v>
      </c>
      <c r="K31" s="14" t="str">
        <f t="shared" si="1"/>
        <v>[4, 'M2', 49, 45, 2, 0, 0],</v>
      </c>
      <c r="T31" s="29">
        <v>27</v>
      </c>
      <c r="U31" s="29">
        <v>22</v>
      </c>
      <c r="V31" s="29">
        <v>28</v>
      </c>
      <c r="W31" s="29">
        <v>24</v>
      </c>
      <c r="X31" s="29">
        <v>24</v>
      </c>
      <c r="Y31" s="29">
        <v>33</v>
      </c>
    </row>
    <row r="32" spans="1:25" x14ac:dyDescent="0.3">
      <c r="C32" s="11">
        <v>5</v>
      </c>
      <c r="D32" s="11" t="str">
        <v>M3</v>
      </c>
      <c r="E32" s="6">
        <v>7</v>
      </c>
      <c r="F32" s="5">
        <f t="shared" si="2"/>
        <v>7</v>
      </c>
      <c r="G32" s="17">
        <v>0</v>
      </c>
      <c r="H32" s="8">
        <v>0</v>
      </c>
      <c r="I32" s="8">
        <v>0</v>
      </c>
      <c r="K32" s="14" t="str">
        <f t="shared" si="1"/>
        <v>[5, 'M3', 7, 7, 0, 0, 0],</v>
      </c>
      <c r="T32" s="29">
        <v>20</v>
      </c>
      <c r="U32" s="29">
        <v>32</v>
      </c>
      <c r="V32" s="29">
        <v>20</v>
      </c>
      <c r="W32" s="29">
        <v>29</v>
      </c>
      <c r="X32" s="29">
        <v>30</v>
      </c>
      <c r="Y32" s="29">
        <v>24</v>
      </c>
    </row>
    <row r="33" spans="2:11" x14ac:dyDescent="0.3">
      <c r="C33" s="11">
        <v>6</v>
      </c>
      <c r="D33" s="11" t="str">
        <v>M4</v>
      </c>
      <c r="E33" s="6">
        <v>49</v>
      </c>
      <c r="F33" s="5">
        <f t="shared" si="2"/>
        <v>45</v>
      </c>
      <c r="G33" s="17">
        <v>2</v>
      </c>
      <c r="H33" s="8">
        <v>0</v>
      </c>
      <c r="I33" s="8">
        <v>0</v>
      </c>
      <c r="K33" s="14" t="str">
        <f t="shared" si="1"/>
        <v>[6, 'M4', 49, 45, 2, 0, 0],</v>
      </c>
    </row>
    <row r="34" spans="2:11" x14ac:dyDescent="0.3">
      <c r="C34" s="11">
        <v>7</v>
      </c>
      <c r="D34" s="11" t="str">
        <v>A</v>
      </c>
      <c r="E34" s="6">
        <v>4</v>
      </c>
      <c r="F34" s="5">
        <f t="shared" si="2"/>
        <v>4</v>
      </c>
      <c r="G34" s="17">
        <v>0</v>
      </c>
      <c r="H34" s="8">
        <v>0</v>
      </c>
      <c r="I34" s="8">
        <v>0</v>
      </c>
      <c r="K34" s="14" t="str">
        <f t="shared" si="1"/>
        <v>[7, 'A', 4, 4, 0, 0, 0],</v>
      </c>
    </row>
    <row r="35" spans="2:11" x14ac:dyDescent="0.3">
      <c r="B35" s="3"/>
      <c r="C35" s="11">
        <v>8</v>
      </c>
      <c r="D35" s="11" t="str">
        <v>K</v>
      </c>
      <c r="E35" s="6">
        <v>4</v>
      </c>
      <c r="F35" s="5">
        <f t="shared" si="2"/>
        <v>4</v>
      </c>
      <c r="G35" s="17">
        <v>0</v>
      </c>
      <c r="H35" s="8">
        <v>0</v>
      </c>
      <c r="I35" s="8">
        <v>0</v>
      </c>
      <c r="K35" s="14" t="str">
        <f t="shared" si="1"/>
        <v>[8, 'K', 4, 4, 0, 0, 0],</v>
      </c>
    </row>
    <row r="36" spans="2:11" x14ac:dyDescent="0.3">
      <c r="B36" s="3"/>
      <c r="C36" s="11">
        <v>9</v>
      </c>
      <c r="D36" s="11" t="str">
        <v>Q</v>
      </c>
      <c r="E36" s="6">
        <v>57</v>
      </c>
      <c r="F36" s="5">
        <f t="shared" si="2"/>
        <v>53</v>
      </c>
      <c r="G36" s="17">
        <v>2</v>
      </c>
      <c r="H36" s="8">
        <v>0</v>
      </c>
      <c r="I36" s="8">
        <v>0</v>
      </c>
      <c r="K36" s="14" t="str">
        <f t="shared" si="1"/>
        <v>[9, 'Q', 57, 53, 2, 0, 0],</v>
      </c>
    </row>
    <row r="37" spans="2:11" x14ac:dyDescent="0.3">
      <c r="B37" s="3"/>
      <c r="C37" s="11">
        <v>10</v>
      </c>
      <c r="D37" s="11" t="str">
        <v>J</v>
      </c>
      <c r="E37" s="6">
        <v>4</v>
      </c>
      <c r="F37" s="5">
        <f t="shared" si="2"/>
        <v>0</v>
      </c>
      <c r="G37" s="17">
        <v>2</v>
      </c>
      <c r="H37" s="8">
        <v>0</v>
      </c>
      <c r="I37" s="8">
        <v>0</v>
      </c>
      <c r="K37" s="14" t="str">
        <f t="shared" si="1"/>
        <v>[10, 'J', 4, 0, 2, 0, 0],</v>
      </c>
    </row>
    <row r="38" spans="2:11" x14ac:dyDescent="0.3">
      <c r="B38" s="3"/>
      <c r="C38" s="11">
        <v>11</v>
      </c>
      <c r="D38" s="11" t="str">
        <v>G1</v>
      </c>
      <c r="E38" s="6">
        <v>0</v>
      </c>
      <c r="F38" s="5">
        <f t="shared" si="2"/>
        <v>0</v>
      </c>
      <c r="G38" s="17">
        <v>0</v>
      </c>
      <c r="H38" s="8">
        <v>0</v>
      </c>
      <c r="I38" s="8">
        <v>0</v>
      </c>
      <c r="K38" s="14" t="str">
        <f t="shared" si="1"/>
        <v>[11, 'G1', 0, 0, 0, 0, 0],</v>
      </c>
    </row>
    <row r="39" spans="2:11" x14ac:dyDescent="0.3">
      <c r="B39" s="3"/>
      <c r="C39" s="11">
        <v>12</v>
      </c>
      <c r="D39" s="11" t="str">
        <v>G2</v>
      </c>
      <c r="E39" s="6">
        <v>0</v>
      </c>
      <c r="F39" s="5">
        <f t="shared" si="2"/>
        <v>0</v>
      </c>
      <c r="G39" s="17">
        <v>0</v>
      </c>
      <c r="H39" s="8">
        <v>0</v>
      </c>
      <c r="I39" s="8">
        <v>0</v>
      </c>
      <c r="K39" s="14" t="str">
        <f t="shared" si="1"/>
        <v>[12, 'G2', 0, 0, 0, 0, 0],</v>
      </c>
    </row>
    <row r="40" spans="2:11" x14ac:dyDescent="0.3">
      <c r="B40" s="3"/>
      <c r="C40" s="11">
        <v>13</v>
      </c>
      <c r="D40" s="11" t="str">
        <v>G3</v>
      </c>
      <c r="E40" s="6">
        <v>0</v>
      </c>
      <c r="F40" s="5">
        <f t="shared" si="2"/>
        <v>0</v>
      </c>
      <c r="G40" s="17">
        <v>0</v>
      </c>
      <c r="H40" s="8">
        <v>0</v>
      </c>
      <c r="I40" s="8">
        <v>0</v>
      </c>
      <c r="K40" s="14" t="str">
        <f t="shared" si="1"/>
        <v>[13, 'G3', 0, 0, 0, 0, 0],</v>
      </c>
    </row>
    <row r="41" spans="2:11" x14ac:dyDescent="0.3">
      <c r="B41" s="3"/>
      <c r="C41" s="11">
        <v>14</v>
      </c>
      <c r="D41" s="11" t="str">
        <v>G4</v>
      </c>
      <c r="E41" s="6">
        <v>0</v>
      </c>
      <c r="F41" s="5">
        <f t="shared" si="2"/>
        <v>0</v>
      </c>
      <c r="G41" s="17">
        <v>0</v>
      </c>
      <c r="H41" s="8">
        <v>0</v>
      </c>
      <c r="I41" s="8">
        <v>0</v>
      </c>
      <c r="K41" s="14" t="str">
        <f t="shared" si="1"/>
        <v>[14, 'G4', 0, 0, 0, 0, 0],</v>
      </c>
    </row>
    <row r="42" spans="2:11" x14ac:dyDescent="0.3">
      <c r="B42" s="3"/>
      <c r="C42" s="11">
        <v>15</v>
      </c>
      <c r="D42" s="11" t="str">
        <v>GA</v>
      </c>
      <c r="E42" s="6">
        <v>0</v>
      </c>
      <c r="F42" s="5">
        <f t="shared" si="2"/>
        <v>0</v>
      </c>
      <c r="G42" s="17">
        <v>0</v>
      </c>
      <c r="H42" s="8">
        <v>0</v>
      </c>
      <c r="I42" s="8">
        <v>0</v>
      </c>
      <c r="K42" s="14" t="str">
        <f t="shared" si="1"/>
        <v>[15, 'GA', 0, 0, 0, 0, 0],</v>
      </c>
    </row>
    <row r="43" spans="2:11" x14ac:dyDescent="0.3">
      <c r="B43" s="3"/>
      <c r="C43" s="11">
        <v>16</v>
      </c>
      <c r="D43" s="11" t="str">
        <v>GK</v>
      </c>
      <c r="E43" s="6">
        <v>0</v>
      </c>
      <c r="F43" s="5">
        <f t="shared" si="2"/>
        <v>0</v>
      </c>
      <c r="G43" s="17">
        <v>0</v>
      </c>
      <c r="H43" s="8">
        <v>0</v>
      </c>
      <c r="I43" s="8">
        <v>0</v>
      </c>
      <c r="K43" s="14" t="str">
        <f t="shared" si="1"/>
        <v>[16, 'GK', 0, 0, 0, 0, 0],</v>
      </c>
    </row>
    <row r="44" spans="2:11" x14ac:dyDescent="0.3">
      <c r="B44" s="3"/>
      <c r="C44" s="11">
        <v>17</v>
      </c>
      <c r="D44" s="11" t="str">
        <v>GQ</v>
      </c>
      <c r="E44" s="6">
        <v>0</v>
      </c>
      <c r="F44" s="5">
        <f t="shared" si="2"/>
        <v>0</v>
      </c>
      <c r="G44" s="17">
        <v>0</v>
      </c>
      <c r="H44" s="8">
        <v>0</v>
      </c>
      <c r="I44" s="8">
        <v>0</v>
      </c>
      <c r="K44" s="14" t="str">
        <f t="shared" si="1"/>
        <v>[17, 'GQ', 0, 0, 0, 0, 0],</v>
      </c>
    </row>
    <row r="45" spans="2:11" x14ac:dyDescent="0.3">
      <c r="B45" s="3"/>
      <c r="C45" s="11">
        <v>18</v>
      </c>
      <c r="D45" s="11" t="str">
        <v>GJ</v>
      </c>
      <c r="E45" s="6">
        <v>0</v>
      </c>
      <c r="F45" s="5">
        <f t="shared" si="2"/>
        <v>0</v>
      </c>
      <c r="G45" s="17">
        <v>0</v>
      </c>
      <c r="H45" s="8">
        <v>0</v>
      </c>
      <c r="I45" s="8">
        <v>0</v>
      </c>
      <c r="K45" s="14" t="str">
        <f t="shared" si="1"/>
        <v>[18, 'GJ', 0, 0, 0, 0, 0],</v>
      </c>
    </row>
    <row r="46" spans="2:11" x14ac:dyDescent="0.3">
      <c r="B46" s="3"/>
      <c r="K46" s="14" t="s">
        <v>31</v>
      </c>
    </row>
    <row r="47" spans="2:11" x14ac:dyDescent="0.3">
      <c r="B47" s="3"/>
    </row>
    <row r="48" spans="2:11" x14ac:dyDescent="0.3">
      <c r="C48" s="3" t="s">
        <v>22</v>
      </c>
    </row>
    <row r="49" spans="3:11" x14ac:dyDescent="0.3">
      <c r="C49" s="2" t="s">
        <v>27</v>
      </c>
      <c r="D49" s="2" t="s">
        <v>26</v>
      </c>
      <c r="E49" s="2" t="s">
        <v>28</v>
      </c>
      <c r="F49" s="2">
        <v>1</v>
      </c>
      <c r="G49" s="2">
        <v>2</v>
      </c>
      <c r="H49" s="2">
        <v>3</v>
      </c>
      <c r="I49" s="2">
        <v>5</v>
      </c>
      <c r="K49" s="14" t="s">
        <v>32</v>
      </c>
    </row>
    <row r="50" spans="3:11" x14ac:dyDescent="0.3">
      <c r="C50" s="10" cm="1">
        <f t="array" ref="C50:D68">C27:D45</f>
        <v>0</v>
      </c>
      <c r="D50" s="10" t="str">
        <v>WW</v>
      </c>
      <c r="E50" s="4" cm="1">
        <f t="array" ref="E50:E68">D3:D21</f>
        <v>0</v>
      </c>
      <c r="F50" s="5">
        <f>E50-SUMPRODUCT($G$26:$I$26,G50:I50)</f>
        <v>0</v>
      </c>
      <c r="G50" s="18">
        <v>0</v>
      </c>
      <c r="H50" s="21">
        <v>0</v>
      </c>
      <c r="I50" s="21">
        <v>0</v>
      </c>
      <c r="K50" s="14" t="str">
        <f t="shared" ref="K50:K68" si="3">"["&amp;C50&amp;", '"&amp;D50&amp;"', "&amp;_xlfn.TEXTJOIN(", ", , E50:I50)&amp;"]"&amp;","</f>
        <v>[0, 'WW', 0, 0, 0, 0, 0],</v>
      </c>
    </row>
    <row r="51" spans="3:11" x14ac:dyDescent="0.3">
      <c r="C51" s="11">
        <v>1</v>
      </c>
      <c r="D51" s="11" t="str">
        <v>C1</v>
      </c>
      <c r="E51" s="6">
        <v>3</v>
      </c>
      <c r="F51" s="5">
        <f t="shared" ref="F51:F68" si="4">E51-SUMPRODUCT($G$26:$I$26,G51:I51)</f>
        <v>3</v>
      </c>
      <c r="G51" s="17">
        <v>0</v>
      </c>
      <c r="H51" s="8">
        <v>0</v>
      </c>
      <c r="I51" s="8">
        <v>0</v>
      </c>
      <c r="K51" s="14" t="str">
        <f t="shared" si="3"/>
        <v>[1, 'C1', 3, 3, 0, 0, 0],</v>
      </c>
    </row>
    <row r="52" spans="3:11" x14ac:dyDescent="0.3">
      <c r="C52" s="11">
        <v>2</v>
      </c>
      <c r="D52" s="11" t="str">
        <v>C2</v>
      </c>
      <c r="E52" s="6">
        <v>0</v>
      </c>
      <c r="F52" s="5">
        <f t="shared" si="4"/>
        <v>0</v>
      </c>
      <c r="G52" s="17">
        <v>0</v>
      </c>
      <c r="H52" s="8">
        <v>0</v>
      </c>
      <c r="I52" s="8">
        <v>0</v>
      </c>
      <c r="K52" s="14" t="str">
        <f t="shared" si="3"/>
        <v>[2, 'C2', 0, 0, 0, 0, 0],</v>
      </c>
    </row>
    <row r="53" spans="3:11" x14ac:dyDescent="0.3">
      <c r="C53" s="11">
        <v>3</v>
      </c>
      <c r="D53" s="11" t="str">
        <v>M1</v>
      </c>
      <c r="E53" s="6">
        <v>2</v>
      </c>
      <c r="F53" s="5">
        <f t="shared" si="4"/>
        <v>-2</v>
      </c>
      <c r="G53" s="17">
        <v>2</v>
      </c>
      <c r="H53" s="8">
        <v>0</v>
      </c>
      <c r="I53" s="8">
        <v>0</v>
      </c>
      <c r="K53" s="14" t="str">
        <f t="shared" si="3"/>
        <v>[3, 'M1', 2, -2, 2, 0, 0],</v>
      </c>
    </row>
    <row r="54" spans="3:11" x14ac:dyDescent="0.3">
      <c r="C54" s="11">
        <v>4</v>
      </c>
      <c r="D54" s="11" t="str">
        <v>M2</v>
      </c>
      <c r="E54" s="6">
        <v>3</v>
      </c>
      <c r="F54" s="5">
        <f t="shared" si="4"/>
        <v>3</v>
      </c>
      <c r="G54" s="17">
        <v>0</v>
      </c>
      <c r="H54" s="8">
        <v>0</v>
      </c>
      <c r="I54" s="8">
        <v>0</v>
      </c>
      <c r="K54" s="14" t="str">
        <f t="shared" si="3"/>
        <v>[4, 'M2', 3, 3, 0, 0, 0],</v>
      </c>
    </row>
    <row r="55" spans="3:11" x14ac:dyDescent="0.3">
      <c r="C55" s="11">
        <v>5</v>
      </c>
      <c r="D55" s="11" t="str">
        <v>M3</v>
      </c>
      <c r="E55" s="6">
        <v>22</v>
      </c>
      <c r="F55" s="5">
        <f t="shared" si="4"/>
        <v>18</v>
      </c>
      <c r="G55" s="17">
        <v>2</v>
      </c>
      <c r="H55" s="8">
        <v>0</v>
      </c>
      <c r="I55" s="8">
        <v>0</v>
      </c>
      <c r="K55" s="14" t="str">
        <f t="shared" si="3"/>
        <v>[5, 'M3', 22, 18, 2, 0, 0],</v>
      </c>
    </row>
    <row r="56" spans="3:11" x14ac:dyDescent="0.3">
      <c r="C56" s="11">
        <v>6</v>
      </c>
      <c r="D56" s="11" t="str">
        <v>M4</v>
      </c>
      <c r="E56" s="6">
        <v>4</v>
      </c>
      <c r="F56" s="5">
        <f t="shared" si="4"/>
        <v>4</v>
      </c>
      <c r="G56" s="17">
        <v>0</v>
      </c>
      <c r="H56" s="8">
        <v>0</v>
      </c>
      <c r="I56" s="8">
        <v>0</v>
      </c>
      <c r="K56" s="14" t="str">
        <f t="shared" si="3"/>
        <v>[6, 'M4', 4, 4, 0, 0, 0],</v>
      </c>
    </row>
    <row r="57" spans="3:11" x14ac:dyDescent="0.3">
      <c r="C57" s="11">
        <v>7</v>
      </c>
      <c r="D57" s="11" t="str">
        <v>A</v>
      </c>
      <c r="E57" s="6">
        <v>41</v>
      </c>
      <c r="F57" s="5">
        <f t="shared" si="4"/>
        <v>37</v>
      </c>
      <c r="G57" s="17">
        <v>2</v>
      </c>
      <c r="H57" s="8">
        <v>0</v>
      </c>
      <c r="I57" s="8">
        <v>0</v>
      </c>
      <c r="K57" s="14" t="str">
        <f t="shared" si="3"/>
        <v>[7, 'A', 41, 37, 2, 0, 0],</v>
      </c>
    </row>
    <row r="58" spans="3:11" x14ac:dyDescent="0.3">
      <c r="C58" s="11">
        <v>8</v>
      </c>
      <c r="D58" s="11" t="str">
        <v>K</v>
      </c>
      <c r="E58" s="6">
        <v>59</v>
      </c>
      <c r="F58" s="5">
        <f t="shared" si="4"/>
        <v>55</v>
      </c>
      <c r="G58" s="17">
        <v>2</v>
      </c>
      <c r="H58" s="8">
        <v>0</v>
      </c>
      <c r="I58" s="8">
        <v>0</v>
      </c>
      <c r="K58" s="14" t="str">
        <f t="shared" si="3"/>
        <v>[8, 'K', 59, 55, 2, 0, 0],</v>
      </c>
    </row>
    <row r="59" spans="3:11" x14ac:dyDescent="0.3">
      <c r="C59" s="11">
        <v>9</v>
      </c>
      <c r="D59" s="11" t="str">
        <v>Q</v>
      </c>
      <c r="E59" s="6">
        <v>4</v>
      </c>
      <c r="F59" s="5">
        <f t="shared" si="4"/>
        <v>4</v>
      </c>
      <c r="G59" s="17">
        <v>0</v>
      </c>
      <c r="H59" s="8">
        <v>0</v>
      </c>
      <c r="I59" s="8">
        <v>0</v>
      </c>
      <c r="K59" s="14" t="str">
        <f t="shared" si="3"/>
        <v>[9, 'Q', 4, 4, 0, 0, 0],</v>
      </c>
    </row>
    <row r="60" spans="3:11" x14ac:dyDescent="0.3">
      <c r="C60" s="11">
        <v>10</v>
      </c>
      <c r="D60" s="11" t="str">
        <v>J</v>
      </c>
      <c r="E60" s="6">
        <v>62</v>
      </c>
      <c r="F60" s="5">
        <f t="shared" si="4"/>
        <v>62</v>
      </c>
      <c r="G60" s="17">
        <v>0</v>
      </c>
      <c r="H60" s="8">
        <v>0</v>
      </c>
      <c r="I60" s="8">
        <v>0</v>
      </c>
      <c r="K60" s="14" t="str">
        <f t="shared" si="3"/>
        <v>[10, 'J', 62, 62, 0, 0, 0],</v>
      </c>
    </row>
    <row r="61" spans="3:11" x14ac:dyDescent="0.3">
      <c r="C61" s="11">
        <v>11</v>
      </c>
      <c r="D61" s="11" t="str">
        <v>G1</v>
      </c>
      <c r="E61" s="6">
        <v>0</v>
      </c>
      <c r="F61" s="5">
        <f t="shared" si="4"/>
        <v>0</v>
      </c>
      <c r="G61" s="17">
        <v>0</v>
      </c>
      <c r="H61" s="8">
        <v>0</v>
      </c>
      <c r="I61" s="8">
        <v>0</v>
      </c>
      <c r="K61" s="14" t="str">
        <f t="shared" si="3"/>
        <v>[11, 'G1', 0, 0, 0, 0, 0],</v>
      </c>
    </row>
    <row r="62" spans="3:11" x14ac:dyDescent="0.3">
      <c r="C62" s="11">
        <v>12</v>
      </c>
      <c r="D62" s="11" t="str">
        <v>G2</v>
      </c>
      <c r="E62" s="6">
        <v>0</v>
      </c>
      <c r="F62" s="5">
        <f t="shared" si="4"/>
        <v>0</v>
      </c>
      <c r="G62" s="17">
        <v>0</v>
      </c>
      <c r="H62" s="8">
        <v>0</v>
      </c>
      <c r="I62" s="8">
        <v>0</v>
      </c>
      <c r="K62" s="14" t="str">
        <f t="shared" si="3"/>
        <v>[12, 'G2', 0, 0, 0, 0, 0],</v>
      </c>
    </row>
    <row r="63" spans="3:11" x14ac:dyDescent="0.3">
      <c r="C63" s="11">
        <v>13</v>
      </c>
      <c r="D63" s="11" t="str">
        <v>G3</v>
      </c>
      <c r="E63" s="6">
        <v>0</v>
      </c>
      <c r="F63" s="5">
        <f t="shared" si="4"/>
        <v>0</v>
      </c>
      <c r="G63" s="17">
        <v>0</v>
      </c>
      <c r="H63" s="8">
        <v>0</v>
      </c>
      <c r="I63" s="8">
        <v>0</v>
      </c>
      <c r="K63" s="14" t="str">
        <f t="shared" si="3"/>
        <v>[13, 'G3', 0, 0, 0, 0, 0],</v>
      </c>
    </row>
    <row r="64" spans="3:11" x14ac:dyDescent="0.3">
      <c r="C64" s="11">
        <v>14</v>
      </c>
      <c r="D64" s="11" t="str">
        <v>G4</v>
      </c>
      <c r="E64" s="6">
        <v>0</v>
      </c>
      <c r="F64" s="5">
        <f t="shared" si="4"/>
        <v>0</v>
      </c>
      <c r="G64" s="17">
        <v>0</v>
      </c>
      <c r="H64" s="8">
        <v>0</v>
      </c>
      <c r="I64" s="8">
        <v>0</v>
      </c>
      <c r="K64" s="14" t="str">
        <f t="shared" si="3"/>
        <v>[14, 'G4', 0, 0, 0, 0, 0],</v>
      </c>
    </row>
    <row r="65" spans="3:11" x14ac:dyDescent="0.3">
      <c r="C65" s="11">
        <v>15</v>
      </c>
      <c r="D65" s="11" t="str">
        <v>GA</v>
      </c>
      <c r="E65" s="6">
        <v>0</v>
      </c>
      <c r="F65" s="5">
        <f t="shared" si="4"/>
        <v>0</v>
      </c>
      <c r="G65" s="17">
        <v>0</v>
      </c>
      <c r="H65" s="8">
        <v>0</v>
      </c>
      <c r="I65" s="8">
        <v>0</v>
      </c>
      <c r="K65" s="14" t="str">
        <f t="shared" si="3"/>
        <v>[15, 'GA', 0, 0, 0, 0, 0],</v>
      </c>
    </row>
    <row r="66" spans="3:11" x14ac:dyDescent="0.3">
      <c r="C66" s="11">
        <v>16</v>
      </c>
      <c r="D66" s="11" t="str">
        <v>GK</v>
      </c>
      <c r="E66" s="6">
        <v>0</v>
      </c>
      <c r="F66" s="5">
        <f t="shared" si="4"/>
        <v>0</v>
      </c>
      <c r="G66" s="17">
        <v>0</v>
      </c>
      <c r="H66" s="8">
        <v>0</v>
      </c>
      <c r="I66" s="8">
        <v>0</v>
      </c>
      <c r="K66" s="14" t="str">
        <f t="shared" si="3"/>
        <v>[16, 'GK', 0, 0, 0, 0, 0],</v>
      </c>
    </row>
    <row r="67" spans="3:11" x14ac:dyDescent="0.3">
      <c r="C67" s="11">
        <v>17</v>
      </c>
      <c r="D67" s="11" t="str">
        <v>GQ</v>
      </c>
      <c r="E67" s="6">
        <v>0</v>
      </c>
      <c r="F67" s="5">
        <f t="shared" si="4"/>
        <v>0</v>
      </c>
      <c r="G67" s="17">
        <v>0</v>
      </c>
      <c r="H67" s="8">
        <v>0</v>
      </c>
      <c r="I67" s="8">
        <v>0</v>
      </c>
      <c r="K67" s="14" t="str">
        <f t="shared" si="3"/>
        <v>[17, 'GQ', 0, 0, 0, 0, 0],</v>
      </c>
    </row>
    <row r="68" spans="3:11" x14ac:dyDescent="0.3">
      <c r="C68" s="11">
        <v>18</v>
      </c>
      <c r="D68" s="11" t="str">
        <v>GJ</v>
      </c>
      <c r="E68" s="6">
        <v>0</v>
      </c>
      <c r="F68" s="5">
        <f t="shared" si="4"/>
        <v>0</v>
      </c>
      <c r="G68" s="17">
        <v>0</v>
      </c>
      <c r="H68" s="8">
        <v>0</v>
      </c>
      <c r="I68" s="8">
        <v>0</v>
      </c>
      <c r="K68" s="14" t="str">
        <f t="shared" si="3"/>
        <v>[18, 'GJ', 0, 0, 0, 0, 0],</v>
      </c>
    </row>
    <row r="69" spans="3:11" x14ac:dyDescent="0.3">
      <c r="K69" s="14" t="s">
        <v>31</v>
      </c>
    </row>
    <row r="71" spans="3:11" x14ac:dyDescent="0.3">
      <c r="C71" s="3" t="s">
        <v>25</v>
      </c>
    </row>
    <row r="72" spans="3:11" x14ac:dyDescent="0.3">
      <c r="C72" s="2" t="s">
        <v>27</v>
      </c>
      <c r="D72" s="2" t="s">
        <v>26</v>
      </c>
      <c r="E72" s="2" t="s">
        <v>28</v>
      </c>
      <c r="F72" s="2">
        <v>1</v>
      </c>
      <c r="G72" s="2">
        <v>2</v>
      </c>
      <c r="H72" s="2">
        <v>3</v>
      </c>
      <c r="I72" s="2">
        <v>5</v>
      </c>
      <c r="K72" s="14" t="s">
        <v>32</v>
      </c>
    </row>
    <row r="73" spans="3:11" x14ac:dyDescent="0.3">
      <c r="C73" s="10" cm="1">
        <f t="array" ref="C73:D91">C50:D68</f>
        <v>0</v>
      </c>
      <c r="D73" s="10" t="str">
        <v>WW</v>
      </c>
      <c r="E73" s="4" cm="1">
        <f t="array" ref="E73:E91">E3:E21</f>
        <v>0</v>
      </c>
      <c r="F73" s="5">
        <f>E73-SUMPRODUCT($G$26:$I$26,G73:I73)</f>
        <v>0</v>
      </c>
      <c r="G73" s="18">
        <v>0</v>
      </c>
      <c r="H73" s="21">
        <v>0</v>
      </c>
      <c r="I73" s="21">
        <v>0</v>
      </c>
      <c r="K73" s="14" t="str">
        <f t="shared" ref="K73:K91" si="5">"["&amp;C73&amp;", '"&amp;D73&amp;"', "&amp;_xlfn.TEXTJOIN(", ", , E73:I73)&amp;"]"&amp;","</f>
        <v>[0, 'WW', 0, 0, 0, 0, 0],</v>
      </c>
    </row>
    <row r="74" spans="3:11" x14ac:dyDescent="0.3">
      <c r="C74" s="11">
        <v>1</v>
      </c>
      <c r="D74" s="11" t="str">
        <v>C1</v>
      </c>
      <c r="E74" s="6">
        <v>2</v>
      </c>
      <c r="F74" s="5">
        <f t="shared" ref="F74:F91" si="6">E74-SUMPRODUCT($G$26:$I$26,G74:I74)</f>
        <v>2</v>
      </c>
      <c r="G74" s="17">
        <v>0</v>
      </c>
      <c r="H74" s="8">
        <v>0</v>
      </c>
      <c r="I74" s="8">
        <v>0</v>
      </c>
      <c r="K74" s="14" t="str">
        <f t="shared" si="5"/>
        <v>[1, 'C1', 2, 2, 0, 0, 0],</v>
      </c>
    </row>
    <row r="75" spans="3:11" x14ac:dyDescent="0.3">
      <c r="C75" s="11">
        <v>2</v>
      </c>
      <c r="D75" s="11" t="str">
        <v>C2</v>
      </c>
      <c r="E75" s="6">
        <v>0</v>
      </c>
      <c r="F75" s="5">
        <f t="shared" si="6"/>
        <v>0</v>
      </c>
      <c r="G75" s="17">
        <v>0</v>
      </c>
      <c r="H75" s="8">
        <v>0</v>
      </c>
      <c r="I75" s="8">
        <v>0</v>
      </c>
      <c r="K75" s="14" t="str">
        <f t="shared" si="5"/>
        <v>[2, 'C2', 0, 0, 0, 0, 0],</v>
      </c>
    </row>
    <row r="76" spans="3:11" x14ac:dyDescent="0.3">
      <c r="C76" s="11">
        <v>3</v>
      </c>
      <c r="D76" s="11" t="str">
        <v>M1</v>
      </c>
      <c r="E76" s="6">
        <v>37</v>
      </c>
      <c r="F76" s="5">
        <f t="shared" si="6"/>
        <v>37</v>
      </c>
      <c r="G76" s="17">
        <v>0</v>
      </c>
      <c r="H76" s="8">
        <v>0</v>
      </c>
      <c r="I76" s="8">
        <v>0</v>
      </c>
      <c r="K76" s="14" t="str">
        <f t="shared" si="5"/>
        <v>[3, 'M1', 37, 37, 0, 0, 0],</v>
      </c>
    </row>
    <row r="77" spans="3:11" x14ac:dyDescent="0.3">
      <c r="C77" s="11">
        <v>4</v>
      </c>
      <c r="D77" s="11" t="str">
        <v>M2</v>
      </c>
      <c r="E77" s="6">
        <v>32</v>
      </c>
      <c r="F77" s="5">
        <f t="shared" si="6"/>
        <v>28</v>
      </c>
      <c r="G77" s="17">
        <v>2</v>
      </c>
      <c r="H77" s="8">
        <v>0</v>
      </c>
      <c r="I77" s="8">
        <v>0</v>
      </c>
      <c r="K77" s="14" t="str">
        <f t="shared" si="5"/>
        <v>[4, 'M2', 32, 28, 2, 0, 0],</v>
      </c>
    </row>
    <row r="78" spans="3:11" x14ac:dyDescent="0.3">
      <c r="C78" s="11">
        <v>5</v>
      </c>
      <c r="D78" s="11" t="str">
        <v>M3</v>
      </c>
      <c r="E78" s="6">
        <v>6</v>
      </c>
      <c r="F78" s="5">
        <f t="shared" si="6"/>
        <v>6</v>
      </c>
      <c r="G78" s="17">
        <v>0</v>
      </c>
      <c r="H78" s="8">
        <v>0</v>
      </c>
      <c r="I78" s="8">
        <v>0</v>
      </c>
      <c r="K78" s="14" t="str">
        <f t="shared" si="5"/>
        <v>[5, 'M3', 6, 6, 0, 0, 0],</v>
      </c>
    </row>
    <row r="79" spans="3:11" x14ac:dyDescent="0.3">
      <c r="C79" s="11">
        <v>6</v>
      </c>
      <c r="D79" s="11" t="str">
        <v>M4</v>
      </c>
      <c r="E79" s="6">
        <v>43</v>
      </c>
      <c r="F79" s="5">
        <f t="shared" si="6"/>
        <v>39</v>
      </c>
      <c r="G79" s="17">
        <v>2</v>
      </c>
      <c r="H79" s="8">
        <v>0</v>
      </c>
      <c r="I79" s="8">
        <v>0</v>
      </c>
      <c r="K79" s="14" t="str">
        <f t="shared" si="5"/>
        <v>[6, 'M4', 43, 39, 2, 0, 0],</v>
      </c>
    </row>
    <row r="80" spans="3:11" x14ac:dyDescent="0.3">
      <c r="C80" s="11">
        <v>7</v>
      </c>
      <c r="D80" s="11" t="str">
        <v>A</v>
      </c>
      <c r="E80" s="6">
        <v>8</v>
      </c>
      <c r="F80" s="5">
        <f t="shared" si="6"/>
        <v>8</v>
      </c>
      <c r="G80" s="17">
        <v>0</v>
      </c>
      <c r="H80" s="8">
        <v>0</v>
      </c>
      <c r="I80" s="8">
        <v>0</v>
      </c>
      <c r="K80" s="14" t="str">
        <f t="shared" si="5"/>
        <v>[7, 'A', 8, 8, 0, 0, 0],</v>
      </c>
    </row>
    <row r="81" spans="3:11" x14ac:dyDescent="0.3">
      <c r="C81" s="11">
        <v>8</v>
      </c>
      <c r="D81" s="11" t="str">
        <v>K</v>
      </c>
      <c r="E81" s="6">
        <v>10</v>
      </c>
      <c r="F81" s="5">
        <f t="shared" si="6"/>
        <v>10</v>
      </c>
      <c r="G81" s="17">
        <v>0</v>
      </c>
      <c r="H81" s="8">
        <v>0</v>
      </c>
      <c r="I81" s="8">
        <v>0</v>
      </c>
      <c r="K81" s="14" t="str">
        <f t="shared" si="5"/>
        <v>[8, 'K', 10, 10, 0, 0, 0],</v>
      </c>
    </row>
    <row r="82" spans="3:11" x14ac:dyDescent="0.3">
      <c r="C82" s="11">
        <v>9</v>
      </c>
      <c r="D82" s="11" t="str">
        <v>Q</v>
      </c>
      <c r="E82" s="6">
        <v>39</v>
      </c>
      <c r="F82" s="5">
        <f t="shared" si="6"/>
        <v>35</v>
      </c>
      <c r="G82" s="17">
        <v>2</v>
      </c>
      <c r="H82" s="8">
        <v>0</v>
      </c>
      <c r="I82" s="8">
        <v>0</v>
      </c>
      <c r="K82" s="14" t="str">
        <f t="shared" si="5"/>
        <v>[9, 'Q', 39, 35, 2, 0, 0],</v>
      </c>
    </row>
    <row r="83" spans="3:11" x14ac:dyDescent="0.3">
      <c r="C83" s="11">
        <v>10</v>
      </c>
      <c r="D83" s="11" t="str">
        <v>J</v>
      </c>
      <c r="E83" s="6">
        <v>7</v>
      </c>
      <c r="F83" s="5">
        <f t="shared" si="6"/>
        <v>3</v>
      </c>
      <c r="G83" s="17">
        <v>2</v>
      </c>
      <c r="H83" s="8">
        <v>0</v>
      </c>
      <c r="I83" s="8">
        <v>0</v>
      </c>
      <c r="K83" s="14" t="str">
        <f t="shared" si="5"/>
        <v>[10, 'J', 7, 3, 2, 0, 0],</v>
      </c>
    </row>
    <row r="84" spans="3:11" x14ac:dyDescent="0.3">
      <c r="C84" s="11">
        <v>11</v>
      </c>
      <c r="D84" s="11" t="str">
        <v>G1</v>
      </c>
      <c r="E84" s="6">
        <v>2</v>
      </c>
      <c r="F84" s="5">
        <f t="shared" si="6"/>
        <v>2</v>
      </c>
      <c r="G84" s="17">
        <v>0</v>
      </c>
      <c r="H84" s="8">
        <v>0</v>
      </c>
      <c r="I84" s="8">
        <v>0</v>
      </c>
      <c r="K84" s="14" t="str">
        <f t="shared" si="5"/>
        <v>[11, 'G1', 2, 2, 0, 0, 0],</v>
      </c>
    </row>
    <row r="85" spans="3:11" x14ac:dyDescent="0.3">
      <c r="C85" s="11">
        <v>12</v>
      </c>
      <c r="D85" s="11" t="str">
        <v>G2</v>
      </c>
      <c r="E85" s="6">
        <v>2</v>
      </c>
      <c r="F85" s="5">
        <f t="shared" si="6"/>
        <v>2</v>
      </c>
      <c r="G85" s="17">
        <v>0</v>
      </c>
      <c r="H85" s="8">
        <v>0</v>
      </c>
      <c r="I85" s="8">
        <v>0</v>
      </c>
      <c r="K85" s="14" t="str">
        <f t="shared" si="5"/>
        <v>[12, 'G2', 2, 2, 0, 0, 0],</v>
      </c>
    </row>
    <row r="86" spans="3:11" x14ac:dyDescent="0.3">
      <c r="C86" s="11">
        <v>13</v>
      </c>
      <c r="D86" s="11" t="str">
        <v>G3</v>
      </c>
      <c r="E86" s="6">
        <v>2</v>
      </c>
      <c r="F86" s="5">
        <f t="shared" si="6"/>
        <v>2</v>
      </c>
      <c r="G86" s="17">
        <v>0</v>
      </c>
      <c r="H86" s="8">
        <v>0</v>
      </c>
      <c r="I86" s="8">
        <v>0</v>
      </c>
      <c r="K86" s="14" t="str">
        <f t="shared" si="5"/>
        <v>[13, 'G3', 2, 2, 0, 0, 0],</v>
      </c>
    </row>
    <row r="87" spans="3:11" x14ac:dyDescent="0.3">
      <c r="C87" s="11">
        <v>14</v>
      </c>
      <c r="D87" s="11" t="str">
        <v>G4</v>
      </c>
      <c r="E87" s="6">
        <v>2</v>
      </c>
      <c r="F87" s="5">
        <f t="shared" si="6"/>
        <v>2</v>
      </c>
      <c r="G87" s="17">
        <v>0</v>
      </c>
      <c r="H87" s="8">
        <v>0</v>
      </c>
      <c r="I87" s="8">
        <v>0</v>
      </c>
      <c r="K87" s="14" t="str">
        <f t="shared" si="5"/>
        <v>[14, 'G4', 2, 2, 0, 0, 0],</v>
      </c>
    </row>
    <row r="88" spans="3:11" x14ac:dyDescent="0.3">
      <c r="C88" s="11">
        <v>15</v>
      </c>
      <c r="D88" s="11" t="str">
        <v>GA</v>
      </c>
      <c r="E88" s="6">
        <v>2</v>
      </c>
      <c r="F88" s="5">
        <f t="shared" si="6"/>
        <v>2</v>
      </c>
      <c r="G88" s="17">
        <v>0</v>
      </c>
      <c r="H88" s="8">
        <v>0</v>
      </c>
      <c r="I88" s="8">
        <v>0</v>
      </c>
      <c r="K88" s="14" t="str">
        <f t="shared" si="5"/>
        <v>[15, 'GA', 2, 2, 0, 0, 0],</v>
      </c>
    </row>
    <row r="89" spans="3:11" x14ac:dyDescent="0.3">
      <c r="C89" s="11">
        <v>16</v>
      </c>
      <c r="D89" s="11" t="str">
        <v>GK</v>
      </c>
      <c r="E89" s="6">
        <v>2</v>
      </c>
      <c r="F89" s="5">
        <f t="shared" si="6"/>
        <v>2</v>
      </c>
      <c r="G89" s="17">
        <v>0</v>
      </c>
      <c r="H89" s="8">
        <v>0</v>
      </c>
      <c r="I89" s="8">
        <v>0</v>
      </c>
      <c r="K89" s="14" t="str">
        <f t="shared" si="5"/>
        <v>[16, 'GK', 2, 2, 0, 0, 0],</v>
      </c>
    </row>
    <row r="90" spans="3:11" x14ac:dyDescent="0.3">
      <c r="C90" s="11">
        <v>17</v>
      </c>
      <c r="D90" s="11" t="str">
        <v>GQ</v>
      </c>
      <c r="E90" s="6">
        <v>2</v>
      </c>
      <c r="F90" s="5">
        <f t="shared" si="6"/>
        <v>2</v>
      </c>
      <c r="G90" s="17">
        <v>0</v>
      </c>
      <c r="H90" s="8">
        <v>0</v>
      </c>
      <c r="I90" s="8">
        <v>0</v>
      </c>
      <c r="K90" s="14" t="str">
        <f t="shared" si="5"/>
        <v>[17, 'GQ', 2, 2, 0, 0, 0],</v>
      </c>
    </row>
    <row r="91" spans="3:11" x14ac:dyDescent="0.3">
      <c r="C91" s="11">
        <v>18</v>
      </c>
      <c r="D91" s="11" t="str">
        <v>GJ</v>
      </c>
      <c r="E91" s="6">
        <v>2</v>
      </c>
      <c r="F91" s="5">
        <f t="shared" si="6"/>
        <v>2</v>
      </c>
      <c r="G91" s="17">
        <v>0</v>
      </c>
      <c r="H91" s="8">
        <v>0</v>
      </c>
      <c r="I91" s="8">
        <v>0</v>
      </c>
      <c r="K91" s="14" t="str">
        <f t="shared" si="5"/>
        <v>[18, 'GJ', 2, 2, 0, 0, 0],</v>
      </c>
    </row>
    <row r="92" spans="3:11" x14ac:dyDescent="0.3">
      <c r="K92" s="14" t="s">
        <v>31</v>
      </c>
    </row>
    <row r="94" spans="3:11" x14ac:dyDescent="0.3">
      <c r="C94" s="3" t="s">
        <v>24</v>
      </c>
    </row>
    <row r="95" spans="3:11" x14ac:dyDescent="0.3">
      <c r="C95" s="2" t="s">
        <v>27</v>
      </c>
      <c r="D95" s="2" t="s">
        <v>26</v>
      </c>
      <c r="E95" s="2" t="s">
        <v>28</v>
      </c>
      <c r="F95" s="2">
        <v>1</v>
      </c>
      <c r="G95" s="2">
        <v>2</v>
      </c>
      <c r="H95" s="2">
        <v>3</v>
      </c>
      <c r="I95" s="2">
        <v>5</v>
      </c>
      <c r="K95" s="14" t="s">
        <v>32</v>
      </c>
    </row>
    <row r="96" spans="3:11" x14ac:dyDescent="0.3">
      <c r="C96" s="10" cm="1">
        <f t="array" ref="C96:D114">C73:D91</f>
        <v>0</v>
      </c>
      <c r="D96" s="10" t="str">
        <v>WW</v>
      </c>
      <c r="E96" s="4" cm="1">
        <f t="array" ref="E96:E114">F3:F21</f>
        <v>0</v>
      </c>
      <c r="F96" s="5">
        <f>E96-SUMPRODUCT($G$26:$I$26,G96:I96)</f>
        <v>0</v>
      </c>
      <c r="G96" s="18">
        <v>0</v>
      </c>
      <c r="H96" s="21">
        <v>0</v>
      </c>
      <c r="I96" s="21">
        <v>0</v>
      </c>
      <c r="K96" s="14" t="str">
        <f t="shared" ref="K96:K114" si="7">"["&amp;C96&amp;", '"&amp;D96&amp;"', "&amp;_xlfn.TEXTJOIN(", ", , E96:I96)&amp;"]"&amp;","</f>
        <v>[0, 'WW', 0, 0, 0, 0, 0],</v>
      </c>
    </row>
    <row r="97" spans="3:11" x14ac:dyDescent="0.3">
      <c r="C97" s="11">
        <v>1</v>
      </c>
      <c r="D97" s="11" t="str">
        <v>C1</v>
      </c>
      <c r="E97" s="6">
        <v>2</v>
      </c>
      <c r="F97" s="5">
        <f t="shared" ref="F97:F114" si="8">E97-SUMPRODUCT($G$26:$I$26,G97:I97)</f>
        <v>2</v>
      </c>
      <c r="G97" s="17">
        <v>0</v>
      </c>
      <c r="H97" s="8">
        <v>0</v>
      </c>
      <c r="I97" s="8">
        <v>0</v>
      </c>
      <c r="K97" s="14" t="str">
        <f t="shared" si="7"/>
        <v>[1, 'C1', 2, 2, 0, 0, 0],</v>
      </c>
    </row>
    <row r="98" spans="3:11" x14ac:dyDescent="0.3">
      <c r="C98" s="11">
        <v>2</v>
      </c>
      <c r="D98" s="11" t="str">
        <v>C2</v>
      </c>
      <c r="E98" s="6">
        <v>0</v>
      </c>
      <c r="F98" s="5">
        <f t="shared" si="8"/>
        <v>0</v>
      </c>
      <c r="G98" s="17">
        <v>0</v>
      </c>
      <c r="H98" s="8">
        <v>0</v>
      </c>
      <c r="I98" s="8">
        <v>0</v>
      </c>
      <c r="K98" s="14" t="str">
        <f t="shared" si="7"/>
        <v>[2, 'C2', 0, 0, 0, 0, 0],</v>
      </c>
    </row>
    <row r="99" spans="3:11" x14ac:dyDescent="0.3">
      <c r="C99" s="11">
        <v>3</v>
      </c>
      <c r="D99" s="11" t="str">
        <v>M1</v>
      </c>
      <c r="E99" s="6">
        <v>12</v>
      </c>
      <c r="F99" s="5">
        <f t="shared" si="8"/>
        <v>8</v>
      </c>
      <c r="G99" s="17">
        <v>2</v>
      </c>
      <c r="H99" s="8">
        <v>0</v>
      </c>
      <c r="I99" s="8">
        <v>0</v>
      </c>
      <c r="K99" s="14" t="str">
        <f t="shared" si="7"/>
        <v>[3, 'M1', 12, 8, 2, 0, 0],</v>
      </c>
    </row>
    <row r="100" spans="3:11" x14ac:dyDescent="0.3">
      <c r="C100" s="11">
        <v>4</v>
      </c>
      <c r="D100" s="11" t="str">
        <v>M2</v>
      </c>
      <c r="E100" s="6">
        <v>15</v>
      </c>
      <c r="F100" s="5">
        <f t="shared" si="8"/>
        <v>15</v>
      </c>
      <c r="G100" s="17">
        <v>0</v>
      </c>
      <c r="H100" s="8">
        <v>0</v>
      </c>
      <c r="I100" s="8">
        <v>0</v>
      </c>
      <c r="K100" s="14" t="str">
        <f t="shared" si="7"/>
        <v>[4, 'M2', 15, 15, 0, 0, 0],</v>
      </c>
    </row>
    <row r="101" spans="3:11" x14ac:dyDescent="0.3">
      <c r="C101" s="11">
        <v>5</v>
      </c>
      <c r="D101" s="11" t="str">
        <v>M3</v>
      </c>
      <c r="E101" s="6">
        <v>26</v>
      </c>
      <c r="F101" s="5">
        <f t="shared" si="8"/>
        <v>22</v>
      </c>
      <c r="G101" s="17">
        <v>2</v>
      </c>
      <c r="H101" s="8">
        <v>0</v>
      </c>
      <c r="I101" s="8">
        <v>0</v>
      </c>
      <c r="K101" s="14" t="str">
        <f t="shared" si="7"/>
        <v>[5, 'M3', 26, 22, 2, 0, 0],</v>
      </c>
    </row>
    <row r="102" spans="3:11" x14ac:dyDescent="0.3">
      <c r="C102" s="11">
        <v>6</v>
      </c>
      <c r="D102" s="11" t="str">
        <v>M4</v>
      </c>
      <c r="E102" s="6">
        <v>16</v>
      </c>
      <c r="F102" s="5">
        <f t="shared" si="8"/>
        <v>16</v>
      </c>
      <c r="G102" s="17">
        <v>0</v>
      </c>
      <c r="H102" s="8">
        <v>0</v>
      </c>
      <c r="I102" s="8">
        <v>0</v>
      </c>
      <c r="K102" s="14" t="str">
        <f t="shared" si="7"/>
        <v>[6, 'M4', 16, 16, 0, 0, 0],</v>
      </c>
    </row>
    <row r="103" spans="3:11" x14ac:dyDescent="0.3">
      <c r="C103" s="11">
        <v>7</v>
      </c>
      <c r="D103" s="11" t="str">
        <v>A</v>
      </c>
      <c r="E103" s="6">
        <v>30</v>
      </c>
      <c r="F103" s="5">
        <f t="shared" si="8"/>
        <v>26</v>
      </c>
      <c r="G103" s="17">
        <v>2</v>
      </c>
      <c r="H103" s="8">
        <v>0</v>
      </c>
      <c r="I103" s="8">
        <v>0</v>
      </c>
      <c r="K103" s="14" t="str">
        <f t="shared" si="7"/>
        <v>[7, 'A', 30, 26, 2, 0, 0],</v>
      </c>
    </row>
    <row r="104" spans="3:11" x14ac:dyDescent="0.3">
      <c r="C104" s="11">
        <v>8</v>
      </c>
      <c r="D104" s="11" t="str">
        <v>K</v>
      </c>
      <c r="E104" s="6">
        <v>31</v>
      </c>
      <c r="F104" s="5">
        <f t="shared" si="8"/>
        <v>27</v>
      </c>
      <c r="G104" s="17">
        <v>2</v>
      </c>
      <c r="H104" s="8">
        <v>0</v>
      </c>
      <c r="I104" s="8">
        <v>0</v>
      </c>
      <c r="K104" s="14" t="str">
        <f t="shared" si="7"/>
        <v>[8, 'K', 31, 27, 2, 0, 0],</v>
      </c>
    </row>
    <row r="105" spans="3:11" x14ac:dyDescent="0.3">
      <c r="C105" s="11">
        <v>9</v>
      </c>
      <c r="D105" s="11" t="str">
        <v>Q</v>
      </c>
      <c r="E105" s="6">
        <v>18</v>
      </c>
      <c r="F105" s="5">
        <f t="shared" si="8"/>
        <v>18</v>
      </c>
      <c r="G105" s="17">
        <v>0</v>
      </c>
      <c r="H105" s="8">
        <v>0</v>
      </c>
      <c r="I105" s="8">
        <v>0</v>
      </c>
      <c r="K105" s="14" t="str">
        <f t="shared" si="7"/>
        <v>[9, 'Q', 18, 18, 0, 0, 0],</v>
      </c>
    </row>
    <row r="106" spans="3:11" x14ac:dyDescent="0.3">
      <c r="C106" s="11">
        <v>10</v>
      </c>
      <c r="D106" s="11" t="str">
        <v>J</v>
      </c>
      <c r="E106" s="6">
        <v>34</v>
      </c>
      <c r="F106" s="5">
        <f t="shared" si="8"/>
        <v>34</v>
      </c>
      <c r="G106" s="17">
        <v>0</v>
      </c>
      <c r="H106" s="8">
        <v>0</v>
      </c>
      <c r="I106" s="8">
        <v>0</v>
      </c>
      <c r="K106" s="14" t="str">
        <f t="shared" si="7"/>
        <v>[10, 'J', 34, 34, 0, 0, 0],</v>
      </c>
    </row>
    <row r="107" spans="3:11" x14ac:dyDescent="0.3">
      <c r="C107" s="11">
        <v>11</v>
      </c>
      <c r="D107" s="11" t="str">
        <v>G1</v>
      </c>
      <c r="E107" s="6">
        <v>2</v>
      </c>
      <c r="F107" s="5">
        <f t="shared" si="8"/>
        <v>2</v>
      </c>
      <c r="G107" s="17">
        <v>0</v>
      </c>
      <c r="H107" s="8">
        <v>0</v>
      </c>
      <c r="I107" s="8">
        <v>0</v>
      </c>
      <c r="K107" s="14" t="str">
        <f t="shared" si="7"/>
        <v>[11, 'G1', 2, 2, 0, 0, 0],</v>
      </c>
    </row>
    <row r="108" spans="3:11" x14ac:dyDescent="0.3">
      <c r="C108" s="11">
        <v>12</v>
      </c>
      <c r="D108" s="11" t="str">
        <v>G2</v>
      </c>
      <c r="E108" s="6">
        <v>2</v>
      </c>
      <c r="F108" s="5">
        <f t="shared" si="8"/>
        <v>2</v>
      </c>
      <c r="G108" s="17">
        <v>0</v>
      </c>
      <c r="H108" s="8">
        <v>0</v>
      </c>
      <c r="I108" s="8">
        <v>0</v>
      </c>
      <c r="K108" s="14" t="str">
        <f t="shared" si="7"/>
        <v>[12, 'G2', 2, 2, 0, 0, 0],</v>
      </c>
    </row>
    <row r="109" spans="3:11" x14ac:dyDescent="0.3">
      <c r="C109" s="11">
        <v>13</v>
      </c>
      <c r="D109" s="11" t="str">
        <v>G3</v>
      </c>
      <c r="E109" s="6">
        <v>2</v>
      </c>
      <c r="F109" s="5">
        <f t="shared" si="8"/>
        <v>2</v>
      </c>
      <c r="G109" s="17">
        <v>0</v>
      </c>
      <c r="H109" s="8">
        <v>0</v>
      </c>
      <c r="I109" s="8">
        <v>0</v>
      </c>
      <c r="K109" s="14" t="str">
        <f t="shared" si="7"/>
        <v>[13, 'G3', 2, 2, 0, 0, 0],</v>
      </c>
    </row>
    <row r="110" spans="3:11" x14ac:dyDescent="0.3">
      <c r="C110" s="11">
        <v>14</v>
      </c>
      <c r="D110" s="11" t="str">
        <v>G4</v>
      </c>
      <c r="E110" s="6">
        <v>2</v>
      </c>
      <c r="F110" s="5">
        <f t="shared" si="8"/>
        <v>2</v>
      </c>
      <c r="G110" s="17">
        <v>0</v>
      </c>
      <c r="H110" s="8">
        <v>0</v>
      </c>
      <c r="I110" s="8">
        <v>0</v>
      </c>
      <c r="K110" s="14" t="str">
        <f t="shared" si="7"/>
        <v>[14, 'G4', 2, 2, 0, 0, 0],</v>
      </c>
    </row>
    <row r="111" spans="3:11" x14ac:dyDescent="0.3">
      <c r="C111" s="11">
        <v>15</v>
      </c>
      <c r="D111" s="11" t="str">
        <v>GA</v>
      </c>
      <c r="E111" s="6">
        <v>2</v>
      </c>
      <c r="F111" s="5">
        <f t="shared" si="8"/>
        <v>2</v>
      </c>
      <c r="G111" s="17">
        <v>0</v>
      </c>
      <c r="H111" s="8">
        <v>0</v>
      </c>
      <c r="I111" s="8">
        <v>0</v>
      </c>
      <c r="K111" s="14" t="str">
        <f t="shared" si="7"/>
        <v>[15, 'GA', 2, 2, 0, 0, 0],</v>
      </c>
    </row>
    <row r="112" spans="3:11" x14ac:dyDescent="0.3">
      <c r="C112" s="11">
        <v>16</v>
      </c>
      <c r="D112" s="11" t="str">
        <v>GK</v>
      </c>
      <c r="E112" s="6">
        <v>2</v>
      </c>
      <c r="F112" s="5">
        <f t="shared" si="8"/>
        <v>2</v>
      </c>
      <c r="G112" s="17">
        <v>0</v>
      </c>
      <c r="H112" s="8">
        <v>0</v>
      </c>
      <c r="I112" s="8">
        <v>0</v>
      </c>
      <c r="K112" s="14" t="str">
        <f t="shared" si="7"/>
        <v>[16, 'GK', 2, 2, 0, 0, 0],</v>
      </c>
    </row>
    <row r="113" spans="3:11" x14ac:dyDescent="0.3">
      <c r="C113" s="11">
        <v>17</v>
      </c>
      <c r="D113" s="11" t="str">
        <v>GQ</v>
      </c>
      <c r="E113" s="6">
        <v>2</v>
      </c>
      <c r="F113" s="5">
        <f t="shared" si="8"/>
        <v>2</v>
      </c>
      <c r="G113" s="17">
        <v>0</v>
      </c>
      <c r="H113" s="8">
        <v>0</v>
      </c>
      <c r="I113" s="8">
        <v>0</v>
      </c>
      <c r="K113" s="14" t="str">
        <f t="shared" si="7"/>
        <v>[17, 'GQ', 2, 2, 0, 0, 0],</v>
      </c>
    </row>
    <row r="114" spans="3:11" x14ac:dyDescent="0.3">
      <c r="C114" s="11">
        <v>18</v>
      </c>
      <c r="D114" s="11" t="str">
        <v>GJ</v>
      </c>
      <c r="E114" s="6">
        <v>2</v>
      </c>
      <c r="F114" s="5">
        <f t="shared" si="8"/>
        <v>2</v>
      </c>
      <c r="G114" s="17">
        <v>0</v>
      </c>
      <c r="H114" s="8">
        <v>0</v>
      </c>
      <c r="I114" s="8">
        <v>0</v>
      </c>
      <c r="K114" s="14" t="str">
        <f t="shared" si="7"/>
        <v>[18, 'GJ', 2, 2, 0, 0, 0],</v>
      </c>
    </row>
    <row r="115" spans="3:11" x14ac:dyDescent="0.3">
      <c r="K115" s="14" t="s">
        <v>31</v>
      </c>
    </row>
    <row r="117" spans="3:11" x14ac:dyDescent="0.3">
      <c r="C117" s="3" t="s">
        <v>22</v>
      </c>
    </row>
    <row r="118" spans="3:11" x14ac:dyDescent="0.3">
      <c r="C118" s="2" t="s">
        <v>27</v>
      </c>
      <c r="D118" s="2" t="s">
        <v>26</v>
      </c>
      <c r="E118" s="2" t="s">
        <v>28</v>
      </c>
      <c r="F118" s="2">
        <v>1</v>
      </c>
      <c r="G118" s="2">
        <v>2</v>
      </c>
      <c r="H118" s="2">
        <v>3</v>
      </c>
      <c r="I118" s="2">
        <v>5</v>
      </c>
      <c r="K118" s="14" t="s">
        <v>32</v>
      </c>
    </row>
    <row r="119" spans="3:11" x14ac:dyDescent="0.3">
      <c r="C119" s="10" cm="1">
        <f t="array" ref="C119:D137">C96:D114</f>
        <v>0</v>
      </c>
      <c r="D119" s="10" t="str">
        <v>WW</v>
      </c>
      <c r="E119" s="4" cm="1">
        <f t="array" ref="E119:E137">G3:G21</f>
        <v>0</v>
      </c>
      <c r="F119" s="5">
        <f>E119-SUMPRODUCT($G$26:$I$26,G119:I119)</f>
        <v>0</v>
      </c>
      <c r="G119" s="18">
        <v>0</v>
      </c>
      <c r="H119" s="21">
        <v>0</v>
      </c>
      <c r="I119" s="21">
        <v>0</v>
      </c>
      <c r="K119" s="14" t="str">
        <f t="shared" ref="K119:K137" si="9">"["&amp;C119&amp;", '"&amp;D119&amp;"', "&amp;_xlfn.TEXTJOIN(", ", , E119:I119)&amp;"]"&amp;","</f>
        <v>[0, 'WW', 0, 0, 0, 0, 0],</v>
      </c>
    </row>
    <row r="120" spans="3:11" x14ac:dyDescent="0.3">
      <c r="C120" s="11">
        <v>1</v>
      </c>
      <c r="D120" s="11" t="str">
        <v>C1</v>
      </c>
      <c r="E120" s="6">
        <v>1</v>
      </c>
      <c r="F120" s="5">
        <f t="shared" ref="F120:F137" si="10">E120-SUMPRODUCT($G$26:$I$26,G120:I120)</f>
        <v>1</v>
      </c>
      <c r="G120" s="17">
        <v>0</v>
      </c>
      <c r="H120" s="8">
        <v>0</v>
      </c>
      <c r="I120" s="8">
        <v>0</v>
      </c>
      <c r="K120" s="14" t="str">
        <f t="shared" si="9"/>
        <v>[1, 'C1', 1, 1, 0, 0, 0],</v>
      </c>
    </row>
    <row r="121" spans="3:11" x14ac:dyDescent="0.3">
      <c r="C121" s="11">
        <v>2</v>
      </c>
      <c r="D121" s="11" t="str">
        <v>C2</v>
      </c>
      <c r="E121" s="6">
        <v>0</v>
      </c>
      <c r="F121" s="5">
        <f t="shared" si="10"/>
        <v>0</v>
      </c>
      <c r="G121" s="17">
        <v>0</v>
      </c>
      <c r="H121" s="8">
        <v>0</v>
      </c>
      <c r="I121" s="8">
        <v>0</v>
      </c>
      <c r="K121" s="14" t="str">
        <f t="shared" si="9"/>
        <v>[2, 'C2', 0, 0, 0, 0, 0],</v>
      </c>
    </row>
    <row r="122" spans="3:11" x14ac:dyDescent="0.3">
      <c r="C122" s="11">
        <v>3</v>
      </c>
      <c r="D122" s="11" t="str">
        <v>M1</v>
      </c>
      <c r="E122" s="6">
        <v>14</v>
      </c>
      <c r="F122" s="5">
        <f t="shared" si="10"/>
        <v>10</v>
      </c>
      <c r="G122" s="17">
        <v>2</v>
      </c>
      <c r="H122" s="8">
        <v>0</v>
      </c>
      <c r="I122" s="8">
        <v>0</v>
      </c>
      <c r="K122" s="14" t="str">
        <f t="shared" si="9"/>
        <v>[3, 'M1', 14, 10, 2, 0, 0],</v>
      </c>
    </row>
    <row r="123" spans="3:11" x14ac:dyDescent="0.3">
      <c r="C123" s="11">
        <v>4</v>
      </c>
      <c r="D123" s="11" t="str">
        <v>M2</v>
      </c>
      <c r="E123" s="6">
        <v>17</v>
      </c>
      <c r="F123" s="5">
        <f t="shared" si="10"/>
        <v>17</v>
      </c>
      <c r="G123" s="17">
        <v>0</v>
      </c>
      <c r="H123" s="8">
        <v>0</v>
      </c>
      <c r="I123" s="8">
        <v>0</v>
      </c>
      <c r="K123" s="14" t="str">
        <f t="shared" si="9"/>
        <v>[4, 'M2', 17, 17, 0, 0, 0],</v>
      </c>
    </row>
    <row r="124" spans="3:11" x14ac:dyDescent="0.3">
      <c r="C124" s="11">
        <v>5</v>
      </c>
      <c r="D124" s="11" t="str">
        <v>M3</v>
      </c>
      <c r="E124" s="6">
        <v>25</v>
      </c>
      <c r="F124" s="5">
        <f t="shared" si="10"/>
        <v>21</v>
      </c>
      <c r="G124" s="17">
        <v>2</v>
      </c>
      <c r="H124" s="8">
        <v>0</v>
      </c>
      <c r="I124" s="8">
        <v>0</v>
      </c>
      <c r="K124" s="14" t="str">
        <f t="shared" si="9"/>
        <v>[5, 'M3', 25, 21, 2, 0, 0],</v>
      </c>
    </row>
    <row r="125" spans="3:11" x14ac:dyDescent="0.3">
      <c r="C125" s="11">
        <v>6</v>
      </c>
      <c r="D125" s="11" t="str">
        <v>M4</v>
      </c>
      <c r="E125" s="6">
        <v>23</v>
      </c>
      <c r="F125" s="5">
        <f t="shared" si="10"/>
        <v>23</v>
      </c>
      <c r="G125" s="17">
        <v>0</v>
      </c>
      <c r="H125" s="8">
        <v>0</v>
      </c>
      <c r="I125" s="8">
        <v>0</v>
      </c>
      <c r="K125" s="14" t="str">
        <f t="shared" si="9"/>
        <v>[6, 'M4', 23, 23, 0, 0, 0],</v>
      </c>
    </row>
    <row r="126" spans="3:11" x14ac:dyDescent="0.3">
      <c r="C126" s="11">
        <v>7</v>
      </c>
      <c r="D126" s="11" t="str">
        <v>A</v>
      </c>
      <c r="E126" s="6">
        <v>30</v>
      </c>
      <c r="F126" s="5">
        <f t="shared" si="10"/>
        <v>26</v>
      </c>
      <c r="G126" s="17">
        <v>2</v>
      </c>
      <c r="H126" s="8">
        <v>0</v>
      </c>
      <c r="I126" s="8">
        <v>0</v>
      </c>
      <c r="K126" s="14" t="str">
        <f t="shared" si="9"/>
        <v>[7, 'A', 30, 26, 2, 0, 0],</v>
      </c>
    </row>
    <row r="127" spans="3:11" x14ac:dyDescent="0.3">
      <c r="C127" s="11">
        <v>8</v>
      </c>
      <c r="D127" s="11" t="str">
        <v>K</v>
      </c>
      <c r="E127" s="6">
        <v>33</v>
      </c>
      <c r="F127" s="5">
        <f t="shared" si="10"/>
        <v>29</v>
      </c>
      <c r="G127" s="17">
        <v>2</v>
      </c>
      <c r="H127" s="8">
        <v>0</v>
      </c>
      <c r="I127" s="8">
        <v>0</v>
      </c>
      <c r="K127" s="14" t="str">
        <f t="shared" si="9"/>
        <v>[8, 'K', 33, 29, 2, 0, 0],</v>
      </c>
    </row>
    <row r="128" spans="3:11" x14ac:dyDescent="0.3">
      <c r="C128" s="11">
        <v>9</v>
      </c>
      <c r="D128" s="11" t="str">
        <v>Q</v>
      </c>
      <c r="E128" s="6">
        <v>24</v>
      </c>
      <c r="F128" s="5">
        <f t="shared" si="10"/>
        <v>24</v>
      </c>
      <c r="G128" s="17">
        <v>0</v>
      </c>
      <c r="H128" s="8">
        <v>0</v>
      </c>
      <c r="I128" s="8">
        <v>0</v>
      </c>
      <c r="K128" s="14" t="str">
        <f t="shared" si="9"/>
        <v>[9, 'Q', 24, 24, 0, 0, 0],</v>
      </c>
    </row>
    <row r="129" spans="3:11" x14ac:dyDescent="0.3">
      <c r="C129" s="11">
        <v>10</v>
      </c>
      <c r="D129" s="11" t="str">
        <v>J</v>
      </c>
      <c r="E129" s="6">
        <v>33</v>
      </c>
      <c r="F129" s="5">
        <f t="shared" si="10"/>
        <v>33</v>
      </c>
      <c r="G129" s="17">
        <v>0</v>
      </c>
      <c r="H129" s="8">
        <v>0</v>
      </c>
      <c r="I129" s="8">
        <v>0</v>
      </c>
      <c r="K129" s="14" t="str">
        <f t="shared" si="9"/>
        <v>[10, 'J', 33, 33, 0, 0, 0],</v>
      </c>
    </row>
    <row r="130" spans="3:11" x14ac:dyDescent="0.3">
      <c r="C130" s="11">
        <v>11</v>
      </c>
      <c r="D130" s="11" t="str">
        <v>G1</v>
      </c>
      <c r="E130" s="6">
        <v>0</v>
      </c>
      <c r="F130" s="5">
        <f t="shared" si="10"/>
        <v>0</v>
      </c>
      <c r="G130" s="17">
        <v>0</v>
      </c>
      <c r="H130" s="8">
        <v>0</v>
      </c>
      <c r="I130" s="8">
        <v>0</v>
      </c>
      <c r="K130" s="14" t="str">
        <f t="shared" si="9"/>
        <v>[11, 'G1', 0, 0, 0, 0, 0],</v>
      </c>
    </row>
    <row r="131" spans="3:11" x14ac:dyDescent="0.3">
      <c r="C131" s="11">
        <v>12</v>
      </c>
      <c r="D131" s="11" t="str">
        <v>G2</v>
      </c>
      <c r="E131" s="6">
        <v>0</v>
      </c>
      <c r="F131" s="5">
        <f t="shared" si="10"/>
        <v>0</v>
      </c>
      <c r="G131" s="17">
        <v>0</v>
      </c>
      <c r="H131" s="8">
        <v>0</v>
      </c>
      <c r="I131" s="8">
        <v>0</v>
      </c>
      <c r="K131" s="14" t="str">
        <f t="shared" si="9"/>
        <v>[12, 'G2', 0, 0, 0, 0, 0],</v>
      </c>
    </row>
    <row r="132" spans="3:11" x14ac:dyDescent="0.3">
      <c r="C132" s="11">
        <v>13</v>
      </c>
      <c r="D132" s="11" t="str">
        <v>G3</v>
      </c>
      <c r="E132" s="6">
        <v>0</v>
      </c>
      <c r="F132" s="5">
        <f t="shared" si="10"/>
        <v>0</v>
      </c>
      <c r="G132" s="17">
        <v>0</v>
      </c>
      <c r="H132" s="8">
        <v>0</v>
      </c>
      <c r="I132" s="8">
        <v>0</v>
      </c>
      <c r="K132" s="14" t="str">
        <f t="shared" si="9"/>
        <v>[13, 'G3', 0, 0, 0, 0, 0],</v>
      </c>
    </row>
    <row r="133" spans="3:11" x14ac:dyDescent="0.3">
      <c r="C133" s="11">
        <v>14</v>
      </c>
      <c r="D133" s="11" t="str">
        <v>G4</v>
      </c>
      <c r="E133" s="6">
        <v>0</v>
      </c>
      <c r="F133" s="5">
        <f t="shared" si="10"/>
        <v>0</v>
      </c>
      <c r="G133" s="17">
        <v>0</v>
      </c>
      <c r="H133" s="8">
        <v>0</v>
      </c>
      <c r="I133" s="8">
        <v>0</v>
      </c>
      <c r="K133" s="14" t="str">
        <f t="shared" si="9"/>
        <v>[14, 'G4', 0, 0, 0, 0, 0],</v>
      </c>
    </row>
    <row r="134" spans="3:11" x14ac:dyDescent="0.3">
      <c r="C134" s="11">
        <v>15</v>
      </c>
      <c r="D134" s="11" t="str">
        <v>GA</v>
      </c>
      <c r="E134" s="6">
        <v>0</v>
      </c>
      <c r="F134" s="5">
        <f t="shared" si="10"/>
        <v>0</v>
      </c>
      <c r="G134" s="17">
        <v>0</v>
      </c>
      <c r="H134" s="8">
        <v>0</v>
      </c>
      <c r="I134" s="8">
        <v>0</v>
      </c>
      <c r="K134" s="14" t="str">
        <f t="shared" si="9"/>
        <v>[15, 'GA', 0, 0, 0, 0, 0],</v>
      </c>
    </row>
    <row r="135" spans="3:11" x14ac:dyDescent="0.3">
      <c r="C135" s="11">
        <v>16</v>
      </c>
      <c r="D135" s="11" t="str">
        <v>GK</v>
      </c>
      <c r="E135" s="6">
        <v>0</v>
      </c>
      <c r="F135" s="5">
        <f t="shared" si="10"/>
        <v>0</v>
      </c>
      <c r="G135" s="17">
        <v>0</v>
      </c>
      <c r="H135" s="8">
        <v>0</v>
      </c>
      <c r="I135" s="8">
        <v>0</v>
      </c>
      <c r="K135" s="14" t="str">
        <f t="shared" si="9"/>
        <v>[16, 'GK', 0, 0, 0, 0, 0],</v>
      </c>
    </row>
    <row r="136" spans="3:11" x14ac:dyDescent="0.3">
      <c r="C136" s="11">
        <v>17</v>
      </c>
      <c r="D136" s="11" t="str">
        <v>GQ</v>
      </c>
      <c r="E136" s="6">
        <v>0</v>
      </c>
      <c r="F136" s="5">
        <f t="shared" si="10"/>
        <v>0</v>
      </c>
      <c r="G136" s="17">
        <v>0</v>
      </c>
      <c r="H136" s="8">
        <v>0</v>
      </c>
      <c r="I136" s="8">
        <v>0</v>
      </c>
      <c r="K136" s="14" t="str">
        <f t="shared" si="9"/>
        <v>[17, 'GQ', 0, 0, 0, 0, 0],</v>
      </c>
    </row>
    <row r="137" spans="3:11" x14ac:dyDescent="0.3">
      <c r="C137" s="11">
        <v>18</v>
      </c>
      <c r="D137" s="11" t="str">
        <v>GJ</v>
      </c>
      <c r="E137" s="6">
        <v>0</v>
      </c>
      <c r="F137" s="5">
        <f t="shared" si="10"/>
        <v>0</v>
      </c>
      <c r="G137" s="17">
        <v>0</v>
      </c>
      <c r="H137" s="8">
        <v>0</v>
      </c>
      <c r="I137" s="8">
        <v>0</v>
      </c>
      <c r="K137" s="14" t="str">
        <f t="shared" si="9"/>
        <v>[18, 'GJ', 0, 0, 0, 0, 0],</v>
      </c>
    </row>
    <row r="138" spans="3:11" x14ac:dyDescent="0.3">
      <c r="K138" s="14" t="s">
        <v>31</v>
      </c>
    </row>
    <row r="140" spans="3:11" x14ac:dyDescent="0.3">
      <c r="C140" s="3" t="s">
        <v>22</v>
      </c>
    </row>
    <row r="141" spans="3:11" x14ac:dyDescent="0.3">
      <c r="C141" s="2" t="s">
        <v>27</v>
      </c>
      <c r="D141" s="2" t="s">
        <v>26</v>
      </c>
      <c r="E141" s="2" t="s">
        <v>28</v>
      </c>
      <c r="F141" s="2">
        <v>1</v>
      </c>
      <c r="G141" s="2">
        <v>2</v>
      </c>
      <c r="H141" s="2">
        <v>3</v>
      </c>
      <c r="I141" s="2">
        <v>5</v>
      </c>
      <c r="K141" s="14" t="s">
        <v>32</v>
      </c>
    </row>
    <row r="142" spans="3:11" x14ac:dyDescent="0.3">
      <c r="C142" s="10" cm="1">
        <f t="array" ref="C142:D160">C119:D137</f>
        <v>0</v>
      </c>
      <c r="D142" s="10" t="str">
        <v>WW</v>
      </c>
      <c r="E142" s="4" cm="1">
        <f t="array" ref="E142:E160">H3:H21</f>
        <v>0</v>
      </c>
      <c r="F142" s="5">
        <f>E142-SUMPRODUCT($G$26:$I$26,G142:I142)</f>
        <v>0</v>
      </c>
      <c r="G142" s="18">
        <v>0</v>
      </c>
      <c r="H142" s="21">
        <v>0</v>
      </c>
      <c r="I142" s="21">
        <v>0</v>
      </c>
      <c r="K142" s="14" t="str">
        <f t="shared" ref="K142:K160" si="11">"["&amp;C142&amp;", '"&amp;D142&amp;"', "&amp;_xlfn.TEXTJOIN(", ", , E142:I142)&amp;"]"&amp;","</f>
        <v>[0, 'WW', 0, 0, 0, 0, 0],</v>
      </c>
    </row>
    <row r="143" spans="3:11" x14ac:dyDescent="0.3">
      <c r="C143" s="11">
        <v>1</v>
      </c>
      <c r="D143" s="11" t="str">
        <v>C1</v>
      </c>
      <c r="E143" s="6">
        <v>1</v>
      </c>
      <c r="F143" s="5">
        <f t="shared" ref="F143:F160" si="12">E143-SUMPRODUCT($G$26:$I$26,G143:I143)</f>
        <v>1</v>
      </c>
      <c r="G143" s="17">
        <v>0</v>
      </c>
      <c r="H143" s="8">
        <v>0</v>
      </c>
      <c r="I143" s="8">
        <v>0</v>
      </c>
      <c r="K143" s="14" t="str">
        <f t="shared" si="11"/>
        <v>[1, 'C1', 1, 1, 0, 0, 0],</v>
      </c>
    </row>
    <row r="144" spans="3:11" x14ac:dyDescent="0.3">
      <c r="C144" s="11">
        <v>2</v>
      </c>
      <c r="D144" s="11" t="str">
        <v>C2</v>
      </c>
      <c r="E144" s="6">
        <v>0</v>
      </c>
      <c r="F144" s="5">
        <f t="shared" si="12"/>
        <v>0</v>
      </c>
      <c r="G144" s="17">
        <v>0</v>
      </c>
      <c r="H144" s="8">
        <v>0</v>
      </c>
      <c r="I144" s="8">
        <v>0</v>
      </c>
      <c r="K144" s="14" t="str">
        <f t="shared" si="11"/>
        <v>[2, 'C2', 0, 0, 0, 0, 0],</v>
      </c>
    </row>
    <row r="145" spans="3:11" x14ac:dyDescent="0.3">
      <c r="C145" s="11">
        <v>3</v>
      </c>
      <c r="D145" s="11" t="str">
        <v>M1</v>
      </c>
      <c r="E145" s="6">
        <v>12</v>
      </c>
      <c r="F145" s="5">
        <f t="shared" si="12"/>
        <v>12</v>
      </c>
      <c r="G145" s="17">
        <v>0</v>
      </c>
      <c r="H145" s="8">
        <v>0</v>
      </c>
      <c r="I145" s="8">
        <v>0</v>
      </c>
      <c r="K145" s="14" t="str">
        <f t="shared" si="11"/>
        <v>[3, 'M1', 12, 12, 0, 0, 0],</v>
      </c>
    </row>
    <row r="146" spans="3:11" x14ac:dyDescent="0.3">
      <c r="C146" s="11">
        <v>4</v>
      </c>
      <c r="D146" s="11" t="str">
        <v>M2</v>
      </c>
      <c r="E146" s="6">
        <v>27</v>
      </c>
      <c r="F146" s="5">
        <f t="shared" si="12"/>
        <v>23</v>
      </c>
      <c r="G146" s="17">
        <v>2</v>
      </c>
      <c r="H146" s="8">
        <v>0</v>
      </c>
      <c r="I146" s="8">
        <v>0</v>
      </c>
      <c r="K146" s="14" t="str">
        <f t="shared" si="11"/>
        <v>[4, 'M2', 27, 23, 2, 0, 0],</v>
      </c>
    </row>
    <row r="147" spans="3:11" x14ac:dyDescent="0.3">
      <c r="C147" s="11">
        <v>5</v>
      </c>
      <c r="D147" s="11" t="str">
        <v>M3</v>
      </c>
      <c r="E147" s="6">
        <v>13</v>
      </c>
      <c r="F147" s="5">
        <f t="shared" si="12"/>
        <v>13</v>
      </c>
      <c r="G147" s="17">
        <v>0</v>
      </c>
      <c r="H147" s="8">
        <v>0</v>
      </c>
      <c r="I147" s="8">
        <v>0</v>
      </c>
      <c r="K147" s="14" t="str">
        <f t="shared" si="11"/>
        <v>[5, 'M3', 13, 13, 0, 0, 0],</v>
      </c>
    </row>
    <row r="148" spans="3:11" x14ac:dyDescent="0.3">
      <c r="C148" s="11">
        <v>6</v>
      </c>
      <c r="D148" s="11" t="str">
        <v>M4</v>
      </c>
      <c r="E148" s="6">
        <v>32</v>
      </c>
      <c r="F148" s="5">
        <f t="shared" si="12"/>
        <v>28</v>
      </c>
      <c r="G148" s="17">
        <v>2</v>
      </c>
      <c r="H148" s="8">
        <v>0</v>
      </c>
      <c r="I148" s="8">
        <v>0</v>
      </c>
      <c r="K148" s="14" t="str">
        <f t="shared" si="11"/>
        <v>[6, 'M4', 32, 28, 2, 0, 0],</v>
      </c>
    </row>
    <row r="149" spans="3:11" x14ac:dyDescent="0.3">
      <c r="C149" s="11">
        <v>7</v>
      </c>
      <c r="D149" s="11" t="str">
        <v>A</v>
      </c>
      <c r="E149" s="6">
        <v>25</v>
      </c>
      <c r="F149" s="5">
        <f t="shared" si="12"/>
        <v>25</v>
      </c>
      <c r="G149" s="17">
        <v>0</v>
      </c>
      <c r="H149" s="8">
        <v>0</v>
      </c>
      <c r="I149" s="8">
        <v>0</v>
      </c>
      <c r="K149" s="14" t="str">
        <f t="shared" si="11"/>
        <v>[7, 'A', 25, 25, 0, 0, 0],</v>
      </c>
    </row>
    <row r="150" spans="3:11" x14ac:dyDescent="0.3">
      <c r="C150" s="11">
        <v>8</v>
      </c>
      <c r="D150" s="11" t="str">
        <v>K</v>
      </c>
      <c r="E150" s="6">
        <v>29</v>
      </c>
      <c r="F150" s="5">
        <f t="shared" si="12"/>
        <v>29</v>
      </c>
      <c r="G150" s="17">
        <v>0</v>
      </c>
      <c r="H150" s="8">
        <v>0</v>
      </c>
      <c r="I150" s="8">
        <v>0</v>
      </c>
      <c r="K150" s="14" t="str">
        <f t="shared" si="11"/>
        <v>[8, 'K', 29, 29, 0, 0, 0],</v>
      </c>
    </row>
    <row r="151" spans="3:11" x14ac:dyDescent="0.3">
      <c r="C151" s="11">
        <v>9</v>
      </c>
      <c r="D151" s="11" t="str">
        <v>Q</v>
      </c>
      <c r="E151" s="6">
        <v>37</v>
      </c>
      <c r="F151" s="5">
        <f t="shared" si="12"/>
        <v>33</v>
      </c>
      <c r="G151" s="17">
        <v>2</v>
      </c>
      <c r="H151" s="8">
        <v>0</v>
      </c>
      <c r="I151" s="8">
        <v>0</v>
      </c>
      <c r="K151" s="14" t="str">
        <f t="shared" si="11"/>
        <v>[9, 'Q', 37, 33, 2, 0, 0],</v>
      </c>
    </row>
    <row r="152" spans="3:11" x14ac:dyDescent="0.3">
      <c r="C152" s="11">
        <v>10</v>
      </c>
      <c r="D152" s="11" t="str">
        <v>J</v>
      </c>
      <c r="E152" s="6">
        <v>24</v>
      </c>
      <c r="F152" s="5">
        <f t="shared" si="12"/>
        <v>20</v>
      </c>
      <c r="G152" s="17">
        <v>2</v>
      </c>
      <c r="H152" s="8">
        <v>0</v>
      </c>
      <c r="I152" s="8">
        <v>0</v>
      </c>
      <c r="K152" s="14" t="str">
        <f t="shared" si="11"/>
        <v>[10, 'J', 24, 20, 2, 0, 0],</v>
      </c>
    </row>
    <row r="153" spans="3:11" x14ac:dyDescent="0.3">
      <c r="C153" s="11">
        <v>11</v>
      </c>
      <c r="D153" s="11" t="str">
        <v>G1</v>
      </c>
      <c r="E153" s="6">
        <v>0</v>
      </c>
      <c r="F153" s="5">
        <f t="shared" si="12"/>
        <v>0</v>
      </c>
      <c r="G153" s="17">
        <v>0</v>
      </c>
      <c r="H153" s="8">
        <v>0</v>
      </c>
      <c r="I153" s="8">
        <v>0</v>
      </c>
      <c r="K153" s="14" t="str">
        <f t="shared" si="11"/>
        <v>[11, 'G1', 0, 0, 0, 0, 0],</v>
      </c>
    </row>
    <row r="154" spans="3:11" x14ac:dyDescent="0.3">
      <c r="C154" s="11">
        <v>12</v>
      </c>
      <c r="D154" s="11" t="str">
        <v>G2</v>
      </c>
      <c r="E154" s="6">
        <v>0</v>
      </c>
      <c r="F154" s="5">
        <f t="shared" si="12"/>
        <v>0</v>
      </c>
      <c r="G154" s="17">
        <v>0</v>
      </c>
      <c r="H154" s="8">
        <v>0</v>
      </c>
      <c r="I154" s="8">
        <v>0</v>
      </c>
      <c r="K154" s="14" t="str">
        <f t="shared" si="11"/>
        <v>[12, 'G2', 0, 0, 0, 0, 0],</v>
      </c>
    </row>
    <row r="155" spans="3:11" x14ac:dyDescent="0.3">
      <c r="C155" s="11">
        <v>13</v>
      </c>
      <c r="D155" s="11" t="str">
        <v>G3</v>
      </c>
      <c r="E155" s="6">
        <v>0</v>
      </c>
      <c r="F155" s="5">
        <f t="shared" si="12"/>
        <v>0</v>
      </c>
      <c r="G155" s="17">
        <v>0</v>
      </c>
      <c r="H155" s="8">
        <v>0</v>
      </c>
      <c r="I155" s="8">
        <v>0</v>
      </c>
      <c r="K155" s="14" t="str">
        <f t="shared" si="11"/>
        <v>[13, 'G3', 0, 0, 0, 0, 0],</v>
      </c>
    </row>
    <row r="156" spans="3:11" x14ac:dyDescent="0.3">
      <c r="C156" s="11">
        <v>14</v>
      </c>
      <c r="D156" s="11" t="str">
        <v>G4</v>
      </c>
      <c r="E156" s="6">
        <v>0</v>
      </c>
      <c r="F156" s="5">
        <f t="shared" si="12"/>
        <v>0</v>
      </c>
      <c r="G156" s="17">
        <v>0</v>
      </c>
      <c r="H156" s="8">
        <v>0</v>
      </c>
      <c r="I156" s="8">
        <v>0</v>
      </c>
      <c r="K156" s="14" t="str">
        <f t="shared" si="11"/>
        <v>[14, 'G4', 0, 0, 0, 0, 0],</v>
      </c>
    </row>
    <row r="157" spans="3:11" x14ac:dyDescent="0.3">
      <c r="C157" s="11">
        <v>15</v>
      </c>
      <c r="D157" s="11" t="str">
        <v>GA</v>
      </c>
      <c r="E157" s="6">
        <v>0</v>
      </c>
      <c r="F157" s="5">
        <f t="shared" si="12"/>
        <v>0</v>
      </c>
      <c r="G157" s="17">
        <v>0</v>
      </c>
      <c r="H157" s="8">
        <v>0</v>
      </c>
      <c r="I157" s="8">
        <v>0</v>
      </c>
      <c r="K157" s="14" t="str">
        <f t="shared" si="11"/>
        <v>[15, 'GA', 0, 0, 0, 0, 0],</v>
      </c>
    </row>
    <row r="158" spans="3:11" x14ac:dyDescent="0.3">
      <c r="C158" s="11">
        <v>16</v>
      </c>
      <c r="D158" s="11" t="str">
        <v>GK</v>
      </c>
      <c r="E158" s="6">
        <v>0</v>
      </c>
      <c r="F158" s="5">
        <f t="shared" si="12"/>
        <v>0</v>
      </c>
      <c r="G158" s="17">
        <v>0</v>
      </c>
      <c r="H158" s="8">
        <v>0</v>
      </c>
      <c r="I158" s="8">
        <v>0</v>
      </c>
      <c r="K158" s="14" t="str">
        <f t="shared" si="11"/>
        <v>[16, 'GK', 0, 0, 0, 0, 0],</v>
      </c>
    </row>
    <row r="159" spans="3:11" x14ac:dyDescent="0.3">
      <c r="C159" s="11">
        <v>17</v>
      </c>
      <c r="D159" s="11" t="str">
        <v>GQ</v>
      </c>
      <c r="E159" s="6">
        <v>0</v>
      </c>
      <c r="F159" s="5">
        <f t="shared" si="12"/>
        <v>0</v>
      </c>
      <c r="G159" s="17">
        <v>0</v>
      </c>
      <c r="H159" s="8">
        <v>0</v>
      </c>
      <c r="I159" s="8">
        <v>0</v>
      </c>
      <c r="K159" s="14" t="str">
        <f t="shared" si="11"/>
        <v>[17, 'GQ', 0, 0, 0, 0, 0],</v>
      </c>
    </row>
    <row r="160" spans="3:11" x14ac:dyDescent="0.3">
      <c r="C160" s="11">
        <v>18</v>
      </c>
      <c r="D160" s="11" t="str">
        <v>GJ</v>
      </c>
      <c r="E160" s="6">
        <v>0</v>
      </c>
      <c r="F160" s="5">
        <f t="shared" si="12"/>
        <v>0</v>
      </c>
      <c r="G160" s="17">
        <v>0</v>
      </c>
      <c r="H160" s="8">
        <v>0</v>
      </c>
      <c r="I160" s="8">
        <v>0</v>
      </c>
      <c r="K160" s="14" t="str">
        <f t="shared" si="11"/>
        <v>[18, 'GJ', 0, 0, 0, 0, 0],</v>
      </c>
    </row>
    <row r="161" spans="11:11" x14ac:dyDescent="0.3">
      <c r="K161" s="14" t="s">
        <v>31</v>
      </c>
    </row>
  </sheetData>
  <phoneticPr fontId="2" type="noConversion"/>
  <conditionalFormatting sqref="A1:Z23 A33:Z1048576 A24:S32 Z24:Z32 T25:Y32">
    <cfRule type="cellIs" dxfId="139" priority="20" operator="equal">
      <formula>0</formula>
    </cfRule>
  </conditionalFormatting>
  <conditionalFormatting sqref="C3:H2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{7E26F64B-565C-49D5-B452-76ACE00F1916}</x14:id>
        </ext>
      </extLst>
    </cfRule>
  </conditionalFormatting>
  <conditionalFormatting sqref="T5:Y1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{EEE0B840-4B2A-41F5-9E36-761FE17EFDE6}</x14:id>
        </ext>
      </extLst>
    </cfRule>
  </conditionalFormatting>
  <conditionalFormatting sqref="T15:Y2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{CB5D5172-1313-4B44-8875-57F969B4D677}</x14:id>
        </ext>
      </extLst>
    </cfRule>
  </conditionalFormatting>
  <conditionalFormatting sqref="T25:Y3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{5CDF618B-5C6A-43C0-A8AF-E292627C2235}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26F64B-565C-49D5-B452-76ACE00F19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C3:H21</xm:sqref>
        </x14:conditionalFormatting>
        <x14:conditionalFormatting xmlns:xm="http://schemas.microsoft.com/office/excel/2006/main">
          <x14:cfRule type="dataBar" id="{EEE0B840-4B2A-41F5-9E36-761FE17EF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T5:Y12</xm:sqref>
        </x14:conditionalFormatting>
        <x14:conditionalFormatting xmlns:xm="http://schemas.microsoft.com/office/excel/2006/main">
          <x14:cfRule type="dataBar" id="{CB5D5172-1313-4B44-8875-57F969B4D6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T15:Y22</xm:sqref>
        </x14:conditionalFormatting>
        <x14:conditionalFormatting xmlns:xm="http://schemas.microsoft.com/office/excel/2006/main">
          <x14:cfRule type="dataBar" id="{5CDF618B-5C6A-43C0-A8AF-E292627C22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T25:Y32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737A-2BB3-4160-8D3D-0B272F52CB0D}">
  <dimension ref="A1:R112"/>
  <sheetViews>
    <sheetView topLeftCell="B1" zoomScale="85" zoomScaleNormal="85" workbookViewId="0">
      <selection activeCell="B34" sqref="A34:XFD114"/>
    </sheetView>
  </sheetViews>
  <sheetFormatPr defaultRowHeight="15.6" x14ac:dyDescent="0.3"/>
  <cols>
    <col min="2" max="2" width="11.25" style="1" bestFit="1" customWidth="1"/>
    <col min="3" max="4" width="11.58203125" style="3" customWidth="1"/>
    <col min="5" max="5" width="14.1640625" style="3" customWidth="1"/>
    <col min="6" max="8" width="10.08203125" style="3" customWidth="1"/>
    <col min="9" max="18" width="7.33203125" style="3" customWidth="1"/>
  </cols>
  <sheetData>
    <row r="1" spans="1:15" x14ac:dyDescent="0.3">
      <c r="C1" s="9"/>
      <c r="D1" s="9"/>
      <c r="E1" s="9"/>
      <c r="F1" s="9"/>
      <c r="G1" s="9"/>
    </row>
    <row r="3" spans="1:15" x14ac:dyDescent="0.3">
      <c r="A3">
        <v>0</v>
      </c>
      <c r="B3" s="1" t="s">
        <v>0</v>
      </c>
      <c r="C3" s="8"/>
      <c r="D3" s="8"/>
      <c r="E3" s="8"/>
      <c r="F3" s="8"/>
      <c r="G3" s="8"/>
      <c r="H3" s="8"/>
      <c r="J3" s="23" cm="1">
        <f t="array" ref="J3:O14">C3:H14/C15:H15</f>
        <v>0</v>
      </c>
      <c r="K3" s="23">
        <v>0</v>
      </c>
      <c r="L3" s="23">
        <v>0</v>
      </c>
      <c r="M3" s="23">
        <v>0</v>
      </c>
      <c r="N3" s="23">
        <v>0</v>
      </c>
      <c r="O3" s="3">
        <v>0</v>
      </c>
    </row>
    <row r="4" spans="1:15" x14ac:dyDescent="0.3">
      <c r="A4">
        <v>1</v>
      </c>
      <c r="B4" s="1" t="s">
        <v>1</v>
      </c>
      <c r="C4" s="8">
        <v>2</v>
      </c>
      <c r="D4" s="8">
        <v>4</v>
      </c>
      <c r="E4" s="8">
        <v>2</v>
      </c>
      <c r="F4" s="8">
        <v>4</v>
      </c>
      <c r="G4" s="8">
        <v>2</v>
      </c>
      <c r="H4" s="8">
        <v>4</v>
      </c>
      <c r="J4" s="23">
        <v>0.01</v>
      </c>
      <c r="K4" s="23">
        <v>0.02</v>
      </c>
      <c r="L4" s="23">
        <v>0.01</v>
      </c>
      <c r="M4" s="23">
        <v>0.02</v>
      </c>
      <c r="N4" s="23">
        <v>0.01</v>
      </c>
      <c r="O4" s="3">
        <v>0.02</v>
      </c>
    </row>
    <row r="5" spans="1:15" x14ac:dyDescent="0.3">
      <c r="A5">
        <v>2</v>
      </c>
      <c r="B5" s="1" t="s">
        <v>2</v>
      </c>
      <c r="C5" s="8">
        <v>4</v>
      </c>
      <c r="D5" s="8">
        <v>8</v>
      </c>
      <c r="E5" s="8">
        <v>4</v>
      </c>
      <c r="F5" s="8">
        <v>2</v>
      </c>
      <c r="G5" s="8">
        <v>4</v>
      </c>
      <c r="H5" s="8">
        <v>6</v>
      </c>
      <c r="J5" s="23">
        <v>0.02</v>
      </c>
      <c r="K5" s="23">
        <v>0.04</v>
      </c>
      <c r="L5" s="23">
        <v>0.02</v>
      </c>
      <c r="M5" s="23">
        <v>0.01</v>
      </c>
      <c r="N5" s="23">
        <v>0.02</v>
      </c>
      <c r="O5" s="3">
        <v>0.03</v>
      </c>
    </row>
    <row r="6" spans="1:15" x14ac:dyDescent="0.3">
      <c r="A6">
        <v>3</v>
      </c>
      <c r="B6" s="1" t="s">
        <v>4</v>
      </c>
      <c r="C6" s="8">
        <v>6</v>
      </c>
      <c r="D6" s="8">
        <v>8</v>
      </c>
      <c r="E6" s="8">
        <v>14</v>
      </c>
      <c r="F6" s="8">
        <v>12</v>
      </c>
      <c r="G6" s="8">
        <v>6</v>
      </c>
      <c r="H6" s="8">
        <v>8</v>
      </c>
      <c r="J6" s="23">
        <v>0.03</v>
      </c>
      <c r="K6" s="23">
        <v>0.04</v>
      </c>
      <c r="L6" s="23">
        <v>7.0000000000000007E-2</v>
      </c>
      <c r="M6" s="23">
        <v>0.06</v>
      </c>
      <c r="N6" s="23">
        <v>0.03</v>
      </c>
      <c r="O6" s="3">
        <v>0.04</v>
      </c>
    </row>
    <row r="7" spans="1:15" x14ac:dyDescent="0.3">
      <c r="A7">
        <v>4</v>
      </c>
      <c r="B7" s="1" t="s">
        <v>5</v>
      </c>
      <c r="C7" s="17">
        <v>14</v>
      </c>
      <c r="D7" s="17">
        <v>16</v>
      </c>
      <c r="E7" s="17">
        <v>20</v>
      </c>
      <c r="F7" s="17">
        <v>14</v>
      </c>
      <c r="G7" s="17">
        <v>14</v>
      </c>
      <c r="H7" s="17">
        <v>14</v>
      </c>
      <c r="J7" s="19">
        <v>7.0000000000000007E-2</v>
      </c>
      <c r="K7" s="19">
        <v>0.08</v>
      </c>
      <c r="L7" s="19">
        <v>0.1</v>
      </c>
      <c r="M7" s="19">
        <v>7.0000000000000007E-2</v>
      </c>
      <c r="N7" s="19">
        <v>7.0000000000000007E-2</v>
      </c>
      <c r="O7" s="3">
        <v>7.0000000000000007E-2</v>
      </c>
    </row>
    <row r="8" spans="1:15" x14ac:dyDescent="0.3">
      <c r="A8">
        <v>5</v>
      </c>
      <c r="B8" s="1" t="s">
        <v>6</v>
      </c>
      <c r="C8" s="17">
        <v>12</v>
      </c>
      <c r="D8" s="17">
        <v>14</v>
      </c>
      <c r="E8" s="17">
        <v>14</v>
      </c>
      <c r="F8" s="17">
        <v>18</v>
      </c>
      <c r="G8" s="17">
        <v>14</v>
      </c>
      <c r="H8" s="17">
        <v>12</v>
      </c>
      <c r="J8" s="19">
        <v>0.06</v>
      </c>
      <c r="K8" s="19">
        <v>7.0000000000000007E-2</v>
      </c>
      <c r="L8" s="19">
        <v>7.0000000000000007E-2</v>
      </c>
      <c r="M8" s="19">
        <v>0.09</v>
      </c>
      <c r="N8" s="19">
        <v>7.0000000000000007E-2</v>
      </c>
      <c r="O8" s="3">
        <v>0.06</v>
      </c>
    </row>
    <row r="9" spans="1:15" x14ac:dyDescent="0.3">
      <c r="A9">
        <v>6</v>
      </c>
      <c r="B9" s="1" t="s">
        <v>7</v>
      </c>
      <c r="C9" s="17">
        <v>18</v>
      </c>
      <c r="D9" s="17">
        <v>18</v>
      </c>
      <c r="E9" s="17">
        <v>20</v>
      </c>
      <c r="F9" s="17">
        <v>22</v>
      </c>
      <c r="G9" s="17">
        <v>22</v>
      </c>
      <c r="H9" s="17">
        <v>20</v>
      </c>
      <c r="J9" s="19">
        <v>0.09</v>
      </c>
      <c r="K9" s="19">
        <v>0.09</v>
      </c>
      <c r="L9" s="19">
        <v>0.1</v>
      </c>
      <c r="M9" s="19">
        <v>0.11</v>
      </c>
      <c r="N9" s="19">
        <v>0.11</v>
      </c>
      <c r="O9" s="3">
        <v>0.1</v>
      </c>
    </row>
    <row r="10" spans="1:15" x14ac:dyDescent="0.3">
      <c r="A10">
        <v>7</v>
      </c>
      <c r="B10" s="1" t="s">
        <v>9</v>
      </c>
      <c r="C10" s="17">
        <v>12</v>
      </c>
      <c r="D10" s="17">
        <v>10</v>
      </c>
      <c r="E10" s="17">
        <v>26</v>
      </c>
      <c r="F10" s="17">
        <v>12</v>
      </c>
      <c r="G10" s="17">
        <v>16</v>
      </c>
      <c r="H10" s="17">
        <v>12</v>
      </c>
      <c r="J10" s="19">
        <v>0.06</v>
      </c>
      <c r="K10" s="19">
        <v>0.05</v>
      </c>
      <c r="L10" s="19">
        <v>0.13</v>
      </c>
      <c r="M10" s="19">
        <v>0.06</v>
      </c>
      <c r="N10" s="19">
        <v>0.08</v>
      </c>
      <c r="O10" s="3">
        <v>0.06</v>
      </c>
    </row>
    <row r="11" spans="1:15" x14ac:dyDescent="0.3">
      <c r="A11">
        <v>8</v>
      </c>
      <c r="B11" s="1" t="s">
        <v>10</v>
      </c>
      <c r="C11" s="17">
        <v>30</v>
      </c>
      <c r="D11" s="17">
        <v>26</v>
      </c>
      <c r="E11" s="17">
        <v>30</v>
      </c>
      <c r="F11" s="17">
        <v>12</v>
      </c>
      <c r="G11" s="17">
        <v>26</v>
      </c>
      <c r="H11" s="17">
        <v>26</v>
      </c>
      <c r="J11" s="19">
        <v>0.15</v>
      </c>
      <c r="K11" s="19">
        <v>0.13</v>
      </c>
      <c r="L11" s="19">
        <v>0.15</v>
      </c>
      <c r="M11" s="19">
        <v>0.06</v>
      </c>
      <c r="N11" s="19">
        <v>0.13</v>
      </c>
      <c r="O11" s="3">
        <v>0.13</v>
      </c>
    </row>
    <row r="12" spans="1:15" x14ac:dyDescent="0.3">
      <c r="A12">
        <v>9</v>
      </c>
      <c r="B12" s="1" t="s">
        <v>11</v>
      </c>
      <c r="C12" s="8">
        <v>26</v>
      </c>
      <c r="D12" s="8">
        <v>32</v>
      </c>
      <c r="E12" s="8">
        <v>20</v>
      </c>
      <c r="F12" s="8">
        <v>26</v>
      </c>
      <c r="G12" s="8">
        <v>38</v>
      </c>
      <c r="H12" s="8">
        <v>38</v>
      </c>
      <c r="J12" s="23">
        <v>0.13</v>
      </c>
      <c r="K12" s="23">
        <v>0.16</v>
      </c>
      <c r="L12" s="23">
        <v>0.1</v>
      </c>
      <c r="M12" s="23">
        <v>0.13</v>
      </c>
      <c r="N12" s="23">
        <v>0.19</v>
      </c>
      <c r="O12" s="3">
        <v>0.19</v>
      </c>
    </row>
    <row r="13" spans="1:15" x14ac:dyDescent="0.3">
      <c r="A13">
        <v>10</v>
      </c>
      <c r="B13" s="1" t="s">
        <v>12</v>
      </c>
      <c r="C13" s="8">
        <v>36</v>
      </c>
      <c r="D13" s="8">
        <v>34</v>
      </c>
      <c r="E13" s="8">
        <v>26</v>
      </c>
      <c r="F13" s="8">
        <v>36</v>
      </c>
      <c r="G13" s="8">
        <v>26</v>
      </c>
      <c r="H13" s="8">
        <v>26</v>
      </c>
      <c r="J13" s="23">
        <v>0.18</v>
      </c>
      <c r="K13" s="23">
        <v>0.17</v>
      </c>
      <c r="L13" s="23">
        <v>0.13</v>
      </c>
      <c r="M13" s="23">
        <v>0.18</v>
      </c>
      <c r="N13" s="23">
        <v>0.13</v>
      </c>
      <c r="O13" s="3">
        <v>0.13</v>
      </c>
    </row>
    <row r="14" spans="1:15" x14ac:dyDescent="0.3">
      <c r="A14">
        <v>11</v>
      </c>
      <c r="B14" s="1" t="s">
        <v>13</v>
      </c>
      <c r="C14" s="8">
        <v>40</v>
      </c>
      <c r="D14" s="8">
        <v>30</v>
      </c>
      <c r="E14" s="8">
        <v>24</v>
      </c>
      <c r="F14" s="8">
        <v>42</v>
      </c>
      <c r="G14" s="8">
        <v>32</v>
      </c>
      <c r="H14" s="8">
        <v>34</v>
      </c>
      <c r="I14" s="3">
        <v>1</v>
      </c>
      <c r="J14" s="23">
        <v>0.2</v>
      </c>
      <c r="K14" s="23">
        <v>0.15</v>
      </c>
      <c r="L14" s="23">
        <v>0.12</v>
      </c>
      <c r="M14" s="23">
        <v>0.21</v>
      </c>
      <c r="N14" s="23">
        <v>0.16</v>
      </c>
      <c r="O14" s="3">
        <v>0.17</v>
      </c>
    </row>
    <row r="15" spans="1:15" x14ac:dyDescent="0.3">
      <c r="B15" s="1" t="s">
        <v>20</v>
      </c>
      <c r="C15" s="7">
        <f t="shared" ref="C15:H15" si="0">SUM(C3:C14)</f>
        <v>200</v>
      </c>
      <c r="D15" s="7">
        <f t="shared" si="0"/>
        <v>200</v>
      </c>
      <c r="E15" s="7">
        <f t="shared" si="0"/>
        <v>200</v>
      </c>
      <c r="F15" s="7">
        <f t="shared" si="0"/>
        <v>200</v>
      </c>
      <c r="G15" s="7">
        <f t="shared" si="0"/>
        <v>200</v>
      </c>
      <c r="H15" s="7">
        <f t="shared" si="0"/>
        <v>200</v>
      </c>
    </row>
    <row r="16" spans="1:15" x14ac:dyDescent="0.3">
      <c r="C16" s="9"/>
      <c r="D16" s="9"/>
      <c r="E16" s="9"/>
      <c r="F16" s="9"/>
      <c r="G16" s="9"/>
      <c r="K16" s="14" t="str">
        <f>"['"&amp;_xlfn.TEXTJOIN("', '", , C19:E19)&amp;"', "&amp;_xlfn.TEXTJOIN(", ", , F19:I19)&amp;"]"</f>
        <v>['symbol_id', 'symbol_str', 'symbol_count', 1, 2, 3, 5]</v>
      </c>
    </row>
    <row r="18" spans="2:11" x14ac:dyDescent="0.3">
      <c r="C18" s="3" t="s">
        <v>14</v>
      </c>
    </row>
    <row r="19" spans="2:11" x14ac:dyDescent="0.3">
      <c r="C19" s="2" t="s">
        <v>27</v>
      </c>
      <c r="D19" s="2" t="s">
        <v>26</v>
      </c>
      <c r="E19" s="2" t="s">
        <v>28</v>
      </c>
      <c r="F19" s="2">
        <v>1</v>
      </c>
      <c r="G19" s="2">
        <v>2</v>
      </c>
      <c r="H19" s="2">
        <v>3</v>
      </c>
      <c r="I19" s="2">
        <v>5</v>
      </c>
      <c r="K19" s="14" t="s">
        <v>32</v>
      </c>
    </row>
    <row r="20" spans="2:11" x14ac:dyDescent="0.3">
      <c r="C20" s="10">
        <v>0</v>
      </c>
      <c r="D20" s="10" t="s">
        <v>0</v>
      </c>
      <c r="E20" s="4" cm="1">
        <f t="array" ref="E20:E31">C$3:C$14</f>
        <v>0</v>
      </c>
      <c r="F20" s="5">
        <f t="shared" ref="F20:F31" si="1">E20-SUMPRODUCT($G$19:$I$19,G20:I20)</f>
        <v>0</v>
      </c>
      <c r="G20" s="18">
        <v>0</v>
      </c>
      <c r="H20" s="18">
        <v>0</v>
      </c>
      <c r="I20" s="4">
        <v>0</v>
      </c>
      <c r="K20" s="14" t="str">
        <f t="shared" ref="K20:K31" si="2">"["&amp;C20&amp;", '"&amp;D20&amp;"', "&amp;_xlfn.TEXTJOIN(", ", , E20:I20)&amp;"]"&amp;","</f>
        <v>[0, 'WW', 0, 0, 0, 0, 0],</v>
      </c>
    </row>
    <row r="21" spans="2:11" x14ac:dyDescent="0.3">
      <c r="C21" s="11">
        <v>1</v>
      </c>
      <c r="D21" s="11" t="s">
        <v>1</v>
      </c>
      <c r="E21" s="6">
        <v>2</v>
      </c>
      <c r="F21" s="5">
        <f t="shared" si="1"/>
        <v>2</v>
      </c>
      <c r="G21" s="17">
        <v>0</v>
      </c>
      <c r="H21" s="17">
        <v>0</v>
      </c>
      <c r="I21" s="6">
        <v>0</v>
      </c>
      <c r="K21" s="14" t="str">
        <f t="shared" si="2"/>
        <v>[1, 'C1', 2, 2, 0, 0, 0],</v>
      </c>
    </row>
    <row r="22" spans="2:11" x14ac:dyDescent="0.3">
      <c r="C22" s="11">
        <v>2</v>
      </c>
      <c r="D22" s="11" t="s">
        <v>2</v>
      </c>
      <c r="E22" s="6">
        <v>4</v>
      </c>
      <c r="F22" s="5">
        <f t="shared" si="1"/>
        <v>4</v>
      </c>
      <c r="G22" s="17">
        <v>0</v>
      </c>
      <c r="H22" s="17">
        <v>0</v>
      </c>
      <c r="I22" s="6">
        <v>0</v>
      </c>
      <c r="K22" s="14" t="str">
        <f t="shared" si="2"/>
        <v>[2, 'C2', 4, 4, 0, 0, 0],</v>
      </c>
    </row>
    <row r="23" spans="2:11" x14ac:dyDescent="0.3">
      <c r="C23" s="11">
        <v>3</v>
      </c>
      <c r="D23" s="11" t="s">
        <v>4</v>
      </c>
      <c r="E23" s="6">
        <v>6</v>
      </c>
      <c r="F23" s="5">
        <f t="shared" si="1"/>
        <v>0</v>
      </c>
      <c r="G23" s="17" cm="1">
        <f t="array" ref="G23:G31">E23:E31/2</f>
        <v>3</v>
      </c>
      <c r="H23" s="17">
        <v>0</v>
      </c>
      <c r="I23" s="6">
        <v>0</v>
      </c>
      <c r="K23" s="14" t="str">
        <f t="shared" si="2"/>
        <v>[3, 'M1', 6, 0, 3, 0, 0],</v>
      </c>
    </row>
    <row r="24" spans="2:11" x14ac:dyDescent="0.3">
      <c r="C24" s="11">
        <v>4</v>
      </c>
      <c r="D24" s="11" t="s">
        <v>5</v>
      </c>
      <c r="E24" s="6">
        <v>14</v>
      </c>
      <c r="F24" s="5">
        <f t="shared" si="1"/>
        <v>0</v>
      </c>
      <c r="G24" s="17">
        <v>7</v>
      </c>
      <c r="H24" s="17">
        <v>0</v>
      </c>
      <c r="I24" s="6">
        <v>0</v>
      </c>
      <c r="K24" s="14" t="str">
        <f t="shared" si="2"/>
        <v>[4, 'M2', 14, 0, 7, 0, 0],</v>
      </c>
    </row>
    <row r="25" spans="2:11" x14ac:dyDescent="0.3">
      <c r="C25" s="11">
        <v>5</v>
      </c>
      <c r="D25" s="11" t="s">
        <v>6</v>
      </c>
      <c r="E25" s="6">
        <v>12</v>
      </c>
      <c r="F25" s="5">
        <f t="shared" si="1"/>
        <v>0</v>
      </c>
      <c r="G25" s="17">
        <v>6</v>
      </c>
      <c r="H25" s="17">
        <v>0</v>
      </c>
      <c r="I25" s="6">
        <v>0</v>
      </c>
      <c r="K25" s="14" t="str">
        <f t="shared" si="2"/>
        <v>[5, 'M3', 12, 0, 6, 0, 0],</v>
      </c>
    </row>
    <row r="26" spans="2:11" x14ac:dyDescent="0.3">
      <c r="C26" s="11">
        <v>6</v>
      </c>
      <c r="D26" s="11" t="s">
        <v>7</v>
      </c>
      <c r="E26" s="6">
        <v>18</v>
      </c>
      <c r="F26" s="5">
        <f t="shared" si="1"/>
        <v>0</v>
      </c>
      <c r="G26" s="17">
        <v>9</v>
      </c>
      <c r="H26" s="17">
        <v>0</v>
      </c>
      <c r="I26" s="6">
        <v>0</v>
      </c>
      <c r="K26" s="14" t="str">
        <f t="shared" si="2"/>
        <v>[6, 'M4', 18, 0, 9, 0, 0],</v>
      </c>
    </row>
    <row r="27" spans="2:11" x14ac:dyDescent="0.3">
      <c r="C27" s="11">
        <v>7</v>
      </c>
      <c r="D27" s="11" t="s">
        <v>9</v>
      </c>
      <c r="E27" s="6">
        <v>12</v>
      </c>
      <c r="F27" s="5">
        <f t="shared" si="1"/>
        <v>0</v>
      </c>
      <c r="G27" s="17">
        <v>6</v>
      </c>
      <c r="H27" s="17">
        <v>0</v>
      </c>
      <c r="I27" s="6">
        <v>0</v>
      </c>
      <c r="K27" s="14" t="str">
        <f t="shared" si="2"/>
        <v>[7, 'A', 12, 0, 6, 0, 0],</v>
      </c>
    </row>
    <row r="28" spans="2:11" x14ac:dyDescent="0.3">
      <c r="B28" s="3"/>
      <c r="C28" s="11">
        <v>8</v>
      </c>
      <c r="D28" s="11" t="s">
        <v>10</v>
      </c>
      <c r="E28" s="6">
        <v>30</v>
      </c>
      <c r="F28" s="5">
        <f t="shared" si="1"/>
        <v>0</v>
      </c>
      <c r="G28" s="17">
        <v>15</v>
      </c>
      <c r="H28" s="17">
        <v>0</v>
      </c>
      <c r="I28" s="6">
        <v>0</v>
      </c>
      <c r="K28" s="14" t="str">
        <f t="shared" si="2"/>
        <v>[8, 'K', 30, 0, 15, 0, 0],</v>
      </c>
    </row>
    <row r="29" spans="2:11" x14ac:dyDescent="0.3">
      <c r="B29" s="3"/>
      <c r="C29" s="11">
        <v>9</v>
      </c>
      <c r="D29" s="11" t="s">
        <v>11</v>
      </c>
      <c r="E29" s="6">
        <v>26</v>
      </c>
      <c r="F29" s="5">
        <f t="shared" si="1"/>
        <v>0</v>
      </c>
      <c r="G29" s="17">
        <v>13</v>
      </c>
      <c r="H29" s="17">
        <v>0</v>
      </c>
      <c r="I29" s="6">
        <v>0</v>
      </c>
      <c r="K29" s="14" t="str">
        <f t="shared" si="2"/>
        <v>[9, 'Q', 26, 0, 13, 0, 0],</v>
      </c>
    </row>
    <row r="30" spans="2:11" x14ac:dyDescent="0.3">
      <c r="B30" s="3"/>
      <c r="C30" s="11">
        <v>10</v>
      </c>
      <c r="D30" s="11" t="s">
        <v>12</v>
      </c>
      <c r="E30" s="6">
        <v>36</v>
      </c>
      <c r="F30" s="5">
        <f t="shared" si="1"/>
        <v>0</v>
      </c>
      <c r="G30" s="17">
        <v>18</v>
      </c>
      <c r="H30" s="17">
        <v>0</v>
      </c>
      <c r="I30" s="6">
        <v>0</v>
      </c>
      <c r="K30" s="14" t="str">
        <f t="shared" si="2"/>
        <v>[10, 'J', 36, 0, 18, 0, 0],</v>
      </c>
    </row>
    <row r="31" spans="2:11" x14ac:dyDescent="0.3">
      <c r="B31" s="3"/>
      <c r="C31" s="11">
        <v>11</v>
      </c>
      <c r="D31" s="11" t="s">
        <v>13</v>
      </c>
      <c r="E31" s="6">
        <v>40</v>
      </c>
      <c r="F31" s="5">
        <f t="shared" si="1"/>
        <v>0</v>
      </c>
      <c r="G31" s="17">
        <v>20</v>
      </c>
      <c r="H31" s="17">
        <v>0</v>
      </c>
      <c r="I31" s="6">
        <v>0</v>
      </c>
      <c r="K31" s="14" t="str">
        <f t="shared" si="2"/>
        <v>[11, 'TE', 40, 0, 20, 0, 0],</v>
      </c>
    </row>
    <row r="32" spans="2:11" x14ac:dyDescent="0.3">
      <c r="B32" s="3"/>
      <c r="K32" s="14" t="s">
        <v>31</v>
      </c>
    </row>
    <row r="33" spans="2:11" x14ac:dyDescent="0.3">
      <c r="B33" s="3"/>
    </row>
    <row r="34" spans="2:11" x14ac:dyDescent="0.3">
      <c r="C34" s="3" t="s">
        <v>22</v>
      </c>
    </row>
    <row r="35" spans="2:11" x14ac:dyDescent="0.3">
      <c r="C35" s="2" t="s">
        <v>27</v>
      </c>
      <c r="D35" s="2" t="s">
        <v>26</v>
      </c>
      <c r="E35" s="2" t="s">
        <v>28</v>
      </c>
      <c r="F35" s="2">
        <v>1</v>
      </c>
      <c r="G35" s="2">
        <v>2</v>
      </c>
      <c r="H35" s="2">
        <v>3</v>
      </c>
      <c r="I35" s="2">
        <v>5</v>
      </c>
      <c r="K35" s="14" t="s">
        <v>32</v>
      </c>
    </row>
    <row r="36" spans="2:11" x14ac:dyDescent="0.3">
      <c r="C36" s="10">
        <v>0</v>
      </c>
      <c r="D36" s="10" t="s">
        <v>0</v>
      </c>
      <c r="E36" s="4" cm="1">
        <f t="array" ref="E36:E47">D$3:D$14</f>
        <v>0</v>
      </c>
      <c r="F36" s="5">
        <f t="shared" ref="F36:F47" si="3">E36-SUMPRODUCT($G$19:$I$19,G36:I36)</f>
        <v>0</v>
      </c>
      <c r="G36" s="18">
        <v>0</v>
      </c>
      <c r="H36" s="18">
        <v>0</v>
      </c>
      <c r="I36" s="4">
        <v>0</v>
      </c>
      <c r="K36" s="14" t="str">
        <f t="shared" ref="K36:K47" si="4">"["&amp;C36&amp;", '"&amp;D36&amp;"', "&amp;_xlfn.TEXTJOIN(", ", , E36:I36)&amp;"]"&amp;","</f>
        <v>[0, 'WW', 0, 0, 0, 0, 0],</v>
      </c>
    </row>
    <row r="37" spans="2:11" x14ac:dyDescent="0.3">
      <c r="C37" s="11">
        <v>1</v>
      </c>
      <c r="D37" s="11" t="s">
        <v>1</v>
      </c>
      <c r="E37" s="6">
        <v>4</v>
      </c>
      <c r="F37" s="5">
        <f t="shared" si="3"/>
        <v>4</v>
      </c>
      <c r="G37" s="17">
        <v>0</v>
      </c>
      <c r="H37" s="17">
        <v>0</v>
      </c>
      <c r="I37" s="6">
        <v>0</v>
      </c>
      <c r="K37" s="14" t="str">
        <f t="shared" si="4"/>
        <v>[1, 'C1', 4, 4, 0, 0, 0],</v>
      </c>
    </row>
    <row r="38" spans="2:11" x14ac:dyDescent="0.3">
      <c r="C38" s="11">
        <v>2</v>
      </c>
      <c r="D38" s="11" t="s">
        <v>2</v>
      </c>
      <c r="E38" s="6">
        <v>8</v>
      </c>
      <c r="F38" s="5">
        <f t="shared" si="3"/>
        <v>8</v>
      </c>
      <c r="G38" s="17">
        <v>0</v>
      </c>
      <c r="H38" s="17">
        <v>0</v>
      </c>
      <c r="I38" s="6">
        <v>0</v>
      </c>
      <c r="K38" s="14" t="str">
        <f t="shared" si="4"/>
        <v>[2, 'C2', 8, 8, 0, 0, 0],</v>
      </c>
    </row>
    <row r="39" spans="2:11" x14ac:dyDescent="0.3">
      <c r="C39" s="11">
        <v>3</v>
      </c>
      <c r="D39" s="11" t="s">
        <v>4</v>
      </c>
      <c r="E39" s="6">
        <v>8</v>
      </c>
      <c r="F39" s="5">
        <f t="shared" si="3"/>
        <v>0</v>
      </c>
      <c r="G39" s="17" cm="1">
        <f t="array" ref="G39:G47">E39:E47/2</f>
        <v>4</v>
      </c>
      <c r="H39" s="17">
        <v>0</v>
      </c>
      <c r="I39" s="6">
        <v>0</v>
      </c>
      <c r="K39" s="14" t="str">
        <f t="shared" si="4"/>
        <v>[3, 'M1', 8, 0, 4, 0, 0],</v>
      </c>
    </row>
    <row r="40" spans="2:11" x14ac:dyDescent="0.3">
      <c r="C40" s="11">
        <v>4</v>
      </c>
      <c r="D40" s="11" t="s">
        <v>5</v>
      </c>
      <c r="E40" s="6">
        <v>16</v>
      </c>
      <c r="F40" s="5">
        <f t="shared" si="3"/>
        <v>0</v>
      </c>
      <c r="G40" s="17">
        <v>8</v>
      </c>
      <c r="H40" s="17">
        <v>0</v>
      </c>
      <c r="I40" s="6">
        <v>0</v>
      </c>
      <c r="K40" s="14" t="str">
        <f t="shared" si="4"/>
        <v>[4, 'M2', 16, 0, 8, 0, 0],</v>
      </c>
    </row>
    <row r="41" spans="2:11" x14ac:dyDescent="0.3">
      <c r="C41" s="11">
        <v>5</v>
      </c>
      <c r="D41" s="11" t="s">
        <v>6</v>
      </c>
      <c r="E41" s="6">
        <v>14</v>
      </c>
      <c r="F41" s="5">
        <f t="shared" si="3"/>
        <v>0</v>
      </c>
      <c r="G41" s="17">
        <v>7</v>
      </c>
      <c r="H41" s="17">
        <v>0</v>
      </c>
      <c r="I41" s="6">
        <v>0</v>
      </c>
      <c r="K41" s="14" t="str">
        <f t="shared" si="4"/>
        <v>[5, 'M3', 14, 0, 7, 0, 0],</v>
      </c>
    </row>
    <row r="42" spans="2:11" x14ac:dyDescent="0.3">
      <c r="C42" s="11">
        <v>6</v>
      </c>
      <c r="D42" s="11" t="s">
        <v>7</v>
      </c>
      <c r="E42" s="6">
        <v>18</v>
      </c>
      <c r="F42" s="5">
        <f t="shared" si="3"/>
        <v>0</v>
      </c>
      <c r="G42" s="17">
        <v>9</v>
      </c>
      <c r="H42" s="17">
        <v>0</v>
      </c>
      <c r="I42" s="6">
        <v>0</v>
      </c>
      <c r="K42" s="14" t="str">
        <f t="shared" si="4"/>
        <v>[6, 'M4', 18, 0, 9, 0, 0],</v>
      </c>
    </row>
    <row r="43" spans="2:11" x14ac:dyDescent="0.3">
      <c r="C43" s="11">
        <v>7</v>
      </c>
      <c r="D43" s="11" t="s">
        <v>9</v>
      </c>
      <c r="E43" s="6">
        <v>10</v>
      </c>
      <c r="F43" s="5">
        <f t="shared" si="3"/>
        <v>0</v>
      </c>
      <c r="G43" s="17">
        <v>5</v>
      </c>
      <c r="H43" s="17">
        <v>0</v>
      </c>
      <c r="I43" s="6">
        <v>0</v>
      </c>
      <c r="K43" s="14" t="str">
        <f t="shared" si="4"/>
        <v>[7, 'A', 10, 0, 5, 0, 0],</v>
      </c>
    </row>
    <row r="44" spans="2:11" x14ac:dyDescent="0.3">
      <c r="C44" s="11">
        <v>8</v>
      </c>
      <c r="D44" s="11" t="s">
        <v>10</v>
      </c>
      <c r="E44" s="6">
        <v>26</v>
      </c>
      <c r="F44" s="5">
        <f t="shared" si="3"/>
        <v>0</v>
      </c>
      <c r="G44" s="17">
        <v>13</v>
      </c>
      <c r="H44" s="17">
        <v>0</v>
      </c>
      <c r="I44" s="6">
        <v>0</v>
      </c>
      <c r="K44" s="14" t="str">
        <f t="shared" si="4"/>
        <v>[8, 'K', 26, 0, 13, 0, 0],</v>
      </c>
    </row>
    <row r="45" spans="2:11" x14ac:dyDescent="0.3">
      <c r="C45" s="11">
        <v>9</v>
      </c>
      <c r="D45" s="11" t="s">
        <v>11</v>
      </c>
      <c r="E45" s="6">
        <v>32</v>
      </c>
      <c r="F45" s="5">
        <f t="shared" si="3"/>
        <v>0</v>
      </c>
      <c r="G45" s="17">
        <v>16</v>
      </c>
      <c r="H45" s="17">
        <v>0</v>
      </c>
      <c r="I45" s="6">
        <v>0</v>
      </c>
      <c r="K45" s="14" t="str">
        <f t="shared" si="4"/>
        <v>[9, 'Q', 32, 0, 16, 0, 0],</v>
      </c>
    </row>
    <row r="46" spans="2:11" x14ac:dyDescent="0.3">
      <c r="C46" s="11">
        <v>10</v>
      </c>
      <c r="D46" s="11" t="s">
        <v>12</v>
      </c>
      <c r="E46" s="6">
        <v>34</v>
      </c>
      <c r="F46" s="5">
        <f t="shared" si="3"/>
        <v>0</v>
      </c>
      <c r="G46" s="17">
        <v>17</v>
      </c>
      <c r="H46" s="17">
        <v>0</v>
      </c>
      <c r="I46" s="6">
        <v>0</v>
      </c>
      <c r="K46" s="14" t="str">
        <f t="shared" si="4"/>
        <v>[10, 'J', 34, 0, 17, 0, 0],</v>
      </c>
    </row>
    <row r="47" spans="2:11" x14ac:dyDescent="0.3">
      <c r="C47" s="11">
        <v>11</v>
      </c>
      <c r="D47" s="11" t="s">
        <v>13</v>
      </c>
      <c r="E47" s="6">
        <v>30</v>
      </c>
      <c r="F47" s="5">
        <f t="shared" si="3"/>
        <v>0</v>
      </c>
      <c r="G47" s="17">
        <v>15</v>
      </c>
      <c r="H47" s="17">
        <v>0</v>
      </c>
      <c r="I47" s="6">
        <v>0</v>
      </c>
      <c r="K47" s="14" t="str">
        <f t="shared" si="4"/>
        <v>[11, 'TE', 30, 0, 15, 0, 0],</v>
      </c>
    </row>
    <row r="48" spans="2:11" x14ac:dyDescent="0.3">
      <c r="K48" s="14" t="s">
        <v>31</v>
      </c>
    </row>
    <row r="50" spans="3:11" x14ac:dyDescent="0.3">
      <c r="C50" s="3" t="s">
        <v>25</v>
      </c>
    </row>
    <row r="51" spans="3:11" x14ac:dyDescent="0.3">
      <c r="C51" s="2" t="s">
        <v>27</v>
      </c>
      <c r="D51" s="2" t="s">
        <v>26</v>
      </c>
      <c r="E51" s="2" t="s">
        <v>28</v>
      </c>
      <c r="F51" s="2">
        <v>1</v>
      </c>
      <c r="G51" s="2">
        <v>2</v>
      </c>
      <c r="H51" s="2">
        <v>3</v>
      </c>
      <c r="I51" s="2">
        <v>5</v>
      </c>
      <c r="K51" s="14" t="s">
        <v>32</v>
      </c>
    </row>
    <row r="52" spans="3:11" x14ac:dyDescent="0.3">
      <c r="C52" s="10">
        <v>0</v>
      </c>
      <c r="D52" s="10" t="s">
        <v>0</v>
      </c>
      <c r="E52" s="4" cm="1">
        <f t="array" ref="E52:E63">E$3:E$14</f>
        <v>0</v>
      </c>
      <c r="F52" s="5">
        <f t="shared" ref="F52:F63" si="5">E52-SUMPRODUCT($G$19:$I$19,G52:I52)</f>
        <v>0</v>
      </c>
      <c r="G52" s="18">
        <v>0</v>
      </c>
      <c r="H52" s="18">
        <v>0</v>
      </c>
      <c r="I52" s="4">
        <v>0</v>
      </c>
      <c r="K52" s="14" t="str">
        <f t="shared" ref="K52:K63" si="6">"["&amp;C52&amp;", '"&amp;D52&amp;"', "&amp;_xlfn.TEXTJOIN(", ", , E52:I52)&amp;"]"&amp;","</f>
        <v>[0, 'WW', 0, 0, 0, 0, 0],</v>
      </c>
    </row>
    <row r="53" spans="3:11" x14ac:dyDescent="0.3">
      <c r="C53" s="11">
        <v>1</v>
      </c>
      <c r="D53" s="11" t="s">
        <v>1</v>
      </c>
      <c r="E53" s="6">
        <v>2</v>
      </c>
      <c r="F53" s="5">
        <f t="shared" si="5"/>
        <v>2</v>
      </c>
      <c r="G53" s="17">
        <v>0</v>
      </c>
      <c r="H53" s="17">
        <v>0</v>
      </c>
      <c r="I53" s="6">
        <v>0</v>
      </c>
      <c r="K53" s="14" t="str">
        <f t="shared" si="6"/>
        <v>[1, 'C1', 2, 2, 0, 0, 0],</v>
      </c>
    </row>
    <row r="54" spans="3:11" x14ac:dyDescent="0.3">
      <c r="C54" s="11">
        <v>2</v>
      </c>
      <c r="D54" s="11" t="s">
        <v>2</v>
      </c>
      <c r="E54" s="6">
        <v>4</v>
      </c>
      <c r="F54" s="5">
        <f t="shared" si="5"/>
        <v>4</v>
      </c>
      <c r="G54" s="17">
        <v>0</v>
      </c>
      <c r="H54" s="17">
        <v>0</v>
      </c>
      <c r="I54" s="6">
        <v>0</v>
      </c>
      <c r="K54" s="14" t="str">
        <f t="shared" si="6"/>
        <v>[2, 'C2', 4, 4, 0, 0, 0],</v>
      </c>
    </row>
    <row r="55" spans="3:11" x14ac:dyDescent="0.3">
      <c r="C55" s="11">
        <v>3</v>
      </c>
      <c r="D55" s="11" t="s">
        <v>4</v>
      </c>
      <c r="E55" s="6">
        <v>14</v>
      </c>
      <c r="F55" s="5">
        <f t="shared" si="5"/>
        <v>0</v>
      </c>
      <c r="G55" s="17" cm="1">
        <f t="array" ref="G55:G63">E55:E63/2</f>
        <v>7</v>
      </c>
      <c r="H55" s="17">
        <v>0</v>
      </c>
      <c r="I55" s="6">
        <v>0</v>
      </c>
      <c r="K55" s="14" t="str">
        <f t="shared" si="6"/>
        <v>[3, 'M1', 14, 0, 7, 0, 0],</v>
      </c>
    </row>
    <row r="56" spans="3:11" x14ac:dyDescent="0.3">
      <c r="C56" s="11">
        <v>4</v>
      </c>
      <c r="D56" s="11" t="s">
        <v>5</v>
      </c>
      <c r="E56" s="6">
        <v>20</v>
      </c>
      <c r="F56" s="5">
        <f t="shared" si="5"/>
        <v>0</v>
      </c>
      <c r="G56" s="17">
        <v>10</v>
      </c>
      <c r="H56" s="17">
        <v>0</v>
      </c>
      <c r="I56" s="6">
        <v>0</v>
      </c>
      <c r="K56" s="14" t="str">
        <f t="shared" si="6"/>
        <v>[4, 'M2', 20, 0, 10, 0, 0],</v>
      </c>
    </row>
    <row r="57" spans="3:11" x14ac:dyDescent="0.3">
      <c r="C57" s="11">
        <v>5</v>
      </c>
      <c r="D57" s="11" t="s">
        <v>6</v>
      </c>
      <c r="E57" s="6">
        <v>14</v>
      </c>
      <c r="F57" s="5">
        <f t="shared" si="5"/>
        <v>0</v>
      </c>
      <c r="G57" s="17">
        <v>7</v>
      </c>
      <c r="H57" s="17">
        <v>0</v>
      </c>
      <c r="I57" s="6">
        <v>0</v>
      </c>
      <c r="K57" s="14" t="str">
        <f t="shared" si="6"/>
        <v>[5, 'M3', 14, 0, 7, 0, 0],</v>
      </c>
    </row>
    <row r="58" spans="3:11" x14ac:dyDescent="0.3">
      <c r="C58" s="11">
        <v>6</v>
      </c>
      <c r="D58" s="11" t="s">
        <v>7</v>
      </c>
      <c r="E58" s="6">
        <v>20</v>
      </c>
      <c r="F58" s="5">
        <f t="shared" si="5"/>
        <v>0</v>
      </c>
      <c r="G58" s="17">
        <v>10</v>
      </c>
      <c r="H58" s="17">
        <v>0</v>
      </c>
      <c r="I58" s="6">
        <v>0</v>
      </c>
      <c r="K58" s="14" t="str">
        <f t="shared" si="6"/>
        <v>[6, 'M4', 20, 0, 10, 0, 0],</v>
      </c>
    </row>
    <row r="59" spans="3:11" x14ac:dyDescent="0.3">
      <c r="C59" s="11">
        <v>7</v>
      </c>
      <c r="D59" s="11" t="s">
        <v>9</v>
      </c>
      <c r="E59" s="6">
        <v>26</v>
      </c>
      <c r="F59" s="5">
        <f t="shared" si="5"/>
        <v>0</v>
      </c>
      <c r="G59" s="17">
        <v>13</v>
      </c>
      <c r="H59" s="17">
        <v>0</v>
      </c>
      <c r="I59" s="6">
        <v>0</v>
      </c>
      <c r="K59" s="14" t="str">
        <f t="shared" si="6"/>
        <v>[7, 'A', 26, 0, 13, 0, 0],</v>
      </c>
    </row>
    <row r="60" spans="3:11" x14ac:dyDescent="0.3">
      <c r="C60" s="11">
        <v>8</v>
      </c>
      <c r="D60" s="11" t="s">
        <v>10</v>
      </c>
      <c r="E60" s="6">
        <v>30</v>
      </c>
      <c r="F60" s="5">
        <f t="shared" si="5"/>
        <v>0</v>
      </c>
      <c r="G60" s="17">
        <v>15</v>
      </c>
      <c r="H60" s="17">
        <v>0</v>
      </c>
      <c r="I60" s="6">
        <v>0</v>
      </c>
      <c r="K60" s="14" t="str">
        <f t="shared" si="6"/>
        <v>[8, 'K', 30, 0, 15, 0, 0],</v>
      </c>
    </row>
    <row r="61" spans="3:11" x14ac:dyDescent="0.3">
      <c r="C61" s="11">
        <v>9</v>
      </c>
      <c r="D61" s="11" t="s">
        <v>11</v>
      </c>
      <c r="E61" s="6">
        <v>20</v>
      </c>
      <c r="F61" s="5">
        <f t="shared" si="5"/>
        <v>0</v>
      </c>
      <c r="G61" s="17">
        <v>10</v>
      </c>
      <c r="H61" s="17">
        <v>0</v>
      </c>
      <c r="I61" s="6">
        <v>0</v>
      </c>
      <c r="K61" s="14" t="str">
        <f t="shared" si="6"/>
        <v>[9, 'Q', 20, 0, 10, 0, 0],</v>
      </c>
    </row>
    <row r="62" spans="3:11" x14ac:dyDescent="0.3">
      <c r="C62" s="11">
        <v>10</v>
      </c>
      <c r="D62" s="11" t="s">
        <v>12</v>
      </c>
      <c r="E62" s="6">
        <v>26</v>
      </c>
      <c r="F62" s="5">
        <f t="shared" si="5"/>
        <v>0</v>
      </c>
      <c r="G62" s="17">
        <v>13</v>
      </c>
      <c r="H62" s="17">
        <v>0</v>
      </c>
      <c r="I62" s="6">
        <v>0</v>
      </c>
      <c r="K62" s="14" t="str">
        <f t="shared" si="6"/>
        <v>[10, 'J', 26, 0, 13, 0, 0],</v>
      </c>
    </row>
    <row r="63" spans="3:11" x14ac:dyDescent="0.3">
      <c r="C63" s="11">
        <v>11</v>
      </c>
      <c r="D63" s="11" t="s">
        <v>13</v>
      </c>
      <c r="E63" s="6">
        <v>24</v>
      </c>
      <c r="F63" s="5">
        <f t="shared" si="5"/>
        <v>0</v>
      </c>
      <c r="G63" s="17">
        <v>12</v>
      </c>
      <c r="H63" s="17">
        <v>0</v>
      </c>
      <c r="I63" s="6">
        <v>0</v>
      </c>
      <c r="K63" s="14" t="str">
        <f t="shared" si="6"/>
        <v>[11, 'TE', 24, 0, 12, 0, 0],</v>
      </c>
    </row>
    <row r="64" spans="3:11" x14ac:dyDescent="0.3">
      <c r="K64" s="14" t="s">
        <v>31</v>
      </c>
    </row>
    <row r="66" spans="3:11" x14ac:dyDescent="0.3">
      <c r="C66" s="3" t="s">
        <v>24</v>
      </c>
    </row>
    <row r="67" spans="3:11" x14ac:dyDescent="0.3">
      <c r="C67" s="2" t="s">
        <v>27</v>
      </c>
      <c r="D67" s="2" t="s">
        <v>26</v>
      </c>
      <c r="E67" s="2" t="s">
        <v>28</v>
      </c>
      <c r="F67" s="2">
        <v>1</v>
      </c>
      <c r="G67" s="2">
        <v>2</v>
      </c>
      <c r="H67" s="2">
        <v>3</v>
      </c>
      <c r="I67" s="2">
        <v>5</v>
      </c>
      <c r="K67" s="14" t="s">
        <v>32</v>
      </c>
    </row>
    <row r="68" spans="3:11" x14ac:dyDescent="0.3">
      <c r="C68" s="10">
        <v>0</v>
      </c>
      <c r="D68" s="10" t="s">
        <v>0</v>
      </c>
      <c r="E68" s="4" cm="1">
        <f t="array" ref="E68:E79">F$3:F$14</f>
        <v>0</v>
      </c>
      <c r="F68" s="5">
        <f t="shared" ref="F68:F79" si="7">E68-SUMPRODUCT($G$19:$I$19,G68:I68)</f>
        <v>0</v>
      </c>
      <c r="G68" s="18">
        <v>0</v>
      </c>
      <c r="H68" s="18">
        <v>0</v>
      </c>
      <c r="I68" s="4">
        <v>0</v>
      </c>
      <c r="K68" s="14" t="str">
        <f t="shared" ref="K68:K79" si="8">"["&amp;C68&amp;", '"&amp;D68&amp;"', "&amp;_xlfn.TEXTJOIN(", ", , E68:I68)&amp;"]"&amp;","</f>
        <v>[0, 'WW', 0, 0, 0, 0, 0],</v>
      </c>
    </row>
    <row r="69" spans="3:11" x14ac:dyDescent="0.3">
      <c r="C69" s="11">
        <v>1</v>
      </c>
      <c r="D69" s="11" t="s">
        <v>1</v>
      </c>
      <c r="E69" s="6">
        <v>4</v>
      </c>
      <c r="F69" s="5">
        <f t="shared" si="7"/>
        <v>4</v>
      </c>
      <c r="G69" s="17">
        <v>0</v>
      </c>
      <c r="H69" s="17">
        <v>0</v>
      </c>
      <c r="I69" s="6">
        <v>0</v>
      </c>
      <c r="K69" s="14" t="str">
        <f t="shared" si="8"/>
        <v>[1, 'C1', 4, 4, 0, 0, 0],</v>
      </c>
    </row>
    <row r="70" spans="3:11" x14ac:dyDescent="0.3">
      <c r="C70" s="11">
        <v>2</v>
      </c>
      <c r="D70" s="11" t="s">
        <v>2</v>
      </c>
      <c r="E70" s="6">
        <v>2</v>
      </c>
      <c r="F70" s="5">
        <f t="shared" si="7"/>
        <v>2</v>
      </c>
      <c r="G70" s="17">
        <v>0</v>
      </c>
      <c r="H70" s="17">
        <v>0</v>
      </c>
      <c r="I70" s="6">
        <v>0</v>
      </c>
      <c r="K70" s="14" t="str">
        <f t="shared" si="8"/>
        <v>[2, 'C2', 2, 2, 0, 0, 0],</v>
      </c>
    </row>
    <row r="71" spans="3:11" x14ac:dyDescent="0.3">
      <c r="C71" s="11">
        <v>3</v>
      </c>
      <c r="D71" s="11" t="s">
        <v>4</v>
      </c>
      <c r="E71" s="6">
        <v>12</v>
      </c>
      <c r="F71" s="5">
        <f t="shared" si="7"/>
        <v>0</v>
      </c>
      <c r="G71" s="17" cm="1">
        <f t="array" ref="G71:G79">E71:E79/2</f>
        <v>6</v>
      </c>
      <c r="H71" s="17">
        <v>0</v>
      </c>
      <c r="I71" s="6">
        <v>0</v>
      </c>
      <c r="K71" s="14" t="str">
        <f t="shared" si="8"/>
        <v>[3, 'M1', 12, 0, 6, 0, 0],</v>
      </c>
    </row>
    <row r="72" spans="3:11" x14ac:dyDescent="0.3">
      <c r="C72" s="11">
        <v>4</v>
      </c>
      <c r="D72" s="11" t="s">
        <v>5</v>
      </c>
      <c r="E72" s="6">
        <v>14</v>
      </c>
      <c r="F72" s="5">
        <f t="shared" si="7"/>
        <v>0</v>
      </c>
      <c r="G72" s="17">
        <v>7</v>
      </c>
      <c r="H72" s="17">
        <v>0</v>
      </c>
      <c r="I72" s="6">
        <v>0</v>
      </c>
      <c r="K72" s="14" t="str">
        <f t="shared" si="8"/>
        <v>[4, 'M2', 14, 0, 7, 0, 0],</v>
      </c>
    </row>
    <row r="73" spans="3:11" x14ac:dyDescent="0.3">
      <c r="C73" s="11">
        <v>5</v>
      </c>
      <c r="D73" s="11" t="s">
        <v>6</v>
      </c>
      <c r="E73" s="6">
        <v>18</v>
      </c>
      <c r="F73" s="5">
        <f t="shared" si="7"/>
        <v>0</v>
      </c>
      <c r="G73" s="17">
        <v>9</v>
      </c>
      <c r="H73" s="17">
        <v>0</v>
      </c>
      <c r="I73" s="6">
        <v>0</v>
      </c>
      <c r="K73" s="14" t="str">
        <f t="shared" si="8"/>
        <v>[5, 'M3', 18, 0, 9, 0, 0],</v>
      </c>
    </row>
    <row r="74" spans="3:11" x14ac:dyDescent="0.3">
      <c r="C74" s="11">
        <v>6</v>
      </c>
      <c r="D74" s="11" t="s">
        <v>7</v>
      </c>
      <c r="E74" s="6">
        <v>22</v>
      </c>
      <c r="F74" s="5">
        <f t="shared" si="7"/>
        <v>0</v>
      </c>
      <c r="G74" s="17">
        <v>11</v>
      </c>
      <c r="H74" s="17">
        <v>0</v>
      </c>
      <c r="I74" s="6">
        <v>0</v>
      </c>
      <c r="K74" s="14" t="str">
        <f t="shared" si="8"/>
        <v>[6, 'M4', 22, 0, 11, 0, 0],</v>
      </c>
    </row>
    <row r="75" spans="3:11" x14ac:dyDescent="0.3">
      <c r="C75" s="11">
        <v>7</v>
      </c>
      <c r="D75" s="11" t="s">
        <v>9</v>
      </c>
      <c r="E75" s="6">
        <v>12</v>
      </c>
      <c r="F75" s="5">
        <f t="shared" si="7"/>
        <v>0</v>
      </c>
      <c r="G75" s="17">
        <v>6</v>
      </c>
      <c r="H75" s="17">
        <v>0</v>
      </c>
      <c r="I75" s="6">
        <v>0</v>
      </c>
      <c r="K75" s="14" t="str">
        <f t="shared" si="8"/>
        <v>[7, 'A', 12, 0, 6, 0, 0],</v>
      </c>
    </row>
    <row r="76" spans="3:11" x14ac:dyDescent="0.3">
      <c r="C76" s="11">
        <v>8</v>
      </c>
      <c r="D76" s="11" t="s">
        <v>10</v>
      </c>
      <c r="E76" s="6">
        <v>12</v>
      </c>
      <c r="F76" s="5">
        <f t="shared" si="7"/>
        <v>0</v>
      </c>
      <c r="G76" s="17">
        <v>6</v>
      </c>
      <c r="H76" s="17">
        <v>0</v>
      </c>
      <c r="I76" s="6">
        <v>0</v>
      </c>
      <c r="K76" s="14" t="str">
        <f t="shared" si="8"/>
        <v>[8, 'K', 12, 0, 6, 0, 0],</v>
      </c>
    </row>
    <row r="77" spans="3:11" x14ac:dyDescent="0.3">
      <c r="C77" s="11">
        <v>9</v>
      </c>
      <c r="D77" s="11" t="s">
        <v>11</v>
      </c>
      <c r="E77" s="6">
        <v>26</v>
      </c>
      <c r="F77" s="5">
        <f t="shared" si="7"/>
        <v>0</v>
      </c>
      <c r="G77" s="17">
        <v>13</v>
      </c>
      <c r="H77" s="17">
        <v>0</v>
      </c>
      <c r="I77" s="6">
        <v>0</v>
      </c>
      <c r="K77" s="14" t="str">
        <f t="shared" si="8"/>
        <v>[9, 'Q', 26, 0, 13, 0, 0],</v>
      </c>
    </row>
    <row r="78" spans="3:11" x14ac:dyDescent="0.3">
      <c r="C78" s="11">
        <v>10</v>
      </c>
      <c r="D78" s="11" t="s">
        <v>12</v>
      </c>
      <c r="E78" s="6">
        <v>36</v>
      </c>
      <c r="F78" s="5">
        <f t="shared" si="7"/>
        <v>0</v>
      </c>
      <c r="G78" s="17">
        <v>18</v>
      </c>
      <c r="H78" s="17">
        <v>0</v>
      </c>
      <c r="I78" s="6">
        <v>0</v>
      </c>
      <c r="K78" s="14" t="str">
        <f t="shared" si="8"/>
        <v>[10, 'J', 36, 0, 18, 0, 0],</v>
      </c>
    </row>
    <row r="79" spans="3:11" x14ac:dyDescent="0.3">
      <c r="C79" s="11">
        <v>11</v>
      </c>
      <c r="D79" s="11" t="s">
        <v>13</v>
      </c>
      <c r="E79" s="6">
        <v>42</v>
      </c>
      <c r="F79" s="5">
        <f t="shared" si="7"/>
        <v>0</v>
      </c>
      <c r="G79" s="17">
        <v>21</v>
      </c>
      <c r="H79" s="17">
        <v>0</v>
      </c>
      <c r="I79" s="6">
        <v>0</v>
      </c>
      <c r="K79" s="14" t="str">
        <f t="shared" si="8"/>
        <v>[11, 'TE', 42, 0, 21, 0, 0],</v>
      </c>
    </row>
    <row r="80" spans="3:11" x14ac:dyDescent="0.3">
      <c r="K80" s="14" t="s">
        <v>31</v>
      </c>
    </row>
    <row r="82" spans="3:11" x14ac:dyDescent="0.3">
      <c r="C82" s="3" t="s">
        <v>23</v>
      </c>
    </row>
    <row r="83" spans="3:11" x14ac:dyDescent="0.3">
      <c r="C83" s="2" t="s">
        <v>27</v>
      </c>
      <c r="D83" s="2" t="s">
        <v>26</v>
      </c>
      <c r="E83" s="2" t="s">
        <v>28</v>
      </c>
      <c r="F83" s="2">
        <v>1</v>
      </c>
      <c r="G83" s="2">
        <v>2</v>
      </c>
      <c r="H83" s="2">
        <v>3</v>
      </c>
      <c r="I83" s="2">
        <v>5</v>
      </c>
      <c r="K83" s="14" t="s">
        <v>32</v>
      </c>
    </row>
    <row r="84" spans="3:11" x14ac:dyDescent="0.3">
      <c r="C84" s="10">
        <v>0</v>
      </c>
      <c r="D84" s="10" t="s">
        <v>0</v>
      </c>
      <c r="E84" s="4" cm="1">
        <f t="array" ref="E84:E95">G$3:G$14</f>
        <v>0</v>
      </c>
      <c r="F84" s="5">
        <f t="shared" ref="F84:F95" si="9">E84-SUMPRODUCT($G$19:$I$19,G84:I84)</f>
        <v>0</v>
      </c>
      <c r="G84" s="18">
        <v>0</v>
      </c>
      <c r="H84" s="18">
        <v>0</v>
      </c>
      <c r="I84" s="4">
        <v>0</v>
      </c>
      <c r="K84" s="14" t="str">
        <f t="shared" ref="K84:K95" si="10">"["&amp;C84&amp;", '"&amp;D84&amp;"', "&amp;_xlfn.TEXTJOIN(", ", , E84:I84)&amp;"]"&amp;","</f>
        <v>[0, 'WW', 0, 0, 0, 0, 0],</v>
      </c>
    </row>
    <row r="85" spans="3:11" x14ac:dyDescent="0.3">
      <c r="C85" s="11">
        <v>1</v>
      </c>
      <c r="D85" s="11" t="s">
        <v>1</v>
      </c>
      <c r="E85" s="6">
        <v>2</v>
      </c>
      <c r="F85" s="5">
        <f t="shared" si="9"/>
        <v>2</v>
      </c>
      <c r="G85" s="17">
        <v>0</v>
      </c>
      <c r="H85" s="17">
        <v>0</v>
      </c>
      <c r="I85" s="6">
        <v>0</v>
      </c>
      <c r="K85" s="14" t="str">
        <f t="shared" si="10"/>
        <v>[1, 'C1', 2, 2, 0, 0, 0],</v>
      </c>
    </row>
    <row r="86" spans="3:11" x14ac:dyDescent="0.3">
      <c r="C86" s="11">
        <v>2</v>
      </c>
      <c r="D86" s="11" t="s">
        <v>2</v>
      </c>
      <c r="E86" s="6">
        <v>4</v>
      </c>
      <c r="F86" s="5">
        <f t="shared" si="9"/>
        <v>4</v>
      </c>
      <c r="G86" s="17">
        <v>0</v>
      </c>
      <c r="H86" s="17">
        <v>0</v>
      </c>
      <c r="I86" s="6">
        <v>0</v>
      </c>
      <c r="K86" s="14" t="str">
        <f t="shared" si="10"/>
        <v>[2, 'C2', 4, 4, 0, 0, 0],</v>
      </c>
    </row>
    <row r="87" spans="3:11" x14ac:dyDescent="0.3">
      <c r="C87" s="11">
        <v>3</v>
      </c>
      <c r="D87" s="11" t="s">
        <v>4</v>
      </c>
      <c r="E87" s="6">
        <v>6</v>
      </c>
      <c r="F87" s="5">
        <f t="shared" si="9"/>
        <v>0</v>
      </c>
      <c r="G87" s="17" cm="1">
        <f t="array" ref="G87:G95">E87:E95/2</f>
        <v>3</v>
      </c>
      <c r="H87" s="17">
        <v>0</v>
      </c>
      <c r="I87" s="6">
        <v>0</v>
      </c>
      <c r="K87" s="14" t="str">
        <f t="shared" si="10"/>
        <v>[3, 'M1', 6, 0, 3, 0, 0],</v>
      </c>
    </row>
    <row r="88" spans="3:11" x14ac:dyDescent="0.3">
      <c r="C88" s="11">
        <v>4</v>
      </c>
      <c r="D88" s="11" t="s">
        <v>5</v>
      </c>
      <c r="E88" s="6">
        <v>14</v>
      </c>
      <c r="F88" s="5">
        <f t="shared" si="9"/>
        <v>0</v>
      </c>
      <c r="G88" s="17">
        <v>7</v>
      </c>
      <c r="H88" s="17">
        <v>0</v>
      </c>
      <c r="I88" s="6">
        <v>0</v>
      </c>
      <c r="K88" s="14" t="str">
        <f t="shared" si="10"/>
        <v>[4, 'M2', 14, 0, 7, 0, 0],</v>
      </c>
    </row>
    <row r="89" spans="3:11" x14ac:dyDescent="0.3">
      <c r="C89" s="11">
        <v>5</v>
      </c>
      <c r="D89" s="11" t="s">
        <v>6</v>
      </c>
      <c r="E89" s="6">
        <v>14</v>
      </c>
      <c r="F89" s="5">
        <f t="shared" si="9"/>
        <v>0</v>
      </c>
      <c r="G89" s="17">
        <v>7</v>
      </c>
      <c r="H89" s="17">
        <v>0</v>
      </c>
      <c r="I89" s="6">
        <v>0</v>
      </c>
      <c r="K89" s="14" t="str">
        <f t="shared" si="10"/>
        <v>[5, 'M3', 14, 0, 7, 0, 0],</v>
      </c>
    </row>
    <row r="90" spans="3:11" x14ac:dyDescent="0.3">
      <c r="C90" s="11">
        <v>6</v>
      </c>
      <c r="D90" s="11" t="s">
        <v>7</v>
      </c>
      <c r="E90" s="6">
        <v>22</v>
      </c>
      <c r="F90" s="5">
        <f t="shared" si="9"/>
        <v>0</v>
      </c>
      <c r="G90" s="17">
        <v>11</v>
      </c>
      <c r="H90" s="17">
        <v>0</v>
      </c>
      <c r="I90" s="6">
        <v>0</v>
      </c>
      <c r="K90" s="14" t="str">
        <f t="shared" si="10"/>
        <v>[6, 'M4', 22, 0, 11, 0, 0],</v>
      </c>
    </row>
    <row r="91" spans="3:11" x14ac:dyDescent="0.3">
      <c r="C91" s="11">
        <v>7</v>
      </c>
      <c r="D91" s="11" t="s">
        <v>9</v>
      </c>
      <c r="E91" s="6">
        <v>16</v>
      </c>
      <c r="F91" s="5">
        <f t="shared" si="9"/>
        <v>0</v>
      </c>
      <c r="G91" s="17">
        <v>8</v>
      </c>
      <c r="H91" s="17">
        <v>0</v>
      </c>
      <c r="I91" s="6">
        <v>0</v>
      </c>
      <c r="K91" s="14" t="str">
        <f t="shared" si="10"/>
        <v>[7, 'A', 16, 0, 8, 0, 0],</v>
      </c>
    </row>
    <row r="92" spans="3:11" x14ac:dyDescent="0.3">
      <c r="C92" s="11">
        <v>8</v>
      </c>
      <c r="D92" s="11" t="s">
        <v>10</v>
      </c>
      <c r="E92" s="6">
        <v>26</v>
      </c>
      <c r="F92" s="5">
        <f t="shared" si="9"/>
        <v>0</v>
      </c>
      <c r="G92" s="17">
        <v>13</v>
      </c>
      <c r="H92" s="17">
        <v>0</v>
      </c>
      <c r="I92" s="6">
        <v>0</v>
      </c>
      <c r="K92" s="14" t="str">
        <f t="shared" si="10"/>
        <v>[8, 'K', 26, 0, 13, 0, 0],</v>
      </c>
    </row>
    <row r="93" spans="3:11" x14ac:dyDescent="0.3">
      <c r="C93" s="11">
        <v>9</v>
      </c>
      <c r="D93" s="11" t="s">
        <v>11</v>
      </c>
      <c r="E93" s="6">
        <v>38</v>
      </c>
      <c r="F93" s="5">
        <f t="shared" si="9"/>
        <v>0</v>
      </c>
      <c r="G93" s="17">
        <v>19</v>
      </c>
      <c r="H93" s="17">
        <v>0</v>
      </c>
      <c r="I93" s="6">
        <v>0</v>
      </c>
      <c r="K93" s="14" t="str">
        <f t="shared" si="10"/>
        <v>[9, 'Q', 38, 0, 19, 0, 0],</v>
      </c>
    </row>
    <row r="94" spans="3:11" x14ac:dyDescent="0.3">
      <c r="C94" s="11">
        <v>10</v>
      </c>
      <c r="D94" s="11" t="s">
        <v>12</v>
      </c>
      <c r="E94" s="6">
        <v>26</v>
      </c>
      <c r="F94" s="5">
        <f t="shared" si="9"/>
        <v>0</v>
      </c>
      <c r="G94" s="17">
        <v>13</v>
      </c>
      <c r="H94" s="17">
        <v>0</v>
      </c>
      <c r="I94" s="6">
        <v>0</v>
      </c>
      <c r="K94" s="14" t="str">
        <f t="shared" si="10"/>
        <v>[10, 'J', 26, 0, 13, 0, 0],</v>
      </c>
    </row>
    <row r="95" spans="3:11" x14ac:dyDescent="0.3">
      <c r="C95" s="11">
        <v>11</v>
      </c>
      <c r="D95" s="11" t="s">
        <v>13</v>
      </c>
      <c r="E95" s="6">
        <v>32</v>
      </c>
      <c r="F95" s="5">
        <f t="shared" si="9"/>
        <v>0</v>
      </c>
      <c r="G95" s="17">
        <v>16</v>
      </c>
      <c r="H95" s="17">
        <v>0</v>
      </c>
      <c r="I95" s="6">
        <v>0</v>
      </c>
      <c r="K95" s="14" t="str">
        <f t="shared" si="10"/>
        <v>[11, 'TE', 32, 0, 16, 0, 0],</v>
      </c>
    </row>
    <row r="96" spans="3:11" x14ac:dyDescent="0.3">
      <c r="K96" s="14" t="s">
        <v>31</v>
      </c>
    </row>
    <row r="98" spans="3:11" x14ac:dyDescent="0.3">
      <c r="C98" s="3" t="s">
        <v>36</v>
      </c>
    </row>
    <row r="99" spans="3:11" x14ac:dyDescent="0.3">
      <c r="C99" s="2" t="s">
        <v>27</v>
      </c>
      <c r="D99" s="2" t="s">
        <v>26</v>
      </c>
      <c r="E99" s="2" t="s">
        <v>28</v>
      </c>
      <c r="F99" s="2">
        <v>1</v>
      </c>
      <c r="G99" s="2">
        <v>2</v>
      </c>
      <c r="H99" s="2">
        <v>3</v>
      </c>
      <c r="I99" s="2">
        <v>5</v>
      </c>
      <c r="K99" s="14" t="s">
        <v>32</v>
      </c>
    </row>
    <row r="100" spans="3:11" x14ac:dyDescent="0.3">
      <c r="C100" s="10">
        <v>0</v>
      </c>
      <c r="D100" s="10" t="s">
        <v>0</v>
      </c>
      <c r="E100" s="4" cm="1">
        <f t="array" ref="E100:E111">H$3:H$14</f>
        <v>0</v>
      </c>
      <c r="F100" s="5">
        <f t="shared" ref="F100:F111" si="11">E100-SUMPRODUCT($G$19:$I$19,G100:I100)</f>
        <v>0</v>
      </c>
      <c r="G100" s="18">
        <v>0</v>
      </c>
      <c r="H100" s="18">
        <v>0</v>
      </c>
      <c r="I100" s="4">
        <v>0</v>
      </c>
      <c r="K100" s="14" t="str">
        <f t="shared" ref="K100:K111" si="12">"["&amp;C100&amp;", '"&amp;D100&amp;"', "&amp;_xlfn.TEXTJOIN(", ", , E100:I100)&amp;"]"&amp;","</f>
        <v>[0, 'WW', 0, 0, 0, 0, 0],</v>
      </c>
    </row>
    <row r="101" spans="3:11" x14ac:dyDescent="0.3">
      <c r="C101" s="11">
        <v>1</v>
      </c>
      <c r="D101" s="11" t="s">
        <v>1</v>
      </c>
      <c r="E101" s="6">
        <v>4</v>
      </c>
      <c r="F101" s="5">
        <f t="shared" si="11"/>
        <v>4</v>
      </c>
      <c r="G101" s="17">
        <v>0</v>
      </c>
      <c r="H101" s="17">
        <v>0</v>
      </c>
      <c r="I101" s="6">
        <v>0</v>
      </c>
      <c r="K101" s="14" t="str">
        <f t="shared" si="12"/>
        <v>[1, 'C1', 4, 4, 0, 0, 0],</v>
      </c>
    </row>
    <row r="102" spans="3:11" x14ac:dyDescent="0.3">
      <c r="C102" s="11">
        <v>2</v>
      </c>
      <c r="D102" s="11" t="s">
        <v>2</v>
      </c>
      <c r="E102" s="6">
        <v>6</v>
      </c>
      <c r="F102" s="5">
        <f t="shared" si="11"/>
        <v>6</v>
      </c>
      <c r="G102" s="17">
        <v>0</v>
      </c>
      <c r="H102" s="17">
        <v>0</v>
      </c>
      <c r="I102" s="6">
        <v>0</v>
      </c>
      <c r="K102" s="14" t="str">
        <f t="shared" si="12"/>
        <v>[2, 'C2', 6, 6, 0, 0, 0],</v>
      </c>
    </row>
    <row r="103" spans="3:11" x14ac:dyDescent="0.3">
      <c r="C103" s="11">
        <v>3</v>
      </c>
      <c r="D103" s="11" t="s">
        <v>4</v>
      </c>
      <c r="E103" s="6">
        <v>8</v>
      </c>
      <c r="F103" s="5">
        <f t="shared" si="11"/>
        <v>0</v>
      </c>
      <c r="G103" s="17" cm="1">
        <f t="array" ref="G103:G111">E103:E111/2</f>
        <v>4</v>
      </c>
      <c r="H103" s="17">
        <v>0</v>
      </c>
      <c r="I103" s="6">
        <v>0</v>
      </c>
      <c r="K103" s="14" t="str">
        <f t="shared" si="12"/>
        <v>[3, 'M1', 8, 0, 4, 0, 0],</v>
      </c>
    </row>
    <row r="104" spans="3:11" x14ac:dyDescent="0.3">
      <c r="C104" s="11">
        <v>4</v>
      </c>
      <c r="D104" s="11" t="s">
        <v>5</v>
      </c>
      <c r="E104" s="6">
        <v>14</v>
      </c>
      <c r="F104" s="5">
        <f t="shared" si="11"/>
        <v>0</v>
      </c>
      <c r="G104" s="17">
        <v>7</v>
      </c>
      <c r="H104" s="17">
        <v>0</v>
      </c>
      <c r="I104" s="6">
        <v>0</v>
      </c>
      <c r="K104" s="14" t="str">
        <f t="shared" si="12"/>
        <v>[4, 'M2', 14, 0, 7, 0, 0],</v>
      </c>
    </row>
    <row r="105" spans="3:11" x14ac:dyDescent="0.3">
      <c r="C105" s="11">
        <v>5</v>
      </c>
      <c r="D105" s="11" t="s">
        <v>6</v>
      </c>
      <c r="E105" s="6">
        <v>12</v>
      </c>
      <c r="F105" s="5">
        <f t="shared" si="11"/>
        <v>0</v>
      </c>
      <c r="G105" s="17">
        <v>6</v>
      </c>
      <c r="H105" s="17">
        <v>0</v>
      </c>
      <c r="I105" s="6">
        <v>0</v>
      </c>
      <c r="K105" s="14" t="str">
        <f t="shared" si="12"/>
        <v>[5, 'M3', 12, 0, 6, 0, 0],</v>
      </c>
    </row>
    <row r="106" spans="3:11" x14ac:dyDescent="0.3">
      <c r="C106" s="11">
        <v>6</v>
      </c>
      <c r="D106" s="11" t="s">
        <v>7</v>
      </c>
      <c r="E106" s="6">
        <v>20</v>
      </c>
      <c r="F106" s="5">
        <f t="shared" si="11"/>
        <v>0</v>
      </c>
      <c r="G106" s="17">
        <v>10</v>
      </c>
      <c r="H106" s="17">
        <v>0</v>
      </c>
      <c r="I106" s="6">
        <v>0</v>
      </c>
      <c r="K106" s="14" t="str">
        <f t="shared" si="12"/>
        <v>[6, 'M4', 20, 0, 10, 0, 0],</v>
      </c>
    </row>
    <row r="107" spans="3:11" x14ac:dyDescent="0.3">
      <c r="C107" s="11">
        <v>7</v>
      </c>
      <c r="D107" s="11" t="s">
        <v>9</v>
      </c>
      <c r="E107" s="6">
        <v>12</v>
      </c>
      <c r="F107" s="5">
        <f t="shared" si="11"/>
        <v>0</v>
      </c>
      <c r="G107" s="17">
        <v>6</v>
      </c>
      <c r="H107" s="17">
        <v>0</v>
      </c>
      <c r="I107" s="6">
        <v>0</v>
      </c>
      <c r="K107" s="14" t="str">
        <f t="shared" si="12"/>
        <v>[7, 'A', 12, 0, 6, 0, 0],</v>
      </c>
    </row>
    <row r="108" spans="3:11" x14ac:dyDescent="0.3">
      <c r="C108" s="11">
        <v>8</v>
      </c>
      <c r="D108" s="11" t="s">
        <v>10</v>
      </c>
      <c r="E108" s="6">
        <v>26</v>
      </c>
      <c r="F108" s="5">
        <f t="shared" si="11"/>
        <v>0</v>
      </c>
      <c r="G108" s="17">
        <v>13</v>
      </c>
      <c r="H108" s="17">
        <v>0</v>
      </c>
      <c r="I108" s="6">
        <v>0</v>
      </c>
      <c r="K108" s="14" t="str">
        <f t="shared" si="12"/>
        <v>[8, 'K', 26, 0, 13, 0, 0],</v>
      </c>
    </row>
    <row r="109" spans="3:11" x14ac:dyDescent="0.3">
      <c r="C109" s="11">
        <v>9</v>
      </c>
      <c r="D109" s="11" t="s">
        <v>11</v>
      </c>
      <c r="E109" s="6">
        <v>38</v>
      </c>
      <c r="F109" s="5">
        <f t="shared" si="11"/>
        <v>0</v>
      </c>
      <c r="G109" s="17">
        <v>19</v>
      </c>
      <c r="H109" s="17">
        <v>0</v>
      </c>
      <c r="I109" s="6">
        <v>0</v>
      </c>
      <c r="K109" s="14" t="str">
        <f t="shared" si="12"/>
        <v>[9, 'Q', 38, 0, 19, 0, 0],</v>
      </c>
    </row>
    <row r="110" spans="3:11" x14ac:dyDescent="0.3">
      <c r="C110" s="11">
        <v>10</v>
      </c>
      <c r="D110" s="11" t="s">
        <v>12</v>
      </c>
      <c r="E110" s="6">
        <v>26</v>
      </c>
      <c r="F110" s="5">
        <f t="shared" si="11"/>
        <v>0</v>
      </c>
      <c r="G110" s="17">
        <v>13</v>
      </c>
      <c r="H110" s="17">
        <v>0</v>
      </c>
      <c r="I110" s="6">
        <v>0</v>
      </c>
      <c r="K110" s="14" t="str">
        <f t="shared" si="12"/>
        <v>[10, 'J', 26, 0, 13, 0, 0],</v>
      </c>
    </row>
    <row r="111" spans="3:11" x14ac:dyDescent="0.3">
      <c r="C111" s="11">
        <v>11</v>
      </c>
      <c r="D111" s="11" t="s">
        <v>13</v>
      </c>
      <c r="E111" s="6">
        <v>34</v>
      </c>
      <c r="F111" s="5">
        <f t="shared" si="11"/>
        <v>0</v>
      </c>
      <c r="G111" s="17">
        <v>17</v>
      </c>
      <c r="H111" s="17">
        <v>0</v>
      </c>
      <c r="I111" s="6">
        <v>0</v>
      </c>
      <c r="K111" s="14" t="str">
        <f t="shared" si="12"/>
        <v>[11, 'TE', 34, 0, 17, 0, 0],</v>
      </c>
    </row>
    <row r="112" spans="3:11" x14ac:dyDescent="0.3">
      <c r="K112" s="14" t="s">
        <v>31</v>
      </c>
    </row>
  </sheetData>
  <phoneticPr fontId="2" type="noConversion"/>
  <conditionalFormatting sqref="B18:R18 N1:R1 B19:J19 B17:J17 L17:R17 B2:R2 B3:B14 B1:H1 B16:R16 I3:R15 B20:M32 B49:R49 B33:R33 B34:B48 M34:R48 B65:R65 B50:B64 L50:R64 B81:R81 B66:B80 L66:R80 B97:R97 B82:B96 L82:R96 B113:R1048576 B98:B112 L98:R112 B15:H15">
    <cfRule type="cellIs" dxfId="138" priority="18" operator="equal">
      <formula>0</formula>
    </cfRule>
  </conditionalFormatting>
  <conditionalFormatting sqref="F19:F33">
    <cfRule type="cellIs" dxfId="137" priority="17" operator="lessThan">
      <formula>0</formula>
    </cfRule>
  </conditionalFormatting>
  <conditionalFormatting sqref="G15">
    <cfRule type="cellIs" dxfId="136" priority="16" operator="equal">
      <formula>0</formula>
    </cfRule>
  </conditionalFormatting>
  <conditionalFormatting sqref="J3:N14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{7A5C7A5B-F615-4A79-8808-ADF3B545AF48}</x14:id>
        </ext>
      </extLst>
    </cfRule>
  </conditionalFormatting>
  <conditionalFormatting sqref="C34:L34 C35:J35 C36:L38 C40:L48 C39:F39 H39:L39">
    <cfRule type="cellIs" dxfId="135" priority="15" operator="equal">
      <formula>0</formula>
    </cfRule>
  </conditionalFormatting>
  <conditionalFormatting sqref="F35:F48">
    <cfRule type="cellIs" dxfId="134" priority="14" operator="lessThan">
      <formula>0</formula>
    </cfRule>
  </conditionalFormatting>
  <conditionalFormatting sqref="C50:K50 C51:J51 C52:K54 C56:K64 C55:F55 H55:K55">
    <cfRule type="cellIs" dxfId="133" priority="13" operator="equal">
      <formula>0</formula>
    </cfRule>
  </conditionalFormatting>
  <conditionalFormatting sqref="F51:F64">
    <cfRule type="cellIs" dxfId="132" priority="12" operator="lessThan">
      <formula>0</formula>
    </cfRule>
  </conditionalFormatting>
  <conditionalFormatting sqref="C66:K66 C67:J67 C68:K70 C72:K80 C71:F71 H71:K71">
    <cfRule type="cellIs" dxfId="131" priority="11" operator="equal">
      <formula>0</formula>
    </cfRule>
  </conditionalFormatting>
  <conditionalFormatting sqref="F67:F80">
    <cfRule type="cellIs" dxfId="130" priority="10" operator="lessThan">
      <formula>0</formula>
    </cfRule>
  </conditionalFormatting>
  <conditionalFormatting sqref="C82:K82 C83:J83 C84:K86 C88:K96 C87:F87 H87:K87">
    <cfRule type="cellIs" dxfId="129" priority="9" operator="equal">
      <formula>0</formula>
    </cfRule>
  </conditionalFormatting>
  <conditionalFormatting sqref="F83:F96">
    <cfRule type="cellIs" dxfId="128" priority="8" operator="lessThan">
      <formula>0</formula>
    </cfRule>
  </conditionalFormatting>
  <conditionalFormatting sqref="C98:K98 C99:J99 C100:K102 C104:K112 C103:F103 H103:K103">
    <cfRule type="cellIs" dxfId="127" priority="7" operator="equal">
      <formula>0</formula>
    </cfRule>
  </conditionalFormatting>
  <conditionalFormatting sqref="F99:F112">
    <cfRule type="cellIs" dxfId="126" priority="6" operator="lessThan">
      <formula>0</formula>
    </cfRule>
  </conditionalFormatting>
  <conditionalFormatting sqref="G39">
    <cfRule type="cellIs" dxfId="125" priority="5" operator="equal">
      <formula>0</formula>
    </cfRule>
  </conditionalFormatting>
  <conditionalFormatting sqref="G55">
    <cfRule type="cellIs" dxfId="124" priority="4" operator="equal">
      <formula>0</formula>
    </cfRule>
  </conditionalFormatting>
  <conditionalFormatting sqref="G71">
    <cfRule type="cellIs" dxfId="123" priority="3" operator="equal">
      <formula>0</formula>
    </cfRule>
  </conditionalFormatting>
  <conditionalFormatting sqref="G87">
    <cfRule type="cellIs" dxfId="122" priority="2" operator="equal">
      <formula>0</formula>
    </cfRule>
  </conditionalFormatting>
  <conditionalFormatting sqref="G103">
    <cfRule type="cellIs" dxfId="121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5C7A5B-F615-4A79-8808-ADF3B545AF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J3:N14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13EF-7758-4E8F-9F77-980C66DFEFBB}">
  <dimension ref="A1:R128"/>
  <sheetViews>
    <sheetView topLeftCell="A24"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19" width="8.6640625" style="3"/>
    <col min="20" max="24" width="7" style="3" customWidth="1"/>
    <col min="25" max="16384" width="8.6640625" style="3"/>
  </cols>
  <sheetData>
    <row r="1" spans="1:18" x14ac:dyDescent="0.3">
      <c r="A1" s="1" t="s">
        <v>33</v>
      </c>
      <c r="B1" s="1">
        <v>8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1</v>
      </c>
      <c r="C4" s="21">
        <v>1</v>
      </c>
      <c r="D4" s="21">
        <v>1</v>
      </c>
      <c r="E4" s="21">
        <v>1</v>
      </c>
      <c r="F4" s="21">
        <v>1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</row>
    <row r="5" spans="1:18" x14ac:dyDescent="0.3">
      <c r="A5" s="1" t="s">
        <v>2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</row>
    <row r="6" spans="1:18" x14ac:dyDescent="0.3">
      <c r="A6" s="1" t="s">
        <v>3</v>
      </c>
      <c r="B6" s="8">
        <v>13</v>
      </c>
      <c r="C6" s="8">
        <v>14</v>
      </c>
      <c r="D6" s="8">
        <v>30</v>
      </c>
      <c r="E6" s="8">
        <v>14</v>
      </c>
      <c r="F6" s="8">
        <v>11</v>
      </c>
      <c r="H6" s="17">
        <v>13</v>
      </c>
      <c r="I6" s="17">
        <v>14</v>
      </c>
      <c r="J6" s="17">
        <v>30</v>
      </c>
      <c r="K6" s="17">
        <v>14</v>
      </c>
      <c r="L6" s="17">
        <v>11</v>
      </c>
      <c r="N6" s="6">
        <v>13</v>
      </c>
      <c r="O6" s="6">
        <v>14</v>
      </c>
      <c r="P6" s="6">
        <v>30</v>
      </c>
      <c r="Q6" s="6">
        <v>14</v>
      </c>
      <c r="R6" s="6">
        <v>11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86</v>
      </c>
      <c r="C8" s="3">
        <v>205</v>
      </c>
      <c r="D8" s="3">
        <v>219</v>
      </c>
      <c r="E8" s="3">
        <v>185</v>
      </c>
      <c r="F8" s="3">
        <v>118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19"/>
      <c r="I20" s="19"/>
      <c r="J20" s="19"/>
      <c r="K20" s="19"/>
      <c r="L20" s="19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1</v>
      </c>
      <c r="C24" s="8">
        <v>1</v>
      </c>
      <c r="D24" s="8">
        <v>1</v>
      </c>
      <c r="E24" s="8">
        <v>1</v>
      </c>
      <c r="F24" s="8">
        <v>1</v>
      </c>
    </row>
    <row r="25" spans="1:12" x14ac:dyDescent="0.3">
      <c r="A25" s="1" t="s">
        <v>2</v>
      </c>
      <c r="B25" s="8">
        <v>0</v>
      </c>
      <c r="C25" s="7">
        <v>0</v>
      </c>
      <c r="D25" s="7">
        <v>0</v>
      </c>
      <c r="E25" s="7">
        <v>0</v>
      </c>
      <c r="F25" s="8">
        <v>0</v>
      </c>
    </row>
    <row r="26" spans="1:12" x14ac:dyDescent="0.3">
      <c r="A26" s="1" t="s">
        <v>3</v>
      </c>
      <c r="B26" s="8">
        <v>13</v>
      </c>
      <c r="C26" s="8">
        <v>14</v>
      </c>
      <c r="D26" s="8">
        <v>30</v>
      </c>
      <c r="E26" s="8">
        <v>14</v>
      </c>
      <c r="F26" s="8">
        <v>11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17</v>
      </c>
      <c r="D27" s="8">
        <v>17</v>
      </c>
      <c r="E27" s="8">
        <v>13</v>
      </c>
      <c r="F27" s="8">
        <v>10</v>
      </c>
    </row>
    <row r="28" spans="1:12" x14ac:dyDescent="0.3">
      <c r="A28" s="1" t="s">
        <v>5</v>
      </c>
      <c r="B28" s="8">
        <v>8</v>
      </c>
      <c r="C28" s="8">
        <v>30</v>
      </c>
      <c r="D28" s="8">
        <v>30</v>
      </c>
      <c r="E28" s="8">
        <v>23</v>
      </c>
      <c r="F28" s="8">
        <v>14</v>
      </c>
    </row>
    <row r="29" spans="1:12" x14ac:dyDescent="0.3">
      <c r="A29" s="1" t="s">
        <v>6</v>
      </c>
      <c r="B29" s="8">
        <v>13</v>
      </c>
      <c r="C29" s="8">
        <v>22</v>
      </c>
      <c r="D29" s="8">
        <v>30</v>
      </c>
      <c r="E29" s="8">
        <v>23</v>
      </c>
      <c r="F29" s="8">
        <v>14</v>
      </c>
    </row>
    <row r="30" spans="1:12" x14ac:dyDescent="0.3">
      <c r="A30" s="1" t="s">
        <v>7</v>
      </c>
      <c r="B30" s="8">
        <v>11</v>
      </c>
      <c r="C30" s="8">
        <v>22</v>
      </c>
      <c r="D30" s="8">
        <v>15</v>
      </c>
      <c r="E30" s="8">
        <v>22</v>
      </c>
      <c r="F30" s="8">
        <v>14</v>
      </c>
    </row>
    <row r="31" spans="1:12" x14ac:dyDescent="0.3">
      <c r="A31" s="1" t="s">
        <v>8</v>
      </c>
      <c r="B31" s="8">
        <v>11</v>
      </c>
      <c r="C31" s="8">
        <v>16</v>
      </c>
      <c r="D31" s="8">
        <v>17</v>
      </c>
      <c r="E31" s="8">
        <v>22</v>
      </c>
      <c r="F31" s="8">
        <v>16</v>
      </c>
    </row>
    <row r="32" spans="1:12" x14ac:dyDescent="0.3">
      <c r="A32" s="1" t="s">
        <v>9</v>
      </c>
      <c r="B32" s="8">
        <v>5</v>
      </c>
      <c r="C32" s="8">
        <v>24</v>
      </c>
      <c r="D32" s="8">
        <v>21</v>
      </c>
      <c r="E32" s="8">
        <v>14</v>
      </c>
      <c r="F32" s="8">
        <v>8</v>
      </c>
    </row>
    <row r="33" spans="1:10" x14ac:dyDescent="0.3">
      <c r="A33" s="1" t="s">
        <v>10</v>
      </c>
      <c r="B33" s="8">
        <v>9</v>
      </c>
      <c r="C33" s="8">
        <v>22</v>
      </c>
      <c r="D33" s="8">
        <v>17</v>
      </c>
      <c r="E33" s="8">
        <v>20</v>
      </c>
      <c r="F33" s="8">
        <v>11</v>
      </c>
    </row>
    <row r="34" spans="1:10" x14ac:dyDescent="0.3">
      <c r="A34" s="1" t="s">
        <v>11</v>
      </c>
      <c r="B34" s="8">
        <v>8</v>
      </c>
      <c r="C34" s="8">
        <v>16</v>
      </c>
      <c r="D34" s="8">
        <v>21</v>
      </c>
      <c r="E34" s="8">
        <v>14</v>
      </c>
      <c r="F34" s="8">
        <v>8</v>
      </c>
    </row>
    <row r="35" spans="1:10" x14ac:dyDescent="0.3">
      <c r="A35" s="1" t="s">
        <v>12</v>
      </c>
      <c r="B35" s="8">
        <v>9</v>
      </c>
      <c r="C35" s="8">
        <v>16</v>
      </c>
      <c r="D35" s="8">
        <v>23</v>
      </c>
      <c r="E35" s="8">
        <v>22</v>
      </c>
      <c r="F35" s="8">
        <v>11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6</v>
      </c>
      <c r="C36" s="8">
        <v>14</v>
      </c>
      <c r="D36" s="8">
        <v>22</v>
      </c>
      <c r="E36" s="8">
        <v>9</v>
      </c>
      <c r="F36" s="8">
        <v>9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1</v>
      </c>
      <c r="E43" s="5">
        <f t="shared" si="0"/>
        <v>1</v>
      </c>
      <c r="F43" s="17">
        <v>0</v>
      </c>
      <c r="G43" s="17">
        <v>0</v>
      </c>
      <c r="H43" s="6">
        <v>0</v>
      </c>
      <c r="J43" s="14" t="str">
        <f t="shared" si="1"/>
        <v>[10, 'C1', 1, 1,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13</v>
      </c>
      <c r="E45" s="5">
        <f t="shared" si="0"/>
        <v>13</v>
      </c>
      <c r="F45" s="17">
        <v>0</v>
      </c>
      <c r="G45" s="17">
        <v>0</v>
      </c>
      <c r="H45" s="6">
        <v>0</v>
      </c>
      <c r="J45" s="14" t="str">
        <f t="shared" si="1"/>
        <v>[12, 'C3', 13, 13,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13</v>
      </c>
      <c r="E48" s="5">
        <f t="shared" si="0"/>
        <v>0</v>
      </c>
      <c r="F48" s="17">
        <v>5</v>
      </c>
      <c r="G48" s="17">
        <v>1</v>
      </c>
      <c r="H48" s="6">
        <v>0</v>
      </c>
      <c r="J48" s="14" t="str">
        <f t="shared" si="1"/>
        <v>[22, 'M3', 13, 0, 5, 1, 0],</v>
      </c>
    </row>
    <row r="49" spans="1:10" x14ac:dyDescent="0.3">
      <c r="B49" s="11">
        <v>23</v>
      </c>
      <c r="C49" s="11" t="s">
        <v>7</v>
      </c>
      <c r="D49" s="6">
        <v>11</v>
      </c>
      <c r="E49" s="5">
        <f t="shared" si="0"/>
        <v>0</v>
      </c>
      <c r="F49" s="17">
        <v>4</v>
      </c>
      <c r="G49" s="17">
        <v>1</v>
      </c>
      <c r="H49" s="6">
        <v>0</v>
      </c>
      <c r="J49" s="14" t="str">
        <f t="shared" si="1"/>
        <v>[23, 'M4', 11, 0, 4, 1, 0],</v>
      </c>
    </row>
    <row r="50" spans="1:10" x14ac:dyDescent="0.3">
      <c r="A50" s="3"/>
      <c r="B50" s="11">
        <v>24</v>
      </c>
      <c r="C50" s="11" t="s">
        <v>8</v>
      </c>
      <c r="D50" s="6">
        <v>11</v>
      </c>
      <c r="E50" s="5">
        <f t="shared" si="0"/>
        <v>0</v>
      </c>
      <c r="F50" s="17">
        <v>4</v>
      </c>
      <c r="G50" s="17">
        <v>1</v>
      </c>
      <c r="H50" s="6">
        <v>0</v>
      </c>
      <c r="J50" s="14" t="str">
        <f t="shared" si="1"/>
        <v>[24, 'M5', 11, 0, 4, 1,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9</v>
      </c>
      <c r="E52" s="5">
        <f t="shared" si="0"/>
        <v>9</v>
      </c>
      <c r="F52" s="17">
        <v>0</v>
      </c>
      <c r="G52" s="17">
        <v>0</v>
      </c>
      <c r="H52" s="6">
        <v>0</v>
      </c>
      <c r="J52" s="14" t="str">
        <f t="shared" si="1"/>
        <v>[31, 'K', 9, 9, 0, 0, 0],</v>
      </c>
    </row>
    <row r="53" spans="1:10" x14ac:dyDescent="0.3">
      <c r="A53" s="3"/>
      <c r="B53" s="11">
        <v>32</v>
      </c>
      <c r="C53" s="11" t="s">
        <v>11</v>
      </c>
      <c r="D53" s="6">
        <v>8</v>
      </c>
      <c r="E53" s="5">
        <f t="shared" si="0"/>
        <v>8</v>
      </c>
      <c r="F53" s="17">
        <v>0</v>
      </c>
      <c r="G53" s="17">
        <v>0</v>
      </c>
      <c r="H53" s="6">
        <v>0</v>
      </c>
      <c r="J53" s="14" t="str">
        <f t="shared" si="1"/>
        <v>[32, 'Q', 8, 8, 0, 0, 0],</v>
      </c>
    </row>
    <row r="54" spans="1:10" x14ac:dyDescent="0.3">
      <c r="A54" s="3"/>
      <c r="B54" s="11">
        <v>33</v>
      </c>
      <c r="C54" s="11" t="s">
        <v>12</v>
      </c>
      <c r="D54" s="6">
        <v>9</v>
      </c>
      <c r="E54" s="5">
        <f t="shared" si="0"/>
        <v>9</v>
      </c>
      <c r="F54" s="17">
        <v>0</v>
      </c>
      <c r="G54" s="17">
        <v>0</v>
      </c>
      <c r="H54" s="6">
        <v>0</v>
      </c>
      <c r="J54" s="14" t="str">
        <f t="shared" si="1"/>
        <v>[33, 'J', 9, 9, 0, 0, 0],</v>
      </c>
    </row>
    <row r="55" spans="1:10" x14ac:dyDescent="0.3">
      <c r="A55" s="3"/>
      <c r="B55" s="11">
        <v>34</v>
      </c>
      <c r="C55" s="11" t="s">
        <v>13</v>
      </c>
      <c r="D55" s="6">
        <v>6</v>
      </c>
      <c r="E55" s="5">
        <f t="shared" si="0"/>
        <v>6</v>
      </c>
      <c r="F55" s="17">
        <v>0</v>
      </c>
      <c r="G55" s="17">
        <v>0</v>
      </c>
      <c r="H55" s="6">
        <v>0</v>
      </c>
      <c r="J55" s="14" t="str">
        <f t="shared" si="1"/>
        <v>[34, 'TE', 6, 6,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1</v>
      </c>
      <c r="E61" s="5">
        <f t="shared" si="2"/>
        <v>1</v>
      </c>
      <c r="F61" s="17">
        <v>0</v>
      </c>
      <c r="G61" s="17">
        <v>0</v>
      </c>
      <c r="H61" s="6">
        <v>0</v>
      </c>
      <c r="J61" s="14" t="str">
        <f t="shared" si="3"/>
        <v>[10, 'C1', 1, 1, 0, 0, 0],</v>
      </c>
    </row>
    <row r="62" spans="1:10" x14ac:dyDescent="0.3">
      <c r="A62" s="3"/>
      <c r="B62" s="11">
        <v>11</v>
      </c>
      <c r="C62" s="11" t="s">
        <v>2</v>
      </c>
      <c r="D62" s="6">
        <v>0</v>
      </c>
      <c r="E62" s="5">
        <f t="shared" si="2"/>
        <v>0</v>
      </c>
      <c r="F62" s="17">
        <v>0</v>
      </c>
      <c r="G62" s="17">
        <v>0</v>
      </c>
      <c r="H62" s="6">
        <v>0</v>
      </c>
      <c r="J62" s="14" t="str">
        <f t="shared" si="3"/>
        <v>[11, 'C2', 0, 0, 0, 0, 0],</v>
      </c>
    </row>
    <row r="63" spans="1:10" x14ac:dyDescent="0.3">
      <c r="A63" s="3"/>
      <c r="B63" s="11">
        <v>12</v>
      </c>
      <c r="C63" s="11" t="s">
        <v>3</v>
      </c>
      <c r="D63" s="6">
        <v>14</v>
      </c>
      <c r="E63" s="5">
        <f t="shared" si="2"/>
        <v>14</v>
      </c>
      <c r="F63" s="17">
        <v>0</v>
      </c>
      <c r="G63" s="17">
        <v>0</v>
      </c>
      <c r="H63" s="6">
        <v>0</v>
      </c>
      <c r="J63" s="14" t="str">
        <f t="shared" si="3"/>
        <v>[12, 'C3', 14, 14, 0, 0, 0],</v>
      </c>
    </row>
    <row r="64" spans="1:10" x14ac:dyDescent="0.3">
      <c r="A64" s="3"/>
      <c r="B64" s="11">
        <v>20</v>
      </c>
      <c r="C64" s="11" t="s">
        <v>4</v>
      </c>
      <c r="D64" s="6">
        <v>17</v>
      </c>
      <c r="E64" s="5">
        <f t="shared" si="2"/>
        <v>0</v>
      </c>
      <c r="F64" s="17">
        <v>4</v>
      </c>
      <c r="G64" s="17">
        <v>3</v>
      </c>
      <c r="H64" s="6">
        <v>0</v>
      </c>
      <c r="J64" s="14" t="str">
        <f t="shared" si="3"/>
        <v>[20, 'M1', 17, 0, 4, 3, 0],</v>
      </c>
    </row>
    <row r="65" spans="1:10" x14ac:dyDescent="0.3">
      <c r="A65" s="3"/>
      <c r="B65" s="11">
        <v>21</v>
      </c>
      <c r="C65" s="11" t="s">
        <v>5</v>
      </c>
      <c r="D65" s="6">
        <v>30</v>
      </c>
      <c r="E65" s="5">
        <f t="shared" si="2"/>
        <v>0</v>
      </c>
      <c r="F65" s="17">
        <v>9</v>
      </c>
      <c r="G65" s="17">
        <v>4</v>
      </c>
      <c r="H65" s="6">
        <v>0</v>
      </c>
      <c r="J65" s="14" t="str">
        <f t="shared" si="3"/>
        <v>[21, 'M2', 30, 0, 9, 4,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14</v>
      </c>
      <c r="E73" s="5">
        <f t="shared" si="2"/>
        <v>14</v>
      </c>
      <c r="F73" s="17">
        <v>0</v>
      </c>
      <c r="G73" s="17">
        <v>0</v>
      </c>
      <c r="H73" s="6">
        <v>0</v>
      </c>
      <c r="J73" s="14" t="str">
        <f t="shared" si="3"/>
        <v>[34, 'TE', 14, 14,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1</v>
      </c>
      <c r="E79" s="5">
        <f t="shared" si="4"/>
        <v>1</v>
      </c>
      <c r="F79" s="17">
        <v>0</v>
      </c>
      <c r="G79" s="17">
        <v>0</v>
      </c>
      <c r="H79" s="6">
        <v>0</v>
      </c>
      <c r="J79" s="14" t="str">
        <f t="shared" si="5"/>
        <v>[10, 'C1', 1, 1, 0, 0, 0],</v>
      </c>
    </row>
    <row r="80" spans="1:10" x14ac:dyDescent="0.3">
      <c r="A80" s="3"/>
      <c r="B80" s="11">
        <v>11</v>
      </c>
      <c r="C80" s="11" t="s">
        <v>2</v>
      </c>
      <c r="D80" s="6">
        <v>0</v>
      </c>
      <c r="E80" s="5">
        <f t="shared" si="4"/>
        <v>0</v>
      </c>
      <c r="F80" s="17">
        <v>0</v>
      </c>
      <c r="G80" s="17">
        <v>0</v>
      </c>
      <c r="H80" s="6">
        <v>0</v>
      </c>
      <c r="J80" s="14" t="str">
        <f t="shared" si="5"/>
        <v>[11, 'C2', 0, 0, 0, 0, 0],</v>
      </c>
    </row>
    <row r="81" spans="1:10" x14ac:dyDescent="0.3">
      <c r="A81" s="3"/>
      <c r="B81" s="11">
        <v>12</v>
      </c>
      <c r="C81" s="11" t="s">
        <v>3</v>
      </c>
      <c r="D81" s="6">
        <v>30</v>
      </c>
      <c r="E81" s="5">
        <f t="shared" si="4"/>
        <v>30</v>
      </c>
      <c r="F81" s="17">
        <v>0</v>
      </c>
      <c r="G81" s="17">
        <v>0</v>
      </c>
      <c r="H81" s="6">
        <v>0</v>
      </c>
      <c r="J81" s="14" t="str">
        <f t="shared" si="5"/>
        <v>[12, 'C3', 30, 30, 0, 0, 0],</v>
      </c>
    </row>
    <row r="82" spans="1:10" x14ac:dyDescent="0.3">
      <c r="A82" s="3"/>
      <c r="B82" s="11">
        <v>20</v>
      </c>
      <c r="C82" s="11" t="s">
        <v>4</v>
      </c>
      <c r="D82" s="6">
        <v>17</v>
      </c>
      <c r="E82" s="5">
        <f t="shared" si="4"/>
        <v>0</v>
      </c>
      <c r="F82" s="17">
        <v>4</v>
      </c>
      <c r="G82" s="17">
        <v>3</v>
      </c>
      <c r="H82" s="6">
        <v>0</v>
      </c>
      <c r="J82" s="14" t="str">
        <f t="shared" si="5"/>
        <v>[20, 'M1', 17, 0, 4, 3, 0],</v>
      </c>
    </row>
    <row r="83" spans="1:10" x14ac:dyDescent="0.3">
      <c r="A83" s="3"/>
      <c r="B83" s="11">
        <v>21</v>
      </c>
      <c r="C83" s="11" t="s">
        <v>5</v>
      </c>
      <c r="D83" s="6">
        <v>30</v>
      </c>
      <c r="E83" s="5">
        <f t="shared" si="4"/>
        <v>0</v>
      </c>
      <c r="F83" s="17">
        <v>9</v>
      </c>
      <c r="G83" s="17">
        <v>4</v>
      </c>
      <c r="H83" s="6">
        <v>0</v>
      </c>
      <c r="J83" s="14" t="str">
        <f t="shared" si="5"/>
        <v>[21, 'M2', 30, 0, 9, 4, 0],</v>
      </c>
    </row>
    <row r="84" spans="1:10" x14ac:dyDescent="0.3">
      <c r="A84" s="3"/>
      <c r="B84" s="11">
        <v>22</v>
      </c>
      <c r="C84" s="11" t="s">
        <v>6</v>
      </c>
      <c r="D84" s="6">
        <v>30</v>
      </c>
      <c r="E84" s="5">
        <f t="shared" si="4"/>
        <v>0</v>
      </c>
      <c r="F84" s="17">
        <v>9</v>
      </c>
      <c r="G84" s="17">
        <v>4</v>
      </c>
      <c r="H84" s="6">
        <v>0</v>
      </c>
      <c r="J84" s="14" t="str">
        <f t="shared" si="5"/>
        <v>[22, 'M3', 30, 0, 9, 4, 0],</v>
      </c>
    </row>
    <row r="85" spans="1:10" x14ac:dyDescent="0.3">
      <c r="A85" s="3"/>
      <c r="B85" s="11">
        <v>23</v>
      </c>
      <c r="C85" s="11" t="s">
        <v>7</v>
      </c>
      <c r="D85" s="6">
        <v>15</v>
      </c>
      <c r="E85" s="5">
        <f t="shared" si="4"/>
        <v>0</v>
      </c>
      <c r="F85" s="17">
        <v>3</v>
      </c>
      <c r="G85" s="17">
        <v>3</v>
      </c>
      <c r="H85" s="6">
        <v>0</v>
      </c>
      <c r="J85" s="14" t="str">
        <f t="shared" si="5"/>
        <v>[23, 'M4', 15, 0, 3, 3, 0],</v>
      </c>
    </row>
    <row r="86" spans="1:10" x14ac:dyDescent="0.3">
      <c r="A86" s="3"/>
      <c r="B86" s="11">
        <v>24</v>
      </c>
      <c r="C86" s="11" t="s">
        <v>8</v>
      </c>
      <c r="D86" s="6">
        <v>17</v>
      </c>
      <c r="E86" s="5">
        <f t="shared" si="4"/>
        <v>0</v>
      </c>
      <c r="F86" s="17">
        <v>4</v>
      </c>
      <c r="G86" s="17">
        <v>3</v>
      </c>
      <c r="H86" s="6">
        <v>0</v>
      </c>
      <c r="J86" s="14" t="str">
        <f t="shared" si="5"/>
        <v>[24, 'M5', 17, 0, 4, 3, 0],</v>
      </c>
    </row>
    <row r="87" spans="1:10" x14ac:dyDescent="0.3">
      <c r="A87" s="3"/>
      <c r="B87" s="11">
        <v>30</v>
      </c>
      <c r="C87" s="11" t="s">
        <v>9</v>
      </c>
      <c r="D87" s="6">
        <v>21</v>
      </c>
      <c r="E87" s="5">
        <f t="shared" si="4"/>
        <v>21</v>
      </c>
      <c r="F87" s="17">
        <v>0</v>
      </c>
      <c r="G87" s="17">
        <v>0</v>
      </c>
      <c r="H87" s="6">
        <v>0</v>
      </c>
      <c r="J87" s="14" t="str">
        <f t="shared" si="5"/>
        <v>[30, 'A', 21, 21, 0, 0, 0],</v>
      </c>
    </row>
    <row r="88" spans="1:10" x14ac:dyDescent="0.3">
      <c r="A88" s="3"/>
      <c r="B88" s="11">
        <v>31</v>
      </c>
      <c r="C88" s="11" t="s">
        <v>10</v>
      </c>
      <c r="D88" s="6">
        <v>17</v>
      </c>
      <c r="E88" s="5">
        <f t="shared" si="4"/>
        <v>17</v>
      </c>
      <c r="F88" s="17">
        <v>0</v>
      </c>
      <c r="G88" s="17">
        <v>0</v>
      </c>
      <c r="H88" s="6">
        <v>0</v>
      </c>
      <c r="J88" s="14" t="str">
        <f t="shared" si="5"/>
        <v>[31, 'K', 17, 17, 0, 0, 0],</v>
      </c>
    </row>
    <row r="89" spans="1:10" x14ac:dyDescent="0.3">
      <c r="A89" s="3"/>
      <c r="B89" s="11">
        <v>32</v>
      </c>
      <c r="C89" s="11" t="s">
        <v>11</v>
      </c>
      <c r="D89" s="6">
        <v>21</v>
      </c>
      <c r="E89" s="5">
        <f t="shared" si="4"/>
        <v>21</v>
      </c>
      <c r="F89" s="17">
        <v>0</v>
      </c>
      <c r="G89" s="17">
        <v>0</v>
      </c>
      <c r="H89" s="6">
        <v>0</v>
      </c>
      <c r="J89" s="14" t="str">
        <f t="shared" si="5"/>
        <v>[32, 'Q', 21, 21, 0, 0, 0],</v>
      </c>
    </row>
    <row r="90" spans="1:10" x14ac:dyDescent="0.3">
      <c r="A90" s="3"/>
      <c r="B90" s="11">
        <v>33</v>
      </c>
      <c r="C90" s="11" t="s">
        <v>12</v>
      </c>
      <c r="D90" s="6">
        <v>23</v>
      </c>
      <c r="E90" s="5">
        <f t="shared" si="4"/>
        <v>23</v>
      </c>
      <c r="F90" s="17">
        <v>0</v>
      </c>
      <c r="G90" s="17">
        <v>0</v>
      </c>
      <c r="H90" s="6">
        <v>0</v>
      </c>
      <c r="J90" s="14" t="str">
        <f t="shared" si="5"/>
        <v>[33, 'J', 23, 23, 0, 0, 0],</v>
      </c>
    </row>
    <row r="91" spans="1:10" x14ac:dyDescent="0.3">
      <c r="A91" s="3"/>
      <c r="B91" s="11">
        <v>34</v>
      </c>
      <c r="C91" s="11" t="s">
        <v>13</v>
      </c>
      <c r="D91" s="6">
        <v>22</v>
      </c>
      <c r="E91" s="5">
        <f t="shared" si="4"/>
        <v>22</v>
      </c>
      <c r="F91" s="17">
        <v>0</v>
      </c>
      <c r="G91" s="17">
        <v>0</v>
      </c>
      <c r="H91" s="6">
        <v>0</v>
      </c>
      <c r="J91" s="14" t="str">
        <f t="shared" si="5"/>
        <v>[34, 'TE', 22, 22,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1</v>
      </c>
      <c r="E97" s="5">
        <f t="shared" si="6"/>
        <v>1</v>
      </c>
      <c r="F97" s="17">
        <v>0</v>
      </c>
      <c r="G97" s="17">
        <v>0</v>
      </c>
      <c r="H97" s="6">
        <v>0</v>
      </c>
      <c r="J97" s="14" t="str">
        <f t="shared" si="7"/>
        <v>[10, 'C1', 1, 1, 0, 0, 0],</v>
      </c>
    </row>
    <row r="98" spans="1:10" x14ac:dyDescent="0.3">
      <c r="A98" s="3"/>
      <c r="B98" s="11">
        <v>11</v>
      </c>
      <c r="C98" s="11" t="s">
        <v>2</v>
      </c>
      <c r="D98" s="6">
        <v>0</v>
      </c>
      <c r="E98" s="5">
        <f t="shared" si="6"/>
        <v>0</v>
      </c>
      <c r="F98" s="17">
        <v>0</v>
      </c>
      <c r="G98" s="17">
        <v>0</v>
      </c>
      <c r="H98" s="6">
        <v>0</v>
      </c>
      <c r="J98" s="14" t="str">
        <f t="shared" si="7"/>
        <v>[11, 'C2', 0, 0, 0, 0, 0],</v>
      </c>
    </row>
    <row r="99" spans="1:10" x14ac:dyDescent="0.3">
      <c r="A99" s="3"/>
      <c r="B99" s="11">
        <v>12</v>
      </c>
      <c r="C99" s="11" t="s">
        <v>3</v>
      </c>
      <c r="D99" s="6">
        <v>14</v>
      </c>
      <c r="E99" s="5">
        <f t="shared" si="6"/>
        <v>14</v>
      </c>
      <c r="F99" s="17">
        <v>0</v>
      </c>
      <c r="G99" s="17">
        <v>0</v>
      </c>
      <c r="H99" s="6">
        <v>0</v>
      </c>
      <c r="J99" s="14" t="str">
        <f t="shared" si="7"/>
        <v>[12, 'C3', 14, 14, 0, 0, 0],</v>
      </c>
    </row>
    <row r="100" spans="1:10" x14ac:dyDescent="0.3">
      <c r="A100" s="3"/>
      <c r="B100" s="11">
        <v>20</v>
      </c>
      <c r="C100" s="11" t="s">
        <v>4</v>
      </c>
      <c r="D100" s="6">
        <v>13</v>
      </c>
      <c r="E100" s="5">
        <f t="shared" si="6"/>
        <v>0</v>
      </c>
      <c r="F100" s="17">
        <v>5</v>
      </c>
      <c r="G100" s="17">
        <v>1</v>
      </c>
      <c r="H100" s="6">
        <v>0</v>
      </c>
      <c r="J100" s="14" t="str">
        <f t="shared" si="7"/>
        <v>[20, 'M1', 13, 0, 5, 1, 0],</v>
      </c>
    </row>
    <row r="101" spans="1:10" x14ac:dyDescent="0.3">
      <c r="A101" s="3"/>
      <c r="B101" s="11">
        <v>21</v>
      </c>
      <c r="C101" s="11" t="s">
        <v>5</v>
      </c>
      <c r="D101" s="6">
        <v>23</v>
      </c>
      <c r="E101" s="5">
        <f t="shared" si="6"/>
        <v>0</v>
      </c>
      <c r="F101" s="17">
        <v>10</v>
      </c>
      <c r="G101" s="17">
        <v>1</v>
      </c>
      <c r="H101" s="6">
        <v>0</v>
      </c>
      <c r="J101" s="14" t="str">
        <f t="shared" si="7"/>
        <v>[21, 'M2', 23, 0, 10, 1, 0],</v>
      </c>
    </row>
    <row r="102" spans="1:10" x14ac:dyDescent="0.3">
      <c r="A102" s="3"/>
      <c r="B102" s="11">
        <v>22</v>
      </c>
      <c r="C102" s="11" t="s">
        <v>6</v>
      </c>
      <c r="D102" s="6">
        <v>23</v>
      </c>
      <c r="E102" s="5">
        <f t="shared" si="6"/>
        <v>0</v>
      </c>
      <c r="F102" s="17">
        <v>10</v>
      </c>
      <c r="G102" s="17">
        <v>1</v>
      </c>
      <c r="H102" s="6">
        <v>0</v>
      </c>
      <c r="J102" s="14" t="str">
        <f t="shared" si="7"/>
        <v>[22, 'M3', 23, 0, 10, 1, 0],</v>
      </c>
    </row>
    <row r="103" spans="1:10" x14ac:dyDescent="0.3">
      <c r="A103" s="3"/>
      <c r="B103" s="11">
        <v>23</v>
      </c>
      <c r="C103" s="11" t="s">
        <v>7</v>
      </c>
      <c r="D103" s="6">
        <v>22</v>
      </c>
      <c r="E103" s="5">
        <f t="shared" si="6"/>
        <v>0</v>
      </c>
      <c r="F103" s="17">
        <v>8</v>
      </c>
      <c r="G103" s="17">
        <v>2</v>
      </c>
      <c r="H103" s="6">
        <v>0</v>
      </c>
      <c r="J103" s="14" t="str">
        <f t="shared" si="7"/>
        <v>[23, 'M4', 22, 0, 8, 2, 0],</v>
      </c>
    </row>
    <row r="104" spans="1:10" x14ac:dyDescent="0.3">
      <c r="A104" s="3"/>
      <c r="B104" s="11">
        <v>24</v>
      </c>
      <c r="C104" s="11" t="s">
        <v>8</v>
      </c>
      <c r="D104" s="6">
        <v>22</v>
      </c>
      <c r="E104" s="5">
        <f t="shared" si="6"/>
        <v>0</v>
      </c>
      <c r="F104" s="17">
        <v>8</v>
      </c>
      <c r="G104" s="17">
        <v>2</v>
      </c>
      <c r="H104" s="6">
        <v>0</v>
      </c>
      <c r="J104" s="14" t="str">
        <f t="shared" si="7"/>
        <v>[24, 'M5', 22, 0, 8, 2, 0],</v>
      </c>
    </row>
    <row r="105" spans="1:10" x14ac:dyDescent="0.3">
      <c r="A105" s="3"/>
      <c r="B105" s="11">
        <v>30</v>
      </c>
      <c r="C105" s="11" t="s">
        <v>9</v>
      </c>
      <c r="D105" s="6">
        <v>14</v>
      </c>
      <c r="E105" s="5">
        <f t="shared" si="6"/>
        <v>14</v>
      </c>
      <c r="F105" s="17">
        <v>0</v>
      </c>
      <c r="G105" s="17">
        <v>0</v>
      </c>
      <c r="H105" s="6">
        <v>0</v>
      </c>
      <c r="J105" s="14" t="str">
        <f t="shared" si="7"/>
        <v>[30, 'A', 14, 14, 0, 0, 0],</v>
      </c>
    </row>
    <row r="106" spans="1:10" x14ac:dyDescent="0.3">
      <c r="A106" s="3"/>
      <c r="B106" s="11">
        <v>31</v>
      </c>
      <c r="C106" s="11" t="s">
        <v>10</v>
      </c>
      <c r="D106" s="6">
        <v>20</v>
      </c>
      <c r="E106" s="5">
        <f t="shared" si="6"/>
        <v>20</v>
      </c>
      <c r="F106" s="17">
        <v>0</v>
      </c>
      <c r="G106" s="17">
        <v>0</v>
      </c>
      <c r="H106" s="6">
        <v>0</v>
      </c>
      <c r="J106" s="14" t="str">
        <f t="shared" si="7"/>
        <v>[31, 'K', 20, 20, 0, 0, 0],</v>
      </c>
    </row>
    <row r="107" spans="1:10" x14ac:dyDescent="0.3">
      <c r="A107" s="3"/>
      <c r="B107" s="11">
        <v>32</v>
      </c>
      <c r="C107" s="11" t="s">
        <v>11</v>
      </c>
      <c r="D107" s="6">
        <v>14</v>
      </c>
      <c r="E107" s="5">
        <f t="shared" si="6"/>
        <v>14</v>
      </c>
      <c r="F107" s="17">
        <v>0</v>
      </c>
      <c r="G107" s="17">
        <v>0</v>
      </c>
      <c r="H107" s="6">
        <v>0</v>
      </c>
      <c r="J107" s="14" t="str">
        <f t="shared" si="7"/>
        <v>[32, 'Q', 14, 14, 0, 0, 0],</v>
      </c>
    </row>
    <row r="108" spans="1:10" x14ac:dyDescent="0.3">
      <c r="A108" s="3"/>
      <c r="B108" s="11">
        <v>33</v>
      </c>
      <c r="C108" s="11" t="s">
        <v>12</v>
      </c>
      <c r="D108" s="6">
        <v>22</v>
      </c>
      <c r="E108" s="5">
        <f t="shared" si="6"/>
        <v>22</v>
      </c>
      <c r="F108" s="17">
        <v>0</v>
      </c>
      <c r="G108" s="17">
        <v>0</v>
      </c>
      <c r="H108" s="6">
        <v>0</v>
      </c>
      <c r="J108" s="14" t="str">
        <f t="shared" si="7"/>
        <v>[33, 'J', 22, 22, 0, 0, 0],</v>
      </c>
    </row>
    <row r="109" spans="1:10" x14ac:dyDescent="0.3">
      <c r="A109" s="3"/>
      <c r="B109" s="11">
        <v>34</v>
      </c>
      <c r="C109" s="11" t="s">
        <v>13</v>
      </c>
      <c r="D109" s="6">
        <v>9</v>
      </c>
      <c r="E109" s="5">
        <f t="shared" si="6"/>
        <v>9</v>
      </c>
      <c r="F109" s="17">
        <v>0</v>
      </c>
      <c r="G109" s="17">
        <v>0</v>
      </c>
      <c r="H109" s="6">
        <v>0</v>
      </c>
      <c r="J109" s="14" t="str">
        <f t="shared" si="7"/>
        <v>[34, 'TE', 9, 9,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1</v>
      </c>
      <c r="E115" s="5">
        <f t="shared" si="8"/>
        <v>1</v>
      </c>
      <c r="F115" s="17">
        <v>0</v>
      </c>
      <c r="G115" s="17">
        <v>0</v>
      </c>
      <c r="H115" s="6">
        <v>0</v>
      </c>
      <c r="J115" s="14" t="str">
        <f t="shared" si="9"/>
        <v>[10, 'C1', 1, 1,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11</v>
      </c>
      <c r="E117" s="5">
        <f t="shared" si="8"/>
        <v>11</v>
      </c>
      <c r="F117" s="17">
        <v>0</v>
      </c>
      <c r="G117" s="17">
        <v>0</v>
      </c>
      <c r="H117" s="6">
        <v>0</v>
      </c>
      <c r="J117" s="14" t="str">
        <f t="shared" si="9"/>
        <v>[12, 'C3', 11, 11, 0, 0, 0],</v>
      </c>
    </row>
    <row r="118" spans="1:10" x14ac:dyDescent="0.3">
      <c r="A118" s="3"/>
      <c r="B118" s="11">
        <v>20</v>
      </c>
      <c r="C118" s="11" t="s">
        <v>4</v>
      </c>
      <c r="D118" s="6">
        <v>10</v>
      </c>
      <c r="E118" s="5">
        <f t="shared" si="8"/>
        <v>0</v>
      </c>
      <c r="F118" s="17">
        <v>2</v>
      </c>
      <c r="G118" s="17">
        <v>2</v>
      </c>
      <c r="H118" s="6">
        <v>0</v>
      </c>
      <c r="J118" s="14" t="str">
        <f t="shared" si="9"/>
        <v>[20, 'M1', 10, 0, 2, 2, 0],</v>
      </c>
    </row>
    <row r="119" spans="1:10" x14ac:dyDescent="0.3">
      <c r="A119" s="3"/>
      <c r="B119" s="11">
        <v>21</v>
      </c>
      <c r="C119" s="11" t="s">
        <v>5</v>
      </c>
      <c r="D119" s="6">
        <v>14</v>
      </c>
      <c r="E119" s="5">
        <f t="shared" si="8"/>
        <v>0</v>
      </c>
      <c r="F119" s="17">
        <v>4</v>
      </c>
      <c r="G119" s="17">
        <v>2</v>
      </c>
      <c r="H119" s="6">
        <v>0</v>
      </c>
      <c r="J119" s="14" t="str">
        <f t="shared" si="9"/>
        <v>[21, 'M2', 14, 0, 4, 2, 0],</v>
      </c>
    </row>
    <row r="120" spans="1:10" x14ac:dyDescent="0.3">
      <c r="A120" s="3"/>
      <c r="B120" s="11">
        <v>22</v>
      </c>
      <c r="C120" s="11" t="s">
        <v>6</v>
      </c>
      <c r="D120" s="6">
        <v>14</v>
      </c>
      <c r="E120" s="5">
        <f t="shared" si="8"/>
        <v>0</v>
      </c>
      <c r="F120" s="17">
        <v>4</v>
      </c>
      <c r="G120" s="17">
        <v>2</v>
      </c>
      <c r="H120" s="6">
        <v>0</v>
      </c>
      <c r="J120" s="14" t="str">
        <f t="shared" si="9"/>
        <v>[22, 'M3', 14, 0, 4, 2, 0],</v>
      </c>
    </row>
    <row r="121" spans="1:10" x14ac:dyDescent="0.3">
      <c r="A121" s="3"/>
      <c r="B121" s="11">
        <v>23</v>
      </c>
      <c r="C121" s="11" t="s">
        <v>7</v>
      </c>
      <c r="D121" s="6">
        <v>14</v>
      </c>
      <c r="E121" s="5">
        <f t="shared" si="8"/>
        <v>0</v>
      </c>
      <c r="F121" s="17">
        <v>4</v>
      </c>
      <c r="G121" s="17">
        <v>2</v>
      </c>
      <c r="H121" s="6">
        <v>0</v>
      </c>
      <c r="J121" s="14" t="str">
        <f t="shared" si="9"/>
        <v>[23, 'M4', 14, 0, 4, 2, 0],</v>
      </c>
    </row>
    <row r="122" spans="1:10" x14ac:dyDescent="0.3">
      <c r="A122" s="3"/>
      <c r="B122" s="11">
        <v>24</v>
      </c>
      <c r="C122" s="11" t="s">
        <v>8</v>
      </c>
      <c r="D122" s="6">
        <v>16</v>
      </c>
      <c r="E122" s="5">
        <f t="shared" si="8"/>
        <v>0</v>
      </c>
      <c r="F122" s="17">
        <v>5</v>
      </c>
      <c r="G122" s="17">
        <v>2</v>
      </c>
      <c r="H122" s="6">
        <v>0</v>
      </c>
      <c r="J122" s="14" t="str">
        <f t="shared" si="9"/>
        <v>[24, 'M5', 16, 0, 5, 2, 0],</v>
      </c>
    </row>
    <row r="123" spans="1:10" x14ac:dyDescent="0.3">
      <c r="A123" s="3"/>
      <c r="B123" s="11">
        <v>30</v>
      </c>
      <c r="C123" s="11" t="s">
        <v>9</v>
      </c>
      <c r="D123" s="6">
        <v>8</v>
      </c>
      <c r="E123" s="5">
        <f t="shared" si="8"/>
        <v>8</v>
      </c>
      <c r="F123" s="17">
        <v>0</v>
      </c>
      <c r="G123" s="17">
        <v>0</v>
      </c>
      <c r="H123" s="6">
        <v>0</v>
      </c>
      <c r="J123" s="14" t="str">
        <f t="shared" si="9"/>
        <v>[30, 'A', 8, 8, 0, 0, 0],</v>
      </c>
    </row>
    <row r="124" spans="1:10" x14ac:dyDescent="0.3">
      <c r="A124" s="3"/>
      <c r="B124" s="11">
        <v>31</v>
      </c>
      <c r="C124" s="11" t="s">
        <v>10</v>
      </c>
      <c r="D124" s="6">
        <v>11</v>
      </c>
      <c r="E124" s="5">
        <f t="shared" si="8"/>
        <v>11</v>
      </c>
      <c r="F124" s="17">
        <v>0</v>
      </c>
      <c r="G124" s="17">
        <v>0</v>
      </c>
      <c r="H124" s="6">
        <v>0</v>
      </c>
      <c r="J124" s="14" t="str">
        <f t="shared" si="9"/>
        <v>[31, 'K', 11, 11, 0, 0, 0],</v>
      </c>
    </row>
    <row r="125" spans="1:10" x14ac:dyDescent="0.3">
      <c r="A125" s="3"/>
      <c r="B125" s="11">
        <v>32</v>
      </c>
      <c r="C125" s="11" t="s">
        <v>11</v>
      </c>
      <c r="D125" s="6">
        <v>8</v>
      </c>
      <c r="E125" s="5">
        <f t="shared" si="8"/>
        <v>8</v>
      </c>
      <c r="F125" s="17">
        <v>0</v>
      </c>
      <c r="G125" s="17">
        <v>0</v>
      </c>
      <c r="H125" s="6">
        <v>0</v>
      </c>
      <c r="J125" s="14" t="str">
        <f t="shared" si="9"/>
        <v>[32, 'Q', 8, 8, 0, 0, 0],</v>
      </c>
    </row>
    <row r="126" spans="1:10" x14ac:dyDescent="0.3">
      <c r="A126" s="3"/>
      <c r="B126" s="11">
        <v>33</v>
      </c>
      <c r="C126" s="11" t="s">
        <v>12</v>
      </c>
      <c r="D126" s="6">
        <v>11</v>
      </c>
      <c r="E126" s="5">
        <f t="shared" si="8"/>
        <v>11</v>
      </c>
      <c r="F126" s="17">
        <v>0</v>
      </c>
      <c r="G126" s="17">
        <v>0</v>
      </c>
      <c r="H126" s="6">
        <v>0</v>
      </c>
      <c r="J126" s="14" t="str">
        <f t="shared" si="9"/>
        <v>[33, 'J', 11, 11, 0, 0, 0],</v>
      </c>
    </row>
    <row r="127" spans="1:10" x14ac:dyDescent="0.3">
      <c r="A127" s="3"/>
      <c r="B127" s="11">
        <v>34</v>
      </c>
      <c r="C127" s="11" t="s">
        <v>13</v>
      </c>
      <c r="D127" s="6">
        <v>9</v>
      </c>
      <c r="E127" s="5">
        <f t="shared" si="8"/>
        <v>9</v>
      </c>
      <c r="F127" s="17">
        <v>0</v>
      </c>
      <c r="G127" s="17">
        <v>0</v>
      </c>
      <c r="H127" s="6">
        <v>0</v>
      </c>
      <c r="J127" s="14" t="str">
        <f t="shared" si="9"/>
        <v>[34, 'TE', 9, 9,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Q110:R127 T42:T55 L58 P95:Q109 N58:O58 K77:L91 Q58:R58 K95:L95 Q76:R76 J92:L92 K111:P111 R109 P110 N112:P112 N96:O110 J60:J73 J78:J91 J96:L110 J114:J127 A3:A7 Y7:Z10 X12:Z12 A8:L8 A128:R142 A39:I39 A9:G10 H10:R10 S3:Z6 S11:Z11 A40:Y40 B1:Z1 A2:Z2 M21:R21 S7:S10 A143:Z1048576 A22:R38 S13:Z38 K39:Z39 A41:E127 H9 J9:R9 H20:R20 M11:R19 A20:G21 A11:A19 H58:I127 H42:L56 H57:R57 H41:I41">
    <cfRule type="cellIs" dxfId="120" priority="26" operator="equal">
      <formula>0</formula>
    </cfRule>
  </conditionalFormatting>
  <conditionalFormatting sqref="J74">
    <cfRule type="cellIs" dxfId="119" priority="25" operator="equal">
      <formula>0</formula>
    </cfRule>
  </conditionalFormatting>
  <conditionalFormatting sqref="E41:E127">
    <cfRule type="cellIs" dxfId="118" priority="24" operator="lessThan">
      <formula>0</formula>
    </cfRule>
  </conditionalFormatting>
  <conditionalFormatting sqref="T7:X10">
    <cfRule type="cellIs" dxfId="117" priority="23" operator="equal">
      <formula>0</formula>
    </cfRule>
  </conditionalFormatting>
  <conditionalFormatting sqref="B20:F20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{D98B6475-5012-400B-B2D0-5FA7767FFFCC}</x14:id>
        </ext>
      </extLst>
    </cfRule>
  </conditionalFormatting>
  <conditionalFormatting sqref="H5:L5">
    <cfRule type="cellIs" dxfId="116" priority="21" operator="equal">
      <formula>0</formula>
    </cfRule>
  </conditionalFormatting>
  <conditionalFormatting sqref="P8:Q8 M8:N8">
    <cfRule type="cellIs" dxfId="115" priority="20" operator="equal">
      <formula>0</formula>
    </cfRule>
  </conditionalFormatting>
  <conditionalFormatting sqref="B3:F7">
    <cfRule type="cellIs" dxfId="114" priority="18" operator="equal">
      <formula>0</formula>
    </cfRule>
  </conditionalFormatting>
  <conditionalFormatting sqref="I9">
    <cfRule type="cellIs" dxfId="113" priority="12" operator="equal">
      <formula>0</formula>
    </cfRule>
  </conditionalFormatting>
  <conditionalFormatting sqref="H6:L6">
    <cfRule type="cellIs" dxfId="112" priority="11" operator="equal">
      <formula>0</formula>
    </cfRule>
  </conditionalFormatting>
  <conditionalFormatting sqref="H4:L4">
    <cfRule type="cellIs" dxfId="111" priority="10" operator="equal">
      <formula>0</formula>
    </cfRule>
  </conditionalFormatting>
  <conditionalFormatting sqref="B11:L15 B16:K19">
    <cfRule type="cellIs" dxfId="110" priority="9" operator="equal">
      <formula>0</formula>
    </cfRule>
  </conditionalFormatting>
  <conditionalFormatting sqref="B11:F1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{861F0FBF-5EA8-432F-94A6-F6B2E4A74D2D}</x14:id>
        </ext>
      </extLst>
    </cfRule>
  </conditionalFormatting>
  <conditionalFormatting sqref="L16:L19">
    <cfRule type="cellIs" dxfId="109" priority="7" operator="equal">
      <formula>0</formula>
    </cfRule>
  </conditionalFormatting>
  <conditionalFormatting sqref="F41:G50 F56:G68 G51:G55 G69:G73 F92:G104 G87:G91 F110:G122 G105:G109 G123:G127 F74:G86">
    <cfRule type="cellIs" dxfId="108" priority="6" operator="equal">
      <formula>0</formula>
    </cfRule>
  </conditionalFormatting>
  <conditionalFormatting sqref="F105:F109">
    <cfRule type="cellIs" dxfId="107" priority="5" operator="equal">
      <formula>0</formula>
    </cfRule>
  </conditionalFormatting>
  <conditionalFormatting sqref="F123:F127">
    <cfRule type="cellIs" dxfId="106" priority="4" operator="equal">
      <formula>0</formula>
    </cfRule>
  </conditionalFormatting>
  <conditionalFormatting sqref="F87:F91">
    <cfRule type="cellIs" dxfId="105" priority="3" operator="equal">
      <formula>0</formula>
    </cfRule>
  </conditionalFormatting>
  <conditionalFormatting sqref="F69:F73">
    <cfRule type="cellIs" dxfId="104" priority="2" operator="equal">
      <formula>0</formula>
    </cfRule>
  </conditionalFormatting>
  <conditionalFormatting sqref="F51:F55">
    <cfRule type="cellIs" dxfId="103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8B6475-5012-400B-B2D0-5FA7767FFF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B20:F20</xm:sqref>
        </x14:conditionalFormatting>
        <x14:conditionalFormatting xmlns:xm="http://schemas.microsoft.com/office/excel/2006/main">
          <x14:cfRule type="dataBar" id="{861F0FBF-5EA8-432F-94A6-F6B2E4A74D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FADE-3875-4DD0-A34E-035100D55737}">
  <dimension ref="A1:R128"/>
  <sheetViews>
    <sheetView topLeftCell="A56"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19" width="8.6640625" style="3"/>
    <col min="20" max="24" width="7" style="3" customWidth="1"/>
    <col min="25" max="30" width="8.6640625" style="3"/>
    <col min="31" max="31" width="8.6640625" style="3" customWidth="1"/>
    <col min="32" max="16384" width="8.6640625" style="3"/>
  </cols>
  <sheetData>
    <row r="1" spans="1:18" x14ac:dyDescent="0.3">
      <c r="A1" s="1" t="s">
        <v>33</v>
      </c>
      <c r="B1" s="1">
        <v>7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1</v>
      </c>
      <c r="C4" s="21">
        <v>2</v>
      </c>
      <c r="D4" s="21">
        <v>1</v>
      </c>
      <c r="E4" s="21">
        <v>2</v>
      </c>
      <c r="F4" s="21">
        <v>1</v>
      </c>
      <c r="H4" s="17">
        <v>1</v>
      </c>
      <c r="I4" s="17">
        <v>2</v>
      </c>
      <c r="J4" s="17">
        <v>1</v>
      </c>
      <c r="K4" s="17">
        <v>2</v>
      </c>
      <c r="L4" s="17">
        <v>1</v>
      </c>
      <c r="N4" s="6">
        <v>1</v>
      </c>
      <c r="O4" s="6">
        <v>2</v>
      </c>
      <c r="P4" s="6">
        <v>1</v>
      </c>
      <c r="Q4" s="6">
        <v>2</v>
      </c>
      <c r="R4" s="6">
        <v>1</v>
      </c>
    </row>
    <row r="5" spans="1:18" x14ac:dyDescent="0.3">
      <c r="A5" s="1" t="s">
        <v>2</v>
      </c>
      <c r="B5" s="8">
        <v>0</v>
      </c>
      <c r="C5" s="8">
        <v>6</v>
      </c>
      <c r="D5" s="8">
        <v>0</v>
      </c>
      <c r="E5" s="8">
        <v>0</v>
      </c>
      <c r="F5" s="8">
        <v>0</v>
      </c>
      <c r="H5" s="17">
        <v>0</v>
      </c>
      <c r="I5" s="17">
        <v>6</v>
      </c>
      <c r="J5" s="17">
        <v>0</v>
      </c>
      <c r="K5" s="17">
        <v>0</v>
      </c>
      <c r="L5" s="17">
        <v>0</v>
      </c>
      <c r="N5" s="6">
        <v>0</v>
      </c>
      <c r="O5" s="6">
        <v>6</v>
      </c>
      <c r="P5" s="6">
        <v>0</v>
      </c>
      <c r="Q5" s="6">
        <v>0</v>
      </c>
      <c r="R5" s="6">
        <v>0</v>
      </c>
    </row>
    <row r="6" spans="1:18" x14ac:dyDescent="0.3">
      <c r="A6" s="1" t="s">
        <v>3</v>
      </c>
      <c r="B6" s="8">
        <v>5</v>
      </c>
      <c r="C6" s="8">
        <v>10</v>
      </c>
      <c r="D6" s="8">
        <v>28</v>
      </c>
      <c r="E6" s="8">
        <v>7</v>
      </c>
      <c r="F6" s="8">
        <v>8</v>
      </c>
      <c r="H6" s="17">
        <v>5</v>
      </c>
      <c r="I6" s="17">
        <v>10</v>
      </c>
      <c r="J6" s="17">
        <v>28</v>
      </c>
      <c r="K6" s="17">
        <v>7</v>
      </c>
      <c r="L6" s="17">
        <v>8</v>
      </c>
      <c r="N6" s="6">
        <v>5</v>
      </c>
      <c r="O6" s="6">
        <v>10</v>
      </c>
      <c r="P6" s="6">
        <v>28</v>
      </c>
      <c r="Q6" s="6">
        <v>7</v>
      </c>
      <c r="R6" s="6">
        <v>8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94</v>
      </c>
      <c r="C8" s="3">
        <v>202</v>
      </c>
      <c r="D8" s="3">
        <v>221</v>
      </c>
      <c r="E8" s="3">
        <v>191</v>
      </c>
      <c r="F8" s="3">
        <v>121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19"/>
      <c r="I20" s="19"/>
      <c r="J20" s="19"/>
      <c r="K20" s="19"/>
      <c r="L20" s="19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1</v>
      </c>
      <c r="C24" s="8">
        <v>2</v>
      </c>
      <c r="D24" s="8">
        <v>1</v>
      </c>
      <c r="E24" s="8">
        <v>2</v>
      </c>
      <c r="F24" s="8">
        <v>1</v>
      </c>
    </row>
    <row r="25" spans="1:12" x14ac:dyDescent="0.3">
      <c r="A25" s="1" t="s">
        <v>2</v>
      </c>
      <c r="B25" s="8">
        <v>0</v>
      </c>
      <c r="C25" s="7">
        <v>6</v>
      </c>
      <c r="D25" s="7">
        <v>0</v>
      </c>
      <c r="E25" s="7">
        <v>0</v>
      </c>
      <c r="F25" s="8">
        <v>0</v>
      </c>
    </row>
    <row r="26" spans="1:12" x14ac:dyDescent="0.3">
      <c r="A26" s="1" t="s">
        <v>3</v>
      </c>
      <c r="B26" s="8">
        <v>5</v>
      </c>
      <c r="C26" s="8">
        <v>10</v>
      </c>
      <c r="D26" s="8">
        <v>28</v>
      </c>
      <c r="E26" s="8">
        <v>7</v>
      </c>
      <c r="F26" s="8">
        <v>8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17</v>
      </c>
      <c r="D27" s="8">
        <v>17</v>
      </c>
      <c r="E27" s="8">
        <v>14</v>
      </c>
      <c r="F27" s="8">
        <v>11</v>
      </c>
    </row>
    <row r="28" spans="1:12" x14ac:dyDescent="0.3">
      <c r="A28" s="1" t="s">
        <v>5</v>
      </c>
      <c r="B28" s="8">
        <v>8</v>
      </c>
      <c r="C28" s="8">
        <v>29</v>
      </c>
      <c r="D28" s="8">
        <v>30</v>
      </c>
      <c r="E28" s="8">
        <v>24</v>
      </c>
      <c r="F28" s="8">
        <v>14</v>
      </c>
    </row>
    <row r="29" spans="1:12" x14ac:dyDescent="0.3">
      <c r="A29" s="1" t="s">
        <v>6</v>
      </c>
      <c r="B29" s="8">
        <v>14</v>
      </c>
      <c r="C29" s="8">
        <v>22</v>
      </c>
      <c r="D29" s="8">
        <v>30</v>
      </c>
      <c r="E29" s="8">
        <v>24</v>
      </c>
      <c r="F29" s="8">
        <v>14</v>
      </c>
    </row>
    <row r="30" spans="1:12" x14ac:dyDescent="0.3">
      <c r="A30" s="1" t="s">
        <v>7</v>
      </c>
      <c r="B30" s="8">
        <v>12</v>
      </c>
      <c r="C30" s="8">
        <v>22</v>
      </c>
      <c r="D30" s="8">
        <v>15</v>
      </c>
      <c r="E30" s="8">
        <v>22</v>
      </c>
      <c r="F30" s="8">
        <v>14</v>
      </c>
    </row>
    <row r="31" spans="1:12" x14ac:dyDescent="0.3">
      <c r="A31" s="1" t="s">
        <v>8</v>
      </c>
      <c r="B31" s="8">
        <v>12</v>
      </c>
      <c r="C31" s="8">
        <v>16</v>
      </c>
      <c r="D31" s="8">
        <v>17</v>
      </c>
      <c r="E31" s="8">
        <v>22</v>
      </c>
      <c r="F31" s="8">
        <v>16</v>
      </c>
    </row>
    <row r="32" spans="1:12" x14ac:dyDescent="0.3">
      <c r="A32" s="1" t="s">
        <v>9</v>
      </c>
      <c r="B32" s="8">
        <v>5</v>
      </c>
      <c r="C32" s="8">
        <v>24</v>
      </c>
      <c r="D32" s="8">
        <v>21</v>
      </c>
      <c r="E32" s="8">
        <v>15</v>
      </c>
      <c r="F32" s="8">
        <v>8</v>
      </c>
    </row>
    <row r="33" spans="1:10" x14ac:dyDescent="0.3">
      <c r="A33" s="1" t="s">
        <v>10</v>
      </c>
      <c r="B33" s="8">
        <v>10</v>
      </c>
      <c r="C33" s="8">
        <v>22</v>
      </c>
      <c r="D33" s="8">
        <v>17</v>
      </c>
      <c r="E33" s="8">
        <v>20</v>
      </c>
      <c r="F33" s="8">
        <v>12</v>
      </c>
    </row>
    <row r="34" spans="1:10" x14ac:dyDescent="0.3">
      <c r="A34" s="1" t="s">
        <v>11</v>
      </c>
      <c r="B34" s="8">
        <v>9</v>
      </c>
      <c r="C34" s="8">
        <v>16</v>
      </c>
      <c r="D34" s="8">
        <v>21</v>
      </c>
      <c r="E34" s="8">
        <v>15</v>
      </c>
      <c r="F34" s="8">
        <v>8</v>
      </c>
    </row>
    <row r="35" spans="1:10" x14ac:dyDescent="0.3">
      <c r="A35" s="1" t="s">
        <v>12</v>
      </c>
      <c r="B35" s="8">
        <v>10</v>
      </c>
      <c r="C35" s="8">
        <v>16</v>
      </c>
      <c r="D35" s="8">
        <v>24</v>
      </c>
      <c r="E35" s="8">
        <v>22</v>
      </c>
      <c r="F35" s="8">
        <v>12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8</v>
      </c>
      <c r="C36" s="8">
        <v>12</v>
      </c>
      <c r="D36" s="8">
        <v>23</v>
      </c>
      <c r="E36" s="8">
        <v>10</v>
      </c>
      <c r="F36" s="8">
        <v>9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1</v>
      </c>
      <c r="E43" s="5">
        <f t="shared" si="0"/>
        <v>1</v>
      </c>
      <c r="F43" s="17">
        <v>0</v>
      </c>
      <c r="G43" s="17">
        <v>0</v>
      </c>
      <c r="H43" s="6">
        <v>0</v>
      </c>
      <c r="J43" s="14" t="str">
        <f t="shared" si="1"/>
        <v>[10, 'C1', 1, 1,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5</v>
      </c>
      <c r="E45" s="5">
        <f t="shared" si="0"/>
        <v>5</v>
      </c>
      <c r="F45" s="17">
        <v>0</v>
      </c>
      <c r="G45" s="17">
        <v>0</v>
      </c>
      <c r="H45" s="6">
        <v>0</v>
      </c>
      <c r="J45" s="14" t="str">
        <f t="shared" si="1"/>
        <v>[12, 'C3', 5, 5,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14</v>
      </c>
      <c r="E48" s="5">
        <f t="shared" si="0"/>
        <v>0</v>
      </c>
      <c r="F48" s="17">
        <v>4</v>
      </c>
      <c r="G48" s="17">
        <v>2</v>
      </c>
      <c r="H48" s="6">
        <v>0</v>
      </c>
      <c r="J48" s="14" t="str">
        <f t="shared" si="1"/>
        <v>[22, 'M3', 14, 0, 4, 2, 0],</v>
      </c>
    </row>
    <row r="49" spans="1:10" x14ac:dyDescent="0.3">
      <c r="B49" s="11">
        <v>23</v>
      </c>
      <c r="C49" s="11" t="s">
        <v>7</v>
      </c>
      <c r="D49" s="6">
        <v>12</v>
      </c>
      <c r="E49" s="5">
        <f t="shared" si="0"/>
        <v>0</v>
      </c>
      <c r="F49" s="17">
        <v>3</v>
      </c>
      <c r="G49" s="17">
        <v>2</v>
      </c>
      <c r="H49" s="6">
        <v>0</v>
      </c>
      <c r="J49" s="14" t="str">
        <f t="shared" si="1"/>
        <v>[23, 'M4', 12, 0, 3, 2, 0],</v>
      </c>
    </row>
    <row r="50" spans="1:10" x14ac:dyDescent="0.3">
      <c r="A50" s="3"/>
      <c r="B50" s="11">
        <v>24</v>
      </c>
      <c r="C50" s="11" t="s">
        <v>8</v>
      </c>
      <c r="D50" s="6">
        <v>12</v>
      </c>
      <c r="E50" s="5">
        <f t="shared" si="0"/>
        <v>0</v>
      </c>
      <c r="F50" s="17">
        <v>3</v>
      </c>
      <c r="G50" s="17">
        <v>2</v>
      </c>
      <c r="H50" s="6">
        <v>0</v>
      </c>
      <c r="J50" s="14" t="str">
        <f t="shared" si="1"/>
        <v>[24, 'M5', 12, 0, 3, 2,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10</v>
      </c>
      <c r="E52" s="5">
        <f t="shared" si="0"/>
        <v>10</v>
      </c>
      <c r="F52" s="17">
        <v>0</v>
      </c>
      <c r="G52" s="17">
        <v>0</v>
      </c>
      <c r="H52" s="6">
        <v>0</v>
      </c>
      <c r="J52" s="14" t="str">
        <f t="shared" si="1"/>
        <v>[31, 'K', 10, 10, 0, 0, 0],</v>
      </c>
    </row>
    <row r="53" spans="1:10" x14ac:dyDescent="0.3">
      <c r="A53" s="3"/>
      <c r="B53" s="11">
        <v>32</v>
      </c>
      <c r="C53" s="11" t="s">
        <v>11</v>
      </c>
      <c r="D53" s="6">
        <v>9</v>
      </c>
      <c r="E53" s="5">
        <f t="shared" si="0"/>
        <v>9</v>
      </c>
      <c r="F53" s="17">
        <v>0</v>
      </c>
      <c r="G53" s="17">
        <v>0</v>
      </c>
      <c r="H53" s="6">
        <v>0</v>
      </c>
      <c r="J53" s="14" t="str">
        <f t="shared" si="1"/>
        <v>[32, 'Q', 9, 9, 0, 0, 0],</v>
      </c>
    </row>
    <row r="54" spans="1:10" x14ac:dyDescent="0.3">
      <c r="A54" s="3"/>
      <c r="B54" s="11">
        <v>33</v>
      </c>
      <c r="C54" s="11" t="s">
        <v>12</v>
      </c>
      <c r="D54" s="6">
        <v>10</v>
      </c>
      <c r="E54" s="5">
        <f t="shared" si="0"/>
        <v>10</v>
      </c>
      <c r="F54" s="17">
        <v>0</v>
      </c>
      <c r="G54" s="17">
        <v>0</v>
      </c>
      <c r="H54" s="6">
        <v>0</v>
      </c>
      <c r="J54" s="14" t="str">
        <f t="shared" si="1"/>
        <v>[33, 'J', 10, 10, 0, 0, 0],</v>
      </c>
    </row>
    <row r="55" spans="1:10" x14ac:dyDescent="0.3">
      <c r="A55" s="3"/>
      <c r="B55" s="11">
        <v>34</v>
      </c>
      <c r="C55" s="11" t="s">
        <v>13</v>
      </c>
      <c r="D55" s="6">
        <v>8</v>
      </c>
      <c r="E55" s="5">
        <f t="shared" si="0"/>
        <v>8</v>
      </c>
      <c r="F55" s="17">
        <v>0</v>
      </c>
      <c r="G55" s="17">
        <v>0</v>
      </c>
      <c r="H55" s="6">
        <v>0</v>
      </c>
      <c r="J55" s="14" t="str">
        <f t="shared" si="1"/>
        <v>[34, 'TE', 8, 8,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2</v>
      </c>
      <c r="E61" s="5">
        <f t="shared" si="2"/>
        <v>2</v>
      </c>
      <c r="F61" s="17">
        <v>0</v>
      </c>
      <c r="G61" s="17">
        <v>0</v>
      </c>
      <c r="H61" s="6">
        <v>0</v>
      </c>
      <c r="J61" s="14" t="str">
        <f t="shared" si="3"/>
        <v>[10, 'C1', 2, 2, 0, 0, 0],</v>
      </c>
    </row>
    <row r="62" spans="1:10" x14ac:dyDescent="0.3">
      <c r="A62" s="3"/>
      <c r="B62" s="11">
        <v>11</v>
      </c>
      <c r="C62" s="11" t="s">
        <v>2</v>
      </c>
      <c r="D62" s="6">
        <v>6</v>
      </c>
      <c r="E62" s="5">
        <f t="shared" si="2"/>
        <v>6</v>
      </c>
      <c r="F62" s="17">
        <v>0</v>
      </c>
      <c r="G62" s="17">
        <v>0</v>
      </c>
      <c r="H62" s="6">
        <v>0</v>
      </c>
      <c r="J62" s="14" t="str">
        <f t="shared" si="3"/>
        <v>[11, 'C2', 6, 6, 0, 0, 0],</v>
      </c>
    </row>
    <row r="63" spans="1:10" x14ac:dyDescent="0.3">
      <c r="A63" s="3"/>
      <c r="B63" s="11">
        <v>12</v>
      </c>
      <c r="C63" s="11" t="s">
        <v>3</v>
      </c>
      <c r="D63" s="6">
        <v>10</v>
      </c>
      <c r="E63" s="5">
        <f t="shared" si="2"/>
        <v>10</v>
      </c>
      <c r="F63" s="17">
        <v>0</v>
      </c>
      <c r="G63" s="17">
        <v>0</v>
      </c>
      <c r="H63" s="6">
        <v>0</v>
      </c>
      <c r="J63" s="14" t="str">
        <f t="shared" si="3"/>
        <v>[12, 'C3', 10, 10, 0, 0, 0],</v>
      </c>
    </row>
    <row r="64" spans="1:10" x14ac:dyDescent="0.3">
      <c r="A64" s="3"/>
      <c r="B64" s="11">
        <v>20</v>
      </c>
      <c r="C64" s="11" t="s">
        <v>4</v>
      </c>
      <c r="D64" s="6">
        <v>17</v>
      </c>
      <c r="E64" s="5">
        <f t="shared" si="2"/>
        <v>0</v>
      </c>
      <c r="F64" s="17">
        <v>4</v>
      </c>
      <c r="G64" s="17">
        <v>3</v>
      </c>
      <c r="H64" s="6">
        <v>0</v>
      </c>
      <c r="J64" s="14" t="str">
        <f t="shared" si="3"/>
        <v>[20, 'M1', 17, 0, 4, 3, 0],</v>
      </c>
    </row>
    <row r="65" spans="1:10" x14ac:dyDescent="0.3">
      <c r="A65" s="3"/>
      <c r="B65" s="11">
        <v>21</v>
      </c>
      <c r="C65" s="11" t="s">
        <v>5</v>
      </c>
      <c r="D65" s="6">
        <v>29</v>
      </c>
      <c r="E65" s="5">
        <f t="shared" si="2"/>
        <v>0</v>
      </c>
      <c r="F65" s="17">
        <v>7</v>
      </c>
      <c r="G65" s="17">
        <v>5</v>
      </c>
      <c r="H65" s="6">
        <v>0</v>
      </c>
      <c r="J65" s="14" t="str">
        <f t="shared" si="3"/>
        <v>[21, 'M2', 29, 0, 7, 5,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12</v>
      </c>
      <c r="E73" s="5">
        <f t="shared" si="2"/>
        <v>12</v>
      </c>
      <c r="F73" s="17">
        <v>0</v>
      </c>
      <c r="G73" s="17">
        <v>0</v>
      </c>
      <c r="H73" s="6">
        <v>0</v>
      </c>
      <c r="J73" s="14" t="str">
        <f t="shared" si="3"/>
        <v>[34, 'TE', 12, 12,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1</v>
      </c>
      <c r="E79" s="5">
        <f t="shared" si="4"/>
        <v>1</v>
      </c>
      <c r="F79" s="17">
        <v>0</v>
      </c>
      <c r="G79" s="17">
        <v>0</v>
      </c>
      <c r="H79" s="6">
        <v>0</v>
      </c>
      <c r="J79" s="14" t="str">
        <f t="shared" si="5"/>
        <v>[10, 'C1', 1, 1, 0, 0, 0],</v>
      </c>
    </row>
    <row r="80" spans="1:10" x14ac:dyDescent="0.3">
      <c r="A80" s="3"/>
      <c r="B80" s="11">
        <v>11</v>
      </c>
      <c r="C80" s="11" t="s">
        <v>2</v>
      </c>
      <c r="D80" s="6">
        <v>0</v>
      </c>
      <c r="E80" s="5">
        <f t="shared" si="4"/>
        <v>0</v>
      </c>
      <c r="F80" s="17">
        <v>0</v>
      </c>
      <c r="G80" s="17">
        <v>0</v>
      </c>
      <c r="H80" s="6">
        <v>0</v>
      </c>
      <c r="J80" s="14" t="str">
        <f t="shared" si="5"/>
        <v>[11, 'C2', 0, 0, 0, 0, 0],</v>
      </c>
    </row>
    <row r="81" spans="1:10" x14ac:dyDescent="0.3">
      <c r="A81" s="3"/>
      <c r="B81" s="11">
        <v>12</v>
      </c>
      <c r="C81" s="11" t="s">
        <v>3</v>
      </c>
      <c r="D81" s="6">
        <v>28</v>
      </c>
      <c r="E81" s="5">
        <f t="shared" si="4"/>
        <v>28</v>
      </c>
      <c r="F81" s="17">
        <v>0</v>
      </c>
      <c r="G81" s="17">
        <v>0</v>
      </c>
      <c r="H81" s="6">
        <v>0</v>
      </c>
      <c r="J81" s="14" t="str">
        <f t="shared" si="5"/>
        <v>[12, 'C3', 28, 28, 0, 0, 0],</v>
      </c>
    </row>
    <row r="82" spans="1:10" x14ac:dyDescent="0.3">
      <c r="A82" s="3"/>
      <c r="B82" s="11">
        <v>20</v>
      </c>
      <c r="C82" s="11" t="s">
        <v>4</v>
      </c>
      <c r="D82" s="6">
        <v>17</v>
      </c>
      <c r="E82" s="5">
        <f t="shared" si="4"/>
        <v>0</v>
      </c>
      <c r="F82" s="17">
        <v>4</v>
      </c>
      <c r="G82" s="17">
        <v>3</v>
      </c>
      <c r="H82" s="6">
        <v>0</v>
      </c>
      <c r="J82" s="14" t="str">
        <f t="shared" si="5"/>
        <v>[20, 'M1', 17, 0, 4, 3, 0],</v>
      </c>
    </row>
    <row r="83" spans="1:10" x14ac:dyDescent="0.3">
      <c r="A83" s="3"/>
      <c r="B83" s="11">
        <v>21</v>
      </c>
      <c r="C83" s="11" t="s">
        <v>5</v>
      </c>
      <c r="D83" s="6">
        <v>30</v>
      </c>
      <c r="E83" s="5">
        <f t="shared" si="4"/>
        <v>0</v>
      </c>
      <c r="F83" s="17">
        <v>9</v>
      </c>
      <c r="G83" s="17">
        <v>4</v>
      </c>
      <c r="H83" s="6">
        <v>0</v>
      </c>
      <c r="J83" s="14" t="str">
        <f t="shared" si="5"/>
        <v>[21, 'M2', 30, 0, 9, 4, 0],</v>
      </c>
    </row>
    <row r="84" spans="1:10" x14ac:dyDescent="0.3">
      <c r="A84" s="3"/>
      <c r="B84" s="11">
        <v>22</v>
      </c>
      <c r="C84" s="11" t="s">
        <v>6</v>
      </c>
      <c r="D84" s="6">
        <v>30</v>
      </c>
      <c r="E84" s="5">
        <f t="shared" si="4"/>
        <v>0</v>
      </c>
      <c r="F84" s="17">
        <v>9</v>
      </c>
      <c r="G84" s="17">
        <v>4</v>
      </c>
      <c r="H84" s="6">
        <v>0</v>
      </c>
      <c r="J84" s="14" t="str">
        <f t="shared" si="5"/>
        <v>[22, 'M3', 30, 0, 9, 4, 0],</v>
      </c>
    </row>
    <row r="85" spans="1:10" x14ac:dyDescent="0.3">
      <c r="A85" s="3"/>
      <c r="B85" s="11">
        <v>23</v>
      </c>
      <c r="C85" s="11" t="s">
        <v>7</v>
      </c>
      <c r="D85" s="6">
        <v>15</v>
      </c>
      <c r="E85" s="5">
        <f t="shared" si="4"/>
        <v>0</v>
      </c>
      <c r="F85" s="17">
        <v>3</v>
      </c>
      <c r="G85" s="17">
        <v>3</v>
      </c>
      <c r="H85" s="6">
        <v>0</v>
      </c>
      <c r="J85" s="14" t="str">
        <f t="shared" si="5"/>
        <v>[23, 'M4', 15, 0, 3, 3, 0],</v>
      </c>
    </row>
    <row r="86" spans="1:10" x14ac:dyDescent="0.3">
      <c r="A86" s="3"/>
      <c r="B86" s="11">
        <v>24</v>
      </c>
      <c r="C86" s="11" t="s">
        <v>8</v>
      </c>
      <c r="D86" s="6">
        <v>17</v>
      </c>
      <c r="E86" s="5">
        <f t="shared" si="4"/>
        <v>0</v>
      </c>
      <c r="F86" s="17">
        <v>4</v>
      </c>
      <c r="G86" s="17">
        <v>3</v>
      </c>
      <c r="H86" s="6">
        <v>0</v>
      </c>
      <c r="J86" s="14" t="str">
        <f t="shared" si="5"/>
        <v>[24, 'M5', 17, 0, 4, 3, 0],</v>
      </c>
    </row>
    <row r="87" spans="1:10" x14ac:dyDescent="0.3">
      <c r="A87" s="3"/>
      <c r="B87" s="11">
        <v>30</v>
      </c>
      <c r="C87" s="11" t="s">
        <v>9</v>
      </c>
      <c r="D87" s="6">
        <v>21</v>
      </c>
      <c r="E87" s="5">
        <f t="shared" si="4"/>
        <v>21</v>
      </c>
      <c r="F87" s="17">
        <v>0</v>
      </c>
      <c r="G87" s="17">
        <v>0</v>
      </c>
      <c r="H87" s="6">
        <v>0</v>
      </c>
      <c r="J87" s="14" t="str">
        <f t="shared" si="5"/>
        <v>[30, 'A', 21, 21, 0, 0, 0],</v>
      </c>
    </row>
    <row r="88" spans="1:10" x14ac:dyDescent="0.3">
      <c r="A88" s="3"/>
      <c r="B88" s="11">
        <v>31</v>
      </c>
      <c r="C88" s="11" t="s">
        <v>10</v>
      </c>
      <c r="D88" s="6">
        <v>17</v>
      </c>
      <c r="E88" s="5">
        <f t="shared" si="4"/>
        <v>17</v>
      </c>
      <c r="F88" s="17">
        <v>0</v>
      </c>
      <c r="G88" s="17">
        <v>0</v>
      </c>
      <c r="H88" s="6">
        <v>0</v>
      </c>
      <c r="J88" s="14" t="str">
        <f t="shared" si="5"/>
        <v>[31, 'K', 17, 17, 0, 0, 0],</v>
      </c>
    </row>
    <row r="89" spans="1:10" x14ac:dyDescent="0.3">
      <c r="A89" s="3"/>
      <c r="B89" s="11">
        <v>32</v>
      </c>
      <c r="C89" s="11" t="s">
        <v>11</v>
      </c>
      <c r="D89" s="6">
        <v>21</v>
      </c>
      <c r="E89" s="5">
        <f t="shared" si="4"/>
        <v>21</v>
      </c>
      <c r="F89" s="17">
        <v>0</v>
      </c>
      <c r="G89" s="17">
        <v>0</v>
      </c>
      <c r="H89" s="6">
        <v>0</v>
      </c>
      <c r="J89" s="14" t="str">
        <f t="shared" si="5"/>
        <v>[32, 'Q', 21, 21, 0, 0, 0],</v>
      </c>
    </row>
    <row r="90" spans="1:10" x14ac:dyDescent="0.3">
      <c r="A90" s="3"/>
      <c r="B90" s="11">
        <v>33</v>
      </c>
      <c r="C90" s="11" t="s">
        <v>12</v>
      </c>
      <c r="D90" s="6">
        <v>24</v>
      </c>
      <c r="E90" s="5">
        <f t="shared" si="4"/>
        <v>24</v>
      </c>
      <c r="F90" s="17">
        <v>0</v>
      </c>
      <c r="G90" s="17">
        <v>0</v>
      </c>
      <c r="H90" s="6">
        <v>0</v>
      </c>
      <c r="J90" s="14" t="str">
        <f t="shared" si="5"/>
        <v>[33, 'J', 24, 24, 0, 0, 0],</v>
      </c>
    </row>
    <row r="91" spans="1:10" x14ac:dyDescent="0.3">
      <c r="A91" s="3"/>
      <c r="B91" s="11">
        <v>34</v>
      </c>
      <c r="C91" s="11" t="s">
        <v>13</v>
      </c>
      <c r="D91" s="6">
        <v>23</v>
      </c>
      <c r="E91" s="5">
        <f t="shared" si="4"/>
        <v>23</v>
      </c>
      <c r="F91" s="17">
        <v>0</v>
      </c>
      <c r="G91" s="17">
        <v>0</v>
      </c>
      <c r="H91" s="6">
        <v>0</v>
      </c>
      <c r="J91" s="14" t="str">
        <f t="shared" si="5"/>
        <v>[34, 'TE', 23, 23,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2</v>
      </c>
      <c r="E97" s="5">
        <f t="shared" si="6"/>
        <v>2</v>
      </c>
      <c r="F97" s="17">
        <v>0</v>
      </c>
      <c r="G97" s="17">
        <v>0</v>
      </c>
      <c r="H97" s="6">
        <v>0</v>
      </c>
      <c r="J97" s="14" t="str">
        <f t="shared" si="7"/>
        <v>[10, 'C1', 2, 2, 0, 0, 0],</v>
      </c>
    </row>
    <row r="98" spans="1:10" x14ac:dyDescent="0.3">
      <c r="A98" s="3"/>
      <c r="B98" s="11">
        <v>11</v>
      </c>
      <c r="C98" s="11" t="s">
        <v>2</v>
      </c>
      <c r="D98" s="6">
        <v>0</v>
      </c>
      <c r="E98" s="5">
        <f t="shared" si="6"/>
        <v>0</v>
      </c>
      <c r="F98" s="17">
        <v>0</v>
      </c>
      <c r="G98" s="17">
        <v>0</v>
      </c>
      <c r="H98" s="6">
        <v>0</v>
      </c>
      <c r="J98" s="14" t="str">
        <f t="shared" si="7"/>
        <v>[11, 'C2', 0, 0, 0, 0, 0],</v>
      </c>
    </row>
    <row r="99" spans="1:10" x14ac:dyDescent="0.3">
      <c r="A99" s="3"/>
      <c r="B99" s="11">
        <v>12</v>
      </c>
      <c r="C99" s="11" t="s">
        <v>3</v>
      </c>
      <c r="D99" s="6">
        <v>7</v>
      </c>
      <c r="E99" s="5">
        <f t="shared" si="6"/>
        <v>7</v>
      </c>
      <c r="F99" s="17">
        <v>0</v>
      </c>
      <c r="G99" s="17">
        <v>0</v>
      </c>
      <c r="H99" s="6">
        <v>0</v>
      </c>
      <c r="J99" s="14" t="str">
        <f t="shared" si="7"/>
        <v>[12, 'C3', 7, 7, 0, 0, 0],</v>
      </c>
    </row>
    <row r="100" spans="1:10" x14ac:dyDescent="0.3">
      <c r="A100" s="3"/>
      <c r="B100" s="11">
        <v>20</v>
      </c>
      <c r="C100" s="11" t="s">
        <v>4</v>
      </c>
      <c r="D100" s="6">
        <v>14</v>
      </c>
      <c r="E100" s="5">
        <f t="shared" si="6"/>
        <v>0</v>
      </c>
      <c r="F100" s="17">
        <v>4</v>
      </c>
      <c r="G100" s="17">
        <v>2</v>
      </c>
      <c r="H100" s="6">
        <v>0</v>
      </c>
      <c r="J100" s="14" t="str">
        <f t="shared" si="7"/>
        <v>[20, 'M1', 14, 0, 4, 2, 0],</v>
      </c>
    </row>
    <row r="101" spans="1:10" x14ac:dyDescent="0.3">
      <c r="A101" s="3"/>
      <c r="B101" s="11">
        <v>21</v>
      </c>
      <c r="C101" s="11" t="s">
        <v>5</v>
      </c>
      <c r="D101" s="6">
        <v>24</v>
      </c>
      <c r="E101" s="5">
        <f t="shared" si="6"/>
        <v>0</v>
      </c>
      <c r="F101" s="17">
        <v>9</v>
      </c>
      <c r="G101" s="17">
        <v>2</v>
      </c>
      <c r="H101" s="6">
        <v>0</v>
      </c>
      <c r="J101" s="14" t="str">
        <f t="shared" si="7"/>
        <v>[21, 'M2', 24, 0, 9, 2, 0],</v>
      </c>
    </row>
    <row r="102" spans="1:10" x14ac:dyDescent="0.3">
      <c r="A102" s="3"/>
      <c r="B102" s="11">
        <v>22</v>
      </c>
      <c r="C102" s="11" t="s">
        <v>6</v>
      </c>
      <c r="D102" s="6">
        <v>24</v>
      </c>
      <c r="E102" s="5">
        <f t="shared" si="6"/>
        <v>0</v>
      </c>
      <c r="F102" s="17">
        <v>9</v>
      </c>
      <c r="G102" s="17">
        <v>2</v>
      </c>
      <c r="H102" s="6">
        <v>0</v>
      </c>
      <c r="J102" s="14" t="str">
        <f t="shared" si="7"/>
        <v>[22, 'M3', 24, 0, 9, 2, 0],</v>
      </c>
    </row>
    <row r="103" spans="1:10" x14ac:dyDescent="0.3">
      <c r="A103" s="3"/>
      <c r="B103" s="11">
        <v>23</v>
      </c>
      <c r="C103" s="11" t="s">
        <v>7</v>
      </c>
      <c r="D103" s="6">
        <v>22</v>
      </c>
      <c r="E103" s="5">
        <f t="shared" si="6"/>
        <v>0</v>
      </c>
      <c r="F103" s="17">
        <v>8</v>
      </c>
      <c r="G103" s="17">
        <v>2</v>
      </c>
      <c r="H103" s="6">
        <v>0</v>
      </c>
      <c r="J103" s="14" t="str">
        <f t="shared" si="7"/>
        <v>[23, 'M4', 22, 0, 8, 2, 0],</v>
      </c>
    </row>
    <row r="104" spans="1:10" x14ac:dyDescent="0.3">
      <c r="A104" s="3"/>
      <c r="B104" s="11">
        <v>24</v>
      </c>
      <c r="C104" s="11" t="s">
        <v>8</v>
      </c>
      <c r="D104" s="6">
        <v>22</v>
      </c>
      <c r="E104" s="5">
        <f t="shared" si="6"/>
        <v>0</v>
      </c>
      <c r="F104" s="17">
        <v>8</v>
      </c>
      <c r="G104" s="17">
        <v>2</v>
      </c>
      <c r="H104" s="6">
        <v>0</v>
      </c>
      <c r="J104" s="14" t="str">
        <f t="shared" si="7"/>
        <v>[24, 'M5', 22, 0, 8, 2, 0],</v>
      </c>
    </row>
    <row r="105" spans="1:10" x14ac:dyDescent="0.3">
      <c r="A105" s="3"/>
      <c r="B105" s="11">
        <v>30</v>
      </c>
      <c r="C105" s="11" t="s">
        <v>9</v>
      </c>
      <c r="D105" s="6">
        <v>15</v>
      </c>
      <c r="E105" s="5">
        <f t="shared" si="6"/>
        <v>15</v>
      </c>
      <c r="F105" s="17">
        <v>0</v>
      </c>
      <c r="G105" s="17">
        <v>0</v>
      </c>
      <c r="H105" s="6">
        <v>0</v>
      </c>
      <c r="J105" s="14" t="str">
        <f t="shared" si="7"/>
        <v>[30, 'A', 15, 15, 0, 0, 0],</v>
      </c>
    </row>
    <row r="106" spans="1:10" x14ac:dyDescent="0.3">
      <c r="A106" s="3"/>
      <c r="B106" s="11">
        <v>31</v>
      </c>
      <c r="C106" s="11" t="s">
        <v>10</v>
      </c>
      <c r="D106" s="6">
        <v>20</v>
      </c>
      <c r="E106" s="5">
        <f t="shared" si="6"/>
        <v>20</v>
      </c>
      <c r="F106" s="17">
        <v>0</v>
      </c>
      <c r="G106" s="17">
        <v>0</v>
      </c>
      <c r="H106" s="6">
        <v>0</v>
      </c>
      <c r="J106" s="14" t="str">
        <f t="shared" si="7"/>
        <v>[31, 'K', 20, 20, 0, 0, 0],</v>
      </c>
    </row>
    <row r="107" spans="1:10" x14ac:dyDescent="0.3">
      <c r="A107" s="3"/>
      <c r="B107" s="11">
        <v>32</v>
      </c>
      <c r="C107" s="11" t="s">
        <v>11</v>
      </c>
      <c r="D107" s="6">
        <v>15</v>
      </c>
      <c r="E107" s="5">
        <f t="shared" si="6"/>
        <v>15</v>
      </c>
      <c r="F107" s="17">
        <v>0</v>
      </c>
      <c r="G107" s="17">
        <v>0</v>
      </c>
      <c r="H107" s="6">
        <v>0</v>
      </c>
      <c r="J107" s="14" t="str">
        <f t="shared" si="7"/>
        <v>[32, 'Q', 15, 15, 0, 0, 0],</v>
      </c>
    </row>
    <row r="108" spans="1:10" x14ac:dyDescent="0.3">
      <c r="A108" s="3"/>
      <c r="B108" s="11">
        <v>33</v>
      </c>
      <c r="C108" s="11" t="s">
        <v>12</v>
      </c>
      <c r="D108" s="6">
        <v>22</v>
      </c>
      <c r="E108" s="5">
        <f t="shared" si="6"/>
        <v>22</v>
      </c>
      <c r="F108" s="17">
        <v>0</v>
      </c>
      <c r="G108" s="17">
        <v>0</v>
      </c>
      <c r="H108" s="6">
        <v>0</v>
      </c>
      <c r="J108" s="14" t="str">
        <f t="shared" si="7"/>
        <v>[33, 'J', 22, 22, 0, 0, 0],</v>
      </c>
    </row>
    <row r="109" spans="1:10" x14ac:dyDescent="0.3">
      <c r="A109" s="3"/>
      <c r="B109" s="11">
        <v>34</v>
      </c>
      <c r="C109" s="11" t="s">
        <v>13</v>
      </c>
      <c r="D109" s="6">
        <v>10</v>
      </c>
      <c r="E109" s="5">
        <f t="shared" si="6"/>
        <v>10</v>
      </c>
      <c r="F109" s="17">
        <v>0</v>
      </c>
      <c r="G109" s="17">
        <v>0</v>
      </c>
      <c r="H109" s="6">
        <v>0</v>
      </c>
      <c r="J109" s="14" t="str">
        <f t="shared" si="7"/>
        <v>[34, 'TE', 10, 10,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1</v>
      </c>
      <c r="E115" s="5">
        <f t="shared" si="8"/>
        <v>1</v>
      </c>
      <c r="F115" s="17">
        <v>0</v>
      </c>
      <c r="G115" s="17">
        <v>0</v>
      </c>
      <c r="H115" s="6">
        <v>0</v>
      </c>
      <c r="J115" s="14" t="str">
        <f t="shared" si="9"/>
        <v>[10, 'C1', 1, 1,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8</v>
      </c>
      <c r="E117" s="5">
        <f t="shared" si="8"/>
        <v>8</v>
      </c>
      <c r="F117" s="17">
        <v>0</v>
      </c>
      <c r="G117" s="17">
        <v>0</v>
      </c>
      <c r="H117" s="6">
        <v>0</v>
      </c>
      <c r="J117" s="14" t="str">
        <f t="shared" si="9"/>
        <v>[12, 'C3', 8, 8, 0, 0, 0],</v>
      </c>
    </row>
    <row r="118" spans="1:10" x14ac:dyDescent="0.3">
      <c r="A118" s="3"/>
      <c r="B118" s="11">
        <v>20</v>
      </c>
      <c r="C118" s="11" t="s">
        <v>4</v>
      </c>
      <c r="D118" s="6">
        <v>11</v>
      </c>
      <c r="E118" s="5">
        <f t="shared" si="8"/>
        <v>0</v>
      </c>
      <c r="F118" s="17">
        <v>4</v>
      </c>
      <c r="G118" s="17">
        <v>1</v>
      </c>
      <c r="H118" s="6">
        <v>0</v>
      </c>
      <c r="J118" s="14" t="str">
        <f t="shared" si="9"/>
        <v>[20, 'M1', 11, 0, 4, 1, 0],</v>
      </c>
    </row>
    <row r="119" spans="1:10" x14ac:dyDescent="0.3">
      <c r="A119" s="3"/>
      <c r="B119" s="11">
        <v>21</v>
      </c>
      <c r="C119" s="11" t="s">
        <v>5</v>
      </c>
      <c r="D119" s="6">
        <v>14</v>
      </c>
      <c r="E119" s="5">
        <f t="shared" si="8"/>
        <v>0</v>
      </c>
      <c r="F119" s="17">
        <v>4</v>
      </c>
      <c r="G119" s="17">
        <v>2</v>
      </c>
      <c r="H119" s="6">
        <v>0</v>
      </c>
      <c r="J119" s="14" t="str">
        <f t="shared" si="9"/>
        <v>[21, 'M2', 14, 0, 4, 2, 0],</v>
      </c>
    </row>
    <row r="120" spans="1:10" x14ac:dyDescent="0.3">
      <c r="A120" s="3"/>
      <c r="B120" s="11">
        <v>22</v>
      </c>
      <c r="C120" s="11" t="s">
        <v>6</v>
      </c>
      <c r="D120" s="6">
        <v>14</v>
      </c>
      <c r="E120" s="5">
        <f t="shared" si="8"/>
        <v>0</v>
      </c>
      <c r="F120" s="17">
        <v>4</v>
      </c>
      <c r="G120" s="17">
        <v>2</v>
      </c>
      <c r="H120" s="6">
        <v>0</v>
      </c>
      <c r="J120" s="14" t="str">
        <f t="shared" si="9"/>
        <v>[22, 'M3', 14, 0, 4, 2, 0],</v>
      </c>
    </row>
    <row r="121" spans="1:10" x14ac:dyDescent="0.3">
      <c r="A121" s="3"/>
      <c r="B121" s="11">
        <v>23</v>
      </c>
      <c r="C121" s="11" t="s">
        <v>7</v>
      </c>
      <c r="D121" s="6">
        <v>14</v>
      </c>
      <c r="E121" s="5">
        <f t="shared" si="8"/>
        <v>0</v>
      </c>
      <c r="F121" s="17">
        <v>4</v>
      </c>
      <c r="G121" s="17">
        <v>2</v>
      </c>
      <c r="H121" s="6">
        <v>0</v>
      </c>
      <c r="J121" s="14" t="str">
        <f t="shared" si="9"/>
        <v>[23, 'M4', 14, 0, 4, 2, 0],</v>
      </c>
    </row>
    <row r="122" spans="1:10" x14ac:dyDescent="0.3">
      <c r="A122" s="3"/>
      <c r="B122" s="11">
        <v>24</v>
      </c>
      <c r="C122" s="11" t="s">
        <v>8</v>
      </c>
      <c r="D122" s="6">
        <v>16</v>
      </c>
      <c r="E122" s="5">
        <f t="shared" si="8"/>
        <v>0</v>
      </c>
      <c r="F122" s="17">
        <v>5</v>
      </c>
      <c r="G122" s="17">
        <v>2</v>
      </c>
      <c r="H122" s="6">
        <v>0</v>
      </c>
      <c r="J122" s="14" t="str">
        <f t="shared" si="9"/>
        <v>[24, 'M5', 16, 0, 5, 2, 0],</v>
      </c>
    </row>
    <row r="123" spans="1:10" x14ac:dyDescent="0.3">
      <c r="A123" s="3"/>
      <c r="B123" s="11">
        <v>30</v>
      </c>
      <c r="C123" s="11" t="s">
        <v>9</v>
      </c>
      <c r="D123" s="6">
        <v>8</v>
      </c>
      <c r="E123" s="5">
        <f t="shared" si="8"/>
        <v>8</v>
      </c>
      <c r="F123" s="17">
        <v>0</v>
      </c>
      <c r="G123" s="17">
        <v>0</v>
      </c>
      <c r="H123" s="6">
        <v>0</v>
      </c>
      <c r="J123" s="14" t="str">
        <f t="shared" si="9"/>
        <v>[30, 'A', 8, 8, 0, 0, 0],</v>
      </c>
    </row>
    <row r="124" spans="1:10" x14ac:dyDescent="0.3">
      <c r="A124" s="3"/>
      <c r="B124" s="11">
        <v>31</v>
      </c>
      <c r="C124" s="11" t="s">
        <v>10</v>
      </c>
      <c r="D124" s="6">
        <v>12</v>
      </c>
      <c r="E124" s="5">
        <f t="shared" si="8"/>
        <v>12</v>
      </c>
      <c r="F124" s="17">
        <v>0</v>
      </c>
      <c r="G124" s="17">
        <v>0</v>
      </c>
      <c r="H124" s="6">
        <v>0</v>
      </c>
      <c r="J124" s="14" t="str">
        <f t="shared" si="9"/>
        <v>[31, 'K', 12, 12, 0, 0, 0],</v>
      </c>
    </row>
    <row r="125" spans="1:10" x14ac:dyDescent="0.3">
      <c r="A125" s="3"/>
      <c r="B125" s="11">
        <v>32</v>
      </c>
      <c r="C125" s="11" t="s">
        <v>11</v>
      </c>
      <c r="D125" s="6">
        <v>8</v>
      </c>
      <c r="E125" s="5">
        <f t="shared" si="8"/>
        <v>8</v>
      </c>
      <c r="F125" s="17">
        <v>0</v>
      </c>
      <c r="G125" s="17">
        <v>0</v>
      </c>
      <c r="H125" s="6">
        <v>0</v>
      </c>
      <c r="J125" s="14" t="str">
        <f t="shared" si="9"/>
        <v>[32, 'Q', 8, 8, 0, 0, 0],</v>
      </c>
    </row>
    <row r="126" spans="1:10" x14ac:dyDescent="0.3">
      <c r="A126" s="3"/>
      <c r="B126" s="11">
        <v>33</v>
      </c>
      <c r="C126" s="11" t="s">
        <v>12</v>
      </c>
      <c r="D126" s="6">
        <v>12</v>
      </c>
      <c r="E126" s="5">
        <f t="shared" si="8"/>
        <v>12</v>
      </c>
      <c r="F126" s="17">
        <v>0</v>
      </c>
      <c r="G126" s="17">
        <v>0</v>
      </c>
      <c r="H126" s="6">
        <v>0</v>
      </c>
      <c r="J126" s="14" t="str">
        <f t="shared" si="9"/>
        <v>[33, 'J', 12, 12, 0, 0, 0],</v>
      </c>
    </row>
    <row r="127" spans="1:10" x14ac:dyDescent="0.3">
      <c r="A127" s="3"/>
      <c r="B127" s="11">
        <v>34</v>
      </c>
      <c r="C127" s="11" t="s">
        <v>13</v>
      </c>
      <c r="D127" s="6">
        <v>9</v>
      </c>
      <c r="E127" s="5">
        <f t="shared" si="8"/>
        <v>9</v>
      </c>
      <c r="F127" s="17">
        <v>0</v>
      </c>
      <c r="G127" s="17">
        <v>0</v>
      </c>
      <c r="H127" s="6">
        <v>0</v>
      </c>
      <c r="J127" s="14" t="str">
        <f t="shared" si="9"/>
        <v>[34, 'TE', 9, 9,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Q110:R127 T42:T55 L58 P95:Q109 N58:O58 K77:L91 Q58:R58 K95:L95 Q76:R76 J92:L92 K111:P111 R109 P110 N112:P112 N96:O110 J60:J73 J78:J91 J96:L110 J114:J127 A3:A7 Y7:Z10 X12:Z12 A8:L8 A128:R142 A39:I39 A9:G10 H10:R10 S3:Z6 S11:Z11 A40:Y40 B1:Z1 A2:Z2 M21:R21 S7:S10 A143:Z1048576 A22:R38 S13:Z38 K39:Z39 A41:E127 H9 J9:R9 H20:R20 M11:R19 A20:G21 A11:A19 H58:I127 H42:L56 H57:R57 H41:I41">
    <cfRule type="cellIs" dxfId="102" priority="22" operator="equal">
      <formula>0</formula>
    </cfRule>
  </conditionalFormatting>
  <conditionalFormatting sqref="J74">
    <cfRule type="cellIs" dxfId="101" priority="21" operator="equal">
      <formula>0</formula>
    </cfRule>
  </conditionalFormatting>
  <conditionalFormatting sqref="E41:E127">
    <cfRule type="cellIs" dxfId="100" priority="20" operator="lessThan">
      <formula>0</formula>
    </cfRule>
  </conditionalFormatting>
  <conditionalFormatting sqref="T7:X10">
    <cfRule type="cellIs" dxfId="99" priority="19" operator="equal">
      <formula>0</formula>
    </cfRule>
  </conditionalFormatting>
  <conditionalFormatting sqref="B20:F2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{31C189B3-36C0-41AC-9C38-C637838421DA}</x14:id>
        </ext>
      </extLst>
    </cfRule>
  </conditionalFormatting>
  <conditionalFormatting sqref="H5:L5">
    <cfRule type="cellIs" dxfId="98" priority="17" operator="equal">
      <formula>0</formula>
    </cfRule>
  </conditionalFormatting>
  <conditionalFormatting sqref="P8:Q8 M8:N8">
    <cfRule type="cellIs" dxfId="97" priority="16" operator="equal">
      <formula>0</formula>
    </cfRule>
  </conditionalFormatting>
  <conditionalFormatting sqref="B3:F7">
    <cfRule type="cellIs" dxfId="96" priority="14" operator="equal">
      <formula>0</formula>
    </cfRule>
  </conditionalFormatting>
  <conditionalFormatting sqref="I9">
    <cfRule type="cellIs" dxfId="95" priority="12" operator="equal">
      <formula>0</formula>
    </cfRule>
  </conditionalFormatting>
  <conditionalFormatting sqref="H6:L6">
    <cfRule type="cellIs" dxfId="94" priority="11" operator="equal">
      <formula>0</formula>
    </cfRule>
  </conditionalFormatting>
  <conditionalFormatting sqref="H4:L4">
    <cfRule type="cellIs" dxfId="93" priority="10" operator="equal">
      <formula>0</formula>
    </cfRule>
  </conditionalFormatting>
  <conditionalFormatting sqref="B11:L15 B16:K19">
    <cfRule type="cellIs" dxfId="92" priority="9" operator="equal">
      <formula>0</formula>
    </cfRule>
  </conditionalFormatting>
  <conditionalFormatting sqref="B11:F1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{39E320BA-5331-4085-91D9-7AC9DC6F21AF}</x14:id>
        </ext>
      </extLst>
    </cfRule>
  </conditionalFormatting>
  <conditionalFormatting sqref="L16:L19">
    <cfRule type="cellIs" dxfId="91" priority="7" operator="equal">
      <formula>0</formula>
    </cfRule>
  </conditionalFormatting>
  <conditionalFormatting sqref="F41:G50 F56:G68 G51:G55 G69:G73 F92:G104 G87:G91 F110:G122 G105:G109 G123:G127 F74:G86">
    <cfRule type="cellIs" dxfId="90" priority="6" operator="equal">
      <formula>0</formula>
    </cfRule>
  </conditionalFormatting>
  <conditionalFormatting sqref="F105:F109">
    <cfRule type="cellIs" dxfId="89" priority="5" operator="equal">
      <formula>0</formula>
    </cfRule>
  </conditionalFormatting>
  <conditionalFormatting sqref="F123:F127">
    <cfRule type="cellIs" dxfId="88" priority="4" operator="equal">
      <formula>0</formula>
    </cfRule>
  </conditionalFormatting>
  <conditionalFormatting sqref="F87:F91">
    <cfRule type="cellIs" dxfId="87" priority="3" operator="equal">
      <formula>0</formula>
    </cfRule>
  </conditionalFormatting>
  <conditionalFormatting sqref="F69:F73">
    <cfRule type="cellIs" dxfId="86" priority="2" operator="equal">
      <formula>0</formula>
    </cfRule>
  </conditionalFormatting>
  <conditionalFormatting sqref="F51:F55">
    <cfRule type="cellIs" dxfId="85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C189B3-36C0-41AC-9C38-C637838421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B20:F20</xm:sqref>
        </x14:conditionalFormatting>
        <x14:conditionalFormatting xmlns:xm="http://schemas.microsoft.com/office/excel/2006/main">
          <x14:cfRule type="dataBar" id="{39E320BA-5331-4085-91D9-7AC9DC6F21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C58E-AF05-44FC-BEAF-D16F07EB8FAC}">
  <dimension ref="A1:R128"/>
  <sheetViews>
    <sheetView topLeftCell="A58"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20" width="8.6640625" style="3"/>
    <col min="21" max="25" width="7" style="3" customWidth="1"/>
    <col min="26" max="16384" width="8.6640625" style="3"/>
  </cols>
  <sheetData>
    <row r="1" spans="1:18" x14ac:dyDescent="0.3">
      <c r="A1" s="1" t="s">
        <v>33</v>
      </c>
      <c r="B1" s="1">
        <v>6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2</v>
      </c>
      <c r="C4" s="21">
        <v>4</v>
      </c>
      <c r="D4" s="21">
        <v>3</v>
      </c>
      <c r="E4" s="21">
        <v>4</v>
      </c>
      <c r="F4" s="21">
        <v>2</v>
      </c>
      <c r="H4" s="17">
        <v>2</v>
      </c>
      <c r="I4" s="17">
        <v>4</v>
      </c>
      <c r="J4" s="17">
        <v>3</v>
      </c>
      <c r="K4" s="17">
        <v>4</v>
      </c>
      <c r="L4" s="17">
        <v>2</v>
      </c>
      <c r="N4" s="6">
        <v>2</v>
      </c>
      <c r="O4" s="6">
        <v>4</v>
      </c>
      <c r="P4" s="6">
        <v>3</v>
      </c>
      <c r="Q4" s="6">
        <v>4</v>
      </c>
      <c r="R4" s="6">
        <v>2</v>
      </c>
    </row>
    <row r="5" spans="1:18" x14ac:dyDescent="0.3">
      <c r="A5" s="1" t="s">
        <v>2</v>
      </c>
      <c r="B5" s="8">
        <v>0</v>
      </c>
      <c r="C5" s="8">
        <v>0</v>
      </c>
      <c r="D5" s="8">
        <v>10</v>
      </c>
      <c r="E5" s="8">
        <v>0</v>
      </c>
      <c r="F5" s="8">
        <v>0</v>
      </c>
      <c r="H5" s="17">
        <v>0</v>
      </c>
      <c r="I5" s="17">
        <v>0</v>
      </c>
      <c r="J5" s="17">
        <v>10</v>
      </c>
      <c r="K5" s="17">
        <v>0</v>
      </c>
      <c r="L5" s="17">
        <v>0</v>
      </c>
      <c r="N5" s="6">
        <v>0</v>
      </c>
      <c r="O5" s="6">
        <v>0</v>
      </c>
      <c r="P5" s="6">
        <v>10</v>
      </c>
      <c r="Q5" s="6">
        <v>0</v>
      </c>
      <c r="R5" s="6">
        <v>0</v>
      </c>
    </row>
    <row r="6" spans="1:18" x14ac:dyDescent="0.3">
      <c r="A6" s="1" t="s">
        <v>3</v>
      </c>
      <c r="B6" s="8">
        <v>9</v>
      </c>
      <c r="C6" s="8">
        <v>8</v>
      </c>
      <c r="D6" s="8">
        <v>28</v>
      </c>
      <c r="E6" s="8">
        <v>9</v>
      </c>
      <c r="F6" s="8">
        <v>6</v>
      </c>
      <c r="H6" s="17">
        <v>9</v>
      </c>
      <c r="I6" s="17">
        <v>8</v>
      </c>
      <c r="J6" s="17">
        <v>28</v>
      </c>
      <c r="K6" s="17">
        <v>9</v>
      </c>
      <c r="L6" s="17">
        <v>6</v>
      </c>
      <c r="N6" s="6">
        <v>9</v>
      </c>
      <c r="O6" s="6">
        <v>8</v>
      </c>
      <c r="P6" s="6">
        <v>28</v>
      </c>
      <c r="Q6" s="6">
        <v>9</v>
      </c>
      <c r="R6" s="6">
        <v>6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89</v>
      </c>
      <c r="C8" s="3">
        <v>208</v>
      </c>
      <c r="D8" s="3">
        <v>209</v>
      </c>
      <c r="E8" s="3">
        <v>187</v>
      </c>
      <c r="F8" s="3">
        <v>122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19"/>
      <c r="I20" s="19"/>
      <c r="J20" s="19"/>
      <c r="K20" s="19"/>
      <c r="L20" s="19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2</v>
      </c>
      <c r="C24" s="8">
        <v>4</v>
      </c>
      <c r="D24" s="8">
        <v>3</v>
      </c>
      <c r="E24" s="8">
        <v>4</v>
      </c>
      <c r="F24" s="8">
        <v>2</v>
      </c>
    </row>
    <row r="25" spans="1:12" x14ac:dyDescent="0.3">
      <c r="A25" s="1" t="s">
        <v>2</v>
      </c>
      <c r="B25" s="8">
        <v>0</v>
      </c>
      <c r="C25" s="7">
        <v>0</v>
      </c>
      <c r="D25" s="7">
        <v>10</v>
      </c>
      <c r="E25" s="7">
        <v>0</v>
      </c>
      <c r="F25" s="8">
        <v>0</v>
      </c>
    </row>
    <row r="26" spans="1:12" x14ac:dyDescent="0.3">
      <c r="A26" s="1" t="s">
        <v>3</v>
      </c>
      <c r="B26" s="8">
        <v>9</v>
      </c>
      <c r="C26" s="8">
        <v>8</v>
      </c>
      <c r="D26" s="8">
        <v>28</v>
      </c>
      <c r="E26" s="8">
        <v>9</v>
      </c>
      <c r="F26" s="8">
        <v>6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17</v>
      </c>
      <c r="D27" s="8">
        <v>16</v>
      </c>
      <c r="E27" s="8">
        <v>13</v>
      </c>
      <c r="F27" s="8">
        <v>11</v>
      </c>
    </row>
    <row r="28" spans="1:12" x14ac:dyDescent="0.3">
      <c r="A28" s="1" t="s">
        <v>5</v>
      </c>
      <c r="B28" s="8">
        <v>8</v>
      </c>
      <c r="C28" s="8">
        <v>30</v>
      </c>
      <c r="D28" s="8">
        <v>28</v>
      </c>
      <c r="E28" s="8">
        <v>24</v>
      </c>
      <c r="F28" s="8">
        <v>14</v>
      </c>
    </row>
    <row r="29" spans="1:12" x14ac:dyDescent="0.3">
      <c r="A29" s="1" t="s">
        <v>6</v>
      </c>
      <c r="B29" s="8">
        <v>13</v>
      </c>
      <c r="C29" s="8">
        <v>22</v>
      </c>
      <c r="D29" s="8">
        <v>28</v>
      </c>
      <c r="E29" s="8">
        <v>24</v>
      </c>
      <c r="F29" s="8">
        <v>14</v>
      </c>
    </row>
    <row r="30" spans="1:12" x14ac:dyDescent="0.3">
      <c r="A30" s="1" t="s">
        <v>7</v>
      </c>
      <c r="B30" s="8">
        <v>11</v>
      </c>
      <c r="C30" s="8">
        <v>22</v>
      </c>
      <c r="D30" s="8">
        <v>14</v>
      </c>
      <c r="E30" s="8">
        <v>22</v>
      </c>
      <c r="F30" s="8">
        <v>14</v>
      </c>
    </row>
    <row r="31" spans="1:12" x14ac:dyDescent="0.3">
      <c r="A31" s="1" t="s">
        <v>8</v>
      </c>
      <c r="B31" s="8">
        <v>11</v>
      </c>
      <c r="C31" s="8">
        <v>16</v>
      </c>
      <c r="D31" s="8">
        <v>16</v>
      </c>
      <c r="E31" s="8">
        <v>22</v>
      </c>
      <c r="F31" s="8">
        <v>17</v>
      </c>
    </row>
    <row r="32" spans="1:12" x14ac:dyDescent="0.3">
      <c r="A32" s="1" t="s">
        <v>9</v>
      </c>
      <c r="B32" s="8">
        <v>5</v>
      </c>
      <c r="C32" s="8">
        <v>24</v>
      </c>
      <c r="D32" s="8">
        <v>20</v>
      </c>
      <c r="E32" s="8">
        <v>15</v>
      </c>
      <c r="F32" s="8">
        <v>8</v>
      </c>
    </row>
    <row r="33" spans="1:10" x14ac:dyDescent="0.3">
      <c r="A33" s="1" t="s">
        <v>10</v>
      </c>
      <c r="B33" s="8">
        <v>9</v>
      </c>
      <c r="C33" s="8">
        <v>22</v>
      </c>
      <c r="D33" s="8">
        <v>16</v>
      </c>
      <c r="E33" s="8">
        <v>20</v>
      </c>
      <c r="F33" s="8">
        <v>12</v>
      </c>
    </row>
    <row r="34" spans="1:10" x14ac:dyDescent="0.3">
      <c r="A34" s="1" t="s">
        <v>11</v>
      </c>
      <c r="B34" s="8">
        <v>9</v>
      </c>
      <c r="C34" s="8">
        <v>16</v>
      </c>
      <c r="D34" s="8">
        <v>20</v>
      </c>
      <c r="E34" s="8">
        <v>15</v>
      </c>
      <c r="F34" s="8">
        <v>8</v>
      </c>
    </row>
    <row r="35" spans="1:10" x14ac:dyDescent="0.3">
      <c r="A35" s="1" t="s">
        <v>12</v>
      </c>
      <c r="B35" s="8">
        <v>9</v>
      </c>
      <c r="C35" s="8">
        <v>16</v>
      </c>
      <c r="D35" s="8">
        <v>22</v>
      </c>
      <c r="E35" s="8">
        <v>22</v>
      </c>
      <c r="F35" s="8">
        <v>12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8</v>
      </c>
      <c r="C36" s="8">
        <v>17</v>
      </c>
      <c r="D36" s="8">
        <v>23</v>
      </c>
      <c r="E36" s="8">
        <v>7</v>
      </c>
      <c r="F36" s="8">
        <v>9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2</v>
      </c>
      <c r="E43" s="5">
        <f t="shared" si="0"/>
        <v>2</v>
      </c>
      <c r="F43" s="17">
        <v>0</v>
      </c>
      <c r="G43" s="17">
        <v>0</v>
      </c>
      <c r="H43" s="6">
        <v>0</v>
      </c>
      <c r="J43" s="14" t="str">
        <f t="shared" si="1"/>
        <v>[10, 'C1', 2, 2,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9</v>
      </c>
      <c r="E45" s="5">
        <f t="shared" si="0"/>
        <v>9</v>
      </c>
      <c r="F45" s="17">
        <v>0</v>
      </c>
      <c r="G45" s="17">
        <v>0</v>
      </c>
      <c r="H45" s="6">
        <v>0</v>
      </c>
      <c r="J45" s="14" t="str">
        <f t="shared" si="1"/>
        <v>[12, 'C3', 9, 9,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13</v>
      </c>
      <c r="E48" s="5">
        <f t="shared" si="0"/>
        <v>0</v>
      </c>
      <c r="F48" s="17">
        <v>5</v>
      </c>
      <c r="G48" s="17">
        <v>1</v>
      </c>
      <c r="H48" s="6">
        <v>0</v>
      </c>
      <c r="J48" s="14" t="str">
        <f t="shared" si="1"/>
        <v>[22, 'M3', 13, 0, 5, 1, 0],</v>
      </c>
    </row>
    <row r="49" spans="1:10" x14ac:dyDescent="0.3">
      <c r="B49" s="11">
        <v>23</v>
      </c>
      <c r="C49" s="11" t="s">
        <v>7</v>
      </c>
      <c r="D49" s="6">
        <v>11</v>
      </c>
      <c r="E49" s="5">
        <f t="shared" si="0"/>
        <v>0</v>
      </c>
      <c r="F49" s="17">
        <v>4</v>
      </c>
      <c r="G49" s="17">
        <v>1</v>
      </c>
      <c r="H49" s="6">
        <v>0</v>
      </c>
      <c r="J49" s="14" t="str">
        <f t="shared" si="1"/>
        <v>[23, 'M4', 11, 0, 4, 1, 0],</v>
      </c>
    </row>
    <row r="50" spans="1:10" x14ac:dyDescent="0.3">
      <c r="A50" s="3"/>
      <c r="B50" s="11">
        <v>24</v>
      </c>
      <c r="C50" s="11" t="s">
        <v>8</v>
      </c>
      <c r="D50" s="6">
        <v>11</v>
      </c>
      <c r="E50" s="5">
        <f t="shared" si="0"/>
        <v>0</v>
      </c>
      <c r="F50" s="17">
        <v>4</v>
      </c>
      <c r="G50" s="17">
        <v>1</v>
      </c>
      <c r="H50" s="6">
        <v>0</v>
      </c>
      <c r="J50" s="14" t="str">
        <f t="shared" si="1"/>
        <v>[24, 'M5', 11, 0, 4, 1,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9</v>
      </c>
      <c r="E52" s="5">
        <f t="shared" si="0"/>
        <v>9</v>
      </c>
      <c r="F52" s="17">
        <v>0</v>
      </c>
      <c r="G52" s="17">
        <v>0</v>
      </c>
      <c r="H52" s="6">
        <v>0</v>
      </c>
      <c r="J52" s="14" t="str">
        <f t="shared" si="1"/>
        <v>[31, 'K', 9, 9, 0, 0, 0],</v>
      </c>
    </row>
    <row r="53" spans="1:10" x14ac:dyDescent="0.3">
      <c r="A53" s="3"/>
      <c r="B53" s="11">
        <v>32</v>
      </c>
      <c r="C53" s="11" t="s">
        <v>11</v>
      </c>
      <c r="D53" s="6">
        <v>9</v>
      </c>
      <c r="E53" s="5">
        <f t="shared" si="0"/>
        <v>9</v>
      </c>
      <c r="F53" s="17">
        <v>0</v>
      </c>
      <c r="G53" s="17">
        <v>0</v>
      </c>
      <c r="H53" s="6">
        <v>0</v>
      </c>
      <c r="J53" s="14" t="str">
        <f t="shared" si="1"/>
        <v>[32, 'Q', 9, 9, 0, 0, 0],</v>
      </c>
    </row>
    <row r="54" spans="1:10" x14ac:dyDescent="0.3">
      <c r="A54" s="3"/>
      <c r="B54" s="11">
        <v>33</v>
      </c>
      <c r="C54" s="11" t="s">
        <v>12</v>
      </c>
      <c r="D54" s="6">
        <v>9</v>
      </c>
      <c r="E54" s="5">
        <f t="shared" si="0"/>
        <v>9</v>
      </c>
      <c r="F54" s="17">
        <v>0</v>
      </c>
      <c r="G54" s="17">
        <v>0</v>
      </c>
      <c r="H54" s="6">
        <v>0</v>
      </c>
      <c r="J54" s="14" t="str">
        <f t="shared" si="1"/>
        <v>[33, 'J', 9, 9, 0, 0, 0],</v>
      </c>
    </row>
    <row r="55" spans="1:10" x14ac:dyDescent="0.3">
      <c r="A55" s="3"/>
      <c r="B55" s="11">
        <v>34</v>
      </c>
      <c r="C55" s="11" t="s">
        <v>13</v>
      </c>
      <c r="D55" s="6">
        <v>8</v>
      </c>
      <c r="E55" s="5">
        <f t="shared" si="0"/>
        <v>8</v>
      </c>
      <c r="F55" s="17">
        <v>0</v>
      </c>
      <c r="G55" s="17">
        <v>0</v>
      </c>
      <c r="H55" s="6">
        <v>0</v>
      </c>
      <c r="J55" s="14" t="str">
        <f t="shared" si="1"/>
        <v>[34, 'TE', 8, 8,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4</v>
      </c>
      <c r="E61" s="5">
        <f t="shared" si="2"/>
        <v>4</v>
      </c>
      <c r="F61" s="17">
        <v>0</v>
      </c>
      <c r="G61" s="17">
        <v>0</v>
      </c>
      <c r="H61" s="6">
        <v>0</v>
      </c>
      <c r="J61" s="14" t="str">
        <f t="shared" si="3"/>
        <v>[10, 'C1', 4, 4, 0, 0, 0],</v>
      </c>
    </row>
    <row r="62" spans="1:10" x14ac:dyDescent="0.3">
      <c r="A62" s="3"/>
      <c r="B62" s="11">
        <v>11</v>
      </c>
      <c r="C62" s="11" t="s">
        <v>2</v>
      </c>
      <c r="D62" s="6">
        <v>0</v>
      </c>
      <c r="E62" s="5">
        <f t="shared" si="2"/>
        <v>0</v>
      </c>
      <c r="F62" s="17">
        <v>0</v>
      </c>
      <c r="G62" s="17">
        <v>0</v>
      </c>
      <c r="H62" s="6">
        <v>0</v>
      </c>
      <c r="J62" s="14" t="str">
        <f t="shared" si="3"/>
        <v>[11, 'C2', 0, 0, 0, 0, 0],</v>
      </c>
    </row>
    <row r="63" spans="1:10" x14ac:dyDescent="0.3">
      <c r="A63" s="3"/>
      <c r="B63" s="11">
        <v>12</v>
      </c>
      <c r="C63" s="11" t="s">
        <v>3</v>
      </c>
      <c r="D63" s="6">
        <v>8</v>
      </c>
      <c r="E63" s="5">
        <f t="shared" si="2"/>
        <v>8</v>
      </c>
      <c r="F63" s="17">
        <v>0</v>
      </c>
      <c r="G63" s="17">
        <v>0</v>
      </c>
      <c r="H63" s="6">
        <v>0</v>
      </c>
      <c r="J63" s="14" t="str">
        <f t="shared" si="3"/>
        <v>[12, 'C3', 8, 8, 0, 0, 0],</v>
      </c>
    </row>
    <row r="64" spans="1:10" x14ac:dyDescent="0.3">
      <c r="A64" s="3"/>
      <c r="B64" s="11">
        <v>20</v>
      </c>
      <c r="C64" s="11" t="s">
        <v>4</v>
      </c>
      <c r="D64" s="6">
        <v>17</v>
      </c>
      <c r="E64" s="5">
        <f t="shared" si="2"/>
        <v>0</v>
      </c>
      <c r="F64" s="17">
        <v>4</v>
      </c>
      <c r="G64" s="17">
        <v>3</v>
      </c>
      <c r="H64" s="6">
        <v>0</v>
      </c>
      <c r="J64" s="14" t="str">
        <f t="shared" si="3"/>
        <v>[20, 'M1', 17, 0, 4, 3, 0],</v>
      </c>
    </row>
    <row r="65" spans="1:10" x14ac:dyDescent="0.3">
      <c r="A65" s="3"/>
      <c r="B65" s="11">
        <v>21</v>
      </c>
      <c r="C65" s="11" t="s">
        <v>5</v>
      </c>
      <c r="D65" s="6">
        <v>30</v>
      </c>
      <c r="E65" s="5">
        <f t="shared" si="2"/>
        <v>0</v>
      </c>
      <c r="F65" s="17">
        <v>6</v>
      </c>
      <c r="G65" s="17">
        <v>6</v>
      </c>
      <c r="H65" s="6">
        <v>0</v>
      </c>
      <c r="J65" s="14" t="str">
        <f t="shared" si="3"/>
        <v>[21, 'M2', 30, 0, 6, 6,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17</v>
      </c>
      <c r="E73" s="5">
        <f t="shared" si="2"/>
        <v>17</v>
      </c>
      <c r="F73" s="17">
        <v>0</v>
      </c>
      <c r="G73" s="17">
        <v>0</v>
      </c>
      <c r="H73" s="6">
        <v>0</v>
      </c>
      <c r="J73" s="14" t="str">
        <f t="shared" si="3"/>
        <v>[34, 'TE', 17, 17,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3</v>
      </c>
      <c r="E79" s="5">
        <f t="shared" si="4"/>
        <v>3</v>
      </c>
      <c r="F79" s="17">
        <v>0</v>
      </c>
      <c r="G79" s="17">
        <v>0</v>
      </c>
      <c r="H79" s="6">
        <v>0</v>
      </c>
      <c r="J79" s="14" t="str">
        <f t="shared" si="5"/>
        <v>[10, 'C1', 3, 3, 0, 0, 0],</v>
      </c>
    </row>
    <row r="80" spans="1:10" x14ac:dyDescent="0.3">
      <c r="A80" s="3"/>
      <c r="B80" s="11">
        <v>11</v>
      </c>
      <c r="C80" s="11" t="s">
        <v>2</v>
      </c>
      <c r="D80" s="6">
        <v>10</v>
      </c>
      <c r="E80" s="5">
        <f t="shared" si="4"/>
        <v>10</v>
      </c>
      <c r="F80" s="17">
        <v>0</v>
      </c>
      <c r="G80" s="17">
        <v>0</v>
      </c>
      <c r="H80" s="6">
        <v>0</v>
      </c>
      <c r="J80" s="14" t="str">
        <f t="shared" si="5"/>
        <v>[11, 'C2', 10, 10, 0, 0, 0],</v>
      </c>
    </row>
    <row r="81" spans="1:10" x14ac:dyDescent="0.3">
      <c r="A81" s="3"/>
      <c r="B81" s="11">
        <v>12</v>
      </c>
      <c r="C81" s="11" t="s">
        <v>3</v>
      </c>
      <c r="D81" s="6">
        <v>28</v>
      </c>
      <c r="E81" s="5">
        <f t="shared" si="4"/>
        <v>28</v>
      </c>
      <c r="F81" s="17">
        <v>0</v>
      </c>
      <c r="G81" s="17">
        <v>0</v>
      </c>
      <c r="H81" s="6">
        <v>0</v>
      </c>
      <c r="J81" s="14" t="str">
        <f t="shared" si="5"/>
        <v>[12, 'C3', 28, 28, 0, 0, 0],</v>
      </c>
    </row>
    <row r="82" spans="1:10" x14ac:dyDescent="0.3">
      <c r="A82" s="3"/>
      <c r="B82" s="11">
        <v>20</v>
      </c>
      <c r="C82" s="11" t="s">
        <v>4</v>
      </c>
      <c r="D82" s="6">
        <v>16</v>
      </c>
      <c r="E82" s="5">
        <f t="shared" si="4"/>
        <v>0</v>
      </c>
      <c r="F82" s="17">
        <v>5</v>
      </c>
      <c r="G82" s="17">
        <v>2</v>
      </c>
      <c r="H82" s="6">
        <v>0</v>
      </c>
      <c r="J82" s="14" t="str">
        <f t="shared" si="5"/>
        <v>[20, 'M1', 16, 0, 5, 2, 0],</v>
      </c>
    </row>
    <row r="83" spans="1:10" x14ac:dyDescent="0.3">
      <c r="A83" s="3"/>
      <c r="B83" s="11">
        <v>21</v>
      </c>
      <c r="C83" s="11" t="s">
        <v>5</v>
      </c>
      <c r="D83" s="6">
        <v>28</v>
      </c>
      <c r="E83" s="5">
        <f t="shared" si="4"/>
        <v>0</v>
      </c>
      <c r="F83" s="17">
        <v>11</v>
      </c>
      <c r="G83" s="17">
        <v>2</v>
      </c>
      <c r="H83" s="6">
        <v>0</v>
      </c>
      <c r="J83" s="14" t="str">
        <f t="shared" si="5"/>
        <v>[21, 'M2', 28, 0, 11, 2, 0],</v>
      </c>
    </row>
    <row r="84" spans="1:10" x14ac:dyDescent="0.3">
      <c r="A84" s="3"/>
      <c r="B84" s="11">
        <v>22</v>
      </c>
      <c r="C84" s="11" t="s">
        <v>6</v>
      </c>
      <c r="D84" s="6">
        <v>28</v>
      </c>
      <c r="E84" s="5">
        <f t="shared" si="4"/>
        <v>0</v>
      </c>
      <c r="F84" s="17">
        <v>11</v>
      </c>
      <c r="G84" s="17">
        <v>2</v>
      </c>
      <c r="H84" s="6">
        <v>0</v>
      </c>
      <c r="J84" s="14" t="str">
        <f t="shared" si="5"/>
        <v>[22, 'M3', 28, 0, 11, 2, 0],</v>
      </c>
    </row>
    <row r="85" spans="1:10" x14ac:dyDescent="0.3">
      <c r="A85" s="3"/>
      <c r="B85" s="11">
        <v>23</v>
      </c>
      <c r="C85" s="11" t="s">
        <v>7</v>
      </c>
      <c r="D85" s="6">
        <v>14</v>
      </c>
      <c r="E85" s="5">
        <f t="shared" si="4"/>
        <v>0</v>
      </c>
      <c r="F85" s="17">
        <v>4</v>
      </c>
      <c r="G85" s="17">
        <v>2</v>
      </c>
      <c r="H85" s="6">
        <v>0</v>
      </c>
      <c r="J85" s="14" t="str">
        <f t="shared" si="5"/>
        <v>[23, 'M4', 14, 0, 4, 2, 0],</v>
      </c>
    </row>
    <row r="86" spans="1:10" x14ac:dyDescent="0.3">
      <c r="A86" s="3"/>
      <c r="B86" s="11">
        <v>24</v>
      </c>
      <c r="C86" s="11" t="s">
        <v>8</v>
      </c>
      <c r="D86" s="6">
        <v>16</v>
      </c>
      <c r="E86" s="5">
        <f t="shared" si="4"/>
        <v>0</v>
      </c>
      <c r="F86" s="17">
        <v>5</v>
      </c>
      <c r="G86" s="17">
        <v>2</v>
      </c>
      <c r="H86" s="6">
        <v>0</v>
      </c>
      <c r="J86" s="14" t="str">
        <f t="shared" si="5"/>
        <v>[24, 'M5', 16, 0, 5, 2, 0],</v>
      </c>
    </row>
    <row r="87" spans="1:10" x14ac:dyDescent="0.3">
      <c r="A87" s="3"/>
      <c r="B87" s="11">
        <v>30</v>
      </c>
      <c r="C87" s="11" t="s">
        <v>9</v>
      </c>
      <c r="D87" s="6">
        <v>20</v>
      </c>
      <c r="E87" s="5">
        <f t="shared" si="4"/>
        <v>20</v>
      </c>
      <c r="F87" s="17">
        <v>0</v>
      </c>
      <c r="G87" s="17">
        <v>0</v>
      </c>
      <c r="H87" s="6">
        <v>0</v>
      </c>
      <c r="J87" s="14" t="str">
        <f t="shared" si="5"/>
        <v>[30, 'A', 20, 20, 0, 0, 0],</v>
      </c>
    </row>
    <row r="88" spans="1:10" x14ac:dyDescent="0.3">
      <c r="A88" s="3"/>
      <c r="B88" s="11">
        <v>31</v>
      </c>
      <c r="C88" s="11" t="s">
        <v>10</v>
      </c>
      <c r="D88" s="6">
        <v>16</v>
      </c>
      <c r="E88" s="5">
        <f t="shared" si="4"/>
        <v>16</v>
      </c>
      <c r="F88" s="17">
        <v>0</v>
      </c>
      <c r="G88" s="17">
        <v>0</v>
      </c>
      <c r="H88" s="6">
        <v>0</v>
      </c>
      <c r="J88" s="14" t="str">
        <f t="shared" si="5"/>
        <v>[31, 'K', 16, 16, 0, 0, 0],</v>
      </c>
    </row>
    <row r="89" spans="1:10" x14ac:dyDescent="0.3">
      <c r="A89" s="3"/>
      <c r="B89" s="11">
        <v>32</v>
      </c>
      <c r="C89" s="11" t="s">
        <v>11</v>
      </c>
      <c r="D89" s="6">
        <v>20</v>
      </c>
      <c r="E89" s="5">
        <f t="shared" si="4"/>
        <v>20</v>
      </c>
      <c r="F89" s="17">
        <v>0</v>
      </c>
      <c r="G89" s="17">
        <v>0</v>
      </c>
      <c r="H89" s="6">
        <v>0</v>
      </c>
      <c r="J89" s="14" t="str">
        <f t="shared" si="5"/>
        <v>[32, 'Q', 20, 20, 0, 0, 0],</v>
      </c>
    </row>
    <row r="90" spans="1:10" x14ac:dyDescent="0.3">
      <c r="A90" s="3"/>
      <c r="B90" s="11">
        <v>33</v>
      </c>
      <c r="C90" s="11" t="s">
        <v>12</v>
      </c>
      <c r="D90" s="6">
        <v>22</v>
      </c>
      <c r="E90" s="5">
        <f t="shared" si="4"/>
        <v>22</v>
      </c>
      <c r="F90" s="17">
        <v>0</v>
      </c>
      <c r="G90" s="17">
        <v>0</v>
      </c>
      <c r="H90" s="6">
        <v>0</v>
      </c>
      <c r="J90" s="14" t="str">
        <f t="shared" si="5"/>
        <v>[33, 'J', 22, 22, 0, 0, 0],</v>
      </c>
    </row>
    <row r="91" spans="1:10" x14ac:dyDescent="0.3">
      <c r="A91" s="3"/>
      <c r="B91" s="11">
        <v>34</v>
      </c>
      <c r="C91" s="11" t="s">
        <v>13</v>
      </c>
      <c r="D91" s="6">
        <v>23</v>
      </c>
      <c r="E91" s="5">
        <f t="shared" si="4"/>
        <v>23</v>
      </c>
      <c r="F91" s="17">
        <v>0</v>
      </c>
      <c r="G91" s="17">
        <v>0</v>
      </c>
      <c r="H91" s="6">
        <v>0</v>
      </c>
      <c r="J91" s="14" t="str">
        <f t="shared" si="5"/>
        <v>[34, 'TE', 23, 23,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4</v>
      </c>
      <c r="E97" s="5">
        <f t="shared" si="6"/>
        <v>4</v>
      </c>
      <c r="F97" s="17">
        <v>0</v>
      </c>
      <c r="G97" s="17">
        <v>0</v>
      </c>
      <c r="H97" s="6">
        <v>0</v>
      </c>
      <c r="J97" s="14" t="str">
        <f t="shared" si="7"/>
        <v>[10, 'C1', 4, 4, 0, 0, 0],</v>
      </c>
    </row>
    <row r="98" spans="1:10" x14ac:dyDescent="0.3">
      <c r="A98" s="3"/>
      <c r="B98" s="11">
        <v>11</v>
      </c>
      <c r="C98" s="11" t="s">
        <v>2</v>
      </c>
      <c r="D98" s="6">
        <v>0</v>
      </c>
      <c r="E98" s="5">
        <f t="shared" si="6"/>
        <v>0</v>
      </c>
      <c r="F98" s="17">
        <v>0</v>
      </c>
      <c r="G98" s="17">
        <v>0</v>
      </c>
      <c r="H98" s="6">
        <v>0</v>
      </c>
      <c r="J98" s="14" t="str">
        <f t="shared" si="7"/>
        <v>[11, 'C2', 0, 0, 0, 0, 0],</v>
      </c>
    </row>
    <row r="99" spans="1:10" x14ac:dyDescent="0.3">
      <c r="A99" s="3"/>
      <c r="B99" s="11">
        <v>12</v>
      </c>
      <c r="C99" s="11" t="s">
        <v>3</v>
      </c>
      <c r="D99" s="6">
        <v>9</v>
      </c>
      <c r="E99" s="5">
        <f t="shared" si="6"/>
        <v>9</v>
      </c>
      <c r="F99" s="17">
        <v>0</v>
      </c>
      <c r="G99" s="17">
        <v>0</v>
      </c>
      <c r="H99" s="6">
        <v>0</v>
      </c>
      <c r="J99" s="14" t="str">
        <f t="shared" si="7"/>
        <v>[12, 'C3', 9, 9, 0, 0, 0],</v>
      </c>
    </row>
    <row r="100" spans="1:10" x14ac:dyDescent="0.3">
      <c r="A100" s="3"/>
      <c r="B100" s="11">
        <v>20</v>
      </c>
      <c r="C100" s="11" t="s">
        <v>4</v>
      </c>
      <c r="D100" s="6">
        <v>13</v>
      </c>
      <c r="E100" s="5">
        <f t="shared" si="6"/>
        <v>0</v>
      </c>
      <c r="F100" s="17">
        <v>2</v>
      </c>
      <c r="G100" s="17">
        <v>3</v>
      </c>
      <c r="H100" s="6">
        <v>0</v>
      </c>
      <c r="J100" s="14" t="str">
        <f t="shared" si="7"/>
        <v>[20, 'M1', 13, 0, 2, 3, 0],</v>
      </c>
    </row>
    <row r="101" spans="1:10" x14ac:dyDescent="0.3">
      <c r="A101" s="3"/>
      <c r="B101" s="11">
        <v>21</v>
      </c>
      <c r="C101" s="11" t="s">
        <v>5</v>
      </c>
      <c r="D101" s="6">
        <v>24</v>
      </c>
      <c r="E101" s="5">
        <f t="shared" si="6"/>
        <v>0</v>
      </c>
      <c r="F101" s="17">
        <v>9</v>
      </c>
      <c r="G101" s="17">
        <v>2</v>
      </c>
      <c r="H101" s="6">
        <v>0</v>
      </c>
      <c r="J101" s="14" t="str">
        <f t="shared" si="7"/>
        <v>[21, 'M2', 24, 0, 9, 2, 0],</v>
      </c>
    </row>
    <row r="102" spans="1:10" x14ac:dyDescent="0.3">
      <c r="A102" s="3"/>
      <c r="B102" s="11">
        <v>22</v>
      </c>
      <c r="C102" s="11" t="s">
        <v>6</v>
      </c>
      <c r="D102" s="6">
        <v>24</v>
      </c>
      <c r="E102" s="5">
        <f t="shared" si="6"/>
        <v>0</v>
      </c>
      <c r="F102" s="17">
        <v>9</v>
      </c>
      <c r="G102" s="17">
        <v>2</v>
      </c>
      <c r="H102" s="6">
        <v>0</v>
      </c>
      <c r="J102" s="14" t="str">
        <f t="shared" si="7"/>
        <v>[22, 'M3', 24, 0, 9, 2, 0],</v>
      </c>
    </row>
    <row r="103" spans="1:10" x14ac:dyDescent="0.3">
      <c r="A103" s="3"/>
      <c r="B103" s="11">
        <v>23</v>
      </c>
      <c r="C103" s="11" t="s">
        <v>7</v>
      </c>
      <c r="D103" s="6">
        <v>22</v>
      </c>
      <c r="E103" s="5">
        <f t="shared" si="6"/>
        <v>0</v>
      </c>
      <c r="F103" s="17">
        <v>8</v>
      </c>
      <c r="G103" s="17">
        <v>2</v>
      </c>
      <c r="H103" s="6">
        <v>0</v>
      </c>
      <c r="J103" s="14" t="str">
        <f t="shared" si="7"/>
        <v>[23, 'M4', 22, 0, 8, 2, 0],</v>
      </c>
    </row>
    <row r="104" spans="1:10" x14ac:dyDescent="0.3">
      <c r="A104" s="3"/>
      <c r="B104" s="11">
        <v>24</v>
      </c>
      <c r="C104" s="11" t="s">
        <v>8</v>
      </c>
      <c r="D104" s="6">
        <v>22</v>
      </c>
      <c r="E104" s="5">
        <f t="shared" si="6"/>
        <v>0</v>
      </c>
      <c r="F104" s="17">
        <v>8</v>
      </c>
      <c r="G104" s="17">
        <v>2</v>
      </c>
      <c r="H104" s="6">
        <v>0</v>
      </c>
      <c r="J104" s="14" t="str">
        <f t="shared" si="7"/>
        <v>[24, 'M5', 22, 0, 8, 2, 0],</v>
      </c>
    </row>
    <row r="105" spans="1:10" x14ac:dyDescent="0.3">
      <c r="A105" s="3"/>
      <c r="B105" s="11">
        <v>30</v>
      </c>
      <c r="C105" s="11" t="s">
        <v>9</v>
      </c>
      <c r="D105" s="6">
        <v>15</v>
      </c>
      <c r="E105" s="5">
        <f t="shared" si="6"/>
        <v>15</v>
      </c>
      <c r="F105" s="17">
        <v>0</v>
      </c>
      <c r="G105" s="17">
        <v>0</v>
      </c>
      <c r="H105" s="6">
        <v>0</v>
      </c>
      <c r="J105" s="14" t="str">
        <f t="shared" si="7"/>
        <v>[30, 'A', 15, 15, 0, 0, 0],</v>
      </c>
    </row>
    <row r="106" spans="1:10" x14ac:dyDescent="0.3">
      <c r="A106" s="3"/>
      <c r="B106" s="11">
        <v>31</v>
      </c>
      <c r="C106" s="11" t="s">
        <v>10</v>
      </c>
      <c r="D106" s="6">
        <v>20</v>
      </c>
      <c r="E106" s="5">
        <f t="shared" si="6"/>
        <v>20</v>
      </c>
      <c r="F106" s="17">
        <v>0</v>
      </c>
      <c r="G106" s="17">
        <v>0</v>
      </c>
      <c r="H106" s="6">
        <v>0</v>
      </c>
      <c r="J106" s="14" t="str">
        <f t="shared" si="7"/>
        <v>[31, 'K', 20, 20, 0, 0, 0],</v>
      </c>
    </row>
    <row r="107" spans="1:10" x14ac:dyDescent="0.3">
      <c r="A107" s="3"/>
      <c r="B107" s="11">
        <v>32</v>
      </c>
      <c r="C107" s="11" t="s">
        <v>11</v>
      </c>
      <c r="D107" s="6">
        <v>15</v>
      </c>
      <c r="E107" s="5">
        <f t="shared" si="6"/>
        <v>15</v>
      </c>
      <c r="F107" s="17">
        <v>0</v>
      </c>
      <c r="G107" s="17">
        <v>0</v>
      </c>
      <c r="H107" s="6">
        <v>0</v>
      </c>
      <c r="J107" s="14" t="str">
        <f t="shared" si="7"/>
        <v>[32, 'Q', 15, 15, 0, 0, 0],</v>
      </c>
    </row>
    <row r="108" spans="1:10" x14ac:dyDescent="0.3">
      <c r="A108" s="3"/>
      <c r="B108" s="11">
        <v>33</v>
      </c>
      <c r="C108" s="11" t="s">
        <v>12</v>
      </c>
      <c r="D108" s="6">
        <v>22</v>
      </c>
      <c r="E108" s="5">
        <f t="shared" si="6"/>
        <v>22</v>
      </c>
      <c r="F108" s="17">
        <v>0</v>
      </c>
      <c r="G108" s="17">
        <v>0</v>
      </c>
      <c r="H108" s="6">
        <v>0</v>
      </c>
      <c r="J108" s="14" t="str">
        <f t="shared" si="7"/>
        <v>[33, 'J', 22, 22, 0, 0, 0],</v>
      </c>
    </row>
    <row r="109" spans="1:10" x14ac:dyDescent="0.3">
      <c r="A109" s="3"/>
      <c r="B109" s="11">
        <v>34</v>
      </c>
      <c r="C109" s="11" t="s">
        <v>13</v>
      </c>
      <c r="D109" s="6">
        <v>7</v>
      </c>
      <c r="E109" s="5">
        <f t="shared" si="6"/>
        <v>7</v>
      </c>
      <c r="F109" s="17">
        <v>0</v>
      </c>
      <c r="G109" s="17">
        <v>0</v>
      </c>
      <c r="H109" s="6">
        <v>0</v>
      </c>
      <c r="J109" s="14" t="str">
        <f t="shared" si="7"/>
        <v>[34, 'TE', 7, 7,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2</v>
      </c>
      <c r="E115" s="5">
        <f t="shared" si="8"/>
        <v>2</v>
      </c>
      <c r="F115" s="17">
        <v>0</v>
      </c>
      <c r="G115" s="17">
        <v>0</v>
      </c>
      <c r="H115" s="6">
        <v>0</v>
      </c>
      <c r="J115" s="14" t="str">
        <f t="shared" si="9"/>
        <v>[10, 'C1', 2, 2,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6</v>
      </c>
      <c r="E117" s="5">
        <f t="shared" si="8"/>
        <v>6</v>
      </c>
      <c r="F117" s="17">
        <v>0</v>
      </c>
      <c r="G117" s="17">
        <v>0</v>
      </c>
      <c r="H117" s="6">
        <v>0</v>
      </c>
      <c r="J117" s="14" t="str">
        <f t="shared" si="9"/>
        <v>[12, 'C3', 6, 6, 0, 0, 0],</v>
      </c>
    </row>
    <row r="118" spans="1:10" x14ac:dyDescent="0.3">
      <c r="A118" s="3"/>
      <c r="B118" s="11">
        <v>20</v>
      </c>
      <c r="C118" s="11" t="s">
        <v>4</v>
      </c>
      <c r="D118" s="6">
        <v>11</v>
      </c>
      <c r="E118" s="5">
        <f t="shared" si="8"/>
        <v>0</v>
      </c>
      <c r="F118" s="17">
        <v>4</v>
      </c>
      <c r="G118" s="17">
        <v>1</v>
      </c>
      <c r="H118" s="6">
        <v>0</v>
      </c>
      <c r="J118" s="14" t="str">
        <f t="shared" si="9"/>
        <v>[20, 'M1', 11, 0, 4, 1, 0],</v>
      </c>
    </row>
    <row r="119" spans="1:10" x14ac:dyDescent="0.3">
      <c r="A119" s="3"/>
      <c r="B119" s="11">
        <v>21</v>
      </c>
      <c r="C119" s="11" t="s">
        <v>5</v>
      </c>
      <c r="D119" s="6">
        <v>14</v>
      </c>
      <c r="E119" s="5">
        <f t="shared" si="8"/>
        <v>0</v>
      </c>
      <c r="F119" s="17">
        <v>4</v>
      </c>
      <c r="G119" s="17">
        <v>2</v>
      </c>
      <c r="H119" s="6">
        <v>0</v>
      </c>
      <c r="J119" s="14" t="str">
        <f t="shared" si="9"/>
        <v>[21, 'M2', 14, 0, 4, 2, 0],</v>
      </c>
    </row>
    <row r="120" spans="1:10" x14ac:dyDescent="0.3">
      <c r="A120" s="3"/>
      <c r="B120" s="11">
        <v>22</v>
      </c>
      <c r="C120" s="11" t="s">
        <v>6</v>
      </c>
      <c r="D120" s="6">
        <v>14</v>
      </c>
      <c r="E120" s="5">
        <f t="shared" si="8"/>
        <v>0</v>
      </c>
      <c r="F120" s="17">
        <v>4</v>
      </c>
      <c r="G120" s="17">
        <v>2</v>
      </c>
      <c r="H120" s="6">
        <v>0</v>
      </c>
      <c r="J120" s="14" t="str">
        <f t="shared" si="9"/>
        <v>[22, 'M3', 14, 0, 4, 2, 0],</v>
      </c>
    </row>
    <row r="121" spans="1:10" x14ac:dyDescent="0.3">
      <c r="A121" s="3"/>
      <c r="B121" s="11">
        <v>23</v>
      </c>
      <c r="C121" s="11" t="s">
        <v>7</v>
      </c>
      <c r="D121" s="6">
        <v>14</v>
      </c>
      <c r="E121" s="5">
        <f t="shared" si="8"/>
        <v>0</v>
      </c>
      <c r="F121" s="17">
        <v>4</v>
      </c>
      <c r="G121" s="17">
        <v>2</v>
      </c>
      <c r="H121" s="6">
        <v>0</v>
      </c>
      <c r="J121" s="14" t="str">
        <f t="shared" si="9"/>
        <v>[23, 'M4', 14, 0, 4, 2, 0],</v>
      </c>
    </row>
    <row r="122" spans="1:10" x14ac:dyDescent="0.3">
      <c r="A122" s="3"/>
      <c r="B122" s="11">
        <v>24</v>
      </c>
      <c r="C122" s="11" t="s">
        <v>8</v>
      </c>
      <c r="D122" s="6">
        <v>17</v>
      </c>
      <c r="E122" s="5">
        <f t="shared" si="8"/>
        <v>0</v>
      </c>
      <c r="F122" s="17">
        <v>4</v>
      </c>
      <c r="G122" s="17">
        <v>3</v>
      </c>
      <c r="H122" s="6">
        <v>0</v>
      </c>
      <c r="J122" s="14" t="str">
        <f t="shared" si="9"/>
        <v>[24, 'M5', 17, 0, 4, 3, 0],</v>
      </c>
    </row>
    <row r="123" spans="1:10" x14ac:dyDescent="0.3">
      <c r="A123" s="3"/>
      <c r="B123" s="11">
        <v>30</v>
      </c>
      <c r="C123" s="11" t="s">
        <v>9</v>
      </c>
      <c r="D123" s="6">
        <v>8</v>
      </c>
      <c r="E123" s="5">
        <f t="shared" si="8"/>
        <v>8</v>
      </c>
      <c r="F123" s="17">
        <v>0</v>
      </c>
      <c r="G123" s="17">
        <v>0</v>
      </c>
      <c r="H123" s="6">
        <v>0</v>
      </c>
      <c r="J123" s="14" t="str">
        <f t="shared" si="9"/>
        <v>[30, 'A', 8, 8, 0, 0, 0],</v>
      </c>
    </row>
    <row r="124" spans="1:10" x14ac:dyDescent="0.3">
      <c r="A124" s="3"/>
      <c r="B124" s="11">
        <v>31</v>
      </c>
      <c r="C124" s="11" t="s">
        <v>10</v>
      </c>
      <c r="D124" s="6">
        <v>12</v>
      </c>
      <c r="E124" s="5">
        <f t="shared" si="8"/>
        <v>12</v>
      </c>
      <c r="F124" s="17">
        <v>0</v>
      </c>
      <c r="G124" s="17">
        <v>0</v>
      </c>
      <c r="H124" s="6">
        <v>0</v>
      </c>
      <c r="J124" s="14" t="str">
        <f t="shared" si="9"/>
        <v>[31, 'K', 12, 12, 0, 0, 0],</v>
      </c>
    </row>
    <row r="125" spans="1:10" x14ac:dyDescent="0.3">
      <c r="A125" s="3"/>
      <c r="B125" s="11">
        <v>32</v>
      </c>
      <c r="C125" s="11" t="s">
        <v>11</v>
      </c>
      <c r="D125" s="6">
        <v>8</v>
      </c>
      <c r="E125" s="5">
        <f t="shared" si="8"/>
        <v>8</v>
      </c>
      <c r="F125" s="17">
        <v>0</v>
      </c>
      <c r="G125" s="17">
        <v>0</v>
      </c>
      <c r="H125" s="6">
        <v>0</v>
      </c>
      <c r="J125" s="14" t="str">
        <f t="shared" si="9"/>
        <v>[32, 'Q', 8, 8, 0, 0, 0],</v>
      </c>
    </row>
    <row r="126" spans="1:10" x14ac:dyDescent="0.3">
      <c r="A126" s="3"/>
      <c r="B126" s="11">
        <v>33</v>
      </c>
      <c r="C126" s="11" t="s">
        <v>12</v>
      </c>
      <c r="D126" s="6">
        <v>12</v>
      </c>
      <c r="E126" s="5">
        <f t="shared" si="8"/>
        <v>12</v>
      </c>
      <c r="F126" s="17">
        <v>0</v>
      </c>
      <c r="G126" s="17">
        <v>0</v>
      </c>
      <c r="H126" s="6">
        <v>0</v>
      </c>
      <c r="J126" s="14" t="str">
        <f t="shared" si="9"/>
        <v>[33, 'J', 12, 12, 0, 0, 0],</v>
      </c>
    </row>
    <row r="127" spans="1:10" x14ac:dyDescent="0.3">
      <c r="A127" s="3"/>
      <c r="B127" s="11">
        <v>34</v>
      </c>
      <c r="C127" s="11" t="s">
        <v>13</v>
      </c>
      <c r="D127" s="6">
        <v>9</v>
      </c>
      <c r="E127" s="5">
        <f t="shared" si="8"/>
        <v>9</v>
      </c>
      <c r="F127" s="17">
        <v>0</v>
      </c>
      <c r="G127" s="17">
        <v>0</v>
      </c>
      <c r="H127" s="6">
        <v>0</v>
      </c>
      <c r="J127" s="14" t="str">
        <f t="shared" si="9"/>
        <v>[34, 'TE', 9, 9,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U42:U55 L58 P95:Q109 N58:O58 K77:L91 Q58:R58 K95:L95 J92:L92 K111:P111 P110 N112:P112 N96:O110 J60:J73 J78:J91 J96:L110 J114:J127 A3:A7 S3:AA6 Z7:AA10 Y12:AA12 A8:L8 A39:I39 A9:G10 H10:R10 Q110:R127 Q76:R76 R109 A128:R142 S11:AA11 S13:AA20 S12 A22:AA38 A40:Z40 B1:AA1 A2:AA2 M21:AA21 S7:T10 A143:AA1048576 K39:AA39 A41:E127 H9 J9:R9 H20:R20 M11:R19 A20:G21 A11:A19 H58:I127 H57:R57 H42:L56 H41:I41">
    <cfRule type="cellIs" dxfId="84" priority="21" operator="equal">
      <formula>0</formula>
    </cfRule>
  </conditionalFormatting>
  <conditionalFormatting sqref="J74">
    <cfRule type="cellIs" dxfId="83" priority="20" operator="equal">
      <formula>0</formula>
    </cfRule>
  </conditionalFormatting>
  <conditionalFormatting sqref="E41:E127">
    <cfRule type="cellIs" dxfId="82" priority="19" operator="lessThan">
      <formula>0</formula>
    </cfRule>
  </conditionalFormatting>
  <conditionalFormatting sqref="U7:Y10">
    <cfRule type="cellIs" dxfId="81" priority="18" operator="equal">
      <formula>0</formula>
    </cfRule>
  </conditionalFormatting>
  <conditionalFormatting sqref="B20:F20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{3D7BED7A-85BF-4D88-80EE-CC83C594936B}</x14:id>
        </ext>
      </extLst>
    </cfRule>
  </conditionalFormatting>
  <conditionalFormatting sqref="H5:L5">
    <cfRule type="cellIs" dxfId="80" priority="16" operator="equal">
      <formula>0</formula>
    </cfRule>
  </conditionalFormatting>
  <conditionalFormatting sqref="P8:Q8 M8:N8">
    <cfRule type="cellIs" dxfId="79" priority="15" operator="equal">
      <formula>0</formula>
    </cfRule>
  </conditionalFormatting>
  <conditionalFormatting sqref="B3:F7">
    <cfRule type="cellIs" dxfId="78" priority="13" operator="equal">
      <formula>0</formula>
    </cfRule>
  </conditionalFormatting>
  <conditionalFormatting sqref="I9">
    <cfRule type="cellIs" dxfId="77" priority="12" operator="equal">
      <formula>0</formula>
    </cfRule>
  </conditionalFormatting>
  <conditionalFormatting sqref="H6:L6">
    <cfRule type="cellIs" dxfId="76" priority="11" operator="equal">
      <formula>0</formula>
    </cfRule>
  </conditionalFormatting>
  <conditionalFormatting sqref="H4:L4">
    <cfRule type="cellIs" dxfId="75" priority="10" operator="equal">
      <formula>0</formula>
    </cfRule>
  </conditionalFormatting>
  <conditionalFormatting sqref="B11:L15 B16:K19">
    <cfRule type="cellIs" dxfId="74" priority="9" operator="equal">
      <formula>0</formula>
    </cfRule>
  </conditionalFormatting>
  <conditionalFormatting sqref="B11:F1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{D3ABDA0E-D5E4-408D-9177-C97B08187E83}</x14:id>
        </ext>
      </extLst>
    </cfRule>
  </conditionalFormatting>
  <conditionalFormatting sqref="L16:L19">
    <cfRule type="cellIs" dxfId="73" priority="7" operator="equal">
      <formula>0</formula>
    </cfRule>
  </conditionalFormatting>
  <conditionalFormatting sqref="F41:G50 F56:G68 G51:G55 G69:G73 F92:G104 G87:G91 F110:G122 G105:G109 G123:G127 F74:G86">
    <cfRule type="cellIs" dxfId="72" priority="6" operator="equal">
      <formula>0</formula>
    </cfRule>
  </conditionalFormatting>
  <conditionalFormatting sqref="F105:F109">
    <cfRule type="cellIs" dxfId="71" priority="5" operator="equal">
      <formula>0</formula>
    </cfRule>
  </conditionalFormatting>
  <conditionalFormatting sqref="F123:F127">
    <cfRule type="cellIs" dxfId="70" priority="4" operator="equal">
      <formula>0</formula>
    </cfRule>
  </conditionalFormatting>
  <conditionalFormatting sqref="F87:F91">
    <cfRule type="cellIs" dxfId="69" priority="3" operator="equal">
      <formula>0</formula>
    </cfRule>
  </conditionalFormatting>
  <conditionalFormatting sqref="F69:F73">
    <cfRule type="cellIs" dxfId="68" priority="2" operator="equal">
      <formula>0</formula>
    </cfRule>
  </conditionalFormatting>
  <conditionalFormatting sqref="F51:F55">
    <cfRule type="cellIs" dxfId="67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7BED7A-85BF-4D88-80EE-CC83C59493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B20:F20</xm:sqref>
        </x14:conditionalFormatting>
        <x14:conditionalFormatting xmlns:xm="http://schemas.microsoft.com/office/excel/2006/main">
          <x14:cfRule type="dataBar" id="{D3ABDA0E-D5E4-408D-9177-C97B08187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4EFC-DDF3-4669-A524-39A3F6896FCE}">
  <dimension ref="A1:R128"/>
  <sheetViews>
    <sheetView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20" width="8.6640625" style="3"/>
    <col min="21" max="25" width="7" style="3" customWidth="1"/>
    <col min="26" max="16384" width="8.6640625" style="3"/>
  </cols>
  <sheetData>
    <row r="1" spans="1:18" x14ac:dyDescent="0.3">
      <c r="A1" s="1" t="s">
        <v>33</v>
      </c>
      <c r="B1" s="1">
        <v>5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2</v>
      </c>
      <c r="C4" s="21">
        <v>4</v>
      </c>
      <c r="D4" s="21">
        <v>3</v>
      </c>
      <c r="E4" s="21">
        <v>4</v>
      </c>
      <c r="F4" s="21">
        <v>2</v>
      </c>
      <c r="H4" s="17">
        <v>2</v>
      </c>
      <c r="I4" s="17">
        <v>4</v>
      </c>
      <c r="J4" s="17">
        <v>3</v>
      </c>
      <c r="K4" s="17">
        <v>4</v>
      </c>
      <c r="L4" s="17">
        <v>2</v>
      </c>
      <c r="N4" s="6">
        <v>2</v>
      </c>
      <c r="O4" s="6">
        <v>4</v>
      </c>
      <c r="P4" s="6">
        <v>3</v>
      </c>
      <c r="Q4" s="6">
        <v>4</v>
      </c>
      <c r="R4" s="6">
        <v>2</v>
      </c>
    </row>
    <row r="5" spans="1:18" x14ac:dyDescent="0.3">
      <c r="A5" s="1" t="s">
        <v>2</v>
      </c>
      <c r="B5" s="8">
        <v>0</v>
      </c>
      <c r="C5" s="8">
        <v>3</v>
      </c>
      <c r="D5" s="8">
        <v>4</v>
      </c>
      <c r="E5" s="8">
        <v>0</v>
      </c>
      <c r="F5" s="8">
        <v>0</v>
      </c>
      <c r="H5" s="17">
        <v>0</v>
      </c>
      <c r="I5" s="17">
        <v>3</v>
      </c>
      <c r="J5" s="17">
        <v>4</v>
      </c>
      <c r="K5" s="17">
        <v>0</v>
      </c>
      <c r="L5" s="17">
        <v>0</v>
      </c>
      <c r="N5" s="6">
        <v>0</v>
      </c>
      <c r="O5" s="6">
        <v>3</v>
      </c>
      <c r="P5" s="6">
        <v>4</v>
      </c>
      <c r="Q5" s="6">
        <v>0</v>
      </c>
      <c r="R5" s="6">
        <v>0</v>
      </c>
    </row>
    <row r="6" spans="1:18" x14ac:dyDescent="0.3">
      <c r="A6" s="1" t="s">
        <v>3</v>
      </c>
      <c r="B6" s="8">
        <v>5</v>
      </c>
      <c r="C6" s="8">
        <v>4</v>
      </c>
      <c r="D6" s="8">
        <v>28</v>
      </c>
      <c r="E6" s="8">
        <v>7</v>
      </c>
      <c r="F6" s="8">
        <v>4</v>
      </c>
      <c r="H6" s="17">
        <v>5</v>
      </c>
      <c r="I6" s="17">
        <v>4</v>
      </c>
      <c r="J6" s="17">
        <v>28</v>
      </c>
      <c r="K6" s="17">
        <v>7</v>
      </c>
      <c r="L6" s="17">
        <v>4</v>
      </c>
      <c r="N6" s="6">
        <v>5</v>
      </c>
      <c r="O6" s="6">
        <v>4</v>
      </c>
      <c r="P6" s="6">
        <v>28</v>
      </c>
      <c r="Q6" s="6">
        <v>7</v>
      </c>
      <c r="R6" s="6">
        <v>4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93</v>
      </c>
      <c r="C8" s="3">
        <v>209</v>
      </c>
      <c r="D8" s="3">
        <v>215</v>
      </c>
      <c r="E8" s="3">
        <v>189</v>
      </c>
      <c r="F8" s="3">
        <v>124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19"/>
      <c r="I20" s="19"/>
      <c r="J20" s="19"/>
      <c r="K20" s="19"/>
      <c r="L20" s="19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2</v>
      </c>
      <c r="C24" s="8">
        <v>4</v>
      </c>
      <c r="D24" s="8">
        <v>3</v>
      </c>
      <c r="E24" s="8">
        <v>4</v>
      </c>
      <c r="F24" s="8">
        <v>2</v>
      </c>
    </row>
    <row r="25" spans="1:12" x14ac:dyDescent="0.3">
      <c r="A25" s="1" t="s">
        <v>2</v>
      </c>
      <c r="B25" s="8">
        <v>0</v>
      </c>
      <c r="C25" s="7">
        <v>3</v>
      </c>
      <c r="D25" s="7">
        <v>4</v>
      </c>
      <c r="E25" s="7">
        <v>0</v>
      </c>
      <c r="F25" s="8">
        <v>0</v>
      </c>
    </row>
    <row r="26" spans="1:12" x14ac:dyDescent="0.3">
      <c r="A26" s="1" t="s">
        <v>3</v>
      </c>
      <c r="B26" s="8">
        <v>5</v>
      </c>
      <c r="C26" s="8">
        <v>4</v>
      </c>
      <c r="D26" s="8">
        <v>28</v>
      </c>
      <c r="E26" s="8">
        <v>7</v>
      </c>
      <c r="F26" s="8">
        <v>4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17</v>
      </c>
      <c r="D27" s="8">
        <v>17</v>
      </c>
      <c r="E27" s="8">
        <v>13</v>
      </c>
      <c r="F27" s="8">
        <v>11</v>
      </c>
    </row>
    <row r="28" spans="1:12" x14ac:dyDescent="0.3">
      <c r="A28" s="1" t="s">
        <v>5</v>
      </c>
      <c r="B28" s="8">
        <v>8</v>
      </c>
      <c r="C28" s="8">
        <v>30</v>
      </c>
      <c r="D28" s="8">
        <v>29</v>
      </c>
      <c r="E28" s="8">
        <v>24</v>
      </c>
      <c r="F28" s="8">
        <v>14</v>
      </c>
    </row>
    <row r="29" spans="1:12" x14ac:dyDescent="0.3">
      <c r="A29" s="1" t="s">
        <v>6</v>
      </c>
      <c r="B29" s="8">
        <v>14</v>
      </c>
      <c r="C29" s="8">
        <v>22</v>
      </c>
      <c r="D29" s="8">
        <v>29</v>
      </c>
      <c r="E29" s="8">
        <v>24</v>
      </c>
      <c r="F29" s="8">
        <v>14</v>
      </c>
    </row>
    <row r="30" spans="1:12" x14ac:dyDescent="0.3">
      <c r="A30" s="1" t="s">
        <v>7</v>
      </c>
      <c r="B30" s="8">
        <v>12</v>
      </c>
      <c r="C30" s="8">
        <v>22</v>
      </c>
      <c r="D30" s="8">
        <v>14</v>
      </c>
      <c r="E30" s="8">
        <v>22</v>
      </c>
      <c r="F30" s="8">
        <v>14</v>
      </c>
    </row>
    <row r="31" spans="1:12" x14ac:dyDescent="0.3">
      <c r="A31" s="1" t="s">
        <v>8</v>
      </c>
      <c r="B31" s="8">
        <v>12</v>
      </c>
      <c r="C31" s="8">
        <v>16</v>
      </c>
      <c r="D31" s="8">
        <v>17</v>
      </c>
      <c r="E31" s="8">
        <v>22</v>
      </c>
      <c r="F31" s="8">
        <v>17</v>
      </c>
    </row>
    <row r="32" spans="1:12" x14ac:dyDescent="0.3">
      <c r="A32" s="1" t="s">
        <v>9</v>
      </c>
      <c r="B32" s="8">
        <v>5</v>
      </c>
      <c r="C32" s="8">
        <v>24</v>
      </c>
      <c r="D32" s="8">
        <v>21</v>
      </c>
      <c r="E32" s="8">
        <v>15</v>
      </c>
      <c r="F32" s="8">
        <v>8</v>
      </c>
    </row>
    <row r="33" spans="1:10" x14ac:dyDescent="0.3">
      <c r="A33" s="1" t="s">
        <v>10</v>
      </c>
      <c r="B33" s="8">
        <v>10</v>
      </c>
      <c r="C33" s="8">
        <v>22</v>
      </c>
      <c r="D33" s="8">
        <v>17</v>
      </c>
      <c r="E33" s="8">
        <v>20</v>
      </c>
      <c r="F33" s="8">
        <v>12</v>
      </c>
    </row>
    <row r="34" spans="1:10" x14ac:dyDescent="0.3">
      <c r="A34" s="1" t="s">
        <v>11</v>
      </c>
      <c r="B34" s="8">
        <v>9</v>
      </c>
      <c r="C34" s="8">
        <v>16</v>
      </c>
      <c r="D34" s="8">
        <v>21</v>
      </c>
      <c r="E34" s="8">
        <v>15</v>
      </c>
      <c r="F34" s="8">
        <v>8</v>
      </c>
    </row>
    <row r="35" spans="1:10" x14ac:dyDescent="0.3">
      <c r="A35" s="1" t="s">
        <v>12</v>
      </c>
      <c r="B35" s="8">
        <v>10</v>
      </c>
      <c r="C35" s="8">
        <v>16</v>
      </c>
      <c r="D35" s="8">
        <v>23</v>
      </c>
      <c r="E35" s="8">
        <v>22</v>
      </c>
      <c r="F35" s="8">
        <v>12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7</v>
      </c>
      <c r="C36" s="8">
        <v>18</v>
      </c>
      <c r="D36" s="8">
        <v>21</v>
      </c>
      <c r="E36" s="8">
        <v>9</v>
      </c>
      <c r="F36" s="8">
        <v>11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2</v>
      </c>
      <c r="E43" s="5">
        <f t="shared" si="0"/>
        <v>2</v>
      </c>
      <c r="F43" s="17">
        <v>0</v>
      </c>
      <c r="G43" s="17">
        <v>0</v>
      </c>
      <c r="H43" s="6">
        <v>0</v>
      </c>
      <c r="J43" s="14" t="str">
        <f t="shared" si="1"/>
        <v>[10, 'C1', 2, 2,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5</v>
      </c>
      <c r="E45" s="5">
        <f t="shared" si="0"/>
        <v>5</v>
      </c>
      <c r="F45" s="17">
        <v>0</v>
      </c>
      <c r="G45" s="17">
        <v>0</v>
      </c>
      <c r="H45" s="6">
        <v>0</v>
      </c>
      <c r="J45" s="14" t="str">
        <f t="shared" si="1"/>
        <v>[12, 'C3', 5, 5,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14</v>
      </c>
      <c r="E48" s="5">
        <f t="shared" si="0"/>
        <v>0</v>
      </c>
      <c r="F48" s="17">
        <v>4</v>
      </c>
      <c r="G48" s="17">
        <v>2</v>
      </c>
      <c r="H48" s="6">
        <v>0</v>
      </c>
      <c r="J48" s="14" t="str">
        <f t="shared" si="1"/>
        <v>[22, 'M3', 14, 0, 4, 2, 0],</v>
      </c>
    </row>
    <row r="49" spans="1:10" x14ac:dyDescent="0.3">
      <c r="B49" s="11">
        <v>23</v>
      </c>
      <c r="C49" s="11" t="s">
        <v>7</v>
      </c>
      <c r="D49" s="6">
        <v>12</v>
      </c>
      <c r="E49" s="5">
        <f t="shared" si="0"/>
        <v>0</v>
      </c>
      <c r="F49" s="17">
        <v>3</v>
      </c>
      <c r="G49" s="17">
        <v>2</v>
      </c>
      <c r="H49" s="6">
        <v>0</v>
      </c>
      <c r="J49" s="14" t="str">
        <f t="shared" si="1"/>
        <v>[23, 'M4', 12, 0, 3, 2, 0],</v>
      </c>
    </row>
    <row r="50" spans="1:10" x14ac:dyDescent="0.3">
      <c r="A50" s="3"/>
      <c r="B50" s="11">
        <v>24</v>
      </c>
      <c r="C50" s="11" t="s">
        <v>8</v>
      </c>
      <c r="D50" s="6">
        <v>12</v>
      </c>
      <c r="E50" s="5">
        <f t="shared" si="0"/>
        <v>0</v>
      </c>
      <c r="F50" s="17">
        <v>3</v>
      </c>
      <c r="G50" s="17">
        <v>2</v>
      </c>
      <c r="H50" s="6">
        <v>0</v>
      </c>
      <c r="J50" s="14" t="str">
        <f t="shared" si="1"/>
        <v>[24, 'M5', 12, 0, 3, 2,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10</v>
      </c>
      <c r="E52" s="5">
        <f t="shared" si="0"/>
        <v>10</v>
      </c>
      <c r="F52" s="17">
        <v>0</v>
      </c>
      <c r="G52" s="17">
        <v>0</v>
      </c>
      <c r="H52" s="6">
        <v>0</v>
      </c>
      <c r="J52" s="14" t="str">
        <f t="shared" si="1"/>
        <v>[31, 'K', 10, 10, 0, 0, 0],</v>
      </c>
    </row>
    <row r="53" spans="1:10" x14ac:dyDescent="0.3">
      <c r="A53" s="3"/>
      <c r="B53" s="11">
        <v>32</v>
      </c>
      <c r="C53" s="11" t="s">
        <v>11</v>
      </c>
      <c r="D53" s="6">
        <v>9</v>
      </c>
      <c r="E53" s="5">
        <f t="shared" si="0"/>
        <v>9</v>
      </c>
      <c r="F53" s="17">
        <v>0</v>
      </c>
      <c r="G53" s="17">
        <v>0</v>
      </c>
      <c r="H53" s="6">
        <v>0</v>
      </c>
      <c r="J53" s="14" t="str">
        <f t="shared" si="1"/>
        <v>[32, 'Q', 9, 9, 0, 0, 0],</v>
      </c>
    </row>
    <row r="54" spans="1:10" x14ac:dyDescent="0.3">
      <c r="A54" s="3"/>
      <c r="B54" s="11">
        <v>33</v>
      </c>
      <c r="C54" s="11" t="s">
        <v>12</v>
      </c>
      <c r="D54" s="6">
        <v>10</v>
      </c>
      <c r="E54" s="5">
        <f t="shared" si="0"/>
        <v>10</v>
      </c>
      <c r="F54" s="17">
        <v>0</v>
      </c>
      <c r="G54" s="17">
        <v>0</v>
      </c>
      <c r="H54" s="6">
        <v>0</v>
      </c>
      <c r="J54" s="14" t="str">
        <f t="shared" si="1"/>
        <v>[33, 'J', 10, 10, 0, 0, 0],</v>
      </c>
    </row>
    <row r="55" spans="1:10" x14ac:dyDescent="0.3">
      <c r="A55" s="3"/>
      <c r="B55" s="11">
        <v>34</v>
      </c>
      <c r="C55" s="11" t="s">
        <v>13</v>
      </c>
      <c r="D55" s="6">
        <v>7</v>
      </c>
      <c r="E55" s="5">
        <f t="shared" si="0"/>
        <v>7</v>
      </c>
      <c r="F55" s="17">
        <v>0</v>
      </c>
      <c r="G55" s="17">
        <v>0</v>
      </c>
      <c r="H55" s="6">
        <v>0</v>
      </c>
      <c r="J55" s="14" t="str">
        <f t="shared" si="1"/>
        <v>[34, 'TE', 7, 7,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4</v>
      </c>
      <c r="E61" s="5">
        <f t="shared" si="2"/>
        <v>4</v>
      </c>
      <c r="F61" s="17">
        <v>0</v>
      </c>
      <c r="G61" s="17">
        <v>0</v>
      </c>
      <c r="H61" s="6">
        <v>0</v>
      </c>
      <c r="J61" s="14" t="str">
        <f t="shared" si="3"/>
        <v>[10, 'C1', 4, 4, 0, 0, 0],</v>
      </c>
    </row>
    <row r="62" spans="1:10" x14ac:dyDescent="0.3">
      <c r="A62" s="3"/>
      <c r="B62" s="11">
        <v>11</v>
      </c>
      <c r="C62" s="11" t="s">
        <v>2</v>
      </c>
      <c r="D62" s="6">
        <v>3</v>
      </c>
      <c r="E62" s="5">
        <f t="shared" si="2"/>
        <v>3</v>
      </c>
      <c r="F62" s="17">
        <v>0</v>
      </c>
      <c r="G62" s="17">
        <v>0</v>
      </c>
      <c r="H62" s="6">
        <v>0</v>
      </c>
      <c r="J62" s="14" t="str">
        <f t="shared" si="3"/>
        <v>[11, 'C2', 3, 3, 0, 0, 0],</v>
      </c>
    </row>
    <row r="63" spans="1:10" x14ac:dyDescent="0.3">
      <c r="A63" s="3"/>
      <c r="B63" s="11">
        <v>12</v>
      </c>
      <c r="C63" s="11" t="s">
        <v>3</v>
      </c>
      <c r="D63" s="6">
        <v>4</v>
      </c>
      <c r="E63" s="5">
        <f t="shared" si="2"/>
        <v>4</v>
      </c>
      <c r="F63" s="17">
        <v>0</v>
      </c>
      <c r="G63" s="17">
        <v>0</v>
      </c>
      <c r="H63" s="6">
        <v>0</v>
      </c>
      <c r="J63" s="14" t="str">
        <f t="shared" si="3"/>
        <v>[12, 'C3', 4, 4, 0, 0, 0],</v>
      </c>
    </row>
    <row r="64" spans="1:10" x14ac:dyDescent="0.3">
      <c r="A64" s="3"/>
      <c r="B64" s="11">
        <v>20</v>
      </c>
      <c r="C64" s="11" t="s">
        <v>4</v>
      </c>
      <c r="D64" s="6">
        <v>17</v>
      </c>
      <c r="E64" s="5">
        <f t="shared" si="2"/>
        <v>0</v>
      </c>
      <c r="F64" s="17">
        <v>4</v>
      </c>
      <c r="G64" s="17">
        <v>3</v>
      </c>
      <c r="H64" s="6">
        <v>0</v>
      </c>
      <c r="J64" s="14" t="str">
        <f t="shared" si="3"/>
        <v>[20, 'M1', 17, 0, 4, 3, 0],</v>
      </c>
    </row>
    <row r="65" spans="1:10" x14ac:dyDescent="0.3">
      <c r="A65" s="3"/>
      <c r="B65" s="11">
        <v>21</v>
      </c>
      <c r="C65" s="11" t="s">
        <v>5</v>
      </c>
      <c r="D65" s="6">
        <v>30</v>
      </c>
      <c r="E65" s="5">
        <f t="shared" si="2"/>
        <v>0</v>
      </c>
      <c r="F65" s="17">
        <v>6</v>
      </c>
      <c r="G65" s="17">
        <v>6</v>
      </c>
      <c r="H65" s="6">
        <v>0</v>
      </c>
      <c r="J65" s="14" t="str">
        <f t="shared" si="3"/>
        <v>[21, 'M2', 30, 0, 6, 6,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18</v>
      </c>
      <c r="E73" s="5">
        <f t="shared" si="2"/>
        <v>18</v>
      </c>
      <c r="F73" s="17">
        <v>0</v>
      </c>
      <c r="G73" s="17">
        <v>0</v>
      </c>
      <c r="H73" s="6">
        <v>0</v>
      </c>
      <c r="J73" s="14" t="str">
        <f t="shared" si="3"/>
        <v>[34, 'TE', 18, 18,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3</v>
      </c>
      <c r="E79" s="5">
        <f t="shared" si="4"/>
        <v>3</v>
      </c>
      <c r="F79" s="17">
        <v>0</v>
      </c>
      <c r="G79" s="17">
        <v>0</v>
      </c>
      <c r="H79" s="6">
        <v>0</v>
      </c>
      <c r="J79" s="14" t="str">
        <f t="shared" si="5"/>
        <v>[10, 'C1', 3, 3, 0, 0, 0],</v>
      </c>
    </row>
    <row r="80" spans="1:10" x14ac:dyDescent="0.3">
      <c r="A80" s="3"/>
      <c r="B80" s="11">
        <v>11</v>
      </c>
      <c r="C80" s="11" t="s">
        <v>2</v>
      </c>
      <c r="D80" s="6">
        <v>4</v>
      </c>
      <c r="E80" s="5">
        <f t="shared" si="4"/>
        <v>4</v>
      </c>
      <c r="F80" s="17">
        <v>0</v>
      </c>
      <c r="G80" s="17">
        <v>0</v>
      </c>
      <c r="H80" s="6">
        <v>0</v>
      </c>
      <c r="J80" s="14" t="str">
        <f t="shared" si="5"/>
        <v>[11, 'C2', 4, 4, 0, 0, 0],</v>
      </c>
    </row>
    <row r="81" spans="1:10" x14ac:dyDescent="0.3">
      <c r="A81" s="3"/>
      <c r="B81" s="11">
        <v>12</v>
      </c>
      <c r="C81" s="11" t="s">
        <v>3</v>
      </c>
      <c r="D81" s="6">
        <v>28</v>
      </c>
      <c r="E81" s="5">
        <f t="shared" si="4"/>
        <v>28</v>
      </c>
      <c r="F81" s="17">
        <v>0</v>
      </c>
      <c r="G81" s="17">
        <v>0</v>
      </c>
      <c r="H81" s="6">
        <v>0</v>
      </c>
      <c r="J81" s="14" t="str">
        <f t="shared" si="5"/>
        <v>[12, 'C3', 28, 28, 0, 0, 0],</v>
      </c>
    </row>
    <row r="82" spans="1:10" x14ac:dyDescent="0.3">
      <c r="A82" s="3"/>
      <c r="B82" s="11">
        <v>20</v>
      </c>
      <c r="C82" s="11" t="s">
        <v>4</v>
      </c>
      <c r="D82" s="6">
        <v>17</v>
      </c>
      <c r="E82" s="5">
        <f t="shared" si="4"/>
        <v>0</v>
      </c>
      <c r="F82" s="17">
        <v>4</v>
      </c>
      <c r="G82" s="17">
        <v>3</v>
      </c>
      <c r="H82" s="6">
        <v>0</v>
      </c>
      <c r="J82" s="14" t="str">
        <f t="shared" si="5"/>
        <v>[20, 'M1', 17, 0, 4, 3, 0],</v>
      </c>
    </row>
    <row r="83" spans="1:10" x14ac:dyDescent="0.3">
      <c r="A83" s="3"/>
      <c r="B83" s="11">
        <v>21</v>
      </c>
      <c r="C83" s="11" t="s">
        <v>5</v>
      </c>
      <c r="D83" s="6">
        <v>29</v>
      </c>
      <c r="E83" s="5">
        <f t="shared" si="4"/>
        <v>0</v>
      </c>
      <c r="F83" s="17">
        <v>10</v>
      </c>
      <c r="G83" s="17">
        <v>3</v>
      </c>
      <c r="H83" s="6">
        <v>0</v>
      </c>
      <c r="J83" s="14" t="str">
        <f t="shared" si="5"/>
        <v>[21, 'M2', 29, 0, 10, 3, 0],</v>
      </c>
    </row>
    <row r="84" spans="1:10" x14ac:dyDescent="0.3">
      <c r="A84" s="3"/>
      <c r="B84" s="11">
        <v>22</v>
      </c>
      <c r="C84" s="11" t="s">
        <v>6</v>
      </c>
      <c r="D84" s="6">
        <v>29</v>
      </c>
      <c r="E84" s="5">
        <f t="shared" si="4"/>
        <v>0</v>
      </c>
      <c r="F84" s="17">
        <v>10</v>
      </c>
      <c r="G84" s="17">
        <v>3</v>
      </c>
      <c r="H84" s="6">
        <v>0</v>
      </c>
      <c r="J84" s="14" t="str">
        <f t="shared" si="5"/>
        <v>[22, 'M3', 29, 0, 10, 3, 0],</v>
      </c>
    </row>
    <row r="85" spans="1:10" x14ac:dyDescent="0.3">
      <c r="A85" s="3"/>
      <c r="B85" s="11">
        <v>23</v>
      </c>
      <c r="C85" s="11" t="s">
        <v>7</v>
      </c>
      <c r="D85" s="6">
        <v>14</v>
      </c>
      <c r="E85" s="5">
        <f t="shared" si="4"/>
        <v>0</v>
      </c>
      <c r="F85" s="17">
        <v>4</v>
      </c>
      <c r="G85" s="17">
        <v>2</v>
      </c>
      <c r="H85" s="6">
        <v>0</v>
      </c>
      <c r="J85" s="14" t="str">
        <f t="shared" si="5"/>
        <v>[23, 'M4', 14, 0, 4, 2, 0],</v>
      </c>
    </row>
    <row r="86" spans="1:10" x14ac:dyDescent="0.3">
      <c r="A86" s="3"/>
      <c r="B86" s="11">
        <v>24</v>
      </c>
      <c r="C86" s="11" t="s">
        <v>8</v>
      </c>
      <c r="D86" s="6">
        <v>17</v>
      </c>
      <c r="E86" s="5">
        <f t="shared" si="4"/>
        <v>0</v>
      </c>
      <c r="F86" s="17">
        <v>4</v>
      </c>
      <c r="G86" s="17">
        <v>3</v>
      </c>
      <c r="H86" s="6">
        <v>0</v>
      </c>
      <c r="J86" s="14" t="str">
        <f t="shared" si="5"/>
        <v>[24, 'M5', 17, 0, 4, 3, 0],</v>
      </c>
    </row>
    <row r="87" spans="1:10" x14ac:dyDescent="0.3">
      <c r="A87" s="3"/>
      <c r="B87" s="11">
        <v>30</v>
      </c>
      <c r="C87" s="11" t="s">
        <v>9</v>
      </c>
      <c r="D87" s="6">
        <v>21</v>
      </c>
      <c r="E87" s="5">
        <f t="shared" si="4"/>
        <v>21</v>
      </c>
      <c r="F87" s="17">
        <v>0</v>
      </c>
      <c r="G87" s="17">
        <v>0</v>
      </c>
      <c r="H87" s="6">
        <v>0</v>
      </c>
      <c r="J87" s="14" t="str">
        <f t="shared" si="5"/>
        <v>[30, 'A', 21, 21, 0, 0, 0],</v>
      </c>
    </row>
    <row r="88" spans="1:10" x14ac:dyDescent="0.3">
      <c r="A88" s="3"/>
      <c r="B88" s="11">
        <v>31</v>
      </c>
      <c r="C88" s="11" t="s">
        <v>10</v>
      </c>
      <c r="D88" s="6">
        <v>17</v>
      </c>
      <c r="E88" s="5">
        <f t="shared" si="4"/>
        <v>17</v>
      </c>
      <c r="F88" s="17">
        <v>0</v>
      </c>
      <c r="G88" s="17">
        <v>0</v>
      </c>
      <c r="H88" s="6">
        <v>0</v>
      </c>
      <c r="J88" s="14" t="str">
        <f t="shared" si="5"/>
        <v>[31, 'K', 17, 17, 0, 0, 0],</v>
      </c>
    </row>
    <row r="89" spans="1:10" x14ac:dyDescent="0.3">
      <c r="A89" s="3"/>
      <c r="B89" s="11">
        <v>32</v>
      </c>
      <c r="C89" s="11" t="s">
        <v>11</v>
      </c>
      <c r="D89" s="6">
        <v>21</v>
      </c>
      <c r="E89" s="5">
        <f t="shared" si="4"/>
        <v>21</v>
      </c>
      <c r="F89" s="17">
        <v>0</v>
      </c>
      <c r="G89" s="17">
        <v>0</v>
      </c>
      <c r="H89" s="6">
        <v>0</v>
      </c>
      <c r="J89" s="14" t="str">
        <f t="shared" si="5"/>
        <v>[32, 'Q', 21, 21, 0, 0, 0],</v>
      </c>
    </row>
    <row r="90" spans="1:10" x14ac:dyDescent="0.3">
      <c r="A90" s="3"/>
      <c r="B90" s="11">
        <v>33</v>
      </c>
      <c r="C90" s="11" t="s">
        <v>12</v>
      </c>
      <c r="D90" s="6">
        <v>23</v>
      </c>
      <c r="E90" s="5">
        <f t="shared" si="4"/>
        <v>23</v>
      </c>
      <c r="F90" s="17">
        <v>0</v>
      </c>
      <c r="G90" s="17">
        <v>0</v>
      </c>
      <c r="H90" s="6">
        <v>0</v>
      </c>
      <c r="J90" s="14" t="str">
        <f t="shared" si="5"/>
        <v>[33, 'J', 23, 23, 0, 0, 0],</v>
      </c>
    </row>
    <row r="91" spans="1:10" x14ac:dyDescent="0.3">
      <c r="A91" s="3"/>
      <c r="B91" s="11">
        <v>34</v>
      </c>
      <c r="C91" s="11" t="s">
        <v>13</v>
      </c>
      <c r="D91" s="6">
        <v>21</v>
      </c>
      <c r="E91" s="5">
        <f t="shared" si="4"/>
        <v>21</v>
      </c>
      <c r="F91" s="17">
        <v>0</v>
      </c>
      <c r="G91" s="17">
        <v>0</v>
      </c>
      <c r="H91" s="6">
        <v>0</v>
      </c>
      <c r="J91" s="14" t="str">
        <f t="shared" si="5"/>
        <v>[34, 'TE', 21, 21,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4</v>
      </c>
      <c r="E97" s="5">
        <f t="shared" si="6"/>
        <v>4</v>
      </c>
      <c r="F97" s="17">
        <v>0</v>
      </c>
      <c r="G97" s="17">
        <v>0</v>
      </c>
      <c r="H97" s="6">
        <v>0</v>
      </c>
      <c r="J97" s="14" t="str">
        <f t="shared" si="7"/>
        <v>[10, 'C1', 4, 4, 0, 0, 0],</v>
      </c>
    </row>
    <row r="98" spans="1:10" x14ac:dyDescent="0.3">
      <c r="A98" s="3"/>
      <c r="B98" s="11">
        <v>11</v>
      </c>
      <c r="C98" s="11" t="s">
        <v>2</v>
      </c>
      <c r="D98" s="6">
        <v>0</v>
      </c>
      <c r="E98" s="5">
        <f t="shared" si="6"/>
        <v>0</v>
      </c>
      <c r="F98" s="17">
        <v>0</v>
      </c>
      <c r="G98" s="17">
        <v>0</v>
      </c>
      <c r="H98" s="6">
        <v>0</v>
      </c>
      <c r="J98" s="14" t="str">
        <f t="shared" si="7"/>
        <v>[11, 'C2', 0, 0, 0, 0, 0],</v>
      </c>
    </row>
    <row r="99" spans="1:10" x14ac:dyDescent="0.3">
      <c r="A99" s="3"/>
      <c r="B99" s="11">
        <v>12</v>
      </c>
      <c r="C99" s="11" t="s">
        <v>3</v>
      </c>
      <c r="D99" s="6">
        <v>7</v>
      </c>
      <c r="E99" s="5">
        <f t="shared" si="6"/>
        <v>7</v>
      </c>
      <c r="F99" s="17">
        <v>0</v>
      </c>
      <c r="G99" s="17">
        <v>0</v>
      </c>
      <c r="H99" s="6">
        <v>0</v>
      </c>
      <c r="J99" s="14" t="str">
        <f t="shared" si="7"/>
        <v>[12, 'C3', 7, 7, 0, 0, 0],</v>
      </c>
    </row>
    <row r="100" spans="1:10" x14ac:dyDescent="0.3">
      <c r="A100" s="3"/>
      <c r="B100" s="11">
        <v>20</v>
      </c>
      <c r="C100" s="11" t="s">
        <v>4</v>
      </c>
      <c r="D100" s="6">
        <v>13</v>
      </c>
      <c r="E100" s="5">
        <f t="shared" si="6"/>
        <v>0</v>
      </c>
      <c r="F100" s="17">
        <v>2</v>
      </c>
      <c r="G100" s="17">
        <v>3</v>
      </c>
      <c r="H100" s="6">
        <v>0</v>
      </c>
      <c r="J100" s="14" t="str">
        <f t="shared" si="7"/>
        <v>[20, 'M1', 13, 0, 2, 3, 0],</v>
      </c>
    </row>
    <row r="101" spans="1:10" x14ac:dyDescent="0.3">
      <c r="A101" s="3"/>
      <c r="B101" s="11">
        <v>21</v>
      </c>
      <c r="C101" s="11" t="s">
        <v>5</v>
      </c>
      <c r="D101" s="6">
        <v>24</v>
      </c>
      <c r="E101" s="5">
        <f t="shared" si="6"/>
        <v>0</v>
      </c>
      <c r="F101" s="17">
        <v>9</v>
      </c>
      <c r="G101" s="17">
        <v>2</v>
      </c>
      <c r="H101" s="6">
        <v>0</v>
      </c>
      <c r="J101" s="14" t="str">
        <f t="shared" si="7"/>
        <v>[21, 'M2', 24, 0, 9, 2, 0],</v>
      </c>
    </row>
    <row r="102" spans="1:10" x14ac:dyDescent="0.3">
      <c r="A102" s="3"/>
      <c r="B102" s="11">
        <v>22</v>
      </c>
      <c r="C102" s="11" t="s">
        <v>6</v>
      </c>
      <c r="D102" s="6">
        <v>24</v>
      </c>
      <c r="E102" s="5">
        <f t="shared" si="6"/>
        <v>0</v>
      </c>
      <c r="F102" s="17">
        <v>9</v>
      </c>
      <c r="G102" s="17">
        <v>2</v>
      </c>
      <c r="H102" s="6">
        <v>0</v>
      </c>
      <c r="J102" s="14" t="str">
        <f t="shared" si="7"/>
        <v>[22, 'M3', 24, 0, 9, 2, 0],</v>
      </c>
    </row>
    <row r="103" spans="1:10" x14ac:dyDescent="0.3">
      <c r="A103" s="3"/>
      <c r="B103" s="11">
        <v>23</v>
      </c>
      <c r="C103" s="11" t="s">
        <v>7</v>
      </c>
      <c r="D103" s="6">
        <v>22</v>
      </c>
      <c r="E103" s="5">
        <f t="shared" si="6"/>
        <v>0</v>
      </c>
      <c r="F103" s="17">
        <v>8</v>
      </c>
      <c r="G103" s="17">
        <v>2</v>
      </c>
      <c r="H103" s="6">
        <v>0</v>
      </c>
      <c r="J103" s="14" t="str">
        <f t="shared" si="7"/>
        <v>[23, 'M4', 22, 0, 8, 2, 0],</v>
      </c>
    </row>
    <row r="104" spans="1:10" x14ac:dyDescent="0.3">
      <c r="A104" s="3"/>
      <c r="B104" s="11">
        <v>24</v>
      </c>
      <c r="C104" s="11" t="s">
        <v>8</v>
      </c>
      <c r="D104" s="6">
        <v>22</v>
      </c>
      <c r="E104" s="5">
        <f t="shared" si="6"/>
        <v>0</v>
      </c>
      <c r="F104" s="17">
        <v>8</v>
      </c>
      <c r="G104" s="17">
        <v>2</v>
      </c>
      <c r="H104" s="6">
        <v>0</v>
      </c>
      <c r="J104" s="14" t="str">
        <f t="shared" si="7"/>
        <v>[24, 'M5', 22, 0, 8, 2, 0],</v>
      </c>
    </row>
    <row r="105" spans="1:10" x14ac:dyDescent="0.3">
      <c r="A105" s="3"/>
      <c r="B105" s="11">
        <v>30</v>
      </c>
      <c r="C105" s="11" t="s">
        <v>9</v>
      </c>
      <c r="D105" s="6">
        <v>15</v>
      </c>
      <c r="E105" s="5">
        <f t="shared" si="6"/>
        <v>15</v>
      </c>
      <c r="F105" s="17">
        <v>0</v>
      </c>
      <c r="G105" s="17">
        <v>0</v>
      </c>
      <c r="H105" s="6">
        <v>0</v>
      </c>
      <c r="J105" s="14" t="str">
        <f t="shared" si="7"/>
        <v>[30, 'A', 15, 15, 0, 0, 0],</v>
      </c>
    </row>
    <row r="106" spans="1:10" x14ac:dyDescent="0.3">
      <c r="A106" s="3"/>
      <c r="B106" s="11">
        <v>31</v>
      </c>
      <c r="C106" s="11" t="s">
        <v>10</v>
      </c>
      <c r="D106" s="6">
        <v>20</v>
      </c>
      <c r="E106" s="5">
        <f t="shared" si="6"/>
        <v>20</v>
      </c>
      <c r="F106" s="17">
        <v>0</v>
      </c>
      <c r="G106" s="17">
        <v>0</v>
      </c>
      <c r="H106" s="6">
        <v>0</v>
      </c>
      <c r="J106" s="14" t="str">
        <f t="shared" si="7"/>
        <v>[31, 'K', 20, 20, 0, 0, 0],</v>
      </c>
    </row>
    <row r="107" spans="1:10" x14ac:dyDescent="0.3">
      <c r="A107" s="3"/>
      <c r="B107" s="11">
        <v>32</v>
      </c>
      <c r="C107" s="11" t="s">
        <v>11</v>
      </c>
      <c r="D107" s="6">
        <v>15</v>
      </c>
      <c r="E107" s="5">
        <f t="shared" si="6"/>
        <v>15</v>
      </c>
      <c r="F107" s="17">
        <v>0</v>
      </c>
      <c r="G107" s="17">
        <v>0</v>
      </c>
      <c r="H107" s="6">
        <v>0</v>
      </c>
      <c r="J107" s="14" t="str">
        <f t="shared" si="7"/>
        <v>[32, 'Q', 15, 15, 0, 0, 0],</v>
      </c>
    </row>
    <row r="108" spans="1:10" x14ac:dyDescent="0.3">
      <c r="A108" s="3"/>
      <c r="B108" s="11">
        <v>33</v>
      </c>
      <c r="C108" s="11" t="s">
        <v>12</v>
      </c>
      <c r="D108" s="6">
        <v>22</v>
      </c>
      <c r="E108" s="5">
        <f t="shared" si="6"/>
        <v>22</v>
      </c>
      <c r="F108" s="17">
        <v>0</v>
      </c>
      <c r="G108" s="17">
        <v>0</v>
      </c>
      <c r="H108" s="6">
        <v>0</v>
      </c>
      <c r="J108" s="14" t="str">
        <f t="shared" si="7"/>
        <v>[33, 'J', 22, 22, 0, 0, 0],</v>
      </c>
    </row>
    <row r="109" spans="1:10" x14ac:dyDescent="0.3">
      <c r="A109" s="3"/>
      <c r="B109" s="11">
        <v>34</v>
      </c>
      <c r="C109" s="11" t="s">
        <v>13</v>
      </c>
      <c r="D109" s="6">
        <v>9</v>
      </c>
      <c r="E109" s="5">
        <f t="shared" si="6"/>
        <v>9</v>
      </c>
      <c r="F109" s="17">
        <v>0</v>
      </c>
      <c r="G109" s="17">
        <v>0</v>
      </c>
      <c r="H109" s="6">
        <v>0</v>
      </c>
      <c r="J109" s="14" t="str">
        <f t="shared" si="7"/>
        <v>[34, 'TE', 9, 9,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2</v>
      </c>
      <c r="E115" s="5">
        <f t="shared" si="8"/>
        <v>2</v>
      </c>
      <c r="F115" s="17">
        <v>0</v>
      </c>
      <c r="G115" s="17">
        <v>0</v>
      </c>
      <c r="H115" s="6">
        <v>0</v>
      </c>
      <c r="J115" s="14" t="str">
        <f t="shared" si="9"/>
        <v>[10, 'C1', 2, 2,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4</v>
      </c>
      <c r="E117" s="5">
        <f t="shared" si="8"/>
        <v>4</v>
      </c>
      <c r="F117" s="17">
        <v>0</v>
      </c>
      <c r="G117" s="17">
        <v>0</v>
      </c>
      <c r="H117" s="6">
        <v>0</v>
      </c>
      <c r="J117" s="14" t="str">
        <f t="shared" si="9"/>
        <v>[12, 'C3', 4, 4, 0, 0, 0],</v>
      </c>
    </row>
    <row r="118" spans="1:10" x14ac:dyDescent="0.3">
      <c r="A118" s="3"/>
      <c r="B118" s="11">
        <v>20</v>
      </c>
      <c r="C118" s="11" t="s">
        <v>4</v>
      </c>
      <c r="D118" s="6">
        <v>11</v>
      </c>
      <c r="E118" s="5">
        <f t="shared" si="8"/>
        <v>0</v>
      </c>
      <c r="F118" s="17">
        <v>4</v>
      </c>
      <c r="G118" s="17">
        <v>1</v>
      </c>
      <c r="H118" s="6">
        <v>0</v>
      </c>
      <c r="J118" s="14" t="str">
        <f t="shared" si="9"/>
        <v>[20, 'M1', 11, 0, 4, 1, 0],</v>
      </c>
    </row>
    <row r="119" spans="1:10" x14ac:dyDescent="0.3">
      <c r="A119" s="3"/>
      <c r="B119" s="11">
        <v>21</v>
      </c>
      <c r="C119" s="11" t="s">
        <v>5</v>
      </c>
      <c r="D119" s="6">
        <v>14</v>
      </c>
      <c r="E119" s="5">
        <f t="shared" si="8"/>
        <v>0</v>
      </c>
      <c r="F119" s="17">
        <v>4</v>
      </c>
      <c r="G119" s="17">
        <v>2</v>
      </c>
      <c r="H119" s="6">
        <v>0</v>
      </c>
      <c r="J119" s="14" t="str">
        <f t="shared" si="9"/>
        <v>[21, 'M2', 14, 0, 4, 2, 0],</v>
      </c>
    </row>
    <row r="120" spans="1:10" x14ac:dyDescent="0.3">
      <c r="A120" s="3"/>
      <c r="B120" s="11">
        <v>22</v>
      </c>
      <c r="C120" s="11" t="s">
        <v>6</v>
      </c>
      <c r="D120" s="6">
        <v>14</v>
      </c>
      <c r="E120" s="5">
        <f t="shared" si="8"/>
        <v>0</v>
      </c>
      <c r="F120" s="17">
        <v>4</v>
      </c>
      <c r="G120" s="17">
        <v>2</v>
      </c>
      <c r="H120" s="6">
        <v>0</v>
      </c>
      <c r="J120" s="14" t="str">
        <f t="shared" si="9"/>
        <v>[22, 'M3', 14, 0, 4, 2, 0],</v>
      </c>
    </row>
    <row r="121" spans="1:10" x14ac:dyDescent="0.3">
      <c r="A121" s="3"/>
      <c r="B121" s="11">
        <v>23</v>
      </c>
      <c r="C121" s="11" t="s">
        <v>7</v>
      </c>
      <c r="D121" s="6">
        <v>14</v>
      </c>
      <c r="E121" s="5">
        <f t="shared" si="8"/>
        <v>0</v>
      </c>
      <c r="F121" s="17">
        <v>4</v>
      </c>
      <c r="G121" s="17">
        <v>2</v>
      </c>
      <c r="H121" s="6">
        <v>0</v>
      </c>
      <c r="J121" s="14" t="str">
        <f t="shared" si="9"/>
        <v>[23, 'M4', 14, 0, 4, 2, 0],</v>
      </c>
    </row>
    <row r="122" spans="1:10" x14ac:dyDescent="0.3">
      <c r="A122" s="3"/>
      <c r="B122" s="11">
        <v>24</v>
      </c>
      <c r="C122" s="11" t="s">
        <v>8</v>
      </c>
      <c r="D122" s="6">
        <v>17</v>
      </c>
      <c r="E122" s="5">
        <f t="shared" si="8"/>
        <v>0</v>
      </c>
      <c r="F122" s="17">
        <v>4</v>
      </c>
      <c r="G122" s="17">
        <v>3</v>
      </c>
      <c r="H122" s="6">
        <v>0</v>
      </c>
      <c r="J122" s="14" t="str">
        <f t="shared" si="9"/>
        <v>[24, 'M5', 17, 0, 4, 3, 0],</v>
      </c>
    </row>
    <row r="123" spans="1:10" x14ac:dyDescent="0.3">
      <c r="A123" s="3"/>
      <c r="B123" s="11">
        <v>30</v>
      </c>
      <c r="C123" s="11" t="s">
        <v>9</v>
      </c>
      <c r="D123" s="6">
        <v>8</v>
      </c>
      <c r="E123" s="5">
        <f t="shared" si="8"/>
        <v>8</v>
      </c>
      <c r="F123" s="17">
        <v>0</v>
      </c>
      <c r="G123" s="17">
        <v>0</v>
      </c>
      <c r="H123" s="6">
        <v>0</v>
      </c>
      <c r="J123" s="14" t="str">
        <f t="shared" si="9"/>
        <v>[30, 'A', 8, 8, 0, 0, 0],</v>
      </c>
    </row>
    <row r="124" spans="1:10" x14ac:dyDescent="0.3">
      <c r="A124" s="3"/>
      <c r="B124" s="11">
        <v>31</v>
      </c>
      <c r="C124" s="11" t="s">
        <v>10</v>
      </c>
      <c r="D124" s="6">
        <v>12</v>
      </c>
      <c r="E124" s="5">
        <f t="shared" si="8"/>
        <v>12</v>
      </c>
      <c r="F124" s="17">
        <v>0</v>
      </c>
      <c r="G124" s="17">
        <v>0</v>
      </c>
      <c r="H124" s="6">
        <v>0</v>
      </c>
      <c r="J124" s="14" t="str">
        <f t="shared" si="9"/>
        <v>[31, 'K', 12, 12, 0, 0, 0],</v>
      </c>
    </row>
    <row r="125" spans="1:10" x14ac:dyDescent="0.3">
      <c r="A125" s="3"/>
      <c r="B125" s="11">
        <v>32</v>
      </c>
      <c r="C125" s="11" t="s">
        <v>11</v>
      </c>
      <c r="D125" s="6">
        <v>8</v>
      </c>
      <c r="E125" s="5">
        <f t="shared" si="8"/>
        <v>8</v>
      </c>
      <c r="F125" s="17">
        <v>0</v>
      </c>
      <c r="G125" s="17">
        <v>0</v>
      </c>
      <c r="H125" s="6">
        <v>0</v>
      </c>
      <c r="J125" s="14" t="str">
        <f t="shared" si="9"/>
        <v>[32, 'Q', 8, 8, 0, 0, 0],</v>
      </c>
    </row>
    <row r="126" spans="1:10" x14ac:dyDescent="0.3">
      <c r="A126" s="3"/>
      <c r="B126" s="11">
        <v>33</v>
      </c>
      <c r="C126" s="11" t="s">
        <v>12</v>
      </c>
      <c r="D126" s="6">
        <v>12</v>
      </c>
      <c r="E126" s="5">
        <f t="shared" si="8"/>
        <v>12</v>
      </c>
      <c r="F126" s="17">
        <v>0</v>
      </c>
      <c r="G126" s="17">
        <v>0</v>
      </c>
      <c r="H126" s="6">
        <v>0</v>
      </c>
      <c r="J126" s="14" t="str">
        <f t="shared" si="9"/>
        <v>[33, 'J', 12, 12, 0, 0, 0],</v>
      </c>
    </row>
    <row r="127" spans="1:10" x14ac:dyDescent="0.3">
      <c r="A127" s="3"/>
      <c r="B127" s="11">
        <v>34</v>
      </c>
      <c r="C127" s="11" t="s">
        <v>13</v>
      </c>
      <c r="D127" s="6">
        <v>11</v>
      </c>
      <c r="E127" s="5">
        <f t="shared" si="8"/>
        <v>11</v>
      </c>
      <c r="F127" s="17">
        <v>0</v>
      </c>
      <c r="G127" s="17">
        <v>0</v>
      </c>
      <c r="H127" s="6">
        <v>0</v>
      </c>
      <c r="J127" s="14" t="str">
        <f t="shared" si="9"/>
        <v>[34, 'TE', 11, 11,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Q110:R127 U42:U55 L58 P95:Q109 N58:O58 K77:L91 Q58:R58 K95:L95 Q76:R76 J92:L92 K111:P111 R109 P110 N112:P112 N96:O110 J60:J73 J78:J91 J96:L110 J114:J127 A3:A7 Z7:AA10 Y12:AA12 S11:AA11 S12 B1:R1 A2:R2 M21:R21 A8:L8 A128:R1048576 A39:I39 K39:R39 A22:R38 A9:G10 H10:R10 S143:AA1048576 S7:T10 S13:AA39 S1:AA6 A40:Z40 H9 J9:R9 A41:E127 H20:R20 M11:R19 A20:G21 A11:A19 H42:L56 H57:R57 H58:I127 H41:I41">
    <cfRule type="cellIs" dxfId="66" priority="29" operator="equal">
      <formula>0</formula>
    </cfRule>
  </conditionalFormatting>
  <conditionalFormatting sqref="J74">
    <cfRule type="cellIs" dxfId="65" priority="28" operator="equal">
      <formula>0</formula>
    </cfRule>
  </conditionalFormatting>
  <conditionalFormatting sqref="E41:E127">
    <cfRule type="cellIs" dxfId="64" priority="27" operator="lessThan">
      <formula>0</formula>
    </cfRule>
  </conditionalFormatting>
  <conditionalFormatting sqref="U7:Y10">
    <cfRule type="cellIs" dxfId="63" priority="26" operator="equal">
      <formula>0</formula>
    </cfRule>
  </conditionalFormatting>
  <conditionalFormatting sqref="B20:F20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{4EBFDE93-F74E-4392-AC25-4156348DD991}</x14:id>
        </ext>
      </extLst>
    </cfRule>
  </conditionalFormatting>
  <conditionalFormatting sqref="H5:L5">
    <cfRule type="cellIs" dxfId="62" priority="24" operator="equal">
      <formula>0</formula>
    </cfRule>
  </conditionalFormatting>
  <conditionalFormatting sqref="P8:Q8 M8:N8">
    <cfRule type="cellIs" dxfId="61" priority="23" operator="equal">
      <formula>0</formula>
    </cfRule>
  </conditionalFormatting>
  <conditionalFormatting sqref="B3:F7">
    <cfRule type="cellIs" dxfId="60" priority="18" operator="equal">
      <formula>0</formula>
    </cfRule>
  </conditionalFormatting>
  <conditionalFormatting sqref="I9">
    <cfRule type="cellIs" dxfId="59" priority="12" operator="equal">
      <formula>0</formula>
    </cfRule>
  </conditionalFormatting>
  <conditionalFormatting sqref="H6:L6">
    <cfRule type="cellIs" dxfId="58" priority="11" operator="equal">
      <formula>0</formula>
    </cfRule>
  </conditionalFormatting>
  <conditionalFormatting sqref="H4:L4">
    <cfRule type="cellIs" dxfId="57" priority="10" operator="equal">
      <formula>0</formula>
    </cfRule>
  </conditionalFormatting>
  <conditionalFormatting sqref="B11:L15 B16:K19">
    <cfRule type="cellIs" dxfId="56" priority="9" operator="equal">
      <formula>0</formula>
    </cfRule>
  </conditionalFormatting>
  <conditionalFormatting sqref="B11:F1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{75979337-E4B5-4012-8DFA-99F65B4A6972}</x14:id>
        </ext>
      </extLst>
    </cfRule>
  </conditionalFormatting>
  <conditionalFormatting sqref="L16:L19">
    <cfRule type="cellIs" dxfId="55" priority="7" operator="equal">
      <formula>0</formula>
    </cfRule>
  </conditionalFormatting>
  <conditionalFormatting sqref="F41:G50 F56:G68 G51:G55 G69:G73 F92:G104 G87:G91 F110:G122 G105:G109 G123:G127 F74:G86">
    <cfRule type="cellIs" dxfId="54" priority="6" operator="equal">
      <formula>0</formula>
    </cfRule>
  </conditionalFormatting>
  <conditionalFormatting sqref="F105:F109">
    <cfRule type="cellIs" dxfId="53" priority="5" operator="equal">
      <formula>0</formula>
    </cfRule>
  </conditionalFormatting>
  <conditionalFormatting sqref="F123:F127">
    <cfRule type="cellIs" dxfId="52" priority="4" operator="equal">
      <formula>0</formula>
    </cfRule>
  </conditionalFormatting>
  <conditionalFormatting sqref="F87:F91">
    <cfRule type="cellIs" dxfId="51" priority="3" operator="equal">
      <formula>0</formula>
    </cfRule>
  </conditionalFormatting>
  <conditionalFormatting sqref="F69:F73">
    <cfRule type="cellIs" dxfId="50" priority="2" operator="equal">
      <formula>0</formula>
    </cfRule>
  </conditionalFormatting>
  <conditionalFormatting sqref="F51:F55">
    <cfRule type="cellIs" dxfId="49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BFDE93-F74E-4392-AC25-4156348DD9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B20:F20</xm:sqref>
        </x14:conditionalFormatting>
        <x14:conditionalFormatting xmlns:xm="http://schemas.microsoft.com/office/excel/2006/main">
          <x14:cfRule type="dataBar" id="{75979337-E4B5-4012-8DFA-99F65B4A69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7161-EC97-430B-BBBD-53D90BBA367A}">
  <dimension ref="A1:R128"/>
  <sheetViews>
    <sheetView topLeftCell="A68"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20" width="8.6640625" style="3"/>
    <col min="21" max="25" width="7" style="3" customWidth="1"/>
    <col min="26" max="16384" width="8.6640625" style="3"/>
  </cols>
  <sheetData>
    <row r="1" spans="1:18" x14ac:dyDescent="0.3">
      <c r="A1" s="1" t="s">
        <v>33</v>
      </c>
      <c r="B1" s="1">
        <v>4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2</v>
      </c>
      <c r="C4" s="21">
        <v>4</v>
      </c>
      <c r="D4" s="21">
        <v>3</v>
      </c>
      <c r="E4" s="21">
        <v>4</v>
      </c>
      <c r="F4" s="21">
        <v>2</v>
      </c>
      <c r="H4" s="17">
        <v>2</v>
      </c>
      <c r="I4" s="17">
        <v>4</v>
      </c>
      <c r="J4" s="17">
        <v>3</v>
      </c>
      <c r="K4" s="17">
        <v>4</v>
      </c>
      <c r="L4" s="17">
        <v>2</v>
      </c>
      <c r="N4" s="6">
        <v>2</v>
      </c>
      <c r="O4" s="6">
        <v>4</v>
      </c>
      <c r="P4" s="6">
        <v>3</v>
      </c>
      <c r="Q4" s="6">
        <v>4</v>
      </c>
      <c r="R4" s="6">
        <v>2</v>
      </c>
    </row>
    <row r="5" spans="1:18" x14ac:dyDescent="0.3">
      <c r="A5" s="1" t="s">
        <v>2</v>
      </c>
      <c r="B5" s="8">
        <v>0</v>
      </c>
      <c r="C5" s="8">
        <v>0</v>
      </c>
      <c r="D5" s="8">
        <v>0</v>
      </c>
      <c r="E5" s="8">
        <v>6</v>
      </c>
      <c r="F5" s="8">
        <v>0</v>
      </c>
      <c r="H5" s="17">
        <v>0</v>
      </c>
      <c r="I5" s="17">
        <v>0</v>
      </c>
      <c r="J5" s="17">
        <v>0</v>
      </c>
      <c r="K5" s="17">
        <v>6</v>
      </c>
      <c r="L5" s="17">
        <v>0</v>
      </c>
      <c r="N5" s="6">
        <v>0</v>
      </c>
      <c r="O5" s="6">
        <v>0</v>
      </c>
      <c r="P5" s="6">
        <v>0</v>
      </c>
      <c r="Q5" s="6">
        <v>6</v>
      </c>
      <c r="R5" s="6">
        <v>0</v>
      </c>
    </row>
    <row r="6" spans="1:18" x14ac:dyDescent="0.3">
      <c r="A6" s="1" t="s">
        <v>3</v>
      </c>
      <c r="B6" s="8">
        <v>9</v>
      </c>
      <c r="C6" s="8">
        <v>6</v>
      </c>
      <c r="D6" s="8">
        <v>28</v>
      </c>
      <c r="E6" s="8">
        <v>9</v>
      </c>
      <c r="F6" s="8">
        <v>2</v>
      </c>
      <c r="H6" s="17">
        <v>9</v>
      </c>
      <c r="I6" s="17">
        <v>6</v>
      </c>
      <c r="J6" s="17">
        <v>28</v>
      </c>
      <c r="K6" s="17">
        <v>9</v>
      </c>
      <c r="L6" s="17">
        <v>2</v>
      </c>
      <c r="N6" s="6">
        <v>9</v>
      </c>
      <c r="O6" s="6">
        <v>6</v>
      </c>
      <c r="P6" s="6">
        <v>28</v>
      </c>
      <c r="Q6" s="6">
        <v>9</v>
      </c>
      <c r="R6" s="6">
        <v>2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89</v>
      </c>
      <c r="C8" s="3">
        <v>210</v>
      </c>
      <c r="D8" s="3">
        <v>219</v>
      </c>
      <c r="E8" s="3">
        <v>181</v>
      </c>
      <c r="F8" s="3">
        <v>126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22"/>
      <c r="I20" s="22"/>
      <c r="J20" s="22"/>
      <c r="K20" s="22"/>
      <c r="L20" s="22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2</v>
      </c>
      <c r="C24" s="8">
        <v>4</v>
      </c>
      <c r="D24" s="8">
        <v>3</v>
      </c>
      <c r="E24" s="8">
        <v>4</v>
      </c>
      <c r="F24" s="8">
        <v>2</v>
      </c>
    </row>
    <row r="25" spans="1:12" x14ac:dyDescent="0.3">
      <c r="A25" s="1" t="s">
        <v>2</v>
      </c>
      <c r="B25" s="8">
        <v>0</v>
      </c>
      <c r="C25" s="7">
        <v>0</v>
      </c>
      <c r="D25" s="7">
        <v>0</v>
      </c>
      <c r="E25" s="7">
        <v>6</v>
      </c>
      <c r="F25" s="8">
        <v>0</v>
      </c>
    </row>
    <row r="26" spans="1:12" x14ac:dyDescent="0.3">
      <c r="A26" s="1" t="s">
        <v>3</v>
      </c>
      <c r="B26" s="8">
        <v>9</v>
      </c>
      <c r="C26" s="8">
        <v>6</v>
      </c>
      <c r="D26" s="8">
        <v>28</v>
      </c>
      <c r="E26" s="8">
        <v>9</v>
      </c>
      <c r="F26" s="8">
        <v>2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18</v>
      </c>
      <c r="D27" s="8">
        <v>17</v>
      </c>
      <c r="E27" s="8">
        <v>13</v>
      </c>
      <c r="F27" s="8">
        <v>11</v>
      </c>
    </row>
    <row r="28" spans="1:12" x14ac:dyDescent="0.3">
      <c r="A28" s="1" t="s">
        <v>5</v>
      </c>
      <c r="B28" s="8">
        <v>8</v>
      </c>
      <c r="C28" s="8">
        <v>31</v>
      </c>
      <c r="D28" s="8">
        <v>30</v>
      </c>
      <c r="E28" s="8">
        <v>23</v>
      </c>
      <c r="F28" s="8">
        <v>15</v>
      </c>
    </row>
    <row r="29" spans="1:12" x14ac:dyDescent="0.3">
      <c r="A29" s="1" t="s">
        <v>6</v>
      </c>
      <c r="B29" s="8">
        <v>13</v>
      </c>
      <c r="C29" s="8">
        <v>22</v>
      </c>
      <c r="D29" s="8">
        <v>30</v>
      </c>
      <c r="E29" s="8">
        <v>23</v>
      </c>
      <c r="F29" s="8">
        <v>15</v>
      </c>
    </row>
    <row r="30" spans="1:12" x14ac:dyDescent="0.3">
      <c r="A30" s="1" t="s">
        <v>7</v>
      </c>
      <c r="B30" s="8">
        <v>11</v>
      </c>
      <c r="C30" s="8">
        <v>22</v>
      </c>
      <c r="D30" s="8">
        <v>15</v>
      </c>
      <c r="E30" s="8">
        <v>21</v>
      </c>
      <c r="F30" s="8">
        <v>15</v>
      </c>
    </row>
    <row r="31" spans="1:12" x14ac:dyDescent="0.3">
      <c r="A31" s="1" t="s">
        <v>8</v>
      </c>
      <c r="B31" s="8">
        <v>11</v>
      </c>
      <c r="C31" s="8">
        <v>16</v>
      </c>
      <c r="D31" s="8">
        <v>17</v>
      </c>
      <c r="E31" s="8">
        <v>21</v>
      </c>
      <c r="F31" s="8">
        <v>17</v>
      </c>
    </row>
    <row r="32" spans="1:12" x14ac:dyDescent="0.3">
      <c r="A32" s="1" t="s">
        <v>9</v>
      </c>
      <c r="B32" s="8">
        <v>5</v>
      </c>
      <c r="C32" s="8">
        <v>24</v>
      </c>
      <c r="D32" s="8">
        <v>21</v>
      </c>
      <c r="E32" s="8">
        <v>14</v>
      </c>
      <c r="F32" s="8">
        <v>9</v>
      </c>
    </row>
    <row r="33" spans="1:10" x14ac:dyDescent="0.3">
      <c r="A33" s="1" t="s">
        <v>10</v>
      </c>
      <c r="B33" s="8">
        <v>9</v>
      </c>
      <c r="C33" s="8">
        <v>22</v>
      </c>
      <c r="D33" s="8">
        <v>17</v>
      </c>
      <c r="E33" s="8">
        <v>19</v>
      </c>
      <c r="F33" s="8">
        <v>12</v>
      </c>
    </row>
    <row r="34" spans="1:10" x14ac:dyDescent="0.3">
      <c r="A34" s="1" t="s">
        <v>11</v>
      </c>
      <c r="B34" s="8">
        <v>9</v>
      </c>
      <c r="C34" s="8">
        <v>16</v>
      </c>
      <c r="D34" s="8">
        <v>21</v>
      </c>
      <c r="E34" s="8">
        <v>14</v>
      </c>
      <c r="F34" s="8">
        <v>9</v>
      </c>
    </row>
    <row r="35" spans="1:10" x14ac:dyDescent="0.3">
      <c r="A35" s="1" t="s">
        <v>12</v>
      </c>
      <c r="B35" s="8">
        <v>9</v>
      </c>
      <c r="C35" s="8">
        <v>16</v>
      </c>
      <c r="D35" s="8">
        <v>23</v>
      </c>
      <c r="E35" s="8">
        <v>21</v>
      </c>
      <c r="F35" s="8">
        <v>12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8</v>
      </c>
      <c r="C36" s="8">
        <v>17</v>
      </c>
      <c r="D36" s="8">
        <v>22</v>
      </c>
      <c r="E36" s="8">
        <v>9</v>
      </c>
      <c r="F36" s="8">
        <v>8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2</v>
      </c>
      <c r="E43" s="5">
        <f t="shared" si="0"/>
        <v>2</v>
      </c>
      <c r="F43" s="17">
        <v>0</v>
      </c>
      <c r="G43" s="17">
        <v>0</v>
      </c>
      <c r="H43" s="6">
        <v>0</v>
      </c>
      <c r="J43" s="14" t="str">
        <f t="shared" si="1"/>
        <v>[10, 'C1', 2, 2,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9</v>
      </c>
      <c r="E45" s="5">
        <f t="shared" si="0"/>
        <v>9</v>
      </c>
      <c r="F45" s="17">
        <v>0</v>
      </c>
      <c r="G45" s="17">
        <v>0</v>
      </c>
      <c r="H45" s="6">
        <v>0</v>
      </c>
      <c r="J45" s="14" t="str">
        <f t="shared" si="1"/>
        <v>[12, 'C3', 9, 9,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13</v>
      </c>
      <c r="E48" s="5">
        <f t="shared" si="0"/>
        <v>0</v>
      </c>
      <c r="F48" s="17">
        <v>5</v>
      </c>
      <c r="G48" s="17">
        <v>1</v>
      </c>
      <c r="H48" s="6">
        <v>0</v>
      </c>
      <c r="J48" s="14" t="str">
        <f t="shared" si="1"/>
        <v>[22, 'M3', 13, 0, 5, 1, 0],</v>
      </c>
    </row>
    <row r="49" spans="1:10" x14ac:dyDescent="0.3">
      <c r="B49" s="11">
        <v>23</v>
      </c>
      <c r="C49" s="11" t="s">
        <v>7</v>
      </c>
      <c r="D49" s="6">
        <v>11</v>
      </c>
      <c r="E49" s="5">
        <f t="shared" si="0"/>
        <v>0</v>
      </c>
      <c r="F49" s="17">
        <v>4</v>
      </c>
      <c r="G49" s="17">
        <v>1</v>
      </c>
      <c r="H49" s="6">
        <v>0</v>
      </c>
      <c r="J49" s="14" t="str">
        <f t="shared" si="1"/>
        <v>[23, 'M4', 11, 0, 4, 1, 0],</v>
      </c>
    </row>
    <row r="50" spans="1:10" x14ac:dyDescent="0.3">
      <c r="A50" s="3"/>
      <c r="B50" s="11">
        <v>24</v>
      </c>
      <c r="C50" s="11" t="s">
        <v>8</v>
      </c>
      <c r="D50" s="6">
        <v>11</v>
      </c>
      <c r="E50" s="5">
        <f t="shared" si="0"/>
        <v>0</v>
      </c>
      <c r="F50" s="17">
        <v>4</v>
      </c>
      <c r="G50" s="17">
        <v>1</v>
      </c>
      <c r="H50" s="6">
        <v>0</v>
      </c>
      <c r="J50" s="14" t="str">
        <f t="shared" si="1"/>
        <v>[24, 'M5', 11, 0, 4, 1,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9</v>
      </c>
      <c r="E52" s="5">
        <f t="shared" si="0"/>
        <v>9</v>
      </c>
      <c r="F52" s="17">
        <v>0</v>
      </c>
      <c r="G52" s="17">
        <v>0</v>
      </c>
      <c r="H52" s="6">
        <v>0</v>
      </c>
      <c r="J52" s="14" t="str">
        <f t="shared" si="1"/>
        <v>[31, 'K', 9, 9, 0, 0, 0],</v>
      </c>
    </row>
    <row r="53" spans="1:10" x14ac:dyDescent="0.3">
      <c r="A53" s="3"/>
      <c r="B53" s="11">
        <v>32</v>
      </c>
      <c r="C53" s="11" t="s">
        <v>11</v>
      </c>
      <c r="D53" s="6">
        <v>9</v>
      </c>
      <c r="E53" s="5">
        <f t="shared" si="0"/>
        <v>9</v>
      </c>
      <c r="F53" s="17">
        <v>0</v>
      </c>
      <c r="G53" s="17">
        <v>0</v>
      </c>
      <c r="H53" s="6">
        <v>0</v>
      </c>
      <c r="J53" s="14" t="str">
        <f t="shared" si="1"/>
        <v>[32, 'Q', 9, 9, 0, 0, 0],</v>
      </c>
    </row>
    <row r="54" spans="1:10" x14ac:dyDescent="0.3">
      <c r="A54" s="3"/>
      <c r="B54" s="11">
        <v>33</v>
      </c>
      <c r="C54" s="11" t="s">
        <v>12</v>
      </c>
      <c r="D54" s="6">
        <v>9</v>
      </c>
      <c r="E54" s="5">
        <f t="shared" si="0"/>
        <v>9</v>
      </c>
      <c r="F54" s="17">
        <v>0</v>
      </c>
      <c r="G54" s="17">
        <v>0</v>
      </c>
      <c r="H54" s="6">
        <v>0</v>
      </c>
      <c r="J54" s="14" t="str">
        <f t="shared" si="1"/>
        <v>[33, 'J', 9, 9, 0, 0, 0],</v>
      </c>
    </row>
    <row r="55" spans="1:10" x14ac:dyDescent="0.3">
      <c r="A55" s="3"/>
      <c r="B55" s="11">
        <v>34</v>
      </c>
      <c r="C55" s="11" t="s">
        <v>13</v>
      </c>
      <c r="D55" s="6">
        <v>8</v>
      </c>
      <c r="E55" s="5">
        <f t="shared" si="0"/>
        <v>8</v>
      </c>
      <c r="F55" s="17">
        <v>0</v>
      </c>
      <c r="G55" s="17">
        <v>0</v>
      </c>
      <c r="H55" s="6">
        <v>0</v>
      </c>
      <c r="J55" s="14" t="str">
        <f t="shared" si="1"/>
        <v>[34, 'TE', 8, 8,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4</v>
      </c>
      <c r="E61" s="5">
        <f t="shared" si="2"/>
        <v>4</v>
      </c>
      <c r="F61" s="17">
        <v>0</v>
      </c>
      <c r="G61" s="17">
        <v>0</v>
      </c>
      <c r="H61" s="6">
        <v>0</v>
      </c>
      <c r="J61" s="14" t="str">
        <f t="shared" si="3"/>
        <v>[10, 'C1', 4, 4, 0, 0, 0],</v>
      </c>
    </row>
    <row r="62" spans="1:10" x14ac:dyDescent="0.3">
      <c r="A62" s="3"/>
      <c r="B62" s="11">
        <v>11</v>
      </c>
      <c r="C62" s="11" t="s">
        <v>2</v>
      </c>
      <c r="D62" s="6">
        <v>0</v>
      </c>
      <c r="E62" s="5">
        <f t="shared" si="2"/>
        <v>0</v>
      </c>
      <c r="F62" s="17">
        <v>0</v>
      </c>
      <c r="G62" s="17">
        <v>0</v>
      </c>
      <c r="H62" s="6">
        <v>0</v>
      </c>
      <c r="J62" s="14" t="str">
        <f t="shared" si="3"/>
        <v>[11, 'C2', 0, 0, 0, 0, 0],</v>
      </c>
    </row>
    <row r="63" spans="1:10" x14ac:dyDescent="0.3">
      <c r="A63" s="3"/>
      <c r="B63" s="11">
        <v>12</v>
      </c>
      <c r="C63" s="11" t="s">
        <v>3</v>
      </c>
      <c r="D63" s="6">
        <v>6</v>
      </c>
      <c r="E63" s="5">
        <f t="shared" si="2"/>
        <v>6</v>
      </c>
      <c r="F63" s="17">
        <v>0</v>
      </c>
      <c r="G63" s="17">
        <v>0</v>
      </c>
      <c r="H63" s="6">
        <v>0</v>
      </c>
      <c r="J63" s="14" t="str">
        <f t="shared" si="3"/>
        <v>[12, 'C3', 6, 6, 0, 0, 0],</v>
      </c>
    </row>
    <row r="64" spans="1:10" x14ac:dyDescent="0.3">
      <c r="A64" s="3"/>
      <c r="B64" s="11">
        <v>20</v>
      </c>
      <c r="C64" s="11" t="s">
        <v>4</v>
      </c>
      <c r="D64" s="6">
        <v>18</v>
      </c>
      <c r="E64" s="5">
        <f t="shared" si="2"/>
        <v>0</v>
      </c>
      <c r="F64" s="17">
        <v>3</v>
      </c>
      <c r="G64" s="17">
        <v>4</v>
      </c>
      <c r="H64" s="6">
        <v>0</v>
      </c>
      <c r="J64" s="14" t="str">
        <f t="shared" si="3"/>
        <v>[20, 'M1', 18, 0, 3, 4, 0],</v>
      </c>
    </row>
    <row r="65" spans="1:10" x14ac:dyDescent="0.3">
      <c r="A65" s="3"/>
      <c r="B65" s="11">
        <v>21</v>
      </c>
      <c r="C65" s="11" t="s">
        <v>5</v>
      </c>
      <c r="D65" s="6">
        <v>31</v>
      </c>
      <c r="E65" s="5">
        <f t="shared" si="2"/>
        <v>0</v>
      </c>
      <c r="F65" s="17">
        <v>5</v>
      </c>
      <c r="G65" s="17">
        <v>7</v>
      </c>
      <c r="H65" s="6">
        <v>0</v>
      </c>
      <c r="J65" s="14" t="str">
        <f t="shared" si="3"/>
        <v>[21, 'M2', 31, 0, 5, 7,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17</v>
      </c>
      <c r="E73" s="5">
        <f t="shared" si="2"/>
        <v>17</v>
      </c>
      <c r="F73" s="17">
        <v>0</v>
      </c>
      <c r="G73" s="17">
        <v>0</v>
      </c>
      <c r="H73" s="6">
        <v>0</v>
      </c>
      <c r="J73" s="14" t="str">
        <f t="shared" si="3"/>
        <v>[34, 'TE', 17, 17,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3</v>
      </c>
      <c r="E79" s="5">
        <f t="shared" si="4"/>
        <v>3</v>
      </c>
      <c r="F79" s="17">
        <v>0</v>
      </c>
      <c r="G79" s="17">
        <v>0</v>
      </c>
      <c r="H79" s="6">
        <v>0</v>
      </c>
      <c r="J79" s="14" t="str">
        <f t="shared" si="5"/>
        <v>[10, 'C1', 3, 3, 0, 0, 0],</v>
      </c>
    </row>
    <row r="80" spans="1:10" x14ac:dyDescent="0.3">
      <c r="A80" s="3"/>
      <c r="B80" s="11">
        <v>11</v>
      </c>
      <c r="C80" s="11" t="s">
        <v>2</v>
      </c>
      <c r="D80" s="6">
        <v>0</v>
      </c>
      <c r="E80" s="5">
        <f t="shared" si="4"/>
        <v>0</v>
      </c>
      <c r="F80" s="17">
        <v>0</v>
      </c>
      <c r="G80" s="17">
        <v>0</v>
      </c>
      <c r="H80" s="6">
        <v>0</v>
      </c>
      <c r="J80" s="14" t="str">
        <f t="shared" si="5"/>
        <v>[11, 'C2', 0, 0, 0, 0, 0],</v>
      </c>
    </row>
    <row r="81" spans="1:10" x14ac:dyDescent="0.3">
      <c r="A81" s="3"/>
      <c r="B81" s="11">
        <v>12</v>
      </c>
      <c r="C81" s="11" t="s">
        <v>3</v>
      </c>
      <c r="D81" s="6">
        <v>28</v>
      </c>
      <c r="E81" s="5">
        <f t="shared" si="4"/>
        <v>28</v>
      </c>
      <c r="F81" s="17">
        <v>0</v>
      </c>
      <c r="G81" s="17">
        <v>0</v>
      </c>
      <c r="H81" s="6">
        <v>0</v>
      </c>
      <c r="J81" s="14" t="str">
        <f t="shared" si="5"/>
        <v>[12, 'C3', 28, 28, 0, 0, 0],</v>
      </c>
    </row>
    <row r="82" spans="1:10" x14ac:dyDescent="0.3">
      <c r="A82" s="3"/>
      <c r="B82" s="11">
        <v>20</v>
      </c>
      <c r="C82" s="11" t="s">
        <v>4</v>
      </c>
      <c r="D82" s="6">
        <v>17</v>
      </c>
      <c r="E82" s="5">
        <f t="shared" si="4"/>
        <v>0</v>
      </c>
      <c r="F82" s="17">
        <v>4</v>
      </c>
      <c r="G82" s="17">
        <v>3</v>
      </c>
      <c r="H82" s="6">
        <v>0</v>
      </c>
      <c r="J82" s="14" t="str">
        <f t="shared" si="5"/>
        <v>[20, 'M1', 17, 0, 4, 3, 0],</v>
      </c>
    </row>
    <row r="83" spans="1:10" x14ac:dyDescent="0.3">
      <c r="A83" s="3"/>
      <c r="B83" s="11">
        <v>21</v>
      </c>
      <c r="C83" s="11" t="s">
        <v>5</v>
      </c>
      <c r="D83" s="6">
        <v>30</v>
      </c>
      <c r="E83" s="5">
        <f t="shared" si="4"/>
        <v>0</v>
      </c>
      <c r="F83" s="17">
        <v>9</v>
      </c>
      <c r="G83" s="17">
        <v>4</v>
      </c>
      <c r="H83" s="6">
        <v>0</v>
      </c>
      <c r="J83" s="14" t="str">
        <f t="shared" si="5"/>
        <v>[21, 'M2', 30, 0, 9, 4, 0],</v>
      </c>
    </row>
    <row r="84" spans="1:10" x14ac:dyDescent="0.3">
      <c r="A84" s="3"/>
      <c r="B84" s="11">
        <v>22</v>
      </c>
      <c r="C84" s="11" t="s">
        <v>6</v>
      </c>
      <c r="D84" s="6">
        <v>30</v>
      </c>
      <c r="E84" s="5">
        <f t="shared" si="4"/>
        <v>0</v>
      </c>
      <c r="F84" s="17">
        <v>9</v>
      </c>
      <c r="G84" s="17">
        <v>4</v>
      </c>
      <c r="H84" s="6">
        <v>0</v>
      </c>
      <c r="J84" s="14" t="str">
        <f t="shared" si="5"/>
        <v>[22, 'M3', 30, 0, 9, 4, 0],</v>
      </c>
    </row>
    <row r="85" spans="1:10" x14ac:dyDescent="0.3">
      <c r="A85" s="3"/>
      <c r="B85" s="11">
        <v>23</v>
      </c>
      <c r="C85" s="11" t="s">
        <v>7</v>
      </c>
      <c r="D85" s="6">
        <v>15</v>
      </c>
      <c r="E85" s="5">
        <f t="shared" si="4"/>
        <v>0</v>
      </c>
      <c r="F85" s="17">
        <v>3</v>
      </c>
      <c r="G85" s="17">
        <v>3</v>
      </c>
      <c r="H85" s="6">
        <v>0</v>
      </c>
      <c r="J85" s="14" t="str">
        <f t="shared" si="5"/>
        <v>[23, 'M4', 15, 0, 3, 3, 0],</v>
      </c>
    </row>
    <row r="86" spans="1:10" x14ac:dyDescent="0.3">
      <c r="A86" s="3"/>
      <c r="B86" s="11">
        <v>24</v>
      </c>
      <c r="C86" s="11" t="s">
        <v>8</v>
      </c>
      <c r="D86" s="6">
        <v>17</v>
      </c>
      <c r="E86" s="5">
        <f t="shared" si="4"/>
        <v>0</v>
      </c>
      <c r="F86" s="17">
        <v>4</v>
      </c>
      <c r="G86" s="17">
        <v>3</v>
      </c>
      <c r="H86" s="6">
        <v>0</v>
      </c>
      <c r="J86" s="14" t="str">
        <f t="shared" si="5"/>
        <v>[24, 'M5', 17, 0, 4, 3, 0],</v>
      </c>
    </row>
    <row r="87" spans="1:10" x14ac:dyDescent="0.3">
      <c r="A87" s="3"/>
      <c r="B87" s="11">
        <v>30</v>
      </c>
      <c r="C87" s="11" t="s">
        <v>9</v>
      </c>
      <c r="D87" s="6">
        <v>21</v>
      </c>
      <c r="E87" s="5">
        <f t="shared" si="4"/>
        <v>21</v>
      </c>
      <c r="F87" s="17">
        <v>0</v>
      </c>
      <c r="G87" s="17">
        <v>0</v>
      </c>
      <c r="H87" s="6">
        <v>0</v>
      </c>
      <c r="J87" s="14" t="str">
        <f t="shared" si="5"/>
        <v>[30, 'A', 21, 21, 0, 0, 0],</v>
      </c>
    </row>
    <row r="88" spans="1:10" x14ac:dyDescent="0.3">
      <c r="A88" s="3"/>
      <c r="B88" s="11">
        <v>31</v>
      </c>
      <c r="C88" s="11" t="s">
        <v>10</v>
      </c>
      <c r="D88" s="6">
        <v>17</v>
      </c>
      <c r="E88" s="5">
        <f t="shared" si="4"/>
        <v>17</v>
      </c>
      <c r="F88" s="17">
        <v>0</v>
      </c>
      <c r="G88" s="17">
        <v>0</v>
      </c>
      <c r="H88" s="6">
        <v>0</v>
      </c>
      <c r="J88" s="14" t="str">
        <f t="shared" si="5"/>
        <v>[31, 'K', 17, 17, 0, 0, 0],</v>
      </c>
    </row>
    <row r="89" spans="1:10" x14ac:dyDescent="0.3">
      <c r="A89" s="3"/>
      <c r="B89" s="11">
        <v>32</v>
      </c>
      <c r="C89" s="11" t="s">
        <v>11</v>
      </c>
      <c r="D89" s="6">
        <v>21</v>
      </c>
      <c r="E89" s="5">
        <f t="shared" si="4"/>
        <v>21</v>
      </c>
      <c r="F89" s="17">
        <v>0</v>
      </c>
      <c r="G89" s="17">
        <v>0</v>
      </c>
      <c r="H89" s="6">
        <v>0</v>
      </c>
      <c r="J89" s="14" t="str">
        <f t="shared" si="5"/>
        <v>[32, 'Q', 21, 21, 0, 0, 0],</v>
      </c>
    </row>
    <row r="90" spans="1:10" x14ac:dyDescent="0.3">
      <c r="A90" s="3"/>
      <c r="B90" s="11">
        <v>33</v>
      </c>
      <c r="C90" s="11" t="s">
        <v>12</v>
      </c>
      <c r="D90" s="6">
        <v>23</v>
      </c>
      <c r="E90" s="5">
        <f t="shared" si="4"/>
        <v>23</v>
      </c>
      <c r="F90" s="17">
        <v>0</v>
      </c>
      <c r="G90" s="17">
        <v>0</v>
      </c>
      <c r="H90" s="6">
        <v>0</v>
      </c>
      <c r="J90" s="14" t="str">
        <f t="shared" si="5"/>
        <v>[33, 'J', 23, 23, 0, 0, 0],</v>
      </c>
    </row>
    <row r="91" spans="1:10" x14ac:dyDescent="0.3">
      <c r="A91" s="3"/>
      <c r="B91" s="11">
        <v>34</v>
      </c>
      <c r="C91" s="11" t="s">
        <v>13</v>
      </c>
      <c r="D91" s="6">
        <v>22</v>
      </c>
      <c r="E91" s="5">
        <f t="shared" si="4"/>
        <v>22</v>
      </c>
      <c r="F91" s="17">
        <v>0</v>
      </c>
      <c r="G91" s="17">
        <v>0</v>
      </c>
      <c r="H91" s="6">
        <v>0</v>
      </c>
      <c r="J91" s="14" t="str">
        <f t="shared" si="5"/>
        <v>[34, 'TE', 22, 22,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4</v>
      </c>
      <c r="E97" s="5">
        <f t="shared" si="6"/>
        <v>4</v>
      </c>
      <c r="F97" s="17">
        <v>0</v>
      </c>
      <c r="G97" s="17">
        <v>0</v>
      </c>
      <c r="H97" s="6">
        <v>0</v>
      </c>
      <c r="J97" s="14" t="str">
        <f t="shared" si="7"/>
        <v>[10, 'C1', 4, 4, 0, 0, 0],</v>
      </c>
    </row>
    <row r="98" spans="1:10" x14ac:dyDescent="0.3">
      <c r="A98" s="3"/>
      <c r="B98" s="11">
        <v>11</v>
      </c>
      <c r="C98" s="11" t="s">
        <v>2</v>
      </c>
      <c r="D98" s="6">
        <v>6</v>
      </c>
      <c r="E98" s="5">
        <f t="shared" si="6"/>
        <v>6</v>
      </c>
      <c r="F98" s="17">
        <v>0</v>
      </c>
      <c r="G98" s="17">
        <v>0</v>
      </c>
      <c r="H98" s="6">
        <v>0</v>
      </c>
      <c r="J98" s="14" t="str">
        <f t="shared" si="7"/>
        <v>[11, 'C2', 6, 6, 0, 0, 0],</v>
      </c>
    </row>
    <row r="99" spans="1:10" x14ac:dyDescent="0.3">
      <c r="A99" s="3"/>
      <c r="B99" s="11">
        <v>12</v>
      </c>
      <c r="C99" s="11" t="s">
        <v>3</v>
      </c>
      <c r="D99" s="6">
        <v>9</v>
      </c>
      <c r="E99" s="5">
        <f t="shared" si="6"/>
        <v>9</v>
      </c>
      <c r="F99" s="17">
        <v>0</v>
      </c>
      <c r="G99" s="17">
        <v>0</v>
      </c>
      <c r="H99" s="6">
        <v>0</v>
      </c>
      <c r="J99" s="14" t="str">
        <f t="shared" si="7"/>
        <v>[12, 'C3', 9, 9, 0, 0, 0],</v>
      </c>
    </row>
    <row r="100" spans="1:10" x14ac:dyDescent="0.3">
      <c r="A100" s="3"/>
      <c r="B100" s="11">
        <v>20</v>
      </c>
      <c r="C100" s="11" t="s">
        <v>4</v>
      </c>
      <c r="D100" s="6">
        <v>13</v>
      </c>
      <c r="E100" s="5">
        <f t="shared" si="6"/>
        <v>0</v>
      </c>
      <c r="F100" s="17">
        <v>2</v>
      </c>
      <c r="G100" s="17">
        <v>3</v>
      </c>
      <c r="H100" s="6">
        <v>0</v>
      </c>
      <c r="J100" s="14" t="str">
        <f t="shared" si="7"/>
        <v>[20, 'M1', 13, 0, 2, 3, 0],</v>
      </c>
    </row>
    <row r="101" spans="1:10" x14ac:dyDescent="0.3">
      <c r="A101" s="3"/>
      <c r="B101" s="11">
        <v>21</v>
      </c>
      <c r="C101" s="11" t="s">
        <v>5</v>
      </c>
      <c r="D101" s="6">
        <v>23</v>
      </c>
      <c r="E101" s="5">
        <f t="shared" si="6"/>
        <v>0</v>
      </c>
      <c r="F101" s="17">
        <v>7</v>
      </c>
      <c r="G101" s="17">
        <v>3</v>
      </c>
      <c r="H101" s="6">
        <v>0</v>
      </c>
      <c r="J101" s="14" t="str">
        <f t="shared" si="7"/>
        <v>[21, 'M2', 23, 0, 7, 3, 0],</v>
      </c>
    </row>
    <row r="102" spans="1:10" x14ac:dyDescent="0.3">
      <c r="A102" s="3"/>
      <c r="B102" s="11">
        <v>22</v>
      </c>
      <c r="C102" s="11" t="s">
        <v>6</v>
      </c>
      <c r="D102" s="6">
        <v>23</v>
      </c>
      <c r="E102" s="5">
        <f t="shared" si="6"/>
        <v>0</v>
      </c>
      <c r="F102" s="17">
        <v>7</v>
      </c>
      <c r="G102" s="17">
        <v>3</v>
      </c>
      <c r="H102" s="6">
        <v>0</v>
      </c>
      <c r="J102" s="14" t="str">
        <f t="shared" si="7"/>
        <v>[22, 'M3', 23, 0, 7, 3, 0],</v>
      </c>
    </row>
    <row r="103" spans="1:10" x14ac:dyDescent="0.3">
      <c r="A103" s="3"/>
      <c r="B103" s="11">
        <v>23</v>
      </c>
      <c r="C103" s="11" t="s">
        <v>7</v>
      </c>
      <c r="D103" s="6">
        <v>21</v>
      </c>
      <c r="E103" s="5">
        <f t="shared" si="6"/>
        <v>0</v>
      </c>
      <c r="F103" s="17">
        <v>6</v>
      </c>
      <c r="G103" s="17">
        <v>3</v>
      </c>
      <c r="H103" s="6">
        <v>0</v>
      </c>
      <c r="J103" s="14" t="str">
        <f t="shared" si="7"/>
        <v>[23, 'M4', 21, 0, 6, 3, 0],</v>
      </c>
    </row>
    <row r="104" spans="1:10" x14ac:dyDescent="0.3">
      <c r="A104" s="3"/>
      <c r="B104" s="11">
        <v>24</v>
      </c>
      <c r="C104" s="11" t="s">
        <v>8</v>
      </c>
      <c r="D104" s="6">
        <v>21</v>
      </c>
      <c r="E104" s="5">
        <f t="shared" si="6"/>
        <v>0</v>
      </c>
      <c r="F104" s="17">
        <v>6</v>
      </c>
      <c r="G104" s="17">
        <v>3</v>
      </c>
      <c r="H104" s="6">
        <v>0</v>
      </c>
      <c r="J104" s="14" t="str">
        <f t="shared" si="7"/>
        <v>[24, 'M5', 21, 0, 6, 3, 0],</v>
      </c>
    </row>
    <row r="105" spans="1:10" x14ac:dyDescent="0.3">
      <c r="A105" s="3"/>
      <c r="B105" s="11">
        <v>30</v>
      </c>
      <c r="C105" s="11" t="s">
        <v>9</v>
      </c>
      <c r="D105" s="6">
        <v>14</v>
      </c>
      <c r="E105" s="5">
        <f t="shared" si="6"/>
        <v>14</v>
      </c>
      <c r="F105" s="17">
        <v>0</v>
      </c>
      <c r="G105" s="17">
        <v>0</v>
      </c>
      <c r="H105" s="6">
        <v>0</v>
      </c>
      <c r="J105" s="14" t="str">
        <f t="shared" si="7"/>
        <v>[30, 'A', 14, 14, 0, 0, 0],</v>
      </c>
    </row>
    <row r="106" spans="1:10" x14ac:dyDescent="0.3">
      <c r="A106" s="3"/>
      <c r="B106" s="11">
        <v>31</v>
      </c>
      <c r="C106" s="11" t="s">
        <v>10</v>
      </c>
      <c r="D106" s="6">
        <v>19</v>
      </c>
      <c r="E106" s="5">
        <f t="shared" si="6"/>
        <v>19</v>
      </c>
      <c r="F106" s="17">
        <v>0</v>
      </c>
      <c r="G106" s="17">
        <v>0</v>
      </c>
      <c r="H106" s="6">
        <v>0</v>
      </c>
      <c r="J106" s="14" t="str">
        <f t="shared" si="7"/>
        <v>[31, 'K', 19, 19, 0, 0, 0],</v>
      </c>
    </row>
    <row r="107" spans="1:10" x14ac:dyDescent="0.3">
      <c r="A107" s="3"/>
      <c r="B107" s="11">
        <v>32</v>
      </c>
      <c r="C107" s="11" t="s">
        <v>11</v>
      </c>
      <c r="D107" s="6">
        <v>14</v>
      </c>
      <c r="E107" s="5">
        <f t="shared" si="6"/>
        <v>14</v>
      </c>
      <c r="F107" s="17">
        <v>0</v>
      </c>
      <c r="G107" s="17">
        <v>0</v>
      </c>
      <c r="H107" s="6">
        <v>0</v>
      </c>
      <c r="J107" s="14" t="str">
        <f t="shared" si="7"/>
        <v>[32, 'Q', 14, 14, 0, 0, 0],</v>
      </c>
    </row>
    <row r="108" spans="1:10" x14ac:dyDescent="0.3">
      <c r="A108" s="3"/>
      <c r="B108" s="11">
        <v>33</v>
      </c>
      <c r="C108" s="11" t="s">
        <v>12</v>
      </c>
      <c r="D108" s="6">
        <v>21</v>
      </c>
      <c r="E108" s="5">
        <f t="shared" si="6"/>
        <v>21</v>
      </c>
      <c r="F108" s="17">
        <v>0</v>
      </c>
      <c r="G108" s="17">
        <v>0</v>
      </c>
      <c r="H108" s="6">
        <v>0</v>
      </c>
      <c r="J108" s="14" t="str">
        <f t="shared" si="7"/>
        <v>[33, 'J', 21, 21, 0, 0, 0],</v>
      </c>
    </row>
    <row r="109" spans="1:10" x14ac:dyDescent="0.3">
      <c r="A109" s="3"/>
      <c r="B109" s="11">
        <v>34</v>
      </c>
      <c r="C109" s="11" t="s">
        <v>13</v>
      </c>
      <c r="D109" s="6">
        <v>9</v>
      </c>
      <c r="E109" s="5">
        <f t="shared" si="6"/>
        <v>9</v>
      </c>
      <c r="F109" s="17">
        <v>0</v>
      </c>
      <c r="G109" s="17">
        <v>0</v>
      </c>
      <c r="H109" s="6">
        <v>0</v>
      </c>
      <c r="J109" s="14" t="str">
        <f t="shared" si="7"/>
        <v>[34, 'TE', 9, 9,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2</v>
      </c>
      <c r="E115" s="5">
        <f t="shared" si="8"/>
        <v>2</v>
      </c>
      <c r="F115" s="17">
        <v>0</v>
      </c>
      <c r="G115" s="17">
        <v>0</v>
      </c>
      <c r="H115" s="6">
        <v>0</v>
      </c>
      <c r="J115" s="14" t="str">
        <f t="shared" si="9"/>
        <v>[10, 'C1', 2, 2,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2</v>
      </c>
      <c r="E117" s="5">
        <f t="shared" si="8"/>
        <v>2</v>
      </c>
      <c r="F117" s="17">
        <v>0</v>
      </c>
      <c r="G117" s="17">
        <v>0</v>
      </c>
      <c r="H117" s="6">
        <v>0</v>
      </c>
      <c r="J117" s="14" t="str">
        <f t="shared" si="9"/>
        <v>[12, 'C3', 2, 2, 0, 0, 0],</v>
      </c>
    </row>
    <row r="118" spans="1:10" x14ac:dyDescent="0.3">
      <c r="A118" s="3"/>
      <c r="B118" s="11">
        <v>20</v>
      </c>
      <c r="C118" s="11" t="s">
        <v>4</v>
      </c>
      <c r="D118" s="6">
        <v>11</v>
      </c>
      <c r="E118" s="5">
        <f t="shared" si="8"/>
        <v>0</v>
      </c>
      <c r="F118" s="17">
        <v>4</v>
      </c>
      <c r="G118" s="17">
        <v>1</v>
      </c>
      <c r="H118" s="6">
        <v>0</v>
      </c>
      <c r="J118" s="14" t="str">
        <f t="shared" si="9"/>
        <v>[20, 'M1', 11, 0, 4, 1, 0],</v>
      </c>
    </row>
    <row r="119" spans="1:10" x14ac:dyDescent="0.3">
      <c r="A119" s="3"/>
      <c r="B119" s="11">
        <v>21</v>
      </c>
      <c r="C119" s="11" t="s">
        <v>5</v>
      </c>
      <c r="D119" s="6">
        <v>15</v>
      </c>
      <c r="E119" s="5">
        <f t="shared" si="8"/>
        <v>0</v>
      </c>
      <c r="F119" s="17">
        <v>3</v>
      </c>
      <c r="G119" s="17">
        <v>3</v>
      </c>
      <c r="H119" s="6">
        <v>0</v>
      </c>
      <c r="J119" s="14" t="str">
        <f t="shared" si="9"/>
        <v>[21, 'M2', 15, 0, 3, 3, 0],</v>
      </c>
    </row>
    <row r="120" spans="1:10" x14ac:dyDescent="0.3">
      <c r="A120" s="3"/>
      <c r="B120" s="11">
        <v>22</v>
      </c>
      <c r="C120" s="11" t="s">
        <v>6</v>
      </c>
      <c r="D120" s="6">
        <v>15</v>
      </c>
      <c r="E120" s="5">
        <f t="shared" si="8"/>
        <v>0</v>
      </c>
      <c r="F120" s="17">
        <v>3</v>
      </c>
      <c r="G120" s="17">
        <v>3</v>
      </c>
      <c r="H120" s="6">
        <v>0</v>
      </c>
      <c r="J120" s="14" t="str">
        <f t="shared" si="9"/>
        <v>[22, 'M3', 15, 0, 3, 3, 0],</v>
      </c>
    </row>
    <row r="121" spans="1:10" x14ac:dyDescent="0.3">
      <c r="A121" s="3"/>
      <c r="B121" s="11">
        <v>23</v>
      </c>
      <c r="C121" s="11" t="s">
        <v>7</v>
      </c>
      <c r="D121" s="6">
        <v>15</v>
      </c>
      <c r="E121" s="5">
        <f t="shared" si="8"/>
        <v>0</v>
      </c>
      <c r="F121" s="17">
        <v>3</v>
      </c>
      <c r="G121" s="17">
        <v>3</v>
      </c>
      <c r="H121" s="6">
        <v>0</v>
      </c>
      <c r="J121" s="14" t="str">
        <f t="shared" si="9"/>
        <v>[23, 'M4', 15, 0, 3, 3, 0],</v>
      </c>
    </row>
    <row r="122" spans="1:10" x14ac:dyDescent="0.3">
      <c r="A122" s="3"/>
      <c r="B122" s="11">
        <v>24</v>
      </c>
      <c r="C122" s="11" t="s">
        <v>8</v>
      </c>
      <c r="D122" s="6">
        <v>17</v>
      </c>
      <c r="E122" s="5">
        <f t="shared" si="8"/>
        <v>0</v>
      </c>
      <c r="F122" s="17">
        <v>4</v>
      </c>
      <c r="G122" s="17">
        <v>3</v>
      </c>
      <c r="H122" s="6">
        <v>0</v>
      </c>
      <c r="J122" s="14" t="str">
        <f t="shared" si="9"/>
        <v>[24, 'M5', 17, 0, 4, 3, 0],</v>
      </c>
    </row>
    <row r="123" spans="1:10" x14ac:dyDescent="0.3">
      <c r="A123" s="3"/>
      <c r="B123" s="11">
        <v>30</v>
      </c>
      <c r="C123" s="11" t="s">
        <v>9</v>
      </c>
      <c r="D123" s="6">
        <v>9</v>
      </c>
      <c r="E123" s="5">
        <f t="shared" si="8"/>
        <v>9</v>
      </c>
      <c r="F123" s="17">
        <v>0</v>
      </c>
      <c r="G123" s="17">
        <v>0</v>
      </c>
      <c r="H123" s="6">
        <v>0</v>
      </c>
      <c r="J123" s="14" t="str">
        <f t="shared" si="9"/>
        <v>[30, 'A', 9, 9, 0, 0, 0],</v>
      </c>
    </row>
    <row r="124" spans="1:10" x14ac:dyDescent="0.3">
      <c r="A124" s="3"/>
      <c r="B124" s="11">
        <v>31</v>
      </c>
      <c r="C124" s="11" t="s">
        <v>10</v>
      </c>
      <c r="D124" s="6">
        <v>12</v>
      </c>
      <c r="E124" s="5">
        <f t="shared" si="8"/>
        <v>12</v>
      </c>
      <c r="F124" s="17">
        <v>0</v>
      </c>
      <c r="G124" s="17">
        <v>0</v>
      </c>
      <c r="H124" s="6">
        <v>0</v>
      </c>
      <c r="J124" s="14" t="str">
        <f t="shared" si="9"/>
        <v>[31, 'K', 12, 12, 0, 0, 0],</v>
      </c>
    </row>
    <row r="125" spans="1:10" x14ac:dyDescent="0.3">
      <c r="A125" s="3"/>
      <c r="B125" s="11">
        <v>32</v>
      </c>
      <c r="C125" s="11" t="s">
        <v>11</v>
      </c>
      <c r="D125" s="6">
        <v>9</v>
      </c>
      <c r="E125" s="5">
        <f t="shared" si="8"/>
        <v>9</v>
      </c>
      <c r="F125" s="17">
        <v>0</v>
      </c>
      <c r="G125" s="17">
        <v>0</v>
      </c>
      <c r="H125" s="6">
        <v>0</v>
      </c>
      <c r="J125" s="14" t="str">
        <f t="shared" si="9"/>
        <v>[32, 'Q', 9, 9, 0, 0, 0],</v>
      </c>
    </row>
    <row r="126" spans="1:10" x14ac:dyDescent="0.3">
      <c r="A126" s="3"/>
      <c r="B126" s="11">
        <v>33</v>
      </c>
      <c r="C126" s="11" t="s">
        <v>12</v>
      </c>
      <c r="D126" s="6">
        <v>12</v>
      </c>
      <c r="E126" s="5">
        <f t="shared" si="8"/>
        <v>12</v>
      </c>
      <c r="F126" s="17">
        <v>0</v>
      </c>
      <c r="G126" s="17">
        <v>0</v>
      </c>
      <c r="H126" s="6">
        <v>0</v>
      </c>
      <c r="J126" s="14" t="str">
        <f t="shared" si="9"/>
        <v>[33, 'J', 12, 12, 0, 0, 0],</v>
      </c>
    </row>
    <row r="127" spans="1:10" x14ac:dyDescent="0.3">
      <c r="A127" s="3"/>
      <c r="B127" s="11">
        <v>34</v>
      </c>
      <c r="C127" s="11" t="s">
        <v>13</v>
      </c>
      <c r="D127" s="6">
        <v>8</v>
      </c>
      <c r="E127" s="5">
        <f t="shared" si="8"/>
        <v>8</v>
      </c>
      <c r="F127" s="17">
        <v>0</v>
      </c>
      <c r="G127" s="17">
        <v>0</v>
      </c>
      <c r="H127" s="6">
        <v>0</v>
      </c>
      <c r="J127" s="14" t="str">
        <f t="shared" si="9"/>
        <v>[34, 'TE', 8, 8,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Q110:R127 U42:U55 L58 P95:Q109 N58:O58 K77:L91 Q58:R58 K95:L95 Q76:R76 J92:L92 K111:P111 R109 P110 N112:P112 N96:O110 J60:J73 J78:J91 J96:L110 J114:J127 A3:A7 Z7:AA10 Y12:AA12 S11:AA11 S12 B1:R1 A2:R2 A8:L8 A128:R1048576 A39:I39 K39:R39 A22:R38 A9:G10 H10:R10 S143:AA1048576 S7:T10 S13:AA39 S1:AA6 A40:Z40 H9 J9:R9 A41:E127 M11:R21 A21:G21 A11:A20 H58:I127 H42:L56 H57:R57 H41:I41">
    <cfRule type="cellIs" dxfId="48" priority="25" operator="equal">
      <formula>0</formula>
    </cfRule>
  </conditionalFormatting>
  <conditionalFormatting sqref="J74">
    <cfRule type="cellIs" dxfId="47" priority="24" operator="equal">
      <formula>0</formula>
    </cfRule>
  </conditionalFormatting>
  <conditionalFormatting sqref="E41:E127">
    <cfRule type="cellIs" dxfId="46" priority="23" operator="lessThan">
      <formula>0</formula>
    </cfRule>
  </conditionalFormatting>
  <conditionalFormatting sqref="U7:Y10">
    <cfRule type="cellIs" dxfId="45" priority="22" operator="equal">
      <formula>0</formula>
    </cfRule>
  </conditionalFormatting>
  <conditionalFormatting sqref="H5:L5">
    <cfRule type="cellIs" dxfId="44" priority="20" operator="equal">
      <formula>0</formula>
    </cfRule>
  </conditionalFormatting>
  <conditionalFormatting sqref="P8:Q8 M8:N8">
    <cfRule type="cellIs" dxfId="43" priority="19" operator="equal">
      <formula>0</formula>
    </cfRule>
  </conditionalFormatting>
  <conditionalFormatting sqref="B3:F7">
    <cfRule type="cellIs" dxfId="42" priority="15" operator="equal">
      <formula>0</formula>
    </cfRule>
  </conditionalFormatting>
  <conditionalFormatting sqref="I9">
    <cfRule type="cellIs" dxfId="41" priority="14" operator="equal">
      <formula>0</formula>
    </cfRule>
  </conditionalFormatting>
  <conditionalFormatting sqref="H6:L6">
    <cfRule type="cellIs" dxfId="40" priority="13" operator="equal">
      <formula>0</formula>
    </cfRule>
  </conditionalFormatting>
  <conditionalFormatting sqref="H4:L4">
    <cfRule type="cellIs" dxfId="39" priority="12" operator="equal">
      <formula>0</formula>
    </cfRule>
  </conditionalFormatting>
  <conditionalFormatting sqref="B20:L20">
    <cfRule type="cellIs" dxfId="38" priority="11" operator="equal">
      <formula>0</formula>
    </cfRule>
  </conditionalFormatting>
  <conditionalFormatting sqref="B20:F20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{200CBB7D-6837-422D-BDB5-8743C7FB06E8}</x14:id>
        </ext>
      </extLst>
    </cfRule>
  </conditionalFormatting>
  <conditionalFormatting sqref="B11:L15 B16:K19">
    <cfRule type="cellIs" dxfId="37" priority="9" operator="equal">
      <formula>0</formula>
    </cfRule>
  </conditionalFormatting>
  <conditionalFormatting sqref="B11:F1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{8D4E36A1-3647-42BB-B4D2-C743856FF02F}</x14:id>
        </ext>
      </extLst>
    </cfRule>
  </conditionalFormatting>
  <conditionalFormatting sqref="L16:L19">
    <cfRule type="cellIs" dxfId="36" priority="7" operator="equal">
      <formula>0</formula>
    </cfRule>
  </conditionalFormatting>
  <conditionalFormatting sqref="F41:G50 F56:G68 G51:G55 G69:G73 F92:G104 G87:G91 F110:G122 G105:G109 G123:G127 F74:G86">
    <cfRule type="cellIs" dxfId="35" priority="6" operator="equal">
      <formula>0</formula>
    </cfRule>
  </conditionalFormatting>
  <conditionalFormatting sqref="F105:F109">
    <cfRule type="cellIs" dxfId="34" priority="5" operator="equal">
      <formula>0</formula>
    </cfRule>
  </conditionalFormatting>
  <conditionalFormatting sqref="F123:F127">
    <cfRule type="cellIs" dxfId="33" priority="4" operator="equal">
      <formula>0</formula>
    </cfRule>
  </conditionalFormatting>
  <conditionalFormatting sqref="F87:F91">
    <cfRule type="cellIs" dxfId="32" priority="3" operator="equal">
      <formula>0</formula>
    </cfRule>
  </conditionalFormatting>
  <conditionalFormatting sqref="F69:F73">
    <cfRule type="cellIs" dxfId="31" priority="2" operator="equal">
      <formula>0</formula>
    </cfRule>
  </conditionalFormatting>
  <conditionalFormatting sqref="F51:F55">
    <cfRule type="cellIs" dxfId="30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0CBB7D-6837-422D-BDB5-8743C7FB06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B20:F20</xm:sqref>
        </x14:conditionalFormatting>
        <x14:conditionalFormatting xmlns:xm="http://schemas.microsoft.com/office/excel/2006/main">
          <x14:cfRule type="dataBar" id="{8D4E36A1-3647-42BB-B4D2-C743856FF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B11:F19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B677-19C2-4DBE-8800-7C2871C6ACD2}">
  <dimension ref="A1:R128"/>
  <sheetViews>
    <sheetView topLeftCell="A12"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19" width="10.08203125" style="3" customWidth="1"/>
    <col min="20" max="21" width="8.6640625" style="3"/>
    <col min="22" max="26" width="7" style="3" customWidth="1"/>
    <col min="27" max="16384" width="8.6640625" style="3"/>
  </cols>
  <sheetData>
    <row r="1" spans="1:18" x14ac:dyDescent="0.3">
      <c r="A1" s="1" t="s">
        <v>33</v>
      </c>
      <c r="B1" s="1">
        <v>3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2</v>
      </c>
      <c r="C4" s="21">
        <v>4</v>
      </c>
      <c r="D4" s="21">
        <v>3</v>
      </c>
      <c r="E4" s="21">
        <v>4</v>
      </c>
      <c r="F4" s="21">
        <v>2</v>
      </c>
      <c r="H4" s="17">
        <v>2</v>
      </c>
      <c r="I4" s="17">
        <v>4</v>
      </c>
      <c r="J4" s="17">
        <v>3</v>
      </c>
      <c r="K4" s="17">
        <v>4</v>
      </c>
      <c r="L4" s="17">
        <v>2</v>
      </c>
      <c r="N4" s="6">
        <v>2</v>
      </c>
      <c r="O4" s="6">
        <v>4</v>
      </c>
      <c r="P4" s="6">
        <v>3</v>
      </c>
      <c r="Q4" s="6">
        <v>4</v>
      </c>
      <c r="R4" s="6">
        <v>2</v>
      </c>
    </row>
    <row r="5" spans="1:18" x14ac:dyDescent="0.3">
      <c r="A5" s="1" t="s">
        <v>2</v>
      </c>
      <c r="B5" s="8">
        <v>0</v>
      </c>
      <c r="C5" s="8">
        <v>3</v>
      </c>
      <c r="D5" s="8">
        <v>0</v>
      </c>
      <c r="E5" s="8">
        <v>3</v>
      </c>
      <c r="F5" s="8">
        <v>0</v>
      </c>
      <c r="H5" s="17">
        <v>0</v>
      </c>
      <c r="I5" s="17">
        <v>3</v>
      </c>
      <c r="J5" s="17">
        <v>0</v>
      </c>
      <c r="K5" s="17">
        <v>3</v>
      </c>
      <c r="L5" s="17">
        <v>0</v>
      </c>
      <c r="N5" s="6">
        <v>0</v>
      </c>
      <c r="O5" s="6">
        <v>3</v>
      </c>
      <c r="P5" s="6">
        <v>0</v>
      </c>
      <c r="Q5" s="6">
        <v>3</v>
      </c>
      <c r="R5" s="6">
        <v>0</v>
      </c>
    </row>
    <row r="6" spans="1:18" x14ac:dyDescent="0.3">
      <c r="A6" s="1" t="s">
        <v>3</v>
      </c>
      <c r="B6" s="8">
        <v>5</v>
      </c>
      <c r="C6" s="8">
        <v>6</v>
      </c>
      <c r="D6" s="8">
        <v>28</v>
      </c>
      <c r="E6" s="8">
        <v>7</v>
      </c>
      <c r="F6" s="8">
        <v>2</v>
      </c>
      <c r="H6" s="17">
        <v>5</v>
      </c>
      <c r="I6" s="17">
        <v>6</v>
      </c>
      <c r="J6" s="17">
        <v>28</v>
      </c>
      <c r="K6" s="17">
        <v>7</v>
      </c>
      <c r="L6" s="17">
        <v>2</v>
      </c>
      <c r="N6" s="6">
        <v>5</v>
      </c>
      <c r="O6" s="6">
        <v>6</v>
      </c>
      <c r="P6" s="6">
        <v>28</v>
      </c>
      <c r="Q6" s="6">
        <v>7</v>
      </c>
      <c r="R6" s="6">
        <v>2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93</v>
      </c>
      <c r="C8" s="3">
        <v>207</v>
      </c>
      <c r="D8" s="3">
        <v>219</v>
      </c>
      <c r="E8" s="3">
        <v>186</v>
      </c>
      <c r="F8" s="3">
        <v>126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22"/>
      <c r="I20" s="22"/>
      <c r="J20" s="22"/>
      <c r="K20" s="22"/>
      <c r="L20" s="22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2</v>
      </c>
      <c r="C24" s="8">
        <v>4</v>
      </c>
      <c r="D24" s="8">
        <v>3</v>
      </c>
      <c r="E24" s="8">
        <v>4</v>
      </c>
      <c r="F24" s="8">
        <v>2</v>
      </c>
    </row>
    <row r="25" spans="1:12" x14ac:dyDescent="0.3">
      <c r="A25" s="1" t="s">
        <v>2</v>
      </c>
      <c r="B25" s="8">
        <v>0</v>
      </c>
      <c r="C25" s="7">
        <v>3</v>
      </c>
      <c r="D25" s="7">
        <v>0</v>
      </c>
      <c r="E25" s="7">
        <v>3</v>
      </c>
      <c r="F25" s="8">
        <v>0</v>
      </c>
    </row>
    <row r="26" spans="1:12" x14ac:dyDescent="0.3">
      <c r="A26" s="1" t="s">
        <v>3</v>
      </c>
      <c r="B26" s="8">
        <v>5</v>
      </c>
      <c r="C26" s="8">
        <v>6</v>
      </c>
      <c r="D26" s="8">
        <v>28</v>
      </c>
      <c r="E26" s="8">
        <v>7</v>
      </c>
      <c r="F26" s="8">
        <v>2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17</v>
      </c>
      <c r="D27" s="8">
        <v>17</v>
      </c>
      <c r="E27" s="8">
        <v>13</v>
      </c>
      <c r="F27" s="8">
        <v>11</v>
      </c>
    </row>
    <row r="28" spans="1:12" x14ac:dyDescent="0.3">
      <c r="A28" s="1" t="s">
        <v>5</v>
      </c>
      <c r="B28" s="8">
        <v>8</v>
      </c>
      <c r="C28" s="8">
        <v>30</v>
      </c>
      <c r="D28" s="8">
        <v>30</v>
      </c>
      <c r="E28" s="8">
        <v>23</v>
      </c>
      <c r="F28" s="8">
        <v>15</v>
      </c>
    </row>
    <row r="29" spans="1:12" x14ac:dyDescent="0.3">
      <c r="A29" s="1" t="s">
        <v>6</v>
      </c>
      <c r="B29" s="8">
        <v>14</v>
      </c>
      <c r="C29" s="8">
        <v>22</v>
      </c>
      <c r="D29" s="8">
        <v>30</v>
      </c>
      <c r="E29" s="8">
        <v>23</v>
      </c>
      <c r="F29" s="8">
        <v>15</v>
      </c>
    </row>
    <row r="30" spans="1:12" x14ac:dyDescent="0.3">
      <c r="A30" s="1" t="s">
        <v>7</v>
      </c>
      <c r="B30" s="8">
        <v>12</v>
      </c>
      <c r="C30" s="8">
        <v>22</v>
      </c>
      <c r="D30" s="8">
        <v>15</v>
      </c>
      <c r="E30" s="8">
        <v>22</v>
      </c>
      <c r="F30" s="8">
        <v>15</v>
      </c>
    </row>
    <row r="31" spans="1:12" x14ac:dyDescent="0.3">
      <c r="A31" s="1" t="s">
        <v>8</v>
      </c>
      <c r="B31" s="8">
        <v>12</v>
      </c>
      <c r="C31" s="8">
        <v>16</v>
      </c>
      <c r="D31" s="8">
        <v>17</v>
      </c>
      <c r="E31" s="8">
        <v>22</v>
      </c>
      <c r="F31" s="8">
        <v>17</v>
      </c>
    </row>
    <row r="32" spans="1:12" x14ac:dyDescent="0.3">
      <c r="A32" s="1" t="s">
        <v>9</v>
      </c>
      <c r="B32" s="8">
        <v>5</v>
      </c>
      <c r="C32" s="8">
        <v>24</v>
      </c>
      <c r="D32" s="8">
        <v>21</v>
      </c>
      <c r="E32" s="8">
        <v>14</v>
      </c>
      <c r="F32" s="8">
        <v>9</v>
      </c>
    </row>
    <row r="33" spans="1:10" x14ac:dyDescent="0.3">
      <c r="A33" s="1" t="s">
        <v>10</v>
      </c>
      <c r="B33" s="8">
        <v>10</v>
      </c>
      <c r="C33" s="8">
        <v>22</v>
      </c>
      <c r="D33" s="8">
        <v>17</v>
      </c>
      <c r="E33" s="8">
        <v>20</v>
      </c>
      <c r="F33" s="8">
        <v>12</v>
      </c>
    </row>
    <row r="34" spans="1:10" x14ac:dyDescent="0.3">
      <c r="A34" s="1" t="s">
        <v>11</v>
      </c>
      <c r="B34" s="8">
        <v>9</v>
      </c>
      <c r="C34" s="8">
        <v>16</v>
      </c>
      <c r="D34" s="8">
        <v>21</v>
      </c>
      <c r="E34" s="8">
        <v>14</v>
      </c>
      <c r="F34" s="8">
        <v>9</v>
      </c>
    </row>
    <row r="35" spans="1:10" x14ac:dyDescent="0.3">
      <c r="A35" s="1" t="s">
        <v>12</v>
      </c>
      <c r="B35" s="8">
        <v>10</v>
      </c>
      <c r="C35" s="8">
        <v>16</v>
      </c>
      <c r="D35" s="8">
        <v>23</v>
      </c>
      <c r="E35" s="8">
        <v>22</v>
      </c>
      <c r="F35" s="8">
        <v>12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7</v>
      </c>
      <c r="C36" s="8">
        <v>16</v>
      </c>
      <c r="D36" s="8">
        <v>22</v>
      </c>
      <c r="E36" s="8">
        <v>10</v>
      </c>
      <c r="F36" s="8">
        <v>8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2</v>
      </c>
      <c r="E43" s="5">
        <f t="shared" si="0"/>
        <v>2</v>
      </c>
      <c r="F43" s="17">
        <v>0</v>
      </c>
      <c r="G43" s="17">
        <v>0</v>
      </c>
      <c r="H43" s="6">
        <v>0</v>
      </c>
      <c r="J43" s="14" t="str">
        <f t="shared" si="1"/>
        <v>[10, 'C1', 2, 2,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5</v>
      </c>
      <c r="E45" s="5">
        <f t="shared" si="0"/>
        <v>5</v>
      </c>
      <c r="F45" s="17">
        <v>0</v>
      </c>
      <c r="G45" s="17">
        <v>0</v>
      </c>
      <c r="H45" s="6">
        <v>0</v>
      </c>
      <c r="J45" s="14" t="str">
        <f t="shared" si="1"/>
        <v>[12, 'C3', 5, 5,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14</v>
      </c>
      <c r="E48" s="5">
        <f t="shared" si="0"/>
        <v>0</v>
      </c>
      <c r="F48" s="17">
        <v>4</v>
      </c>
      <c r="G48" s="17">
        <v>2</v>
      </c>
      <c r="H48" s="6">
        <v>0</v>
      </c>
      <c r="J48" s="14" t="str">
        <f t="shared" si="1"/>
        <v>[22, 'M3', 14, 0, 4, 2, 0],</v>
      </c>
    </row>
    <row r="49" spans="1:10" x14ac:dyDescent="0.3">
      <c r="B49" s="11">
        <v>23</v>
      </c>
      <c r="C49" s="11" t="s">
        <v>7</v>
      </c>
      <c r="D49" s="6">
        <v>12</v>
      </c>
      <c r="E49" s="5">
        <f t="shared" si="0"/>
        <v>0</v>
      </c>
      <c r="F49" s="17">
        <v>3</v>
      </c>
      <c r="G49" s="17">
        <v>2</v>
      </c>
      <c r="H49" s="6">
        <v>0</v>
      </c>
      <c r="J49" s="14" t="str">
        <f t="shared" si="1"/>
        <v>[23, 'M4', 12, 0, 3, 2, 0],</v>
      </c>
    </row>
    <row r="50" spans="1:10" x14ac:dyDescent="0.3">
      <c r="A50" s="3"/>
      <c r="B50" s="11">
        <v>24</v>
      </c>
      <c r="C50" s="11" t="s">
        <v>8</v>
      </c>
      <c r="D50" s="6">
        <v>12</v>
      </c>
      <c r="E50" s="5">
        <f t="shared" si="0"/>
        <v>0</v>
      </c>
      <c r="F50" s="17">
        <v>3</v>
      </c>
      <c r="G50" s="17">
        <v>2</v>
      </c>
      <c r="H50" s="6">
        <v>0</v>
      </c>
      <c r="J50" s="14" t="str">
        <f t="shared" si="1"/>
        <v>[24, 'M5', 12, 0, 3, 2,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10</v>
      </c>
      <c r="E52" s="5">
        <f t="shared" si="0"/>
        <v>10</v>
      </c>
      <c r="F52" s="17">
        <v>0</v>
      </c>
      <c r="G52" s="17">
        <v>0</v>
      </c>
      <c r="H52" s="6">
        <v>0</v>
      </c>
      <c r="J52" s="14" t="str">
        <f t="shared" si="1"/>
        <v>[31, 'K', 10, 10, 0, 0, 0],</v>
      </c>
    </row>
    <row r="53" spans="1:10" x14ac:dyDescent="0.3">
      <c r="A53" s="3"/>
      <c r="B53" s="11">
        <v>32</v>
      </c>
      <c r="C53" s="11" t="s">
        <v>11</v>
      </c>
      <c r="D53" s="6">
        <v>9</v>
      </c>
      <c r="E53" s="5">
        <f t="shared" si="0"/>
        <v>9</v>
      </c>
      <c r="F53" s="17">
        <v>0</v>
      </c>
      <c r="G53" s="17">
        <v>0</v>
      </c>
      <c r="H53" s="6">
        <v>0</v>
      </c>
      <c r="J53" s="14" t="str">
        <f t="shared" si="1"/>
        <v>[32, 'Q', 9, 9, 0, 0, 0],</v>
      </c>
    </row>
    <row r="54" spans="1:10" x14ac:dyDescent="0.3">
      <c r="A54" s="3"/>
      <c r="B54" s="11">
        <v>33</v>
      </c>
      <c r="C54" s="11" t="s">
        <v>12</v>
      </c>
      <c r="D54" s="6">
        <v>10</v>
      </c>
      <c r="E54" s="5">
        <f t="shared" si="0"/>
        <v>10</v>
      </c>
      <c r="F54" s="17">
        <v>0</v>
      </c>
      <c r="G54" s="17">
        <v>0</v>
      </c>
      <c r="H54" s="6">
        <v>0</v>
      </c>
      <c r="J54" s="14" t="str">
        <f t="shared" si="1"/>
        <v>[33, 'J', 10, 10, 0, 0, 0],</v>
      </c>
    </row>
    <row r="55" spans="1:10" x14ac:dyDescent="0.3">
      <c r="A55" s="3"/>
      <c r="B55" s="11">
        <v>34</v>
      </c>
      <c r="C55" s="11" t="s">
        <v>13</v>
      </c>
      <c r="D55" s="6">
        <v>7</v>
      </c>
      <c r="E55" s="5">
        <f t="shared" si="0"/>
        <v>7</v>
      </c>
      <c r="F55" s="17">
        <v>0</v>
      </c>
      <c r="G55" s="17">
        <v>0</v>
      </c>
      <c r="H55" s="6">
        <v>0</v>
      </c>
      <c r="J55" s="14" t="str">
        <f t="shared" si="1"/>
        <v>[34, 'TE', 7, 7,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4</v>
      </c>
      <c r="E61" s="5">
        <f t="shared" si="2"/>
        <v>4</v>
      </c>
      <c r="F61" s="17">
        <v>0</v>
      </c>
      <c r="G61" s="17">
        <v>0</v>
      </c>
      <c r="H61" s="6">
        <v>0</v>
      </c>
      <c r="J61" s="14" t="str">
        <f t="shared" si="3"/>
        <v>[10, 'C1', 4, 4, 0, 0, 0],</v>
      </c>
    </row>
    <row r="62" spans="1:10" x14ac:dyDescent="0.3">
      <c r="A62" s="3"/>
      <c r="B62" s="11">
        <v>11</v>
      </c>
      <c r="C62" s="11" t="s">
        <v>2</v>
      </c>
      <c r="D62" s="6">
        <v>3</v>
      </c>
      <c r="E62" s="5">
        <f t="shared" si="2"/>
        <v>3</v>
      </c>
      <c r="F62" s="17">
        <v>0</v>
      </c>
      <c r="G62" s="17">
        <v>0</v>
      </c>
      <c r="H62" s="6">
        <v>0</v>
      </c>
      <c r="J62" s="14" t="str">
        <f t="shared" si="3"/>
        <v>[11, 'C2', 3, 3, 0, 0, 0],</v>
      </c>
    </row>
    <row r="63" spans="1:10" x14ac:dyDescent="0.3">
      <c r="A63" s="3"/>
      <c r="B63" s="11">
        <v>12</v>
      </c>
      <c r="C63" s="11" t="s">
        <v>3</v>
      </c>
      <c r="D63" s="6">
        <v>6</v>
      </c>
      <c r="E63" s="5">
        <f t="shared" si="2"/>
        <v>6</v>
      </c>
      <c r="F63" s="17">
        <v>0</v>
      </c>
      <c r="G63" s="17">
        <v>0</v>
      </c>
      <c r="H63" s="6">
        <v>0</v>
      </c>
      <c r="J63" s="14" t="str">
        <f t="shared" si="3"/>
        <v>[12, 'C3', 6, 6, 0, 0, 0],</v>
      </c>
    </row>
    <row r="64" spans="1:10" x14ac:dyDescent="0.3">
      <c r="A64" s="3"/>
      <c r="B64" s="11">
        <v>20</v>
      </c>
      <c r="C64" s="11" t="s">
        <v>4</v>
      </c>
      <c r="D64" s="6">
        <v>17</v>
      </c>
      <c r="E64" s="5">
        <f t="shared" si="2"/>
        <v>0</v>
      </c>
      <c r="F64" s="17">
        <v>4</v>
      </c>
      <c r="G64" s="17">
        <v>3</v>
      </c>
      <c r="H64" s="6">
        <v>0</v>
      </c>
      <c r="J64" s="14" t="str">
        <f t="shared" si="3"/>
        <v>[20, 'M1', 17, 0, 4, 3, 0],</v>
      </c>
    </row>
    <row r="65" spans="1:10" x14ac:dyDescent="0.3">
      <c r="A65" s="3"/>
      <c r="B65" s="11">
        <v>21</v>
      </c>
      <c r="C65" s="11" t="s">
        <v>5</v>
      </c>
      <c r="D65" s="6">
        <v>30</v>
      </c>
      <c r="E65" s="5">
        <f t="shared" si="2"/>
        <v>0</v>
      </c>
      <c r="F65" s="17">
        <v>6</v>
      </c>
      <c r="G65" s="17">
        <v>6</v>
      </c>
      <c r="H65" s="6">
        <v>0</v>
      </c>
      <c r="J65" s="14" t="str">
        <f t="shared" si="3"/>
        <v>[21, 'M2', 30, 0, 6, 6,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16</v>
      </c>
      <c r="E73" s="5">
        <f t="shared" si="2"/>
        <v>16</v>
      </c>
      <c r="F73" s="17">
        <v>0</v>
      </c>
      <c r="G73" s="17">
        <v>0</v>
      </c>
      <c r="H73" s="6">
        <v>0</v>
      </c>
      <c r="J73" s="14" t="str">
        <f t="shared" si="3"/>
        <v>[34, 'TE', 16, 16,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3</v>
      </c>
      <c r="E79" s="5">
        <f t="shared" si="4"/>
        <v>3</v>
      </c>
      <c r="F79" s="17">
        <v>0</v>
      </c>
      <c r="G79" s="17">
        <v>0</v>
      </c>
      <c r="H79" s="6">
        <v>0</v>
      </c>
      <c r="J79" s="14" t="str">
        <f t="shared" si="5"/>
        <v>[10, 'C1', 3, 3, 0, 0, 0],</v>
      </c>
    </row>
    <row r="80" spans="1:10" x14ac:dyDescent="0.3">
      <c r="A80" s="3"/>
      <c r="B80" s="11">
        <v>11</v>
      </c>
      <c r="C80" s="11" t="s">
        <v>2</v>
      </c>
      <c r="D80" s="6">
        <v>0</v>
      </c>
      <c r="E80" s="5">
        <f t="shared" si="4"/>
        <v>0</v>
      </c>
      <c r="F80" s="17">
        <v>0</v>
      </c>
      <c r="G80" s="17">
        <v>0</v>
      </c>
      <c r="H80" s="6">
        <v>0</v>
      </c>
      <c r="J80" s="14" t="str">
        <f t="shared" si="5"/>
        <v>[11, 'C2', 0, 0, 0, 0, 0],</v>
      </c>
    </row>
    <row r="81" spans="1:10" x14ac:dyDescent="0.3">
      <c r="A81" s="3"/>
      <c r="B81" s="11">
        <v>12</v>
      </c>
      <c r="C81" s="11" t="s">
        <v>3</v>
      </c>
      <c r="D81" s="6">
        <v>28</v>
      </c>
      <c r="E81" s="5">
        <f t="shared" si="4"/>
        <v>28</v>
      </c>
      <c r="F81" s="17">
        <v>0</v>
      </c>
      <c r="G81" s="17">
        <v>0</v>
      </c>
      <c r="H81" s="6">
        <v>0</v>
      </c>
      <c r="J81" s="14" t="str">
        <f t="shared" si="5"/>
        <v>[12, 'C3', 28, 28, 0, 0, 0],</v>
      </c>
    </row>
    <row r="82" spans="1:10" x14ac:dyDescent="0.3">
      <c r="A82" s="3"/>
      <c r="B82" s="11">
        <v>20</v>
      </c>
      <c r="C82" s="11" t="s">
        <v>4</v>
      </c>
      <c r="D82" s="6">
        <v>17</v>
      </c>
      <c r="E82" s="5">
        <f t="shared" si="4"/>
        <v>0</v>
      </c>
      <c r="F82" s="17">
        <v>4</v>
      </c>
      <c r="G82" s="17">
        <v>3</v>
      </c>
      <c r="H82" s="6">
        <v>0</v>
      </c>
      <c r="J82" s="14" t="str">
        <f t="shared" si="5"/>
        <v>[20, 'M1', 17, 0, 4, 3, 0],</v>
      </c>
    </row>
    <row r="83" spans="1:10" x14ac:dyDescent="0.3">
      <c r="A83" s="3"/>
      <c r="B83" s="11">
        <v>21</v>
      </c>
      <c r="C83" s="11" t="s">
        <v>5</v>
      </c>
      <c r="D83" s="6">
        <v>30</v>
      </c>
      <c r="E83" s="5">
        <f t="shared" si="4"/>
        <v>0</v>
      </c>
      <c r="F83" s="17">
        <v>9</v>
      </c>
      <c r="G83" s="17">
        <v>4</v>
      </c>
      <c r="H83" s="6">
        <v>0</v>
      </c>
      <c r="J83" s="14" t="str">
        <f t="shared" si="5"/>
        <v>[21, 'M2', 30, 0, 9, 4, 0],</v>
      </c>
    </row>
    <row r="84" spans="1:10" x14ac:dyDescent="0.3">
      <c r="A84" s="3"/>
      <c r="B84" s="11">
        <v>22</v>
      </c>
      <c r="C84" s="11" t="s">
        <v>6</v>
      </c>
      <c r="D84" s="6">
        <v>30</v>
      </c>
      <c r="E84" s="5">
        <f t="shared" si="4"/>
        <v>0</v>
      </c>
      <c r="F84" s="17">
        <v>9</v>
      </c>
      <c r="G84" s="17">
        <v>4</v>
      </c>
      <c r="H84" s="6">
        <v>0</v>
      </c>
      <c r="J84" s="14" t="str">
        <f t="shared" si="5"/>
        <v>[22, 'M3', 30, 0, 9, 4, 0],</v>
      </c>
    </row>
    <row r="85" spans="1:10" x14ac:dyDescent="0.3">
      <c r="A85" s="3"/>
      <c r="B85" s="11">
        <v>23</v>
      </c>
      <c r="C85" s="11" t="s">
        <v>7</v>
      </c>
      <c r="D85" s="6">
        <v>15</v>
      </c>
      <c r="E85" s="5">
        <f t="shared" si="4"/>
        <v>0</v>
      </c>
      <c r="F85" s="17">
        <v>3</v>
      </c>
      <c r="G85" s="17">
        <v>3</v>
      </c>
      <c r="H85" s="6">
        <v>0</v>
      </c>
      <c r="J85" s="14" t="str">
        <f t="shared" si="5"/>
        <v>[23, 'M4', 15, 0, 3, 3, 0],</v>
      </c>
    </row>
    <row r="86" spans="1:10" x14ac:dyDescent="0.3">
      <c r="A86" s="3"/>
      <c r="B86" s="11">
        <v>24</v>
      </c>
      <c r="C86" s="11" t="s">
        <v>8</v>
      </c>
      <c r="D86" s="6">
        <v>17</v>
      </c>
      <c r="E86" s="5">
        <f t="shared" si="4"/>
        <v>0</v>
      </c>
      <c r="F86" s="17">
        <v>4</v>
      </c>
      <c r="G86" s="17">
        <v>3</v>
      </c>
      <c r="H86" s="6">
        <v>0</v>
      </c>
      <c r="J86" s="14" t="str">
        <f t="shared" si="5"/>
        <v>[24, 'M5', 17, 0, 4, 3, 0],</v>
      </c>
    </row>
    <row r="87" spans="1:10" x14ac:dyDescent="0.3">
      <c r="A87" s="3"/>
      <c r="B87" s="11">
        <v>30</v>
      </c>
      <c r="C87" s="11" t="s">
        <v>9</v>
      </c>
      <c r="D87" s="6">
        <v>21</v>
      </c>
      <c r="E87" s="5">
        <f t="shared" si="4"/>
        <v>21</v>
      </c>
      <c r="F87" s="17">
        <v>0</v>
      </c>
      <c r="G87" s="17">
        <v>0</v>
      </c>
      <c r="H87" s="6">
        <v>0</v>
      </c>
      <c r="J87" s="14" t="str">
        <f t="shared" si="5"/>
        <v>[30, 'A', 21, 21, 0, 0, 0],</v>
      </c>
    </row>
    <row r="88" spans="1:10" x14ac:dyDescent="0.3">
      <c r="A88" s="3"/>
      <c r="B88" s="11">
        <v>31</v>
      </c>
      <c r="C88" s="11" t="s">
        <v>10</v>
      </c>
      <c r="D88" s="6">
        <v>17</v>
      </c>
      <c r="E88" s="5">
        <f t="shared" si="4"/>
        <v>17</v>
      </c>
      <c r="F88" s="17">
        <v>0</v>
      </c>
      <c r="G88" s="17">
        <v>0</v>
      </c>
      <c r="H88" s="6">
        <v>0</v>
      </c>
      <c r="J88" s="14" t="str">
        <f t="shared" si="5"/>
        <v>[31, 'K', 17, 17, 0, 0, 0],</v>
      </c>
    </row>
    <row r="89" spans="1:10" x14ac:dyDescent="0.3">
      <c r="A89" s="3"/>
      <c r="B89" s="11">
        <v>32</v>
      </c>
      <c r="C89" s="11" t="s">
        <v>11</v>
      </c>
      <c r="D89" s="6">
        <v>21</v>
      </c>
      <c r="E89" s="5">
        <f t="shared" si="4"/>
        <v>21</v>
      </c>
      <c r="F89" s="17">
        <v>0</v>
      </c>
      <c r="G89" s="17">
        <v>0</v>
      </c>
      <c r="H89" s="6">
        <v>0</v>
      </c>
      <c r="J89" s="14" t="str">
        <f t="shared" si="5"/>
        <v>[32, 'Q', 21, 21, 0, 0, 0],</v>
      </c>
    </row>
    <row r="90" spans="1:10" x14ac:dyDescent="0.3">
      <c r="A90" s="3"/>
      <c r="B90" s="11">
        <v>33</v>
      </c>
      <c r="C90" s="11" t="s">
        <v>12</v>
      </c>
      <c r="D90" s="6">
        <v>23</v>
      </c>
      <c r="E90" s="5">
        <f t="shared" si="4"/>
        <v>23</v>
      </c>
      <c r="F90" s="17">
        <v>0</v>
      </c>
      <c r="G90" s="17">
        <v>0</v>
      </c>
      <c r="H90" s="6">
        <v>0</v>
      </c>
      <c r="J90" s="14" t="str">
        <f t="shared" si="5"/>
        <v>[33, 'J', 23, 23, 0, 0, 0],</v>
      </c>
    </row>
    <row r="91" spans="1:10" x14ac:dyDescent="0.3">
      <c r="A91" s="3"/>
      <c r="B91" s="11">
        <v>34</v>
      </c>
      <c r="C91" s="11" t="s">
        <v>13</v>
      </c>
      <c r="D91" s="6">
        <v>22</v>
      </c>
      <c r="E91" s="5">
        <f t="shared" si="4"/>
        <v>22</v>
      </c>
      <c r="F91" s="17">
        <v>0</v>
      </c>
      <c r="G91" s="17">
        <v>0</v>
      </c>
      <c r="H91" s="6">
        <v>0</v>
      </c>
      <c r="J91" s="14" t="str">
        <f t="shared" si="5"/>
        <v>[34, 'TE', 22, 22,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4</v>
      </c>
      <c r="E97" s="5">
        <f t="shared" si="6"/>
        <v>4</v>
      </c>
      <c r="F97" s="17">
        <v>0</v>
      </c>
      <c r="G97" s="17">
        <v>0</v>
      </c>
      <c r="H97" s="6">
        <v>0</v>
      </c>
      <c r="J97" s="14" t="str">
        <f t="shared" si="7"/>
        <v>[10, 'C1', 4, 4, 0, 0, 0],</v>
      </c>
    </row>
    <row r="98" spans="1:10" x14ac:dyDescent="0.3">
      <c r="A98" s="3"/>
      <c r="B98" s="11">
        <v>11</v>
      </c>
      <c r="C98" s="11" t="s">
        <v>2</v>
      </c>
      <c r="D98" s="6">
        <v>3</v>
      </c>
      <c r="E98" s="5">
        <f t="shared" si="6"/>
        <v>3</v>
      </c>
      <c r="F98" s="17">
        <v>0</v>
      </c>
      <c r="G98" s="17">
        <v>0</v>
      </c>
      <c r="H98" s="6">
        <v>0</v>
      </c>
      <c r="J98" s="14" t="str">
        <f t="shared" si="7"/>
        <v>[11, 'C2', 3, 3, 0, 0, 0],</v>
      </c>
    </row>
    <row r="99" spans="1:10" x14ac:dyDescent="0.3">
      <c r="A99" s="3"/>
      <c r="B99" s="11">
        <v>12</v>
      </c>
      <c r="C99" s="11" t="s">
        <v>3</v>
      </c>
      <c r="D99" s="6">
        <v>7</v>
      </c>
      <c r="E99" s="5">
        <f t="shared" si="6"/>
        <v>7</v>
      </c>
      <c r="F99" s="17">
        <v>0</v>
      </c>
      <c r="G99" s="17">
        <v>0</v>
      </c>
      <c r="H99" s="6">
        <v>0</v>
      </c>
      <c r="J99" s="14" t="str">
        <f t="shared" si="7"/>
        <v>[12, 'C3', 7, 7, 0, 0, 0],</v>
      </c>
    </row>
    <row r="100" spans="1:10" x14ac:dyDescent="0.3">
      <c r="A100" s="3"/>
      <c r="B100" s="11">
        <v>20</v>
      </c>
      <c r="C100" s="11" t="s">
        <v>4</v>
      </c>
      <c r="D100" s="6">
        <v>13</v>
      </c>
      <c r="E100" s="5">
        <f t="shared" si="6"/>
        <v>0</v>
      </c>
      <c r="F100" s="17">
        <v>2</v>
      </c>
      <c r="G100" s="17">
        <v>3</v>
      </c>
      <c r="H100" s="6">
        <v>0</v>
      </c>
      <c r="J100" s="14" t="str">
        <f t="shared" si="7"/>
        <v>[20, 'M1', 13, 0, 2, 3, 0],</v>
      </c>
    </row>
    <row r="101" spans="1:10" x14ac:dyDescent="0.3">
      <c r="A101" s="3"/>
      <c r="B101" s="11">
        <v>21</v>
      </c>
      <c r="C101" s="11" t="s">
        <v>5</v>
      </c>
      <c r="D101" s="6">
        <v>23</v>
      </c>
      <c r="E101" s="5">
        <f t="shared" si="6"/>
        <v>0</v>
      </c>
      <c r="F101" s="17">
        <v>7</v>
      </c>
      <c r="G101" s="17">
        <v>3</v>
      </c>
      <c r="H101" s="6">
        <v>0</v>
      </c>
      <c r="J101" s="14" t="str">
        <f t="shared" si="7"/>
        <v>[21, 'M2', 23, 0, 7, 3, 0],</v>
      </c>
    </row>
    <row r="102" spans="1:10" x14ac:dyDescent="0.3">
      <c r="A102" s="3"/>
      <c r="B102" s="11">
        <v>22</v>
      </c>
      <c r="C102" s="11" t="s">
        <v>6</v>
      </c>
      <c r="D102" s="6">
        <v>23</v>
      </c>
      <c r="E102" s="5">
        <f t="shared" si="6"/>
        <v>0</v>
      </c>
      <c r="F102" s="17">
        <v>7</v>
      </c>
      <c r="G102" s="17">
        <v>3</v>
      </c>
      <c r="H102" s="6">
        <v>0</v>
      </c>
      <c r="J102" s="14" t="str">
        <f t="shared" si="7"/>
        <v>[22, 'M3', 23, 0, 7, 3, 0],</v>
      </c>
    </row>
    <row r="103" spans="1:10" x14ac:dyDescent="0.3">
      <c r="A103" s="3"/>
      <c r="B103" s="11">
        <v>23</v>
      </c>
      <c r="C103" s="11" t="s">
        <v>7</v>
      </c>
      <c r="D103" s="6">
        <v>22</v>
      </c>
      <c r="E103" s="5">
        <f t="shared" si="6"/>
        <v>0</v>
      </c>
      <c r="F103" s="17">
        <v>5</v>
      </c>
      <c r="G103" s="17">
        <v>4</v>
      </c>
      <c r="H103" s="6">
        <v>0</v>
      </c>
      <c r="J103" s="14" t="str">
        <f t="shared" si="7"/>
        <v>[23, 'M4', 22, 0, 5, 4, 0],</v>
      </c>
    </row>
    <row r="104" spans="1:10" x14ac:dyDescent="0.3">
      <c r="A104" s="3"/>
      <c r="B104" s="11">
        <v>24</v>
      </c>
      <c r="C104" s="11" t="s">
        <v>8</v>
      </c>
      <c r="D104" s="6">
        <v>22</v>
      </c>
      <c r="E104" s="5">
        <f t="shared" si="6"/>
        <v>0</v>
      </c>
      <c r="F104" s="17">
        <v>5</v>
      </c>
      <c r="G104" s="17">
        <v>4</v>
      </c>
      <c r="H104" s="6">
        <v>0</v>
      </c>
      <c r="J104" s="14" t="str">
        <f t="shared" si="7"/>
        <v>[24, 'M5', 22, 0, 5, 4, 0],</v>
      </c>
    </row>
    <row r="105" spans="1:10" x14ac:dyDescent="0.3">
      <c r="A105" s="3"/>
      <c r="B105" s="11">
        <v>30</v>
      </c>
      <c r="C105" s="11" t="s">
        <v>9</v>
      </c>
      <c r="D105" s="6">
        <v>14</v>
      </c>
      <c r="E105" s="5">
        <f t="shared" si="6"/>
        <v>14</v>
      </c>
      <c r="F105" s="17">
        <v>0</v>
      </c>
      <c r="G105" s="17">
        <v>0</v>
      </c>
      <c r="H105" s="6">
        <v>0</v>
      </c>
      <c r="J105" s="14" t="str">
        <f t="shared" si="7"/>
        <v>[30, 'A', 14, 14, 0, 0, 0],</v>
      </c>
    </row>
    <row r="106" spans="1:10" x14ac:dyDescent="0.3">
      <c r="A106" s="3"/>
      <c r="B106" s="11">
        <v>31</v>
      </c>
      <c r="C106" s="11" t="s">
        <v>10</v>
      </c>
      <c r="D106" s="6">
        <v>20</v>
      </c>
      <c r="E106" s="5">
        <f t="shared" si="6"/>
        <v>20</v>
      </c>
      <c r="F106" s="17">
        <v>0</v>
      </c>
      <c r="G106" s="17">
        <v>0</v>
      </c>
      <c r="H106" s="6">
        <v>0</v>
      </c>
      <c r="J106" s="14" t="str">
        <f t="shared" si="7"/>
        <v>[31, 'K', 20, 20, 0, 0, 0],</v>
      </c>
    </row>
    <row r="107" spans="1:10" x14ac:dyDescent="0.3">
      <c r="A107" s="3"/>
      <c r="B107" s="11">
        <v>32</v>
      </c>
      <c r="C107" s="11" t="s">
        <v>11</v>
      </c>
      <c r="D107" s="6">
        <v>14</v>
      </c>
      <c r="E107" s="5">
        <f t="shared" si="6"/>
        <v>14</v>
      </c>
      <c r="F107" s="17">
        <v>0</v>
      </c>
      <c r="G107" s="17">
        <v>0</v>
      </c>
      <c r="H107" s="6">
        <v>0</v>
      </c>
      <c r="J107" s="14" t="str">
        <f t="shared" si="7"/>
        <v>[32, 'Q', 14, 14, 0, 0, 0],</v>
      </c>
    </row>
    <row r="108" spans="1:10" x14ac:dyDescent="0.3">
      <c r="A108" s="3"/>
      <c r="B108" s="11">
        <v>33</v>
      </c>
      <c r="C108" s="11" t="s">
        <v>12</v>
      </c>
      <c r="D108" s="6">
        <v>22</v>
      </c>
      <c r="E108" s="5">
        <f t="shared" si="6"/>
        <v>22</v>
      </c>
      <c r="F108" s="17">
        <v>0</v>
      </c>
      <c r="G108" s="17">
        <v>0</v>
      </c>
      <c r="H108" s="6">
        <v>0</v>
      </c>
      <c r="J108" s="14" t="str">
        <f t="shared" si="7"/>
        <v>[33, 'J', 22, 22, 0, 0, 0],</v>
      </c>
    </row>
    <row r="109" spans="1:10" x14ac:dyDescent="0.3">
      <c r="A109" s="3"/>
      <c r="B109" s="11">
        <v>34</v>
      </c>
      <c r="C109" s="11" t="s">
        <v>13</v>
      </c>
      <c r="D109" s="6">
        <v>10</v>
      </c>
      <c r="E109" s="5">
        <f t="shared" si="6"/>
        <v>10</v>
      </c>
      <c r="F109" s="17">
        <v>0</v>
      </c>
      <c r="G109" s="17">
        <v>0</v>
      </c>
      <c r="H109" s="6">
        <v>0</v>
      </c>
      <c r="J109" s="14" t="str">
        <f t="shared" si="7"/>
        <v>[34, 'TE', 10, 10,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2</v>
      </c>
      <c r="E115" s="5">
        <f t="shared" si="8"/>
        <v>2</v>
      </c>
      <c r="F115" s="17">
        <v>0</v>
      </c>
      <c r="G115" s="17">
        <v>0</v>
      </c>
      <c r="H115" s="6">
        <v>0</v>
      </c>
      <c r="J115" s="14" t="str">
        <f t="shared" si="9"/>
        <v>[10, 'C1', 2, 2,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2</v>
      </c>
      <c r="E117" s="5">
        <f t="shared" si="8"/>
        <v>2</v>
      </c>
      <c r="F117" s="17">
        <v>0</v>
      </c>
      <c r="G117" s="17">
        <v>0</v>
      </c>
      <c r="H117" s="6">
        <v>0</v>
      </c>
      <c r="J117" s="14" t="str">
        <f t="shared" si="9"/>
        <v>[12, 'C3', 2, 2, 0, 0, 0],</v>
      </c>
    </row>
    <row r="118" spans="1:10" x14ac:dyDescent="0.3">
      <c r="A118" s="3"/>
      <c r="B118" s="11">
        <v>20</v>
      </c>
      <c r="C118" s="11" t="s">
        <v>4</v>
      </c>
      <c r="D118" s="6">
        <v>11</v>
      </c>
      <c r="E118" s="5">
        <f t="shared" si="8"/>
        <v>0</v>
      </c>
      <c r="F118" s="17">
        <v>4</v>
      </c>
      <c r="G118" s="17">
        <v>1</v>
      </c>
      <c r="H118" s="6">
        <v>0</v>
      </c>
      <c r="J118" s="14" t="str">
        <f t="shared" si="9"/>
        <v>[20, 'M1', 11, 0, 4, 1, 0],</v>
      </c>
    </row>
    <row r="119" spans="1:10" x14ac:dyDescent="0.3">
      <c r="A119" s="3"/>
      <c r="B119" s="11">
        <v>21</v>
      </c>
      <c r="C119" s="11" t="s">
        <v>5</v>
      </c>
      <c r="D119" s="6">
        <v>15</v>
      </c>
      <c r="E119" s="5">
        <f t="shared" si="8"/>
        <v>0</v>
      </c>
      <c r="F119" s="17">
        <v>3</v>
      </c>
      <c r="G119" s="17">
        <v>3</v>
      </c>
      <c r="H119" s="6">
        <v>0</v>
      </c>
      <c r="J119" s="14" t="str">
        <f t="shared" si="9"/>
        <v>[21, 'M2', 15, 0, 3, 3, 0],</v>
      </c>
    </row>
    <row r="120" spans="1:10" x14ac:dyDescent="0.3">
      <c r="A120" s="3"/>
      <c r="B120" s="11">
        <v>22</v>
      </c>
      <c r="C120" s="11" t="s">
        <v>6</v>
      </c>
      <c r="D120" s="6">
        <v>15</v>
      </c>
      <c r="E120" s="5">
        <f t="shared" si="8"/>
        <v>0</v>
      </c>
      <c r="F120" s="17">
        <v>3</v>
      </c>
      <c r="G120" s="17">
        <v>3</v>
      </c>
      <c r="H120" s="6">
        <v>0</v>
      </c>
      <c r="J120" s="14" t="str">
        <f t="shared" si="9"/>
        <v>[22, 'M3', 15, 0, 3, 3, 0],</v>
      </c>
    </row>
    <row r="121" spans="1:10" x14ac:dyDescent="0.3">
      <c r="A121" s="3"/>
      <c r="B121" s="11">
        <v>23</v>
      </c>
      <c r="C121" s="11" t="s">
        <v>7</v>
      </c>
      <c r="D121" s="6">
        <v>15</v>
      </c>
      <c r="E121" s="5">
        <f t="shared" si="8"/>
        <v>0</v>
      </c>
      <c r="F121" s="17">
        <v>3</v>
      </c>
      <c r="G121" s="17">
        <v>3</v>
      </c>
      <c r="H121" s="6">
        <v>0</v>
      </c>
      <c r="J121" s="14" t="str">
        <f t="shared" si="9"/>
        <v>[23, 'M4', 15, 0, 3, 3, 0],</v>
      </c>
    </row>
    <row r="122" spans="1:10" x14ac:dyDescent="0.3">
      <c r="A122" s="3"/>
      <c r="B122" s="11">
        <v>24</v>
      </c>
      <c r="C122" s="11" t="s">
        <v>8</v>
      </c>
      <c r="D122" s="6">
        <v>17</v>
      </c>
      <c r="E122" s="5">
        <f t="shared" si="8"/>
        <v>0</v>
      </c>
      <c r="F122" s="17">
        <v>4</v>
      </c>
      <c r="G122" s="17">
        <v>3</v>
      </c>
      <c r="H122" s="6">
        <v>0</v>
      </c>
      <c r="J122" s="14" t="str">
        <f t="shared" si="9"/>
        <v>[24, 'M5', 17, 0, 4, 3, 0],</v>
      </c>
    </row>
    <row r="123" spans="1:10" x14ac:dyDescent="0.3">
      <c r="A123" s="3"/>
      <c r="B123" s="11">
        <v>30</v>
      </c>
      <c r="C123" s="11" t="s">
        <v>9</v>
      </c>
      <c r="D123" s="6">
        <v>9</v>
      </c>
      <c r="E123" s="5">
        <f t="shared" si="8"/>
        <v>9</v>
      </c>
      <c r="F123" s="17">
        <v>0</v>
      </c>
      <c r="G123" s="17">
        <v>0</v>
      </c>
      <c r="H123" s="6">
        <v>0</v>
      </c>
      <c r="J123" s="14" t="str">
        <f t="shared" si="9"/>
        <v>[30, 'A', 9, 9, 0, 0, 0],</v>
      </c>
    </row>
    <row r="124" spans="1:10" x14ac:dyDescent="0.3">
      <c r="A124" s="3"/>
      <c r="B124" s="11">
        <v>31</v>
      </c>
      <c r="C124" s="11" t="s">
        <v>10</v>
      </c>
      <c r="D124" s="6">
        <v>12</v>
      </c>
      <c r="E124" s="5">
        <f t="shared" si="8"/>
        <v>12</v>
      </c>
      <c r="F124" s="17">
        <v>0</v>
      </c>
      <c r="G124" s="17">
        <v>0</v>
      </c>
      <c r="H124" s="6">
        <v>0</v>
      </c>
      <c r="J124" s="14" t="str">
        <f t="shared" si="9"/>
        <v>[31, 'K', 12, 12, 0, 0, 0],</v>
      </c>
    </row>
    <row r="125" spans="1:10" x14ac:dyDescent="0.3">
      <c r="A125" s="3"/>
      <c r="B125" s="11">
        <v>32</v>
      </c>
      <c r="C125" s="11" t="s">
        <v>11</v>
      </c>
      <c r="D125" s="6">
        <v>9</v>
      </c>
      <c r="E125" s="5">
        <f t="shared" si="8"/>
        <v>9</v>
      </c>
      <c r="F125" s="17">
        <v>0</v>
      </c>
      <c r="G125" s="17">
        <v>0</v>
      </c>
      <c r="H125" s="6">
        <v>0</v>
      </c>
      <c r="J125" s="14" t="str">
        <f t="shared" si="9"/>
        <v>[32, 'Q', 9, 9, 0, 0, 0],</v>
      </c>
    </row>
    <row r="126" spans="1:10" x14ac:dyDescent="0.3">
      <c r="A126" s="3"/>
      <c r="B126" s="11">
        <v>33</v>
      </c>
      <c r="C126" s="11" t="s">
        <v>12</v>
      </c>
      <c r="D126" s="6">
        <v>12</v>
      </c>
      <c r="E126" s="5">
        <f t="shared" si="8"/>
        <v>12</v>
      </c>
      <c r="F126" s="17">
        <v>0</v>
      </c>
      <c r="G126" s="17">
        <v>0</v>
      </c>
      <c r="H126" s="6">
        <v>0</v>
      </c>
      <c r="J126" s="14" t="str">
        <f t="shared" si="9"/>
        <v>[33, 'J', 12, 12, 0, 0, 0],</v>
      </c>
    </row>
    <row r="127" spans="1:10" x14ac:dyDescent="0.3">
      <c r="A127" s="3"/>
      <c r="B127" s="11">
        <v>34</v>
      </c>
      <c r="C127" s="11" t="s">
        <v>13</v>
      </c>
      <c r="D127" s="6">
        <v>8</v>
      </c>
      <c r="E127" s="5">
        <f t="shared" si="8"/>
        <v>8</v>
      </c>
      <c r="F127" s="17">
        <v>0</v>
      </c>
      <c r="G127" s="17">
        <v>0</v>
      </c>
      <c r="H127" s="6">
        <v>0</v>
      </c>
      <c r="J127" s="14" t="str">
        <f t="shared" si="9"/>
        <v>[34, 'TE', 8, 8,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S95:S108 Q110:S127 V42:V55 L58 P95:Q109 N58:O58 K77:L91 Q58:R58 K95:L95 Q76:S76 J92:L92 K111:P111 R109:S109 P110 N112:P112 N96:O110 J60:J73 J78:J91 J96:L110 J114:J127 A3:A7 AA7:AB10 Z12:AB12 T11:AB11 T12 B1:S1 A2:S2 S8 A8:L8 A128:S1048576 A39:I39 K39:S39 A22:S38 A9:G10 H10:S10 T7:U10 T143:AB1048576 T13:AB39 T1:AB6 A40:AA40 A41:E127 H9 J9:S9 M11:S21 A21:G21 A11:A20 H58:I127 H42:L56 H57:S57 H41:I41">
    <cfRule type="cellIs" dxfId="29" priority="33" operator="equal">
      <formula>0</formula>
    </cfRule>
  </conditionalFormatting>
  <conditionalFormatting sqref="J74">
    <cfRule type="cellIs" dxfId="28" priority="32" operator="equal">
      <formula>0</formula>
    </cfRule>
  </conditionalFormatting>
  <conditionalFormatting sqref="E41:E127">
    <cfRule type="cellIs" dxfId="27" priority="31" operator="lessThan">
      <formula>0</formula>
    </cfRule>
  </conditionalFormatting>
  <conditionalFormatting sqref="V7:Z10">
    <cfRule type="cellIs" dxfId="26" priority="30" operator="equal">
      <formula>0</formula>
    </cfRule>
  </conditionalFormatting>
  <conditionalFormatting sqref="H5:L5 H6 K6:L6">
    <cfRule type="cellIs" dxfId="25" priority="28" operator="equal">
      <formula>0</formula>
    </cfRule>
  </conditionalFormatting>
  <conditionalFormatting sqref="P8:Q8 M8:N8">
    <cfRule type="cellIs" dxfId="24" priority="27" operator="equal">
      <formula>0</formula>
    </cfRule>
  </conditionalFormatting>
  <conditionalFormatting sqref="I6:J6">
    <cfRule type="cellIs" dxfId="23" priority="26" operator="equal">
      <formula>0</formula>
    </cfRule>
  </conditionalFormatting>
  <conditionalFormatting sqref="B3:F7">
    <cfRule type="cellIs" dxfId="22" priority="18" operator="equal">
      <formula>0</formula>
    </cfRule>
  </conditionalFormatting>
  <conditionalFormatting sqref="I9">
    <cfRule type="cellIs" dxfId="21" priority="14" operator="equal">
      <formula>0</formula>
    </cfRule>
  </conditionalFormatting>
  <conditionalFormatting sqref="H4:L4">
    <cfRule type="cellIs" dxfId="20" priority="12" operator="equal">
      <formula>0</formula>
    </cfRule>
  </conditionalFormatting>
  <conditionalFormatting sqref="B20:L20">
    <cfRule type="cellIs" dxfId="19" priority="11" operator="equal">
      <formula>0</formula>
    </cfRule>
  </conditionalFormatting>
  <conditionalFormatting sqref="B20:F20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{6EECAED5-A3D6-4175-AE49-A12690520302}</x14:id>
        </ext>
      </extLst>
    </cfRule>
  </conditionalFormatting>
  <conditionalFormatting sqref="B11:L15 B16:K19">
    <cfRule type="cellIs" dxfId="18" priority="9" operator="equal">
      <formula>0</formula>
    </cfRule>
  </conditionalFormatting>
  <conditionalFormatting sqref="B11:F1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{259DC44A-2DA5-4E55-B5D4-7216229F8515}</x14:id>
        </ext>
      </extLst>
    </cfRule>
  </conditionalFormatting>
  <conditionalFormatting sqref="L16:L19">
    <cfRule type="cellIs" dxfId="17" priority="7" operator="equal">
      <formula>0</formula>
    </cfRule>
  </conditionalFormatting>
  <conditionalFormatting sqref="F41:G50 F56:G68 G51:G55 G69:G73 F92:G104 G87:G91 F110:G122 G105:G109 G123:G127 F74:G86">
    <cfRule type="cellIs" dxfId="16" priority="6" operator="equal">
      <formula>0</formula>
    </cfRule>
  </conditionalFormatting>
  <conditionalFormatting sqref="F105:F109">
    <cfRule type="cellIs" dxfId="15" priority="5" operator="equal">
      <formula>0</formula>
    </cfRule>
  </conditionalFormatting>
  <conditionalFormatting sqref="F123:F127">
    <cfRule type="cellIs" dxfId="14" priority="4" operator="equal">
      <formula>0</formula>
    </cfRule>
  </conditionalFormatting>
  <conditionalFormatting sqref="F87:F91">
    <cfRule type="cellIs" dxfId="13" priority="3" operator="equal">
      <formula>0</formula>
    </cfRule>
  </conditionalFormatting>
  <conditionalFormatting sqref="F69:F73">
    <cfRule type="cellIs" dxfId="12" priority="2" operator="equal">
      <formula>0</formula>
    </cfRule>
  </conditionalFormatting>
  <conditionalFormatting sqref="F51:F55">
    <cfRule type="cellIs" dxfId="11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ECAED5-A3D6-4175-AE49-A126905203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B20:F20</xm:sqref>
        </x14:conditionalFormatting>
        <x14:conditionalFormatting xmlns:xm="http://schemas.microsoft.com/office/excel/2006/main">
          <x14:cfRule type="dataBar" id="{259DC44A-2DA5-4E55-B5D4-7216229F85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B11:F19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E273-4DE9-4BDE-80D7-E77BE0698A33}">
  <dimension ref="A1:R128"/>
  <sheetViews>
    <sheetView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19" width="10.08203125" style="3" customWidth="1"/>
    <col min="20" max="20" width="8.6640625" style="3"/>
    <col min="21" max="25" width="7" style="3" customWidth="1"/>
    <col min="26" max="16384" width="8.6640625" style="3"/>
  </cols>
  <sheetData>
    <row r="1" spans="1:18" x14ac:dyDescent="0.3">
      <c r="A1" s="1" t="s">
        <v>33</v>
      </c>
      <c r="B1" s="1">
        <v>2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2</v>
      </c>
      <c r="C4" s="21">
        <v>4</v>
      </c>
      <c r="D4" s="21">
        <v>3</v>
      </c>
      <c r="E4" s="21">
        <v>4</v>
      </c>
      <c r="F4" s="21">
        <v>2</v>
      </c>
      <c r="H4" s="17">
        <v>2</v>
      </c>
      <c r="I4" s="17">
        <v>4</v>
      </c>
      <c r="J4" s="17">
        <v>3</v>
      </c>
      <c r="K4" s="17">
        <v>4</v>
      </c>
      <c r="L4" s="17">
        <v>2</v>
      </c>
      <c r="N4" s="6">
        <v>2</v>
      </c>
      <c r="O4" s="6">
        <v>4</v>
      </c>
      <c r="P4" s="6">
        <v>3</v>
      </c>
      <c r="Q4" s="6">
        <v>4</v>
      </c>
      <c r="R4" s="6">
        <v>2</v>
      </c>
    </row>
    <row r="5" spans="1:18" x14ac:dyDescent="0.3">
      <c r="A5" s="1" t="s">
        <v>2</v>
      </c>
      <c r="B5" s="8">
        <v>0</v>
      </c>
      <c r="C5" s="8">
        <v>0</v>
      </c>
      <c r="D5" s="8">
        <v>5</v>
      </c>
      <c r="E5" s="8">
        <v>3</v>
      </c>
      <c r="F5" s="8">
        <v>0</v>
      </c>
      <c r="H5" s="17">
        <v>0</v>
      </c>
      <c r="I5" s="17">
        <v>0</v>
      </c>
      <c r="J5" s="17">
        <v>5</v>
      </c>
      <c r="K5" s="17">
        <v>3</v>
      </c>
      <c r="L5" s="17">
        <v>0</v>
      </c>
      <c r="N5" s="6">
        <v>0</v>
      </c>
      <c r="O5" s="6">
        <v>0</v>
      </c>
      <c r="P5" s="6">
        <v>5</v>
      </c>
      <c r="Q5" s="6">
        <v>3</v>
      </c>
      <c r="R5" s="6">
        <v>0</v>
      </c>
    </row>
    <row r="6" spans="1:18" x14ac:dyDescent="0.3">
      <c r="A6" s="1" t="s">
        <v>3</v>
      </c>
      <c r="B6" s="8">
        <v>7</v>
      </c>
      <c r="C6" s="8">
        <v>6</v>
      </c>
      <c r="D6" s="8">
        <v>28</v>
      </c>
      <c r="E6" s="8">
        <v>5</v>
      </c>
      <c r="F6" s="8">
        <v>2</v>
      </c>
      <c r="H6" s="17">
        <v>7</v>
      </c>
      <c r="I6" s="17">
        <v>6</v>
      </c>
      <c r="J6" s="17">
        <v>28</v>
      </c>
      <c r="K6" s="17">
        <v>5</v>
      </c>
      <c r="L6" s="17">
        <v>2</v>
      </c>
      <c r="N6" s="6">
        <v>7</v>
      </c>
      <c r="O6" s="6">
        <v>6</v>
      </c>
      <c r="P6" s="6">
        <v>28</v>
      </c>
      <c r="Q6" s="6">
        <v>5</v>
      </c>
      <c r="R6" s="6">
        <v>2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91</v>
      </c>
      <c r="C8" s="3">
        <v>210</v>
      </c>
      <c r="D8" s="3">
        <v>214</v>
      </c>
      <c r="E8" s="3">
        <v>188</v>
      </c>
      <c r="F8" s="3">
        <v>126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19"/>
      <c r="I20" s="19"/>
      <c r="J20" s="19"/>
      <c r="K20" s="19"/>
      <c r="L20" s="19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2</v>
      </c>
      <c r="C24" s="8">
        <v>4</v>
      </c>
      <c r="D24" s="8">
        <v>3</v>
      </c>
      <c r="E24" s="8">
        <v>4</v>
      </c>
      <c r="F24" s="8">
        <v>2</v>
      </c>
    </row>
    <row r="25" spans="1:12" x14ac:dyDescent="0.3">
      <c r="A25" s="1" t="s">
        <v>2</v>
      </c>
      <c r="B25" s="8">
        <v>0</v>
      </c>
      <c r="C25" s="7">
        <v>0</v>
      </c>
      <c r="D25" s="7">
        <v>5</v>
      </c>
      <c r="E25" s="7">
        <v>3</v>
      </c>
      <c r="F25" s="8">
        <v>0</v>
      </c>
    </row>
    <row r="26" spans="1:12" x14ac:dyDescent="0.3">
      <c r="A26" s="1" t="s">
        <v>3</v>
      </c>
      <c r="B26" s="8">
        <v>7</v>
      </c>
      <c r="C26" s="8">
        <v>6</v>
      </c>
      <c r="D26" s="8">
        <v>28</v>
      </c>
      <c r="E26" s="8">
        <v>5</v>
      </c>
      <c r="F26" s="8">
        <v>2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18</v>
      </c>
      <c r="D27" s="8">
        <v>17</v>
      </c>
      <c r="E27" s="8">
        <v>13</v>
      </c>
      <c r="F27" s="8">
        <v>11</v>
      </c>
    </row>
    <row r="28" spans="1:12" x14ac:dyDescent="0.3">
      <c r="A28" s="1" t="s">
        <v>5</v>
      </c>
      <c r="B28" s="8">
        <v>8</v>
      </c>
      <c r="C28" s="8">
        <v>31</v>
      </c>
      <c r="D28" s="8">
        <v>29</v>
      </c>
      <c r="E28" s="8">
        <v>24</v>
      </c>
      <c r="F28" s="8">
        <v>15</v>
      </c>
    </row>
    <row r="29" spans="1:12" x14ac:dyDescent="0.3">
      <c r="A29" s="1" t="s">
        <v>6</v>
      </c>
      <c r="B29" s="8">
        <v>13</v>
      </c>
      <c r="C29" s="8">
        <v>22</v>
      </c>
      <c r="D29" s="8">
        <v>29</v>
      </c>
      <c r="E29" s="8">
        <v>24</v>
      </c>
      <c r="F29" s="8">
        <v>15</v>
      </c>
    </row>
    <row r="30" spans="1:12" x14ac:dyDescent="0.3">
      <c r="A30" s="1" t="s">
        <v>7</v>
      </c>
      <c r="B30" s="8">
        <v>11</v>
      </c>
      <c r="C30" s="8">
        <v>22</v>
      </c>
      <c r="D30" s="8">
        <v>14</v>
      </c>
      <c r="E30" s="8">
        <v>22</v>
      </c>
      <c r="F30" s="8">
        <v>15</v>
      </c>
    </row>
    <row r="31" spans="1:12" x14ac:dyDescent="0.3">
      <c r="A31" s="1" t="s">
        <v>8</v>
      </c>
      <c r="B31" s="8">
        <v>11</v>
      </c>
      <c r="C31" s="8">
        <v>16</v>
      </c>
      <c r="D31" s="8">
        <v>17</v>
      </c>
      <c r="E31" s="8">
        <v>22</v>
      </c>
      <c r="F31" s="8">
        <v>17</v>
      </c>
    </row>
    <row r="32" spans="1:12" x14ac:dyDescent="0.3">
      <c r="A32" s="1" t="s">
        <v>9</v>
      </c>
      <c r="B32" s="8">
        <v>5</v>
      </c>
      <c r="C32" s="8">
        <v>24</v>
      </c>
      <c r="D32" s="8">
        <v>21</v>
      </c>
      <c r="E32" s="8">
        <v>15</v>
      </c>
      <c r="F32" s="8">
        <v>9</v>
      </c>
    </row>
    <row r="33" spans="1:10" x14ac:dyDescent="0.3">
      <c r="A33" s="1" t="s">
        <v>10</v>
      </c>
      <c r="B33" s="8">
        <v>10</v>
      </c>
      <c r="C33" s="8">
        <v>22</v>
      </c>
      <c r="D33" s="8">
        <v>17</v>
      </c>
      <c r="E33" s="8">
        <v>20</v>
      </c>
      <c r="F33" s="8">
        <v>12</v>
      </c>
    </row>
    <row r="34" spans="1:10" x14ac:dyDescent="0.3">
      <c r="A34" s="1" t="s">
        <v>11</v>
      </c>
      <c r="B34" s="8">
        <v>9</v>
      </c>
      <c r="C34" s="8">
        <v>16</v>
      </c>
      <c r="D34" s="8">
        <v>21</v>
      </c>
      <c r="E34" s="8">
        <v>15</v>
      </c>
      <c r="F34" s="8">
        <v>9</v>
      </c>
    </row>
    <row r="35" spans="1:10" x14ac:dyDescent="0.3">
      <c r="A35" s="1" t="s">
        <v>12</v>
      </c>
      <c r="B35" s="8">
        <v>10</v>
      </c>
      <c r="C35" s="8">
        <v>16</v>
      </c>
      <c r="D35" s="8">
        <v>23</v>
      </c>
      <c r="E35" s="8">
        <v>22</v>
      </c>
      <c r="F35" s="8">
        <v>12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8</v>
      </c>
      <c r="C36" s="8">
        <v>17</v>
      </c>
      <c r="D36" s="8">
        <v>20</v>
      </c>
      <c r="E36" s="8">
        <v>8</v>
      </c>
      <c r="F36" s="8">
        <v>8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2</v>
      </c>
      <c r="E43" s="5">
        <f t="shared" si="0"/>
        <v>2</v>
      </c>
      <c r="F43" s="17">
        <v>0</v>
      </c>
      <c r="G43" s="17">
        <v>0</v>
      </c>
      <c r="H43" s="6">
        <v>0</v>
      </c>
      <c r="J43" s="14" t="str">
        <f t="shared" si="1"/>
        <v>[10, 'C1', 2, 2,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7</v>
      </c>
      <c r="E45" s="5">
        <f t="shared" si="0"/>
        <v>7</v>
      </c>
      <c r="F45" s="17">
        <v>0</v>
      </c>
      <c r="G45" s="17">
        <v>0</v>
      </c>
      <c r="H45" s="6">
        <v>0</v>
      </c>
      <c r="J45" s="14" t="str">
        <f t="shared" si="1"/>
        <v>[12, 'C3', 7, 7,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13</v>
      </c>
      <c r="E48" s="5">
        <f t="shared" si="0"/>
        <v>0</v>
      </c>
      <c r="F48" s="17">
        <v>2</v>
      </c>
      <c r="G48" s="17">
        <v>3</v>
      </c>
      <c r="H48" s="6">
        <v>0</v>
      </c>
      <c r="J48" s="14" t="str">
        <f t="shared" si="1"/>
        <v>[22, 'M3', 13, 0, 2, 3, 0],</v>
      </c>
    </row>
    <row r="49" spans="1:10" x14ac:dyDescent="0.3">
      <c r="B49" s="11">
        <v>23</v>
      </c>
      <c r="C49" s="11" t="s">
        <v>7</v>
      </c>
      <c r="D49" s="6">
        <v>11</v>
      </c>
      <c r="E49" s="5">
        <f t="shared" si="0"/>
        <v>0</v>
      </c>
      <c r="F49" s="17">
        <v>1</v>
      </c>
      <c r="G49" s="17">
        <v>3</v>
      </c>
      <c r="H49" s="6">
        <v>0</v>
      </c>
      <c r="J49" s="14" t="str">
        <f t="shared" si="1"/>
        <v>[23, 'M4', 11, 0, 1, 3, 0],</v>
      </c>
    </row>
    <row r="50" spans="1:10" x14ac:dyDescent="0.3">
      <c r="A50" s="3"/>
      <c r="B50" s="11">
        <v>24</v>
      </c>
      <c r="C50" s="11" t="s">
        <v>8</v>
      </c>
      <c r="D50" s="6">
        <v>11</v>
      </c>
      <c r="E50" s="5">
        <f t="shared" si="0"/>
        <v>0</v>
      </c>
      <c r="F50" s="17">
        <v>1</v>
      </c>
      <c r="G50" s="17">
        <v>3</v>
      </c>
      <c r="H50" s="6">
        <v>0</v>
      </c>
      <c r="J50" s="14" t="str">
        <f t="shared" si="1"/>
        <v>[24, 'M5', 11, 0, 1, 3,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10</v>
      </c>
      <c r="E52" s="5">
        <f t="shared" si="0"/>
        <v>10</v>
      </c>
      <c r="F52" s="17">
        <v>0</v>
      </c>
      <c r="G52" s="17">
        <v>0</v>
      </c>
      <c r="H52" s="6">
        <v>0</v>
      </c>
      <c r="J52" s="14" t="str">
        <f t="shared" si="1"/>
        <v>[31, 'K', 10, 10, 0, 0, 0],</v>
      </c>
    </row>
    <row r="53" spans="1:10" x14ac:dyDescent="0.3">
      <c r="A53" s="3"/>
      <c r="B53" s="11">
        <v>32</v>
      </c>
      <c r="C53" s="11" t="s">
        <v>11</v>
      </c>
      <c r="D53" s="6">
        <v>9</v>
      </c>
      <c r="E53" s="5">
        <f t="shared" si="0"/>
        <v>9</v>
      </c>
      <c r="F53" s="17">
        <v>0</v>
      </c>
      <c r="G53" s="17">
        <v>0</v>
      </c>
      <c r="H53" s="6">
        <v>0</v>
      </c>
      <c r="J53" s="14" t="str">
        <f t="shared" si="1"/>
        <v>[32, 'Q', 9, 9, 0, 0, 0],</v>
      </c>
    </row>
    <row r="54" spans="1:10" x14ac:dyDescent="0.3">
      <c r="A54" s="3"/>
      <c r="B54" s="11">
        <v>33</v>
      </c>
      <c r="C54" s="11" t="s">
        <v>12</v>
      </c>
      <c r="D54" s="6">
        <v>10</v>
      </c>
      <c r="E54" s="5">
        <f t="shared" si="0"/>
        <v>10</v>
      </c>
      <c r="F54" s="17">
        <v>0</v>
      </c>
      <c r="G54" s="17">
        <v>0</v>
      </c>
      <c r="H54" s="6">
        <v>0</v>
      </c>
      <c r="J54" s="14" t="str">
        <f t="shared" si="1"/>
        <v>[33, 'J', 10, 10, 0, 0, 0],</v>
      </c>
    </row>
    <row r="55" spans="1:10" x14ac:dyDescent="0.3">
      <c r="A55" s="3"/>
      <c r="B55" s="11">
        <v>34</v>
      </c>
      <c r="C55" s="11" t="s">
        <v>13</v>
      </c>
      <c r="D55" s="6">
        <v>8</v>
      </c>
      <c r="E55" s="5">
        <f t="shared" si="0"/>
        <v>8</v>
      </c>
      <c r="F55" s="17">
        <v>0</v>
      </c>
      <c r="G55" s="17">
        <v>0</v>
      </c>
      <c r="H55" s="6">
        <v>0</v>
      </c>
      <c r="J55" s="14" t="str">
        <f t="shared" si="1"/>
        <v>[34, 'TE', 8, 8,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4</v>
      </c>
      <c r="E61" s="5">
        <f t="shared" si="2"/>
        <v>4</v>
      </c>
      <c r="F61" s="17">
        <v>0</v>
      </c>
      <c r="G61" s="17">
        <v>0</v>
      </c>
      <c r="H61" s="6">
        <v>0</v>
      </c>
      <c r="J61" s="14" t="str">
        <f t="shared" si="3"/>
        <v>[10, 'C1', 4, 4, 0, 0, 0],</v>
      </c>
    </row>
    <row r="62" spans="1:10" x14ac:dyDescent="0.3">
      <c r="A62" s="3"/>
      <c r="B62" s="11">
        <v>11</v>
      </c>
      <c r="C62" s="11" t="s">
        <v>2</v>
      </c>
      <c r="D62" s="6">
        <v>0</v>
      </c>
      <c r="E62" s="5">
        <f t="shared" si="2"/>
        <v>0</v>
      </c>
      <c r="F62" s="17">
        <v>0</v>
      </c>
      <c r="G62" s="17">
        <v>0</v>
      </c>
      <c r="H62" s="6">
        <v>0</v>
      </c>
      <c r="J62" s="14" t="str">
        <f t="shared" si="3"/>
        <v>[11, 'C2', 0, 0, 0, 0, 0],</v>
      </c>
    </row>
    <row r="63" spans="1:10" x14ac:dyDescent="0.3">
      <c r="A63" s="3"/>
      <c r="B63" s="11">
        <v>12</v>
      </c>
      <c r="C63" s="11" t="s">
        <v>3</v>
      </c>
      <c r="D63" s="6">
        <v>6</v>
      </c>
      <c r="E63" s="5">
        <f t="shared" si="2"/>
        <v>6</v>
      </c>
      <c r="F63" s="17">
        <v>0</v>
      </c>
      <c r="G63" s="17">
        <v>0</v>
      </c>
      <c r="H63" s="6">
        <v>0</v>
      </c>
      <c r="J63" s="14" t="str">
        <f t="shared" si="3"/>
        <v>[12, 'C3', 6, 6, 0, 0, 0],</v>
      </c>
    </row>
    <row r="64" spans="1:10" x14ac:dyDescent="0.3">
      <c r="A64" s="3"/>
      <c r="B64" s="11">
        <v>20</v>
      </c>
      <c r="C64" s="11" t="s">
        <v>4</v>
      </c>
      <c r="D64" s="6">
        <v>18</v>
      </c>
      <c r="E64" s="5">
        <f t="shared" si="2"/>
        <v>0</v>
      </c>
      <c r="F64" s="17">
        <v>3</v>
      </c>
      <c r="G64" s="17">
        <v>4</v>
      </c>
      <c r="H64" s="6">
        <v>0</v>
      </c>
      <c r="J64" s="14" t="str">
        <f t="shared" si="3"/>
        <v>[20, 'M1', 18, 0, 3, 4, 0],</v>
      </c>
    </row>
    <row r="65" spans="1:10" x14ac:dyDescent="0.3">
      <c r="A65" s="3"/>
      <c r="B65" s="11">
        <v>21</v>
      </c>
      <c r="C65" s="11" t="s">
        <v>5</v>
      </c>
      <c r="D65" s="6">
        <v>31</v>
      </c>
      <c r="E65" s="5">
        <f t="shared" si="2"/>
        <v>0</v>
      </c>
      <c r="F65" s="17">
        <v>5</v>
      </c>
      <c r="G65" s="17">
        <v>7</v>
      </c>
      <c r="H65" s="6">
        <v>0</v>
      </c>
      <c r="J65" s="14" t="str">
        <f t="shared" si="3"/>
        <v>[21, 'M2', 31, 0, 5, 7,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17</v>
      </c>
      <c r="E73" s="5">
        <f t="shared" si="2"/>
        <v>17</v>
      </c>
      <c r="F73" s="17">
        <v>0</v>
      </c>
      <c r="G73" s="17">
        <v>0</v>
      </c>
      <c r="H73" s="6">
        <v>0</v>
      </c>
      <c r="J73" s="14" t="str">
        <f t="shared" si="3"/>
        <v>[34, 'TE', 17, 17,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3</v>
      </c>
      <c r="E79" s="5">
        <f t="shared" si="4"/>
        <v>3</v>
      </c>
      <c r="F79" s="17">
        <v>0</v>
      </c>
      <c r="G79" s="17">
        <v>0</v>
      </c>
      <c r="H79" s="6">
        <v>0</v>
      </c>
      <c r="J79" s="14" t="str">
        <f t="shared" si="5"/>
        <v>[10, 'C1', 3, 3, 0, 0, 0],</v>
      </c>
    </row>
    <row r="80" spans="1:10" x14ac:dyDescent="0.3">
      <c r="A80" s="3"/>
      <c r="B80" s="11">
        <v>11</v>
      </c>
      <c r="C80" s="11" t="s">
        <v>2</v>
      </c>
      <c r="D80" s="6">
        <v>5</v>
      </c>
      <c r="E80" s="5">
        <f t="shared" si="4"/>
        <v>5</v>
      </c>
      <c r="F80" s="17">
        <v>0</v>
      </c>
      <c r="G80" s="17">
        <v>0</v>
      </c>
      <c r="H80" s="6">
        <v>0</v>
      </c>
      <c r="J80" s="14" t="str">
        <f t="shared" si="5"/>
        <v>[11, 'C2', 5, 5, 0, 0, 0],</v>
      </c>
    </row>
    <row r="81" spans="1:10" x14ac:dyDescent="0.3">
      <c r="A81" s="3"/>
      <c r="B81" s="11">
        <v>12</v>
      </c>
      <c r="C81" s="11" t="s">
        <v>3</v>
      </c>
      <c r="D81" s="6">
        <v>28</v>
      </c>
      <c r="E81" s="5">
        <f t="shared" si="4"/>
        <v>28</v>
      </c>
      <c r="F81" s="17">
        <v>0</v>
      </c>
      <c r="G81" s="17">
        <v>0</v>
      </c>
      <c r="H81" s="6">
        <v>0</v>
      </c>
      <c r="J81" s="14" t="str">
        <f t="shared" si="5"/>
        <v>[12, 'C3', 28, 28, 0, 0, 0],</v>
      </c>
    </row>
    <row r="82" spans="1:10" x14ac:dyDescent="0.3">
      <c r="A82" s="3"/>
      <c r="B82" s="11">
        <v>20</v>
      </c>
      <c r="C82" s="11" t="s">
        <v>4</v>
      </c>
      <c r="D82" s="6">
        <v>17</v>
      </c>
      <c r="E82" s="5">
        <f t="shared" si="4"/>
        <v>0</v>
      </c>
      <c r="F82" s="17">
        <v>4</v>
      </c>
      <c r="G82" s="17">
        <v>3</v>
      </c>
      <c r="H82" s="6">
        <v>0</v>
      </c>
      <c r="J82" s="14" t="str">
        <f t="shared" si="5"/>
        <v>[20, 'M1', 17, 0, 4, 3, 0],</v>
      </c>
    </row>
    <row r="83" spans="1:10" x14ac:dyDescent="0.3">
      <c r="A83" s="3"/>
      <c r="B83" s="11">
        <v>21</v>
      </c>
      <c r="C83" s="11" t="s">
        <v>5</v>
      </c>
      <c r="D83" s="6">
        <v>29</v>
      </c>
      <c r="E83" s="5">
        <f t="shared" si="4"/>
        <v>0</v>
      </c>
      <c r="F83" s="17">
        <v>7</v>
      </c>
      <c r="G83" s="17">
        <v>5</v>
      </c>
      <c r="H83" s="6">
        <v>0</v>
      </c>
      <c r="J83" s="14" t="str">
        <f t="shared" si="5"/>
        <v>[21, 'M2', 29, 0, 7, 5, 0],</v>
      </c>
    </row>
    <row r="84" spans="1:10" x14ac:dyDescent="0.3">
      <c r="A84" s="3"/>
      <c r="B84" s="11">
        <v>22</v>
      </c>
      <c r="C84" s="11" t="s">
        <v>6</v>
      </c>
      <c r="D84" s="6">
        <v>29</v>
      </c>
      <c r="E84" s="5">
        <f t="shared" si="4"/>
        <v>0</v>
      </c>
      <c r="F84" s="17">
        <v>7</v>
      </c>
      <c r="G84" s="17">
        <v>5</v>
      </c>
      <c r="H84" s="6">
        <v>0</v>
      </c>
      <c r="J84" s="14" t="str">
        <f t="shared" si="5"/>
        <v>[22, 'M3', 29, 0, 7, 5, 0],</v>
      </c>
    </row>
    <row r="85" spans="1:10" x14ac:dyDescent="0.3">
      <c r="A85" s="3"/>
      <c r="B85" s="11">
        <v>23</v>
      </c>
      <c r="C85" s="11" t="s">
        <v>7</v>
      </c>
      <c r="D85" s="6">
        <v>14</v>
      </c>
      <c r="E85" s="5">
        <f t="shared" si="4"/>
        <v>0</v>
      </c>
      <c r="F85" s="17">
        <v>4</v>
      </c>
      <c r="G85" s="17">
        <v>2</v>
      </c>
      <c r="H85" s="6">
        <v>0</v>
      </c>
      <c r="J85" s="14" t="str">
        <f t="shared" si="5"/>
        <v>[23, 'M4', 14, 0, 4, 2, 0],</v>
      </c>
    </row>
    <row r="86" spans="1:10" x14ac:dyDescent="0.3">
      <c r="A86" s="3"/>
      <c r="B86" s="11">
        <v>24</v>
      </c>
      <c r="C86" s="11" t="s">
        <v>8</v>
      </c>
      <c r="D86" s="6">
        <v>17</v>
      </c>
      <c r="E86" s="5">
        <f t="shared" si="4"/>
        <v>0</v>
      </c>
      <c r="F86" s="17">
        <v>4</v>
      </c>
      <c r="G86" s="17">
        <v>3</v>
      </c>
      <c r="H86" s="6">
        <v>0</v>
      </c>
      <c r="J86" s="14" t="str">
        <f t="shared" si="5"/>
        <v>[24, 'M5', 17, 0, 4, 3, 0],</v>
      </c>
    </row>
    <row r="87" spans="1:10" x14ac:dyDescent="0.3">
      <c r="A87" s="3"/>
      <c r="B87" s="11">
        <v>30</v>
      </c>
      <c r="C87" s="11" t="s">
        <v>9</v>
      </c>
      <c r="D87" s="6">
        <v>21</v>
      </c>
      <c r="E87" s="5">
        <f t="shared" si="4"/>
        <v>21</v>
      </c>
      <c r="F87" s="17">
        <v>0</v>
      </c>
      <c r="G87" s="17">
        <v>0</v>
      </c>
      <c r="H87" s="6">
        <v>0</v>
      </c>
      <c r="J87" s="14" t="str">
        <f t="shared" si="5"/>
        <v>[30, 'A', 21, 21, 0, 0, 0],</v>
      </c>
    </row>
    <row r="88" spans="1:10" x14ac:dyDescent="0.3">
      <c r="A88" s="3"/>
      <c r="B88" s="11">
        <v>31</v>
      </c>
      <c r="C88" s="11" t="s">
        <v>10</v>
      </c>
      <c r="D88" s="6">
        <v>17</v>
      </c>
      <c r="E88" s="5">
        <f t="shared" si="4"/>
        <v>17</v>
      </c>
      <c r="F88" s="17">
        <v>0</v>
      </c>
      <c r="G88" s="17">
        <v>0</v>
      </c>
      <c r="H88" s="6">
        <v>0</v>
      </c>
      <c r="J88" s="14" t="str">
        <f t="shared" si="5"/>
        <v>[31, 'K', 17, 17, 0, 0, 0],</v>
      </c>
    </row>
    <row r="89" spans="1:10" x14ac:dyDescent="0.3">
      <c r="A89" s="3"/>
      <c r="B89" s="11">
        <v>32</v>
      </c>
      <c r="C89" s="11" t="s">
        <v>11</v>
      </c>
      <c r="D89" s="6">
        <v>21</v>
      </c>
      <c r="E89" s="5">
        <f t="shared" si="4"/>
        <v>21</v>
      </c>
      <c r="F89" s="17">
        <v>0</v>
      </c>
      <c r="G89" s="17">
        <v>0</v>
      </c>
      <c r="H89" s="6">
        <v>0</v>
      </c>
      <c r="J89" s="14" t="str">
        <f t="shared" si="5"/>
        <v>[32, 'Q', 21, 21, 0, 0, 0],</v>
      </c>
    </row>
    <row r="90" spans="1:10" x14ac:dyDescent="0.3">
      <c r="A90" s="3"/>
      <c r="B90" s="11">
        <v>33</v>
      </c>
      <c r="C90" s="11" t="s">
        <v>12</v>
      </c>
      <c r="D90" s="6">
        <v>23</v>
      </c>
      <c r="E90" s="5">
        <f t="shared" si="4"/>
        <v>23</v>
      </c>
      <c r="F90" s="17">
        <v>0</v>
      </c>
      <c r="G90" s="17">
        <v>0</v>
      </c>
      <c r="H90" s="6">
        <v>0</v>
      </c>
      <c r="J90" s="14" t="str">
        <f t="shared" si="5"/>
        <v>[33, 'J', 23, 23, 0, 0, 0],</v>
      </c>
    </row>
    <row r="91" spans="1:10" x14ac:dyDescent="0.3">
      <c r="A91" s="3"/>
      <c r="B91" s="11">
        <v>34</v>
      </c>
      <c r="C91" s="11" t="s">
        <v>13</v>
      </c>
      <c r="D91" s="6">
        <v>20</v>
      </c>
      <c r="E91" s="5">
        <f t="shared" si="4"/>
        <v>20</v>
      </c>
      <c r="F91" s="17">
        <v>0</v>
      </c>
      <c r="G91" s="17">
        <v>0</v>
      </c>
      <c r="H91" s="6">
        <v>0</v>
      </c>
      <c r="J91" s="14" t="str">
        <f t="shared" si="5"/>
        <v>[34, 'TE', 20, 20,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4</v>
      </c>
      <c r="E97" s="5">
        <f t="shared" si="6"/>
        <v>4</v>
      </c>
      <c r="F97" s="17">
        <v>0</v>
      </c>
      <c r="G97" s="17">
        <v>0</v>
      </c>
      <c r="H97" s="6">
        <v>0</v>
      </c>
      <c r="J97" s="14" t="str">
        <f t="shared" si="7"/>
        <v>[10, 'C1', 4, 4, 0, 0, 0],</v>
      </c>
    </row>
    <row r="98" spans="1:10" x14ac:dyDescent="0.3">
      <c r="A98" s="3"/>
      <c r="B98" s="11">
        <v>11</v>
      </c>
      <c r="C98" s="11" t="s">
        <v>2</v>
      </c>
      <c r="D98" s="6">
        <v>3</v>
      </c>
      <c r="E98" s="5">
        <f t="shared" si="6"/>
        <v>3</v>
      </c>
      <c r="F98" s="17">
        <v>0</v>
      </c>
      <c r="G98" s="17">
        <v>0</v>
      </c>
      <c r="H98" s="6">
        <v>0</v>
      </c>
      <c r="J98" s="14" t="str">
        <f t="shared" si="7"/>
        <v>[11, 'C2', 3, 3, 0, 0, 0],</v>
      </c>
    </row>
    <row r="99" spans="1:10" x14ac:dyDescent="0.3">
      <c r="A99" s="3"/>
      <c r="B99" s="11">
        <v>12</v>
      </c>
      <c r="C99" s="11" t="s">
        <v>3</v>
      </c>
      <c r="D99" s="6">
        <v>5</v>
      </c>
      <c r="E99" s="5">
        <f t="shared" si="6"/>
        <v>5</v>
      </c>
      <c r="F99" s="17">
        <v>0</v>
      </c>
      <c r="G99" s="17">
        <v>0</v>
      </c>
      <c r="H99" s="6">
        <v>0</v>
      </c>
      <c r="J99" s="14" t="str">
        <f t="shared" si="7"/>
        <v>[12, 'C3', 5, 5, 0, 0, 0],</v>
      </c>
    </row>
    <row r="100" spans="1:10" x14ac:dyDescent="0.3">
      <c r="A100" s="3"/>
      <c r="B100" s="11">
        <v>20</v>
      </c>
      <c r="C100" s="11" t="s">
        <v>4</v>
      </c>
      <c r="D100" s="6">
        <v>13</v>
      </c>
      <c r="E100" s="5">
        <f t="shared" si="6"/>
        <v>0</v>
      </c>
      <c r="F100" s="17">
        <v>2</v>
      </c>
      <c r="G100" s="17">
        <v>3</v>
      </c>
      <c r="H100" s="6">
        <v>0</v>
      </c>
      <c r="J100" s="14" t="str">
        <f t="shared" si="7"/>
        <v>[20, 'M1', 13, 0, 2, 3, 0],</v>
      </c>
    </row>
    <row r="101" spans="1:10" x14ac:dyDescent="0.3">
      <c r="A101" s="3"/>
      <c r="B101" s="11">
        <v>21</v>
      </c>
      <c r="C101" s="11" t="s">
        <v>5</v>
      </c>
      <c r="D101" s="6">
        <v>24</v>
      </c>
      <c r="E101" s="5">
        <f t="shared" si="6"/>
        <v>0</v>
      </c>
      <c r="F101" s="17">
        <v>6</v>
      </c>
      <c r="G101" s="17">
        <v>4</v>
      </c>
      <c r="H101" s="6">
        <v>0</v>
      </c>
      <c r="J101" s="14" t="str">
        <f t="shared" si="7"/>
        <v>[21, 'M2', 24, 0, 6, 4, 0],</v>
      </c>
    </row>
    <row r="102" spans="1:10" x14ac:dyDescent="0.3">
      <c r="A102" s="3"/>
      <c r="B102" s="11">
        <v>22</v>
      </c>
      <c r="C102" s="11" t="s">
        <v>6</v>
      </c>
      <c r="D102" s="6">
        <v>24</v>
      </c>
      <c r="E102" s="5">
        <f t="shared" si="6"/>
        <v>0</v>
      </c>
      <c r="F102" s="17">
        <v>6</v>
      </c>
      <c r="G102" s="17">
        <v>4</v>
      </c>
      <c r="H102" s="6">
        <v>0</v>
      </c>
      <c r="J102" s="14" t="str">
        <f t="shared" si="7"/>
        <v>[22, 'M3', 24, 0, 6, 4, 0],</v>
      </c>
    </row>
    <row r="103" spans="1:10" x14ac:dyDescent="0.3">
      <c r="A103" s="3"/>
      <c r="B103" s="11">
        <v>23</v>
      </c>
      <c r="C103" s="11" t="s">
        <v>7</v>
      </c>
      <c r="D103" s="6">
        <v>22</v>
      </c>
      <c r="E103" s="5">
        <f t="shared" si="6"/>
        <v>0</v>
      </c>
      <c r="F103" s="17">
        <v>5</v>
      </c>
      <c r="G103" s="17">
        <v>4</v>
      </c>
      <c r="H103" s="6">
        <v>0</v>
      </c>
      <c r="J103" s="14" t="str">
        <f t="shared" si="7"/>
        <v>[23, 'M4', 22, 0, 5, 4, 0],</v>
      </c>
    </row>
    <row r="104" spans="1:10" x14ac:dyDescent="0.3">
      <c r="A104" s="3"/>
      <c r="B104" s="11">
        <v>24</v>
      </c>
      <c r="C104" s="11" t="s">
        <v>8</v>
      </c>
      <c r="D104" s="6">
        <v>22</v>
      </c>
      <c r="E104" s="5">
        <f t="shared" si="6"/>
        <v>0</v>
      </c>
      <c r="F104" s="17">
        <v>5</v>
      </c>
      <c r="G104" s="17">
        <v>4</v>
      </c>
      <c r="H104" s="6">
        <v>0</v>
      </c>
      <c r="J104" s="14" t="str">
        <f t="shared" si="7"/>
        <v>[24, 'M5', 22, 0, 5, 4, 0],</v>
      </c>
    </row>
    <row r="105" spans="1:10" x14ac:dyDescent="0.3">
      <c r="A105" s="3"/>
      <c r="B105" s="11">
        <v>30</v>
      </c>
      <c r="C105" s="11" t="s">
        <v>9</v>
      </c>
      <c r="D105" s="6">
        <v>15</v>
      </c>
      <c r="E105" s="5">
        <f t="shared" si="6"/>
        <v>15</v>
      </c>
      <c r="F105" s="17">
        <v>0</v>
      </c>
      <c r="G105" s="17">
        <v>0</v>
      </c>
      <c r="H105" s="6">
        <v>0</v>
      </c>
      <c r="J105" s="14" t="str">
        <f t="shared" si="7"/>
        <v>[30, 'A', 15, 15, 0, 0, 0],</v>
      </c>
    </row>
    <row r="106" spans="1:10" x14ac:dyDescent="0.3">
      <c r="A106" s="3"/>
      <c r="B106" s="11">
        <v>31</v>
      </c>
      <c r="C106" s="11" t="s">
        <v>10</v>
      </c>
      <c r="D106" s="6">
        <v>20</v>
      </c>
      <c r="E106" s="5">
        <f t="shared" si="6"/>
        <v>20</v>
      </c>
      <c r="F106" s="17">
        <v>0</v>
      </c>
      <c r="G106" s="17">
        <v>0</v>
      </c>
      <c r="H106" s="6">
        <v>0</v>
      </c>
      <c r="J106" s="14" t="str">
        <f t="shared" si="7"/>
        <v>[31, 'K', 20, 20, 0, 0, 0],</v>
      </c>
    </row>
    <row r="107" spans="1:10" x14ac:dyDescent="0.3">
      <c r="A107" s="3"/>
      <c r="B107" s="11">
        <v>32</v>
      </c>
      <c r="C107" s="11" t="s">
        <v>11</v>
      </c>
      <c r="D107" s="6">
        <v>15</v>
      </c>
      <c r="E107" s="5">
        <f t="shared" si="6"/>
        <v>15</v>
      </c>
      <c r="F107" s="17">
        <v>0</v>
      </c>
      <c r="G107" s="17">
        <v>0</v>
      </c>
      <c r="H107" s="6">
        <v>0</v>
      </c>
      <c r="J107" s="14" t="str">
        <f t="shared" si="7"/>
        <v>[32, 'Q', 15, 15, 0, 0, 0],</v>
      </c>
    </row>
    <row r="108" spans="1:10" x14ac:dyDescent="0.3">
      <c r="A108" s="3"/>
      <c r="B108" s="11">
        <v>33</v>
      </c>
      <c r="C108" s="11" t="s">
        <v>12</v>
      </c>
      <c r="D108" s="6">
        <v>22</v>
      </c>
      <c r="E108" s="5">
        <f t="shared" si="6"/>
        <v>22</v>
      </c>
      <c r="F108" s="17">
        <v>0</v>
      </c>
      <c r="G108" s="17">
        <v>0</v>
      </c>
      <c r="H108" s="6">
        <v>0</v>
      </c>
      <c r="J108" s="14" t="str">
        <f t="shared" si="7"/>
        <v>[33, 'J', 22, 22, 0, 0, 0],</v>
      </c>
    </row>
    <row r="109" spans="1:10" x14ac:dyDescent="0.3">
      <c r="A109" s="3"/>
      <c r="B109" s="11">
        <v>34</v>
      </c>
      <c r="C109" s="11" t="s">
        <v>13</v>
      </c>
      <c r="D109" s="6">
        <v>8</v>
      </c>
      <c r="E109" s="5">
        <f t="shared" si="6"/>
        <v>8</v>
      </c>
      <c r="F109" s="17">
        <v>0</v>
      </c>
      <c r="G109" s="17">
        <v>0</v>
      </c>
      <c r="H109" s="6">
        <v>0</v>
      </c>
      <c r="J109" s="14" t="str">
        <f t="shared" si="7"/>
        <v>[34, 'TE', 8, 8,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2</v>
      </c>
      <c r="E115" s="5">
        <f t="shared" si="8"/>
        <v>2</v>
      </c>
      <c r="F115" s="17">
        <v>0</v>
      </c>
      <c r="G115" s="17">
        <v>0</v>
      </c>
      <c r="H115" s="6">
        <v>0</v>
      </c>
      <c r="J115" s="14" t="str">
        <f t="shared" si="9"/>
        <v>[10, 'C1', 2, 2,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2</v>
      </c>
      <c r="E117" s="5">
        <f t="shared" si="8"/>
        <v>2</v>
      </c>
      <c r="F117" s="17">
        <v>0</v>
      </c>
      <c r="G117" s="17">
        <v>0</v>
      </c>
      <c r="H117" s="6">
        <v>0</v>
      </c>
      <c r="J117" s="14" t="str">
        <f t="shared" si="9"/>
        <v>[12, 'C3', 2, 2, 0, 0, 0],</v>
      </c>
    </row>
    <row r="118" spans="1:10" x14ac:dyDescent="0.3">
      <c r="A118" s="3"/>
      <c r="B118" s="11">
        <v>20</v>
      </c>
      <c r="C118" s="11" t="s">
        <v>4</v>
      </c>
      <c r="D118" s="6">
        <v>11</v>
      </c>
      <c r="E118" s="5">
        <f t="shared" si="8"/>
        <v>0</v>
      </c>
      <c r="F118" s="17">
        <v>4</v>
      </c>
      <c r="G118" s="17">
        <v>1</v>
      </c>
      <c r="H118" s="6">
        <v>0</v>
      </c>
      <c r="J118" s="14" t="str">
        <f t="shared" si="9"/>
        <v>[20, 'M1', 11, 0, 4, 1, 0],</v>
      </c>
    </row>
    <row r="119" spans="1:10" x14ac:dyDescent="0.3">
      <c r="A119" s="3"/>
      <c r="B119" s="11">
        <v>21</v>
      </c>
      <c r="C119" s="11" t="s">
        <v>5</v>
      </c>
      <c r="D119" s="6">
        <v>15</v>
      </c>
      <c r="E119" s="5">
        <f t="shared" si="8"/>
        <v>0</v>
      </c>
      <c r="F119" s="17">
        <v>3</v>
      </c>
      <c r="G119" s="17">
        <v>3</v>
      </c>
      <c r="H119" s="6">
        <v>0</v>
      </c>
      <c r="J119" s="14" t="str">
        <f t="shared" si="9"/>
        <v>[21, 'M2', 15, 0, 3, 3, 0],</v>
      </c>
    </row>
    <row r="120" spans="1:10" x14ac:dyDescent="0.3">
      <c r="A120" s="3"/>
      <c r="B120" s="11">
        <v>22</v>
      </c>
      <c r="C120" s="11" t="s">
        <v>6</v>
      </c>
      <c r="D120" s="6">
        <v>15</v>
      </c>
      <c r="E120" s="5">
        <f t="shared" si="8"/>
        <v>0</v>
      </c>
      <c r="F120" s="17">
        <v>3</v>
      </c>
      <c r="G120" s="17">
        <v>3</v>
      </c>
      <c r="H120" s="6">
        <v>0</v>
      </c>
      <c r="J120" s="14" t="str">
        <f t="shared" si="9"/>
        <v>[22, 'M3', 15, 0, 3, 3, 0],</v>
      </c>
    </row>
    <row r="121" spans="1:10" x14ac:dyDescent="0.3">
      <c r="A121" s="3"/>
      <c r="B121" s="11">
        <v>23</v>
      </c>
      <c r="C121" s="11" t="s">
        <v>7</v>
      </c>
      <c r="D121" s="6">
        <v>15</v>
      </c>
      <c r="E121" s="5">
        <f t="shared" si="8"/>
        <v>0</v>
      </c>
      <c r="F121" s="17">
        <v>3</v>
      </c>
      <c r="G121" s="17">
        <v>3</v>
      </c>
      <c r="H121" s="6">
        <v>0</v>
      </c>
      <c r="J121" s="14" t="str">
        <f t="shared" si="9"/>
        <v>[23, 'M4', 15, 0, 3, 3, 0],</v>
      </c>
    </row>
    <row r="122" spans="1:10" x14ac:dyDescent="0.3">
      <c r="A122" s="3"/>
      <c r="B122" s="11">
        <v>24</v>
      </c>
      <c r="C122" s="11" t="s">
        <v>8</v>
      </c>
      <c r="D122" s="6">
        <v>17</v>
      </c>
      <c r="E122" s="5">
        <f t="shared" si="8"/>
        <v>0</v>
      </c>
      <c r="F122" s="17">
        <v>4</v>
      </c>
      <c r="G122" s="17">
        <v>3</v>
      </c>
      <c r="H122" s="6">
        <v>0</v>
      </c>
      <c r="J122" s="14" t="str">
        <f t="shared" si="9"/>
        <v>[24, 'M5', 17, 0, 4, 3, 0],</v>
      </c>
    </row>
    <row r="123" spans="1:10" x14ac:dyDescent="0.3">
      <c r="A123" s="3"/>
      <c r="B123" s="11">
        <v>30</v>
      </c>
      <c r="C123" s="11" t="s">
        <v>9</v>
      </c>
      <c r="D123" s="6">
        <v>9</v>
      </c>
      <c r="E123" s="5">
        <f t="shared" si="8"/>
        <v>9</v>
      </c>
      <c r="F123" s="17">
        <v>0</v>
      </c>
      <c r="G123" s="17">
        <v>0</v>
      </c>
      <c r="H123" s="6">
        <v>0</v>
      </c>
      <c r="J123" s="14" t="str">
        <f t="shared" si="9"/>
        <v>[30, 'A', 9, 9, 0, 0, 0],</v>
      </c>
    </row>
    <row r="124" spans="1:10" x14ac:dyDescent="0.3">
      <c r="A124" s="3"/>
      <c r="B124" s="11">
        <v>31</v>
      </c>
      <c r="C124" s="11" t="s">
        <v>10</v>
      </c>
      <c r="D124" s="6">
        <v>12</v>
      </c>
      <c r="E124" s="5">
        <f t="shared" si="8"/>
        <v>12</v>
      </c>
      <c r="F124" s="17">
        <v>0</v>
      </c>
      <c r="G124" s="17">
        <v>0</v>
      </c>
      <c r="H124" s="6">
        <v>0</v>
      </c>
      <c r="J124" s="14" t="str">
        <f t="shared" si="9"/>
        <v>[31, 'K', 12, 12, 0, 0, 0],</v>
      </c>
    </row>
    <row r="125" spans="1:10" x14ac:dyDescent="0.3">
      <c r="A125" s="3"/>
      <c r="B125" s="11">
        <v>32</v>
      </c>
      <c r="C125" s="11" t="s">
        <v>11</v>
      </c>
      <c r="D125" s="6">
        <v>9</v>
      </c>
      <c r="E125" s="5">
        <f t="shared" si="8"/>
        <v>9</v>
      </c>
      <c r="F125" s="17">
        <v>0</v>
      </c>
      <c r="G125" s="17">
        <v>0</v>
      </c>
      <c r="H125" s="6">
        <v>0</v>
      </c>
      <c r="J125" s="14" t="str">
        <f t="shared" si="9"/>
        <v>[32, 'Q', 9, 9, 0, 0, 0],</v>
      </c>
    </row>
    <row r="126" spans="1:10" x14ac:dyDescent="0.3">
      <c r="A126" s="3"/>
      <c r="B126" s="11">
        <v>33</v>
      </c>
      <c r="C126" s="11" t="s">
        <v>12</v>
      </c>
      <c r="D126" s="6">
        <v>12</v>
      </c>
      <c r="E126" s="5">
        <f t="shared" si="8"/>
        <v>12</v>
      </c>
      <c r="F126" s="17">
        <v>0</v>
      </c>
      <c r="G126" s="17">
        <v>0</v>
      </c>
      <c r="H126" s="6">
        <v>0</v>
      </c>
      <c r="J126" s="14" t="str">
        <f t="shared" si="9"/>
        <v>[33, 'J', 12, 12, 0, 0, 0],</v>
      </c>
    </row>
    <row r="127" spans="1:10" x14ac:dyDescent="0.3">
      <c r="A127" s="3"/>
      <c r="B127" s="11">
        <v>34</v>
      </c>
      <c r="C127" s="11" t="s">
        <v>13</v>
      </c>
      <c r="D127" s="6">
        <v>8</v>
      </c>
      <c r="E127" s="5">
        <f t="shared" si="8"/>
        <v>8</v>
      </c>
      <c r="F127" s="17">
        <v>0</v>
      </c>
      <c r="G127" s="17">
        <v>0</v>
      </c>
      <c r="H127" s="6">
        <v>0</v>
      </c>
      <c r="J127" s="14" t="str">
        <f t="shared" si="9"/>
        <v>[34, 'TE', 8, 8,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S95:S108 Q110:S127 U42:U55 L58 P95:Q109 N58:O58 K77:L91 Q58:R58 K95:L95 Q76:S76 J92:L92 K111:P111 R109:S109 P110 N112:P112 N96:O110 J60:J73 J78:J91 J96:L110 J114:J127 A3:F7 Z7:AA10 Y12:AA12 A11:G21 H9:L20 B1:S1 A2:S2 M11:S21 S8 P8:Q8 A41:I41 A128:S1048576 A57:S57 A42:L50 A39:I39 K39:S39 A22:S38 A9:S10 A8:N8 T11:AA11 T7:T10 T143:AA1048576 T13:AA39 T1:AA6 A40:Z40 A58:I68 A56:L56 A51:E55 G51:L55 A69:E73 G69:I73 A92:I104 A87:E91 G87:I91 A110:I122 A105:E109 G105:I109 A123:E127 G123:I127 A74:I86">
    <cfRule type="cellIs" dxfId="10" priority="22" operator="equal">
      <formula>0</formula>
    </cfRule>
  </conditionalFormatting>
  <conditionalFormatting sqref="J74">
    <cfRule type="cellIs" dxfId="9" priority="21" operator="equal">
      <formula>0</formula>
    </cfRule>
  </conditionalFormatting>
  <conditionalFormatting sqref="E41:E127">
    <cfRule type="cellIs" dxfId="8" priority="20" operator="lessThan">
      <formula>0</formula>
    </cfRule>
  </conditionalFormatting>
  <conditionalFormatting sqref="U7:Y10">
    <cfRule type="cellIs" dxfId="7" priority="19" operator="equal">
      <formula>0</formula>
    </cfRule>
  </conditionalFormatting>
  <conditionalFormatting sqref="B11:F2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{FD6C2412-4F00-4B48-A5A4-2610CBFE6CE1}</x14:id>
        </ext>
      </extLst>
    </cfRule>
  </conditionalFormatting>
  <conditionalFormatting sqref="H5:L6">
    <cfRule type="cellIs" dxfId="6" priority="16" operator="equal">
      <formula>0</formula>
    </cfRule>
  </conditionalFormatting>
  <conditionalFormatting sqref="F105:F109">
    <cfRule type="cellIs" dxfId="5" priority="7" operator="equal">
      <formula>0</formula>
    </cfRule>
  </conditionalFormatting>
  <conditionalFormatting sqref="H4:L4">
    <cfRule type="cellIs" dxfId="4" priority="5" operator="equal">
      <formula>0</formula>
    </cfRule>
  </conditionalFormatting>
  <conditionalFormatting sqref="F123:F127">
    <cfRule type="cellIs" dxfId="3" priority="4" operator="equal">
      <formula>0</formula>
    </cfRule>
  </conditionalFormatting>
  <conditionalFormatting sqref="F87:F91">
    <cfRule type="cellIs" dxfId="2" priority="3" operator="equal">
      <formula>0</formula>
    </cfRule>
  </conditionalFormatting>
  <conditionalFormatting sqref="F69:F73">
    <cfRule type="cellIs" dxfId="1" priority="2" operator="equal">
      <formula>0</formula>
    </cfRule>
  </conditionalFormatting>
  <conditionalFormatting sqref="F51:F55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6C2412-4F00-4B48-A5A4-2610CBFE6C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BG</vt:lpstr>
      <vt:lpstr>FG</vt:lpstr>
      <vt:lpstr>BG (8)</vt:lpstr>
      <vt:lpstr>BG (7)</vt:lpstr>
      <vt:lpstr>BG (6)</vt:lpstr>
      <vt:lpstr>BG (5)</vt:lpstr>
      <vt:lpstr>BG (4)</vt:lpstr>
      <vt:lpstr>BG (3)</vt:lpstr>
      <vt:lpstr>BG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2025-04-07T07:38:02Z</dcterms:created>
  <dcterms:modified xsi:type="dcterms:W3CDTF">2026-03-26T05:30:11Z</dcterms:modified>
</cp:coreProperties>
</file>