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其他\"/>
    </mc:Choice>
  </mc:AlternateContent>
  <xr:revisionPtr revIDLastSave="0" documentId="13_ncr:1_{126F173F-180D-459E-AAA9-186083C32071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Description" sheetId="2" state="hidden" r:id="rId2"/>
    <sheet name="Multiplier_Weight" sheetId="3" r:id="rId3"/>
    <sheet name="Detail" sheetId="5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<sst xmlns="http://schemas.openxmlformats.org/spreadsheetml/2006/main" count="289" uniqueCount="195">
  <si>
    <t>Version:</t>
  </si>
  <si>
    <t>2.0.0.36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</si>
  <si>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</si>
  <si>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</si>
  <si>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</si>
  <si>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</si>
  <si>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</si>
  <si>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</si>
  <si>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</si>
  <si>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</si>
  <si>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</si>
  <si>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</si>
  <si>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</si>
  <si>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</si>
  <si>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</si>
  <si>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</si>
  <si>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7. BG 流程對應</t>
  </si>
  <si>
    <t xml:space="preserve">  7.1 BG 開局流程</t>
  </si>
  <si>
    <t xml:space="preserve">  BG 每局的主要參數流程如下：</t>
  </si>
  <si>
    <t xml:space="preserve">    1. 先用 Table Selection Weight - Base Game 選出 BG table。</t>
  </si>
  <si>
    <t xml:space="preserve">    2. 再用該 strip 的 Symbol Weight R1~R5 抽停輪位置。</t>
  </si>
  <si>
    <t xml:space="preserve">    3. 依 Symbol ID R1~R5 生成初始盤面。</t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</si>
  <si>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</si>
  <si>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</si>
  <si>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6. 若沒命中特殊池：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</si>
  <si>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</si>
  <si>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</si>
  <si>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7. 再用 Eliminate Table Weight 決定本局是掉落表 A 或 B。</t>
  </si>
  <si>
    <t xml:space="preserve">  7.2 BG cascade 流程</t>
  </si>
  <si>
    <t xml:space="preserve">  </t>
  </si>
  <si>
    <t xml:space="preserve">  BG 發生消除後：</t>
  </si>
  <si>
    <t xml:space="preserve">    1. 一般命中符號會移除。</t>
  </si>
  <si>
    <t xml:space="preserve">    2. 命中的彩虹框會把自身倍率加進最終倍率和，並轉成 WW 留在盤面。</t>
  </si>
  <si>
    <t xml:space="preserve">    3. 新補進來的符號由 Eliminate Wheel Weight A 或 Eliminate Wheel Weight B 決定。</t>
  </si>
  <si>
    <t xml:space="preserve">    4. 若新補進來的是彩虹框：</t>
  </si>
  <si>
    <t xml:space="preserve">      - 且是 BG_Symbol (2) 則第 3 輪用 Multiple Selection Weight - Reel3 After Eliminate</t>
  </si>
  <si>
    <t xml:space="preserve">      - 其他輪用 Multiple Selection Weight - After Eliminate</t>
  </si>
  <si>
    <t xml:space="preserve">  7.3 BG 與 FG 觸發關係</t>
  </si>
  <si>
    <t xml:space="preserve">    1. BG 盤面上的 C1 數量若達 3 個以上，就觸發 FG。</t>
  </si>
  <si>
    <t xml:space="preserve">    2. FG 次數 = 15 + (scatter_count - 3) * 2</t>
  </si>
  <si>
    <t>8. FG 流程對應</t>
  </si>
  <si>
    <t xml:space="preserve">  8.1 FG table 切換規則</t>
  </si>
  <si>
    <t xml:space="preserve">  FG 的 table 不是靠 Table_FG 權重抽，而是依 FG 累積倍率和切換：</t>
  </si>
  <si>
    <t xml:space="preserve">    - 累積倍率和 &lt; 10：用 FG_strip</t>
  </si>
  <si>
    <t xml:space="preserve">    - 累積倍率和 &lt; 20：用 FG_strip (2)</t>
  </si>
  <si>
    <t xml:space="preserve">    - 累積倍率和 &gt;= 20：用 FG_strip (3)</t>
  </si>
  <si>
    <t xml:space="preserve">  8.2 FG 開局流程</t>
  </si>
  <si>
    <t xml:space="preserve">  FG 每局的主要參數流程如下：</t>
  </si>
  <si>
    <t xml:space="preserve">  1. 依當前 累積倍率 選擇 FG table。</t>
  </si>
  <si>
    <t xml:space="preserve">  2. 用該 table 的 Symbol Weight R1~R5 與 Symbol ID R1~R5 生成盤面。</t>
  </si>
  <si>
    <t xml:space="preserve">  3. 初始彩虹框倍率分配：</t>
  </si>
  <si>
    <t xml:space="preserve">    - 第 3 輪用 Multiple Selection Weight - Reel3 Before Eliminate</t>
  </si>
  <si>
    <t xml:space="preserve">    - 其他輪用 Multiple Selection Weight - Before Eliminate</t>
  </si>
  <si>
    <t xml:space="preserve">  5. 用 Eliminate Table Weight 決定本局掉落表 A 或 B。</t>
  </si>
  <si>
    <t xml:space="preserve">  8.3 FG cascade 與倍率累加</t>
  </si>
  <si>
    <t xml:space="preserve">  FG 消除後：</t>
  </si>
  <si>
    <t xml:space="preserve">  1. 命中的彩虹框一樣會把倍率加到 累積倍率</t>
  </si>
  <si>
    <t xml:space="preserve">  2. 該累積值會帶到下一個 FG spin，作為下一局 table 切換條件。</t>
  </si>
  <si>
    <t xml:space="preserve">  3. 新補進來彩虹框的倍率來源：</t>
  </si>
  <si>
    <t xml:space="preserve">    - 第 3 輪用 Multiple Selection Weight - Reel3 After Eliminate</t>
  </si>
  <si>
    <t xml:space="preserve">    - 其他輪用 Multiple Selection Weight - After Eliminate</t>
  </si>
  <si>
    <t xml:space="preserve">  8.4 FG 再觸發</t>
  </si>
  <si>
    <t xml:space="preserve">    1. FG 內若再次出現 C1 &gt;= 3，會再加 15 + (scatter_count - 3) * 2</t>
  </si>
  <si>
    <t xml:space="preserve">    2. 但總剩餘 FG 次數會被 fg_spin_cap = 50 封頂</t>
  </si>
  <si>
    <t>9. 流程</t>
  </si>
  <si>
    <t xml:space="preserve">  1. Spin (啟動)</t>
  </si>
  <si>
    <t xml:space="preserve">  2. 決定畫面 (依據 Table/Symbol 權重)</t>
  </si>
  <si>
    <t xml:space="preserve">  3. 判定倍數 (初始彩虹框/Special Pool)</t>
  </si>
  <si>
    <t xml:space="preserve">  4. 算分 (計算中獎連線)</t>
  </si>
  <si>
    <t xml:space="preserve">  5. 消除循環 (消除中獎符號，新符號掉落並判定新彩虹框倍數)</t>
  </si>
  <si>
    <t xml:space="preserve">  6. 算分循環 (重複檢查連線)</t>
  </si>
  <si>
    <t xml:space="preserve">  7. 結算 (加總總得分)</t>
  </si>
  <si>
    <t>10. 注意</t>
  </si>
  <si>
    <t xml:space="preserve">  1. 倍數會直到該次 spin 消除完後再作用到該次 spin 的總得分</t>
  </si>
  <si>
    <t xml:space="preserve">  2. FG 滿足條件"蒐集到倍數"累積倍數才會作用</t>
  </si>
  <si>
    <t xml:space="preserve">  3. 每一輪最多出現一個 SC</t>
  </si>
  <si>
    <t xml:space="preserve">  4. BG_Symbol (2): 觸發全部都是彩虹框用的表。</t>
  </si>
  <si>
    <t xml:space="preserve">  5. BG_Symbol (3): 觸發 FG 用的表。得分少、C1 多，盡量不要有倍數百搭參與 → 控制進 FG 時的得分</t>
  </si>
  <si>
    <t>Range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</si>
  <si>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</si>
  <si>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</si>
  <si>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</si>
  <si>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</si>
  <si>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</si>
  <si>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</si>
  <si>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</si>
  <si>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</si>
  <si>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</si>
  <si>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</si>
  <si>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</si>
  <si>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</si>
  <si>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</si>
  <si>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</si>
  <si>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</si>
  <si>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</si>
  <si>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</si>
  <si>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</si>
  <si>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</si>
  <si>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</si>
  <si>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</si>
  <si>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</si>
  <si>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</si>
  <si>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</si>
  <si>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</si>
  <si>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</si>
  <si>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</si>
  <si>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</si>
  <si>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</si>
  <si>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</si>
  <si>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</si>
  <si>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</si>
  <si>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</si>
  <si>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</si>
  <si>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</si>
  <si>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</si>
  <si>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</si>
  <si>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</si>
  <si>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</si>
  <si>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</si>
  <si>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</si>
  <si>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</si>
  <si>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</si>
  <si>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</si>
  <si>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</si>
  <si>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</si>
  <si>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</si>
  <si>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</si>
  <si>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</si>
  <si>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</si>
  <si>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</si>
  <si>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</si>
  <si>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</si>
  <si>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</si>
  <si>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</si>
  <si>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</si>
  <si>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</si>
  <si>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</si>
  <si>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</si>
  <si>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</si>
  <si>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</si>
  <si>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</si>
  <si>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</si>
  <si>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</si>
  <si>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</si>
  <si>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</si>
  <si>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</si>
  <si>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</si>
  <si>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</si>
  <si>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</si>
  <si>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</si>
  <si>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</si>
  <si>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Weight_NB_BG_Newbie</t>
  </si>
  <si>
    <t>Weight_EB_BG_Newbie</t>
  </si>
  <si>
    <t>Weight_NB_BG</t>
  </si>
  <si>
    <t>Weight_EB_BG</t>
  </si>
  <si>
    <t>Weight_NB_FG_Newbie</t>
  </si>
  <si>
    <t>Weight_EB_FG_Newbie</t>
  </si>
  <si>
    <t>Weight_NB_FG</t>
  </si>
  <si>
    <t>Weight_EB_FG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</si>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</sst>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3" fontId="19" fillId="33" borderId="11" xfId="0" applyNumberFormat="1" applyFont="1" applyFill="1" applyBorder="1"/>
    <xf numFmtId="0" fontId="19" fillId="33" borderId="11" xfId="0" applyFont="1" applyFill="1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H16" sqref="H16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193</v>
      </c>
      <c r="B2" s="108" t="s">
        <v>194</v>
      </c>
    </row>
    <row r="3" spans="1:10" x14ac:dyDescent="0.3">
      <c r="A3" s="3" t="s">
        <v>0</v>
      </c>
      <c r="B3" s="109" t="s">
        <v>1</v>
      </c>
      <c r="C3" s="24"/>
    </row>
    <row r="5" spans="1:10" x14ac:dyDescent="0.3">
      <c r="A5" s="3"/>
      <c r="B5" s="6"/>
      <c r="C5" s="6"/>
    </row>
    <row r="6" spans="1:10" x14ac:dyDescent="0.3">
      <c r="A6" s="9" t="s">
        <v>2</v>
      </c>
      <c r="B6" s="9" t="s">
        <v>3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4</v>
      </c>
      <c r="B10" s="9" t="s">
        <v>5</v>
      </c>
      <c r="C10" s="17" t="s">
        <v>169</v>
      </c>
      <c r="D10" s="17" t="s">
        <v>6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 t="e">
        <f>B17+B18</f>
        <v>#DIV/0!</v>
      </c>
      <c r="D11" s="23" t="s">
        <v>7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 t="e">
        <f>B21+B22</f>
        <v>#DIV/0!</v>
      </c>
      <c r="D12" s="23" t="s">
        <v>8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9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6</v>
      </c>
      <c r="B16" s="9" t="s">
        <v>10</v>
      </c>
      <c r="C16" s="9" t="s">
        <v>11</v>
      </c>
      <c r="D16" s="9" t="s">
        <v>12</v>
      </c>
      <c r="E16" s="9" t="s">
        <v>13</v>
      </c>
      <c r="H16" s="26"/>
      <c r="I16" s="30"/>
      <c r="J16" s="31"/>
    </row>
    <row r="17" spans="1:10" x14ac:dyDescent="0.3">
      <c r="A17" s="48" t="str">
        <f>D10</f>
        <v>Bet Type</v>
      </c>
      <c r="B17" s="19" t="e">
        <f>Detail!C7</f>
        <v>#DIV/0!</v>
      </c>
      <c r="C17" s="50" t="e">
        <f>1/D17</f>
        <v>#DIV/0!</v>
      </c>
      <c r="D17" s="53" t="e">
        <f>Detail!G7</f>
        <v>#DIV/0!</v>
      </c>
      <c r="E17" s="16" t="s">
        <v>14</v>
      </c>
      <c r="H17" s="26"/>
      <c r="I17" s="30"/>
      <c r="J17" s="31"/>
    </row>
    <row r="18" spans="1:10" ht="15.6" customHeight="1" x14ac:dyDescent="0.3">
      <c r="A18" s="49"/>
      <c r="B18" s="19" t="e">
        <f>Detail!D7</f>
        <v>#DIV/0!</v>
      </c>
      <c r="C18" s="51"/>
      <c r="D18" s="51"/>
      <c r="E18" s="16" t="s">
        <v>15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6</v>
      </c>
      <c r="B20" s="9" t="s">
        <v>10</v>
      </c>
      <c r="C20" s="9" t="s">
        <v>11</v>
      </c>
      <c r="D20" s="9" t="s">
        <v>12</v>
      </c>
      <c r="E20" s="9" t="s">
        <v>13</v>
      </c>
      <c r="H20" s="26"/>
      <c r="I20" s="30"/>
      <c r="J20" s="31"/>
    </row>
    <row r="21" spans="1:10" x14ac:dyDescent="0.3">
      <c r="A21" s="54" t="str">
        <f>D12</f>
        <v>Buy Feature</v>
      </c>
      <c r="B21" s="19" t="e">
        <f>Detail!C8</f>
        <v>#DIV/0!</v>
      </c>
      <c r="C21" s="50">
        <f>1/D21</f>
        <v>1</v>
      </c>
      <c r="D21" s="52">
        <v>1</v>
      </c>
      <c r="E21" s="16" t="s">
        <v>14</v>
      </c>
      <c r="H21" s="26"/>
      <c r="I21" s="30"/>
      <c r="J21" s="31"/>
    </row>
    <row r="22" spans="1:10" x14ac:dyDescent="0.3">
      <c r="A22" s="55"/>
      <c r="B22" s="19" t="e">
        <f>Detail!D8</f>
        <v>#DIV/0!</v>
      </c>
      <c r="C22" s="51"/>
      <c r="D22" s="51"/>
      <c r="E22" s="16" t="s">
        <v>15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/>
  <dimension ref="B3:B83"/>
  <sheetViews>
    <sheetView topLeftCell="A4" workbookViewId="0"/>
  </sheetViews>
  <sheetFormatPr defaultRowHeight="15.6" x14ac:dyDescent="0.3"/>
  <cols>
    <col min="1" max="2" width="8.88671875" style="4" customWidth="1"/>
    <col min="3" max="16384" width="8.88671875" style="4"/>
  </cols>
  <sheetData>
    <row r="3" spans="2:2" x14ac:dyDescent="0.3">
      <c r="B3" s="4" t="s">
        <v>16</v>
      </c>
    </row>
    <row r="5" spans="2:2" x14ac:dyDescent="0.3">
      <c r="B5" s="4" t="s">
        <v>17</v>
      </c>
    </row>
    <row r="7" spans="2:2" x14ac:dyDescent="0.3">
      <c r="B7" s="4" t="s">
        <v>18</v>
      </c>
    </row>
    <row r="8" spans="2:2" x14ac:dyDescent="0.3">
      <c r="B8" s="4" t="s">
        <v>19</v>
      </c>
    </row>
    <row r="9" spans="2:2" x14ac:dyDescent="0.3">
      <c r="B9" s="4" t="s">
        <v>20</v>
      </c>
    </row>
    <row r="10" spans="2:2" x14ac:dyDescent="0.3">
      <c r="B10" s="4" t="s">
        <v>21</v>
      </c>
    </row>
    <row r="11" spans="2:2" x14ac:dyDescent="0.3">
      <c r="B11" s="4" t="s">
        <v>22</v>
      </c>
    </row>
    <row r="12" spans="2:2" x14ac:dyDescent="0.3">
      <c r="B12" s="4" t="s">
        <v>23</v>
      </c>
    </row>
    <row r="13" spans="2:2" x14ac:dyDescent="0.3">
      <c r="B13" s="4" t="s">
        <v>24</v>
      </c>
    </row>
    <row r="14" spans="2:2" x14ac:dyDescent="0.3">
      <c r="B14" s="4" t="s">
        <v>25</v>
      </c>
    </row>
    <row r="15" spans="2:2" x14ac:dyDescent="0.3">
      <c r="B15" s="4" t="s">
        <v>26</v>
      </c>
    </row>
    <row r="16" spans="2:2" x14ac:dyDescent="0.3">
      <c r="B16" s="4" t="s">
        <v>27</v>
      </c>
    </row>
    <row r="18" spans="2:2" x14ac:dyDescent="0.3">
      <c r="B18" s="4" t="s">
        <v>28</v>
      </c>
    </row>
    <row r="19" spans="2:2" x14ac:dyDescent="0.3">
      <c r="B19" s="4" t="s">
        <v>29</v>
      </c>
    </row>
    <row r="20" spans="2:2" x14ac:dyDescent="0.3">
      <c r="B20" s="4" t="s">
        <v>30</v>
      </c>
    </row>
    <row r="21" spans="2:2" x14ac:dyDescent="0.3">
      <c r="B21" s="4" t="s">
        <v>31</v>
      </c>
    </row>
    <row r="22" spans="2:2" x14ac:dyDescent="0.3">
      <c r="B22" s="4" t="s">
        <v>32</v>
      </c>
    </row>
    <row r="23" spans="2:2" x14ac:dyDescent="0.3">
      <c r="B23" s="4" t="s">
        <v>33</v>
      </c>
    </row>
    <row r="24" spans="2:2" x14ac:dyDescent="0.3">
      <c r="B24" s="4" t="s">
        <v>34</v>
      </c>
    </row>
    <row r="25" spans="2:2" x14ac:dyDescent="0.3">
      <c r="B25" s="4" t="s">
        <v>35</v>
      </c>
    </row>
    <row r="26" spans="2:2" x14ac:dyDescent="0.3">
      <c r="B26" s="4" t="s">
        <v>36</v>
      </c>
    </row>
    <row r="28" spans="2:2" x14ac:dyDescent="0.3">
      <c r="B28" s="4" t="s">
        <v>37</v>
      </c>
    </row>
    <row r="30" spans="2:2" x14ac:dyDescent="0.3">
      <c r="B30" s="4" t="s">
        <v>38</v>
      </c>
    </row>
    <row r="31" spans="2:2" x14ac:dyDescent="0.3">
      <c r="B31" s="4" t="s">
        <v>39</v>
      </c>
    </row>
    <row r="33" spans="2:2" x14ac:dyDescent="0.3">
      <c r="B33" s="4" t="s">
        <v>40</v>
      </c>
    </row>
    <row r="35" spans="2:2" x14ac:dyDescent="0.3">
      <c r="B35" s="4" t="s">
        <v>41</v>
      </c>
    </row>
    <row r="37" spans="2:2" x14ac:dyDescent="0.3">
      <c r="B37" s="4" t="s">
        <v>42</v>
      </c>
    </row>
    <row r="38" spans="2:2" x14ac:dyDescent="0.3">
      <c r="B38" s="4" t="s">
        <v>43</v>
      </c>
    </row>
    <row r="39" spans="2:2" x14ac:dyDescent="0.3">
      <c r="B39" s="4" t="s">
        <v>44</v>
      </c>
    </row>
    <row r="40" spans="2:2" x14ac:dyDescent="0.3">
      <c r="B40" s="4" t="s">
        <v>45</v>
      </c>
    </row>
    <row r="42" spans="2:2" x14ac:dyDescent="0.3">
      <c r="B42" s="4" t="s">
        <v>46</v>
      </c>
    </row>
    <row r="43" spans="2:2" x14ac:dyDescent="0.3">
      <c r="B43" s="4" t="s">
        <v>29</v>
      </c>
    </row>
    <row r="44" spans="2:2" x14ac:dyDescent="0.3">
      <c r="B44" s="4" t="s">
        <v>47</v>
      </c>
    </row>
    <row r="46" spans="2:2" x14ac:dyDescent="0.3">
      <c r="B46" s="4" t="s">
        <v>48</v>
      </c>
    </row>
    <row r="47" spans="2:2" x14ac:dyDescent="0.3">
      <c r="B47" s="4" t="s">
        <v>49</v>
      </c>
    </row>
    <row r="48" spans="2:2" x14ac:dyDescent="0.3">
      <c r="B48" s="4" t="s">
        <v>50</v>
      </c>
    </row>
    <row r="49" spans="2:2" x14ac:dyDescent="0.3">
      <c r="B49" s="4" t="s">
        <v>51</v>
      </c>
    </row>
    <row r="50" spans="2:2" x14ac:dyDescent="0.3">
      <c r="B50" s="4" t="s">
        <v>52</v>
      </c>
    </row>
    <row r="51" spans="2:2" x14ac:dyDescent="0.3">
      <c r="B51" s="4" t="s">
        <v>53</v>
      </c>
    </row>
    <row r="53" spans="2:2" x14ac:dyDescent="0.3">
      <c r="B53" s="4" t="s">
        <v>54</v>
      </c>
    </row>
    <row r="55" spans="2:2" x14ac:dyDescent="0.3">
      <c r="B55" s="4" t="s">
        <v>55</v>
      </c>
    </row>
    <row r="56" spans="2:2" x14ac:dyDescent="0.3">
      <c r="B56" s="4" t="s">
        <v>56</v>
      </c>
    </row>
    <row r="57" spans="2:2" x14ac:dyDescent="0.3">
      <c r="B57" s="4" t="s">
        <v>57</v>
      </c>
    </row>
    <row r="58" spans="2:2" x14ac:dyDescent="0.3">
      <c r="B58" s="4" t="s">
        <v>58</v>
      </c>
    </row>
    <row r="59" spans="2:2" x14ac:dyDescent="0.3">
      <c r="B59" s="4" t="s">
        <v>59</v>
      </c>
    </row>
    <row r="60" spans="2:2" x14ac:dyDescent="0.3">
      <c r="B60" s="4" t="s">
        <v>60</v>
      </c>
    </row>
    <row r="62" spans="2:2" x14ac:dyDescent="0.3">
      <c r="B62" s="4" t="s">
        <v>61</v>
      </c>
    </row>
    <row r="64" spans="2:2" x14ac:dyDescent="0.3">
      <c r="B64" s="4" t="s">
        <v>62</v>
      </c>
    </row>
    <row r="65" spans="2:2" x14ac:dyDescent="0.3">
      <c r="B65" s="4" t="s">
        <v>63</v>
      </c>
    </row>
    <row r="67" spans="2:2" x14ac:dyDescent="0.3">
      <c r="B67" s="4" t="s">
        <v>64</v>
      </c>
    </row>
    <row r="69" spans="2:2" x14ac:dyDescent="0.3">
      <c r="B69" s="4" t="s">
        <v>65</v>
      </c>
    </row>
    <row r="70" spans="2:2" x14ac:dyDescent="0.3">
      <c r="B70" s="4" t="s">
        <v>66</v>
      </c>
    </row>
    <row r="71" spans="2:2" x14ac:dyDescent="0.3">
      <c r="B71" s="4" t="s">
        <v>67</v>
      </c>
    </row>
    <row r="72" spans="2:2" x14ac:dyDescent="0.3">
      <c r="B72" s="4" t="s">
        <v>68</v>
      </c>
    </row>
    <row r="73" spans="2:2" x14ac:dyDescent="0.3">
      <c r="B73" s="4" t="s">
        <v>69</v>
      </c>
    </row>
    <row r="74" spans="2:2" x14ac:dyDescent="0.3">
      <c r="B74" s="4" t="s">
        <v>70</v>
      </c>
    </row>
    <row r="75" spans="2:2" x14ac:dyDescent="0.3">
      <c r="B75" s="4" t="s">
        <v>71</v>
      </c>
    </row>
    <row r="77" spans="2:2" x14ac:dyDescent="0.3">
      <c r="B77" s="4" t="s">
        <v>72</v>
      </c>
    </row>
    <row r="79" spans="2:2" x14ac:dyDescent="0.3">
      <c r="B79" s="4" t="s">
        <v>73</v>
      </c>
    </row>
    <row r="80" spans="2:2" x14ac:dyDescent="0.3">
      <c r="B80" s="4" t="s">
        <v>74</v>
      </c>
    </row>
    <row r="81" spans="2:2" x14ac:dyDescent="0.3">
      <c r="B81" s="4" t="s">
        <v>75</v>
      </c>
    </row>
    <row r="82" spans="2:2" x14ac:dyDescent="0.3">
      <c r="B82" s="4" t="s">
        <v>76</v>
      </c>
    </row>
    <row r="83" spans="2:2" x14ac:dyDescent="0.3">
      <c r="B83" s="4" t="s">
        <v>77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68"/>
  <sheetViews>
    <sheetView zoomScale="85" zoomScaleNormal="85" workbookViewId="0">
      <selection activeCell="I25" sqref="I25"/>
    </sheetView>
  </sheetViews>
  <sheetFormatPr defaultRowHeight="16.2" x14ac:dyDescent="0.3"/>
  <cols>
    <col min="1" max="1" width="27.109375" style="21" bestFit="1" customWidth="1"/>
    <col min="2" max="5" width="28.5546875" bestFit="1" customWidth="1"/>
    <col min="6" max="9" width="18.33203125" bestFit="1" customWidth="1"/>
    <col min="10" max="10" width="13.88671875" bestFit="1" customWidth="1"/>
  </cols>
  <sheetData>
    <row r="2" spans="1:10" x14ac:dyDescent="0.3">
      <c r="A2" s="9" t="s">
        <v>78</v>
      </c>
      <c r="B2" s="9" t="s">
        <v>151</v>
      </c>
      <c r="C2" s="9" t="s">
        <v>155</v>
      </c>
      <c r="D2" s="9" t="s">
        <v>152</v>
      </c>
      <c r="E2" s="9" t="s">
        <v>156</v>
      </c>
      <c r="F2" s="9" t="s">
        <v>153</v>
      </c>
      <c r="G2" s="9" t="s">
        <v>157</v>
      </c>
      <c r="H2" s="9" t="s">
        <v>154</v>
      </c>
      <c r="I2" s="9" t="s">
        <v>158</v>
      </c>
      <c r="J2" s="9" t="s">
        <v>79</v>
      </c>
    </row>
    <row r="3" spans="1:10" x14ac:dyDescent="0.3">
      <c r="A3" s="14" t="s">
        <v>80</v>
      </c>
      <c r="B3" s="10">
        <v>735407088</v>
      </c>
      <c r="C3" s="10">
        <v>74868190</v>
      </c>
      <c r="D3" s="36"/>
      <c r="E3" s="37"/>
      <c r="F3" s="10">
        <v>735407088</v>
      </c>
      <c r="G3" s="10">
        <v>74868190</v>
      </c>
      <c r="H3" s="36"/>
      <c r="I3" s="37"/>
      <c r="J3" s="10"/>
    </row>
    <row r="4" spans="1:10" x14ac:dyDescent="0.3">
      <c r="A4" s="14" t="s">
        <v>81</v>
      </c>
      <c r="B4" s="10">
        <v>147782558</v>
      </c>
      <c r="C4" s="10">
        <v>6515392</v>
      </c>
      <c r="D4" s="36"/>
      <c r="E4" s="37"/>
      <c r="F4" s="10">
        <v>147782558</v>
      </c>
      <c r="G4" s="10">
        <v>6515392</v>
      </c>
      <c r="H4" s="36"/>
      <c r="I4" s="37"/>
      <c r="J4" s="10"/>
    </row>
    <row r="5" spans="1:10" x14ac:dyDescent="0.3">
      <c r="A5" s="14" t="s">
        <v>82</v>
      </c>
      <c r="B5" s="10">
        <v>43518766</v>
      </c>
      <c r="C5" s="10">
        <v>6515392</v>
      </c>
      <c r="D5" s="36"/>
      <c r="E5" s="37"/>
      <c r="F5" s="10">
        <v>43518766</v>
      </c>
      <c r="G5" s="10">
        <v>6515392</v>
      </c>
      <c r="H5" s="36"/>
      <c r="I5" s="37"/>
      <c r="J5" s="10"/>
    </row>
    <row r="6" spans="1:10" x14ac:dyDescent="0.3">
      <c r="A6" s="14" t="s">
        <v>83</v>
      </c>
      <c r="B6" s="10">
        <v>20031201</v>
      </c>
      <c r="C6" s="10">
        <v>6515392</v>
      </c>
      <c r="D6" s="36"/>
      <c r="E6" s="37"/>
      <c r="F6" s="10">
        <v>20031201</v>
      </c>
      <c r="G6" s="10">
        <v>6515392</v>
      </c>
      <c r="H6" s="36"/>
      <c r="I6" s="37"/>
      <c r="J6" s="10"/>
    </row>
    <row r="7" spans="1:10" x14ac:dyDescent="0.3">
      <c r="A7" s="14" t="s">
        <v>84</v>
      </c>
      <c r="B7" s="10">
        <v>12344431</v>
      </c>
      <c r="C7" s="10">
        <v>6515392</v>
      </c>
      <c r="D7" s="36"/>
      <c r="E7" s="37"/>
      <c r="F7" s="10">
        <v>12344431</v>
      </c>
      <c r="G7" s="10">
        <v>6515392</v>
      </c>
      <c r="H7" s="36"/>
      <c r="I7" s="37"/>
      <c r="J7" s="10"/>
    </row>
    <row r="8" spans="1:10" x14ac:dyDescent="0.3">
      <c r="A8" s="14" t="s">
        <v>85</v>
      </c>
      <c r="B8" s="10">
        <v>8052715</v>
      </c>
      <c r="C8" s="10">
        <v>6515392</v>
      </c>
      <c r="D8" s="36"/>
      <c r="E8" s="37"/>
      <c r="F8" s="10">
        <v>8052715</v>
      </c>
      <c r="G8" s="10">
        <v>6515392</v>
      </c>
      <c r="H8" s="36"/>
      <c r="I8" s="37"/>
      <c r="J8" s="10"/>
    </row>
    <row r="9" spans="1:10" x14ac:dyDescent="0.3">
      <c r="A9" s="14" t="s">
        <v>86</v>
      </c>
      <c r="B9" s="10">
        <v>6243106</v>
      </c>
      <c r="C9" s="10">
        <v>6515392</v>
      </c>
      <c r="D9" s="36"/>
      <c r="E9" s="37"/>
      <c r="F9" s="10">
        <v>6243106</v>
      </c>
      <c r="G9" s="10">
        <v>6515392</v>
      </c>
      <c r="H9" s="36"/>
      <c r="I9" s="37"/>
      <c r="J9" s="10"/>
    </row>
    <row r="10" spans="1:10" x14ac:dyDescent="0.3">
      <c r="A10" s="14" t="s">
        <v>87</v>
      </c>
      <c r="B10" s="10">
        <v>3375894</v>
      </c>
      <c r="C10" s="10">
        <v>19545231</v>
      </c>
      <c r="D10" s="36"/>
      <c r="E10" s="37"/>
      <c r="F10" s="10">
        <v>3375894</v>
      </c>
      <c r="G10" s="10">
        <v>19545231</v>
      </c>
      <c r="H10" s="36"/>
      <c r="I10" s="37"/>
      <c r="J10" s="10"/>
    </row>
    <row r="11" spans="1:10" x14ac:dyDescent="0.3">
      <c r="A11" s="14" t="s">
        <v>88</v>
      </c>
      <c r="B11" s="10">
        <v>3803150</v>
      </c>
      <c r="C11" s="10">
        <v>0</v>
      </c>
      <c r="D11" s="36"/>
      <c r="E11" s="37"/>
      <c r="F11" s="10">
        <v>3803150</v>
      </c>
      <c r="G11" s="10">
        <v>0</v>
      </c>
      <c r="H11" s="36"/>
      <c r="I11" s="37"/>
      <c r="J11" s="10"/>
    </row>
    <row r="12" spans="1:10" x14ac:dyDescent="0.3">
      <c r="A12" s="14" t="s">
        <v>89</v>
      </c>
      <c r="B12" s="10">
        <v>3091377</v>
      </c>
      <c r="C12" s="10">
        <v>6515392</v>
      </c>
      <c r="D12" s="36"/>
      <c r="E12" s="37"/>
      <c r="F12" s="10">
        <v>3091377</v>
      </c>
      <c r="G12" s="10">
        <v>6515392</v>
      </c>
      <c r="H12" s="36"/>
      <c r="I12" s="37"/>
      <c r="J12" s="10"/>
    </row>
    <row r="13" spans="1:10" x14ac:dyDescent="0.3">
      <c r="A13" s="14" t="s">
        <v>90</v>
      </c>
      <c r="B13" s="10">
        <v>2013658</v>
      </c>
      <c r="C13" s="10">
        <v>0</v>
      </c>
      <c r="D13" s="36"/>
      <c r="E13" s="37"/>
      <c r="F13" s="10">
        <v>2013658</v>
      </c>
      <c r="G13" s="10">
        <v>0</v>
      </c>
      <c r="H13" s="36"/>
      <c r="I13" s="37"/>
      <c r="J13" s="10"/>
    </row>
    <row r="14" spans="1:10" x14ac:dyDescent="0.3">
      <c r="A14" s="14" t="s">
        <v>91</v>
      </c>
      <c r="B14" s="10">
        <v>6161678</v>
      </c>
      <c r="C14" s="10">
        <v>58634749</v>
      </c>
      <c r="D14" s="36"/>
      <c r="E14" s="37"/>
      <c r="F14" s="10">
        <v>6161678</v>
      </c>
      <c r="G14" s="10">
        <v>58634749</v>
      </c>
      <c r="H14" s="36"/>
      <c r="I14" s="37"/>
      <c r="J14" s="10"/>
    </row>
    <row r="15" spans="1:10" x14ac:dyDescent="0.3">
      <c r="A15" s="14" t="s">
        <v>92</v>
      </c>
      <c r="B15" s="10">
        <v>2704356</v>
      </c>
      <c r="C15" s="10">
        <v>26059678</v>
      </c>
      <c r="D15" s="36"/>
      <c r="E15" s="37"/>
      <c r="F15" s="10">
        <v>2704356</v>
      </c>
      <c r="G15" s="10">
        <v>26059678</v>
      </c>
      <c r="H15" s="36"/>
      <c r="I15" s="37"/>
      <c r="J15" s="10"/>
    </row>
    <row r="16" spans="1:10" x14ac:dyDescent="0.3">
      <c r="A16" s="14" t="s">
        <v>93</v>
      </c>
      <c r="B16" s="10">
        <v>1545209</v>
      </c>
      <c r="C16" s="10">
        <v>19545231</v>
      </c>
      <c r="D16" s="36"/>
      <c r="E16" s="37"/>
      <c r="F16" s="10">
        <v>1545209</v>
      </c>
      <c r="G16" s="10">
        <v>19545231</v>
      </c>
      <c r="H16" s="36"/>
      <c r="I16" s="37"/>
      <c r="J16" s="10"/>
    </row>
    <row r="17" spans="1:10" x14ac:dyDescent="0.3">
      <c r="A17" s="14" t="s">
        <v>94</v>
      </c>
      <c r="B17" s="10">
        <v>1260692</v>
      </c>
      <c r="C17" s="10">
        <v>84694427</v>
      </c>
      <c r="D17" s="36"/>
      <c r="E17" s="37"/>
      <c r="F17" s="10">
        <v>1260692</v>
      </c>
      <c r="G17" s="10">
        <v>84694427</v>
      </c>
      <c r="H17" s="36"/>
      <c r="I17" s="37"/>
      <c r="J17" s="10"/>
    </row>
    <row r="18" spans="1:10" x14ac:dyDescent="0.3">
      <c r="A18" s="14" t="s">
        <v>95</v>
      </c>
      <c r="B18" s="10">
        <v>610228</v>
      </c>
      <c r="C18" s="10">
        <v>32575070</v>
      </c>
      <c r="D18" s="36"/>
      <c r="E18" s="37"/>
      <c r="F18" s="10">
        <v>610228</v>
      </c>
      <c r="G18" s="10">
        <v>32575070</v>
      </c>
      <c r="H18" s="36"/>
      <c r="I18" s="37"/>
      <c r="J18" s="10"/>
    </row>
    <row r="19" spans="1:10" x14ac:dyDescent="0.3">
      <c r="A19" s="14" t="s">
        <v>96</v>
      </c>
      <c r="B19" s="10">
        <v>427256</v>
      </c>
      <c r="C19" s="10">
        <v>58634749</v>
      </c>
      <c r="D19" s="36"/>
      <c r="E19" s="37"/>
      <c r="F19" s="10">
        <v>427256</v>
      </c>
      <c r="G19" s="10">
        <v>58634749</v>
      </c>
      <c r="H19" s="36"/>
      <c r="I19" s="37"/>
      <c r="J19" s="10"/>
    </row>
    <row r="20" spans="1:10" x14ac:dyDescent="0.3">
      <c r="A20" s="14" t="s">
        <v>97</v>
      </c>
      <c r="B20" s="10">
        <v>264400</v>
      </c>
      <c r="C20" s="10">
        <v>52119357</v>
      </c>
      <c r="D20" s="36"/>
      <c r="E20" s="37"/>
      <c r="F20" s="10">
        <v>264400</v>
      </c>
      <c r="G20" s="10">
        <v>52119357</v>
      </c>
      <c r="H20" s="36"/>
      <c r="I20" s="37"/>
      <c r="J20" s="10"/>
    </row>
    <row r="21" spans="1:10" x14ac:dyDescent="0.3">
      <c r="A21" s="14" t="s">
        <v>98</v>
      </c>
      <c r="B21" s="10">
        <v>224166</v>
      </c>
      <c r="C21" s="10">
        <v>45604910</v>
      </c>
      <c r="D21" s="36"/>
      <c r="E21" s="37"/>
      <c r="F21" s="10">
        <v>224166</v>
      </c>
      <c r="G21" s="10">
        <v>45604910</v>
      </c>
      <c r="H21" s="36"/>
      <c r="I21" s="37"/>
      <c r="J21" s="10"/>
    </row>
    <row r="22" spans="1:10" x14ac:dyDescent="0.3">
      <c r="A22" s="14" t="s">
        <v>99</v>
      </c>
      <c r="B22" s="10">
        <v>487608</v>
      </c>
      <c r="C22" s="10">
        <v>45604910</v>
      </c>
      <c r="D22" s="36"/>
      <c r="E22" s="37"/>
      <c r="F22" s="10">
        <v>487608</v>
      </c>
      <c r="G22" s="10">
        <v>45604910</v>
      </c>
      <c r="H22" s="36"/>
      <c r="I22" s="37"/>
      <c r="J22" s="10"/>
    </row>
    <row r="23" spans="1:10" x14ac:dyDescent="0.3">
      <c r="A23" s="14" t="s">
        <v>100</v>
      </c>
      <c r="B23" s="10">
        <v>284518</v>
      </c>
      <c r="C23" s="10">
        <v>65150141</v>
      </c>
      <c r="D23" s="36"/>
      <c r="E23" s="37"/>
      <c r="F23" s="10">
        <v>284518</v>
      </c>
      <c r="G23" s="10">
        <v>65150141</v>
      </c>
      <c r="H23" s="36"/>
      <c r="I23" s="37"/>
      <c r="J23" s="10"/>
    </row>
    <row r="24" spans="1:10" x14ac:dyDescent="0.3">
      <c r="A24" s="14" t="s">
        <v>101</v>
      </c>
      <c r="B24" s="10">
        <v>101545</v>
      </c>
      <c r="C24" s="10">
        <v>32575070</v>
      </c>
      <c r="D24" s="36"/>
      <c r="E24" s="37"/>
      <c r="F24" s="10">
        <v>101545</v>
      </c>
      <c r="G24" s="10">
        <v>32575070</v>
      </c>
      <c r="H24" s="36"/>
      <c r="I24" s="37"/>
      <c r="J24" s="10"/>
    </row>
    <row r="25" spans="1:10" x14ac:dyDescent="0.3">
      <c r="A25" s="14" t="s">
        <v>102</v>
      </c>
      <c r="B25" s="10">
        <v>61310</v>
      </c>
      <c r="C25" s="10">
        <v>65150141</v>
      </c>
      <c r="D25" s="36"/>
      <c r="E25" s="37"/>
      <c r="F25" s="10">
        <v>61310</v>
      </c>
      <c r="G25" s="10">
        <v>65150141</v>
      </c>
      <c r="H25" s="36"/>
      <c r="I25" s="37"/>
      <c r="J25" s="10"/>
    </row>
    <row r="26" spans="1:10" x14ac:dyDescent="0.3">
      <c r="A26" s="14" t="s">
        <v>103</v>
      </c>
      <c r="B26" s="10">
        <v>101545</v>
      </c>
      <c r="C26" s="10">
        <v>26059678</v>
      </c>
      <c r="D26" s="36"/>
      <c r="E26" s="37"/>
      <c r="F26" s="10">
        <v>101545</v>
      </c>
      <c r="G26" s="10">
        <v>26059678</v>
      </c>
      <c r="H26" s="36"/>
      <c r="I26" s="37"/>
      <c r="J26" s="10"/>
    </row>
    <row r="27" spans="1:10" x14ac:dyDescent="0.3">
      <c r="A27" s="14" t="s">
        <v>104</v>
      </c>
      <c r="B27" s="10">
        <v>61310</v>
      </c>
      <c r="C27" s="10">
        <v>65150141</v>
      </c>
      <c r="D27" s="36"/>
      <c r="E27" s="37"/>
      <c r="F27" s="10">
        <v>61310</v>
      </c>
      <c r="G27" s="10">
        <v>65150141</v>
      </c>
      <c r="H27" s="36"/>
      <c r="I27" s="37"/>
      <c r="J27" s="10"/>
    </row>
    <row r="28" spans="1:10" x14ac:dyDescent="0.3">
      <c r="A28" s="14" t="s">
        <v>105</v>
      </c>
      <c r="B28" s="10">
        <v>20117</v>
      </c>
      <c r="C28" s="10">
        <v>26059678</v>
      </c>
      <c r="D28" s="36"/>
      <c r="E28" s="37"/>
      <c r="F28" s="10">
        <v>20117</v>
      </c>
      <c r="G28" s="10">
        <v>26059678</v>
      </c>
      <c r="H28" s="36"/>
      <c r="I28" s="37"/>
      <c r="J28" s="10"/>
    </row>
    <row r="29" spans="1:10" x14ac:dyDescent="0.3">
      <c r="A29" s="14" t="s">
        <v>106</v>
      </c>
      <c r="B29" s="10">
        <v>0</v>
      </c>
      <c r="C29" s="10">
        <v>45604910</v>
      </c>
      <c r="D29" s="36"/>
      <c r="E29" s="37"/>
      <c r="F29" s="10">
        <v>0</v>
      </c>
      <c r="G29" s="10">
        <v>45604910</v>
      </c>
      <c r="H29" s="36"/>
      <c r="I29" s="37"/>
      <c r="J29" s="10"/>
    </row>
    <row r="30" spans="1:10" x14ac:dyDescent="0.3">
      <c r="A30" s="14" t="s">
        <v>107</v>
      </c>
      <c r="B30" s="10">
        <v>0</v>
      </c>
      <c r="C30" s="10">
        <v>26059678</v>
      </c>
      <c r="D30" s="36"/>
      <c r="E30" s="37"/>
      <c r="F30" s="10">
        <v>0</v>
      </c>
      <c r="G30" s="10">
        <v>26059678</v>
      </c>
      <c r="H30" s="36"/>
      <c r="I30" s="37"/>
      <c r="J30" s="10"/>
    </row>
    <row r="31" spans="1:10" x14ac:dyDescent="0.3">
      <c r="A31" s="14" t="s">
        <v>108</v>
      </c>
      <c r="B31" s="10">
        <v>20117</v>
      </c>
      <c r="C31" s="10">
        <v>32575070</v>
      </c>
      <c r="D31" s="36"/>
      <c r="E31" s="37"/>
      <c r="F31" s="10">
        <v>20117</v>
      </c>
      <c r="G31" s="10">
        <v>32575070</v>
      </c>
      <c r="H31" s="36"/>
      <c r="I31" s="37"/>
      <c r="J31" s="10"/>
    </row>
    <row r="32" spans="1:10" x14ac:dyDescent="0.3">
      <c r="A32" s="14" t="s">
        <v>109</v>
      </c>
      <c r="B32" s="10">
        <v>0</v>
      </c>
      <c r="C32" s="10">
        <v>13029839</v>
      </c>
      <c r="D32" s="36"/>
      <c r="E32" s="37"/>
      <c r="F32" s="10">
        <v>0</v>
      </c>
      <c r="G32" s="10">
        <v>13029839</v>
      </c>
      <c r="H32" s="36"/>
      <c r="I32" s="37"/>
      <c r="J32" s="10"/>
    </row>
    <row r="33" spans="1:10" x14ac:dyDescent="0.3">
      <c r="A33" s="14" t="s">
        <v>110</v>
      </c>
      <c r="B33" s="10">
        <v>0</v>
      </c>
      <c r="C33" s="10">
        <v>13029839</v>
      </c>
      <c r="D33" s="36"/>
      <c r="E33" s="37"/>
      <c r="F33" s="10">
        <v>0</v>
      </c>
      <c r="G33" s="10">
        <v>13029839</v>
      </c>
      <c r="H33" s="36"/>
      <c r="I33" s="37"/>
      <c r="J33" s="10"/>
    </row>
    <row r="34" spans="1:10" x14ac:dyDescent="0.3">
      <c r="A34" s="14" t="s">
        <v>111</v>
      </c>
      <c r="B34" s="10">
        <v>0</v>
      </c>
      <c r="C34" s="10">
        <v>6515392</v>
      </c>
      <c r="D34" s="36"/>
      <c r="E34" s="37"/>
      <c r="F34" s="10">
        <v>0</v>
      </c>
      <c r="G34" s="10">
        <v>6515392</v>
      </c>
      <c r="H34" s="36"/>
      <c r="I34" s="37"/>
      <c r="J34" s="10"/>
    </row>
    <row r="35" spans="1:10" x14ac:dyDescent="0.3">
      <c r="A35" s="14" t="s">
        <v>112</v>
      </c>
      <c r="B35" s="10">
        <v>0</v>
      </c>
      <c r="C35" s="10">
        <v>6515392</v>
      </c>
      <c r="D35" s="36"/>
      <c r="E35" s="37"/>
      <c r="F35" s="10">
        <v>0</v>
      </c>
      <c r="G35" s="10">
        <v>6515392</v>
      </c>
      <c r="H35" s="36"/>
      <c r="I35" s="37"/>
      <c r="J35" s="10"/>
    </row>
    <row r="36" spans="1:10" x14ac:dyDescent="0.3">
      <c r="A36" s="14" t="s">
        <v>113</v>
      </c>
      <c r="B36" s="10">
        <v>0</v>
      </c>
      <c r="C36" s="10">
        <v>0</v>
      </c>
      <c r="D36" s="36"/>
      <c r="E36" s="37"/>
      <c r="F36" s="10">
        <v>0</v>
      </c>
      <c r="G36" s="10">
        <v>0</v>
      </c>
      <c r="H36" s="36"/>
      <c r="I36" s="37"/>
      <c r="J36" s="10"/>
    </row>
    <row r="37" spans="1:10" x14ac:dyDescent="0.3">
      <c r="A37" s="14" t="s">
        <v>114</v>
      </c>
      <c r="B37" s="10">
        <v>0</v>
      </c>
      <c r="C37" s="10">
        <v>0</v>
      </c>
      <c r="D37" s="36"/>
      <c r="E37" s="37"/>
      <c r="F37" s="10">
        <v>0</v>
      </c>
      <c r="G37" s="10">
        <v>0</v>
      </c>
      <c r="H37" s="36"/>
      <c r="I37" s="37"/>
      <c r="J37" s="10"/>
    </row>
    <row r="38" spans="1:10" x14ac:dyDescent="0.3">
      <c r="A38" s="14" t="s">
        <v>115</v>
      </c>
      <c r="B38" s="10">
        <v>0</v>
      </c>
      <c r="C38" s="10">
        <v>0</v>
      </c>
      <c r="D38" s="36"/>
      <c r="E38" s="37"/>
      <c r="F38" s="10">
        <v>0</v>
      </c>
      <c r="G38" s="10">
        <v>0</v>
      </c>
      <c r="H38" s="36"/>
      <c r="I38" s="37"/>
      <c r="J38" s="10"/>
    </row>
    <row r="39" spans="1:10" x14ac:dyDescent="0.3">
      <c r="A39" s="14" t="s">
        <v>116</v>
      </c>
      <c r="B39" s="10">
        <v>0</v>
      </c>
      <c r="C39" s="10">
        <v>0</v>
      </c>
      <c r="D39" s="36"/>
      <c r="E39" s="37"/>
      <c r="F39" s="10">
        <v>0</v>
      </c>
      <c r="G39" s="10">
        <v>0</v>
      </c>
      <c r="H39" s="36"/>
      <c r="I39" s="37"/>
      <c r="J39" s="10"/>
    </row>
    <row r="40" spans="1:10" x14ac:dyDescent="0.3">
      <c r="A40" s="14" t="s">
        <v>117</v>
      </c>
      <c r="B40" s="10">
        <v>0</v>
      </c>
      <c r="C40" s="10">
        <v>6515392</v>
      </c>
      <c r="D40" s="36"/>
      <c r="E40" s="37"/>
      <c r="F40" s="10">
        <v>0</v>
      </c>
      <c r="G40" s="10">
        <v>6515392</v>
      </c>
      <c r="H40" s="36"/>
      <c r="I40" s="37"/>
      <c r="J40" s="10"/>
    </row>
    <row r="41" spans="1:10" x14ac:dyDescent="0.3">
      <c r="A41" s="14" t="s">
        <v>118</v>
      </c>
      <c r="B41" s="10">
        <v>0</v>
      </c>
      <c r="C41" s="10">
        <v>0</v>
      </c>
      <c r="D41" s="36"/>
      <c r="E41" s="37"/>
      <c r="F41" s="10">
        <v>0</v>
      </c>
      <c r="G41" s="10">
        <v>0</v>
      </c>
      <c r="H41" s="36"/>
      <c r="I41" s="37"/>
      <c r="J41" s="10"/>
    </row>
    <row r="42" spans="1:10" x14ac:dyDescent="0.3">
      <c r="A42" s="14" t="s">
        <v>119</v>
      </c>
      <c r="B42" s="10">
        <v>0</v>
      </c>
      <c r="C42" s="10">
        <v>0</v>
      </c>
      <c r="D42" s="36"/>
      <c r="E42" s="37"/>
      <c r="F42" s="10">
        <v>0</v>
      </c>
      <c r="G42" s="10">
        <v>0</v>
      </c>
      <c r="H42" s="36"/>
      <c r="I42" s="37"/>
      <c r="J42" s="10"/>
    </row>
    <row r="43" spans="1:10" x14ac:dyDescent="0.3">
      <c r="A43" s="14" t="s">
        <v>120</v>
      </c>
      <c r="B43" s="10">
        <v>0</v>
      </c>
      <c r="C43" s="10">
        <v>0</v>
      </c>
      <c r="D43" s="36"/>
      <c r="E43" s="37"/>
      <c r="F43" s="10">
        <v>0</v>
      </c>
      <c r="G43" s="10">
        <v>0</v>
      </c>
      <c r="H43" s="36"/>
      <c r="I43" s="37"/>
      <c r="J43" s="10"/>
    </row>
    <row r="44" spans="1:10" x14ac:dyDescent="0.3">
      <c r="A44" s="14" t="s">
        <v>121</v>
      </c>
      <c r="B44" s="10">
        <v>0</v>
      </c>
      <c r="C44" s="10">
        <v>0</v>
      </c>
      <c r="D44" s="36"/>
      <c r="E44" s="37"/>
      <c r="F44" s="10">
        <v>0</v>
      </c>
      <c r="G44" s="10">
        <v>0</v>
      </c>
      <c r="H44" s="36"/>
      <c r="I44" s="37"/>
      <c r="J44" s="10"/>
    </row>
    <row r="45" spans="1:10" x14ac:dyDescent="0.3">
      <c r="A45" s="14" t="s">
        <v>122</v>
      </c>
      <c r="B45" s="10">
        <v>0</v>
      </c>
      <c r="C45" s="10">
        <v>0</v>
      </c>
      <c r="D45" s="36"/>
      <c r="E45" s="37"/>
      <c r="F45" s="10">
        <v>0</v>
      </c>
      <c r="G45" s="10">
        <v>0</v>
      </c>
      <c r="H45" s="36"/>
      <c r="I45" s="37"/>
      <c r="J45" s="10"/>
    </row>
    <row r="46" spans="1:10" x14ac:dyDescent="0.3">
      <c r="A46" s="14" t="s">
        <v>123</v>
      </c>
      <c r="B46" s="10">
        <v>0</v>
      </c>
      <c r="C46" s="10">
        <v>6515392</v>
      </c>
      <c r="D46" s="36"/>
      <c r="E46" s="37"/>
      <c r="F46" s="10">
        <v>0</v>
      </c>
      <c r="G46" s="10">
        <v>6515392</v>
      </c>
      <c r="H46" s="36"/>
      <c r="I46" s="37"/>
      <c r="J46" s="10"/>
    </row>
    <row r="47" spans="1:10" x14ac:dyDescent="0.3">
      <c r="A47" s="14" t="s">
        <v>124</v>
      </c>
      <c r="B47" s="10">
        <v>0</v>
      </c>
      <c r="C47" s="10">
        <v>0</v>
      </c>
      <c r="D47" s="36"/>
      <c r="E47" s="37"/>
      <c r="F47" s="10">
        <v>0</v>
      </c>
      <c r="G47" s="10">
        <v>0</v>
      </c>
      <c r="H47" s="36"/>
      <c r="I47" s="37"/>
      <c r="J47" s="10"/>
    </row>
    <row r="48" spans="1:10" x14ac:dyDescent="0.3">
      <c r="A48" s="14" t="s">
        <v>125</v>
      </c>
      <c r="B48" s="10">
        <v>0</v>
      </c>
      <c r="C48" s="10">
        <v>0</v>
      </c>
      <c r="D48" s="36"/>
      <c r="E48" s="37"/>
      <c r="F48" s="10">
        <v>0</v>
      </c>
      <c r="G48" s="10">
        <v>0</v>
      </c>
      <c r="H48" s="36"/>
      <c r="I48" s="37"/>
      <c r="J48" s="10"/>
    </row>
    <row r="49" spans="1:10" x14ac:dyDescent="0.3">
      <c r="A49" s="14" t="s">
        <v>126</v>
      </c>
      <c r="B49" s="10">
        <v>0</v>
      </c>
      <c r="C49" s="10">
        <v>0</v>
      </c>
      <c r="D49" s="36"/>
      <c r="E49" s="37"/>
      <c r="F49" s="10">
        <v>0</v>
      </c>
      <c r="G49" s="10">
        <v>0</v>
      </c>
      <c r="H49" s="36"/>
      <c r="I49" s="37"/>
      <c r="J49" s="10"/>
    </row>
    <row r="50" spans="1:10" x14ac:dyDescent="0.3">
      <c r="A50" s="14" t="s">
        <v>127</v>
      </c>
      <c r="B50" s="10">
        <v>0</v>
      </c>
      <c r="C50" s="10">
        <v>0</v>
      </c>
      <c r="D50" s="36"/>
      <c r="E50" s="37"/>
      <c r="F50" s="10">
        <v>0</v>
      </c>
      <c r="G50" s="10">
        <v>0</v>
      </c>
      <c r="H50" s="36"/>
      <c r="I50" s="37"/>
      <c r="J50" s="10"/>
    </row>
    <row r="51" spans="1:10" x14ac:dyDescent="0.3">
      <c r="A51" s="14" t="s">
        <v>128</v>
      </c>
      <c r="B51" s="10">
        <v>0</v>
      </c>
      <c r="C51" s="10">
        <v>0</v>
      </c>
      <c r="D51" s="36"/>
      <c r="E51" s="37"/>
      <c r="F51" s="10">
        <v>0</v>
      </c>
      <c r="G51" s="10">
        <v>0</v>
      </c>
      <c r="H51" s="36"/>
      <c r="I51" s="37"/>
      <c r="J51" s="10"/>
    </row>
    <row r="52" spans="1:10" x14ac:dyDescent="0.3">
      <c r="A52" s="14" t="s">
        <v>129</v>
      </c>
      <c r="B52" s="10">
        <v>0</v>
      </c>
      <c r="C52" s="10">
        <v>0</v>
      </c>
      <c r="D52" s="36"/>
      <c r="E52" s="37"/>
      <c r="F52" s="10">
        <v>0</v>
      </c>
      <c r="G52" s="10">
        <v>0</v>
      </c>
      <c r="H52" s="36"/>
      <c r="I52" s="37"/>
      <c r="J52" s="10"/>
    </row>
    <row r="53" spans="1:10" x14ac:dyDescent="0.3">
      <c r="A53" s="14" t="s">
        <v>130</v>
      </c>
      <c r="B53" s="10">
        <v>0</v>
      </c>
      <c r="C53" s="10">
        <v>0</v>
      </c>
      <c r="D53" s="36"/>
      <c r="E53" s="37"/>
      <c r="F53" s="10">
        <v>0</v>
      </c>
      <c r="G53" s="10">
        <v>0</v>
      </c>
      <c r="H53" s="36"/>
      <c r="I53" s="37"/>
      <c r="J53" s="10"/>
    </row>
    <row r="54" spans="1:10" x14ac:dyDescent="0.3">
      <c r="A54" s="14" t="s">
        <v>131</v>
      </c>
      <c r="B54" s="10">
        <v>0</v>
      </c>
      <c r="C54" s="10">
        <v>0</v>
      </c>
      <c r="D54" s="36"/>
      <c r="E54" s="37"/>
      <c r="F54" s="10">
        <v>0</v>
      </c>
      <c r="G54" s="10">
        <v>0</v>
      </c>
      <c r="H54" s="36"/>
      <c r="I54" s="37"/>
      <c r="J54" s="10"/>
    </row>
    <row r="55" spans="1:10" x14ac:dyDescent="0.3">
      <c r="A55" s="14" t="s">
        <v>132</v>
      </c>
      <c r="B55" s="10">
        <v>0</v>
      </c>
      <c r="C55" s="10">
        <v>0</v>
      </c>
      <c r="D55" s="36"/>
      <c r="E55" s="37"/>
      <c r="F55" s="10">
        <v>0</v>
      </c>
      <c r="G55" s="10">
        <v>0</v>
      </c>
      <c r="H55" s="36"/>
      <c r="I55" s="37"/>
      <c r="J55" s="10"/>
    </row>
    <row r="56" spans="1:10" x14ac:dyDescent="0.3">
      <c r="A56" s="14" t="s">
        <v>133</v>
      </c>
      <c r="B56" s="10">
        <v>0</v>
      </c>
      <c r="C56" s="10">
        <v>0</v>
      </c>
      <c r="D56" s="36"/>
      <c r="E56" s="37"/>
      <c r="F56" s="10">
        <v>0</v>
      </c>
      <c r="G56" s="10">
        <v>0</v>
      </c>
      <c r="H56" s="36"/>
      <c r="I56" s="37"/>
      <c r="J56" s="10"/>
    </row>
    <row r="57" spans="1:10" x14ac:dyDescent="0.3">
      <c r="A57" s="14" t="s">
        <v>134</v>
      </c>
      <c r="B57" s="10">
        <v>0</v>
      </c>
      <c r="C57" s="10">
        <v>0</v>
      </c>
      <c r="D57" s="36"/>
      <c r="E57" s="37"/>
      <c r="F57" s="10">
        <v>0</v>
      </c>
      <c r="G57" s="10">
        <v>0</v>
      </c>
      <c r="H57" s="36"/>
      <c r="I57" s="37"/>
      <c r="J57" s="10"/>
    </row>
    <row r="58" spans="1:10" x14ac:dyDescent="0.3">
      <c r="A58" s="14" t="s">
        <v>135</v>
      </c>
      <c r="B58" s="10">
        <v>0</v>
      </c>
      <c r="C58" s="10">
        <v>0</v>
      </c>
      <c r="D58" s="36"/>
      <c r="E58" s="37"/>
      <c r="F58" s="10">
        <v>0</v>
      </c>
      <c r="G58" s="10">
        <v>0</v>
      </c>
      <c r="H58" s="36"/>
      <c r="I58" s="37"/>
      <c r="J58" s="10"/>
    </row>
    <row r="59" spans="1:10" x14ac:dyDescent="0.3">
      <c r="A59" s="14" t="s">
        <v>136</v>
      </c>
      <c r="B59" s="10">
        <v>0</v>
      </c>
      <c r="C59" s="10">
        <v>0</v>
      </c>
      <c r="D59" s="36"/>
      <c r="E59" s="37"/>
      <c r="F59" s="10">
        <v>0</v>
      </c>
      <c r="G59" s="10">
        <v>0</v>
      </c>
      <c r="H59" s="36"/>
      <c r="I59" s="37"/>
      <c r="J59" s="10"/>
    </row>
    <row r="60" spans="1:10" x14ac:dyDescent="0.3">
      <c r="A60" s="14" t="s">
        <v>137</v>
      </c>
      <c r="B60" s="10">
        <v>0</v>
      </c>
      <c r="C60" s="10">
        <v>0</v>
      </c>
      <c r="D60" s="36"/>
      <c r="E60" s="37"/>
      <c r="F60" s="10">
        <v>0</v>
      </c>
      <c r="G60" s="10">
        <v>0</v>
      </c>
      <c r="H60" s="36"/>
      <c r="I60" s="37"/>
      <c r="J60" s="10"/>
    </row>
    <row r="61" spans="1:10" x14ac:dyDescent="0.3">
      <c r="A61" s="14" t="s">
        <v>138</v>
      </c>
      <c r="B61" s="10">
        <v>0</v>
      </c>
      <c r="C61" s="10">
        <v>0</v>
      </c>
      <c r="D61" s="36"/>
      <c r="E61" s="37"/>
      <c r="F61" s="10">
        <v>0</v>
      </c>
      <c r="G61" s="10">
        <v>0</v>
      </c>
      <c r="H61" s="36"/>
      <c r="I61" s="37"/>
      <c r="J61" s="10"/>
    </row>
    <row r="62" spans="1:10" x14ac:dyDescent="0.3">
      <c r="A62" s="14" t="s">
        <v>139</v>
      </c>
      <c r="B62" s="10">
        <v>0</v>
      </c>
      <c r="C62" s="10">
        <v>0</v>
      </c>
      <c r="D62" s="36"/>
      <c r="E62" s="37"/>
      <c r="F62" s="10">
        <v>0</v>
      </c>
      <c r="G62" s="10">
        <v>0</v>
      </c>
      <c r="H62" s="36"/>
      <c r="I62" s="37"/>
      <c r="J62" s="10"/>
    </row>
    <row r="63" spans="1:10" x14ac:dyDescent="0.3">
      <c r="A63" s="14" t="s">
        <v>140</v>
      </c>
      <c r="B63" s="10">
        <v>0</v>
      </c>
      <c r="C63" s="10">
        <v>0</v>
      </c>
      <c r="D63" s="36"/>
      <c r="E63" s="37"/>
      <c r="F63" s="10">
        <v>0</v>
      </c>
      <c r="G63" s="10">
        <v>0</v>
      </c>
      <c r="H63" s="36"/>
      <c r="I63" s="37"/>
      <c r="J63" s="10"/>
    </row>
    <row r="64" spans="1:10" x14ac:dyDescent="0.3">
      <c r="A64" s="14" t="s">
        <v>141</v>
      </c>
      <c r="B64" s="10">
        <v>0</v>
      </c>
      <c r="C64" s="10">
        <v>0</v>
      </c>
      <c r="D64" s="36"/>
      <c r="E64" s="37"/>
      <c r="F64" s="10">
        <v>0</v>
      </c>
      <c r="G64" s="10">
        <v>0</v>
      </c>
      <c r="H64" s="36"/>
      <c r="I64" s="37"/>
      <c r="J64" s="10"/>
    </row>
    <row r="65" spans="1:11" x14ac:dyDescent="0.3">
      <c r="A65" s="14" t="s">
        <v>142</v>
      </c>
      <c r="B65" s="10">
        <v>0</v>
      </c>
      <c r="C65" s="10">
        <v>0</v>
      </c>
      <c r="D65" s="36"/>
      <c r="E65" s="37"/>
      <c r="F65" s="10">
        <v>0</v>
      </c>
      <c r="G65" s="10">
        <v>0</v>
      </c>
      <c r="H65" s="36"/>
      <c r="I65" s="37"/>
      <c r="J65" s="10"/>
    </row>
    <row r="66" spans="1:11" x14ac:dyDescent="0.3">
      <c r="A66" s="14" t="s">
        <v>143</v>
      </c>
      <c r="B66" s="10">
        <v>0</v>
      </c>
      <c r="C66" s="10">
        <v>0</v>
      </c>
      <c r="D66" s="36"/>
      <c r="E66" s="37"/>
      <c r="F66" s="10">
        <v>0</v>
      </c>
      <c r="G66" s="10">
        <v>0</v>
      </c>
      <c r="H66" s="36"/>
      <c r="I66" s="37"/>
      <c r="J66" s="10"/>
    </row>
    <row r="67" spans="1:11" x14ac:dyDescent="0.3">
      <c r="A67" s="14" t="s">
        <v>15</v>
      </c>
      <c r="B67" s="10">
        <v>3087503</v>
      </c>
      <c r="C67" s="35">
        <v>0</v>
      </c>
      <c r="D67" s="37"/>
      <c r="E67" s="35"/>
      <c r="F67" s="33">
        <v>3087503</v>
      </c>
      <c r="G67" s="35">
        <v>0</v>
      </c>
      <c r="H67" s="37"/>
      <c r="I67" s="11"/>
      <c r="J67" s="11"/>
      <c r="K67" s="21"/>
    </row>
    <row r="68" spans="1:11" x14ac:dyDescent="0.3">
      <c r="F68" s="21"/>
      <c r="G68" s="21"/>
      <c r="H68" s="21"/>
      <c r="I68" s="21"/>
      <c r="J68" s="21"/>
      <c r="K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4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41" customWidth="1"/>
    <col min="15" max="15" width="17.88671875" style="41" bestFit="1" customWidth="1"/>
    <col min="16" max="16" width="14.6640625" style="41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40"/>
      <c r="B1" s="1"/>
      <c r="E1" s="1"/>
      <c r="G1" s="56"/>
      <c r="H1" s="40"/>
      <c r="I1" s="40"/>
      <c r="J1" s="40"/>
      <c r="K1" s="40"/>
      <c r="L1" s="40"/>
      <c r="M1" s="40"/>
    </row>
    <row r="2" spans="1:21" x14ac:dyDescent="0.3">
      <c r="A2" s="69" t="s">
        <v>144</v>
      </c>
      <c r="B2" s="107">
        <v>1000000000</v>
      </c>
      <c r="C2" s="1"/>
      <c r="F2" s="58"/>
      <c r="G2" s="58"/>
      <c r="K2" s="40"/>
      <c r="L2" s="40"/>
      <c r="M2" s="40"/>
    </row>
    <row r="3" spans="1:21" x14ac:dyDescent="0.3">
      <c r="A3" s="69" t="s">
        <v>170</v>
      </c>
      <c r="B3" s="107">
        <f>Overview!A7</f>
        <v>100</v>
      </c>
      <c r="C3" s="1"/>
      <c r="F3" s="58"/>
      <c r="G3" s="59"/>
    </row>
    <row r="4" spans="1:21" x14ac:dyDescent="0.3">
      <c r="F4" s="58"/>
      <c r="G4" s="58"/>
      <c r="I4" s="1"/>
      <c r="K4" s="60"/>
      <c r="L4" s="61"/>
      <c r="M4" s="62"/>
      <c r="N4" s="63"/>
      <c r="O4" s="63"/>
      <c r="P4" s="63"/>
    </row>
    <row r="5" spans="1:21" x14ac:dyDescent="0.3">
      <c r="A5" s="40"/>
      <c r="B5" s="40"/>
      <c r="C5" s="1" t="s">
        <v>171</v>
      </c>
      <c r="F5" s="4"/>
      <c r="G5" s="41"/>
      <c r="I5" s="58"/>
      <c r="K5" s="64"/>
      <c r="L5" s="61"/>
      <c r="M5" s="62"/>
      <c r="N5" s="63"/>
      <c r="O5" s="63"/>
      <c r="P5" s="63"/>
    </row>
    <row r="6" spans="1:21" x14ac:dyDescent="0.3">
      <c r="A6" s="65"/>
      <c r="B6" s="12" t="s">
        <v>161</v>
      </c>
      <c r="C6" s="12" t="s">
        <v>162</v>
      </c>
      <c r="D6" s="12" t="s">
        <v>163</v>
      </c>
      <c r="E6" s="12" t="s">
        <v>172</v>
      </c>
      <c r="F6" s="12" t="s">
        <v>164</v>
      </c>
      <c r="G6" s="12" t="s">
        <v>165</v>
      </c>
      <c r="H6" s="12" t="s">
        <v>166</v>
      </c>
      <c r="I6" s="66" t="s">
        <v>173</v>
      </c>
      <c r="J6" s="67" t="s">
        <v>174</v>
      </c>
      <c r="K6" s="59"/>
      <c r="L6" s="59"/>
      <c r="M6" s="68"/>
    </row>
    <row r="7" spans="1:21" x14ac:dyDescent="0.3">
      <c r="A7" s="69" t="s">
        <v>167</v>
      </c>
      <c r="B7" s="69" cm="1">
        <f t="array" ref="B7:B8">Overview!B11:B12</f>
        <v>1</v>
      </c>
      <c r="C7" s="42" t="e">
        <f>SUM(M15:M79)</f>
        <v>#DIV/0!</v>
      </c>
      <c r="D7" s="42" t="e">
        <f>SUM(_xlfn.ANCHORARRAY(M86))*F7</f>
        <v>#DIV/0!</v>
      </c>
      <c r="E7" s="43" t="e">
        <f>SUM(C7:D7)</f>
        <v>#DIV/0!</v>
      </c>
      <c r="F7" s="44" t="e">
        <f>L79</f>
        <v>#DIV/0!</v>
      </c>
      <c r="G7" s="45" t="e">
        <f>1/F7</f>
        <v>#DIV/0!</v>
      </c>
      <c r="H7" s="46" t="e">
        <f>D7*G7</f>
        <v>#DIV/0!</v>
      </c>
      <c r="I7" s="70" t="e" cm="1">
        <f t="array" ref="I7">LOOKUP(2,1/(K15:K78&lt;&gt;0),P15:P78)</f>
        <v>#N/A</v>
      </c>
      <c r="J7" s="70" t="e" cm="1">
        <f t="array" ref="J7">LOOKUP(2,1/(_xlfn.ANCHORARRAY(K86)&lt;&gt;0),P15:P78)</f>
        <v>#N/A</v>
      </c>
      <c r="K7" s="58"/>
      <c r="L7" s="59"/>
      <c r="M7" s="68"/>
    </row>
    <row r="8" spans="1:21" x14ac:dyDescent="0.3">
      <c r="A8" s="69" t="s">
        <v>168</v>
      </c>
      <c r="B8" s="69">
        <v>75</v>
      </c>
      <c r="C8" s="42" t="e">
        <f>M156/B8</f>
        <v>#DIV/0!</v>
      </c>
      <c r="D8" s="42" t="e">
        <f>SUM(_xlfn.ANCHORARRAY(M163))/B8</f>
        <v>#DIV/0!</v>
      </c>
      <c r="E8" s="43" t="e">
        <f>SUM(C8:D8)</f>
        <v>#DIV/0!</v>
      </c>
      <c r="F8" s="47">
        <f>D156</f>
        <v>1</v>
      </c>
      <c r="G8" s="45">
        <f>1/F8</f>
        <v>1</v>
      </c>
      <c r="H8" s="46" t="e">
        <f>D8*G8*B8</f>
        <v>#DIV/0!</v>
      </c>
      <c r="I8" s="71"/>
      <c r="J8" s="71" t="e" cm="1">
        <f t="array" ref="J8">LOOKUP(2,1/(_xlfn.ANCHORARRAY(K163)&lt;&gt;0),P15:P78)</f>
        <v>#N/A</v>
      </c>
      <c r="K8" s="72"/>
      <c r="L8" s="59"/>
      <c r="M8" s="68"/>
    </row>
    <row r="9" spans="1:21" x14ac:dyDescent="0.3">
      <c r="A9" s="40"/>
      <c r="B9" s="1"/>
      <c r="C9" s="73"/>
      <c r="D9" s="40"/>
      <c r="E9" s="1"/>
      <c r="G9" s="56"/>
      <c r="H9" s="40"/>
      <c r="I9" s="40"/>
      <c r="J9" s="40"/>
      <c r="K9" s="74"/>
      <c r="L9" s="58"/>
      <c r="M9" s="58"/>
    </row>
    <row r="10" spans="1:21" x14ac:dyDescent="0.3">
      <c r="A10" s="40"/>
      <c r="B10" s="1"/>
      <c r="C10" s="1"/>
      <c r="D10" s="73"/>
      <c r="E10" s="1"/>
      <c r="G10" s="56"/>
      <c r="H10" s="40"/>
      <c r="I10" s="40"/>
      <c r="J10" s="40"/>
      <c r="K10" s="74"/>
      <c r="L10" s="58"/>
      <c r="M10" s="58"/>
    </row>
    <row r="11" spans="1:21" s="104" customFormat="1" ht="15.6" x14ac:dyDescent="0.3">
      <c r="A11" s="105" t="s">
        <v>167</v>
      </c>
      <c r="B11" s="105" t="s">
        <v>162</v>
      </c>
      <c r="C11" s="105"/>
      <c r="D11" s="100"/>
      <c r="E11" s="99"/>
      <c r="F11" s="101"/>
      <c r="G11" s="105" t="s">
        <v>167</v>
      </c>
      <c r="H11" s="105" t="s">
        <v>162</v>
      </c>
      <c r="I11" s="98"/>
      <c r="J11" s="98"/>
      <c r="K11" s="102"/>
      <c r="L11" s="103"/>
      <c r="M11" s="103"/>
      <c r="N11" s="101"/>
      <c r="O11" s="105" t="s">
        <v>167</v>
      </c>
      <c r="P11" s="105" t="s">
        <v>162</v>
      </c>
    </row>
    <row r="12" spans="1:21" x14ac:dyDescent="0.3">
      <c r="A12" s="40"/>
      <c r="B12" s="1"/>
      <c r="C12" s="1"/>
      <c r="D12" s="73"/>
      <c r="E12" s="1"/>
      <c r="G12" s="56"/>
      <c r="H12" s="40"/>
      <c r="I12" s="40"/>
      <c r="J12" s="40"/>
      <c r="K12" s="74"/>
      <c r="L12" s="58"/>
      <c r="M12" s="58"/>
    </row>
    <row r="13" spans="1:21" x14ac:dyDescent="0.3">
      <c r="A13" s="75" t="s">
        <v>191</v>
      </c>
      <c r="B13" s="57">
        <v>1000000000</v>
      </c>
      <c r="C13" s="1"/>
      <c r="D13" s="1"/>
      <c r="E13" s="1"/>
      <c r="G13" s="75" t="s">
        <v>175</v>
      </c>
      <c r="H13" s="40"/>
      <c r="I13" s="40"/>
      <c r="J13" s="40"/>
      <c r="K13" s="40"/>
      <c r="L13" s="40"/>
      <c r="M13" s="40"/>
    </row>
    <row r="14" spans="1:21" x14ac:dyDescent="0.3">
      <c r="A14" s="9" t="s">
        <v>181</v>
      </c>
      <c r="B14" s="9" t="s">
        <v>178</v>
      </c>
      <c r="C14" s="9" t="s">
        <v>179</v>
      </c>
      <c r="D14" s="9" t="s">
        <v>180</v>
      </c>
      <c r="E14" s="9" t="s">
        <v>159</v>
      </c>
      <c r="G14" s="9" t="s">
        <v>181</v>
      </c>
      <c r="H14" s="9" t="s">
        <v>182</v>
      </c>
      <c r="I14" s="9" t="s">
        <v>183</v>
      </c>
      <c r="J14" s="9" t="s">
        <v>184</v>
      </c>
      <c r="K14" s="9" t="s">
        <v>185</v>
      </c>
      <c r="L14" s="9" t="s">
        <v>160</v>
      </c>
      <c r="M14" s="9" t="s">
        <v>186</v>
      </c>
      <c r="O14" s="9" t="s">
        <v>176</v>
      </c>
      <c r="P14" s="9" t="s">
        <v>177</v>
      </c>
      <c r="Q14" s="12" t="s">
        <v>192</v>
      </c>
      <c r="R14" s="12" t="s">
        <v>187</v>
      </c>
      <c r="T14" s="12" t="s">
        <v>192</v>
      </c>
      <c r="U14" s="12" t="s">
        <v>188</v>
      </c>
    </row>
    <row r="15" spans="1:21" x14ac:dyDescent="0.3">
      <c r="A15" s="14" t="str">
        <f>"("&amp;$O15&amp;", "&amp;$P15&amp;"]"</f>
        <v>(-1, 0]</v>
      </c>
      <c r="B15" s="77">
        <v>624764779</v>
      </c>
      <c r="C15" s="77">
        <v>0</v>
      </c>
      <c r="D15" s="39" t="e" cm="1">
        <f t="array" ref="D15:D78">_xlfn.LET(_xlpm.x, B15:B78, _xlpm.x/SUM(_xlpm.x))</f>
        <v>#DIV/0!</v>
      </c>
      <c r="E15" s="78" cm="1">
        <f t="array" ref="E15:E79">_xlfn.LET(_xlpm.x, C15:C79/B15:B79/B3, IF(ISERR(_xlpm.x), 0, _xlpm.x))</f>
        <v>0</v>
      </c>
      <c r="G15" s="14" t="str">
        <f>"("&amp;$O15&amp;", "&amp;$P15&amp;"]"</f>
        <v>(-1, 0]</v>
      </c>
      <c r="H15" s="80">
        <v>1.17709434433021</v>
      </c>
      <c r="I15" s="38" t="e" cm="1">
        <f t="array" ref="I15:I79">D15:D79*H15:H79</f>
        <v>#DIV/0!</v>
      </c>
      <c r="J15" s="38" t="e" cm="1">
        <f t="array" ref="J15:J78">I15:I78/SUM(_xlfn.ANCHORARRAY(I15))</f>
        <v>#DIV/0!</v>
      </c>
      <c r="K15" s="81" t="e" cm="1">
        <f t="array" ref="K15:K79">INT(J15:J79*$B$2)</f>
        <v>#DIV/0!</v>
      </c>
      <c r="L15" s="38" t="e" cm="1">
        <f t="array" ref="L15:L79">_xlfn.LET(_xlpm.x, K15:K79, _xlpm.x/SUM(_xlpm.x))</f>
        <v>#DIV/0!</v>
      </c>
      <c r="M15" s="38" t="e" cm="1">
        <f t="array" ref="M15:M79">L15:L79*E15:E79</f>
        <v>#DIV/0!</v>
      </c>
      <c r="N15" s="83"/>
      <c r="O15" s="76">
        <v>-1</v>
      </c>
      <c r="P15" s="76">
        <v>0</v>
      </c>
      <c r="Q15" s="38" t="e" cm="1">
        <f t="array" ref="Q15:Q78">L15:L78</f>
        <v>#DIV/0!</v>
      </c>
      <c r="R15" s="38">
        <v>0.72379899999999997</v>
      </c>
      <c r="T15" s="38"/>
      <c r="U15" s="84" cm="1">
        <f t="array" ref="U15:U78">_xlfn.LET(_xlpm.x, T15:T78/L15:L78, IF(ISERR(_xlpm.x), 0, ROUND(_xlpm.x,2)))</f>
        <v>0</v>
      </c>
    </row>
    <row r="16" spans="1:21" x14ac:dyDescent="0.3">
      <c r="A16" s="14" t="str">
        <f>"("&amp;$O16&amp;", "&amp;$P16&amp;"]"</f>
        <v>(0, 1]</v>
      </c>
      <c r="B16" s="85">
        <v>143254516</v>
      </c>
      <c r="C16" s="85">
        <v>6213627750</v>
      </c>
      <c r="D16" s="38" t="e">
        <v>#DIV/0!</v>
      </c>
      <c r="E16" s="79">
        <v>0</v>
      </c>
      <c r="G16" s="14" t="str">
        <f>"("&amp;$O16&amp;", "&amp;$P16&amp;"]"</f>
        <v>(0, 1]</v>
      </c>
      <c r="H16" s="80">
        <v>1.03160836864563</v>
      </c>
      <c r="I16" s="38" t="e">
        <v>#DIV/0!</v>
      </c>
      <c r="J16" s="38" t="e">
        <v>#DIV/0!</v>
      </c>
      <c r="K16" s="81" t="e">
        <v>#DIV/0!</v>
      </c>
      <c r="L16" s="38" t="e">
        <v>#DIV/0!</v>
      </c>
      <c r="M16" s="38" t="e">
        <v>#DIV/0!</v>
      </c>
      <c r="N16" s="83"/>
      <c r="O16" s="69">
        <v>0</v>
      </c>
      <c r="P16" s="69">
        <v>1</v>
      </c>
      <c r="Q16" s="38" t="e">
        <v>#DIV/0!</v>
      </c>
      <c r="R16" s="38">
        <v>0.15426599999999999</v>
      </c>
      <c r="T16" s="38"/>
      <c r="U16" s="84">
        <v>0</v>
      </c>
    </row>
    <row r="17" spans="1:21" x14ac:dyDescent="0.3">
      <c r="A17" s="14" t="str">
        <f>"("&amp;$O17&amp;", "&amp;$P17&amp;"]"</f>
        <v>(1, 2]</v>
      </c>
      <c r="B17" s="85">
        <v>54941394</v>
      </c>
      <c r="C17" s="85">
        <v>8271310400</v>
      </c>
      <c r="D17" s="38" t="e">
        <v>#DIV/0!</v>
      </c>
      <c r="E17" s="79">
        <v>0</v>
      </c>
      <c r="F17" s="86"/>
      <c r="G17" s="14" t="str">
        <f>"("&amp;$O17&amp;", "&amp;$P17&amp;"]"</f>
        <v>(1, 2]</v>
      </c>
      <c r="H17" s="80">
        <v>0.792094325917623</v>
      </c>
      <c r="I17" s="38" t="e">
        <v>#DIV/0!</v>
      </c>
      <c r="J17" s="38" t="e">
        <v>#DIV/0!</v>
      </c>
      <c r="K17" s="81" t="e">
        <v>#DIV/0!</v>
      </c>
      <c r="L17" s="38" t="e">
        <v>#DIV/0!</v>
      </c>
      <c r="M17" s="38" t="e">
        <v>#DIV/0!</v>
      </c>
      <c r="N17" s="83"/>
      <c r="O17" s="69">
        <v>1</v>
      </c>
      <c r="P17" s="69">
        <v>2</v>
      </c>
      <c r="Q17" s="38" t="e">
        <v>#DIV/0!</v>
      </c>
      <c r="R17" s="38">
        <v>4.5428000000000003E-2</v>
      </c>
      <c r="T17" s="38"/>
      <c r="U17" s="84">
        <v>0</v>
      </c>
    </row>
    <row r="18" spans="1:21" x14ac:dyDescent="0.3">
      <c r="A18" s="14" t="str">
        <f>"("&amp;$O18&amp;", "&amp;$P18&amp;"]"</f>
        <v>(2, 3]</v>
      </c>
      <c r="B18" s="85">
        <v>33052702</v>
      </c>
      <c r="C18" s="85">
        <v>8367423885</v>
      </c>
      <c r="D18" s="38" t="e">
        <v>#DIV/0!</v>
      </c>
      <c r="E18" s="79">
        <v>0</v>
      </c>
      <c r="F18" s="86"/>
      <c r="G18" s="14" t="str">
        <f>"("&amp;$O18&amp;", "&amp;$P18&amp;"]"</f>
        <v>(2, 3]</v>
      </c>
      <c r="H18" s="80">
        <v>0.606038234383785</v>
      </c>
      <c r="I18" s="38" t="e">
        <v>#DIV/0!</v>
      </c>
      <c r="J18" s="38" t="e">
        <v>#DIV/0!</v>
      </c>
      <c r="K18" s="81" t="e">
        <v>#DIV/0!</v>
      </c>
      <c r="L18" s="38" t="e">
        <v>#DIV/0!</v>
      </c>
      <c r="M18" s="38" t="e">
        <v>#DIV/0!</v>
      </c>
      <c r="N18" s="83"/>
      <c r="O18" s="69">
        <v>2</v>
      </c>
      <c r="P18" s="69">
        <v>3</v>
      </c>
      <c r="Q18" s="38" t="e">
        <v>#DIV/0!</v>
      </c>
      <c r="R18" s="38">
        <v>2.0910000000000002E-2</v>
      </c>
      <c r="T18" s="38"/>
      <c r="U18" s="84">
        <v>0</v>
      </c>
    </row>
    <row r="19" spans="1:21" x14ac:dyDescent="0.3">
      <c r="A19" s="14" t="str">
        <f>"("&amp;$O19&amp;", "&amp;$P19&amp;"]"</f>
        <v>(3, 4]</v>
      </c>
      <c r="B19" s="85">
        <v>22868741</v>
      </c>
      <c r="C19" s="85">
        <v>8068853980</v>
      </c>
      <c r="D19" s="38" t="e">
        <v>#DIV/0!</v>
      </c>
      <c r="E19" s="79">
        <v>0</v>
      </c>
      <c r="F19" s="87"/>
      <c r="G19" s="14" t="str">
        <f>"("&amp;$O19&amp;", "&amp;$P19&amp;"]"</f>
        <v>(3, 4]</v>
      </c>
      <c r="H19" s="80">
        <v>0.539794966632009</v>
      </c>
      <c r="I19" s="38" t="e">
        <v>#DIV/0!</v>
      </c>
      <c r="J19" s="38" t="e">
        <v>#DIV/0!</v>
      </c>
      <c r="K19" s="81" t="e">
        <v>#DIV/0!</v>
      </c>
      <c r="L19" s="38" t="e">
        <v>#DIV/0!</v>
      </c>
      <c r="M19" s="38" t="e">
        <v>#DIV/0!</v>
      </c>
      <c r="N19" s="83"/>
      <c r="O19" s="69">
        <v>3</v>
      </c>
      <c r="P19" s="69">
        <v>4</v>
      </c>
      <c r="Q19" s="38" t="e">
        <v>#DIV/0!</v>
      </c>
      <c r="R19" s="38">
        <v>1.2886E-2</v>
      </c>
      <c r="T19" s="38"/>
      <c r="U19" s="84">
        <v>0</v>
      </c>
    </row>
    <row r="20" spans="1:21" x14ac:dyDescent="0.3">
      <c r="A20" s="14" t="str">
        <f>"("&amp;$O20&amp;", "&amp;$P20&amp;"]"</f>
        <v>(4, 5]</v>
      </c>
      <c r="B20" s="85">
        <v>16964682</v>
      </c>
      <c r="C20" s="85">
        <v>7689266290</v>
      </c>
      <c r="D20" s="38" t="e">
        <v>#DIV/0!</v>
      </c>
      <c r="E20" s="79">
        <v>0</v>
      </c>
      <c r="F20" s="87"/>
      <c r="G20" s="14" t="str">
        <f>"("&amp;$O20&amp;", "&amp;$P20&amp;"]"</f>
        <v>(4, 5]</v>
      </c>
      <c r="H20" s="80">
        <v>0.474675287283188</v>
      </c>
      <c r="I20" s="38" t="e">
        <v>#DIV/0!</v>
      </c>
      <c r="J20" s="38" t="e">
        <v>#DIV/0!</v>
      </c>
      <c r="K20" s="81" t="e">
        <v>#DIV/0!</v>
      </c>
      <c r="L20" s="38" t="e">
        <v>#DIV/0!</v>
      </c>
      <c r="M20" s="38" t="e">
        <v>#DIV/0!</v>
      </c>
      <c r="N20" s="83"/>
      <c r="O20" s="69">
        <v>4</v>
      </c>
      <c r="P20" s="69">
        <v>5</v>
      </c>
      <c r="Q20" s="38" t="e">
        <v>#DIV/0!</v>
      </c>
      <c r="R20" s="38">
        <v>8.4060000000000003E-3</v>
      </c>
      <c r="T20" s="38"/>
      <c r="U20" s="84">
        <v>0</v>
      </c>
    </row>
    <row r="21" spans="1:21" x14ac:dyDescent="0.3">
      <c r="A21" s="14" t="str">
        <f>"("&amp;$O21&amp;", "&amp;$P21&amp;"]"</f>
        <v>(5, 6]</v>
      </c>
      <c r="B21" s="85">
        <v>13467081</v>
      </c>
      <c r="C21" s="85">
        <v>7477223845</v>
      </c>
      <c r="D21" s="38" t="e">
        <v>#DIV/0!</v>
      </c>
      <c r="E21" s="79">
        <v>0</v>
      </c>
      <c r="F21" s="87"/>
      <c r="G21" s="14" t="str">
        <f>"("&amp;$O21&amp;", "&amp;$P21&amp;"]"</f>
        <v>(5, 6]</v>
      </c>
      <c r="H21" s="80">
        <v>0.463582686850278</v>
      </c>
      <c r="I21" s="38" t="e">
        <v>#DIV/0!</v>
      </c>
      <c r="J21" s="38" t="e">
        <v>#DIV/0!</v>
      </c>
      <c r="K21" s="81" t="e">
        <v>#DIV/0!</v>
      </c>
      <c r="L21" s="38" t="e">
        <v>#DIV/0!</v>
      </c>
      <c r="M21" s="38" t="e">
        <v>#DIV/0!</v>
      </c>
      <c r="N21" s="83"/>
      <c r="O21" s="69">
        <v>5</v>
      </c>
      <c r="P21" s="69">
        <v>6</v>
      </c>
      <c r="Q21" s="38" t="e">
        <v>#DIV/0!</v>
      </c>
      <c r="R21" s="38">
        <v>6.5170000000000002E-3</v>
      </c>
      <c r="T21" s="38"/>
      <c r="U21" s="84">
        <v>0</v>
      </c>
    </row>
    <row r="22" spans="1:21" x14ac:dyDescent="0.3">
      <c r="A22" s="14" t="str">
        <f>"("&amp;$O22&amp;", "&amp;$P22&amp;"]"</f>
        <v>(6, 7]</v>
      </c>
      <c r="B22" s="85">
        <v>10632034</v>
      </c>
      <c r="C22" s="85">
        <v>6936975045</v>
      </c>
      <c r="D22" s="38" t="e">
        <v>#DIV/0!</v>
      </c>
      <c r="E22" s="79">
        <v>0</v>
      </c>
      <c r="F22" s="87"/>
      <c r="G22" s="14" t="str">
        <f>"("&amp;$O22&amp;", "&amp;$P22&amp;"]"</f>
        <v>(6, 7]</v>
      </c>
      <c r="H22" s="80">
        <v>0.317521035705545</v>
      </c>
      <c r="I22" s="38" t="e">
        <v>#DIV/0!</v>
      </c>
      <c r="J22" s="38" t="e">
        <v>#DIV/0!</v>
      </c>
      <c r="K22" s="81" t="e">
        <v>#DIV/0!</v>
      </c>
      <c r="L22" s="38" t="e">
        <v>#DIV/0!</v>
      </c>
      <c r="M22" s="38" t="e">
        <v>#DIV/0!</v>
      </c>
      <c r="N22" s="83"/>
      <c r="O22" s="69">
        <v>6</v>
      </c>
      <c r="P22" s="69">
        <v>7</v>
      </c>
      <c r="Q22" s="38" t="e">
        <v>#DIV/0!</v>
      </c>
      <c r="R22" s="38">
        <v>3.5239999999999998E-3</v>
      </c>
      <c r="T22" s="38"/>
      <c r="U22" s="84">
        <v>0</v>
      </c>
    </row>
    <row r="23" spans="1:21" x14ac:dyDescent="0.3">
      <c r="A23" s="14" t="str">
        <f>"("&amp;$O23&amp;", "&amp;$P23&amp;"]"</f>
        <v>(7, 8]</v>
      </c>
      <c r="B23" s="85">
        <v>8953486</v>
      </c>
      <c r="C23" s="85">
        <v>6744195935</v>
      </c>
      <c r="D23" s="38" t="e">
        <v>#DIV/0!</v>
      </c>
      <c r="E23" s="79">
        <v>0</v>
      </c>
      <c r="F23" s="87"/>
      <c r="G23" s="14" t="str">
        <f>"("&amp;$O23&amp;", "&amp;$P23&amp;"]"</f>
        <v>(7, 8]</v>
      </c>
      <c r="H23" s="80">
        <v>0.424767526413803</v>
      </c>
      <c r="I23" s="38" t="e">
        <v>#DIV/0!</v>
      </c>
      <c r="J23" s="38" t="e">
        <v>#DIV/0!</v>
      </c>
      <c r="K23" s="81" t="e">
        <v>#DIV/0!</v>
      </c>
      <c r="L23" s="38" t="e">
        <v>#DIV/0!</v>
      </c>
      <c r="M23" s="38" t="e">
        <v>#DIV/0!</v>
      </c>
      <c r="N23" s="83"/>
      <c r="O23" s="69">
        <v>7</v>
      </c>
      <c r="P23" s="69">
        <v>8</v>
      </c>
      <c r="Q23" s="38" t="e">
        <v>#DIV/0!</v>
      </c>
      <c r="R23" s="38">
        <v>3.9699999999999996E-3</v>
      </c>
      <c r="T23" s="38"/>
      <c r="U23" s="84">
        <v>0</v>
      </c>
    </row>
    <row r="24" spans="1:21" x14ac:dyDescent="0.3">
      <c r="A24" s="14" t="str">
        <f>"("&amp;$O24&amp;", "&amp;$P24&amp;"]"</f>
        <v>(8, 9]</v>
      </c>
      <c r="B24" s="85">
        <v>7534128</v>
      </c>
      <c r="C24" s="85">
        <v>6443473090</v>
      </c>
      <c r="D24" s="38" t="e">
        <v>#DIV/0!</v>
      </c>
      <c r="E24" s="79">
        <v>0</v>
      </c>
      <c r="F24" s="87"/>
      <c r="G24" s="14" t="str">
        <f>"("&amp;$O24&amp;", "&amp;$P24&amp;"]"</f>
        <v>(8, 9]</v>
      </c>
      <c r="H24" s="80">
        <v>0.41031645188398</v>
      </c>
      <c r="I24" s="38" t="e">
        <v>#DIV/0!</v>
      </c>
      <c r="J24" s="38" t="e">
        <v>#DIV/0!</v>
      </c>
      <c r="K24" s="81" t="e">
        <v>#DIV/0!</v>
      </c>
      <c r="L24" s="38" t="e">
        <v>#DIV/0!</v>
      </c>
      <c r="M24" s="38" t="e">
        <v>#DIV/0!</v>
      </c>
      <c r="N24" s="83"/>
      <c r="O24" s="69">
        <v>8</v>
      </c>
      <c r="P24" s="69">
        <v>9</v>
      </c>
      <c r="Q24" s="38" t="e">
        <v>#DIV/0!</v>
      </c>
      <c r="R24" s="38">
        <v>3.2269999999999998E-3</v>
      </c>
      <c r="T24" s="38"/>
      <c r="U24" s="84">
        <v>0</v>
      </c>
    </row>
    <row r="25" spans="1:21" x14ac:dyDescent="0.3">
      <c r="A25" s="14" t="str">
        <f>"("&amp;$O25&amp;", "&amp;$P25&amp;"]"</f>
        <v>(9, 10]</v>
      </c>
      <c r="B25" s="85">
        <v>6231775</v>
      </c>
      <c r="C25" s="85">
        <v>5943691225</v>
      </c>
      <c r="D25" s="38" t="e">
        <v>#DIV/0!</v>
      </c>
      <c r="E25" s="79">
        <v>0</v>
      </c>
      <c r="F25" s="87"/>
      <c r="G25" s="14" t="str">
        <f>"("&amp;$O25&amp;", "&amp;$P25&amp;"]"</f>
        <v>(9, 10]</v>
      </c>
      <c r="H25" s="80">
        <v>0.323127489625877</v>
      </c>
      <c r="I25" s="38" t="e">
        <v>#DIV/0!</v>
      </c>
      <c r="J25" s="38" t="e">
        <v>#DIV/0!</v>
      </c>
      <c r="K25" s="81" t="e">
        <v>#DIV/0!</v>
      </c>
      <c r="L25" s="38" t="e">
        <v>#DIV/0!</v>
      </c>
      <c r="M25" s="38" t="e">
        <v>#DIV/0!</v>
      </c>
      <c r="N25" s="83"/>
      <c r="O25" s="69">
        <v>9</v>
      </c>
      <c r="P25" s="69">
        <v>10</v>
      </c>
      <c r="Q25" s="38" t="e">
        <v>#DIV/0!</v>
      </c>
      <c r="R25" s="38">
        <v>2.1020000000000001E-3</v>
      </c>
      <c r="T25" s="38"/>
      <c r="U25" s="84">
        <v>0</v>
      </c>
    </row>
    <row r="26" spans="1:21" x14ac:dyDescent="0.3">
      <c r="A26" s="14" t="str">
        <f>"("&amp;$O26&amp;", "&amp;$P26&amp;"]"</f>
        <v>(10, 15]</v>
      </c>
      <c r="B26" s="85">
        <v>20720821</v>
      </c>
      <c r="C26" s="85">
        <v>25446656890</v>
      </c>
      <c r="D26" s="38" t="e">
        <v>#DIV/0!</v>
      </c>
      <c r="E26" s="79">
        <v>0</v>
      </c>
      <c r="F26" s="87"/>
      <c r="G26" s="14" t="str">
        <f>"("&amp;$O26&amp;", "&amp;$P26&amp;"]"</f>
        <v>(10, 15]</v>
      </c>
      <c r="H26" s="80">
        <v>0.297366496579048</v>
      </c>
      <c r="I26" s="38" t="e">
        <v>#DIV/0!</v>
      </c>
      <c r="J26" s="38" t="e">
        <v>#DIV/0!</v>
      </c>
      <c r="K26" s="81" t="e">
        <v>#DIV/0!</v>
      </c>
      <c r="L26" s="38" t="e">
        <v>#DIV/0!</v>
      </c>
      <c r="M26" s="38" t="e">
        <v>#DIV/0!</v>
      </c>
      <c r="N26" s="83"/>
      <c r="O26" s="69">
        <v>10</v>
      </c>
      <c r="P26" s="69">
        <v>15</v>
      </c>
      <c r="Q26" s="38" t="e">
        <v>#DIV/0!</v>
      </c>
      <c r="R26" s="38">
        <v>6.4320000000000002E-3</v>
      </c>
      <c r="T26" s="38"/>
      <c r="U26" s="84">
        <v>0</v>
      </c>
    </row>
    <row r="27" spans="1:21" x14ac:dyDescent="0.3">
      <c r="A27" s="14" t="str">
        <f>"("&amp;$O27&amp;", "&amp;$P27&amp;"]"</f>
        <v>(15, 20]</v>
      </c>
      <c r="B27" s="85">
        <v>11152939</v>
      </c>
      <c r="C27" s="85">
        <v>19336495675</v>
      </c>
      <c r="D27" s="38" t="e">
        <v>#DIV/0!</v>
      </c>
      <c r="E27" s="79">
        <v>0</v>
      </c>
      <c r="F27" s="87"/>
      <c r="G27" s="14" t="str">
        <f>"("&amp;$O27&amp;", "&amp;$P27&amp;"]"</f>
        <v>(15, 20]</v>
      </c>
      <c r="H27" s="80">
        <v>0.242479211325038</v>
      </c>
      <c r="I27" s="38" t="e">
        <v>#DIV/0!</v>
      </c>
      <c r="J27" s="38" t="e">
        <v>#DIV/0!</v>
      </c>
      <c r="K27" s="81" t="e">
        <v>#DIV/0!</v>
      </c>
      <c r="L27" s="38" t="e">
        <v>#DIV/0!</v>
      </c>
      <c r="M27" s="38" t="e">
        <v>#DIV/0!</v>
      </c>
      <c r="N27" s="83"/>
      <c r="O27" s="69">
        <v>15</v>
      </c>
      <c r="P27" s="69">
        <v>20</v>
      </c>
      <c r="Q27" s="38" t="e">
        <v>#DIV/0!</v>
      </c>
      <c r="R27" s="38">
        <v>2.823E-3</v>
      </c>
      <c r="T27" s="38"/>
      <c r="U27" s="84">
        <v>0</v>
      </c>
    </row>
    <row r="28" spans="1:21" x14ac:dyDescent="0.3">
      <c r="A28" s="14" t="str">
        <f>"("&amp;$O28&amp;", "&amp;$P28&amp;"]"</f>
        <v>(20, 25]</v>
      </c>
      <c r="B28" s="85">
        <v>6735707</v>
      </c>
      <c r="C28" s="85">
        <v>15067467285</v>
      </c>
      <c r="D28" s="38" t="e">
        <v>#DIV/0!</v>
      </c>
      <c r="E28" s="79">
        <v>0</v>
      </c>
      <c r="F28" s="87"/>
      <c r="G28" s="14" t="str">
        <f>"("&amp;$O28&amp;", "&amp;$P28&amp;"]"</f>
        <v>(20, 25]</v>
      </c>
      <c r="H28" s="80">
        <v>0.229405665706815</v>
      </c>
      <c r="I28" s="38" t="e">
        <v>#DIV/0!</v>
      </c>
      <c r="J28" s="38" t="e">
        <v>#DIV/0!</v>
      </c>
      <c r="K28" s="81" t="e">
        <v>#DIV/0!</v>
      </c>
      <c r="L28" s="38" t="e">
        <v>#DIV/0!</v>
      </c>
      <c r="M28" s="38" t="e">
        <v>#DIV/0!</v>
      </c>
      <c r="N28" s="83"/>
      <c r="O28" s="69">
        <v>20</v>
      </c>
      <c r="P28" s="69">
        <v>25</v>
      </c>
      <c r="Q28" s="38" t="e">
        <v>#DIV/0!</v>
      </c>
      <c r="R28" s="38">
        <v>1.6130000000000001E-3</v>
      </c>
      <c r="T28" s="38"/>
      <c r="U28" s="84">
        <v>0</v>
      </c>
    </row>
    <row r="29" spans="1:21" x14ac:dyDescent="0.3">
      <c r="A29" s="14" t="str">
        <f>"("&amp;$O29&amp;", "&amp;$P29&amp;"]"</f>
        <v>(25, 30]</v>
      </c>
      <c r="B29" s="85">
        <v>4480490</v>
      </c>
      <c r="C29" s="85">
        <v>12274919250</v>
      </c>
      <c r="D29" s="38" t="e">
        <v>#DIV/0!</v>
      </c>
      <c r="E29" s="79">
        <v>0</v>
      </c>
      <c r="F29" s="87"/>
      <c r="G29" s="14" t="str">
        <f>"("&amp;$O29&amp;", "&amp;$P29&amp;"]"</f>
        <v>(25, 30]</v>
      </c>
      <c r="H29" s="80">
        <v>0.281373593067775</v>
      </c>
      <c r="I29" s="38" t="e">
        <v>#DIV/0!</v>
      </c>
      <c r="J29" s="38" t="e">
        <v>#DIV/0!</v>
      </c>
      <c r="K29" s="81" t="e">
        <v>#DIV/0!</v>
      </c>
      <c r="L29" s="38" t="e">
        <v>#DIV/0!</v>
      </c>
      <c r="M29" s="38" t="e">
        <v>#DIV/0!</v>
      </c>
      <c r="N29" s="83"/>
      <c r="O29" s="69">
        <v>25</v>
      </c>
      <c r="P29" s="69">
        <v>30</v>
      </c>
      <c r="Q29" s="38" t="e">
        <v>#DIV/0!</v>
      </c>
      <c r="R29" s="38">
        <v>1.3159999999999999E-3</v>
      </c>
      <c r="T29" s="38"/>
      <c r="U29" s="84">
        <v>0</v>
      </c>
    </row>
    <row r="30" spans="1:21" x14ac:dyDescent="0.3">
      <c r="A30" s="14" t="str">
        <f>"("&amp;$O30&amp;", "&amp;$P30&amp;"]"</f>
        <v>(30, 35]</v>
      </c>
      <c r="B30" s="85">
        <v>3017593</v>
      </c>
      <c r="C30" s="85">
        <v>9776019545</v>
      </c>
      <c r="D30" s="38" t="e">
        <v>#DIV/0!</v>
      </c>
      <c r="E30" s="79">
        <v>0</v>
      </c>
      <c r="F30" s="87"/>
      <c r="G30" s="14" t="str">
        <f>"("&amp;$O30&amp;", "&amp;$P30&amp;"]"</f>
        <v>(30, 35]</v>
      </c>
      <c r="H30" s="80">
        <v>0.202223549143916</v>
      </c>
      <c r="I30" s="38" t="e">
        <v>#DIV/0!</v>
      </c>
      <c r="J30" s="38" t="e">
        <v>#DIV/0!</v>
      </c>
      <c r="K30" s="81" t="e">
        <v>#DIV/0!</v>
      </c>
      <c r="L30" s="38" t="e">
        <v>#DIV/0!</v>
      </c>
      <c r="M30" s="38" t="e">
        <v>#DIV/0!</v>
      </c>
      <c r="N30" s="83"/>
      <c r="O30" s="69">
        <v>30</v>
      </c>
      <c r="P30" s="69">
        <v>35</v>
      </c>
      <c r="Q30" s="38" t="e">
        <v>#DIV/0!</v>
      </c>
      <c r="R30" s="38">
        <v>6.3699999999999998E-4</v>
      </c>
      <c r="T30" s="38"/>
      <c r="U30" s="84">
        <v>0</v>
      </c>
    </row>
    <row r="31" spans="1:21" x14ac:dyDescent="0.3">
      <c r="A31" s="14" t="str">
        <f>"("&amp;$O31&amp;", "&amp;$P31&amp;"]"</f>
        <v>(35, 40]</v>
      </c>
      <c r="B31" s="85">
        <v>2208968</v>
      </c>
      <c r="C31" s="85">
        <v>8270252000</v>
      </c>
      <c r="D31" s="38" t="e">
        <v>#DIV/0!</v>
      </c>
      <c r="E31" s="79">
        <v>0</v>
      </c>
      <c r="F31" s="87"/>
      <c r="G31" s="14" t="str">
        <f>"("&amp;$O31&amp;", "&amp;$P31&amp;"]"</f>
        <v>(35, 40]</v>
      </c>
      <c r="H31" s="80">
        <v>0.193418670466955</v>
      </c>
      <c r="I31" s="38" t="e">
        <v>#DIV/0!</v>
      </c>
      <c r="J31" s="38" t="e">
        <v>#DIV/0!</v>
      </c>
      <c r="K31" s="81" t="e">
        <v>#DIV/0!</v>
      </c>
      <c r="L31" s="38" t="e">
        <v>#DIV/0!</v>
      </c>
      <c r="M31" s="38" t="e">
        <v>#DIV/0!</v>
      </c>
      <c r="N31" s="83"/>
      <c r="O31" s="69">
        <v>35</v>
      </c>
      <c r="P31" s="69">
        <v>40</v>
      </c>
      <c r="Q31" s="38" t="e">
        <v>#DIV/0!</v>
      </c>
      <c r="R31" s="38">
        <v>4.46E-4</v>
      </c>
      <c r="T31" s="38"/>
      <c r="U31" s="84">
        <v>0</v>
      </c>
    </row>
    <row r="32" spans="1:21" x14ac:dyDescent="0.3">
      <c r="A32" s="14" t="str">
        <f>"("&amp;$O32&amp;", "&amp;$P32&amp;"]"</f>
        <v>(40, 45]</v>
      </c>
      <c r="B32" s="85">
        <v>1649296</v>
      </c>
      <c r="C32" s="85">
        <v>6999231850</v>
      </c>
      <c r="D32" s="38" t="e">
        <v>#DIV/0!</v>
      </c>
      <c r="E32" s="79">
        <v>0</v>
      </c>
      <c r="F32" s="87"/>
      <c r="G32" s="14" t="str">
        <f>"("&amp;$O32&amp;", "&amp;$P32&amp;"]"</f>
        <v>(40, 45]</v>
      </c>
      <c r="H32" s="80">
        <v>0.160311041599896</v>
      </c>
      <c r="I32" s="38" t="e">
        <v>#DIV/0!</v>
      </c>
      <c r="J32" s="38" t="e">
        <v>#DIV/0!</v>
      </c>
      <c r="K32" s="81" t="e">
        <v>#DIV/0!</v>
      </c>
      <c r="L32" s="38" t="e">
        <v>#DIV/0!</v>
      </c>
      <c r="M32" s="38" t="e">
        <v>#DIV/0!</v>
      </c>
      <c r="N32" s="83"/>
      <c r="O32" s="69">
        <v>40</v>
      </c>
      <c r="P32" s="69">
        <v>45</v>
      </c>
      <c r="Q32" s="38" t="e">
        <v>#DIV/0!</v>
      </c>
      <c r="R32" s="38">
        <v>2.7599999999999999E-4</v>
      </c>
      <c r="T32" s="38"/>
      <c r="U32" s="84">
        <v>0</v>
      </c>
    </row>
    <row r="33" spans="1:21" x14ac:dyDescent="0.3">
      <c r="A33" s="14" t="str">
        <f>"("&amp;$O33&amp;", "&amp;$P33&amp;"]"</f>
        <v>(45, 50]</v>
      </c>
      <c r="B33" s="85">
        <v>1233169</v>
      </c>
      <c r="C33" s="85">
        <v>5852538350</v>
      </c>
      <c r="D33" s="38" t="e">
        <v>#DIV/0!</v>
      </c>
      <c r="E33" s="79">
        <v>0</v>
      </c>
      <c r="F33" s="87"/>
      <c r="G33" s="14" t="str">
        <f>"("&amp;$O33&amp;", "&amp;$P33&amp;"]"</f>
        <v>(45, 50]</v>
      </c>
      <c r="H33" s="80">
        <v>0.18178004987636</v>
      </c>
      <c r="I33" s="38" t="e">
        <v>#DIV/0!</v>
      </c>
      <c r="J33" s="38" t="e">
        <v>#DIV/0!</v>
      </c>
      <c r="K33" s="81" t="e">
        <v>#DIV/0!</v>
      </c>
      <c r="L33" s="38" t="e">
        <v>#DIV/0!</v>
      </c>
      <c r="M33" s="38" t="e">
        <v>#DIV/0!</v>
      </c>
      <c r="N33" s="83"/>
      <c r="O33" s="69">
        <v>45</v>
      </c>
      <c r="P33" s="69">
        <v>50</v>
      </c>
      <c r="Q33" s="38" t="e">
        <v>#DIV/0!</v>
      </c>
      <c r="R33" s="38">
        <v>2.34E-4</v>
      </c>
      <c r="T33" s="38"/>
      <c r="U33" s="84">
        <v>0</v>
      </c>
    </row>
    <row r="34" spans="1:21" x14ac:dyDescent="0.3">
      <c r="A34" s="14" t="str">
        <f>"("&amp;$O34&amp;", "&amp;$P34&amp;"]"</f>
        <v>(50, 60]</v>
      </c>
      <c r="B34" s="85">
        <v>1764123</v>
      </c>
      <c r="C34" s="85">
        <v>9650646255</v>
      </c>
      <c r="D34" s="38" t="e">
        <v>#DIV/0!</v>
      </c>
      <c r="E34" s="79">
        <v>0</v>
      </c>
      <c r="F34" s="87"/>
      <c r="G34" s="14" t="str">
        <f>"("&amp;$O34&amp;", "&amp;$P34&amp;"]"</f>
        <v>(50, 60]</v>
      </c>
      <c r="H34" s="80">
        <v>0.276402444543204</v>
      </c>
      <c r="I34" s="38" t="e">
        <v>#DIV/0!</v>
      </c>
      <c r="J34" s="38" t="e">
        <v>#DIV/0!</v>
      </c>
      <c r="K34" s="81" t="e">
        <v>#DIV/0!</v>
      </c>
      <c r="L34" s="38" t="e">
        <v>#DIV/0!</v>
      </c>
      <c r="M34" s="38" t="e">
        <v>#DIV/0!</v>
      </c>
      <c r="N34" s="83"/>
      <c r="O34" s="69">
        <v>50</v>
      </c>
      <c r="P34" s="69">
        <v>60</v>
      </c>
      <c r="Q34" s="38" t="e">
        <v>#DIV/0!</v>
      </c>
      <c r="R34" s="38">
        <v>5.0900000000000001E-4</v>
      </c>
      <c r="T34" s="38"/>
      <c r="U34" s="84">
        <v>0</v>
      </c>
    </row>
    <row r="35" spans="1:21" x14ac:dyDescent="0.3">
      <c r="A35" s="14" t="str">
        <f>"("&amp;$O35&amp;", "&amp;$P35&amp;"]"</f>
        <v>(60, 70]</v>
      </c>
      <c r="B35" s="85">
        <v>1114375</v>
      </c>
      <c r="C35" s="85">
        <v>7207860310</v>
      </c>
      <c r="D35" s="38" t="e">
        <v>#DIV/0!</v>
      </c>
      <c r="E35" s="79">
        <v>0</v>
      </c>
      <c r="F35" s="87"/>
      <c r="G35" s="14" t="str">
        <f>"("&amp;$O35&amp;", "&amp;$P35&amp;"]"</f>
        <v>(60, 70]</v>
      </c>
      <c r="H35" s="80">
        <v>0.255316009724574</v>
      </c>
      <c r="I35" s="38" t="e">
        <v>#DIV/0!</v>
      </c>
      <c r="J35" s="38" t="e">
        <v>#DIV/0!</v>
      </c>
      <c r="K35" s="81" t="e">
        <v>#DIV/0!</v>
      </c>
      <c r="L35" s="38" t="e">
        <v>#DIV/0!</v>
      </c>
      <c r="M35" s="38" t="e">
        <v>#DIV/0!</v>
      </c>
      <c r="N35" s="83"/>
      <c r="O35" s="69">
        <v>60</v>
      </c>
      <c r="P35" s="69">
        <v>70</v>
      </c>
      <c r="Q35" s="38" t="e">
        <v>#DIV/0!</v>
      </c>
      <c r="R35" s="38">
        <v>2.9700000000000001E-4</v>
      </c>
      <c r="T35" s="38"/>
      <c r="U35" s="84">
        <v>0</v>
      </c>
    </row>
    <row r="36" spans="1:21" x14ac:dyDescent="0.3">
      <c r="A36" s="14" t="str">
        <f>"("&amp;$O36&amp;", "&amp;$P36&amp;"]"</f>
        <v>(70, 80]</v>
      </c>
      <c r="B36" s="85">
        <v>766232</v>
      </c>
      <c r="C36" s="85">
        <v>5733848860</v>
      </c>
      <c r="D36" s="38" t="e">
        <v>#DIV/0!</v>
      </c>
      <c r="E36" s="79">
        <v>0</v>
      </c>
      <c r="F36" s="87"/>
      <c r="G36" s="14" t="str">
        <f>"("&amp;$O36&amp;", "&amp;$P36&amp;"]"</f>
        <v>(70, 80]</v>
      </c>
      <c r="H36" s="80">
        <v>0.132525221693996</v>
      </c>
      <c r="I36" s="38" t="e">
        <v>#DIV/0!</v>
      </c>
      <c r="J36" s="38" t="e">
        <v>#DIV/0!</v>
      </c>
      <c r="K36" s="81" t="e">
        <v>#DIV/0!</v>
      </c>
      <c r="L36" s="38" t="e">
        <v>#DIV/0!</v>
      </c>
      <c r="M36" s="38" t="e">
        <v>#DIV/0!</v>
      </c>
      <c r="N36" s="83"/>
      <c r="O36" s="69">
        <v>70</v>
      </c>
      <c r="P36" s="69">
        <v>80</v>
      </c>
      <c r="Q36" s="38" t="e">
        <v>#DIV/0!</v>
      </c>
      <c r="R36" s="38">
        <v>1.06E-4</v>
      </c>
      <c r="T36" s="38"/>
      <c r="U36" s="84">
        <v>0</v>
      </c>
    </row>
    <row r="37" spans="1:21" x14ac:dyDescent="0.3">
      <c r="A37" s="14" t="str">
        <f>"("&amp;$O37&amp;", "&amp;$P37&amp;"]"</f>
        <v>(80, 90]</v>
      </c>
      <c r="B37" s="85">
        <v>550692</v>
      </c>
      <c r="C37" s="85">
        <v>4667913150</v>
      </c>
      <c r="D37" s="38" t="e">
        <v>#DIV/0!</v>
      </c>
      <c r="E37" s="79">
        <v>0</v>
      </c>
      <c r="F37" s="87"/>
      <c r="G37" s="14" t="str">
        <f>"("&amp;$O37&amp;", "&amp;$P37&amp;"]"</f>
        <v>(80, 90]</v>
      </c>
      <c r="H37" s="80">
        <v>0.111333065177038</v>
      </c>
      <c r="I37" s="38" t="e">
        <v>#DIV/0!</v>
      </c>
      <c r="J37" s="38" t="e">
        <v>#DIV/0!</v>
      </c>
      <c r="K37" s="81" t="e">
        <v>#DIV/0!</v>
      </c>
      <c r="L37" s="38" t="e">
        <v>#DIV/0!</v>
      </c>
      <c r="M37" s="38" t="e">
        <v>#DIV/0!</v>
      </c>
      <c r="N37" s="83"/>
      <c r="O37" s="69">
        <v>80</v>
      </c>
      <c r="P37" s="69">
        <v>90</v>
      </c>
      <c r="Q37" s="38" t="e">
        <v>#DIV/0!</v>
      </c>
      <c r="R37" s="38">
        <v>6.3999999999999997E-5</v>
      </c>
      <c r="T37" s="38"/>
      <c r="U37" s="84">
        <v>0</v>
      </c>
    </row>
    <row r="38" spans="1:21" x14ac:dyDescent="0.3">
      <c r="A38" s="14" t="str">
        <f>"("&amp;$O38&amp;", "&amp;$P38&amp;"]"</f>
        <v>(90, 100]</v>
      </c>
      <c r="B38" s="85">
        <v>385633</v>
      </c>
      <c r="C38" s="85">
        <v>3656643620</v>
      </c>
      <c r="D38" s="38" t="e">
        <v>#DIV/0!</v>
      </c>
      <c r="E38" s="79">
        <v>0</v>
      </c>
      <c r="F38" s="87"/>
      <c r="G38" s="14" t="str">
        <f>"("&amp;$O38&amp;", "&amp;$P38&amp;"]"</f>
        <v>(90, 100]</v>
      </c>
      <c r="H38" s="80">
        <v>0.26332047742033</v>
      </c>
      <c r="I38" s="38" t="e">
        <v>#DIV/0!</v>
      </c>
      <c r="J38" s="38" t="e">
        <v>#DIV/0!</v>
      </c>
      <c r="K38" s="81" t="e">
        <v>#DIV/0!</v>
      </c>
      <c r="L38" s="38" t="e">
        <v>#DIV/0!</v>
      </c>
      <c r="M38" s="38" t="e">
        <v>#DIV/0!</v>
      </c>
      <c r="N38" s="83"/>
      <c r="O38" s="69">
        <v>90</v>
      </c>
      <c r="P38" s="69">
        <v>100</v>
      </c>
      <c r="Q38" s="38" t="e">
        <v>#DIV/0!</v>
      </c>
      <c r="R38" s="38">
        <v>1.06E-4</v>
      </c>
      <c r="T38" s="38"/>
      <c r="U38" s="84">
        <v>0</v>
      </c>
    </row>
    <row r="39" spans="1:21" x14ac:dyDescent="0.3">
      <c r="A39" s="14" t="str">
        <f>"("&amp;$O39&amp;", "&amp;$P39&amp;"]"</f>
        <v>(100, 120]</v>
      </c>
      <c r="B39" s="85">
        <v>525213</v>
      </c>
      <c r="C39" s="85">
        <v>5740505310</v>
      </c>
      <c r="D39" s="38" t="e">
        <v>#DIV/0!</v>
      </c>
      <c r="E39" s="79">
        <v>0</v>
      </c>
      <c r="F39" s="87"/>
      <c r="G39" s="14" t="str">
        <f>"("&amp;$O39&amp;", "&amp;$P39&amp;"]"</f>
        <v>(100, 120]</v>
      </c>
      <c r="H39" s="80">
        <v>0.116734026630097</v>
      </c>
      <c r="I39" s="38" t="e">
        <v>#DIV/0!</v>
      </c>
      <c r="J39" s="38" t="e">
        <v>#DIV/0!</v>
      </c>
      <c r="K39" s="81" t="e">
        <v>#DIV/0!</v>
      </c>
      <c r="L39" s="38" t="e">
        <v>#DIV/0!</v>
      </c>
      <c r="M39" s="38" t="e">
        <v>#DIV/0!</v>
      </c>
      <c r="N39" s="83"/>
      <c r="O39" s="69">
        <v>100</v>
      </c>
      <c r="P39" s="69">
        <v>120</v>
      </c>
      <c r="Q39" s="38" t="e">
        <v>#DIV/0!</v>
      </c>
      <c r="R39" s="38">
        <v>6.3999999999999997E-5</v>
      </c>
      <c r="T39" s="38"/>
      <c r="U39" s="84">
        <v>0</v>
      </c>
    </row>
    <row r="40" spans="1:21" x14ac:dyDescent="0.3">
      <c r="A40" s="14" t="str">
        <f>"("&amp;$O40&amp;", "&amp;$P40&amp;"]"</f>
        <v>(120, 140]</v>
      </c>
      <c r="B40" s="85">
        <v>309872</v>
      </c>
      <c r="C40" s="85">
        <v>4001020860</v>
      </c>
      <c r="D40" s="38" t="e">
        <v>#DIV/0!</v>
      </c>
      <c r="E40" s="79">
        <v>0</v>
      </c>
      <c r="F40" s="87"/>
      <c r="G40" s="14" t="str">
        <f>"("&amp;$O40&amp;", "&amp;$P40&amp;"]"</f>
        <v>(120, 140]</v>
      </c>
      <c r="H40" s="80">
        <v>0.0649217053179388</v>
      </c>
      <c r="I40" s="38" t="e">
        <v>#DIV/0!</v>
      </c>
      <c r="J40" s="38" t="e">
        <v>#DIV/0!</v>
      </c>
      <c r="K40" s="81" t="e">
        <v>#DIV/0!</v>
      </c>
      <c r="L40" s="38" t="e">
        <v>#DIV/0!</v>
      </c>
      <c r="M40" s="38" t="e">
        <v>#DIV/0!</v>
      </c>
      <c r="N40" s="83"/>
      <c r="O40" s="69">
        <v>120</v>
      </c>
      <c r="P40" s="69">
        <v>140</v>
      </c>
      <c r="Q40" s="38" t="e">
        <v>#DIV/0!</v>
      </c>
      <c r="R40" s="38">
        <v>2.0999999999999999E-5</v>
      </c>
      <c r="T40" s="38"/>
      <c r="U40" s="84">
        <v>0</v>
      </c>
    </row>
    <row r="41" spans="1:21" x14ac:dyDescent="0.3">
      <c r="A41" s="14" t="str">
        <f>"("&amp;$O41&amp;", "&amp;$P41&amp;"]"</f>
        <v>(140, 160]</v>
      </c>
      <c r="B41" s="85">
        <v>200115</v>
      </c>
      <c r="C41" s="85">
        <v>2993794525</v>
      </c>
      <c r="D41" s="38" t="e">
        <v>#DIV/0!</v>
      </c>
      <c r="E41" s="79">
        <v>0</v>
      </c>
      <c r="F41" s="87"/>
      <c r="G41" s="14" t="str">
        <f>"("&amp;$O41&amp;", "&amp;$P41&amp;"]"</f>
        <v>(140, 160]</v>
      </c>
      <c r="H41" s="80">
        <v>0</v>
      </c>
      <c r="I41" s="38" t="e">
        <v>#DIV/0!</v>
      </c>
      <c r="J41" s="38" t="e">
        <v>#DIV/0!</v>
      </c>
      <c r="K41" s="81" t="e">
        <v>#DIV/0!</v>
      </c>
      <c r="L41" s="38" t="e">
        <v>#DIV/0!</v>
      </c>
      <c r="M41" s="38" t="e">
        <v>#DIV/0!</v>
      </c>
      <c r="N41" s="83"/>
      <c r="O41" s="69">
        <v>140</v>
      </c>
      <c r="P41" s="69">
        <v>160</v>
      </c>
      <c r="Q41" s="38" t="e">
        <v>#DIV/0!</v>
      </c>
      <c r="R41" s="38">
        <v>0</v>
      </c>
      <c r="T41" s="38"/>
      <c r="U41" s="84">
        <v>0</v>
      </c>
    </row>
    <row r="42" spans="1:21" x14ac:dyDescent="0.3">
      <c r="A42" s="14" t="str">
        <f>"("&amp;$O42&amp;", "&amp;$P42&amp;"]"</f>
        <v>(160, 180]</v>
      </c>
      <c r="B42" s="85">
        <v>136508</v>
      </c>
      <c r="C42" s="85">
        <v>2312105855</v>
      </c>
      <c r="D42" s="38" t="e">
        <v>#DIV/0!</v>
      </c>
      <c r="E42" s="79">
        <v>0</v>
      </c>
      <c r="F42" s="87"/>
      <c r="G42" s="14" t="str">
        <f>"("&amp;$O42&amp;", "&amp;$P42&amp;"]"</f>
        <v>(160, 180]</v>
      </c>
      <c r="H42" s="80">
        <v>0</v>
      </c>
      <c r="I42" s="38" t="e">
        <v>#DIV/0!</v>
      </c>
      <c r="J42" s="38" t="e">
        <v>#DIV/0!</v>
      </c>
      <c r="K42" s="81" t="e">
        <v>#DIV/0!</v>
      </c>
      <c r="L42" s="38" t="e">
        <v>#DIV/0!</v>
      </c>
      <c r="M42" s="38" t="e">
        <v>#DIV/0!</v>
      </c>
      <c r="N42" s="83"/>
      <c r="O42" s="69">
        <v>160</v>
      </c>
      <c r="P42" s="69">
        <v>180</v>
      </c>
      <c r="Q42" s="38" t="e">
        <v>#DIV/0!</v>
      </c>
      <c r="R42" s="38">
        <v>0</v>
      </c>
      <c r="T42" s="38"/>
      <c r="U42" s="84">
        <v>0</v>
      </c>
    </row>
    <row r="43" spans="1:21" x14ac:dyDescent="0.3">
      <c r="A43" s="14" t="str">
        <f>"("&amp;$O43&amp;", "&amp;$P43&amp;"]"</f>
        <v>(180, 200]</v>
      </c>
      <c r="B43" s="85">
        <v>89553</v>
      </c>
      <c r="C43" s="85">
        <v>1696850110</v>
      </c>
      <c r="D43" s="38" t="e">
        <v>#DIV/0!</v>
      </c>
      <c r="E43" s="79">
        <v>0</v>
      </c>
      <c r="F43" s="87"/>
      <c r="G43" s="14" t="str">
        <f>"("&amp;$O43&amp;", "&amp;$P43&amp;"]"</f>
        <v>(180, 200]</v>
      </c>
      <c r="H43" s="80">
        <v>0.224642599022705</v>
      </c>
      <c r="I43" s="38" t="e">
        <v>#DIV/0!</v>
      </c>
      <c r="J43" s="38" t="e">
        <v>#DIV/0!</v>
      </c>
      <c r="K43" s="81" t="e">
        <v>#DIV/0!</v>
      </c>
      <c r="L43" s="38" t="e">
        <v>#DIV/0!</v>
      </c>
      <c r="M43" s="38" t="e">
        <v>#DIV/0!</v>
      </c>
      <c r="N43" s="83"/>
      <c r="O43" s="69">
        <v>180</v>
      </c>
      <c r="P43" s="69">
        <v>200</v>
      </c>
      <c r="Q43" s="38" t="e">
        <v>#DIV/0!</v>
      </c>
      <c r="R43" s="38">
        <v>2.0999999999999999E-5</v>
      </c>
      <c r="T43" s="38"/>
      <c r="U43" s="84">
        <v>0</v>
      </c>
    </row>
    <row r="44" spans="1:21" x14ac:dyDescent="0.3">
      <c r="A44" s="14" t="str">
        <f>"("&amp;$O44&amp;", "&amp;$P44&amp;"]"</f>
        <v>(200, 250]</v>
      </c>
      <c r="B44" s="85">
        <v>134625</v>
      </c>
      <c r="C44" s="85">
        <v>2993550425</v>
      </c>
      <c r="D44" s="38" t="e">
        <v>#DIV/0!</v>
      </c>
      <c r="E44" s="79">
        <v>0</v>
      </c>
      <c r="F44" s="87"/>
      <c r="G44" s="14" t="str">
        <f>"("&amp;$O44&amp;", "&amp;$P44&amp;"]"</f>
        <v>(200, 250]</v>
      </c>
      <c r="H44" s="80">
        <v>0</v>
      </c>
      <c r="I44" s="38" t="e">
        <v>#DIV/0!</v>
      </c>
      <c r="J44" s="38" t="e">
        <v>#DIV/0!</v>
      </c>
      <c r="K44" s="81" t="e">
        <v>#DIV/0!</v>
      </c>
      <c r="L44" s="38" t="e">
        <v>#DIV/0!</v>
      </c>
      <c r="M44" s="38" t="e">
        <v>#DIV/0!</v>
      </c>
      <c r="N44" s="83"/>
      <c r="O44" s="69">
        <v>200</v>
      </c>
      <c r="P44" s="69">
        <v>250</v>
      </c>
      <c r="Q44" s="38" t="e">
        <v>#DIV/0!</v>
      </c>
      <c r="R44" s="38">
        <v>0</v>
      </c>
      <c r="T44" s="38"/>
      <c r="U44" s="84">
        <v>0</v>
      </c>
    </row>
    <row r="45" spans="1:21" x14ac:dyDescent="0.3">
      <c r="A45" s="14" t="str">
        <f>"("&amp;$O45&amp;", "&amp;$P45&amp;"]"</f>
        <v>(250, 300]</v>
      </c>
      <c r="B45" s="85">
        <v>62011</v>
      </c>
      <c r="C45" s="85">
        <v>1688069400</v>
      </c>
      <c r="D45" s="38" t="e">
        <v>#DIV/0!</v>
      </c>
      <c r="E45" s="79">
        <v>0</v>
      </c>
      <c r="F45" s="87"/>
      <c r="G45" s="14" t="str">
        <f>"("&amp;$O45&amp;", "&amp;$P45&amp;"]"</f>
        <v>(250, 300]</v>
      </c>
      <c r="H45" s="80">
        <v>0</v>
      </c>
      <c r="I45" s="38" t="e">
        <v>#DIV/0!</v>
      </c>
      <c r="J45" s="38" t="e">
        <v>#DIV/0!</v>
      </c>
      <c r="K45" s="81" t="e">
        <v>#DIV/0!</v>
      </c>
      <c r="L45" s="38" t="e">
        <v>#DIV/0!</v>
      </c>
      <c r="M45" s="38" t="e">
        <v>#DIV/0!</v>
      </c>
      <c r="N45" s="83"/>
      <c r="O45" s="69">
        <v>250</v>
      </c>
      <c r="P45" s="69">
        <v>300</v>
      </c>
      <c r="Q45" s="38" t="e">
        <v>#DIV/0!</v>
      </c>
      <c r="R45" s="38">
        <v>0</v>
      </c>
      <c r="T45" s="38"/>
      <c r="U45" s="84">
        <v>0</v>
      </c>
    </row>
    <row r="46" spans="1:21" x14ac:dyDescent="0.3">
      <c r="A46" s="14" t="str">
        <f>"("&amp;$O46&amp;", "&amp;$P46&amp;"]"</f>
        <v>(300, 350]</v>
      </c>
      <c r="B46" s="85">
        <v>36329</v>
      </c>
      <c r="C46" s="85">
        <v>1172012085</v>
      </c>
      <c r="D46" s="38" t="e">
        <v>#DIV/0!</v>
      </c>
      <c r="E46" s="79">
        <v>0</v>
      </c>
      <c r="F46" s="87"/>
      <c r="G46" s="14" t="str">
        <f>"("&amp;$O46&amp;", "&amp;$P46&amp;"]"</f>
        <v>(300, 350]</v>
      </c>
      <c r="H46" s="80">
        <v>0</v>
      </c>
      <c r="I46" s="38" t="e">
        <v>#DIV/0!</v>
      </c>
      <c r="J46" s="38" t="e">
        <v>#DIV/0!</v>
      </c>
      <c r="K46" s="81" t="e">
        <v>#DIV/0!</v>
      </c>
      <c r="L46" s="38" t="e">
        <v>#DIV/0!</v>
      </c>
      <c r="M46" s="38" t="e">
        <v>#DIV/0!</v>
      </c>
      <c r="N46" s="83"/>
      <c r="O46" s="69">
        <v>300</v>
      </c>
      <c r="P46" s="69">
        <v>350</v>
      </c>
      <c r="Q46" s="38" t="e">
        <v>#DIV/0!</v>
      </c>
      <c r="R46" s="38">
        <v>0</v>
      </c>
      <c r="T46" s="38"/>
      <c r="U46" s="84">
        <v>0</v>
      </c>
    </row>
    <row r="47" spans="1:21" x14ac:dyDescent="0.3">
      <c r="A47" s="14" t="str">
        <f>"("&amp;$O47&amp;", "&amp;$P47&amp;"]"</f>
        <v>(350, 400]</v>
      </c>
      <c r="B47" s="85">
        <v>19646</v>
      </c>
      <c r="C47" s="85">
        <v>732146825</v>
      </c>
      <c r="D47" s="38" t="e">
        <v>#DIV/0!</v>
      </c>
      <c r="E47" s="79">
        <v>0</v>
      </c>
      <c r="F47" s="87"/>
      <c r="G47" s="14" t="str">
        <f>"("&amp;$O47&amp;", "&amp;$P47&amp;"]"</f>
        <v>(350, 400]</v>
      </c>
      <c r="H47" s="80">
        <v>0</v>
      </c>
      <c r="I47" s="38" t="e">
        <v>#DIV/0!</v>
      </c>
      <c r="J47" s="38" t="e">
        <v>#DIV/0!</v>
      </c>
      <c r="K47" s="81" t="e">
        <v>#DIV/0!</v>
      </c>
      <c r="L47" s="38" t="e">
        <v>#DIV/0!</v>
      </c>
      <c r="M47" s="38" t="e">
        <v>#DIV/0!</v>
      </c>
      <c r="N47" s="83"/>
      <c r="O47" s="69">
        <v>350</v>
      </c>
      <c r="P47" s="69">
        <v>400</v>
      </c>
      <c r="Q47" s="38" t="e">
        <v>#DIV/0!</v>
      </c>
      <c r="R47" s="38">
        <v>0</v>
      </c>
      <c r="T47" s="38"/>
      <c r="U47" s="84">
        <v>0</v>
      </c>
    </row>
    <row r="48" spans="1:21" x14ac:dyDescent="0.3">
      <c r="A48" s="14" t="str">
        <f>"("&amp;$O48&amp;", "&amp;$P48&amp;"]"</f>
        <v>(400, 450]</v>
      </c>
      <c r="B48" s="85">
        <v>12054</v>
      </c>
      <c r="C48" s="85">
        <v>510954935</v>
      </c>
      <c r="D48" s="38" t="e">
        <v>#DIV/0!</v>
      </c>
      <c r="E48" s="79">
        <v>0</v>
      </c>
      <c r="F48" s="87"/>
      <c r="G48" s="14" t="str">
        <f>"("&amp;$O48&amp;", "&amp;$P48&amp;"]"</f>
        <v>(400, 450]</v>
      </c>
      <c r="H48" s="80">
        <v>0</v>
      </c>
      <c r="I48" s="38" t="e">
        <v>#DIV/0!</v>
      </c>
      <c r="J48" s="38" t="e">
        <v>#DIV/0!</v>
      </c>
      <c r="K48" s="81" t="e">
        <v>#DIV/0!</v>
      </c>
      <c r="L48" s="38" t="e">
        <v>#DIV/0!</v>
      </c>
      <c r="M48" s="38" t="e">
        <v>#DIV/0!</v>
      </c>
      <c r="N48" s="83"/>
      <c r="O48" s="69">
        <v>400</v>
      </c>
      <c r="P48" s="69">
        <v>450</v>
      </c>
      <c r="Q48" s="38" t="e">
        <v>#DIV/0!</v>
      </c>
      <c r="R48" s="38">
        <v>0</v>
      </c>
      <c r="T48" s="38"/>
      <c r="U48" s="84">
        <v>0</v>
      </c>
    </row>
    <row r="49" spans="1:21" x14ac:dyDescent="0.3">
      <c r="A49" s="14" t="str">
        <f>"("&amp;$O49&amp;", "&amp;$P49&amp;"]"</f>
        <v>(450, 500]</v>
      </c>
      <c r="B49" s="85">
        <v>8732</v>
      </c>
      <c r="C49" s="85">
        <v>412924555</v>
      </c>
      <c r="D49" s="38" t="e">
        <v>#DIV/0!</v>
      </c>
      <c r="E49" s="79">
        <v>0</v>
      </c>
      <c r="F49" s="87"/>
      <c r="G49" s="14" t="str">
        <f>"("&amp;$O49&amp;", "&amp;$P49&amp;"]"</f>
        <v>(450, 500]</v>
      </c>
      <c r="H49" s="80">
        <v>0</v>
      </c>
      <c r="I49" s="38" t="e">
        <v>#DIV/0!</v>
      </c>
      <c r="J49" s="38" t="e">
        <v>#DIV/0!</v>
      </c>
      <c r="K49" s="81" t="e">
        <v>#DIV/0!</v>
      </c>
      <c r="L49" s="38" t="e">
        <v>#DIV/0!</v>
      </c>
      <c r="M49" s="38" t="e">
        <v>#DIV/0!</v>
      </c>
      <c r="N49" s="83"/>
      <c r="O49" s="69">
        <v>450</v>
      </c>
      <c r="P49" s="69">
        <v>500</v>
      </c>
      <c r="Q49" s="38" t="e">
        <v>#DIV/0!</v>
      </c>
      <c r="R49" s="38">
        <v>0</v>
      </c>
      <c r="T49" s="38"/>
      <c r="U49" s="84">
        <v>0</v>
      </c>
    </row>
    <row r="50" spans="1:21" x14ac:dyDescent="0.3">
      <c r="A50" s="14" t="str">
        <f>"("&amp;$O50&amp;", "&amp;$P50&amp;"]"</f>
        <v>(500, 550]</v>
      </c>
      <c r="B50" s="85">
        <v>5111</v>
      </c>
      <c r="C50" s="85">
        <v>267140225</v>
      </c>
      <c r="D50" s="38" t="e">
        <v>#DIV/0!</v>
      </c>
      <c r="E50" s="79">
        <v>0</v>
      </c>
      <c r="F50" s="87"/>
      <c r="G50" s="14" t="str">
        <f>"("&amp;$O50&amp;", "&amp;$P50&amp;"]"</f>
        <v>(500, 550]</v>
      </c>
      <c r="H50" s="80">
        <v>0</v>
      </c>
      <c r="I50" s="38" t="e">
        <v>#DIV/0!</v>
      </c>
      <c r="J50" s="38" t="e">
        <v>#DIV/0!</v>
      </c>
      <c r="K50" s="81" t="e">
        <v>#DIV/0!</v>
      </c>
      <c r="L50" s="38" t="e">
        <v>#DIV/0!</v>
      </c>
      <c r="M50" s="38" t="e">
        <v>#DIV/0!</v>
      </c>
      <c r="N50" s="83"/>
      <c r="O50" s="69">
        <v>500</v>
      </c>
      <c r="P50" s="69">
        <v>550</v>
      </c>
      <c r="Q50" s="38" t="e">
        <v>#DIV/0!</v>
      </c>
      <c r="R50" s="38">
        <v>0</v>
      </c>
      <c r="T50" s="38"/>
      <c r="U50" s="84">
        <v>0</v>
      </c>
    </row>
    <row r="51" spans="1:21" x14ac:dyDescent="0.3">
      <c r="A51" s="14" t="str">
        <f>"("&amp;$O51&amp;", "&amp;$P51&amp;"]"</f>
        <v>(550, 600]</v>
      </c>
      <c r="B51" s="85">
        <v>3570</v>
      </c>
      <c r="C51" s="85">
        <v>205181690</v>
      </c>
      <c r="D51" s="38" t="e">
        <v>#DIV/0!</v>
      </c>
      <c r="E51" s="79">
        <v>0</v>
      </c>
      <c r="F51" s="87"/>
      <c r="G51" s="14" t="str">
        <f>"("&amp;$O51&amp;", "&amp;$P51&amp;"]"</f>
        <v>(550, 600]</v>
      </c>
      <c r="H51" s="80">
        <v>0</v>
      </c>
      <c r="I51" s="38" t="e">
        <v>#DIV/0!</v>
      </c>
      <c r="J51" s="38" t="e">
        <v>#DIV/0!</v>
      </c>
      <c r="K51" s="81" t="e">
        <v>#DIV/0!</v>
      </c>
      <c r="L51" s="38" t="e">
        <v>#DIV/0!</v>
      </c>
      <c r="M51" s="38" t="e">
        <v>#DIV/0!</v>
      </c>
      <c r="N51" s="83"/>
      <c r="O51" s="69">
        <v>550</v>
      </c>
      <c r="P51" s="69">
        <v>600</v>
      </c>
      <c r="Q51" s="38" t="e">
        <v>#DIV/0!</v>
      </c>
      <c r="R51" s="38">
        <v>0</v>
      </c>
      <c r="T51" s="38"/>
      <c r="U51" s="84">
        <v>0</v>
      </c>
    </row>
    <row r="52" spans="1:21" x14ac:dyDescent="0.3">
      <c r="A52" s="14" t="str">
        <f>"("&amp;$O52&amp;", "&amp;$P52&amp;"]"</f>
        <v>(600, 650]</v>
      </c>
      <c r="B52" s="85">
        <v>2674</v>
      </c>
      <c r="C52" s="85">
        <v>166541140</v>
      </c>
      <c r="D52" s="38" t="e">
        <v>#DIV/0!</v>
      </c>
      <c r="E52" s="79">
        <v>0</v>
      </c>
      <c r="F52" s="87"/>
      <c r="G52" s="14" t="str">
        <f>"("&amp;$O52&amp;", "&amp;$P52&amp;"]"</f>
        <v>(600, 650]</v>
      </c>
      <c r="H52" s="80">
        <v>0</v>
      </c>
      <c r="I52" s="38" t="e">
        <v>#DIV/0!</v>
      </c>
      <c r="J52" s="38" t="e">
        <v>#DIV/0!</v>
      </c>
      <c r="K52" s="81" t="e">
        <v>#DIV/0!</v>
      </c>
      <c r="L52" s="38" t="e">
        <v>#DIV/0!</v>
      </c>
      <c r="M52" s="38" t="e">
        <v>#DIV/0!</v>
      </c>
      <c r="N52" s="83"/>
      <c r="O52" s="69">
        <v>600</v>
      </c>
      <c r="P52" s="69">
        <v>650</v>
      </c>
      <c r="Q52" s="38" t="e">
        <v>#DIV/0!</v>
      </c>
      <c r="R52" s="38">
        <v>0</v>
      </c>
      <c r="T52" s="38"/>
      <c r="U52" s="84">
        <v>0</v>
      </c>
    </row>
    <row r="53" spans="1:21" x14ac:dyDescent="0.3">
      <c r="A53" s="14" t="str">
        <f>"("&amp;$O53&amp;", "&amp;$P53&amp;"]"</f>
        <v>(650, 700]</v>
      </c>
      <c r="B53" s="85">
        <v>1976</v>
      </c>
      <c r="C53" s="85">
        <v>133016900</v>
      </c>
      <c r="D53" s="38" t="e">
        <v>#DIV/0!</v>
      </c>
      <c r="E53" s="79">
        <v>0</v>
      </c>
      <c r="F53" s="87"/>
      <c r="G53" s="14" t="str">
        <f>"("&amp;$O53&amp;", "&amp;$P53&amp;"]"</f>
        <v>(650, 700]</v>
      </c>
      <c r="H53" s="80">
        <v>0</v>
      </c>
      <c r="I53" s="38" t="e">
        <v>#DIV/0!</v>
      </c>
      <c r="J53" s="38" t="e">
        <v>#DIV/0!</v>
      </c>
      <c r="K53" s="81" t="e">
        <v>#DIV/0!</v>
      </c>
      <c r="L53" s="38" t="e">
        <v>#DIV/0!</v>
      </c>
      <c r="M53" s="38" t="e">
        <v>#DIV/0!</v>
      </c>
      <c r="N53" s="83"/>
      <c r="O53" s="69">
        <v>650</v>
      </c>
      <c r="P53" s="69">
        <v>700</v>
      </c>
      <c r="Q53" s="38" t="e">
        <v>#DIV/0!</v>
      </c>
      <c r="R53" s="38">
        <v>0</v>
      </c>
      <c r="T53" s="38"/>
      <c r="U53" s="84">
        <v>0</v>
      </c>
    </row>
    <row r="54" spans="1:21" x14ac:dyDescent="0.3">
      <c r="A54" s="14" t="str">
        <f>"("&amp;$O54&amp;", "&amp;$P54&amp;"]"</f>
        <v>(700, 750]</v>
      </c>
      <c r="B54" s="85">
        <v>1374</v>
      </c>
      <c r="C54" s="85">
        <v>99478545</v>
      </c>
      <c r="D54" s="38" t="e">
        <v>#DIV/0!</v>
      </c>
      <c r="E54" s="79">
        <v>0</v>
      </c>
      <c r="F54" s="87"/>
      <c r="G54" s="14" t="str">
        <f>"("&amp;$O54&amp;", "&amp;$P54&amp;"]"</f>
        <v>(700, 750]</v>
      </c>
      <c r="H54" s="80">
        <v>0</v>
      </c>
      <c r="I54" s="38" t="e">
        <v>#DIV/0!</v>
      </c>
      <c r="J54" s="38" t="e">
        <v>#DIV/0!</v>
      </c>
      <c r="K54" s="81" t="e">
        <v>#DIV/0!</v>
      </c>
      <c r="L54" s="38" t="e">
        <v>#DIV/0!</v>
      </c>
      <c r="M54" s="38" t="e">
        <v>#DIV/0!</v>
      </c>
      <c r="N54" s="83"/>
      <c r="O54" s="69">
        <v>700</v>
      </c>
      <c r="P54" s="69">
        <v>750</v>
      </c>
      <c r="Q54" s="38" t="e">
        <v>#DIV/0!</v>
      </c>
      <c r="R54" s="38">
        <v>0</v>
      </c>
      <c r="T54" s="38"/>
      <c r="U54" s="84">
        <v>0</v>
      </c>
    </row>
    <row r="55" spans="1:21" x14ac:dyDescent="0.3">
      <c r="A55" s="14" t="str">
        <f>"("&amp;$O55&amp;", "&amp;$P55&amp;"]"</f>
        <v>(750, 800]</v>
      </c>
      <c r="B55" s="85">
        <v>989</v>
      </c>
      <c r="C55" s="85">
        <v>76514355</v>
      </c>
      <c r="D55" s="38" t="e">
        <v>#DIV/0!</v>
      </c>
      <c r="E55" s="79">
        <v>0</v>
      </c>
      <c r="F55" s="87"/>
      <c r="G55" s="14" t="str">
        <f>"("&amp;$O55&amp;", "&amp;$P55&amp;"]"</f>
        <v>(750, 800]</v>
      </c>
      <c r="H55" s="80">
        <v>0</v>
      </c>
      <c r="I55" s="38" t="e">
        <v>#DIV/0!</v>
      </c>
      <c r="J55" s="38" t="e">
        <v>#DIV/0!</v>
      </c>
      <c r="K55" s="81" t="e">
        <v>#DIV/0!</v>
      </c>
      <c r="L55" s="38" t="e">
        <v>#DIV/0!</v>
      </c>
      <c r="M55" s="38" t="e">
        <v>#DIV/0!</v>
      </c>
      <c r="N55" s="83"/>
      <c r="O55" s="69">
        <v>750</v>
      </c>
      <c r="P55" s="69">
        <v>800</v>
      </c>
      <c r="Q55" s="38" t="e">
        <v>#DIV/0!</v>
      </c>
      <c r="R55" s="38">
        <v>0</v>
      </c>
      <c r="T55" s="38"/>
      <c r="U55" s="84">
        <v>0</v>
      </c>
    </row>
    <row r="56" spans="1:21" x14ac:dyDescent="0.3">
      <c r="A56" s="14" t="str">
        <f>"("&amp;$O56&amp;", "&amp;$P56&amp;"]"</f>
        <v>(800, 850]</v>
      </c>
      <c r="B56" s="85">
        <v>711</v>
      </c>
      <c r="C56" s="85">
        <v>58588745</v>
      </c>
      <c r="D56" s="38" t="e">
        <v>#DIV/0!</v>
      </c>
      <c r="E56" s="79">
        <v>0</v>
      </c>
      <c r="F56" s="87"/>
      <c r="G56" s="14" t="str">
        <f>"("&amp;$O56&amp;", "&amp;$P56&amp;"]"</f>
        <v>(800, 850]</v>
      </c>
      <c r="H56" s="80">
        <v>0</v>
      </c>
      <c r="I56" s="38" t="e">
        <v>#DIV/0!</v>
      </c>
      <c r="J56" s="38" t="e">
        <v>#DIV/0!</v>
      </c>
      <c r="K56" s="81" t="e">
        <v>#DIV/0!</v>
      </c>
      <c r="L56" s="38" t="e">
        <v>#DIV/0!</v>
      </c>
      <c r="M56" s="38" t="e">
        <v>#DIV/0!</v>
      </c>
      <c r="N56" s="83"/>
      <c r="O56" s="69">
        <v>800</v>
      </c>
      <c r="P56" s="69">
        <v>850</v>
      </c>
      <c r="Q56" s="38" t="e">
        <v>#DIV/0!</v>
      </c>
      <c r="R56" s="38">
        <v>0</v>
      </c>
      <c r="T56" s="38"/>
      <c r="U56" s="84">
        <v>0</v>
      </c>
    </row>
    <row r="57" spans="1:21" x14ac:dyDescent="0.3">
      <c r="A57" s="14" t="str">
        <f>"("&amp;$O57&amp;", "&amp;$P57&amp;"]"</f>
        <v>(850, 900]</v>
      </c>
      <c r="B57" s="85">
        <v>691</v>
      </c>
      <c r="C57" s="85">
        <v>60619485</v>
      </c>
      <c r="D57" s="38" t="e">
        <v>#DIV/0!</v>
      </c>
      <c r="E57" s="79">
        <v>0</v>
      </c>
      <c r="F57" s="87"/>
      <c r="G57" s="14" t="str">
        <f>"("&amp;$O57&amp;", "&amp;$P57&amp;"]"</f>
        <v>(850, 900]</v>
      </c>
      <c r="H57" s="80">
        <v>0</v>
      </c>
      <c r="I57" s="38" t="e">
        <v>#DIV/0!</v>
      </c>
      <c r="J57" s="38" t="e">
        <v>#DIV/0!</v>
      </c>
      <c r="K57" s="82" t="e">
        <v>#DIV/0!</v>
      </c>
      <c r="L57" s="38" t="e">
        <v>#DIV/0!</v>
      </c>
      <c r="M57" s="38" t="e">
        <v>#DIV/0!</v>
      </c>
      <c r="N57" s="83"/>
      <c r="O57" s="69">
        <v>850</v>
      </c>
      <c r="P57" s="69">
        <v>900</v>
      </c>
      <c r="Q57" s="38" t="e">
        <v>#DIV/0!</v>
      </c>
      <c r="R57" s="38">
        <v>0</v>
      </c>
      <c r="T57" s="38"/>
      <c r="U57" s="84">
        <v>0</v>
      </c>
    </row>
    <row r="58" spans="1:21" x14ac:dyDescent="0.3">
      <c r="A58" s="14" t="str">
        <f>"("&amp;$O58&amp;", "&amp;$P58&amp;"]"</f>
        <v>(900, 950]</v>
      </c>
      <c r="B58" s="85">
        <v>586</v>
      </c>
      <c r="C58" s="85">
        <v>54142340</v>
      </c>
      <c r="D58" s="38" t="e">
        <v>#DIV/0!</v>
      </c>
      <c r="E58" s="79">
        <v>0</v>
      </c>
      <c r="F58" s="87"/>
      <c r="G58" s="14" t="str">
        <f>"("&amp;$O58&amp;", "&amp;$P58&amp;"]"</f>
        <v>(900, 950]</v>
      </c>
      <c r="H58" s="80">
        <v>0</v>
      </c>
      <c r="I58" s="38" t="e">
        <v>#DIV/0!</v>
      </c>
      <c r="J58" s="38" t="e">
        <v>#DIV/0!</v>
      </c>
      <c r="K58" s="82" t="e">
        <v>#DIV/0!</v>
      </c>
      <c r="L58" s="38" t="e">
        <v>#DIV/0!</v>
      </c>
      <c r="M58" s="38" t="e">
        <v>#DIV/0!</v>
      </c>
      <c r="N58" s="83"/>
      <c r="O58" s="69">
        <v>900</v>
      </c>
      <c r="P58" s="69">
        <v>950</v>
      </c>
      <c r="Q58" s="38" t="e">
        <v>#DIV/0!</v>
      </c>
      <c r="R58" s="38">
        <v>0</v>
      </c>
      <c r="T58" s="38"/>
      <c r="U58" s="84">
        <v>0</v>
      </c>
    </row>
    <row r="59" spans="1:21" x14ac:dyDescent="0.3">
      <c r="A59" s="14" t="str">
        <f>"("&amp;$O59&amp;", "&amp;$P59&amp;"]"</f>
        <v>(950, 1000]</v>
      </c>
      <c r="B59" s="85">
        <v>391</v>
      </c>
      <c r="C59" s="85">
        <v>38088040</v>
      </c>
      <c r="D59" s="38" t="e">
        <v>#DIV/0!</v>
      </c>
      <c r="E59" s="79">
        <v>0</v>
      </c>
      <c r="F59" s="87"/>
      <c r="G59" s="14" t="str">
        <f>"("&amp;$O59&amp;", "&amp;$P59&amp;"]"</f>
        <v>(950, 1000]</v>
      </c>
      <c r="H59" s="80">
        <v>0</v>
      </c>
      <c r="I59" s="38" t="e">
        <v>#DIV/0!</v>
      </c>
      <c r="J59" s="38" t="e">
        <v>#DIV/0!</v>
      </c>
      <c r="K59" s="82" t="e">
        <v>#DIV/0!</v>
      </c>
      <c r="L59" s="38" t="e">
        <v>#DIV/0!</v>
      </c>
      <c r="M59" s="38" t="e">
        <v>#DIV/0!</v>
      </c>
      <c r="N59" s="83"/>
      <c r="O59" s="69">
        <v>950</v>
      </c>
      <c r="P59" s="69">
        <v>1000</v>
      </c>
      <c r="Q59" s="38" t="e">
        <v>#DIV/0!</v>
      </c>
      <c r="R59" s="38">
        <v>0</v>
      </c>
      <c r="T59" s="38"/>
      <c r="U59" s="84">
        <v>0</v>
      </c>
    </row>
    <row r="60" spans="1:21" x14ac:dyDescent="0.3">
      <c r="A60" s="14" t="str">
        <f>"("&amp;$O60&amp;", "&amp;$P60&amp;"]"</f>
        <v>(1000, 2000]</v>
      </c>
      <c r="B60" s="85">
        <v>1775</v>
      </c>
      <c r="C60" s="85">
        <v>224584030</v>
      </c>
      <c r="D60" s="38" t="e">
        <v>#DIV/0!</v>
      </c>
      <c r="E60" s="79">
        <v>0</v>
      </c>
      <c r="F60" s="87"/>
      <c r="G60" s="14" t="str">
        <f>"("&amp;$O60&amp;", "&amp;$P60&amp;"]"</f>
        <v>(1000, 2000]</v>
      </c>
      <c r="H60" s="80">
        <v>0</v>
      </c>
      <c r="I60" s="38" t="e">
        <v>#DIV/0!</v>
      </c>
      <c r="J60" s="38" t="e">
        <v>#DIV/0!</v>
      </c>
      <c r="K60" s="82" t="e">
        <v>#DIV/0!</v>
      </c>
      <c r="L60" s="38" t="e">
        <v>#DIV/0!</v>
      </c>
      <c r="M60" s="38" t="e">
        <v>#DIV/0!</v>
      </c>
      <c r="N60" s="83"/>
      <c r="O60" s="69">
        <v>1000</v>
      </c>
      <c r="P60" s="69">
        <v>2000</v>
      </c>
      <c r="Q60" s="38" t="e">
        <v>#DIV/0!</v>
      </c>
      <c r="R60" s="38">
        <v>0</v>
      </c>
      <c r="T60" s="38"/>
      <c r="U60" s="84">
        <v>0</v>
      </c>
    </row>
    <row r="61" spans="1:21" x14ac:dyDescent="0.3">
      <c r="A61" s="14" t="str">
        <f>"("&amp;$O61&amp;", "&amp;$P61&amp;"]"</f>
        <v>(2000, 3000]</v>
      </c>
      <c r="B61" s="85">
        <v>102</v>
      </c>
      <c r="C61" s="85">
        <v>23914030</v>
      </c>
      <c r="D61" s="38" t="e">
        <v>#DIV/0!</v>
      </c>
      <c r="E61" s="79">
        <v>0</v>
      </c>
      <c r="F61" s="87"/>
      <c r="G61" s="14" t="str">
        <f>"("&amp;$O61&amp;", "&amp;$P61&amp;"]"</f>
        <v>(2000, 3000]</v>
      </c>
      <c r="H61" s="80">
        <v>0</v>
      </c>
      <c r="I61" s="38" t="e">
        <v>#DIV/0!</v>
      </c>
      <c r="J61" s="38" t="e">
        <v>#DIV/0!</v>
      </c>
      <c r="K61" s="82" t="e">
        <v>#DIV/0!</v>
      </c>
      <c r="L61" s="38" t="e">
        <v>#DIV/0!</v>
      </c>
      <c r="M61" s="38" t="e">
        <v>#DIV/0!</v>
      </c>
      <c r="N61" s="83"/>
      <c r="O61" s="69">
        <v>2000</v>
      </c>
      <c r="P61" s="69">
        <v>3000</v>
      </c>
      <c r="Q61" s="38" t="e">
        <v>#DIV/0!</v>
      </c>
      <c r="R61" s="38">
        <v>0</v>
      </c>
      <c r="T61" s="38"/>
      <c r="U61" s="84">
        <v>0</v>
      </c>
    </row>
    <row r="62" spans="1:21" x14ac:dyDescent="0.3">
      <c r="A62" s="14" t="str">
        <f>"("&amp;$O62&amp;", "&amp;$P62&amp;"]"</f>
        <v>(3000, 4000]</v>
      </c>
      <c r="B62" s="85">
        <v>22</v>
      </c>
      <c r="C62" s="85">
        <v>7495425</v>
      </c>
      <c r="D62" s="38" t="e">
        <v>#DIV/0!</v>
      </c>
      <c r="E62" s="79">
        <v>0</v>
      </c>
      <c r="F62" s="87"/>
      <c r="G62" s="14" t="str">
        <f>"("&amp;$O62&amp;", "&amp;$P62&amp;"]"</f>
        <v>(3000, 4000]</v>
      </c>
      <c r="H62" s="80">
        <v>0</v>
      </c>
      <c r="I62" s="38" t="e">
        <v>#DIV/0!</v>
      </c>
      <c r="J62" s="38" t="e">
        <v>#DIV/0!</v>
      </c>
      <c r="K62" s="82" t="e">
        <v>#DIV/0!</v>
      </c>
      <c r="L62" s="38" t="e">
        <v>#DIV/0!</v>
      </c>
      <c r="M62" s="38" t="e">
        <v>#DIV/0!</v>
      </c>
      <c r="N62" s="83"/>
      <c r="O62" s="69">
        <v>3000</v>
      </c>
      <c r="P62" s="69">
        <v>4000</v>
      </c>
      <c r="Q62" s="38" t="e">
        <v>#DIV/0!</v>
      </c>
      <c r="R62" s="38">
        <v>0</v>
      </c>
      <c r="T62" s="38"/>
      <c r="U62" s="84">
        <v>0</v>
      </c>
    </row>
    <row r="63" spans="1:21" x14ac:dyDescent="0.3">
      <c r="A63" s="14" t="str">
        <f>"("&amp;$O63&amp;", "&amp;$P63&amp;"]"</f>
        <v>(4000, 5000]</v>
      </c>
      <c r="B63" s="85">
        <v>9</v>
      </c>
      <c r="C63" s="85">
        <v>4153385</v>
      </c>
      <c r="D63" s="38" t="e">
        <v>#DIV/0!</v>
      </c>
      <c r="E63" s="79">
        <v>0</v>
      </c>
      <c r="F63" s="87"/>
      <c r="G63" s="14" t="str">
        <f>"("&amp;$O63&amp;", "&amp;$P63&amp;"]"</f>
        <v>(4000, 5000]</v>
      </c>
      <c r="H63" s="80">
        <v>0</v>
      </c>
      <c r="I63" s="38" t="e">
        <v>#DIV/0!</v>
      </c>
      <c r="J63" s="38" t="e">
        <v>#DIV/0!</v>
      </c>
      <c r="K63" s="82" t="e">
        <v>#DIV/0!</v>
      </c>
      <c r="L63" s="38" t="e">
        <v>#DIV/0!</v>
      </c>
      <c r="M63" s="38" t="e">
        <v>#DIV/0!</v>
      </c>
      <c r="N63" s="83"/>
      <c r="O63" s="69">
        <v>4000</v>
      </c>
      <c r="P63" s="69">
        <v>5000</v>
      </c>
      <c r="Q63" s="38" t="e">
        <v>#DIV/0!</v>
      </c>
      <c r="R63" s="38">
        <v>0</v>
      </c>
      <c r="T63" s="38"/>
      <c r="U63" s="84">
        <v>0</v>
      </c>
    </row>
    <row r="64" spans="1:21" x14ac:dyDescent="0.3">
      <c r="A64" s="14" t="str">
        <f>"("&amp;$O64&amp;", "&amp;$P64&amp;"]"</f>
        <v>(5000, 6000]</v>
      </c>
      <c r="B64" s="85">
        <v>2</v>
      </c>
      <c r="C64" s="85">
        <v>1010765</v>
      </c>
      <c r="D64" s="38" t="e">
        <v>#DIV/0!</v>
      </c>
      <c r="E64" s="79">
        <v>0</v>
      </c>
      <c r="F64" s="87"/>
      <c r="G64" s="14" t="str">
        <f>"("&amp;$O64&amp;", "&amp;$P64&amp;"]"</f>
        <v>(5000, 6000]</v>
      </c>
      <c r="H64" s="80">
        <v>0</v>
      </c>
      <c r="I64" s="38" t="e">
        <v>#DIV/0!</v>
      </c>
      <c r="J64" s="38" t="e">
        <v>#DIV/0!</v>
      </c>
      <c r="K64" s="82" t="e">
        <v>#DIV/0!</v>
      </c>
      <c r="L64" s="38" t="e">
        <v>#DIV/0!</v>
      </c>
      <c r="M64" s="38" t="e">
        <v>#DIV/0!</v>
      </c>
      <c r="N64" s="83"/>
      <c r="O64" s="69">
        <v>5000</v>
      </c>
      <c r="P64" s="69">
        <v>6000</v>
      </c>
      <c r="Q64" s="38" t="e">
        <v>#DIV/0!</v>
      </c>
      <c r="R64" s="38">
        <v>0</v>
      </c>
      <c r="T64" s="38"/>
      <c r="U64" s="84">
        <v>0</v>
      </c>
    </row>
    <row r="65" spans="1:21" x14ac:dyDescent="0.3">
      <c r="A65" s="14" t="str">
        <f>"("&amp;$O65&amp;", "&amp;$P65&amp;"]"</f>
        <v>(6000, 7000]</v>
      </c>
      <c r="B65" s="85">
        <v>1</v>
      </c>
      <c r="C65" s="85">
        <v>617140</v>
      </c>
      <c r="D65" s="38" t="e">
        <v>#DIV/0!</v>
      </c>
      <c r="E65" s="79">
        <v>0</v>
      </c>
      <c r="F65" s="87"/>
      <c r="G65" s="14" t="str">
        <f>"("&amp;$O65&amp;", "&amp;$P65&amp;"]"</f>
        <v>(6000, 7000]</v>
      </c>
      <c r="H65" s="80">
        <v>0</v>
      </c>
      <c r="I65" s="38" t="e">
        <v>#DIV/0!</v>
      </c>
      <c r="J65" s="38" t="e">
        <v>#DIV/0!</v>
      </c>
      <c r="K65" s="82" t="e">
        <v>#DIV/0!</v>
      </c>
      <c r="L65" s="38" t="e">
        <v>#DIV/0!</v>
      </c>
      <c r="M65" s="38" t="e">
        <v>#DIV/0!</v>
      </c>
      <c r="N65" s="83"/>
      <c r="O65" s="69">
        <v>6000</v>
      </c>
      <c r="P65" s="69">
        <v>7000</v>
      </c>
      <c r="Q65" s="38" t="e">
        <v>#DIV/0!</v>
      </c>
      <c r="R65" s="38">
        <v>0</v>
      </c>
      <c r="T65" s="38"/>
      <c r="U65" s="84">
        <v>0</v>
      </c>
    </row>
    <row r="66" spans="1:21" x14ac:dyDescent="0.3">
      <c r="A66" s="14" t="str">
        <f>"("&amp;$O66&amp;", "&amp;$P66&amp;"]"</f>
        <v>(7000, 8000]</v>
      </c>
      <c r="B66" s="85">
        <v>2</v>
      </c>
      <c r="C66" s="85">
        <v>1454520</v>
      </c>
      <c r="D66" s="38" t="e">
        <v>#DIV/0!</v>
      </c>
      <c r="E66" s="79">
        <v>0</v>
      </c>
      <c r="F66" s="87"/>
      <c r="G66" s="14" t="str">
        <f>"("&amp;$O66&amp;", "&amp;$P66&amp;"]"</f>
        <v>(7000, 8000]</v>
      </c>
      <c r="H66" s="80">
        <v>0</v>
      </c>
      <c r="I66" s="38" t="e">
        <v>#DIV/0!</v>
      </c>
      <c r="J66" s="38" t="e">
        <v>#DIV/0!</v>
      </c>
      <c r="K66" s="82" t="e">
        <v>#DIV/0!</v>
      </c>
      <c r="L66" s="38" t="e">
        <v>#DIV/0!</v>
      </c>
      <c r="M66" s="38" t="e">
        <v>#DIV/0!</v>
      </c>
      <c r="N66" s="83"/>
      <c r="O66" s="69">
        <v>7000</v>
      </c>
      <c r="P66" s="69">
        <v>8000</v>
      </c>
      <c r="Q66" s="38" t="e">
        <v>#DIV/0!</v>
      </c>
      <c r="R66" s="38">
        <v>0</v>
      </c>
      <c r="T66" s="38"/>
      <c r="U66" s="84">
        <v>0</v>
      </c>
    </row>
    <row r="67" spans="1:21" x14ac:dyDescent="0.3">
      <c r="A67" s="14" t="str">
        <f>"("&amp;$O67&amp;", "&amp;$P67&amp;"]"</f>
        <v>(8000, 9000]</v>
      </c>
      <c r="B67" s="85">
        <v>0</v>
      </c>
      <c r="C67" s="85">
        <v>0</v>
      </c>
      <c r="D67" s="38" t="e">
        <v>#DIV/0!</v>
      </c>
      <c r="E67" s="79">
        <v>0</v>
      </c>
      <c r="F67" s="87"/>
      <c r="G67" s="14" t="str">
        <f>"("&amp;$O67&amp;", "&amp;$P67&amp;"]"</f>
        <v>(8000, 9000]</v>
      </c>
      <c r="H67" s="80">
        <v>1</v>
      </c>
      <c r="I67" s="38" t="e">
        <v>#DIV/0!</v>
      </c>
      <c r="J67" s="38" t="e">
        <v>#DIV/0!</v>
      </c>
      <c r="K67" s="82" t="e">
        <v>#DIV/0!</v>
      </c>
      <c r="L67" s="38" t="e">
        <v>#DIV/0!</v>
      </c>
      <c r="M67" s="38" t="e">
        <v>#DIV/0!</v>
      </c>
      <c r="N67" s="83"/>
      <c r="O67" s="69">
        <v>8000</v>
      </c>
      <c r="P67" s="69">
        <v>9000</v>
      </c>
      <c r="Q67" s="38" t="e">
        <v>#DIV/0!</v>
      </c>
      <c r="R67" s="38">
        <v>0</v>
      </c>
      <c r="T67" s="38"/>
      <c r="U67" s="84">
        <v>0</v>
      </c>
    </row>
    <row r="68" spans="1:21" x14ac:dyDescent="0.3">
      <c r="A68" s="14" t="str">
        <f>"("&amp;$O68&amp;", "&amp;$P68&amp;"]"</f>
        <v>(9000, 10000]</v>
      </c>
      <c r="B68" s="85">
        <v>0</v>
      </c>
      <c r="C68" s="85">
        <v>0</v>
      </c>
      <c r="D68" s="38" t="e">
        <v>#DIV/0!</v>
      </c>
      <c r="E68" s="79">
        <v>0</v>
      </c>
      <c r="F68" s="87"/>
      <c r="G68" s="14" t="str">
        <f>"("&amp;$O68&amp;", "&amp;$P68&amp;"]"</f>
        <v>(9000, 10000]</v>
      </c>
      <c r="H68" s="80">
        <v>1</v>
      </c>
      <c r="I68" s="38" t="e">
        <v>#DIV/0!</v>
      </c>
      <c r="J68" s="38" t="e">
        <v>#DIV/0!</v>
      </c>
      <c r="K68" s="82" t="e">
        <v>#DIV/0!</v>
      </c>
      <c r="L68" s="38" t="e">
        <v>#DIV/0!</v>
      </c>
      <c r="M68" s="38" t="e">
        <v>#DIV/0!</v>
      </c>
      <c r="N68" s="83"/>
      <c r="O68" s="69">
        <v>9000</v>
      </c>
      <c r="P68" s="69">
        <v>10000</v>
      </c>
      <c r="Q68" s="38" t="e">
        <v>#DIV/0!</v>
      </c>
      <c r="R68" s="38">
        <v>0</v>
      </c>
      <c r="T68" s="38"/>
      <c r="U68" s="84">
        <v>0</v>
      </c>
    </row>
    <row r="69" spans="1:21" x14ac:dyDescent="0.3">
      <c r="A69" s="14" t="str">
        <f>"("&amp;$O69&amp;", "&amp;$P69&amp;"]"</f>
        <v>(10000, 20000]</v>
      </c>
      <c r="B69" s="85">
        <v>0</v>
      </c>
      <c r="C69" s="85">
        <v>0</v>
      </c>
      <c r="D69" s="38" t="e">
        <v>#DIV/0!</v>
      </c>
      <c r="E69" s="79">
        <v>0</v>
      </c>
      <c r="F69" s="87"/>
      <c r="G69" s="14" t="str">
        <f>"("&amp;$O69&amp;", "&amp;$P69&amp;"]"</f>
        <v>(10000, 20000]</v>
      </c>
      <c r="H69" s="80">
        <v>1</v>
      </c>
      <c r="I69" s="38" t="e">
        <v>#DIV/0!</v>
      </c>
      <c r="J69" s="38" t="e">
        <v>#DIV/0!</v>
      </c>
      <c r="K69" s="82" t="e">
        <v>#DIV/0!</v>
      </c>
      <c r="L69" s="38" t="e">
        <v>#DIV/0!</v>
      </c>
      <c r="M69" s="38" t="e">
        <v>#DIV/0!</v>
      </c>
      <c r="N69" s="83"/>
      <c r="O69" s="69">
        <v>10000</v>
      </c>
      <c r="P69" s="69">
        <v>20000</v>
      </c>
      <c r="Q69" s="38" t="e">
        <v>#DIV/0!</v>
      </c>
      <c r="R69" s="38">
        <v>0</v>
      </c>
      <c r="T69" s="38"/>
      <c r="U69" s="84">
        <v>0</v>
      </c>
    </row>
    <row r="70" spans="1:21" x14ac:dyDescent="0.3">
      <c r="A70" s="14" t="str">
        <f>"("&amp;$O70&amp;", "&amp;$P70&amp;"]"</f>
        <v>(20000, 30000]</v>
      </c>
      <c r="B70" s="85">
        <v>0</v>
      </c>
      <c r="C70" s="85">
        <v>0</v>
      </c>
      <c r="D70" s="38" t="e">
        <v>#DIV/0!</v>
      </c>
      <c r="E70" s="79">
        <v>0</v>
      </c>
      <c r="F70" s="87"/>
      <c r="G70" s="14" t="str">
        <f>"("&amp;$O70&amp;", "&amp;$P70&amp;"]"</f>
        <v>(20000, 30000]</v>
      </c>
      <c r="H70" s="80">
        <v>1</v>
      </c>
      <c r="I70" s="38" t="e">
        <v>#DIV/0!</v>
      </c>
      <c r="J70" s="38" t="e">
        <v>#DIV/0!</v>
      </c>
      <c r="K70" s="82" t="e">
        <v>#DIV/0!</v>
      </c>
      <c r="L70" s="38" t="e">
        <v>#DIV/0!</v>
      </c>
      <c r="M70" s="38" t="e">
        <v>#DIV/0!</v>
      </c>
      <c r="N70" s="83"/>
      <c r="O70" s="69">
        <v>20000</v>
      </c>
      <c r="P70" s="69">
        <v>30000</v>
      </c>
      <c r="Q70" s="38" t="e">
        <v>#DIV/0!</v>
      </c>
      <c r="R70" s="38">
        <v>0</v>
      </c>
      <c r="T70" s="38"/>
      <c r="U70" s="84">
        <v>0</v>
      </c>
    </row>
    <row r="71" spans="1:21" x14ac:dyDescent="0.3">
      <c r="A71" s="14" t="str">
        <f>"("&amp;$O71&amp;", "&amp;$P71&amp;"]"</f>
        <v>(30000, 40000]</v>
      </c>
      <c r="B71" s="85">
        <v>0</v>
      </c>
      <c r="C71" s="85">
        <v>0</v>
      </c>
      <c r="D71" s="38" t="e">
        <v>#DIV/0!</v>
      </c>
      <c r="E71" s="79">
        <v>0</v>
      </c>
      <c r="F71" s="87"/>
      <c r="G71" s="14" t="str">
        <f>"("&amp;$O71&amp;", "&amp;$P71&amp;"]"</f>
        <v>(30000, 40000]</v>
      </c>
      <c r="H71" s="80">
        <v>1</v>
      </c>
      <c r="I71" s="38" t="e">
        <v>#DIV/0!</v>
      </c>
      <c r="J71" s="38" t="e">
        <v>#DIV/0!</v>
      </c>
      <c r="K71" s="82" t="e">
        <v>#DIV/0!</v>
      </c>
      <c r="L71" s="38" t="e">
        <v>#DIV/0!</v>
      </c>
      <c r="M71" s="38" t="e">
        <v>#DIV/0!</v>
      </c>
      <c r="N71" s="83"/>
      <c r="O71" s="69">
        <v>30000</v>
      </c>
      <c r="P71" s="69">
        <v>40000</v>
      </c>
      <c r="Q71" s="38" t="e">
        <v>#DIV/0!</v>
      </c>
      <c r="R71" s="38">
        <v>0</v>
      </c>
      <c r="T71" s="38"/>
      <c r="U71" s="84">
        <v>0</v>
      </c>
    </row>
    <row r="72" spans="1:21" x14ac:dyDescent="0.3">
      <c r="A72" s="14" t="str">
        <f>"("&amp;$O72&amp;", "&amp;$P72&amp;"]"</f>
        <v>(40000, 50000]</v>
      </c>
      <c r="B72" s="85">
        <v>0</v>
      </c>
      <c r="C72" s="85">
        <v>0</v>
      </c>
      <c r="D72" s="38" t="e">
        <v>#DIV/0!</v>
      </c>
      <c r="E72" s="79">
        <v>0</v>
      </c>
      <c r="F72" s="87"/>
      <c r="G72" s="14" t="str">
        <f>"("&amp;$O72&amp;", "&amp;$P72&amp;"]"</f>
        <v>(40000, 50000]</v>
      </c>
      <c r="H72" s="80">
        <v>1</v>
      </c>
      <c r="I72" s="38" t="e">
        <v>#DIV/0!</v>
      </c>
      <c r="J72" s="38" t="e">
        <v>#DIV/0!</v>
      </c>
      <c r="K72" s="82" t="e">
        <v>#DIV/0!</v>
      </c>
      <c r="L72" s="38" t="e">
        <v>#DIV/0!</v>
      </c>
      <c r="M72" s="38" t="e">
        <v>#DIV/0!</v>
      </c>
      <c r="N72" s="83"/>
      <c r="O72" s="69">
        <v>40000</v>
      </c>
      <c r="P72" s="69">
        <v>50000</v>
      </c>
      <c r="Q72" s="38" t="e">
        <v>#DIV/0!</v>
      </c>
      <c r="R72" s="38">
        <v>0</v>
      </c>
      <c r="T72" s="38"/>
      <c r="U72" s="84">
        <v>0</v>
      </c>
    </row>
    <row r="73" spans="1:21" x14ac:dyDescent="0.3">
      <c r="A73" s="14" t="str">
        <f>"("&amp;$O73&amp;", "&amp;$P73&amp;"]"</f>
        <v>(50000, 60000]</v>
      </c>
      <c r="B73" s="85">
        <v>0</v>
      </c>
      <c r="C73" s="85">
        <v>0</v>
      </c>
      <c r="D73" s="38" t="e">
        <v>#DIV/0!</v>
      </c>
      <c r="E73" s="79">
        <v>0</v>
      </c>
      <c r="F73" s="87"/>
      <c r="G73" s="14" t="str">
        <f>"("&amp;$O73&amp;", "&amp;$P73&amp;"]"</f>
        <v>(50000, 60000]</v>
      </c>
      <c r="H73" s="80">
        <v>1</v>
      </c>
      <c r="I73" s="38" t="e">
        <v>#DIV/0!</v>
      </c>
      <c r="J73" s="38" t="e">
        <v>#DIV/0!</v>
      </c>
      <c r="K73" s="82" t="e">
        <v>#DIV/0!</v>
      </c>
      <c r="L73" s="38" t="e">
        <v>#DIV/0!</v>
      </c>
      <c r="M73" s="38" t="e">
        <v>#DIV/0!</v>
      </c>
      <c r="N73" s="83"/>
      <c r="O73" s="69">
        <v>50000</v>
      </c>
      <c r="P73" s="69">
        <v>60000</v>
      </c>
      <c r="Q73" s="38" t="e">
        <v>#DIV/0!</v>
      </c>
      <c r="R73" s="38">
        <v>0</v>
      </c>
      <c r="T73" s="38"/>
      <c r="U73" s="84">
        <v>0</v>
      </c>
    </row>
    <row r="74" spans="1:21" x14ac:dyDescent="0.3">
      <c r="A74" s="14" t="str">
        <f>"("&amp;$O74&amp;", "&amp;$P74&amp;"]"</f>
        <v>(60000, 70000]</v>
      </c>
      <c r="B74" s="85">
        <v>0</v>
      </c>
      <c r="C74" s="85">
        <v>0</v>
      </c>
      <c r="D74" s="38" t="e">
        <v>#DIV/0!</v>
      </c>
      <c r="E74" s="79">
        <v>0</v>
      </c>
      <c r="F74" s="87"/>
      <c r="G74" s="14" t="str">
        <f>"("&amp;$O74&amp;", "&amp;$P74&amp;"]"</f>
        <v>(60000, 70000]</v>
      </c>
      <c r="H74" s="80">
        <v>1</v>
      </c>
      <c r="I74" s="38" t="e">
        <v>#DIV/0!</v>
      </c>
      <c r="J74" s="38" t="e">
        <v>#DIV/0!</v>
      </c>
      <c r="K74" s="82" t="e">
        <v>#DIV/0!</v>
      </c>
      <c r="L74" s="38" t="e">
        <v>#DIV/0!</v>
      </c>
      <c r="M74" s="38" t="e">
        <v>#DIV/0!</v>
      </c>
      <c r="N74" s="83"/>
      <c r="O74" s="69">
        <v>60000</v>
      </c>
      <c r="P74" s="69">
        <v>70000</v>
      </c>
      <c r="Q74" s="38" t="e">
        <v>#DIV/0!</v>
      </c>
      <c r="R74" s="38">
        <v>0</v>
      </c>
      <c r="T74" s="38"/>
      <c r="U74" s="84">
        <v>0</v>
      </c>
    </row>
    <row r="75" spans="1:21" x14ac:dyDescent="0.3">
      <c r="A75" s="14" t="str">
        <f>"("&amp;$O75&amp;", "&amp;$P75&amp;"]"</f>
        <v>(70000, 80000]</v>
      </c>
      <c r="B75" s="85">
        <v>0</v>
      </c>
      <c r="C75" s="85">
        <v>0</v>
      </c>
      <c r="D75" s="38" t="e">
        <v>#DIV/0!</v>
      </c>
      <c r="E75" s="79">
        <v>0</v>
      </c>
      <c r="F75" s="87"/>
      <c r="G75" s="14" t="str">
        <f>"("&amp;$O75&amp;", "&amp;$P75&amp;"]"</f>
        <v>(70000, 80000]</v>
      </c>
      <c r="H75" s="80">
        <v>1</v>
      </c>
      <c r="I75" s="38" t="e">
        <v>#DIV/0!</v>
      </c>
      <c r="J75" s="38" t="e">
        <v>#DIV/0!</v>
      </c>
      <c r="K75" s="82" t="e">
        <v>#DIV/0!</v>
      </c>
      <c r="L75" s="38" t="e">
        <v>#DIV/0!</v>
      </c>
      <c r="M75" s="38" t="e">
        <v>#DIV/0!</v>
      </c>
      <c r="N75" s="83"/>
      <c r="O75" s="69">
        <v>70000</v>
      </c>
      <c r="P75" s="69">
        <v>80000</v>
      </c>
      <c r="Q75" s="38" t="e">
        <v>#DIV/0!</v>
      </c>
      <c r="R75" s="38">
        <v>0</v>
      </c>
      <c r="T75" s="38"/>
      <c r="U75" s="84">
        <v>0</v>
      </c>
    </row>
    <row r="76" spans="1:21" x14ac:dyDescent="0.3">
      <c r="A76" s="14" t="str">
        <f>"("&amp;$O76&amp;", "&amp;$P76&amp;"]"</f>
        <v>(80000, 90000]</v>
      </c>
      <c r="B76" s="85">
        <v>0</v>
      </c>
      <c r="C76" s="85">
        <v>0</v>
      </c>
      <c r="D76" s="38" t="e">
        <v>#DIV/0!</v>
      </c>
      <c r="E76" s="79">
        <v>0</v>
      </c>
      <c r="F76" s="87"/>
      <c r="G76" s="14" t="str">
        <f>"("&amp;$O76&amp;", "&amp;$P76&amp;"]"</f>
        <v>(80000, 90000]</v>
      </c>
      <c r="H76" s="80">
        <v>1</v>
      </c>
      <c r="I76" s="38" t="e">
        <v>#DIV/0!</v>
      </c>
      <c r="J76" s="38" t="e">
        <v>#DIV/0!</v>
      </c>
      <c r="K76" s="82" t="e">
        <v>#DIV/0!</v>
      </c>
      <c r="L76" s="38" t="e">
        <v>#DIV/0!</v>
      </c>
      <c r="M76" s="38" t="e">
        <v>#DIV/0!</v>
      </c>
      <c r="N76" s="83"/>
      <c r="O76" s="69">
        <v>80000</v>
      </c>
      <c r="P76" s="69">
        <v>90000</v>
      </c>
      <c r="Q76" s="38" t="e">
        <v>#DIV/0!</v>
      </c>
      <c r="R76" s="38">
        <v>0</v>
      </c>
      <c r="T76" s="38"/>
      <c r="U76" s="84">
        <v>0</v>
      </c>
    </row>
    <row r="77" spans="1:21" x14ac:dyDescent="0.3">
      <c r="A77" s="14" t="str">
        <f>"("&amp;$O77&amp;", "&amp;$P77&amp;"]"</f>
        <v>(90000, 100000]</v>
      </c>
      <c r="B77" s="85">
        <v>0</v>
      </c>
      <c r="C77" s="85">
        <v>0</v>
      </c>
      <c r="D77" s="38" t="e">
        <v>#DIV/0!</v>
      </c>
      <c r="E77" s="79">
        <v>0</v>
      </c>
      <c r="F77" s="87"/>
      <c r="G77" s="14" t="str">
        <f>"("&amp;$O77&amp;", "&amp;$P77&amp;"]"</f>
        <v>(90000, 100000]</v>
      </c>
      <c r="H77" s="80">
        <v>1</v>
      </c>
      <c r="I77" s="38" t="e">
        <v>#DIV/0!</v>
      </c>
      <c r="J77" s="38" t="e">
        <v>#DIV/0!</v>
      </c>
      <c r="K77" s="82" t="e">
        <v>#DIV/0!</v>
      </c>
      <c r="L77" s="38" t="e">
        <v>#DIV/0!</v>
      </c>
      <c r="M77" s="38" t="e">
        <v>#DIV/0!</v>
      </c>
      <c r="N77" s="83"/>
      <c r="O77" s="69">
        <v>90000</v>
      </c>
      <c r="P77" s="69">
        <v>100000</v>
      </c>
      <c r="Q77" s="38" t="e">
        <v>#DIV/0!</v>
      </c>
      <c r="R77" s="38">
        <v>0</v>
      </c>
      <c r="T77" s="38"/>
      <c r="U77" s="84">
        <v>0</v>
      </c>
    </row>
    <row r="78" spans="1:21" x14ac:dyDescent="0.3">
      <c r="A78" s="14" t="str">
        <f>"("&amp;$O78&amp;", "&amp;$P78&amp;"]"</f>
        <v>(100000, 9999999]</v>
      </c>
      <c r="B78" s="85">
        <v>0</v>
      </c>
      <c r="C78" s="85">
        <v>0</v>
      </c>
      <c r="D78" s="38" t="e">
        <v>#DIV/0!</v>
      </c>
      <c r="E78" s="79">
        <v>0</v>
      </c>
      <c r="F78" s="87"/>
      <c r="G78" s="14" t="str">
        <f>"("&amp;$O78&amp;", "&amp;$P78&amp;"]"</f>
        <v>(100000, 9999999]</v>
      </c>
      <c r="H78" s="80">
        <v>1</v>
      </c>
      <c r="I78" s="38" t="e">
        <v>#DIV/0!</v>
      </c>
      <c r="J78" s="38" t="e">
        <v>#DIV/0!</v>
      </c>
      <c r="K78" s="82" t="e">
        <v>#DIV/0!</v>
      </c>
      <c r="L78" s="38" t="e">
        <v>#DIV/0!</v>
      </c>
      <c r="M78" s="38" t="e">
        <v>#DIV/0!</v>
      </c>
      <c r="N78" s="83"/>
      <c r="O78" s="69">
        <v>100000</v>
      </c>
      <c r="P78" s="69">
        <v>9999999</v>
      </c>
      <c r="Q78" s="38" t="e">
        <v>#DIV/0!</v>
      </c>
      <c r="R78" s="38">
        <v>0</v>
      </c>
      <c r="T78" s="38"/>
      <c r="U78" s="84">
        <v>0</v>
      </c>
    </row>
    <row r="79" spans="1:21" x14ac:dyDescent="0.3">
      <c r="A79" s="14" t="s">
        <v>189</v>
      </c>
      <c r="B79" s="85">
        <v>85378410</v>
      </c>
      <c r="C79" s="85"/>
      <c r="D79" s="38">
        <f>B79/B13</f>
        <v>0</v>
      </c>
      <c r="E79" s="79">
        <v>0</v>
      </c>
      <c r="F79" s="87"/>
      <c r="G79" s="14" t="s">
        <v>189</v>
      </c>
      <c r="H79" s="80">
        <v>0.0361625771113089</v>
      </c>
      <c r="I79" s="38">
        <v>0</v>
      </c>
      <c r="J79" s="38">
        <f>I79</f>
        <v>0</v>
      </c>
      <c r="K79" s="82">
        <v>0</v>
      </c>
      <c r="L79" s="38" t="e">
        <v>#DIV/0!</v>
      </c>
      <c r="M79" s="38" t="e">
        <v>#DIV/0!</v>
      </c>
      <c r="Q79" s="41"/>
      <c r="R79" s="41"/>
      <c r="T79" s="41"/>
      <c r="U79" s="41"/>
    </row>
    <row r="81" spans="1:21" x14ac:dyDescent="0.3">
      <c r="A81" s="40"/>
      <c r="B81" s="1"/>
      <c r="C81" s="88"/>
      <c r="D81" s="1"/>
      <c r="E81" s="1"/>
      <c r="G81" s="56"/>
      <c r="H81" s="40"/>
      <c r="I81" s="40"/>
      <c r="J81" s="40"/>
      <c r="K81" s="57"/>
      <c r="L81" s="40"/>
      <c r="M81" s="40"/>
    </row>
    <row r="82" spans="1:21" s="104" customFormat="1" ht="15.6" x14ac:dyDescent="0.3">
      <c r="A82" s="105" t="s">
        <v>167</v>
      </c>
      <c r="B82" s="105" t="s">
        <v>163</v>
      </c>
      <c r="C82" s="105"/>
      <c r="D82" s="100"/>
      <c r="E82" s="99"/>
      <c r="F82" s="101"/>
      <c r="G82" s="105" t="s">
        <v>167</v>
      </c>
      <c r="H82" s="105" t="s">
        <v>163</v>
      </c>
      <c r="I82" s="98"/>
      <c r="J82" s="98"/>
      <c r="K82" s="102"/>
      <c r="L82" s="103"/>
      <c r="M82" s="103"/>
      <c r="N82" s="101"/>
      <c r="O82" s="105" t="s">
        <v>167</v>
      </c>
      <c r="P82" s="105" t="s">
        <v>163</v>
      </c>
    </row>
    <row r="83" spans="1:21" x14ac:dyDescent="0.3">
      <c r="A83" s="40"/>
      <c r="B83" s="1"/>
      <c r="C83" s="1"/>
      <c r="D83" s="1"/>
      <c r="E83" s="1"/>
      <c r="G83" s="56"/>
      <c r="H83" s="40"/>
      <c r="I83" s="40"/>
      <c r="J83" s="40"/>
      <c r="K83" s="40"/>
      <c r="L83" s="40"/>
      <c r="M83" s="40"/>
    </row>
    <row r="84" spans="1:21" x14ac:dyDescent="0.3">
      <c r="A84" s="75" t="s">
        <v>191</v>
      </c>
      <c r="B84" s="75"/>
      <c r="C84" s="1"/>
      <c r="D84" s="1"/>
      <c r="E84" s="1"/>
      <c r="G84" s="75" t="s">
        <v>175</v>
      </c>
      <c r="H84" s="40"/>
      <c r="I84" s="40"/>
      <c r="J84" s="40"/>
      <c r="K84" s="40"/>
      <c r="L84" s="40"/>
      <c r="M84" s="40"/>
    </row>
    <row r="85" spans="1:21" x14ac:dyDescent="0.3">
      <c r="A85" s="9" t="s">
        <v>181</v>
      </c>
      <c r="B85" s="9" t="s">
        <v>178</v>
      </c>
      <c r="C85" s="9" t="s">
        <v>179</v>
      </c>
      <c r="D85" s="9" t="s">
        <v>180</v>
      </c>
      <c r="E85" s="9" t="s">
        <v>159</v>
      </c>
      <c r="G85" s="9" t="s">
        <v>181</v>
      </c>
      <c r="H85" s="9" t="s">
        <v>182</v>
      </c>
      <c r="I85" s="9" t="s">
        <v>183</v>
      </c>
      <c r="J85" s="9" t="s">
        <v>184</v>
      </c>
      <c r="K85" s="9" t="s">
        <v>185</v>
      </c>
      <c r="L85" s="9" t="s">
        <v>160</v>
      </c>
      <c r="M85" s="9" t="s">
        <v>186</v>
      </c>
      <c r="O85" s="9" t="s">
        <v>176</v>
      </c>
      <c r="P85" s="9" t="s">
        <v>177</v>
      </c>
      <c r="Q85" s="12" t="s">
        <v>192</v>
      </c>
      <c r="R85" s="12" t="s">
        <v>187</v>
      </c>
      <c r="T85" s="12" t="s">
        <v>192</v>
      </c>
      <c r="U85" s="12" t="s">
        <v>188</v>
      </c>
    </row>
    <row r="86" spans="1:21" x14ac:dyDescent="0.3">
      <c r="A86" s="14" t="str">
        <f>"("&amp;$O86&amp;", "&amp;$P86&amp;"]"</f>
        <v>(-1, 0]</v>
      </c>
      <c r="B86" s="77">
        <v>25733</v>
      </c>
      <c r="C86" s="77">
        <v>0</v>
      </c>
      <c r="D86" s="38" t="e" cm="1">
        <f t="array" ref="D86:D149">_xlfn.LET(_xlpm.x, B86:B149, _xlpm.x/SUM(_xlpm.x))</f>
        <v>#DIV/0!</v>
      </c>
      <c r="E86" s="78" cm="1">
        <f t="array" ref="E86:E149">_xlfn.LET(_xlpm.x, C86:C149/B86:B149/B3, IF(ISERR(_xlpm.x), 0, _xlpm.x))</f>
        <v>0</v>
      </c>
      <c r="G86" s="14" t="str">
        <f>"("&amp;$O86&amp;", "&amp;$P86&amp;"]"</f>
        <v>(-1, 0]</v>
      </c>
      <c r="H86" s="80">
        <v>248.401934627463</v>
      </c>
      <c r="I86" s="38" t="e" cm="1">
        <f t="array" ref="I86:I149">_xlfn.ANCHORARRAY(D86)*H86:H149</f>
        <v>#DIV/0!</v>
      </c>
      <c r="J86" s="38" t="e" cm="1">
        <f t="array" ref="J86:J149">I86:I149/SUM(_xlfn.ANCHORARRAY(I86))</f>
        <v>#DIV/0!</v>
      </c>
      <c r="K86" s="81" t="e" cm="1">
        <f t="array" ref="K86:K149">INT(_xlfn.ANCHORARRAY(J86)*$B$2)</f>
        <v>#DIV/0!</v>
      </c>
      <c r="L86" s="38" t="e" cm="1">
        <f t="array" ref="L86:L149">_xlfn.LET(_xlpm.x, K86:K149, _xlpm.x/SUM(_xlpm.x))</f>
        <v>#DIV/0!</v>
      </c>
      <c r="M86" s="90" t="e" cm="1">
        <f t="array" ref="M86:M149">L86:L149*_xlfn.ANCHORARRAY(E86)</f>
        <v>#DIV/0!</v>
      </c>
      <c r="N86" s="83"/>
      <c r="O86" s="76">
        <v>-1</v>
      </c>
      <c r="P86" s="76">
        <v>0</v>
      </c>
      <c r="Q86" s="38" t="e" cm="1">
        <f t="array" ref="Q86:Q149">_xlfn.ANCHORARRAY(L86)</f>
        <v>#DIV/0!</v>
      </c>
      <c r="R86" s="38">
        <v>2.069E-2</v>
      </c>
      <c r="T86" s="38"/>
      <c r="U86" s="84" cm="1">
        <f t="array" ref="U86:U149">_xlfn.LET(_xlpm.x, T86:T149/L86:L149, IF(ISERR(_xlpm.x), 0, ROUND(_xlpm.x,2)))</f>
        <v>0</v>
      </c>
    </row>
    <row r="87" spans="1:21" x14ac:dyDescent="0.3">
      <c r="A87" s="14" t="str">
        <f>"("&amp;$O87&amp;", "&amp;$P87&amp;"]"</f>
        <v>(0, 1]</v>
      </c>
      <c r="B87" s="85">
        <v>10103</v>
      </c>
      <c r="C87" s="85">
        <v>620285</v>
      </c>
      <c r="D87" s="38" t="e">
        <v>#DIV/0!</v>
      </c>
      <c r="E87" s="79">
        <v>0</v>
      </c>
      <c r="G87" s="14" t="str">
        <f>"("&amp;$O87&amp;", "&amp;$P87&amp;"]"</f>
        <v>(0, 1]</v>
      </c>
      <c r="H87" s="80">
        <v>55.0602598310679</v>
      </c>
      <c r="I87" s="38" t="e">
        <v>#DIV/0!</v>
      </c>
      <c r="J87" s="38" t="e">
        <v>#DIV/0!</v>
      </c>
      <c r="K87" s="81" t="e">
        <v>#DIV/0!</v>
      </c>
      <c r="L87" s="38" t="e">
        <v>#DIV/0!</v>
      </c>
      <c r="M87" s="38" t="e">
        <v>#DIV/0!</v>
      </c>
      <c r="N87" s="83"/>
      <c r="O87" s="69">
        <v>0</v>
      </c>
      <c r="P87" s="69">
        <v>1</v>
      </c>
      <c r="Q87" s="38" t="e">
        <v>#DIV/0!</v>
      </c>
      <c r="R87" s="38">
        <v>6.8970000000000004E-3</v>
      </c>
      <c r="T87" s="38"/>
      <c r="U87" s="84">
        <v>0</v>
      </c>
    </row>
    <row r="88" spans="1:21" x14ac:dyDescent="0.3">
      <c r="A88" s="14" t="str">
        <f>"("&amp;$O88&amp;", "&amp;$P88&amp;"]"</f>
        <v>(1, 2]</v>
      </c>
      <c r="B88" s="85">
        <v>12745</v>
      </c>
      <c r="C88" s="85">
        <v>1986100</v>
      </c>
      <c r="D88" s="38" t="e">
        <v>#DIV/0!</v>
      </c>
      <c r="E88" s="79">
        <v>0</v>
      </c>
      <c r="F88" s="86"/>
      <c r="G88" s="14" t="str">
        <f>"("&amp;$O88&amp;", "&amp;$P88&amp;"]"</f>
        <v>(1, 2]</v>
      </c>
      <c r="H88" s="80">
        <v>43.6464342937057</v>
      </c>
      <c r="I88" s="38" t="e">
        <v>#DIV/0!</v>
      </c>
      <c r="J88" s="38" t="e">
        <v>#DIV/0!</v>
      </c>
      <c r="K88" s="81" t="e">
        <v>#DIV/0!</v>
      </c>
      <c r="L88" s="38" t="e">
        <v>#DIV/0!</v>
      </c>
      <c r="M88" s="38" t="e">
        <v>#DIV/0!</v>
      </c>
      <c r="N88" s="83"/>
      <c r="O88" s="69">
        <v>1</v>
      </c>
      <c r="P88" s="69">
        <v>2</v>
      </c>
      <c r="Q88" s="38" t="e">
        <v>#DIV/0!</v>
      </c>
      <c r="R88" s="38">
        <v>6.8970000000000004E-3</v>
      </c>
      <c r="T88" s="38"/>
      <c r="U88" s="84">
        <v>0</v>
      </c>
    </row>
    <row r="89" spans="1:21" x14ac:dyDescent="0.3">
      <c r="A89" s="14" t="str">
        <f>"("&amp;$O89&amp;", "&amp;$P89&amp;"]"</f>
        <v>(2, 3]</v>
      </c>
      <c r="B89" s="85">
        <v>12974</v>
      </c>
      <c r="C89" s="85">
        <v>3346690</v>
      </c>
      <c r="D89" s="38" t="e">
        <v>#DIV/0!</v>
      </c>
      <c r="E89" s="79">
        <v>0</v>
      </c>
      <c r="F89" s="83"/>
      <c r="G89" s="14" t="str">
        <f>"("&amp;$O89&amp;", "&amp;$P89&amp;"]"</f>
        <v>(2, 3]</v>
      </c>
      <c r="H89" s="80">
        <v>42.8760447875196</v>
      </c>
      <c r="I89" s="38" t="e">
        <v>#DIV/0!</v>
      </c>
      <c r="J89" s="38" t="e">
        <v>#DIV/0!</v>
      </c>
      <c r="K89" s="81" t="e">
        <v>#DIV/0!</v>
      </c>
      <c r="L89" s="38" t="e">
        <v>#DIV/0!</v>
      </c>
      <c r="M89" s="38" t="e">
        <v>#DIV/0!</v>
      </c>
      <c r="N89" s="83"/>
      <c r="O89" s="69">
        <v>2</v>
      </c>
      <c r="P89" s="69">
        <v>3</v>
      </c>
      <c r="Q89" s="38" t="e">
        <v>#DIV/0!</v>
      </c>
      <c r="R89" s="38">
        <v>6.8970000000000004E-3</v>
      </c>
      <c r="T89" s="38"/>
      <c r="U89" s="84">
        <v>0</v>
      </c>
    </row>
    <row r="90" spans="1:21" x14ac:dyDescent="0.3">
      <c r="A90" s="14" t="str">
        <f>"("&amp;$O90&amp;", "&amp;$P90&amp;"]"</f>
        <v>(3, 4]</v>
      </c>
      <c r="B90" s="85">
        <v>13264</v>
      </c>
      <c r="C90" s="85">
        <v>4759360</v>
      </c>
      <c r="D90" s="38" t="e">
        <v>#DIV/0!</v>
      </c>
      <c r="E90" s="79">
        <v>0</v>
      </c>
      <c r="F90" s="83"/>
      <c r="G90" s="14" t="str">
        <f>"("&amp;$O90&amp;", "&amp;$P90&amp;"]"</f>
        <v>(3, 4]</v>
      </c>
      <c r="H90" s="80">
        <v>41.9386161846562</v>
      </c>
      <c r="I90" s="38" t="e">
        <v>#DIV/0!</v>
      </c>
      <c r="J90" s="38" t="e">
        <v>#DIV/0!</v>
      </c>
      <c r="K90" s="81" t="e">
        <v>#DIV/0!</v>
      </c>
      <c r="L90" s="38" t="e">
        <v>#DIV/0!</v>
      </c>
      <c r="M90" s="38" t="e">
        <v>#DIV/0!</v>
      </c>
      <c r="N90" s="83"/>
      <c r="O90" s="69">
        <v>3</v>
      </c>
      <c r="P90" s="69">
        <v>4</v>
      </c>
      <c r="Q90" s="38" t="e">
        <v>#DIV/0!</v>
      </c>
      <c r="R90" s="38">
        <v>6.8970000000000004E-3</v>
      </c>
      <c r="T90" s="38"/>
      <c r="U90" s="84">
        <v>0</v>
      </c>
    </row>
    <row r="91" spans="1:21" x14ac:dyDescent="0.3">
      <c r="A91" s="14" t="str">
        <f>"("&amp;$O91&amp;", "&amp;$P91&amp;"]"</f>
        <v>(4, 5]</v>
      </c>
      <c r="B91" s="85">
        <v>13259</v>
      </c>
      <c r="C91" s="85">
        <v>6071400</v>
      </c>
      <c r="D91" s="38" t="e">
        <v>#DIV/0!</v>
      </c>
      <c r="E91" s="79">
        <v>0</v>
      </c>
      <c r="F91" s="83"/>
      <c r="G91" s="14" t="str">
        <f>"("&amp;$O91&amp;", "&amp;$P91&amp;"]"</f>
        <v>(4, 5]</v>
      </c>
      <c r="H91" s="80">
        <v>41.9544313351896</v>
      </c>
      <c r="I91" s="38" t="e">
        <v>#DIV/0!</v>
      </c>
      <c r="J91" s="38" t="e">
        <v>#DIV/0!</v>
      </c>
      <c r="K91" s="81" t="e">
        <v>#DIV/0!</v>
      </c>
      <c r="L91" s="38" t="e">
        <v>#DIV/0!</v>
      </c>
      <c r="M91" s="38" t="e">
        <v>#DIV/0!</v>
      </c>
      <c r="N91" s="83"/>
      <c r="O91" s="69">
        <v>4</v>
      </c>
      <c r="P91" s="69">
        <v>5</v>
      </c>
      <c r="Q91" s="38" t="e">
        <v>#DIV/0!</v>
      </c>
      <c r="R91" s="38">
        <v>6.8970000000000004E-3</v>
      </c>
      <c r="T91" s="38"/>
      <c r="U91" s="84">
        <v>0</v>
      </c>
    </row>
    <row r="92" spans="1:21" x14ac:dyDescent="0.3">
      <c r="A92" s="14" t="str">
        <f>"("&amp;$O92&amp;", "&amp;$P92&amp;"]"</f>
        <v>(5, 6]</v>
      </c>
      <c r="B92" s="85">
        <v>14611</v>
      </c>
      <c r="C92" s="85">
        <v>8170270</v>
      </c>
      <c r="D92" s="38" t="e">
        <v>#DIV/0!</v>
      </c>
      <c r="E92" s="79">
        <v>0</v>
      </c>
      <c r="F92" s="83"/>
      <c r="G92" s="14" t="str">
        <f>"("&amp;$O92&amp;", "&amp;$P92&amp;"]"</f>
        <v>(5, 6]</v>
      </c>
      <c r="H92" s="80">
        <v>38.0722609727794</v>
      </c>
      <c r="I92" s="38" t="e">
        <v>#DIV/0!</v>
      </c>
      <c r="J92" s="38" t="e">
        <v>#DIV/0!</v>
      </c>
      <c r="K92" s="81" t="e">
        <v>#DIV/0!</v>
      </c>
      <c r="L92" s="38" t="e">
        <v>#DIV/0!</v>
      </c>
      <c r="M92" s="38" t="e">
        <v>#DIV/0!</v>
      </c>
      <c r="N92" s="83"/>
      <c r="O92" s="69">
        <v>5</v>
      </c>
      <c r="P92" s="69">
        <v>6</v>
      </c>
      <c r="Q92" s="38" t="e">
        <v>#DIV/0!</v>
      </c>
      <c r="R92" s="38">
        <v>6.8970000000000004E-3</v>
      </c>
      <c r="T92" s="38"/>
      <c r="U92" s="84">
        <v>0</v>
      </c>
    </row>
    <row r="93" spans="1:21" x14ac:dyDescent="0.3">
      <c r="A93" s="14" t="str">
        <f>"("&amp;$O93&amp;", "&amp;$P93&amp;"]"</f>
        <v>(6, 7]</v>
      </c>
      <c r="B93" s="85">
        <v>13100</v>
      </c>
      <c r="C93" s="85">
        <v>8615115</v>
      </c>
      <c r="D93" s="38" t="e">
        <v>#DIV/0!</v>
      </c>
      <c r="E93" s="79">
        <v>0</v>
      </c>
      <c r="F93" s="83"/>
      <c r="G93" s="14" t="str">
        <f>"("&amp;$O93&amp;", "&amp;$P93&amp;"]"</f>
        <v>(6, 7]</v>
      </c>
      <c r="H93" s="80">
        <v>127.384790897759</v>
      </c>
      <c r="I93" s="38" t="e">
        <v>#DIV/0!</v>
      </c>
      <c r="J93" s="38" t="e">
        <v>#DIV/0!</v>
      </c>
      <c r="K93" s="81" t="e">
        <v>#DIV/0!</v>
      </c>
      <c r="L93" s="38" t="e">
        <v>#DIV/0!</v>
      </c>
      <c r="M93" s="38" t="e">
        <v>#DIV/0!</v>
      </c>
      <c r="N93" s="83"/>
      <c r="O93" s="69">
        <v>6</v>
      </c>
      <c r="P93" s="69">
        <v>7</v>
      </c>
      <c r="Q93" s="38" t="e">
        <v>#DIV/0!</v>
      </c>
      <c r="R93" s="38">
        <v>2.069E-2</v>
      </c>
      <c r="T93" s="38"/>
      <c r="U93" s="84">
        <v>0</v>
      </c>
    </row>
    <row r="94" spans="1:21" x14ac:dyDescent="0.3">
      <c r="A94" s="14" t="str">
        <f>"("&amp;$O94&amp;", "&amp;$P94&amp;"]"</f>
        <v>(7, 8]</v>
      </c>
      <c r="B94" s="85">
        <v>14716</v>
      </c>
      <c r="C94" s="85">
        <v>11128800</v>
      </c>
      <c r="D94" s="38" t="e">
        <v>#DIV/0!</v>
      </c>
      <c r="E94" s="79">
        <v>0</v>
      </c>
      <c r="F94" s="83"/>
      <c r="G94" s="14" t="str">
        <f>"("&amp;$O94&amp;", "&amp;$P94&amp;"]"</f>
        <v>(7, 8]</v>
      </c>
      <c r="H94" s="80">
        <v>0</v>
      </c>
      <c r="I94" s="38" t="e">
        <v>#DIV/0!</v>
      </c>
      <c r="J94" s="38" t="e">
        <v>#DIV/0!</v>
      </c>
      <c r="K94" s="81" t="e">
        <v>#DIV/0!</v>
      </c>
      <c r="L94" s="38" t="e">
        <v>#DIV/0!</v>
      </c>
      <c r="M94" s="38" t="e">
        <v>#DIV/0!</v>
      </c>
      <c r="N94" s="83"/>
      <c r="O94" s="69">
        <v>7</v>
      </c>
      <c r="P94" s="69">
        <v>8</v>
      </c>
      <c r="Q94" s="38" t="e">
        <v>#DIV/0!</v>
      </c>
      <c r="R94" s="38">
        <v>0</v>
      </c>
      <c r="T94" s="38"/>
      <c r="U94" s="84">
        <v>0</v>
      </c>
    </row>
    <row r="95" spans="1:21" x14ac:dyDescent="0.3">
      <c r="A95" s="14" t="str">
        <f>"("&amp;$O95&amp;", "&amp;$P95&amp;"]"</f>
        <v>(8, 9]</v>
      </c>
      <c r="B95" s="85">
        <v>14381</v>
      </c>
      <c r="C95" s="85">
        <v>12340410</v>
      </c>
      <c r="D95" s="38" t="e">
        <v>#DIV/0!</v>
      </c>
      <c r="E95" s="79">
        <v>0</v>
      </c>
      <c r="F95" s="83"/>
      <c r="G95" s="14" t="str">
        <f>"("&amp;$O95&amp;", "&amp;$P95&amp;"]"</f>
        <v>(8, 9]</v>
      </c>
      <c r="H95" s="80">
        <v>38.6811629979333</v>
      </c>
      <c r="I95" s="38" t="e">
        <v>#DIV/0!</v>
      </c>
      <c r="J95" s="38" t="e">
        <v>#DIV/0!</v>
      </c>
      <c r="K95" s="81" t="e">
        <v>#DIV/0!</v>
      </c>
      <c r="L95" s="38" t="e">
        <v>#DIV/0!</v>
      </c>
      <c r="M95" s="38" t="e">
        <v>#DIV/0!</v>
      </c>
      <c r="N95" s="83"/>
      <c r="O95" s="69">
        <v>8</v>
      </c>
      <c r="P95" s="69">
        <v>9</v>
      </c>
      <c r="Q95" s="38" t="e">
        <v>#DIV/0!</v>
      </c>
      <c r="R95" s="38">
        <v>6.8970000000000004E-3</v>
      </c>
      <c r="T95" s="38"/>
      <c r="U95" s="84">
        <v>0</v>
      </c>
    </row>
    <row r="96" spans="1:21" x14ac:dyDescent="0.3">
      <c r="A96" s="14" t="str">
        <f>"("&amp;$O96&amp;", "&amp;$P96&amp;"]"</f>
        <v>(9, 10]</v>
      </c>
      <c r="B96" s="85">
        <v>14299</v>
      </c>
      <c r="C96" s="85">
        <v>13696660</v>
      </c>
      <c r="D96" s="38" t="e">
        <v>#DIV/0!</v>
      </c>
      <c r="E96" s="79">
        <v>0</v>
      </c>
      <c r="F96" s="83"/>
      <c r="G96" s="14" t="str">
        <f>"("&amp;$O96&amp;", "&amp;$P96&amp;"]"</f>
        <v>(9, 10]</v>
      </c>
      <c r="H96" s="80">
        <v>0</v>
      </c>
      <c r="I96" s="38" t="e">
        <v>#DIV/0!</v>
      </c>
      <c r="J96" s="38" t="e">
        <v>#DIV/0!</v>
      </c>
      <c r="K96" s="81" t="e">
        <v>#DIV/0!</v>
      </c>
      <c r="L96" s="38" t="e">
        <v>#DIV/0!</v>
      </c>
      <c r="M96" s="38" t="e">
        <v>#DIV/0!</v>
      </c>
      <c r="N96" s="83"/>
      <c r="O96" s="69">
        <v>9</v>
      </c>
      <c r="P96" s="69">
        <v>10</v>
      </c>
      <c r="Q96" s="38" t="e">
        <v>#DIV/0!</v>
      </c>
      <c r="R96" s="38">
        <v>0</v>
      </c>
      <c r="T96" s="38"/>
      <c r="U96" s="84">
        <v>0</v>
      </c>
    </row>
    <row r="97" spans="1:21" x14ac:dyDescent="0.3">
      <c r="A97" s="14" t="str">
        <f>"("&amp;$O97&amp;", "&amp;$P97&amp;"]"</f>
        <v>(10, 15]</v>
      </c>
      <c r="B97" s="85">
        <v>73611</v>
      </c>
      <c r="C97" s="85">
        <v>92606940</v>
      </c>
      <c r="D97" s="38" t="e">
        <v>#DIV/0!</v>
      </c>
      <c r="E97" s="79">
        <v>0</v>
      </c>
      <c r="F97" s="83"/>
      <c r="G97" s="14" t="str">
        <f>"("&amp;$O97&amp;", "&amp;$P97&amp;"]"</f>
        <v>(10, 15]</v>
      </c>
      <c r="H97" s="80">
        <v>68.0080643901418</v>
      </c>
      <c r="I97" s="38" t="e">
        <v>#DIV/0!</v>
      </c>
      <c r="J97" s="38" t="e">
        <v>#DIV/0!</v>
      </c>
      <c r="K97" s="81" t="e">
        <v>#DIV/0!</v>
      </c>
      <c r="L97" s="38" t="e">
        <v>#DIV/0!</v>
      </c>
      <c r="M97" s="38" t="e">
        <v>#DIV/0!</v>
      </c>
      <c r="N97" s="83"/>
      <c r="O97" s="69">
        <v>10</v>
      </c>
      <c r="P97" s="69">
        <v>15</v>
      </c>
      <c r="Q97" s="38" t="e">
        <v>#DIV/0!</v>
      </c>
      <c r="R97" s="38">
        <v>6.2068999999999999E-2</v>
      </c>
      <c r="T97" s="38"/>
      <c r="U97" s="84">
        <v>0</v>
      </c>
    </row>
    <row r="98" spans="1:21" x14ac:dyDescent="0.3">
      <c r="A98" s="14" t="str">
        <f>"("&amp;$O98&amp;", "&amp;$P98&amp;"]"</f>
        <v>(15, 20]</v>
      </c>
      <c r="B98" s="85">
        <v>74130</v>
      </c>
      <c r="C98" s="85">
        <v>130221780</v>
      </c>
      <c r="D98" s="38" t="e">
        <v>#DIV/0!</v>
      </c>
      <c r="E98" s="79">
        <v>0</v>
      </c>
      <c r="F98" s="83"/>
      <c r="G98" s="14" t="str">
        <f>"("&amp;$O98&amp;", "&amp;$P98&amp;"]"</f>
        <v>(15, 20]</v>
      </c>
      <c r="H98" s="80">
        <v>30.0139472733674</v>
      </c>
      <c r="I98" s="38" t="e">
        <v>#DIV/0!</v>
      </c>
      <c r="J98" s="38" t="e">
        <v>#DIV/0!</v>
      </c>
      <c r="K98" s="81" t="e">
        <v>#DIV/0!</v>
      </c>
      <c r="L98" s="38" t="e">
        <v>#DIV/0!</v>
      </c>
      <c r="M98" s="38" t="e">
        <v>#DIV/0!</v>
      </c>
      <c r="N98" s="83"/>
      <c r="O98" s="69">
        <v>15</v>
      </c>
      <c r="P98" s="69">
        <v>20</v>
      </c>
      <c r="Q98" s="38" t="e">
        <v>#DIV/0!</v>
      </c>
      <c r="R98" s="38">
        <v>2.7585999999999999E-2</v>
      </c>
      <c r="T98" s="38"/>
      <c r="U98" s="84">
        <v>0</v>
      </c>
    </row>
    <row r="99" spans="1:21" x14ac:dyDescent="0.3">
      <c r="A99" s="14" t="str">
        <f>"("&amp;$O99&amp;", "&amp;$P99&amp;"]"</f>
        <v>(20, 25]</v>
      </c>
      <c r="B99" s="85">
        <v>74193</v>
      </c>
      <c r="C99" s="85">
        <v>167349120</v>
      </c>
      <c r="D99" s="38" t="e">
        <v>#DIV/0!</v>
      </c>
      <c r="E99" s="79">
        <v>0</v>
      </c>
      <c r="F99" s="83"/>
      <c r="G99" s="14" t="str">
        <f>"("&amp;$O99&amp;", "&amp;$P99&amp;"]"</f>
        <v>(20, 25]</v>
      </c>
      <c r="H99" s="80">
        <v>22.4918895416096</v>
      </c>
      <c r="I99" s="38" t="e">
        <v>#DIV/0!</v>
      </c>
      <c r="J99" s="38" t="e">
        <v>#DIV/0!</v>
      </c>
      <c r="K99" s="81" t="e">
        <v>#DIV/0!</v>
      </c>
      <c r="L99" s="38" t="e">
        <v>#DIV/0!</v>
      </c>
      <c r="M99" s="38" t="e">
        <v>#DIV/0!</v>
      </c>
      <c r="N99" s="83"/>
      <c r="O99" s="69">
        <v>20</v>
      </c>
      <c r="P99" s="69">
        <v>25</v>
      </c>
      <c r="Q99" s="38" t="e">
        <v>#DIV/0!</v>
      </c>
      <c r="R99" s="38">
        <v>2.069E-2</v>
      </c>
      <c r="T99" s="38"/>
      <c r="U99" s="84">
        <v>0</v>
      </c>
    </row>
    <row r="100" spans="1:21" x14ac:dyDescent="0.3">
      <c r="A100" s="14" t="str">
        <f>"("&amp;$O100&amp;", "&amp;$P100&amp;"]"</f>
        <v>(25, 30]</v>
      </c>
      <c r="B100" s="85">
        <v>75361</v>
      </c>
      <c r="C100" s="85">
        <v>207784195</v>
      </c>
      <c r="D100" s="38" t="e">
        <v>#DIV/0!</v>
      </c>
      <c r="E100" s="79">
        <v>0</v>
      </c>
      <c r="F100" s="83"/>
      <c r="G100" s="14" t="str">
        <f>"("&amp;$O100&amp;", "&amp;$P100&amp;"]"</f>
        <v>(25, 30]</v>
      </c>
      <c r="H100" s="80">
        <v>95.952489207912</v>
      </c>
      <c r="I100" s="38" t="e">
        <v>#DIV/0!</v>
      </c>
      <c r="J100" s="38" t="e">
        <v>#DIV/0!</v>
      </c>
      <c r="K100" s="81" t="e">
        <v>#DIV/0!</v>
      </c>
      <c r="L100" s="38" t="e">
        <v>#DIV/0!</v>
      </c>
      <c r="M100" s="38" t="e">
        <v>#DIV/0!</v>
      </c>
      <c r="N100" s="83"/>
      <c r="O100" s="69">
        <v>25</v>
      </c>
      <c r="P100" s="69">
        <v>30</v>
      </c>
      <c r="Q100" s="38" t="e">
        <v>#DIV/0!</v>
      </c>
      <c r="R100" s="38">
        <v>8.9654999999999999E-2</v>
      </c>
      <c r="T100" s="38"/>
      <c r="U100" s="84">
        <v>0</v>
      </c>
    </row>
    <row r="101" spans="1:21" x14ac:dyDescent="0.3">
      <c r="A101" s="14" t="str">
        <f>"("&amp;$O101&amp;", "&amp;$P101&amp;"]"</f>
        <v>(30, 35]</v>
      </c>
      <c r="B101" s="85">
        <v>73518</v>
      </c>
      <c r="C101" s="85">
        <v>239242930</v>
      </c>
      <c r="D101" s="38" t="e">
        <v>#DIV/0!</v>
      </c>
      <c r="E101" s="79">
        <v>0</v>
      </c>
      <c r="F101" s="83"/>
      <c r="G101" s="14" t="str">
        <f>"("&amp;$O101&amp;", "&amp;$P101&amp;"]"</f>
        <v>(30, 35]</v>
      </c>
      <c r="H101" s="80">
        <v>37.830296205664</v>
      </c>
      <c r="I101" s="38" t="e">
        <v>#DIV/0!</v>
      </c>
      <c r="J101" s="38" t="e">
        <v>#DIV/0!</v>
      </c>
      <c r="K101" s="81" t="e">
        <v>#DIV/0!</v>
      </c>
      <c r="L101" s="38" t="e">
        <v>#DIV/0!</v>
      </c>
      <c r="M101" s="38" t="e">
        <v>#DIV/0!</v>
      </c>
      <c r="N101" s="83"/>
      <c r="O101" s="69">
        <v>30</v>
      </c>
      <c r="P101" s="69">
        <v>35</v>
      </c>
      <c r="Q101" s="38" t="e">
        <v>#DIV/0!</v>
      </c>
      <c r="R101" s="38">
        <v>3.4483E-2</v>
      </c>
      <c r="T101" s="38"/>
      <c r="U101" s="84">
        <v>0</v>
      </c>
    </row>
    <row r="102" spans="1:21" x14ac:dyDescent="0.3">
      <c r="A102" s="14" t="str">
        <f>"("&amp;$O102&amp;", "&amp;$P102&amp;"]"</f>
        <v>(35, 40]</v>
      </c>
      <c r="B102" s="85">
        <v>73974</v>
      </c>
      <c r="C102" s="85">
        <v>277797260</v>
      </c>
      <c r="D102" s="38" t="e">
        <v>#DIV/0!</v>
      </c>
      <c r="E102" s="79">
        <v>0</v>
      </c>
      <c r="F102" s="83"/>
      <c r="G102" s="14" t="str">
        <f>"("&amp;$O102&amp;", "&amp;$P102&amp;"]"</f>
        <v>(35, 40]</v>
      </c>
      <c r="H102" s="80">
        <v>67.674340008959</v>
      </c>
      <c r="I102" s="38" t="e">
        <v>#DIV/0!</v>
      </c>
      <c r="J102" s="38" t="e">
        <v>#DIV/0!</v>
      </c>
      <c r="K102" s="81" t="e">
        <v>#DIV/0!</v>
      </c>
      <c r="L102" s="38" t="e">
        <v>#DIV/0!</v>
      </c>
      <c r="M102" s="38" t="e">
        <v>#DIV/0!</v>
      </c>
      <c r="N102" s="83"/>
      <c r="O102" s="69">
        <v>35</v>
      </c>
      <c r="P102" s="69">
        <v>40</v>
      </c>
      <c r="Q102" s="38" t="e">
        <v>#DIV/0!</v>
      </c>
      <c r="R102" s="38">
        <v>6.2068999999999999E-2</v>
      </c>
      <c r="T102" s="38"/>
      <c r="U102" s="84">
        <v>0</v>
      </c>
    </row>
    <row r="103" spans="1:21" x14ac:dyDescent="0.3">
      <c r="A103" s="14" t="str">
        <f>"("&amp;$O103&amp;", "&amp;$P103&amp;"]"</f>
        <v>(40, 45]</v>
      </c>
      <c r="B103" s="85">
        <v>72529</v>
      </c>
      <c r="C103" s="85">
        <v>308729305</v>
      </c>
      <c r="D103" s="38" t="e">
        <v>#DIV/0!</v>
      </c>
      <c r="E103" s="79">
        <v>0</v>
      </c>
      <c r="F103" s="83"/>
      <c r="G103" s="14" t="str">
        <f>"("&amp;$O103&amp;", "&amp;$P103&amp;"]"</f>
        <v>(40, 45]</v>
      </c>
      <c r="H103" s="80">
        <v>61.3529460319245</v>
      </c>
      <c r="I103" s="38" t="e">
        <v>#DIV/0!</v>
      </c>
      <c r="J103" s="38" t="e">
        <v>#DIV/0!</v>
      </c>
      <c r="K103" s="81" t="e">
        <v>#DIV/0!</v>
      </c>
      <c r="L103" s="38" t="e">
        <v>#DIV/0!</v>
      </c>
      <c r="M103" s="38" t="e">
        <v>#DIV/0!</v>
      </c>
      <c r="N103" s="83"/>
      <c r="O103" s="69">
        <v>40</v>
      </c>
      <c r="P103" s="69">
        <v>45</v>
      </c>
      <c r="Q103" s="38" t="e">
        <v>#DIV/0!</v>
      </c>
      <c r="R103" s="38">
        <v>5.5171999999999999E-2</v>
      </c>
      <c r="T103" s="38"/>
      <c r="U103" s="84">
        <v>0</v>
      </c>
    </row>
    <row r="104" spans="1:21" x14ac:dyDescent="0.3">
      <c r="A104" s="14" t="str">
        <f>"("&amp;$O104&amp;", "&amp;$P104&amp;"]"</f>
        <v>(45, 50]</v>
      </c>
      <c r="B104" s="85">
        <v>71665</v>
      </c>
      <c r="C104" s="85">
        <v>340734250</v>
      </c>
      <c r="D104" s="38" t="e">
        <v>#DIV/0!</v>
      </c>
      <c r="E104" s="79">
        <v>0</v>
      </c>
      <c r="F104" s="83"/>
      <c r="G104" s="14" t="str">
        <f>"("&amp;$O104&amp;", "&amp;$P104&amp;"]"</f>
        <v>(45, 50]</v>
      </c>
      <c r="H104" s="80">
        <v>54.3316077881165</v>
      </c>
      <c r="I104" s="38" t="e">
        <v>#DIV/0!</v>
      </c>
      <c r="J104" s="38" t="e">
        <v>#DIV/0!</v>
      </c>
      <c r="K104" s="81" t="e">
        <v>#DIV/0!</v>
      </c>
      <c r="L104" s="38" t="e">
        <v>#DIV/0!</v>
      </c>
      <c r="M104" s="38" t="e">
        <v>#DIV/0!</v>
      </c>
      <c r="N104" s="83"/>
      <c r="O104" s="69">
        <v>45</v>
      </c>
      <c r="P104" s="69">
        <v>50</v>
      </c>
      <c r="Q104" s="38" t="e">
        <v>#DIV/0!</v>
      </c>
      <c r="R104" s="38">
        <v>4.8275999999999999E-2</v>
      </c>
      <c r="T104" s="38"/>
      <c r="U104" s="84">
        <v>0</v>
      </c>
    </row>
    <row r="105" spans="1:21" x14ac:dyDescent="0.3">
      <c r="A105" s="14" t="str">
        <f>"("&amp;$O105&amp;", "&amp;$P105&amp;"]"</f>
        <v>(50, 60]</v>
      </c>
      <c r="B105" s="85">
        <v>141059</v>
      </c>
      <c r="C105" s="85">
        <v>776296860</v>
      </c>
      <c r="D105" s="38" t="e">
        <v>#DIV/0!</v>
      </c>
      <c r="E105" s="79">
        <v>0</v>
      </c>
      <c r="F105" s="83"/>
      <c r="G105" s="14" t="str">
        <f>"("&amp;$O105&amp;", "&amp;$P105&amp;"]"</f>
        <v>(50, 60]</v>
      </c>
      <c r="H105" s="80">
        <v>27.6031637267765</v>
      </c>
      <c r="I105" s="38" t="e">
        <v>#DIV/0!</v>
      </c>
      <c r="J105" s="38" t="e">
        <v>#DIV/0!</v>
      </c>
      <c r="K105" s="81" t="e">
        <v>#DIV/0!</v>
      </c>
      <c r="L105" s="38" t="e">
        <v>#DIV/0!</v>
      </c>
      <c r="M105" s="38" t="e">
        <v>#DIV/0!</v>
      </c>
      <c r="N105" s="83"/>
      <c r="O105" s="69">
        <v>50</v>
      </c>
      <c r="P105" s="69">
        <v>60</v>
      </c>
      <c r="Q105" s="38" t="e">
        <v>#DIV/0!</v>
      </c>
      <c r="R105" s="38">
        <v>4.8275999999999999E-2</v>
      </c>
      <c r="T105" s="38"/>
      <c r="U105" s="84">
        <v>0</v>
      </c>
    </row>
    <row r="106" spans="1:21" x14ac:dyDescent="0.3">
      <c r="A106" s="14" t="str">
        <f>"("&amp;$O106&amp;", "&amp;$P106&amp;"]"</f>
        <v>(60, 70]</v>
      </c>
      <c r="B106" s="85">
        <v>136780</v>
      </c>
      <c r="C106" s="85">
        <v>889498060</v>
      </c>
      <c r="D106" s="38" t="e">
        <v>#DIV/0!</v>
      </c>
      <c r="E106" s="79">
        <v>0</v>
      </c>
      <c r="F106" s="83"/>
      <c r="G106" s="14" t="str">
        <f>"("&amp;$O106&amp;", "&amp;$P106&amp;"]"</f>
        <v>(60, 70]</v>
      </c>
      <c r="H106" s="80">
        <v>40.666876976868</v>
      </c>
      <c r="I106" s="38" t="e">
        <v>#DIV/0!</v>
      </c>
      <c r="J106" s="38" t="e">
        <v>#DIV/0!</v>
      </c>
      <c r="K106" s="81" t="e">
        <v>#DIV/0!</v>
      </c>
      <c r="L106" s="38" t="e">
        <v>#DIV/0!</v>
      </c>
      <c r="M106" s="38" t="e">
        <v>#DIV/0!</v>
      </c>
      <c r="N106" s="83"/>
      <c r="O106" s="69">
        <v>60</v>
      </c>
      <c r="P106" s="69">
        <v>70</v>
      </c>
      <c r="Q106" s="38" t="e">
        <v>#DIV/0!</v>
      </c>
      <c r="R106" s="38">
        <v>6.8966E-2</v>
      </c>
      <c r="T106" s="38"/>
      <c r="U106" s="84">
        <v>0</v>
      </c>
    </row>
    <row r="107" spans="1:21" x14ac:dyDescent="0.3">
      <c r="A107" s="14" t="str">
        <f>"("&amp;$O107&amp;", "&amp;$P107&amp;"]"</f>
        <v>(70, 80]</v>
      </c>
      <c r="B107" s="85">
        <v>133347</v>
      </c>
      <c r="C107" s="85">
        <v>1000522670</v>
      </c>
      <c r="D107" s="38" t="e">
        <v>#DIV/0!</v>
      </c>
      <c r="E107" s="79">
        <v>0</v>
      </c>
      <c r="F107" s="83"/>
      <c r="G107" s="14" t="str">
        <f>"("&amp;$O107&amp;", "&amp;$P107&amp;"]"</f>
        <v>(70, 80]</v>
      </c>
      <c r="H107" s="80">
        <v>20.856920039056</v>
      </c>
      <c r="I107" s="38" t="e">
        <v>#DIV/0!</v>
      </c>
      <c r="J107" s="38" t="e">
        <v>#DIV/0!</v>
      </c>
      <c r="K107" s="81" t="e">
        <v>#DIV/0!</v>
      </c>
      <c r="L107" s="38" t="e">
        <v>#DIV/0!</v>
      </c>
      <c r="M107" s="38" t="e">
        <v>#DIV/0!</v>
      </c>
      <c r="N107" s="83"/>
      <c r="O107" s="69">
        <v>70</v>
      </c>
      <c r="P107" s="69">
        <v>80</v>
      </c>
      <c r="Q107" s="38" t="e">
        <v>#DIV/0!</v>
      </c>
      <c r="R107" s="38">
        <v>3.4483E-2</v>
      </c>
      <c r="T107" s="38"/>
      <c r="U107" s="84">
        <v>0</v>
      </c>
    </row>
    <row r="108" spans="1:21" x14ac:dyDescent="0.3">
      <c r="A108" s="14" t="str">
        <f>"("&amp;$O108&amp;", "&amp;$P108&amp;"]"</f>
        <v>(80, 90]</v>
      </c>
      <c r="B108" s="85">
        <v>129227</v>
      </c>
      <c r="C108" s="85">
        <v>1098874310</v>
      </c>
      <c r="D108" s="38" t="e">
        <v>#DIV/0!</v>
      </c>
      <c r="E108" s="79">
        <v>0</v>
      </c>
      <c r="F108" s="83"/>
      <c r="G108" s="14" t="str">
        <f>"("&amp;$O108&amp;", "&amp;$P108&amp;"]"</f>
        <v>(80, 90]</v>
      </c>
      <c r="H108" s="80">
        <v>43.0437558164781</v>
      </c>
      <c r="I108" s="38" t="e">
        <v>#DIV/0!</v>
      </c>
      <c r="J108" s="38" t="e">
        <v>#DIV/0!</v>
      </c>
      <c r="K108" s="81" t="e">
        <v>#DIV/0!</v>
      </c>
      <c r="L108" s="38" t="e">
        <v>#DIV/0!</v>
      </c>
      <c r="M108" s="38" t="e">
        <v>#DIV/0!</v>
      </c>
      <c r="N108" s="83"/>
      <c r="O108" s="69">
        <v>80</v>
      </c>
      <c r="P108" s="69">
        <v>90</v>
      </c>
      <c r="Q108" s="38" t="e">
        <v>#DIV/0!</v>
      </c>
      <c r="R108" s="38">
        <v>6.8966E-2</v>
      </c>
      <c r="T108" s="38"/>
      <c r="U108" s="84">
        <v>0</v>
      </c>
    </row>
    <row r="109" spans="1:21" x14ac:dyDescent="0.3">
      <c r="A109" s="14" t="str">
        <f>"("&amp;$O109&amp;", "&amp;$P109&amp;"]"</f>
        <v>(90, 100]</v>
      </c>
      <c r="B109" s="85">
        <v>125018</v>
      </c>
      <c r="C109" s="85">
        <v>1187983350</v>
      </c>
      <c r="D109" s="38" t="e">
        <v>#DIV/0!</v>
      </c>
      <c r="E109" s="79">
        <v>0</v>
      </c>
      <c r="F109" s="83"/>
      <c r="G109" s="14" t="str">
        <f>"("&amp;$O109&amp;", "&amp;$P109&amp;"]"</f>
        <v>(90, 100]</v>
      </c>
      <c r="H109" s="91">
        <v>17.7969085361686</v>
      </c>
      <c r="I109" s="89" t="e">
        <v>#DIV/0!</v>
      </c>
      <c r="J109" s="89" t="e">
        <v>#DIV/0!</v>
      </c>
      <c r="K109" s="81" t="e">
        <v>#DIV/0!</v>
      </c>
      <c r="L109" s="89" t="e">
        <v>#DIV/0!</v>
      </c>
      <c r="M109" s="89" t="e">
        <v>#DIV/0!</v>
      </c>
      <c r="N109" s="83"/>
      <c r="O109" s="69">
        <v>90</v>
      </c>
      <c r="P109" s="69">
        <v>100</v>
      </c>
      <c r="Q109" s="38" t="e">
        <v>#DIV/0!</v>
      </c>
      <c r="R109" s="38">
        <v>2.7585999999999999E-2</v>
      </c>
      <c r="T109" s="38"/>
      <c r="U109" s="84">
        <v>0</v>
      </c>
    </row>
    <row r="110" spans="1:21" x14ac:dyDescent="0.3">
      <c r="A110" s="14" t="str">
        <f>"("&amp;$O110&amp;", "&amp;$P110&amp;"]"</f>
        <v>(100, 120]</v>
      </c>
      <c r="B110" s="85">
        <v>238296</v>
      </c>
      <c r="C110" s="85">
        <v>2619871495</v>
      </c>
      <c r="D110" s="38" t="e">
        <v>#DIV/0!</v>
      </c>
      <c r="E110" s="79">
        <v>0</v>
      </c>
      <c r="F110" s="83"/>
      <c r="G110" s="14" t="str">
        <f>"("&amp;$O110&amp;", "&amp;$P110&amp;"]"</f>
        <v>(100, 120]</v>
      </c>
      <c r="H110" s="91">
        <v>23.3424624538222</v>
      </c>
      <c r="I110" s="89" t="e">
        <v>#DIV/0!</v>
      </c>
      <c r="J110" s="89" t="e">
        <v>#DIV/0!</v>
      </c>
      <c r="K110" s="81" t="e">
        <v>#DIV/0!</v>
      </c>
      <c r="L110" s="89" t="e">
        <v>#DIV/0!</v>
      </c>
      <c r="M110" s="89" t="e">
        <v>#DIV/0!</v>
      </c>
      <c r="N110" s="83"/>
      <c r="O110" s="69">
        <v>100</v>
      </c>
      <c r="P110" s="69">
        <v>120</v>
      </c>
      <c r="Q110" s="38" t="e">
        <v>#DIV/0!</v>
      </c>
      <c r="R110" s="38">
        <v>6.8966E-2</v>
      </c>
      <c r="T110" s="38"/>
      <c r="U110" s="84">
        <v>0</v>
      </c>
    </row>
    <row r="111" spans="1:21" x14ac:dyDescent="0.3">
      <c r="A111" s="14" t="str">
        <f>"("&amp;$O111&amp;", "&amp;$P111&amp;"]"</f>
        <v>(120, 140]</v>
      </c>
      <c r="B111" s="85">
        <v>224748</v>
      </c>
      <c r="C111" s="85">
        <v>2920951700</v>
      </c>
      <c r="D111" s="38" t="e">
        <v>#DIV/0!</v>
      </c>
      <c r="E111" s="79">
        <v>0</v>
      </c>
      <c r="F111" s="83"/>
      <c r="G111" s="14" t="str">
        <f>"("&amp;$O111&amp;", "&amp;$P111&amp;"]"</f>
        <v>(120, 140]</v>
      </c>
      <c r="H111" s="91">
        <v>9.89968280640863</v>
      </c>
      <c r="I111" s="89" t="e">
        <v>#DIV/0!</v>
      </c>
      <c r="J111" s="89" t="e">
        <v>#DIV/0!</v>
      </c>
      <c r="K111" s="81" t="e">
        <v>#DIV/0!</v>
      </c>
      <c r="L111" s="89" t="e">
        <v>#DIV/0!</v>
      </c>
      <c r="M111" s="89" t="e">
        <v>#DIV/0!</v>
      </c>
      <c r="N111" s="83"/>
      <c r="O111" s="69">
        <v>120</v>
      </c>
      <c r="P111" s="69">
        <v>140</v>
      </c>
      <c r="Q111" s="38" t="e">
        <v>#DIV/0!</v>
      </c>
      <c r="R111" s="38">
        <v>2.7585999999999999E-2</v>
      </c>
      <c r="T111" s="38"/>
      <c r="U111" s="84">
        <v>0</v>
      </c>
    </row>
    <row r="112" spans="1:21" x14ac:dyDescent="0.3">
      <c r="A112" s="14" t="str">
        <f>"("&amp;$O112&amp;", "&amp;$P112&amp;"]"</f>
        <v>(140, 160]</v>
      </c>
      <c r="B112" s="85">
        <v>209650</v>
      </c>
      <c r="C112" s="85">
        <v>3143246085</v>
      </c>
      <c r="D112" s="38" t="e">
        <v>#DIV/0!</v>
      </c>
      <c r="E112" s="79">
        <v>0</v>
      </c>
      <c r="F112" s="83"/>
      <c r="G112" s="14" t="str">
        <f>"("&amp;$O112&amp;", "&amp;$P112&amp;"]"</f>
        <v>(140, 160]</v>
      </c>
      <c r="H112" s="91">
        <v>18.5722617321029</v>
      </c>
      <c r="I112" s="89" t="e">
        <v>#DIV/0!</v>
      </c>
      <c r="J112" s="89" t="e">
        <v>#DIV/0!</v>
      </c>
      <c r="K112" s="81" t="e">
        <v>#DIV/0!</v>
      </c>
      <c r="L112" s="89" t="e">
        <v>#DIV/0!</v>
      </c>
      <c r="M112" s="89" t="e">
        <v>#DIV/0!</v>
      </c>
      <c r="N112" s="83"/>
      <c r="O112" s="69">
        <v>140</v>
      </c>
      <c r="P112" s="69">
        <v>160</v>
      </c>
      <c r="Q112" s="38" t="e">
        <v>#DIV/0!</v>
      </c>
      <c r="R112" s="38">
        <v>4.8275999999999999E-2</v>
      </c>
      <c r="T112" s="38"/>
      <c r="U112" s="84">
        <v>0</v>
      </c>
    </row>
    <row r="113" spans="1:21" x14ac:dyDescent="0.3">
      <c r="A113" s="14" t="str">
        <f>"("&amp;$O113&amp;", "&amp;$P113&amp;"]"</f>
        <v>(160, 180]</v>
      </c>
      <c r="B113" s="85">
        <v>198734</v>
      </c>
      <c r="C113" s="85">
        <v>3377478315</v>
      </c>
      <c r="D113" s="38" t="e">
        <v>#DIV/0!</v>
      </c>
      <c r="E113" s="79">
        <v>0</v>
      </c>
      <c r="F113" s="83"/>
      <c r="G113" s="14" t="str">
        <f>"("&amp;$O113&amp;", "&amp;$P113&amp;"]"</f>
        <v>(160, 180]</v>
      </c>
      <c r="H113" s="91">
        <v>11.1955373080335</v>
      </c>
      <c r="I113" s="89" t="e">
        <v>#DIV/0!</v>
      </c>
      <c r="J113" s="89" t="e">
        <v>#DIV/0!</v>
      </c>
      <c r="K113" s="81" t="e">
        <v>#DIV/0!</v>
      </c>
      <c r="L113" s="89" t="e">
        <v>#DIV/0!</v>
      </c>
      <c r="M113" s="89" t="e">
        <v>#DIV/0!</v>
      </c>
      <c r="N113" s="83"/>
      <c r="O113" s="69">
        <v>160</v>
      </c>
      <c r="P113" s="69">
        <v>180</v>
      </c>
      <c r="Q113" s="38" t="e">
        <v>#DIV/0!</v>
      </c>
      <c r="R113" s="38">
        <v>2.7585999999999999E-2</v>
      </c>
      <c r="T113" s="38"/>
      <c r="U113" s="84">
        <v>0</v>
      </c>
    </row>
    <row r="114" spans="1:21" x14ac:dyDescent="0.3">
      <c r="A114" s="14" t="str">
        <f>"("&amp;$O114&amp;", "&amp;$P114&amp;"]"</f>
        <v>(180, 200]</v>
      </c>
      <c r="B114" s="85">
        <v>187485</v>
      </c>
      <c r="C114" s="85">
        <v>3561092465</v>
      </c>
      <c r="D114" s="38" t="e">
        <v>#DIV/0!</v>
      </c>
      <c r="E114" s="79">
        <v>0</v>
      </c>
      <c r="F114" s="83"/>
      <c r="G114" s="14" t="str">
        <f>"("&amp;$O114&amp;", "&amp;$P114&amp;"]"</f>
        <v>(180, 200]</v>
      </c>
      <c r="H114" s="91">
        <v>14.8342945646212</v>
      </c>
      <c r="I114" s="89" t="e">
        <v>#DIV/0!</v>
      </c>
      <c r="J114" s="89" t="e">
        <v>#DIV/0!</v>
      </c>
      <c r="K114" s="81" t="e">
        <v>#DIV/0!</v>
      </c>
      <c r="L114" s="89" t="e">
        <v>#DIV/0!</v>
      </c>
      <c r="M114" s="89" t="e">
        <v>#DIV/0!</v>
      </c>
      <c r="N114" s="83"/>
      <c r="O114" s="69">
        <v>180</v>
      </c>
      <c r="P114" s="69">
        <v>200</v>
      </c>
      <c r="Q114" s="38" t="e">
        <v>#DIV/0!</v>
      </c>
      <c r="R114" s="38">
        <v>3.4483E-2</v>
      </c>
      <c r="T114" s="38"/>
      <c r="U114" s="84">
        <v>0</v>
      </c>
    </row>
    <row r="115" spans="1:21" x14ac:dyDescent="0.3">
      <c r="A115" s="14" t="str">
        <f>"("&amp;$O115&amp;", "&amp;$P115&amp;"]"</f>
        <v>(200, 250]</v>
      </c>
      <c r="B115" s="85">
        <v>422002</v>
      </c>
      <c r="C115" s="85">
        <v>9472199210</v>
      </c>
      <c r="D115" s="38" t="e">
        <v>#DIV/0!</v>
      </c>
      <c r="E115" s="79">
        <v>0</v>
      </c>
      <c r="F115" s="83"/>
      <c r="G115" s="14" t="str">
        <f>"("&amp;$O115&amp;", "&amp;$P115&amp;"]"</f>
        <v>(200, 250]</v>
      </c>
      <c r="H115" s="91">
        <v>2.63616512643865</v>
      </c>
      <c r="I115" s="89" t="e">
        <v>#DIV/0!</v>
      </c>
      <c r="J115" s="89" t="e">
        <v>#DIV/0!</v>
      </c>
      <c r="K115" s="81" t="e">
        <v>#DIV/0!</v>
      </c>
      <c r="L115" s="89" t="e">
        <v>#DIV/0!</v>
      </c>
      <c r="M115" s="89" t="e">
        <v>#DIV/0!</v>
      </c>
      <c r="N115" s="83"/>
      <c r="O115" s="69">
        <v>200</v>
      </c>
      <c r="P115" s="69">
        <v>250</v>
      </c>
      <c r="Q115" s="38" t="e">
        <v>#DIV/0!</v>
      </c>
      <c r="R115" s="38">
        <v>1.3793E-2</v>
      </c>
      <c r="T115" s="38"/>
      <c r="U115" s="84">
        <v>0</v>
      </c>
    </row>
    <row r="116" spans="1:21" x14ac:dyDescent="0.3">
      <c r="A116" s="14" t="str">
        <f>"("&amp;$O116&amp;", "&amp;$P116&amp;"]"</f>
        <v>(250, 300]</v>
      </c>
      <c r="B116" s="85">
        <v>368119</v>
      </c>
      <c r="C116" s="85">
        <v>10104365770</v>
      </c>
      <c r="D116" s="38" t="e">
        <v>#DIV/0!</v>
      </c>
      <c r="E116" s="79">
        <v>0</v>
      </c>
      <c r="F116" s="83"/>
      <c r="G116" s="14" t="str">
        <f>"("&amp;$O116&amp;", "&amp;$P116&amp;"]"</f>
        <v>(250, 300]</v>
      </c>
      <c r="H116" s="91">
        <v>3.0220307989736</v>
      </c>
      <c r="I116" s="89" t="e">
        <v>#DIV/0!</v>
      </c>
      <c r="J116" s="89" t="e">
        <v>#DIV/0!</v>
      </c>
      <c r="K116" s="81" t="e">
        <v>#DIV/0!</v>
      </c>
      <c r="L116" s="89" t="e">
        <v>#DIV/0!</v>
      </c>
      <c r="M116" s="89" t="e">
        <v>#DIV/0!</v>
      </c>
      <c r="N116" s="83"/>
      <c r="O116" s="69">
        <v>250</v>
      </c>
      <c r="P116" s="69">
        <v>300</v>
      </c>
      <c r="Q116" s="38" t="e">
        <v>#DIV/0!</v>
      </c>
      <c r="R116" s="38">
        <v>1.3793E-2</v>
      </c>
      <c r="T116" s="38"/>
      <c r="U116" s="84">
        <v>0</v>
      </c>
    </row>
    <row r="117" spans="1:21" x14ac:dyDescent="0.3">
      <c r="A117" s="14" t="str">
        <f>"("&amp;$O117&amp;", "&amp;$P117&amp;"]"</f>
        <v>(300, 350]</v>
      </c>
      <c r="B117" s="85">
        <v>321405</v>
      </c>
      <c r="C117" s="85">
        <v>10428962590</v>
      </c>
      <c r="D117" s="38" t="e">
        <v>#DIV/0!</v>
      </c>
      <c r="E117" s="79">
        <v>0</v>
      </c>
      <c r="F117" s="83"/>
      <c r="G117" s="14" t="str">
        <f>"("&amp;$O117&amp;", "&amp;$P117&amp;"]"</f>
        <v>(300, 350]</v>
      </c>
      <c r="H117" s="91">
        <v>1.73075653792965</v>
      </c>
      <c r="I117" s="89" t="e">
        <v>#DIV/0!</v>
      </c>
      <c r="J117" s="89" t="e">
        <v>#DIV/0!</v>
      </c>
      <c r="K117" s="81" t="e">
        <v>#DIV/0!</v>
      </c>
      <c r="L117" s="89" t="e">
        <v>#DIV/0!</v>
      </c>
      <c r="M117" s="89" t="e">
        <v>#DIV/0!</v>
      </c>
      <c r="N117" s="83"/>
      <c r="O117" s="69">
        <v>300</v>
      </c>
      <c r="P117" s="69">
        <v>350</v>
      </c>
      <c r="Q117" s="38" t="e">
        <v>#DIV/0!</v>
      </c>
      <c r="R117" s="38">
        <v>6.8970000000000004E-3</v>
      </c>
      <c r="T117" s="38"/>
      <c r="U117" s="84">
        <v>0</v>
      </c>
    </row>
    <row r="118" spans="1:21" x14ac:dyDescent="0.3">
      <c r="A118" s="14" t="str">
        <f>"("&amp;$O118&amp;", "&amp;$P118&amp;"]"</f>
        <v>(350, 400]</v>
      </c>
      <c r="B118" s="85">
        <v>283712</v>
      </c>
      <c r="C118" s="85">
        <v>10625548070</v>
      </c>
      <c r="D118" s="38" t="e">
        <v>#DIV/0!</v>
      </c>
      <c r="E118" s="79">
        <v>0</v>
      </c>
      <c r="F118" s="83"/>
      <c r="G118" s="14" t="str">
        <f>"("&amp;$O118&amp;", "&amp;$P118&amp;"]"</f>
        <v>(350, 400]</v>
      </c>
      <c r="H118" s="91">
        <v>1.96069889561696</v>
      </c>
      <c r="I118" s="89" t="e">
        <v>#DIV/0!</v>
      </c>
      <c r="J118" s="89" t="e">
        <v>#DIV/0!</v>
      </c>
      <c r="K118" s="81" t="e">
        <v>#DIV/0!</v>
      </c>
      <c r="L118" s="89" t="e">
        <v>#DIV/0!</v>
      </c>
      <c r="M118" s="89" t="e">
        <v>#DIV/0!</v>
      </c>
      <c r="N118" s="83"/>
      <c r="O118" s="69">
        <v>350</v>
      </c>
      <c r="P118" s="69">
        <v>400</v>
      </c>
      <c r="Q118" s="38" t="e">
        <v>#DIV/0!</v>
      </c>
      <c r="R118" s="38">
        <v>6.8970000000000004E-3</v>
      </c>
      <c r="T118" s="38"/>
      <c r="U118" s="84">
        <v>0</v>
      </c>
    </row>
    <row r="119" spans="1:21" x14ac:dyDescent="0.3">
      <c r="A119" s="14" t="str">
        <f>"("&amp;$O119&amp;", "&amp;$P119&amp;"]"</f>
        <v>(400, 450]</v>
      </c>
      <c r="B119" s="85">
        <v>250380</v>
      </c>
      <c r="C119" s="85">
        <v>10628587395</v>
      </c>
      <c r="D119" s="38" t="e">
        <v>#DIV/0!</v>
      </c>
      <c r="E119" s="79">
        <v>0</v>
      </c>
      <c r="F119" s="83"/>
      <c r="G119" s="14" t="str">
        <f>"("&amp;$O119&amp;", "&amp;$P119&amp;"]"</f>
        <v>(400, 450]</v>
      </c>
      <c r="H119" s="91">
        <v>0</v>
      </c>
      <c r="I119" s="89" t="e">
        <v>#DIV/0!</v>
      </c>
      <c r="J119" s="89" t="e">
        <v>#DIV/0!</v>
      </c>
      <c r="K119" s="81" t="e">
        <v>#DIV/0!</v>
      </c>
      <c r="L119" s="89" t="e">
        <v>#DIV/0!</v>
      </c>
      <c r="M119" s="89" t="e">
        <v>#DIV/0!</v>
      </c>
      <c r="N119" s="83"/>
      <c r="O119" s="69">
        <v>400</v>
      </c>
      <c r="P119" s="69">
        <v>450</v>
      </c>
      <c r="Q119" s="38" t="e">
        <v>#DIV/0!</v>
      </c>
      <c r="R119" s="38">
        <v>0</v>
      </c>
      <c r="T119" s="38"/>
      <c r="U119" s="84">
        <v>0</v>
      </c>
    </row>
    <row r="120" spans="1:21" x14ac:dyDescent="0.3">
      <c r="A120" s="14" t="str">
        <f>"("&amp;$O120&amp;", "&amp;$P120&amp;"]"</f>
        <v>(450, 500]</v>
      </c>
      <c r="B120" s="85">
        <v>223043</v>
      </c>
      <c r="C120" s="85">
        <v>10583930920</v>
      </c>
      <c r="D120" s="38" t="e">
        <v>#DIV/0!</v>
      </c>
      <c r="E120" s="79">
        <v>0</v>
      </c>
      <c r="F120" s="83"/>
      <c r="G120" s="14" t="str">
        <f>"("&amp;$O120&amp;", "&amp;$P120&amp;"]"</f>
        <v>(450, 500]</v>
      </c>
      <c r="H120" s="91">
        <v>0</v>
      </c>
      <c r="I120" s="89" t="e">
        <v>#DIV/0!</v>
      </c>
      <c r="J120" s="89" t="e">
        <v>#DIV/0!</v>
      </c>
      <c r="K120" s="81" t="e">
        <v>#DIV/0!</v>
      </c>
      <c r="L120" s="89" t="e">
        <v>#DIV/0!</v>
      </c>
      <c r="M120" s="89" t="e">
        <v>#DIV/0!</v>
      </c>
      <c r="N120" s="83"/>
      <c r="O120" s="69">
        <v>450</v>
      </c>
      <c r="P120" s="69">
        <v>500</v>
      </c>
      <c r="Q120" s="38" t="e">
        <v>#DIV/0!</v>
      </c>
      <c r="R120" s="38">
        <v>0</v>
      </c>
      <c r="T120" s="38"/>
      <c r="U120" s="84">
        <v>0</v>
      </c>
    </row>
    <row r="121" spans="1:21" x14ac:dyDescent="0.3">
      <c r="A121" s="14" t="str">
        <f>"("&amp;$O121&amp;", "&amp;$P121&amp;"]"</f>
        <v>(500, 550]</v>
      </c>
      <c r="B121" s="85">
        <v>199354</v>
      </c>
      <c r="C121" s="85">
        <v>10457453505</v>
      </c>
      <c r="D121" s="38" t="e">
        <v>#DIV/0!</v>
      </c>
      <c r="E121" s="79">
        <v>0</v>
      </c>
      <c r="F121" s="83"/>
      <c r="G121" s="14" t="str">
        <f>"("&amp;$O121&amp;", "&amp;$P121&amp;"]"</f>
        <v>(500, 550]</v>
      </c>
      <c r="H121" s="91">
        <v>0</v>
      </c>
      <c r="I121" s="89" t="e">
        <v>#DIV/0!</v>
      </c>
      <c r="J121" s="89" t="e">
        <v>#DIV/0!</v>
      </c>
      <c r="K121" s="81" t="e">
        <v>#DIV/0!</v>
      </c>
      <c r="L121" s="89" t="e">
        <v>#DIV/0!</v>
      </c>
      <c r="M121" s="89" t="e">
        <v>#DIV/0!</v>
      </c>
      <c r="N121" s="83"/>
      <c r="O121" s="69">
        <v>500</v>
      </c>
      <c r="P121" s="69">
        <v>550</v>
      </c>
      <c r="Q121" s="38" t="e">
        <v>#DIV/0!</v>
      </c>
      <c r="R121" s="38">
        <v>0</v>
      </c>
      <c r="T121" s="38"/>
      <c r="U121" s="84">
        <v>0</v>
      </c>
    </row>
    <row r="122" spans="1:21" x14ac:dyDescent="0.3">
      <c r="A122" s="14" t="str">
        <f>"("&amp;$O122&amp;", "&amp;$P122&amp;"]"</f>
        <v>(550, 600]</v>
      </c>
      <c r="B122" s="85">
        <v>177640</v>
      </c>
      <c r="C122" s="85">
        <v>10206550410</v>
      </c>
      <c r="D122" s="38" t="e">
        <v>#DIV/0!</v>
      </c>
      <c r="E122" s="79">
        <v>0</v>
      </c>
      <c r="F122" s="83"/>
      <c r="G122" s="14" t="str">
        <f>"("&amp;$O122&amp;", "&amp;$P122&amp;"]"</f>
        <v>(550, 600]</v>
      </c>
      <c r="H122" s="80">
        <v>0</v>
      </c>
      <c r="I122" s="38" t="e">
        <v>#DIV/0!</v>
      </c>
      <c r="J122" s="38" t="e">
        <v>#DIV/0!</v>
      </c>
      <c r="K122" s="81" t="e">
        <v>#DIV/0!</v>
      </c>
      <c r="L122" s="38" t="e">
        <v>#DIV/0!</v>
      </c>
      <c r="M122" s="38" t="e">
        <v>#DIV/0!</v>
      </c>
      <c r="N122" s="83"/>
      <c r="O122" s="69">
        <v>550</v>
      </c>
      <c r="P122" s="69">
        <v>600</v>
      </c>
      <c r="Q122" s="38" t="e">
        <v>#DIV/0!</v>
      </c>
      <c r="R122" s="38">
        <v>0</v>
      </c>
      <c r="T122" s="38"/>
      <c r="U122" s="84">
        <v>0</v>
      </c>
    </row>
    <row r="123" spans="1:21" x14ac:dyDescent="0.3">
      <c r="A123" s="14" t="str">
        <f>"("&amp;$O123&amp;", "&amp;$P123&amp;"]"</f>
        <v>(600, 650]</v>
      </c>
      <c r="B123" s="85">
        <v>160014</v>
      </c>
      <c r="C123" s="85">
        <v>9993632010</v>
      </c>
      <c r="D123" s="38" t="e">
        <v>#DIV/0!</v>
      </c>
      <c r="E123" s="79">
        <v>0</v>
      </c>
      <c r="F123" s="83"/>
      <c r="G123" s="14" t="str">
        <f>"("&amp;$O123&amp;", "&amp;$P123&amp;"]"</f>
        <v>(600, 650]</v>
      </c>
      <c r="H123" s="80">
        <v>3.47640709608709</v>
      </c>
      <c r="I123" s="38" t="e">
        <v>#DIV/0!</v>
      </c>
      <c r="J123" s="38" t="e">
        <v>#DIV/0!</v>
      </c>
      <c r="K123" s="81" t="e">
        <v>#DIV/0!</v>
      </c>
      <c r="L123" s="38" t="e">
        <v>#DIV/0!</v>
      </c>
      <c r="M123" s="38" t="e">
        <v>#DIV/0!</v>
      </c>
      <c r="N123" s="83"/>
      <c r="O123" s="69">
        <v>600</v>
      </c>
      <c r="P123" s="69">
        <v>650</v>
      </c>
      <c r="Q123" s="38" t="e">
        <v>#DIV/0!</v>
      </c>
      <c r="R123" s="38">
        <v>6.8970000000000004E-3</v>
      </c>
      <c r="T123" s="38"/>
      <c r="U123" s="84">
        <v>0</v>
      </c>
    </row>
    <row r="124" spans="1:21" x14ac:dyDescent="0.3">
      <c r="A124" s="14" t="str">
        <f>"("&amp;$O124&amp;", "&amp;$P124&amp;"]"</f>
        <v>(650, 700]</v>
      </c>
      <c r="B124" s="85">
        <v>144165</v>
      </c>
      <c r="C124" s="85">
        <v>9724431615</v>
      </c>
      <c r="D124" s="38" t="e">
        <v>#DIV/0!</v>
      </c>
      <c r="E124" s="79">
        <v>0</v>
      </c>
      <c r="F124" s="83"/>
      <c r="G124" s="14" t="str">
        <f>"("&amp;$O124&amp;", "&amp;$P124&amp;"]"</f>
        <v>(650, 700]</v>
      </c>
      <c r="H124" s="80">
        <v>0</v>
      </c>
      <c r="I124" s="38" t="e">
        <v>#DIV/0!</v>
      </c>
      <c r="J124" s="38" t="e">
        <v>#DIV/0!</v>
      </c>
      <c r="K124" s="81" t="e">
        <v>#DIV/0!</v>
      </c>
      <c r="L124" s="38" t="e">
        <v>#DIV/0!</v>
      </c>
      <c r="M124" s="38" t="e">
        <v>#DIV/0!</v>
      </c>
      <c r="N124" s="83"/>
      <c r="O124" s="69">
        <v>650</v>
      </c>
      <c r="P124" s="69">
        <v>700</v>
      </c>
      <c r="Q124" s="38" t="e">
        <v>#DIV/0!</v>
      </c>
      <c r="R124" s="38">
        <v>0</v>
      </c>
      <c r="T124" s="38"/>
      <c r="U124" s="84">
        <v>0</v>
      </c>
    </row>
    <row r="125" spans="1:21" x14ac:dyDescent="0.3">
      <c r="A125" s="14" t="str">
        <f>"("&amp;$O125&amp;", "&amp;$P125&amp;"]"</f>
        <v>(700, 750]</v>
      </c>
      <c r="B125" s="85">
        <v>130027</v>
      </c>
      <c r="C125" s="85">
        <v>9422349115</v>
      </c>
      <c r="D125" s="38" t="e">
        <v>#DIV/0!</v>
      </c>
      <c r="E125" s="79">
        <v>0</v>
      </c>
      <c r="F125" s="83"/>
      <c r="G125" s="14" t="str">
        <f>"("&amp;$O125&amp;", "&amp;$P125&amp;"]"</f>
        <v>(700, 750]</v>
      </c>
      <c r="H125" s="80">
        <v>0</v>
      </c>
      <c r="I125" s="38" t="e">
        <v>#DIV/0!</v>
      </c>
      <c r="J125" s="38" t="e">
        <v>#DIV/0!</v>
      </c>
      <c r="K125" s="81" t="e">
        <v>#DIV/0!</v>
      </c>
      <c r="L125" s="38" t="e">
        <v>#DIV/0!</v>
      </c>
      <c r="M125" s="38" t="e">
        <v>#DIV/0!</v>
      </c>
      <c r="N125" s="83"/>
      <c r="O125" s="69">
        <v>700</v>
      </c>
      <c r="P125" s="69">
        <v>750</v>
      </c>
      <c r="Q125" s="38" t="e">
        <v>#DIV/0!</v>
      </c>
      <c r="R125" s="38">
        <v>0</v>
      </c>
      <c r="T125" s="38"/>
      <c r="U125" s="84">
        <v>0</v>
      </c>
    </row>
    <row r="126" spans="1:21" x14ac:dyDescent="0.3">
      <c r="A126" s="14" t="str">
        <f>"("&amp;$O126&amp;", "&amp;$P126&amp;"]"</f>
        <v>(750, 800]</v>
      </c>
      <c r="B126" s="85">
        <v>118105</v>
      </c>
      <c r="C126" s="85">
        <v>9148586635</v>
      </c>
      <c r="D126" s="38" t="e">
        <v>#DIV/0!</v>
      </c>
      <c r="E126" s="79">
        <v>0</v>
      </c>
      <c r="F126" s="83"/>
      <c r="G126" s="14" t="str">
        <f>"("&amp;$O126&amp;", "&amp;$P126&amp;"]"</f>
        <v>(750, 800]</v>
      </c>
      <c r="H126" s="80">
        <v>0</v>
      </c>
      <c r="I126" s="38" t="e">
        <v>#DIV/0!</v>
      </c>
      <c r="J126" s="38" t="e">
        <v>#DIV/0!</v>
      </c>
      <c r="K126" s="81" t="e">
        <v>#DIV/0!</v>
      </c>
      <c r="L126" s="38" t="e">
        <v>#DIV/0!</v>
      </c>
      <c r="M126" s="38" t="e">
        <v>#DIV/0!</v>
      </c>
      <c r="N126" s="83"/>
      <c r="O126" s="69">
        <v>750</v>
      </c>
      <c r="P126" s="69">
        <v>800</v>
      </c>
      <c r="Q126" s="38" t="e">
        <v>#DIV/0!</v>
      </c>
      <c r="R126" s="38">
        <v>0</v>
      </c>
      <c r="T126" s="38"/>
      <c r="U126" s="84">
        <v>0</v>
      </c>
    </row>
    <row r="127" spans="1:21" x14ac:dyDescent="0.3">
      <c r="A127" s="14" t="str">
        <f>"("&amp;$O127&amp;", "&amp;$P127&amp;"]"</f>
        <v>(800, 850]</v>
      </c>
      <c r="B127" s="85">
        <v>107681</v>
      </c>
      <c r="C127" s="85">
        <v>8879504370</v>
      </c>
      <c r="D127" s="38" t="e">
        <v>#DIV/0!</v>
      </c>
      <c r="E127" s="79">
        <v>0</v>
      </c>
      <c r="F127" s="83"/>
      <c r="G127" s="14" t="str">
        <f>"("&amp;$O127&amp;", "&amp;$P127&amp;"]"</f>
        <v>(800, 850]</v>
      </c>
      <c r="H127" s="80">
        <v>0</v>
      </c>
      <c r="I127" s="38" t="e">
        <v>#DIV/0!</v>
      </c>
      <c r="J127" s="38" t="e">
        <v>#DIV/0!</v>
      </c>
      <c r="K127" s="81" t="e">
        <v>#DIV/0!</v>
      </c>
      <c r="L127" s="38" t="e">
        <v>#DIV/0!</v>
      </c>
      <c r="M127" s="38" t="e">
        <v>#DIV/0!</v>
      </c>
      <c r="N127" s="83"/>
      <c r="O127" s="69">
        <v>800</v>
      </c>
      <c r="P127" s="69">
        <v>850</v>
      </c>
      <c r="Q127" s="38" t="e">
        <v>#DIV/0!</v>
      </c>
      <c r="R127" s="38">
        <v>0</v>
      </c>
      <c r="T127" s="38"/>
      <c r="U127" s="84">
        <v>0</v>
      </c>
    </row>
    <row r="128" spans="1:21" x14ac:dyDescent="0.3">
      <c r="A128" s="14" t="str">
        <f>"("&amp;$O128&amp;", "&amp;$P128&amp;"]"</f>
        <v>(850, 900]</v>
      </c>
      <c r="B128" s="85">
        <v>97799</v>
      </c>
      <c r="C128" s="85">
        <v>8554827365</v>
      </c>
      <c r="D128" s="38" t="e">
        <v>#DIV/0!</v>
      </c>
      <c r="E128" s="79">
        <v>0</v>
      </c>
      <c r="F128" s="83"/>
      <c r="G128" s="14" t="str">
        <f>"("&amp;$O128&amp;", "&amp;$P128&amp;"]"</f>
        <v>(850, 900]</v>
      </c>
      <c r="H128" s="80">
        <v>0</v>
      </c>
      <c r="I128" s="38" t="e">
        <v>#DIV/0!</v>
      </c>
      <c r="J128" s="38" t="e">
        <v>#DIV/0!</v>
      </c>
      <c r="K128" s="82" t="e">
        <v>#DIV/0!</v>
      </c>
      <c r="L128" s="38" t="e">
        <v>#DIV/0!</v>
      </c>
      <c r="M128" s="38" t="e">
        <v>#DIV/0!</v>
      </c>
      <c r="N128" s="83"/>
      <c r="O128" s="69">
        <v>850</v>
      </c>
      <c r="P128" s="69">
        <v>900</v>
      </c>
      <c r="Q128" s="38" t="e">
        <v>#DIV/0!</v>
      </c>
      <c r="R128" s="38">
        <v>0</v>
      </c>
      <c r="T128" s="38"/>
      <c r="U128" s="84">
        <v>0</v>
      </c>
    </row>
    <row r="129" spans="1:21" x14ac:dyDescent="0.3">
      <c r="A129" s="14" t="str">
        <f>"("&amp;$O129&amp;", "&amp;$P129&amp;"]"</f>
        <v>(900, 950]</v>
      </c>
      <c r="B129" s="85">
        <v>89240</v>
      </c>
      <c r="C129" s="85">
        <v>8251438340</v>
      </c>
      <c r="D129" s="38" t="e">
        <v>#DIV/0!</v>
      </c>
      <c r="E129" s="79">
        <v>0</v>
      </c>
      <c r="F129" s="83"/>
      <c r="G129" s="14" t="str">
        <f>"("&amp;$O129&amp;", "&amp;$P129&amp;"]"</f>
        <v>(900, 950]</v>
      </c>
      <c r="H129" s="80">
        <v>6.23345814739219</v>
      </c>
      <c r="I129" s="38" t="e">
        <v>#DIV/0!</v>
      </c>
      <c r="J129" s="38" t="e">
        <v>#DIV/0!</v>
      </c>
      <c r="K129" s="82" t="e">
        <v>#DIV/0!</v>
      </c>
      <c r="L129" s="38" t="e">
        <v>#DIV/0!</v>
      </c>
      <c r="M129" s="38" t="e">
        <v>#DIV/0!</v>
      </c>
      <c r="N129" s="83"/>
      <c r="O129" s="69">
        <v>900</v>
      </c>
      <c r="P129" s="69">
        <v>950</v>
      </c>
      <c r="Q129" s="38" t="e">
        <v>#DIV/0!</v>
      </c>
      <c r="R129" s="38">
        <v>6.8970000000000004E-3</v>
      </c>
      <c r="T129" s="38"/>
      <c r="U129" s="84">
        <v>0</v>
      </c>
    </row>
    <row r="130" spans="1:21" x14ac:dyDescent="0.3">
      <c r="A130" s="14" t="str">
        <f>"("&amp;$O130&amp;", "&amp;$P130&amp;"]"</f>
        <v>(950, 1000]</v>
      </c>
      <c r="B130" s="85">
        <v>81261</v>
      </c>
      <c r="C130" s="85">
        <v>7921331040</v>
      </c>
      <c r="D130" s="38" t="e">
        <v>#DIV/0!</v>
      </c>
      <c r="E130" s="79">
        <v>0</v>
      </c>
      <c r="F130" s="83"/>
      <c r="G130" s="14" t="str">
        <f>"("&amp;$O130&amp;", "&amp;$P130&amp;"]"</f>
        <v>(950, 1000]</v>
      </c>
      <c r="H130" s="80">
        <v>0</v>
      </c>
      <c r="I130" s="38" t="e">
        <v>#DIV/0!</v>
      </c>
      <c r="J130" s="38" t="e">
        <v>#DIV/0!</v>
      </c>
      <c r="K130" s="82" t="e">
        <v>#DIV/0!</v>
      </c>
      <c r="L130" s="38" t="e">
        <v>#DIV/0!</v>
      </c>
      <c r="M130" s="38" t="e">
        <v>#DIV/0!</v>
      </c>
      <c r="N130" s="83"/>
      <c r="O130" s="69">
        <v>950</v>
      </c>
      <c r="P130" s="69">
        <v>1000</v>
      </c>
      <c r="Q130" s="38" t="e">
        <v>#DIV/0!</v>
      </c>
      <c r="R130" s="38">
        <v>0</v>
      </c>
      <c r="T130" s="38"/>
      <c r="U130" s="84">
        <v>0</v>
      </c>
    </row>
    <row r="131" spans="1:21" x14ac:dyDescent="0.3">
      <c r="A131" s="14" t="str">
        <f>"("&amp;$O131&amp;", "&amp;$P131&amp;"]"</f>
        <v>(1000, 2000]</v>
      </c>
      <c r="B131" s="85">
        <v>818533</v>
      </c>
      <c r="C131" s="85">
        <v>113678095185</v>
      </c>
      <c r="D131" s="38" t="e">
        <v>#DIV/0!</v>
      </c>
      <c r="E131" s="79">
        <v>0</v>
      </c>
      <c r="F131" s="83"/>
      <c r="G131" s="14" t="str">
        <f>"("&amp;$O131&amp;", "&amp;$P131&amp;"]"</f>
        <v>(1000, 2000]</v>
      </c>
      <c r="H131" s="80">
        <v>0</v>
      </c>
      <c r="I131" s="38" t="e">
        <v>#DIV/0!</v>
      </c>
      <c r="J131" s="38" t="e">
        <v>#DIV/0!</v>
      </c>
      <c r="K131" s="82" t="e">
        <v>#DIV/0!</v>
      </c>
      <c r="L131" s="38" t="e">
        <v>#DIV/0!</v>
      </c>
      <c r="M131" s="38" t="e">
        <v>#DIV/0!</v>
      </c>
      <c r="N131" s="83"/>
      <c r="O131" s="69">
        <v>1000</v>
      </c>
      <c r="P131" s="69">
        <v>2000</v>
      </c>
      <c r="Q131" s="38" t="e">
        <v>#DIV/0!</v>
      </c>
      <c r="R131" s="38">
        <v>0</v>
      </c>
      <c r="T131" s="38"/>
      <c r="U131" s="84">
        <v>0</v>
      </c>
    </row>
    <row r="132" spans="1:21" x14ac:dyDescent="0.3">
      <c r="A132" s="14" t="str">
        <f>"("&amp;$O132&amp;", "&amp;$P132&amp;"]"</f>
        <v>(2000, 3000]</v>
      </c>
      <c r="B132" s="85">
        <v>259696</v>
      </c>
      <c r="C132" s="85">
        <v>62938649725</v>
      </c>
      <c r="D132" s="38" t="e">
        <v>#DIV/0!</v>
      </c>
      <c r="E132" s="79">
        <v>0</v>
      </c>
      <c r="F132" s="83"/>
      <c r="G132" s="14" t="str">
        <f>"("&amp;$O132&amp;", "&amp;$P132&amp;"]"</f>
        <v>(2000, 3000]</v>
      </c>
      <c r="H132" s="80">
        <v>0</v>
      </c>
      <c r="I132" s="38" t="e">
        <v>#DIV/0!</v>
      </c>
      <c r="J132" s="38" t="e">
        <v>#DIV/0!</v>
      </c>
      <c r="K132" s="82" t="e">
        <v>#DIV/0!</v>
      </c>
      <c r="L132" s="38" t="e">
        <v>#DIV/0!</v>
      </c>
      <c r="M132" s="38" t="e">
        <v>#DIV/0!</v>
      </c>
      <c r="N132" s="83"/>
      <c r="O132" s="69">
        <v>2000</v>
      </c>
      <c r="P132" s="69">
        <v>3000</v>
      </c>
      <c r="Q132" s="38" t="e">
        <v>#DIV/0!</v>
      </c>
      <c r="R132" s="38">
        <v>0</v>
      </c>
      <c r="T132" s="38"/>
      <c r="U132" s="84">
        <v>0</v>
      </c>
    </row>
    <row r="133" spans="1:21" x14ac:dyDescent="0.3">
      <c r="A133" s="14" t="str">
        <f>"("&amp;$O133&amp;", "&amp;$P133&amp;"]"</f>
        <v>(3000, 4000]</v>
      </c>
      <c r="B133" s="85">
        <v>114482</v>
      </c>
      <c r="C133" s="85">
        <v>39386745855</v>
      </c>
      <c r="D133" s="38" t="e">
        <v>#DIV/0!</v>
      </c>
      <c r="E133" s="79">
        <v>0</v>
      </c>
      <c r="F133" s="83"/>
      <c r="G133" s="14" t="str">
        <f>"("&amp;$O133&amp;", "&amp;$P133&amp;"]"</f>
        <v>(3000, 4000]</v>
      </c>
      <c r="H133" s="80">
        <v>0</v>
      </c>
      <c r="I133" s="38" t="e">
        <v>#DIV/0!</v>
      </c>
      <c r="J133" s="38" t="e">
        <v>#DIV/0!</v>
      </c>
      <c r="K133" s="82" t="e">
        <v>#DIV/0!</v>
      </c>
      <c r="L133" s="38" t="e">
        <v>#DIV/0!</v>
      </c>
      <c r="M133" s="38" t="e">
        <v>#DIV/0!</v>
      </c>
      <c r="N133" s="83"/>
      <c r="O133" s="69">
        <v>3000</v>
      </c>
      <c r="P133" s="69">
        <v>4000</v>
      </c>
      <c r="Q133" s="38" t="e">
        <v>#DIV/0!</v>
      </c>
      <c r="R133" s="38">
        <v>0</v>
      </c>
      <c r="T133" s="38"/>
      <c r="U133" s="84">
        <v>0</v>
      </c>
    </row>
    <row r="134" spans="1:21" x14ac:dyDescent="0.3">
      <c r="A134" s="14" t="str">
        <f>"("&amp;$O134&amp;", "&amp;$P134&amp;"]"</f>
        <v>(4000, 5000]</v>
      </c>
      <c r="B134" s="85">
        <v>59903</v>
      </c>
      <c r="C134" s="85">
        <v>26662874075</v>
      </c>
      <c r="D134" s="38" t="e">
        <v>#DIV/0!</v>
      </c>
      <c r="E134" s="79">
        <v>0</v>
      </c>
      <c r="F134" s="83"/>
      <c r="G134" s="14" t="str">
        <f>"("&amp;$O134&amp;", "&amp;$P134&amp;"]"</f>
        <v>(4000, 5000]</v>
      </c>
      <c r="H134" s="80">
        <v>0</v>
      </c>
      <c r="I134" s="38" t="e">
        <v>#DIV/0!</v>
      </c>
      <c r="J134" s="38" t="e">
        <v>#DIV/0!</v>
      </c>
      <c r="K134" s="82" t="e">
        <v>#DIV/0!</v>
      </c>
      <c r="L134" s="38" t="e">
        <v>#DIV/0!</v>
      </c>
      <c r="M134" s="38" t="e">
        <v>#DIV/0!</v>
      </c>
      <c r="N134" s="83"/>
      <c r="O134" s="69">
        <v>4000</v>
      </c>
      <c r="P134" s="69">
        <v>5000</v>
      </c>
      <c r="Q134" s="38" t="e">
        <v>#DIV/0!</v>
      </c>
      <c r="R134" s="38">
        <v>0</v>
      </c>
      <c r="T134" s="38"/>
      <c r="U134" s="84">
        <v>0</v>
      </c>
    </row>
    <row r="135" spans="1:21" x14ac:dyDescent="0.3">
      <c r="A135" s="14" t="str">
        <f>"("&amp;$O135&amp;", "&amp;$P135&amp;"]"</f>
        <v>(5000, 6000]</v>
      </c>
      <c r="B135" s="85">
        <v>34360</v>
      </c>
      <c r="C135" s="85">
        <v>18752815435</v>
      </c>
      <c r="D135" s="38" t="e">
        <v>#DIV/0!</v>
      </c>
      <c r="E135" s="79">
        <v>0</v>
      </c>
      <c r="F135" s="83"/>
      <c r="G135" s="14" t="str">
        <f>"("&amp;$O135&amp;", "&amp;$P135&amp;"]"</f>
        <v>(5000, 6000]</v>
      </c>
      <c r="H135" s="80">
        <v>0</v>
      </c>
      <c r="I135" s="38" t="e">
        <v>#DIV/0!</v>
      </c>
      <c r="J135" s="38" t="e">
        <v>#DIV/0!</v>
      </c>
      <c r="K135" s="82" t="e">
        <v>#DIV/0!</v>
      </c>
      <c r="L135" s="38" t="e">
        <v>#DIV/0!</v>
      </c>
      <c r="M135" s="38" t="e">
        <v>#DIV/0!</v>
      </c>
      <c r="N135" s="83"/>
      <c r="O135" s="69">
        <v>5000</v>
      </c>
      <c r="P135" s="69">
        <v>6000</v>
      </c>
      <c r="Q135" s="38" t="e">
        <v>#DIV/0!</v>
      </c>
      <c r="R135" s="38">
        <v>0</v>
      </c>
      <c r="T135" s="38"/>
      <c r="U135" s="84">
        <v>0</v>
      </c>
    </row>
    <row r="136" spans="1:21" x14ac:dyDescent="0.3">
      <c r="A136" s="14" t="str">
        <f>"("&amp;$O136&amp;", "&amp;$P136&amp;"]"</f>
        <v>(6000, 7000]</v>
      </c>
      <c r="B136" s="85">
        <v>21474</v>
      </c>
      <c r="C136" s="85">
        <v>13876466240</v>
      </c>
      <c r="D136" s="38" t="e">
        <v>#DIV/0!</v>
      </c>
      <c r="E136" s="79">
        <v>0</v>
      </c>
      <c r="F136" s="83"/>
      <c r="G136" s="14" t="str">
        <f>"("&amp;$O136&amp;", "&amp;$P136&amp;"]"</f>
        <v>(6000, 7000]</v>
      </c>
      <c r="H136" s="80">
        <v>0</v>
      </c>
      <c r="I136" s="38" t="e">
        <v>#DIV/0!</v>
      </c>
      <c r="J136" s="38" t="e">
        <v>#DIV/0!</v>
      </c>
      <c r="K136" s="82" t="e">
        <v>#DIV/0!</v>
      </c>
      <c r="L136" s="38" t="e">
        <v>#DIV/0!</v>
      </c>
      <c r="M136" s="38" t="e">
        <v>#DIV/0!</v>
      </c>
      <c r="N136" s="83"/>
      <c r="O136" s="69">
        <v>6000</v>
      </c>
      <c r="P136" s="69">
        <v>7000</v>
      </c>
      <c r="Q136" s="38" t="e">
        <v>#DIV/0!</v>
      </c>
      <c r="R136" s="38">
        <v>0</v>
      </c>
      <c r="T136" s="38"/>
      <c r="U136" s="84">
        <v>0</v>
      </c>
    </row>
    <row r="137" spans="1:21" x14ac:dyDescent="0.3">
      <c r="A137" s="14" t="str">
        <f>"("&amp;$O137&amp;", "&amp;$P137&amp;"]"</f>
        <v>(7000, 8000]</v>
      </c>
      <c r="B137" s="85">
        <v>13856</v>
      </c>
      <c r="C137" s="85">
        <v>10342217665</v>
      </c>
      <c r="D137" s="38" t="e">
        <v>#DIV/0!</v>
      </c>
      <c r="E137" s="79">
        <v>0</v>
      </c>
      <c r="F137" s="83"/>
      <c r="G137" s="14" t="str">
        <f>"("&amp;$O137&amp;", "&amp;$P137&amp;"]"</f>
        <v>(7000, 8000]</v>
      </c>
      <c r="H137" s="80">
        <v>0</v>
      </c>
      <c r="I137" s="38" t="e">
        <v>#DIV/0!</v>
      </c>
      <c r="J137" s="38" t="e">
        <v>#DIV/0!</v>
      </c>
      <c r="K137" s="82" t="e">
        <v>#DIV/0!</v>
      </c>
      <c r="L137" s="38" t="e">
        <v>#DIV/0!</v>
      </c>
      <c r="M137" s="38" t="e">
        <v>#DIV/0!</v>
      </c>
      <c r="N137" s="83"/>
      <c r="O137" s="69">
        <v>7000</v>
      </c>
      <c r="P137" s="69">
        <v>8000</v>
      </c>
      <c r="Q137" s="38" t="e">
        <v>#DIV/0!</v>
      </c>
      <c r="R137" s="38">
        <v>0</v>
      </c>
      <c r="T137" s="38"/>
      <c r="U137" s="84">
        <v>0</v>
      </c>
    </row>
    <row r="138" spans="1:21" x14ac:dyDescent="0.3">
      <c r="A138" s="14" t="str">
        <f>"("&amp;$O138&amp;", "&amp;$P138&amp;"]"</f>
        <v>(8000, 9000]</v>
      </c>
      <c r="B138" s="85">
        <v>9445</v>
      </c>
      <c r="C138" s="85">
        <v>7997671565</v>
      </c>
      <c r="D138" s="38" t="e">
        <v>#DIV/0!</v>
      </c>
      <c r="E138" s="79">
        <v>0</v>
      </c>
      <c r="F138" s="83"/>
      <c r="G138" s="14" t="str">
        <f>"("&amp;$O138&amp;", "&amp;$P138&amp;"]"</f>
        <v>(8000, 9000]</v>
      </c>
      <c r="H138" s="80">
        <v>0</v>
      </c>
      <c r="I138" s="38" t="e">
        <v>#DIV/0!</v>
      </c>
      <c r="J138" s="38" t="e">
        <v>#DIV/0!</v>
      </c>
      <c r="K138" s="82" t="e">
        <v>#DIV/0!</v>
      </c>
      <c r="L138" s="38" t="e">
        <v>#DIV/0!</v>
      </c>
      <c r="M138" s="38" t="e">
        <v>#DIV/0!</v>
      </c>
      <c r="N138" s="83"/>
      <c r="O138" s="69">
        <v>8000</v>
      </c>
      <c r="P138" s="69">
        <v>9000</v>
      </c>
      <c r="Q138" s="38" t="e">
        <v>#DIV/0!</v>
      </c>
      <c r="R138" s="38">
        <v>0</v>
      </c>
      <c r="T138" s="38"/>
      <c r="U138" s="84">
        <v>0</v>
      </c>
    </row>
    <row r="139" spans="1:21" x14ac:dyDescent="0.3">
      <c r="A139" s="14" t="str">
        <f>"("&amp;$O139&amp;", "&amp;$P139&amp;"]"</f>
        <v>(9000, 10000]</v>
      </c>
      <c r="B139" s="85">
        <v>6555</v>
      </c>
      <c r="C139" s="85">
        <v>6207601600</v>
      </c>
      <c r="D139" s="38" t="e">
        <v>#DIV/0!</v>
      </c>
      <c r="E139" s="79">
        <v>0</v>
      </c>
      <c r="F139" s="83"/>
      <c r="G139" s="14" t="str">
        <f>"("&amp;$O139&amp;", "&amp;$P139&amp;"]"</f>
        <v>(9000, 10000]</v>
      </c>
      <c r="H139" s="80">
        <v>0</v>
      </c>
      <c r="I139" s="38" t="e">
        <v>#DIV/0!</v>
      </c>
      <c r="J139" s="38" t="e">
        <v>#DIV/0!</v>
      </c>
      <c r="K139" s="82" t="e">
        <v>#DIV/0!</v>
      </c>
      <c r="L139" s="38" t="e">
        <v>#DIV/0!</v>
      </c>
      <c r="M139" s="38" t="e">
        <v>#DIV/0!</v>
      </c>
      <c r="N139" s="83"/>
      <c r="O139" s="69">
        <v>9000</v>
      </c>
      <c r="P139" s="69">
        <v>10000</v>
      </c>
      <c r="Q139" s="38" t="e">
        <v>#DIV/0!</v>
      </c>
      <c r="R139" s="38">
        <v>0</v>
      </c>
      <c r="T139" s="38"/>
      <c r="U139" s="84">
        <v>0</v>
      </c>
    </row>
    <row r="140" spans="1:21" x14ac:dyDescent="0.3">
      <c r="A140" s="14" t="str">
        <f>"("&amp;$O140&amp;", "&amp;$P140&amp;"]"</f>
        <v>(10000, 20000]</v>
      </c>
      <c r="B140" s="85">
        <v>17466</v>
      </c>
      <c r="C140" s="85">
        <v>22586001445</v>
      </c>
      <c r="D140" s="38" t="e">
        <v>#DIV/0!</v>
      </c>
      <c r="E140" s="79">
        <v>0</v>
      </c>
      <c r="F140" s="83"/>
      <c r="G140" s="14" t="str">
        <f>"("&amp;$O140&amp;", "&amp;$P140&amp;"]"</f>
        <v>(10000, 20000]</v>
      </c>
      <c r="H140" s="80">
        <v>0</v>
      </c>
      <c r="I140" s="38" t="e">
        <v>#DIV/0!</v>
      </c>
      <c r="J140" s="38" t="e">
        <v>#DIV/0!</v>
      </c>
      <c r="K140" s="82" t="e">
        <v>#DIV/0!</v>
      </c>
      <c r="L140" s="38" t="e">
        <v>#DIV/0!</v>
      </c>
      <c r="M140" s="38" t="e">
        <v>#DIV/0!</v>
      </c>
      <c r="N140" s="83"/>
      <c r="O140" s="69">
        <v>10000</v>
      </c>
      <c r="P140" s="69">
        <v>20000</v>
      </c>
      <c r="Q140" s="38" t="e">
        <v>#DIV/0!</v>
      </c>
      <c r="R140" s="38">
        <v>0</v>
      </c>
      <c r="T140" s="38"/>
      <c r="U140" s="84">
        <v>0</v>
      </c>
    </row>
    <row r="141" spans="1:21" x14ac:dyDescent="0.3">
      <c r="A141" s="14" t="str">
        <f>"("&amp;$O141&amp;", "&amp;$P141&amp;"]"</f>
        <v>(20000, 30000]</v>
      </c>
      <c r="B141" s="85">
        <v>1194</v>
      </c>
      <c r="C141" s="85">
        <v>2764219645</v>
      </c>
      <c r="D141" s="38" t="e">
        <v>#DIV/0!</v>
      </c>
      <c r="E141" s="79">
        <v>0</v>
      </c>
      <c r="F141" s="83"/>
      <c r="G141" s="14" t="str">
        <f>"("&amp;$O141&amp;", "&amp;$P141&amp;"]"</f>
        <v>(20000, 30000]</v>
      </c>
      <c r="H141" s="80">
        <v>0</v>
      </c>
      <c r="I141" s="38" t="e">
        <v>#DIV/0!</v>
      </c>
      <c r="J141" s="38" t="e">
        <v>#DIV/0!</v>
      </c>
      <c r="K141" s="82" t="e">
        <v>#DIV/0!</v>
      </c>
      <c r="L141" s="38" t="e">
        <v>#DIV/0!</v>
      </c>
      <c r="M141" s="38" t="e">
        <v>#DIV/0!</v>
      </c>
      <c r="N141" s="83"/>
      <c r="O141" s="69">
        <v>20000</v>
      </c>
      <c r="P141" s="69">
        <v>30000</v>
      </c>
      <c r="Q141" s="38" t="e">
        <v>#DIV/0!</v>
      </c>
      <c r="R141" s="38">
        <v>0</v>
      </c>
      <c r="T141" s="38"/>
      <c r="U141" s="84">
        <v>0</v>
      </c>
    </row>
    <row r="142" spans="1:21" x14ac:dyDescent="0.3">
      <c r="A142" s="14" t="str">
        <f>"("&amp;$O142&amp;", "&amp;$P142&amp;"]"</f>
        <v>(30000, 40000]</v>
      </c>
      <c r="B142" s="85">
        <v>95</v>
      </c>
      <c r="C142" s="85">
        <v>319282180</v>
      </c>
      <c r="D142" s="38" t="e">
        <v>#DIV/0!</v>
      </c>
      <c r="E142" s="79">
        <v>0</v>
      </c>
      <c r="F142" s="83"/>
      <c r="G142" s="14" t="str">
        <f>"("&amp;$O142&amp;", "&amp;$P142&amp;"]"</f>
        <v>(30000, 40000]</v>
      </c>
      <c r="H142" s="80">
        <v>0</v>
      </c>
      <c r="I142" s="38" t="e">
        <v>#DIV/0!</v>
      </c>
      <c r="J142" s="38" t="e">
        <v>#DIV/0!</v>
      </c>
      <c r="K142" s="82" t="e">
        <v>#DIV/0!</v>
      </c>
      <c r="L142" s="38" t="e">
        <v>#DIV/0!</v>
      </c>
      <c r="M142" s="38" t="e">
        <v>#DIV/0!</v>
      </c>
      <c r="N142" s="83"/>
      <c r="O142" s="69">
        <v>30000</v>
      </c>
      <c r="P142" s="69">
        <v>40000</v>
      </c>
      <c r="Q142" s="38" t="e">
        <v>#DIV/0!</v>
      </c>
      <c r="R142" s="38">
        <v>0</v>
      </c>
      <c r="T142" s="38"/>
      <c r="U142" s="84">
        <v>0</v>
      </c>
    </row>
    <row r="143" spans="1:21" x14ac:dyDescent="0.3">
      <c r="A143" s="14" t="str">
        <f>"("&amp;$O143&amp;", "&amp;$P143&amp;"]"</f>
        <v>(40000, 50000]</v>
      </c>
      <c r="B143" s="85">
        <v>17</v>
      </c>
      <c r="C143" s="85">
        <v>72474480</v>
      </c>
      <c r="D143" s="38" t="e">
        <v>#DIV/0!</v>
      </c>
      <c r="E143" s="79">
        <v>0</v>
      </c>
      <c r="F143" s="83"/>
      <c r="G143" s="14" t="str">
        <f>"("&amp;$O143&amp;", "&amp;$P143&amp;"]"</f>
        <v>(40000, 50000]</v>
      </c>
      <c r="H143" s="80">
        <v>0</v>
      </c>
      <c r="I143" s="38" t="e">
        <v>#DIV/0!</v>
      </c>
      <c r="J143" s="38" t="e">
        <v>#DIV/0!</v>
      </c>
      <c r="K143" s="82" t="e">
        <v>#DIV/0!</v>
      </c>
      <c r="L143" s="38" t="e">
        <v>#DIV/0!</v>
      </c>
      <c r="M143" s="38" t="e">
        <v>#DIV/0!</v>
      </c>
      <c r="N143" s="83"/>
      <c r="O143" s="69">
        <v>40000</v>
      </c>
      <c r="P143" s="69">
        <v>50000</v>
      </c>
      <c r="Q143" s="38" t="e">
        <v>#DIV/0!</v>
      </c>
      <c r="R143" s="38">
        <v>0</v>
      </c>
      <c r="T143" s="38"/>
      <c r="U143" s="84">
        <v>0</v>
      </c>
    </row>
    <row r="144" spans="1:21" x14ac:dyDescent="0.3">
      <c r="A144" s="14" t="str">
        <f>"("&amp;$O144&amp;", "&amp;$P144&amp;"]"</f>
        <v>(50000, 60000]</v>
      </c>
      <c r="B144" s="85">
        <v>3</v>
      </c>
      <c r="C144" s="85">
        <v>16049515</v>
      </c>
      <c r="D144" s="38" t="e">
        <v>#DIV/0!</v>
      </c>
      <c r="E144" s="79">
        <v>0</v>
      </c>
      <c r="F144" s="83"/>
      <c r="G144" s="14" t="str">
        <f>"("&amp;$O144&amp;", "&amp;$P144&amp;"]"</f>
        <v>(50000, 60000]</v>
      </c>
      <c r="H144" s="80">
        <v>0</v>
      </c>
      <c r="I144" s="38" t="e">
        <v>#DIV/0!</v>
      </c>
      <c r="J144" s="38" t="e">
        <v>#DIV/0!</v>
      </c>
      <c r="K144" s="82" t="e">
        <v>#DIV/0!</v>
      </c>
      <c r="L144" s="38" t="e">
        <v>#DIV/0!</v>
      </c>
      <c r="M144" s="38" t="e">
        <v>#DIV/0!</v>
      </c>
      <c r="N144" s="83"/>
      <c r="O144" s="69">
        <v>50000</v>
      </c>
      <c r="P144" s="69">
        <v>60000</v>
      </c>
      <c r="Q144" s="38" t="e">
        <v>#DIV/0!</v>
      </c>
      <c r="R144" s="38">
        <v>0</v>
      </c>
      <c r="T144" s="38"/>
      <c r="U144" s="84">
        <v>0</v>
      </c>
    </row>
    <row r="145" spans="1:21" x14ac:dyDescent="0.3">
      <c r="A145" s="14" t="str">
        <f>"("&amp;$O145&amp;", "&amp;$P145&amp;"]"</f>
        <v>(60000, 70000]</v>
      </c>
      <c r="B145" s="85">
        <v>0</v>
      </c>
      <c r="C145" s="85">
        <v>0</v>
      </c>
      <c r="D145" s="38" t="e">
        <v>#DIV/0!</v>
      </c>
      <c r="E145" s="79">
        <v>0</v>
      </c>
      <c r="F145" s="83"/>
      <c r="G145" s="14" t="str">
        <f>"("&amp;$O145&amp;", "&amp;$P145&amp;"]"</f>
        <v>(60000, 70000]</v>
      </c>
      <c r="H145" s="80">
        <v>1</v>
      </c>
      <c r="I145" s="38" t="e">
        <v>#DIV/0!</v>
      </c>
      <c r="J145" s="38" t="e">
        <v>#DIV/0!</v>
      </c>
      <c r="K145" s="82" t="e">
        <v>#DIV/0!</v>
      </c>
      <c r="L145" s="38" t="e">
        <v>#DIV/0!</v>
      </c>
      <c r="M145" s="38" t="e">
        <v>#DIV/0!</v>
      </c>
      <c r="N145" s="83"/>
      <c r="O145" s="69">
        <v>60000</v>
      </c>
      <c r="P145" s="69">
        <v>70000</v>
      </c>
      <c r="Q145" s="38" t="e">
        <v>#DIV/0!</v>
      </c>
      <c r="R145" s="38">
        <v>0</v>
      </c>
      <c r="T145" s="38"/>
      <c r="U145" s="84">
        <v>0</v>
      </c>
    </row>
    <row r="146" spans="1:21" x14ac:dyDescent="0.3">
      <c r="A146" s="14" t="str">
        <f>"("&amp;$O146&amp;", "&amp;$P146&amp;"]"</f>
        <v>(70000, 80000]</v>
      </c>
      <c r="B146" s="85">
        <v>0</v>
      </c>
      <c r="C146" s="85">
        <v>0</v>
      </c>
      <c r="D146" s="38" t="e">
        <v>#DIV/0!</v>
      </c>
      <c r="E146" s="79">
        <v>0</v>
      </c>
      <c r="F146" s="83"/>
      <c r="G146" s="14" t="str">
        <f>"("&amp;$O146&amp;", "&amp;$P146&amp;"]"</f>
        <v>(70000, 80000]</v>
      </c>
      <c r="H146" s="80">
        <v>1</v>
      </c>
      <c r="I146" s="38" t="e">
        <v>#DIV/0!</v>
      </c>
      <c r="J146" s="38" t="e">
        <v>#DIV/0!</v>
      </c>
      <c r="K146" s="82" t="e">
        <v>#DIV/0!</v>
      </c>
      <c r="L146" s="38" t="e">
        <v>#DIV/0!</v>
      </c>
      <c r="M146" s="38" t="e">
        <v>#DIV/0!</v>
      </c>
      <c r="N146" s="83"/>
      <c r="O146" s="69">
        <v>70000</v>
      </c>
      <c r="P146" s="69">
        <v>80000</v>
      </c>
      <c r="Q146" s="38" t="e">
        <v>#DIV/0!</v>
      </c>
      <c r="R146" s="38">
        <v>0</v>
      </c>
      <c r="T146" s="38"/>
      <c r="U146" s="84">
        <v>0</v>
      </c>
    </row>
    <row r="147" spans="1:21" x14ac:dyDescent="0.3">
      <c r="A147" s="14" t="str">
        <f>"("&amp;$O147&amp;", "&amp;$P147&amp;"]"</f>
        <v>(80000, 90000]</v>
      </c>
      <c r="B147" s="85">
        <v>0</v>
      </c>
      <c r="C147" s="85">
        <v>0</v>
      </c>
      <c r="D147" s="38" t="e">
        <v>#DIV/0!</v>
      </c>
      <c r="E147" s="79">
        <v>0</v>
      </c>
      <c r="F147" s="83"/>
      <c r="G147" s="14" t="str">
        <f>"("&amp;$O147&amp;", "&amp;$P147&amp;"]"</f>
        <v>(80000, 90000]</v>
      </c>
      <c r="H147" s="80">
        <v>1</v>
      </c>
      <c r="I147" s="38" t="e">
        <v>#DIV/0!</v>
      </c>
      <c r="J147" s="38" t="e">
        <v>#DIV/0!</v>
      </c>
      <c r="K147" s="82" t="e">
        <v>#DIV/0!</v>
      </c>
      <c r="L147" s="38" t="e">
        <v>#DIV/0!</v>
      </c>
      <c r="M147" s="38" t="e">
        <v>#DIV/0!</v>
      </c>
      <c r="N147" s="83"/>
      <c r="O147" s="69">
        <v>80000</v>
      </c>
      <c r="P147" s="69">
        <v>90000</v>
      </c>
      <c r="Q147" s="38" t="e">
        <v>#DIV/0!</v>
      </c>
      <c r="R147" s="38">
        <v>0</v>
      </c>
      <c r="T147" s="38"/>
      <c r="U147" s="84">
        <v>0</v>
      </c>
    </row>
    <row r="148" spans="1:21" x14ac:dyDescent="0.3">
      <c r="A148" s="14" t="str">
        <f>"("&amp;$O148&amp;", "&amp;$P148&amp;"]"</f>
        <v>(90000, 100000]</v>
      </c>
      <c r="B148" s="85">
        <v>0</v>
      </c>
      <c r="C148" s="85">
        <v>0</v>
      </c>
      <c r="D148" s="38" t="e">
        <v>#DIV/0!</v>
      </c>
      <c r="E148" s="79">
        <v>0</v>
      </c>
      <c r="F148" s="83"/>
      <c r="G148" s="14" t="str">
        <f>"("&amp;$O148&amp;", "&amp;$P148&amp;"]"</f>
        <v>(90000, 100000]</v>
      </c>
      <c r="H148" s="80">
        <v>1</v>
      </c>
      <c r="I148" s="38" t="e">
        <v>#DIV/0!</v>
      </c>
      <c r="J148" s="38" t="e">
        <v>#DIV/0!</v>
      </c>
      <c r="K148" s="82" t="e">
        <v>#DIV/0!</v>
      </c>
      <c r="L148" s="38" t="e">
        <v>#DIV/0!</v>
      </c>
      <c r="M148" s="38" t="e">
        <v>#DIV/0!</v>
      </c>
      <c r="N148" s="83"/>
      <c r="O148" s="69">
        <v>90000</v>
      </c>
      <c r="P148" s="69">
        <v>100000</v>
      </c>
      <c r="Q148" s="38" t="e">
        <v>#DIV/0!</v>
      </c>
      <c r="R148" s="38">
        <v>0</v>
      </c>
      <c r="T148" s="38"/>
      <c r="U148" s="84">
        <v>0</v>
      </c>
    </row>
    <row r="149" spans="1:21" x14ac:dyDescent="0.3">
      <c r="A149" s="14" t="str">
        <f>"("&amp;$O149&amp;", "&amp;$P149&amp;"]"</f>
        <v>(100000, 9999999]</v>
      </c>
      <c r="B149" s="85">
        <v>0</v>
      </c>
      <c r="C149" s="85">
        <v>0</v>
      </c>
      <c r="D149" s="38" t="e">
        <v>#DIV/0!</v>
      </c>
      <c r="E149" s="79">
        <v>0</v>
      </c>
      <c r="F149" s="83"/>
      <c r="G149" s="14" t="str">
        <f>"("&amp;$O149&amp;", "&amp;$P149&amp;"]"</f>
        <v>(100000, 9999999]</v>
      </c>
      <c r="H149" s="80">
        <v>1</v>
      </c>
      <c r="I149" s="38" t="e">
        <v>#DIV/0!</v>
      </c>
      <c r="J149" s="38" t="e">
        <v>#DIV/0!</v>
      </c>
      <c r="K149" s="82" t="e">
        <v>#DIV/0!</v>
      </c>
      <c r="L149" s="38" t="e">
        <v>#DIV/0!</v>
      </c>
      <c r="M149" s="38" t="e">
        <v>#DIV/0!</v>
      </c>
      <c r="N149" s="83"/>
      <c r="O149" s="69">
        <v>100000</v>
      </c>
      <c r="P149" s="69">
        <v>9999999</v>
      </c>
      <c r="Q149" s="38" t="e">
        <v>#DIV/0!</v>
      </c>
      <c r="R149" s="38">
        <v>0</v>
      </c>
      <c r="T149" s="38"/>
      <c r="U149" s="84">
        <v>0</v>
      </c>
    </row>
    <row r="150" spans="1:21" x14ac:dyDescent="0.3">
      <c r="F150" s="4"/>
      <c r="N150" s="4"/>
      <c r="O150" s="4"/>
      <c r="P150" s="4"/>
    </row>
    <row r="152" spans="1:21" s="97" customFormat="1" ht="15.6" collapsed="1" x14ac:dyDescent="0.3">
      <c r="A152" s="106" t="s">
        <v>168</v>
      </c>
      <c r="B152" s="106" t="s">
        <v>162</v>
      </c>
      <c r="C152" s="106"/>
      <c r="D152" s="94"/>
      <c r="E152" s="94"/>
      <c r="F152" s="95"/>
      <c r="G152" s="106" t="s">
        <v>168</v>
      </c>
      <c r="H152" s="106" t="s">
        <v>162</v>
      </c>
      <c r="I152" s="96"/>
      <c r="J152" s="96"/>
      <c r="K152" s="96"/>
      <c r="L152" s="96"/>
      <c r="M152" s="96"/>
      <c r="N152" s="95"/>
      <c r="O152" s="106" t="s">
        <v>168</v>
      </c>
      <c r="P152" s="106" t="s">
        <v>162</v>
      </c>
    </row>
    <row r="153" spans="1:21" x14ac:dyDescent="0.3">
      <c r="A153" s="40"/>
      <c r="B153" s="1"/>
      <c r="C153" s="1"/>
      <c r="D153" s="1"/>
      <c r="E153" s="1"/>
      <c r="G153" s="56"/>
      <c r="H153" s="40"/>
      <c r="I153" s="40"/>
      <c r="J153" s="40"/>
      <c r="K153" s="40"/>
      <c r="L153" s="40"/>
      <c r="M153" s="40"/>
    </row>
    <row r="154" spans="1:21" x14ac:dyDescent="0.3">
      <c r="A154" s="75" t="s">
        <v>191</v>
      </c>
      <c r="B154" s="4">
        <v>100000000</v>
      </c>
      <c r="C154" s="1"/>
      <c r="D154" s="1"/>
      <c r="E154" s="1"/>
      <c r="G154" s="75" t="s">
        <v>175</v>
      </c>
      <c r="H154" s="40"/>
      <c r="I154" s="40"/>
      <c r="J154" s="40"/>
      <c r="K154" s="40"/>
      <c r="L154" s="40"/>
      <c r="M154" s="40"/>
    </row>
    <row r="155" spans="1:21" x14ac:dyDescent="0.3">
      <c r="A155" s="9" t="s">
        <v>181</v>
      </c>
      <c r="B155" s="9" t="s">
        <v>178</v>
      </c>
      <c r="C155" s="9" t="s">
        <v>179</v>
      </c>
      <c r="D155" s="9" t="s">
        <v>180</v>
      </c>
      <c r="E155" s="9" t="s">
        <v>159</v>
      </c>
      <c r="G155" s="9" t="s">
        <v>181</v>
      </c>
      <c r="H155" s="9" t="s">
        <v>182</v>
      </c>
      <c r="I155" s="9" t="s">
        <v>183</v>
      </c>
      <c r="J155" s="9" t="s">
        <v>184</v>
      </c>
      <c r="K155" s="9" t="s">
        <v>185</v>
      </c>
      <c r="L155" s="9" t="s">
        <v>160</v>
      </c>
      <c r="M155" s="9" t="s">
        <v>186</v>
      </c>
    </row>
    <row r="156" spans="1:21" x14ac:dyDescent="0.3">
      <c r="A156" s="14" t="s">
        <v>190</v>
      </c>
      <c r="B156" s="85"/>
      <c r="C156" s="85"/>
      <c r="D156" s="90">
        <v>1</v>
      </c>
      <c r="E156" s="79" t="e">
        <f>C156/B156/B3</f>
        <v>#DIV/0!</v>
      </c>
      <c r="F156" s="87"/>
      <c r="G156" s="14" t="s">
        <v>190</v>
      </c>
      <c r="H156" s="80">
        <v>1</v>
      </c>
      <c r="I156" s="38">
        <f>D156*H156</f>
        <v>1</v>
      </c>
      <c r="J156" s="90">
        <f>I156/SUM(I156)</f>
        <v>1</v>
      </c>
      <c r="K156" s="81">
        <f>INT(J156*$B$2)</f>
        <v>1000000000</v>
      </c>
      <c r="L156" s="38">
        <f>_xlfn.LET(_xlpm.x, K156, _xlpm.x/SUM(_xlpm.x))</f>
        <v>1</v>
      </c>
      <c r="M156" s="38" t="e">
        <f>L156*E156</f>
        <v>#DIV/0!</v>
      </c>
    </row>
    <row r="157" spans="1:21" x14ac:dyDescent="0.3">
      <c r="B157" s="1"/>
      <c r="C157" s="1"/>
      <c r="D157" s="1"/>
      <c r="E157" s="1"/>
      <c r="G157" s="56"/>
      <c r="H157" s="40"/>
      <c r="I157" s="40"/>
      <c r="J157" s="40"/>
      <c r="K157" s="40"/>
      <c r="L157" s="40"/>
      <c r="M157" s="40"/>
    </row>
    <row r="159" spans="1:21" s="97" customFormat="1" ht="15.6" x14ac:dyDescent="0.3">
      <c r="A159" s="106" t="s">
        <v>168</v>
      </c>
      <c r="B159" s="106" t="s">
        <v>163</v>
      </c>
      <c r="C159" s="106"/>
      <c r="D159" s="94"/>
      <c r="E159" s="94"/>
      <c r="F159" s="95"/>
      <c r="G159" s="106" t="s">
        <v>168</v>
      </c>
      <c r="H159" s="106" t="s">
        <v>163</v>
      </c>
      <c r="I159" s="96"/>
      <c r="J159" s="96"/>
      <c r="K159" s="96"/>
      <c r="L159" s="96"/>
      <c r="M159" s="96"/>
      <c r="N159" s="95"/>
      <c r="O159" s="106" t="s">
        <v>168</v>
      </c>
      <c r="P159" s="106" t="s">
        <v>163</v>
      </c>
    </row>
    <row r="160" spans="1:21" x14ac:dyDescent="0.3">
      <c r="A160" s="40"/>
      <c r="B160" s="1"/>
      <c r="C160" s="1"/>
      <c r="D160" s="1"/>
      <c r="E160" s="1"/>
      <c r="G160" s="56"/>
      <c r="H160" s="40"/>
      <c r="I160" s="40"/>
      <c r="J160" s="40"/>
      <c r="K160" s="40"/>
      <c r="L160" s="40"/>
      <c r="M160" s="40"/>
    </row>
    <row r="161" spans="1:21" x14ac:dyDescent="0.3">
      <c r="A161" s="75" t="s">
        <v>191</v>
      </c>
      <c r="C161" s="1"/>
      <c r="D161" s="1"/>
      <c r="E161" s="1"/>
      <c r="G161" s="75" t="s">
        <v>175</v>
      </c>
      <c r="H161" s="40"/>
      <c r="I161" s="40"/>
      <c r="J161" s="40"/>
      <c r="L161" s="40"/>
      <c r="M161" s="40"/>
    </row>
    <row r="162" spans="1:21" x14ac:dyDescent="0.3">
      <c r="A162" s="9" t="s">
        <v>181</v>
      </c>
      <c r="B162" s="9" t="s">
        <v>178</v>
      </c>
      <c r="C162" s="9" t="s">
        <v>179</v>
      </c>
      <c r="D162" s="9" t="s">
        <v>180</v>
      </c>
      <c r="E162" s="9" t="s">
        <v>159</v>
      </c>
      <c r="G162" s="9" t="s">
        <v>181</v>
      </c>
      <c r="H162" s="9" t="s">
        <v>182</v>
      </c>
      <c r="I162" s="9" t="s">
        <v>183</v>
      </c>
      <c r="J162" s="9" t="s">
        <v>184</v>
      </c>
      <c r="K162" s="9" t="s">
        <v>185</v>
      </c>
      <c r="L162" s="9" t="s">
        <v>160</v>
      </c>
      <c r="M162" s="9" t="s">
        <v>186</v>
      </c>
      <c r="O162" s="9" t="s">
        <v>176</v>
      </c>
      <c r="P162" s="9" t="s">
        <v>177</v>
      </c>
      <c r="Q162" s="12" t="s">
        <v>192</v>
      </c>
      <c r="R162" s="12" t="s">
        <v>187</v>
      </c>
      <c r="T162" s="12" t="s">
        <v>192</v>
      </c>
      <c r="U162" s="12" t="s">
        <v>188</v>
      </c>
    </row>
    <row r="163" spans="1:21" x14ac:dyDescent="0.3">
      <c r="A163" s="14" t="str">
        <f>"("&amp;$O163&amp;", "&amp;$P163&amp;"]"</f>
        <v>(-1, 0]</v>
      </c>
      <c r="B163" s="92" cm="1">
        <f t="array" ref="B163:C226">B86:C149</f>
        <v>0</v>
      </c>
      <c r="C163" s="92">
        <v>0</v>
      </c>
      <c r="D163" s="38" t="e" cm="1">
        <f t="array" ref="D163:D226">_xlfn.LET(_xlpm.x, B163:B226, _xlpm.x/SUM(_xlpm.x))</f>
        <v>#DIV/0!</v>
      </c>
      <c r="E163" s="78" cm="1">
        <f t="array" ref="E163:E226">_xlfn.LET(_xlpm.x, C163:C226/B163:B226/B3, IF(ISERR(_xlpm.x), 0, _xlpm.x))</f>
        <v>0</v>
      </c>
      <c r="G163" s="14" t="str">
        <f>"("&amp;$O163&amp;", "&amp;$P163&amp;"]"</f>
        <v>(-1, 0]</v>
      </c>
      <c r="H163" s="80">
        <v>1</v>
      </c>
      <c r="I163" s="38" t="e" cm="1">
        <f t="array" ref="I163:I226">_xlfn.ANCHORARRAY(D163)*H163:H226</f>
        <v>#DIV/0!</v>
      </c>
      <c r="J163" s="38" t="e" cm="1">
        <f t="array" ref="J163:J226">I163:I226/SUM(_xlfn.ANCHORARRAY(I163))</f>
        <v>#DIV/0!</v>
      </c>
      <c r="K163" s="81" t="e" cm="1">
        <f t="array" ref="K163:K226">INT(_xlfn.ANCHORARRAY(J163)*$B$2)</f>
        <v>#DIV/0!</v>
      </c>
      <c r="L163" s="38" t="e" cm="1">
        <f t="array" ref="L163:L226">_xlfn.LET(_xlpm.x, K163:K226, _xlpm.x/SUM(_xlpm.x))</f>
        <v>#DIV/0!</v>
      </c>
      <c r="M163" s="90" t="e" cm="1">
        <f t="array" ref="M163:M226">L163:L226*_xlfn.ANCHORARRAY(E163)</f>
        <v>#DIV/0!</v>
      </c>
      <c r="N163" s="83"/>
      <c r="O163" s="76">
        <v>-1</v>
      </c>
      <c r="P163" s="76">
        <v>0</v>
      </c>
      <c r="Q163" s="38" t="e" cm="1">
        <f t="array" ref="Q163:Q226">_xlfn.ANCHORARRAY(L163)</f>
        <v>#DIV/0!</v>
      </c>
      <c r="R163" s="38">
        <v>2.069E-2</v>
      </c>
      <c r="T163" s="38"/>
      <c r="U163" s="84" cm="1">
        <f t="array" ref="U163:U226">_xlfn.LET(_xlpm.x, T163:T226/L163:L226, IF(ISERR(_xlpm.x), 0, ROUND(_xlpm.x,2)))</f>
        <v>0</v>
      </c>
    </row>
    <row r="164" spans="1:21" x14ac:dyDescent="0.3">
      <c r="A164" s="14" t="str">
        <f>"("&amp;$O164&amp;", "&amp;$P164&amp;"]"</f>
        <v>(0, 1]</v>
      </c>
      <c r="B164" s="93">
        <v>0</v>
      </c>
      <c r="C164" s="93">
        <v>0</v>
      </c>
      <c r="D164" s="38" t="e">
        <v>#DIV/0!</v>
      </c>
      <c r="E164" s="79">
        <v>0</v>
      </c>
      <c r="G164" s="14" t="str">
        <f>"("&amp;$O164&amp;", "&amp;$P164&amp;"]"</f>
        <v>(0, 1]</v>
      </c>
      <c r="H164" s="80">
        <v>1</v>
      </c>
      <c r="I164" s="38" t="e">
        <v>#DIV/0!</v>
      </c>
      <c r="J164" s="38" t="e">
        <v>#DIV/0!</v>
      </c>
      <c r="K164" s="81" t="e">
        <v>#DIV/0!</v>
      </c>
      <c r="L164" s="38" t="e">
        <v>#DIV/0!</v>
      </c>
      <c r="M164" s="38" t="e">
        <v>#DIV/0!</v>
      </c>
      <c r="N164" s="83"/>
      <c r="O164" s="69">
        <v>0</v>
      </c>
      <c r="P164" s="69">
        <v>1</v>
      </c>
      <c r="Q164" s="38" t="e">
        <v>#DIV/0!</v>
      </c>
      <c r="R164" s="38">
        <v>6.8970000000000004E-3</v>
      </c>
      <c r="T164" s="38"/>
      <c r="U164" s="84">
        <v>0</v>
      </c>
    </row>
    <row r="165" spans="1:21" x14ac:dyDescent="0.3">
      <c r="A165" s="14" t="str">
        <f>"("&amp;$O165&amp;", "&amp;$P165&amp;"]"</f>
        <v>(1, 2]</v>
      </c>
      <c r="B165" s="93">
        <v>0</v>
      </c>
      <c r="C165" s="93">
        <v>0</v>
      </c>
      <c r="D165" s="38" t="e">
        <v>#DIV/0!</v>
      </c>
      <c r="E165" s="79">
        <v>0</v>
      </c>
      <c r="F165" s="86"/>
      <c r="G165" s="14" t="str">
        <f>"("&amp;$O165&amp;", "&amp;$P165&amp;"]"</f>
        <v>(1, 2]</v>
      </c>
      <c r="H165" s="80">
        <v>1</v>
      </c>
      <c r="I165" s="38" t="e">
        <v>#DIV/0!</v>
      </c>
      <c r="J165" s="38" t="e">
        <v>#DIV/0!</v>
      </c>
      <c r="K165" s="81" t="e">
        <v>#DIV/0!</v>
      </c>
      <c r="L165" s="38" t="e">
        <v>#DIV/0!</v>
      </c>
      <c r="M165" s="38" t="e">
        <v>#DIV/0!</v>
      </c>
      <c r="N165" s="83"/>
      <c r="O165" s="69">
        <v>1</v>
      </c>
      <c r="P165" s="69">
        <v>2</v>
      </c>
      <c r="Q165" s="38" t="e">
        <v>#DIV/0!</v>
      </c>
      <c r="R165" s="38">
        <v>6.8970000000000004E-3</v>
      </c>
      <c r="T165" s="38"/>
      <c r="U165" s="84">
        <v>0</v>
      </c>
    </row>
    <row r="166" spans="1:21" x14ac:dyDescent="0.3">
      <c r="A166" s="14" t="str">
        <f>"("&amp;$O166&amp;", "&amp;$P166&amp;"]"</f>
        <v>(2, 3]</v>
      </c>
      <c r="B166" s="93">
        <v>0</v>
      </c>
      <c r="C166" s="93">
        <v>0</v>
      </c>
      <c r="D166" s="38" t="e">
        <v>#DIV/0!</v>
      </c>
      <c r="E166" s="79">
        <v>0</v>
      </c>
      <c r="F166" s="83"/>
      <c r="G166" s="14" t="str">
        <f>"("&amp;$O166&amp;", "&amp;$P166&amp;"]"</f>
        <v>(2, 3]</v>
      </c>
      <c r="H166" s="80">
        <v>1</v>
      </c>
      <c r="I166" s="38" t="e">
        <v>#DIV/0!</v>
      </c>
      <c r="J166" s="38" t="e">
        <v>#DIV/0!</v>
      </c>
      <c r="K166" s="81" t="e">
        <v>#DIV/0!</v>
      </c>
      <c r="L166" s="38" t="e">
        <v>#DIV/0!</v>
      </c>
      <c r="M166" s="38" t="e">
        <v>#DIV/0!</v>
      </c>
      <c r="N166" s="83"/>
      <c r="O166" s="69">
        <v>2</v>
      </c>
      <c r="P166" s="69">
        <v>3</v>
      </c>
      <c r="Q166" s="38" t="e">
        <v>#DIV/0!</v>
      </c>
      <c r="R166" s="38">
        <v>6.8970000000000004E-3</v>
      </c>
      <c r="T166" s="38"/>
      <c r="U166" s="84">
        <v>0</v>
      </c>
    </row>
    <row r="167" spans="1:21" x14ac:dyDescent="0.3">
      <c r="A167" s="14" t="str">
        <f>"("&amp;$O167&amp;", "&amp;$P167&amp;"]"</f>
        <v>(3, 4]</v>
      </c>
      <c r="B167" s="93">
        <v>0</v>
      </c>
      <c r="C167" s="93">
        <v>0</v>
      </c>
      <c r="D167" s="38" t="e">
        <v>#DIV/0!</v>
      </c>
      <c r="E167" s="79">
        <v>0</v>
      </c>
      <c r="F167" s="83"/>
      <c r="G167" s="14" t="str">
        <f>"("&amp;$O167&amp;", "&amp;$P167&amp;"]"</f>
        <v>(3, 4]</v>
      </c>
      <c r="H167" s="80">
        <v>1</v>
      </c>
      <c r="I167" s="38" t="e">
        <v>#DIV/0!</v>
      </c>
      <c r="J167" s="38" t="e">
        <v>#DIV/0!</v>
      </c>
      <c r="K167" s="81" t="e">
        <v>#DIV/0!</v>
      </c>
      <c r="L167" s="38" t="e">
        <v>#DIV/0!</v>
      </c>
      <c r="M167" s="38" t="e">
        <v>#DIV/0!</v>
      </c>
      <c r="N167" s="83"/>
      <c r="O167" s="69">
        <v>3</v>
      </c>
      <c r="P167" s="69">
        <v>4</v>
      </c>
      <c r="Q167" s="38" t="e">
        <v>#DIV/0!</v>
      </c>
      <c r="R167" s="38">
        <v>6.8970000000000004E-3</v>
      </c>
      <c r="T167" s="38"/>
      <c r="U167" s="84">
        <v>0</v>
      </c>
    </row>
    <row r="168" spans="1:21" x14ac:dyDescent="0.3">
      <c r="A168" s="14" t="str">
        <f>"("&amp;$O168&amp;", "&amp;$P168&amp;"]"</f>
        <v>(4, 5]</v>
      </c>
      <c r="B168" s="93">
        <v>0</v>
      </c>
      <c r="C168" s="93">
        <v>0</v>
      </c>
      <c r="D168" s="38" t="e">
        <v>#DIV/0!</v>
      </c>
      <c r="E168" s="79">
        <v>0</v>
      </c>
      <c r="F168" s="83"/>
      <c r="G168" s="14" t="str">
        <f>"("&amp;$O168&amp;", "&amp;$P168&amp;"]"</f>
        <v>(4, 5]</v>
      </c>
      <c r="H168" s="80">
        <v>1</v>
      </c>
      <c r="I168" s="38" t="e">
        <v>#DIV/0!</v>
      </c>
      <c r="J168" s="38" t="e">
        <v>#DIV/0!</v>
      </c>
      <c r="K168" s="81" t="e">
        <v>#DIV/0!</v>
      </c>
      <c r="L168" s="38" t="e">
        <v>#DIV/0!</v>
      </c>
      <c r="M168" s="38" t="e">
        <v>#DIV/0!</v>
      </c>
      <c r="N168" s="83"/>
      <c r="O168" s="69">
        <v>4</v>
      </c>
      <c r="P168" s="69">
        <v>5</v>
      </c>
      <c r="Q168" s="38" t="e">
        <v>#DIV/0!</v>
      </c>
      <c r="R168" s="38">
        <v>6.8970000000000004E-3</v>
      </c>
      <c r="T168" s="38"/>
      <c r="U168" s="84">
        <v>0</v>
      </c>
    </row>
    <row r="169" spans="1:21" x14ac:dyDescent="0.3">
      <c r="A169" s="14" t="str">
        <f>"("&amp;$O169&amp;", "&amp;$P169&amp;"]"</f>
        <v>(5, 6]</v>
      </c>
      <c r="B169" s="93">
        <v>0</v>
      </c>
      <c r="C169" s="93">
        <v>0</v>
      </c>
      <c r="D169" s="38" t="e">
        <v>#DIV/0!</v>
      </c>
      <c r="E169" s="79">
        <v>0</v>
      </c>
      <c r="F169" s="83"/>
      <c r="G169" s="14" t="str">
        <f>"("&amp;$O169&amp;", "&amp;$P169&amp;"]"</f>
        <v>(5, 6]</v>
      </c>
      <c r="H169" s="80">
        <v>1</v>
      </c>
      <c r="I169" s="38" t="e">
        <v>#DIV/0!</v>
      </c>
      <c r="J169" s="38" t="e">
        <v>#DIV/0!</v>
      </c>
      <c r="K169" s="81" t="e">
        <v>#DIV/0!</v>
      </c>
      <c r="L169" s="38" t="e">
        <v>#DIV/0!</v>
      </c>
      <c r="M169" s="38" t="e">
        <v>#DIV/0!</v>
      </c>
      <c r="N169" s="83"/>
      <c r="O169" s="69">
        <v>5</v>
      </c>
      <c r="P169" s="69">
        <v>6</v>
      </c>
      <c r="Q169" s="38" t="e">
        <v>#DIV/0!</v>
      </c>
      <c r="R169" s="38">
        <v>6.8970000000000004E-3</v>
      </c>
      <c r="T169" s="38"/>
      <c r="U169" s="84">
        <v>0</v>
      </c>
    </row>
    <row r="170" spans="1:21" x14ac:dyDescent="0.3">
      <c r="A170" s="14" t="str">
        <f>"("&amp;$O170&amp;", "&amp;$P170&amp;"]"</f>
        <v>(6, 7]</v>
      </c>
      <c r="B170" s="93">
        <v>0</v>
      </c>
      <c r="C170" s="93">
        <v>0</v>
      </c>
      <c r="D170" s="38" t="e">
        <v>#DIV/0!</v>
      </c>
      <c r="E170" s="79">
        <v>0</v>
      </c>
      <c r="F170" s="83"/>
      <c r="G170" s="14" t="str">
        <f>"("&amp;$O170&amp;", "&amp;$P170&amp;"]"</f>
        <v>(6, 7]</v>
      </c>
      <c r="H170" s="80">
        <v>1</v>
      </c>
      <c r="I170" s="38" t="e">
        <v>#DIV/0!</v>
      </c>
      <c r="J170" s="38" t="e">
        <v>#DIV/0!</v>
      </c>
      <c r="K170" s="81" t="e">
        <v>#DIV/0!</v>
      </c>
      <c r="L170" s="38" t="e">
        <v>#DIV/0!</v>
      </c>
      <c r="M170" s="38" t="e">
        <v>#DIV/0!</v>
      </c>
      <c r="N170" s="83"/>
      <c r="O170" s="69">
        <v>6</v>
      </c>
      <c r="P170" s="69">
        <v>7</v>
      </c>
      <c r="Q170" s="38" t="e">
        <v>#DIV/0!</v>
      </c>
      <c r="R170" s="38">
        <v>2.069E-2</v>
      </c>
      <c r="T170" s="38"/>
      <c r="U170" s="84">
        <v>0</v>
      </c>
    </row>
    <row r="171" spans="1:21" x14ac:dyDescent="0.3">
      <c r="A171" s="14" t="str">
        <f>"("&amp;$O171&amp;", "&amp;$P171&amp;"]"</f>
        <v>(7, 8]</v>
      </c>
      <c r="B171" s="93">
        <v>0</v>
      </c>
      <c r="C171" s="93">
        <v>0</v>
      </c>
      <c r="D171" s="38" t="e">
        <v>#DIV/0!</v>
      </c>
      <c r="E171" s="79">
        <v>0</v>
      </c>
      <c r="F171" s="83"/>
      <c r="G171" s="14" t="str">
        <f>"("&amp;$O171&amp;", "&amp;$P171&amp;"]"</f>
        <v>(7, 8]</v>
      </c>
      <c r="H171" s="80">
        <v>1</v>
      </c>
      <c r="I171" s="38" t="e">
        <v>#DIV/0!</v>
      </c>
      <c r="J171" s="38" t="e">
        <v>#DIV/0!</v>
      </c>
      <c r="K171" s="81" t="e">
        <v>#DIV/0!</v>
      </c>
      <c r="L171" s="38" t="e">
        <v>#DIV/0!</v>
      </c>
      <c r="M171" s="38" t="e">
        <v>#DIV/0!</v>
      </c>
      <c r="N171" s="83"/>
      <c r="O171" s="69">
        <v>7</v>
      </c>
      <c r="P171" s="69">
        <v>8</v>
      </c>
      <c r="Q171" s="38" t="e">
        <v>#DIV/0!</v>
      </c>
      <c r="R171" s="38">
        <v>0</v>
      </c>
      <c r="T171" s="38"/>
      <c r="U171" s="84">
        <v>0</v>
      </c>
    </row>
    <row r="172" spans="1:21" x14ac:dyDescent="0.3">
      <c r="A172" s="14" t="str">
        <f>"("&amp;$O172&amp;", "&amp;$P172&amp;"]"</f>
        <v>(8, 9]</v>
      </c>
      <c r="B172" s="93">
        <v>0</v>
      </c>
      <c r="C172" s="93">
        <v>0</v>
      </c>
      <c r="D172" s="38" t="e">
        <v>#DIV/0!</v>
      </c>
      <c r="E172" s="79">
        <v>0</v>
      </c>
      <c r="F172" s="83"/>
      <c r="G172" s="14" t="str">
        <f>"("&amp;$O172&amp;", "&amp;$P172&amp;"]"</f>
        <v>(8, 9]</v>
      </c>
      <c r="H172" s="80">
        <v>1</v>
      </c>
      <c r="I172" s="38" t="e">
        <v>#DIV/0!</v>
      </c>
      <c r="J172" s="38" t="e">
        <v>#DIV/0!</v>
      </c>
      <c r="K172" s="81" t="e">
        <v>#DIV/0!</v>
      </c>
      <c r="L172" s="38" t="e">
        <v>#DIV/0!</v>
      </c>
      <c r="M172" s="38" t="e">
        <v>#DIV/0!</v>
      </c>
      <c r="N172" s="83"/>
      <c r="O172" s="69">
        <v>8</v>
      </c>
      <c r="P172" s="69">
        <v>9</v>
      </c>
      <c r="Q172" s="38" t="e">
        <v>#DIV/0!</v>
      </c>
      <c r="R172" s="38">
        <v>6.8970000000000004E-3</v>
      </c>
      <c r="T172" s="38"/>
      <c r="U172" s="84">
        <v>0</v>
      </c>
    </row>
    <row r="173" spans="1:21" x14ac:dyDescent="0.3">
      <c r="A173" s="14" t="str">
        <f>"("&amp;$O173&amp;", "&amp;$P173&amp;"]"</f>
        <v>(9, 10]</v>
      </c>
      <c r="B173" s="93">
        <v>0</v>
      </c>
      <c r="C173" s="93">
        <v>0</v>
      </c>
      <c r="D173" s="38" t="e">
        <v>#DIV/0!</v>
      </c>
      <c r="E173" s="79">
        <v>0</v>
      </c>
      <c r="F173" s="83"/>
      <c r="G173" s="14" t="str">
        <f>"("&amp;$O173&amp;", "&amp;$P173&amp;"]"</f>
        <v>(9, 10]</v>
      </c>
      <c r="H173" s="80">
        <v>1</v>
      </c>
      <c r="I173" s="38" t="e">
        <v>#DIV/0!</v>
      </c>
      <c r="J173" s="38" t="e">
        <v>#DIV/0!</v>
      </c>
      <c r="K173" s="81" t="e">
        <v>#DIV/0!</v>
      </c>
      <c r="L173" s="38" t="e">
        <v>#DIV/0!</v>
      </c>
      <c r="M173" s="38" t="e">
        <v>#DIV/0!</v>
      </c>
      <c r="N173" s="83"/>
      <c r="O173" s="69">
        <v>9</v>
      </c>
      <c r="P173" s="69">
        <v>10</v>
      </c>
      <c r="Q173" s="38" t="e">
        <v>#DIV/0!</v>
      </c>
      <c r="R173" s="38">
        <v>0</v>
      </c>
      <c r="T173" s="38"/>
      <c r="U173" s="84">
        <v>0</v>
      </c>
    </row>
    <row r="174" spans="1:21" x14ac:dyDescent="0.3">
      <c r="A174" s="14" t="str">
        <f>"("&amp;$O174&amp;", "&amp;$P174&amp;"]"</f>
        <v>(10, 15]</v>
      </c>
      <c r="B174" s="93">
        <v>0</v>
      </c>
      <c r="C174" s="93">
        <v>0</v>
      </c>
      <c r="D174" s="38" t="e">
        <v>#DIV/0!</v>
      </c>
      <c r="E174" s="79">
        <v>0</v>
      </c>
      <c r="F174" s="83"/>
      <c r="G174" s="14" t="str">
        <f>"("&amp;$O174&amp;", "&amp;$P174&amp;"]"</f>
        <v>(10, 15]</v>
      </c>
      <c r="H174" s="80">
        <v>1</v>
      </c>
      <c r="I174" s="38" t="e">
        <v>#DIV/0!</v>
      </c>
      <c r="J174" s="38" t="e">
        <v>#DIV/0!</v>
      </c>
      <c r="K174" s="81" t="e">
        <v>#DIV/0!</v>
      </c>
      <c r="L174" s="38" t="e">
        <v>#DIV/0!</v>
      </c>
      <c r="M174" s="38" t="e">
        <v>#DIV/0!</v>
      </c>
      <c r="N174" s="83"/>
      <c r="O174" s="69">
        <v>10</v>
      </c>
      <c r="P174" s="69">
        <v>15</v>
      </c>
      <c r="Q174" s="38" t="e">
        <v>#DIV/0!</v>
      </c>
      <c r="R174" s="38">
        <v>6.2068999999999999E-2</v>
      </c>
      <c r="T174" s="38"/>
      <c r="U174" s="84">
        <v>0</v>
      </c>
    </row>
    <row r="175" spans="1:21" x14ac:dyDescent="0.3">
      <c r="A175" s="14" t="str">
        <f>"("&amp;$O175&amp;", "&amp;$P175&amp;"]"</f>
        <v>(15, 20]</v>
      </c>
      <c r="B175" s="93">
        <v>0</v>
      </c>
      <c r="C175" s="93">
        <v>0</v>
      </c>
      <c r="D175" s="38" t="e">
        <v>#DIV/0!</v>
      </c>
      <c r="E175" s="79">
        <v>0</v>
      </c>
      <c r="F175" s="83"/>
      <c r="G175" s="14" t="str">
        <f>"("&amp;$O175&amp;", "&amp;$P175&amp;"]"</f>
        <v>(15, 20]</v>
      </c>
      <c r="H175" s="80">
        <v>1</v>
      </c>
      <c r="I175" s="38" t="e">
        <v>#DIV/0!</v>
      </c>
      <c r="J175" s="38" t="e">
        <v>#DIV/0!</v>
      </c>
      <c r="K175" s="81" t="e">
        <v>#DIV/0!</v>
      </c>
      <c r="L175" s="38" t="e">
        <v>#DIV/0!</v>
      </c>
      <c r="M175" s="38" t="e">
        <v>#DIV/0!</v>
      </c>
      <c r="N175" s="83"/>
      <c r="O175" s="69">
        <v>15</v>
      </c>
      <c r="P175" s="69">
        <v>20</v>
      </c>
      <c r="Q175" s="38" t="e">
        <v>#DIV/0!</v>
      </c>
      <c r="R175" s="38">
        <v>2.7585999999999999E-2</v>
      </c>
      <c r="T175" s="38"/>
      <c r="U175" s="84">
        <v>0</v>
      </c>
    </row>
    <row r="176" spans="1:21" x14ac:dyDescent="0.3">
      <c r="A176" s="14" t="str">
        <f>"("&amp;$O176&amp;", "&amp;$P176&amp;"]"</f>
        <v>(20, 25]</v>
      </c>
      <c r="B176" s="93">
        <v>0</v>
      </c>
      <c r="C176" s="93">
        <v>0</v>
      </c>
      <c r="D176" s="38" t="e">
        <v>#DIV/0!</v>
      </c>
      <c r="E176" s="79">
        <v>0</v>
      </c>
      <c r="F176" s="83"/>
      <c r="G176" s="14" t="str">
        <f>"("&amp;$O176&amp;", "&amp;$P176&amp;"]"</f>
        <v>(20, 25]</v>
      </c>
      <c r="H176" s="80">
        <v>1</v>
      </c>
      <c r="I176" s="38" t="e">
        <v>#DIV/0!</v>
      </c>
      <c r="J176" s="38" t="e">
        <v>#DIV/0!</v>
      </c>
      <c r="K176" s="81" t="e">
        <v>#DIV/0!</v>
      </c>
      <c r="L176" s="38" t="e">
        <v>#DIV/0!</v>
      </c>
      <c r="M176" s="38" t="e">
        <v>#DIV/0!</v>
      </c>
      <c r="N176" s="83"/>
      <c r="O176" s="69">
        <v>20</v>
      </c>
      <c r="P176" s="69">
        <v>25</v>
      </c>
      <c r="Q176" s="38" t="e">
        <v>#DIV/0!</v>
      </c>
      <c r="R176" s="38">
        <v>2.069E-2</v>
      </c>
      <c r="T176" s="38"/>
      <c r="U176" s="84">
        <v>0</v>
      </c>
    </row>
    <row r="177" spans="1:21" x14ac:dyDescent="0.3">
      <c r="A177" s="14" t="str">
        <f>"("&amp;$O177&amp;", "&amp;$P177&amp;"]"</f>
        <v>(25, 30]</v>
      </c>
      <c r="B177" s="93">
        <v>0</v>
      </c>
      <c r="C177" s="93">
        <v>0</v>
      </c>
      <c r="D177" s="38" t="e">
        <v>#DIV/0!</v>
      </c>
      <c r="E177" s="79">
        <v>0</v>
      </c>
      <c r="F177" s="83"/>
      <c r="G177" s="14" t="str">
        <f>"("&amp;$O177&amp;", "&amp;$P177&amp;"]"</f>
        <v>(25, 30]</v>
      </c>
      <c r="H177" s="80">
        <v>1</v>
      </c>
      <c r="I177" s="38" t="e">
        <v>#DIV/0!</v>
      </c>
      <c r="J177" s="38" t="e">
        <v>#DIV/0!</v>
      </c>
      <c r="K177" s="81" t="e">
        <v>#DIV/0!</v>
      </c>
      <c r="L177" s="38" t="e">
        <v>#DIV/0!</v>
      </c>
      <c r="M177" s="38" t="e">
        <v>#DIV/0!</v>
      </c>
      <c r="N177" s="83"/>
      <c r="O177" s="69">
        <v>25</v>
      </c>
      <c r="P177" s="69">
        <v>30</v>
      </c>
      <c r="Q177" s="38" t="e">
        <v>#DIV/0!</v>
      </c>
      <c r="R177" s="38">
        <v>8.9654999999999999E-2</v>
      </c>
      <c r="T177" s="38"/>
      <c r="U177" s="84">
        <v>0</v>
      </c>
    </row>
    <row r="178" spans="1:21" x14ac:dyDescent="0.3">
      <c r="A178" s="14" t="str">
        <f>"("&amp;$O178&amp;", "&amp;$P178&amp;"]"</f>
        <v>(30, 35]</v>
      </c>
      <c r="B178" s="93">
        <v>0</v>
      </c>
      <c r="C178" s="93">
        <v>0</v>
      </c>
      <c r="D178" s="38" t="e">
        <v>#DIV/0!</v>
      </c>
      <c r="E178" s="79">
        <v>0</v>
      </c>
      <c r="F178" s="83"/>
      <c r="G178" s="14" t="str">
        <f>"("&amp;$O178&amp;", "&amp;$P178&amp;"]"</f>
        <v>(30, 35]</v>
      </c>
      <c r="H178" s="80">
        <v>1</v>
      </c>
      <c r="I178" s="38" t="e">
        <v>#DIV/0!</v>
      </c>
      <c r="J178" s="38" t="e">
        <v>#DIV/0!</v>
      </c>
      <c r="K178" s="81" t="e">
        <v>#DIV/0!</v>
      </c>
      <c r="L178" s="38" t="e">
        <v>#DIV/0!</v>
      </c>
      <c r="M178" s="38" t="e">
        <v>#DIV/0!</v>
      </c>
      <c r="N178" s="83"/>
      <c r="O178" s="69">
        <v>30</v>
      </c>
      <c r="P178" s="69">
        <v>35</v>
      </c>
      <c r="Q178" s="38" t="e">
        <v>#DIV/0!</v>
      </c>
      <c r="R178" s="38">
        <v>3.4483E-2</v>
      </c>
      <c r="T178" s="38"/>
      <c r="U178" s="84">
        <v>0</v>
      </c>
    </row>
    <row r="179" spans="1:21" x14ac:dyDescent="0.3">
      <c r="A179" s="14" t="str">
        <f>"("&amp;$O179&amp;", "&amp;$P179&amp;"]"</f>
        <v>(35, 40]</v>
      </c>
      <c r="B179" s="93">
        <v>0</v>
      </c>
      <c r="C179" s="93">
        <v>0</v>
      </c>
      <c r="D179" s="38" t="e">
        <v>#DIV/0!</v>
      </c>
      <c r="E179" s="79">
        <v>0</v>
      </c>
      <c r="F179" s="83"/>
      <c r="G179" s="14" t="str">
        <f>"("&amp;$O179&amp;", "&amp;$P179&amp;"]"</f>
        <v>(35, 40]</v>
      </c>
      <c r="H179" s="80">
        <v>1</v>
      </c>
      <c r="I179" s="38" t="e">
        <v>#DIV/0!</v>
      </c>
      <c r="J179" s="38" t="e">
        <v>#DIV/0!</v>
      </c>
      <c r="K179" s="81" t="e">
        <v>#DIV/0!</v>
      </c>
      <c r="L179" s="38" t="e">
        <v>#DIV/0!</v>
      </c>
      <c r="M179" s="38" t="e">
        <v>#DIV/0!</v>
      </c>
      <c r="N179" s="83"/>
      <c r="O179" s="69">
        <v>35</v>
      </c>
      <c r="P179" s="69">
        <v>40</v>
      </c>
      <c r="Q179" s="38" t="e">
        <v>#DIV/0!</v>
      </c>
      <c r="R179" s="38">
        <v>6.2068999999999999E-2</v>
      </c>
      <c r="T179" s="38"/>
      <c r="U179" s="84">
        <v>0</v>
      </c>
    </row>
    <row r="180" spans="1:21" x14ac:dyDescent="0.3">
      <c r="A180" s="14" t="str">
        <f>"("&amp;$O180&amp;", "&amp;$P180&amp;"]"</f>
        <v>(40, 45]</v>
      </c>
      <c r="B180" s="93">
        <v>0</v>
      </c>
      <c r="C180" s="93">
        <v>0</v>
      </c>
      <c r="D180" s="38" t="e">
        <v>#DIV/0!</v>
      </c>
      <c r="E180" s="79">
        <v>0</v>
      </c>
      <c r="F180" s="83"/>
      <c r="G180" s="14" t="str">
        <f>"("&amp;$O180&amp;", "&amp;$P180&amp;"]"</f>
        <v>(40, 45]</v>
      </c>
      <c r="H180" s="80">
        <v>1</v>
      </c>
      <c r="I180" s="38" t="e">
        <v>#DIV/0!</v>
      </c>
      <c r="J180" s="38" t="e">
        <v>#DIV/0!</v>
      </c>
      <c r="K180" s="81" t="e">
        <v>#DIV/0!</v>
      </c>
      <c r="L180" s="38" t="e">
        <v>#DIV/0!</v>
      </c>
      <c r="M180" s="38" t="e">
        <v>#DIV/0!</v>
      </c>
      <c r="N180" s="83"/>
      <c r="O180" s="69">
        <v>40</v>
      </c>
      <c r="P180" s="69">
        <v>45</v>
      </c>
      <c r="Q180" s="38" t="e">
        <v>#DIV/0!</v>
      </c>
      <c r="R180" s="38">
        <v>5.5171999999999999E-2</v>
      </c>
      <c r="T180" s="38"/>
      <c r="U180" s="84">
        <v>0</v>
      </c>
    </row>
    <row r="181" spans="1:21" x14ac:dyDescent="0.3">
      <c r="A181" s="14" t="str">
        <f>"("&amp;$O181&amp;", "&amp;$P181&amp;"]"</f>
        <v>(45, 50]</v>
      </c>
      <c r="B181" s="93">
        <v>0</v>
      </c>
      <c r="C181" s="93">
        <v>0</v>
      </c>
      <c r="D181" s="38" t="e">
        <v>#DIV/0!</v>
      </c>
      <c r="E181" s="79">
        <v>0</v>
      </c>
      <c r="F181" s="83"/>
      <c r="G181" s="14" t="str">
        <f>"("&amp;$O181&amp;", "&amp;$P181&amp;"]"</f>
        <v>(45, 50]</v>
      </c>
      <c r="H181" s="80">
        <v>1</v>
      </c>
      <c r="I181" s="38" t="e">
        <v>#DIV/0!</v>
      </c>
      <c r="J181" s="38" t="e">
        <v>#DIV/0!</v>
      </c>
      <c r="K181" s="81" t="e">
        <v>#DIV/0!</v>
      </c>
      <c r="L181" s="38" t="e">
        <v>#DIV/0!</v>
      </c>
      <c r="M181" s="38" t="e">
        <v>#DIV/0!</v>
      </c>
      <c r="N181" s="83"/>
      <c r="O181" s="69">
        <v>45</v>
      </c>
      <c r="P181" s="69">
        <v>50</v>
      </c>
      <c r="Q181" s="38" t="e">
        <v>#DIV/0!</v>
      </c>
      <c r="R181" s="38">
        <v>4.8275999999999999E-2</v>
      </c>
      <c r="T181" s="38"/>
      <c r="U181" s="84">
        <v>0</v>
      </c>
    </row>
    <row r="182" spans="1:21" x14ac:dyDescent="0.3">
      <c r="A182" s="14" t="str">
        <f>"("&amp;$O182&amp;", "&amp;$P182&amp;"]"</f>
        <v>(50, 60]</v>
      </c>
      <c r="B182" s="93">
        <v>0</v>
      </c>
      <c r="C182" s="93">
        <v>0</v>
      </c>
      <c r="D182" s="38" t="e">
        <v>#DIV/0!</v>
      </c>
      <c r="E182" s="79">
        <v>0</v>
      </c>
      <c r="F182" s="83"/>
      <c r="G182" s="14" t="str">
        <f>"("&amp;$O182&amp;", "&amp;$P182&amp;"]"</f>
        <v>(50, 60]</v>
      </c>
      <c r="H182" s="80">
        <v>1</v>
      </c>
      <c r="I182" s="38" t="e">
        <v>#DIV/0!</v>
      </c>
      <c r="J182" s="38" t="e">
        <v>#DIV/0!</v>
      </c>
      <c r="K182" s="81" t="e">
        <v>#DIV/0!</v>
      </c>
      <c r="L182" s="38" t="e">
        <v>#DIV/0!</v>
      </c>
      <c r="M182" s="38" t="e">
        <v>#DIV/0!</v>
      </c>
      <c r="N182" s="83"/>
      <c r="O182" s="69">
        <v>50</v>
      </c>
      <c r="P182" s="69">
        <v>60</v>
      </c>
      <c r="Q182" s="38" t="e">
        <v>#DIV/0!</v>
      </c>
      <c r="R182" s="38">
        <v>4.8275999999999999E-2</v>
      </c>
      <c r="T182" s="38"/>
      <c r="U182" s="84">
        <v>0</v>
      </c>
    </row>
    <row r="183" spans="1:21" x14ac:dyDescent="0.3">
      <c r="A183" s="14" t="str">
        <f>"("&amp;$O183&amp;", "&amp;$P183&amp;"]"</f>
        <v>(60, 70]</v>
      </c>
      <c r="B183" s="93">
        <v>0</v>
      </c>
      <c r="C183" s="93">
        <v>0</v>
      </c>
      <c r="D183" s="38" t="e">
        <v>#DIV/0!</v>
      </c>
      <c r="E183" s="79">
        <v>0</v>
      </c>
      <c r="F183" s="83"/>
      <c r="G183" s="14" t="str">
        <f>"("&amp;$O183&amp;", "&amp;$P183&amp;"]"</f>
        <v>(60, 70]</v>
      </c>
      <c r="H183" s="80">
        <v>1</v>
      </c>
      <c r="I183" s="38" t="e">
        <v>#DIV/0!</v>
      </c>
      <c r="J183" s="38" t="e">
        <v>#DIV/0!</v>
      </c>
      <c r="K183" s="81" t="e">
        <v>#DIV/0!</v>
      </c>
      <c r="L183" s="38" t="e">
        <v>#DIV/0!</v>
      </c>
      <c r="M183" s="38" t="e">
        <v>#DIV/0!</v>
      </c>
      <c r="N183" s="83"/>
      <c r="O183" s="69">
        <v>60</v>
      </c>
      <c r="P183" s="69">
        <v>70</v>
      </c>
      <c r="Q183" s="38" t="e">
        <v>#DIV/0!</v>
      </c>
      <c r="R183" s="38">
        <v>6.8966E-2</v>
      </c>
      <c r="T183" s="38"/>
      <c r="U183" s="84">
        <v>0</v>
      </c>
    </row>
    <row r="184" spans="1:21" x14ac:dyDescent="0.3">
      <c r="A184" s="14" t="str">
        <f>"("&amp;$O184&amp;", "&amp;$P184&amp;"]"</f>
        <v>(70, 80]</v>
      </c>
      <c r="B184" s="93">
        <v>0</v>
      </c>
      <c r="C184" s="93">
        <v>0</v>
      </c>
      <c r="D184" s="38" t="e">
        <v>#DIV/0!</v>
      </c>
      <c r="E184" s="79">
        <v>0</v>
      </c>
      <c r="F184" s="83"/>
      <c r="G184" s="14" t="str">
        <f>"("&amp;$O184&amp;", "&amp;$P184&amp;"]"</f>
        <v>(70, 80]</v>
      </c>
      <c r="H184" s="80">
        <v>1</v>
      </c>
      <c r="I184" s="38" t="e">
        <v>#DIV/0!</v>
      </c>
      <c r="J184" s="38" t="e">
        <v>#DIV/0!</v>
      </c>
      <c r="K184" s="81" t="e">
        <v>#DIV/0!</v>
      </c>
      <c r="L184" s="38" t="e">
        <v>#DIV/0!</v>
      </c>
      <c r="M184" s="38" t="e">
        <v>#DIV/0!</v>
      </c>
      <c r="N184" s="83"/>
      <c r="O184" s="69">
        <v>70</v>
      </c>
      <c r="P184" s="69">
        <v>80</v>
      </c>
      <c r="Q184" s="38" t="e">
        <v>#DIV/0!</v>
      </c>
      <c r="R184" s="38">
        <v>3.4483E-2</v>
      </c>
      <c r="T184" s="38"/>
      <c r="U184" s="84">
        <v>0</v>
      </c>
    </row>
    <row r="185" spans="1:21" x14ac:dyDescent="0.3">
      <c r="A185" s="14" t="str">
        <f>"("&amp;$O185&amp;", "&amp;$P185&amp;"]"</f>
        <v>(80, 90]</v>
      </c>
      <c r="B185" s="93">
        <v>0</v>
      </c>
      <c r="C185" s="93">
        <v>0</v>
      </c>
      <c r="D185" s="38" t="e">
        <v>#DIV/0!</v>
      </c>
      <c r="E185" s="79">
        <v>0</v>
      </c>
      <c r="F185" s="83"/>
      <c r="G185" s="14" t="str">
        <f>"("&amp;$O185&amp;", "&amp;$P185&amp;"]"</f>
        <v>(80, 90]</v>
      </c>
      <c r="H185" s="80">
        <v>1</v>
      </c>
      <c r="I185" s="38" t="e">
        <v>#DIV/0!</v>
      </c>
      <c r="J185" s="38" t="e">
        <v>#DIV/0!</v>
      </c>
      <c r="K185" s="81" t="e">
        <v>#DIV/0!</v>
      </c>
      <c r="L185" s="38" t="e">
        <v>#DIV/0!</v>
      </c>
      <c r="M185" s="38" t="e">
        <v>#DIV/0!</v>
      </c>
      <c r="N185" s="83"/>
      <c r="O185" s="69">
        <v>80</v>
      </c>
      <c r="P185" s="69">
        <v>90</v>
      </c>
      <c r="Q185" s="38" t="e">
        <v>#DIV/0!</v>
      </c>
      <c r="R185" s="38">
        <v>6.8966E-2</v>
      </c>
      <c r="T185" s="38"/>
      <c r="U185" s="84">
        <v>0</v>
      </c>
    </row>
    <row r="186" spans="1:21" x14ac:dyDescent="0.3">
      <c r="A186" s="14" t="str">
        <f>"("&amp;$O186&amp;", "&amp;$P186&amp;"]"</f>
        <v>(90, 100]</v>
      </c>
      <c r="B186" s="93">
        <v>0</v>
      </c>
      <c r="C186" s="93">
        <v>0</v>
      </c>
      <c r="D186" s="38" t="e">
        <v>#DIV/0!</v>
      </c>
      <c r="E186" s="79">
        <v>0</v>
      </c>
      <c r="F186" s="83"/>
      <c r="G186" s="14" t="str">
        <f>"("&amp;$O186&amp;", "&amp;$P186&amp;"]"</f>
        <v>(90, 100]</v>
      </c>
      <c r="H186" s="80">
        <v>1</v>
      </c>
      <c r="I186" s="38" t="e">
        <v>#DIV/0!</v>
      </c>
      <c r="J186" s="38" t="e">
        <v>#DIV/0!</v>
      </c>
      <c r="K186" s="81" t="e">
        <v>#DIV/0!</v>
      </c>
      <c r="L186" s="38" t="e">
        <v>#DIV/0!</v>
      </c>
      <c r="M186" s="38" t="e">
        <v>#DIV/0!</v>
      </c>
      <c r="N186" s="83"/>
      <c r="O186" s="69">
        <v>90</v>
      </c>
      <c r="P186" s="69">
        <v>100</v>
      </c>
      <c r="Q186" s="38" t="e">
        <v>#DIV/0!</v>
      </c>
      <c r="R186" s="38">
        <v>2.7585999999999999E-2</v>
      </c>
      <c r="T186" s="38"/>
      <c r="U186" s="84">
        <v>0</v>
      </c>
    </row>
    <row r="187" spans="1:21" x14ac:dyDescent="0.3">
      <c r="A187" s="14" t="str">
        <f>"("&amp;$O187&amp;", "&amp;$P187&amp;"]"</f>
        <v>(100, 120]</v>
      </c>
      <c r="B187" s="93">
        <v>0</v>
      </c>
      <c r="C187" s="93">
        <v>0</v>
      </c>
      <c r="D187" s="38" t="e">
        <v>#DIV/0!</v>
      </c>
      <c r="E187" s="79">
        <v>0</v>
      </c>
      <c r="F187" s="83"/>
      <c r="G187" s="14" t="str">
        <f>"("&amp;$O187&amp;", "&amp;$P187&amp;"]"</f>
        <v>(100, 120]</v>
      </c>
      <c r="H187" s="80">
        <v>1</v>
      </c>
      <c r="I187" s="38" t="e">
        <v>#DIV/0!</v>
      </c>
      <c r="J187" s="38" t="e">
        <v>#DIV/0!</v>
      </c>
      <c r="K187" s="81" t="e">
        <v>#DIV/0!</v>
      </c>
      <c r="L187" s="38" t="e">
        <v>#DIV/0!</v>
      </c>
      <c r="M187" s="38" t="e">
        <v>#DIV/0!</v>
      </c>
      <c r="N187" s="83"/>
      <c r="O187" s="69">
        <v>100</v>
      </c>
      <c r="P187" s="69">
        <v>120</v>
      </c>
      <c r="Q187" s="38" t="e">
        <v>#DIV/0!</v>
      </c>
      <c r="R187" s="38">
        <v>6.8966E-2</v>
      </c>
      <c r="T187" s="38"/>
      <c r="U187" s="84">
        <v>0</v>
      </c>
    </row>
    <row r="188" spans="1:21" x14ac:dyDescent="0.3">
      <c r="A188" s="14" t="str">
        <f>"("&amp;$O188&amp;", "&amp;$P188&amp;"]"</f>
        <v>(120, 140]</v>
      </c>
      <c r="B188" s="93">
        <v>0</v>
      </c>
      <c r="C188" s="93">
        <v>0</v>
      </c>
      <c r="D188" s="38" t="e">
        <v>#DIV/0!</v>
      </c>
      <c r="E188" s="79">
        <v>0</v>
      </c>
      <c r="F188" s="83"/>
      <c r="G188" s="14" t="str">
        <f>"("&amp;$O188&amp;", "&amp;$P188&amp;"]"</f>
        <v>(120, 140]</v>
      </c>
      <c r="H188" s="80">
        <v>1</v>
      </c>
      <c r="I188" s="38" t="e">
        <v>#DIV/0!</v>
      </c>
      <c r="J188" s="38" t="e">
        <v>#DIV/0!</v>
      </c>
      <c r="K188" s="81" t="e">
        <v>#DIV/0!</v>
      </c>
      <c r="L188" s="38" t="e">
        <v>#DIV/0!</v>
      </c>
      <c r="M188" s="38" t="e">
        <v>#DIV/0!</v>
      </c>
      <c r="N188" s="83"/>
      <c r="O188" s="69">
        <v>120</v>
      </c>
      <c r="P188" s="69">
        <v>140</v>
      </c>
      <c r="Q188" s="38" t="e">
        <v>#DIV/0!</v>
      </c>
      <c r="R188" s="38">
        <v>2.7585999999999999E-2</v>
      </c>
      <c r="T188" s="38"/>
      <c r="U188" s="84">
        <v>0</v>
      </c>
    </row>
    <row r="189" spans="1:21" x14ac:dyDescent="0.3">
      <c r="A189" s="14" t="str">
        <f>"("&amp;$O189&amp;", "&amp;$P189&amp;"]"</f>
        <v>(140, 160]</v>
      </c>
      <c r="B189" s="93">
        <v>0</v>
      </c>
      <c r="C189" s="93">
        <v>0</v>
      </c>
      <c r="D189" s="38" t="e">
        <v>#DIV/0!</v>
      </c>
      <c r="E189" s="79">
        <v>0</v>
      </c>
      <c r="F189" s="83"/>
      <c r="G189" s="14" t="str">
        <f>"("&amp;$O189&amp;", "&amp;$P189&amp;"]"</f>
        <v>(140, 160]</v>
      </c>
      <c r="H189" s="80">
        <v>1</v>
      </c>
      <c r="I189" s="38" t="e">
        <v>#DIV/0!</v>
      </c>
      <c r="J189" s="38" t="e">
        <v>#DIV/0!</v>
      </c>
      <c r="K189" s="81" t="e">
        <v>#DIV/0!</v>
      </c>
      <c r="L189" s="38" t="e">
        <v>#DIV/0!</v>
      </c>
      <c r="M189" s="38" t="e">
        <v>#DIV/0!</v>
      </c>
      <c r="N189" s="83"/>
      <c r="O189" s="69">
        <v>140</v>
      </c>
      <c r="P189" s="69">
        <v>160</v>
      </c>
      <c r="Q189" s="38" t="e">
        <v>#DIV/0!</v>
      </c>
      <c r="R189" s="38">
        <v>4.8275999999999999E-2</v>
      </c>
      <c r="T189" s="38"/>
      <c r="U189" s="84">
        <v>0</v>
      </c>
    </row>
    <row r="190" spans="1:21" x14ac:dyDescent="0.3">
      <c r="A190" s="14" t="str">
        <f>"("&amp;$O190&amp;", "&amp;$P190&amp;"]"</f>
        <v>(160, 180]</v>
      </c>
      <c r="B190" s="93">
        <v>0</v>
      </c>
      <c r="C190" s="93">
        <v>0</v>
      </c>
      <c r="D190" s="38" t="e">
        <v>#DIV/0!</v>
      </c>
      <c r="E190" s="79">
        <v>0</v>
      </c>
      <c r="F190" s="83"/>
      <c r="G190" s="14" t="str">
        <f>"("&amp;$O190&amp;", "&amp;$P190&amp;"]"</f>
        <v>(160, 180]</v>
      </c>
      <c r="H190" s="80">
        <v>1</v>
      </c>
      <c r="I190" s="38" t="e">
        <v>#DIV/0!</v>
      </c>
      <c r="J190" s="38" t="e">
        <v>#DIV/0!</v>
      </c>
      <c r="K190" s="81" t="e">
        <v>#DIV/0!</v>
      </c>
      <c r="L190" s="38" t="e">
        <v>#DIV/0!</v>
      </c>
      <c r="M190" s="38" t="e">
        <v>#DIV/0!</v>
      </c>
      <c r="N190" s="83"/>
      <c r="O190" s="69">
        <v>160</v>
      </c>
      <c r="P190" s="69">
        <v>180</v>
      </c>
      <c r="Q190" s="38" t="e">
        <v>#DIV/0!</v>
      </c>
      <c r="R190" s="38">
        <v>2.7585999999999999E-2</v>
      </c>
      <c r="T190" s="38"/>
      <c r="U190" s="84">
        <v>0</v>
      </c>
    </row>
    <row r="191" spans="1:21" x14ac:dyDescent="0.3">
      <c r="A191" s="14" t="str">
        <f>"("&amp;$O191&amp;", "&amp;$P191&amp;"]"</f>
        <v>(180, 200]</v>
      </c>
      <c r="B191" s="93">
        <v>0</v>
      </c>
      <c r="C191" s="93">
        <v>0</v>
      </c>
      <c r="D191" s="38" t="e">
        <v>#DIV/0!</v>
      </c>
      <c r="E191" s="79">
        <v>0</v>
      </c>
      <c r="F191" s="83"/>
      <c r="G191" s="14" t="str">
        <f>"("&amp;$O191&amp;", "&amp;$P191&amp;"]"</f>
        <v>(180, 200]</v>
      </c>
      <c r="H191" s="80">
        <v>1</v>
      </c>
      <c r="I191" s="38" t="e">
        <v>#DIV/0!</v>
      </c>
      <c r="J191" s="38" t="e">
        <v>#DIV/0!</v>
      </c>
      <c r="K191" s="81" t="e">
        <v>#DIV/0!</v>
      </c>
      <c r="L191" s="38" t="e">
        <v>#DIV/0!</v>
      </c>
      <c r="M191" s="38" t="e">
        <v>#DIV/0!</v>
      </c>
      <c r="N191" s="83"/>
      <c r="O191" s="69">
        <v>180</v>
      </c>
      <c r="P191" s="69">
        <v>200</v>
      </c>
      <c r="Q191" s="38" t="e">
        <v>#DIV/0!</v>
      </c>
      <c r="R191" s="38">
        <v>3.4483E-2</v>
      </c>
      <c r="T191" s="38"/>
      <c r="U191" s="84">
        <v>0</v>
      </c>
    </row>
    <row r="192" spans="1:21" x14ac:dyDescent="0.3">
      <c r="A192" s="14" t="str">
        <f>"("&amp;$O192&amp;", "&amp;$P192&amp;"]"</f>
        <v>(200, 250]</v>
      </c>
      <c r="B192" s="93">
        <v>0</v>
      </c>
      <c r="C192" s="93">
        <v>0</v>
      </c>
      <c r="D192" s="38" t="e">
        <v>#DIV/0!</v>
      </c>
      <c r="E192" s="79">
        <v>0</v>
      </c>
      <c r="F192" s="83"/>
      <c r="G192" s="14" t="str">
        <f>"("&amp;$O192&amp;", "&amp;$P192&amp;"]"</f>
        <v>(200, 250]</v>
      </c>
      <c r="H192" s="80">
        <v>1</v>
      </c>
      <c r="I192" s="38" t="e">
        <v>#DIV/0!</v>
      </c>
      <c r="J192" s="38" t="e">
        <v>#DIV/0!</v>
      </c>
      <c r="K192" s="81" t="e">
        <v>#DIV/0!</v>
      </c>
      <c r="L192" s="38" t="e">
        <v>#DIV/0!</v>
      </c>
      <c r="M192" s="38" t="e">
        <v>#DIV/0!</v>
      </c>
      <c r="N192" s="83"/>
      <c r="O192" s="69">
        <v>200</v>
      </c>
      <c r="P192" s="69">
        <v>250</v>
      </c>
      <c r="Q192" s="38" t="e">
        <v>#DIV/0!</v>
      </c>
      <c r="R192" s="38">
        <v>1.3793E-2</v>
      </c>
      <c r="T192" s="38"/>
      <c r="U192" s="84">
        <v>0</v>
      </c>
    </row>
    <row r="193" spans="1:21" x14ac:dyDescent="0.3">
      <c r="A193" s="14" t="str">
        <f>"("&amp;$O193&amp;", "&amp;$P193&amp;"]"</f>
        <v>(250, 300]</v>
      </c>
      <c r="B193" s="93">
        <v>0</v>
      </c>
      <c r="C193" s="93">
        <v>0</v>
      </c>
      <c r="D193" s="38" t="e">
        <v>#DIV/0!</v>
      </c>
      <c r="E193" s="79">
        <v>0</v>
      </c>
      <c r="F193" s="83"/>
      <c r="G193" s="14" t="str">
        <f>"("&amp;$O193&amp;", "&amp;$P193&amp;"]"</f>
        <v>(250, 300]</v>
      </c>
      <c r="H193" s="80">
        <v>1</v>
      </c>
      <c r="I193" s="38" t="e">
        <v>#DIV/0!</v>
      </c>
      <c r="J193" s="38" t="e">
        <v>#DIV/0!</v>
      </c>
      <c r="K193" s="81" t="e">
        <v>#DIV/0!</v>
      </c>
      <c r="L193" s="38" t="e">
        <v>#DIV/0!</v>
      </c>
      <c r="M193" s="38" t="e">
        <v>#DIV/0!</v>
      </c>
      <c r="N193" s="83"/>
      <c r="O193" s="69">
        <v>250</v>
      </c>
      <c r="P193" s="69">
        <v>300</v>
      </c>
      <c r="Q193" s="38" t="e">
        <v>#DIV/0!</v>
      </c>
      <c r="R193" s="38">
        <v>1.3793E-2</v>
      </c>
      <c r="T193" s="38"/>
      <c r="U193" s="84">
        <v>0</v>
      </c>
    </row>
    <row r="194" spans="1:21" x14ac:dyDescent="0.3">
      <c r="A194" s="14" t="str">
        <f>"("&amp;$O194&amp;", "&amp;$P194&amp;"]"</f>
        <v>(300, 350]</v>
      </c>
      <c r="B194" s="93">
        <v>0</v>
      </c>
      <c r="C194" s="93">
        <v>0</v>
      </c>
      <c r="D194" s="38" t="e">
        <v>#DIV/0!</v>
      </c>
      <c r="E194" s="79">
        <v>0</v>
      </c>
      <c r="F194" s="83"/>
      <c r="G194" s="14" t="str">
        <f>"("&amp;$O194&amp;", "&amp;$P194&amp;"]"</f>
        <v>(300, 350]</v>
      </c>
      <c r="H194" s="80">
        <v>1</v>
      </c>
      <c r="I194" s="38" t="e">
        <v>#DIV/0!</v>
      </c>
      <c r="J194" s="38" t="e">
        <v>#DIV/0!</v>
      </c>
      <c r="K194" s="81" t="e">
        <v>#DIV/0!</v>
      </c>
      <c r="L194" s="38" t="e">
        <v>#DIV/0!</v>
      </c>
      <c r="M194" s="38" t="e">
        <v>#DIV/0!</v>
      </c>
      <c r="N194" s="83"/>
      <c r="O194" s="69">
        <v>300</v>
      </c>
      <c r="P194" s="69">
        <v>350</v>
      </c>
      <c r="Q194" s="38" t="e">
        <v>#DIV/0!</v>
      </c>
      <c r="R194" s="38">
        <v>6.8970000000000004E-3</v>
      </c>
      <c r="T194" s="38"/>
      <c r="U194" s="84">
        <v>0</v>
      </c>
    </row>
    <row r="195" spans="1:21" x14ac:dyDescent="0.3">
      <c r="A195" s="14" t="str">
        <f>"("&amp;$O195&amp;", "&amp;$P195&amp;"]"</f>
        <v>(350, 400]</v>
      </c>
      <c r="B195" s="93">
        <v>0</v>
      </c>
      <c r="C195" s="93">
        <v>0</v>
      </c>
      <c r="D195" s="38" t="e">
        <v>#DIV/0!</v>
      </c>
      <c r="E195" s="79">
        <v>0</v>
      </c>
      <c r="F195" s="83"/>
      <c r="G195" s="14" t="str">
        <f>"("&amp;$O195&amp;", "&amp;$P195&amp;"]"</f>
        <v>(350, 400]</v>
      </c>
      <c r="H195" s="80">
        <v>1</v>
      </c>
      <c r="I195" s="38" t="e">
        <v>#DIV/0!</v>
      </c>
      <c r="J195" s="38" t="e">
        <v>#DIV/0!</v>
      </c>
      <c r="K195" s="81" t="e">
        <v>#DIV/0!</v>
      </c>
      <c r="L195" s="38" t="e">
        <v>#DIV/0!</v>
      </c>
      <c r="M195" s="38" t="e">
        <v>#DIV/0!</v>
      </c>
      <c r="N195" s="83"/>
      <c r="O195" s="69">
        <v>350</v>
      </c>
      <c r="P195" s="69">
        <v>400</v>
      </c>
      <c r="Q195" s="38" t="e">
        <v>#DIV/0!</v>
      </c>
      <c r="R195" s="38">
        <v>6.8970000000000004E-3</v>
      </c>
      <c r="T195" s="38"/>
      <c r="U195" s="84">
        <v>0</v>
      </c>
    </row>
    <row r="196" spans="1:21" x14ac:dyDescent="0.3">
      <c r="A196" s="14" t="str">
        <f>"("&amp;$O196&amp;", "&amp;$P196&amp;"]"</f>
        <v>(400, 450]</v>
      </c>
      <c r="B196" s="93">
        <v>0</v>
      </c>
      <c r="C196" s="93">
        <v>0</v>
      </c>
      <c r="D196" s="38" t="e">
        <v>#DIV/0!</v>
      </c>
      <c r="E196" s="79">
        <v>0</v>
      </c>
      <c r="F196" s="83"/>
      <c r="G196" s="14" t="str">
        <f>"("&amp;$O196&amp;", "&amp;$P196&amp;"]"</f>
        <v>(400, 450]</v>
      </c>
      <c r="H196" s="80">
        <v>1</v>
      </c>
      <c r="I196" s="38" t="e">
        <v>#DIV/0!</v>
      </c>
      <c r="J196" s="38" t="e">
        <v>#DIV/0!</v>
      </c>
      <c r="K196" s="81" t="e">
        <v>#DIV/0!</v>
      </c>
      <c r="L196" s="38" t="e">
        <v>#DIV/0!</v>
      </c>
      <c r="M196" s="38" t="e">
        <v>#DIV/0!</v>
      </c>
      <c r="N196" s="83"/>
      <c r="O196" s="69">
        <v>400</v>
      </c>
      <c r="P196" s="69">
        <v>450</v>
      </c>
      <c r="Q196" s="38" t="e">
        <v>#DIV/0!</v>
      </c>
      <c r="R196" s="38">
        <v>0</v>
      </c>
      <c r="T196" s="38"/>
      <c r="U196" s="84">
        <v>0</v>
      </c>
    </row>
    <row r="197" spans="1:21" x14ac:dyDescent="0.3">
      <c r="A197" s="14" t="str">
        <f>"("&amp;$O197&amp;", "&amp;$P197&amp;"]"</f>
        <v>(450, 500]</v>
      </c>
      <c r="B197" s="93">
        <v>0</v>
      </c>
      <c r="C197" s="93">
        <v>0</v>
      </c>
      <c r="D197" s="38" t="e">
        <v>#DIV/0!</v>
      </c>
      <c r="E197" s="79">
        <v>0</v>
      </c>
      <c r="F197" s="83"/>
      <c r="G197" s="14" t="str">
        <f>"("&amp;$O197&amp;", "&amp;$P197&amp;"]"</f>
        <v>(450, 500]</v>
      </c>
      <c r="H197" s="80">
        <v>1</v>
      </c>
      <c r="I197" s="38" t="e">
        <v>#DIV/0!</v>
      </c>
      <c r="J197" s="38" t="e">
        <v>#DIV/0!</v>
      </c>
      <c r="K197" s="81" t="e">
        <v>#DIV/0!</v>
      </c>
      <c r="L197" s="38" t="e">
        <v>#DIV/0!</v>
      </c>
      <c r="M197" s="38" t="e">
        <v>#DIV/0!</v>
      </c>
      <c r="N197" s="83"/>
      <c r="O197" s="69">
        <v>450</v>
      </c>
      <c r="P197" s="69">
        <v>500</v>
      </c>
      <c r="Q197" s="38" t="e">
        <v>#DIV/0!</v>
      </c>
      <c r="R197" s="38">
        <v>0</v>
      </c>
      <c r="T197" s="38"/>
      <c r="U197" s="84">
        <v>0</v>
      </c>
    </row>
    <row r="198" spans="1:21" x14ac:dyDescent="0.3">
      <c r="A198" s="14" t="str">
        <f>"("&amp;$O198&amp;", "&amp;$P198&amp;"]"</f>
        <v>(500, 550]</v>
      </c>
      <c r="B198" s="93">
        <v>0</v>
      </c>
      <c r="C198" s="93">
        <v>0</v>
      </c>
      <c r="D198" s="38" t="e">
        <v>#DIV/0!</v>
      </c>
      <c r="E198" s="79">
        <v>0</v>
      </c>
      <c r="F198" s="83"/>
      <c r="G198" s="14" t="str">
        <f>"("&amp;$O198&amp;", "&amp;$P198&amp;"]"</f>
        <v>(500, 550]</v>
      </c>
      <c r="H198" s="80">
        <v>1</v>
      </c>
      <c r="I198" s="38" t="e">
        <v>#DIV/0!</v>
      </c>
      <c r="J198" s="38" t="e">
        <v>#DIV/0!</v>
      </c>
      <c r="K198" s="81" t="e">
        <v>#DIV/0!</v>
      </c>
      <c r="L198" s="38" t="e">
        <v>#DIV/0!</v>
      </c>
      <c r="M198" s="38" t="e">
        <v>#DIV/0!</v>
      </c>
      <c r="N198" s="83"/>
      <c r="O198" s="69">
        <v>500</v>
      </c>
      <c r="P198" s="69">
        <v>550</v>
      </c>
      <c r="Q198" s="38" t="e">
        <v>#DIV/0!</v>
      </c>
      <c r="R198" s="38">
        <v>0</v>
      </c>
      <c r="T198" s="38"/>
      <c r="U198" s="84">
        <v>0</v>
      </c>
    </row>
    <row r="199" spans="1:21" x14ac:dyDescent="0.3">
      <c r="A199" s="14" t="str">
        <f>"("&amp;$O199&amp;", "&amp;$P199&amp;"]"</f>
        <v>(550, 600]</v>
      </c>
      <c r="B199" s="93">
        <v>0</v>
      </c>
      <c r="C199" s="93">
        <v>0</v>
      </c>
      <c r="D199" s="38" t="e">
        <v>#DIV/0!</v>
      </c>
      <c r="E199" s="79">
        <v>0</v>
      </c>
      <c r="F199" s="83"/>
      <c r="G199" s="14" t="str">
        <f>"("&amp;$O199&amp;", "&amp;$P199&amp;"]"</f>
        <v>(550, 600]</v>
      </c>
      <c r="H199" s="80">
        <v>1</v>
      </c>
      <c r="I199" s="38" t="e">
        <v>#DIV/0!</v>
      </c>
      <c r="J199" s="38" t="e">
        <v>#DIV/0!</v>
      </c>
      <c r="K199" s="81" t="e">
        <v>#DIV/0!</v>
      </c>
      <c r="L199" s="38" t="e">
        <v>#DIV/0!</v>
      </c>
      <c r="M199" s="38" t="e">
        <v>#DIV/0!</v>
      </c>
      <c r="N199" s="83"/>
      <c r="O199" s="69">
        <v>550</v>
      </c>
      <c r="P199" s="69">
        <v>600</v>
      </c>
      <c r="Q199" s="38" t="e">
        <v>#DIV/0!</v>
      </c>
      <c r="R199" s="38">
        <v>0</v>
      </c>
      <c r="T199" s="38"/>
      <c r="U199" s="84">
        <v>0</v>
      </c>
    </row>
    <row r="200" spans="1:21" x14ac:dyDescent="0.3">
      <c r="A200" s="14" t="str">
        <f>"("&amp;$O200&amp;", "&amp;$P200&amp;"]"</f>
        <v>(600, 650]</v>
      </c>
      <c r="B200" s="93">
        <v>0</v>
      </c>
      <c r="C200" s="93">
        <v>0</v>
      </c>
      <c r="D200" s="38" t="e">
        <v>#DIV/0!</v>
      </c>
      <c r="E200" s="79">
        <v>0</v>
      </c>
      <c r="F200" s="83"/>
      <c r="G200" s="14" t="str">
        <f>"("&amp;$O200&amp;", "&amp;$P200&amp;"]"</f>
        <v>(600, 650]</v>
      </c>
      <c r="H200" s="80">
        <v>1</v>
      </c>
      <c r="I200" s="38" t="e">
        <v>#DIV/0!</v>
      </c>
      <c r="J200" s="38" t="e">
        <v>#DIV/0!</v>
      </c>
      <c r="K200" s="81" t="e">
        <v>#DIV/0!</v>
      </c>
      <c r="L200" s="38" t="e">
        <v>#DIV/0!</v>
      </c>
      <c r="M200" s="38" t="e">
        <v>#DIV/0!</v>
      </c>
      <c r="N200" s="83"/>
      <c r="O200" s="69">
        <v>600</v>
      </c>
      <c r="P200" s="69">
        <v>650</v>
      </c>
      <c r="Q200" s="38" t="e">
        <v>#DIV/0!</v>
      </c>
      <c r="R200" s="38">
        <v>6.8970000000000004E-3</v>
      </c>
      <c r="T200" s="38"/>
      <c r="U200" s="84">
        <v>0</v>
      </c>
    </row>
    <row r="201" spans="1:21" x14ac:dyDescent="0.3">
      <c r="A201" s="14" t="str">
        <f>"("&amp;$O201&amp;", "&amp;$P201&amp;"]"</f>
        <v>(650, 700]</v>
      </c>
      <c r="B201" s="93">
        <v>0</v>
      </c>
      <c r="C201" s="93">
        <v>0</v>
      </c>
      <c r="D201" s="38" t="e">
        <v>#DIV/0!</v>
      </c>
      <c r="E201" s="79">
        <v>0</v>
      </c>
      <c r="F201" s="83"/>
      <c r="G201" s="14" t="str">
        <f>"("&amp;$O201&amp;", "&amp;$P201&amp;"]"</f>
        <v>(650, 700]</v>
      </c>
      <c r="H201" s="80">
        <v>1</v>
      </c>
      <c r="I201" s="38" t="e">
        <v>#DIV/0!</v>
      </c>
      <c r="J201" s="38" t="e">
        <v>#DIV/0!</v>
      </c>
      <c r="K201" s="81" t="e">
        <v>#DIV/0!</v>
      </c>
      <c r="L201" s="38" t="e">
        <v>#DIV/0!</v>
      </c>
      <c r="M201" s="38" t="e">
        <v>#DIV/0!</v>
      </c>
      <c r="N201" s="83"/>
      <c r="O201" s="69">
        <v>650</v>
      </c>
      <c r="P201" s="69">
        <v>700</v>
      </c>
      <c r="Q201" s="38" t="e">
        <v>#DIV/0!</v>
      </c>
      <c r="R201" s="38">
        <v>0</v>
      </c>
      <c r="T201" s="38"/>
      <c r="U201" s="84">
        <v>0</v>
      </c>
    </row>
    <row r="202" spans="1:21" x14ac:dyDescent="0.3">
      <c r="A202" s="14" t="str">
        <f>"("&amp;$O202&amp;", "&amp;$P202&amp;"]"</f>
        <v>(700, 750]</v>
      </c>
      <c r="B202" s="93">
        <v>0</v>
      </c>
      <c r="C202" s="93">
        <v>0</v>
      </c>
      <c r="D202" s="38" t="e">
        <v>#DIV/0!</v>
      </c>
      <c r="E202" s="79">
        <v>0</v>
      </c>
      <c r="F202" s="83"/>
      <c r="G202" s="14" t="str">
        <f>"("&amp;$O202&amp;", "&amp;$P202&amp;"]"</f>
        <v>(700, 750]</v>
      </c>
      <c r="H202" s="80">
        <v>1</v>
      </c>
      <c r="I202" s="38" t="e">
        <v>#DIV/0!</v>
      </c>
      <c r="J202" s="38" t="e">
        <v>#DIV/0!</v>
      </c>
      <c r="K202" s="81" t="e">
        <v>#DIV/0!</v>
      </c>
      <c r="L202" s="38" t="e">
        <v>#DIV/0!</v>
      </c>
      <c r="M202" s="38" t="e">
        <v>#DIV/0!</v>
      </c>
      <c r="N202" s="83"/>
      <c r="O202" s="69">
        <v>700</v>
      </c>
      <c r="P202" s="69">
        <v>750</v>
      </c>
      <c r="Q202" s="38" t="e">
        <v>#DIV/0!</v>
      </c>
      <c r="R202" s="38">
        <v>0</v>
      </c>
      <c r="T202" s="38"/>
      <c r="U202" s="84">
        <v>0</v>
      </c>
    </row>
    <row r="203" spans="1:21" x14ac:dyDescent="0.3">
      <c r="A203" s="14" t="str">
        <f>"("&amp;$O203&amp;", "&amp;$P203&amp;"]"</f>
        <v>(750, 800]</v>
      </c>
      <c r="B203" s="93">
        <v>0</v>
      </c>
      <c r="C203" s="93">
        <v>0</v>
      </c>
      <c r="D203" s="38" t="e">
        <v>#DIV/0!</v>
      </c>
      <c r="E203" s="79">
        <v>0</v>
      </c>
      <c r="F203" s="83"/>
      <c r="G203" s="14" t="str">
        <f>"("&amp;$O203&amp;", "&amp;$P203&amp;"]"</f>
        <v>(750, 800]</v>
      </c>
      <c r="H203" s="80">
        <v>1</v>
      </c>
      <c r="I203" s="38" t="e">
        <v>#DIV/0!</v>
      </c>
      <c r="J203" s="38" t="e">
        <v>#DIV/0!</v>
      </c>
      <c r="K203" s="81" t="e">
        <v>#DIV/0!</v>
      </c>
      <c r="L203" s="38" t="e">
        <v>#DIV/0!</v>
      </c>
      <c r="M203" s="38" t="e">
        <v>#DIV/0!</v>
      </c>
      <c r="N203" s="83"/>
      <c r="O203" s="69">
        <v>750</v>
      </c>
      <c r="P203" s="69">
        <v>800</v>
      </c>
      <c r="Q203" s="38" t="e">
        <v>#DIV/0!</v>
      </c>
      <c r="R203" s="38">
        <v>0</v>
      </c>
      <c r="T203" s="38"/>
      <c r="U203" s="84">
        <v>0</v>
      </c>
    </row>
    <row r="204" spans="1:21" x14ac:dyDescent="0.3">
      <c r="A204" s="14" t="str">
        <f>"("&amp;$O204&amp;", "&amp;$P204&amp;"]"</f>
        <v>(800, 850]</v>
      </c>
      <c r="B204" s="93">
        <v>0</v>
      </c>
      <c r="C204" s="93">
        <v>0</v>
      </c>
      <c r="D204" s="38" t="e">
        <v>#DIV/0!</v>
      </c>
      <c r="E204" s="79">
        <v>0</v>
      </c>
      <c r="F204" s="83"/>
      <c r="G204" s="14" t="str">
        <f>"("&amp;$O204&amp;", "&amp;$P204&amp;"]"</f>
        <v>(800, 850]</v>
      </c>
      <c r="H204" s="80">
        <v>1</v>
      </c>
      <c r="I204" s="38" t="e">
        <v>#DIV/0!</v>
      </c>
      <c r="J204" s="38" t="e">
        <v>#DIV/0!</v>
      </c>
      <c r="K204" s="81" t="e">
        <v>#DIV/0!</v>
      </c>
      <c r="L204" s="38" t="e">
        <v>#DIV/0!</v>
      </c>
      <c r="M204" s="38" t="e">
        <v>#DIV/0!</v>
      </c>
      <c r="N204" s="83"/>
      <c r="O204" s="69">
        <v>800</v>
      </c>
      <c r="P204" s="69">
        <v>850</v>
      </c>
      <c r="Q204" s="38" t="e">
        <v>#DIV/0!</v>
      </c>
      <c r="R204" s="38">
        <v>0</v>
      </c>
      <c r="T204" s="38"/>
      <c r="U204" s="84">
        <v>0</v>
      </c>
    </row>
    <row r="205" spans="1:21" x14ac:dyDescent="0.3">
      <c r="A205" s="14" t="str">
        <f>"("&amp;$O205&amp;", "&amp;$P205&amp;"]"</f>
        <v>(850, 900]</v>
      </c>
      <c r="B205" s="93">
        <v>0</v>
      </c>
      <c r="C205" s="93">
        <v>0</v>
      </c>
      <c r="D205" s="38" t="e">
        <v>#DIV/0!</v>
      </c>
      <c r="E205" s="79">
        <v>0</v>
      </c>
      <c r="F205" s="83"/>
      <c r="G205" s="14" t="str">
        <f>"("&amp;$O205&amp;", "&amp;$P205&amp;"]"</f>
        <v>(850, 900]</v>
      </c>
      <c r="H205" s="80">
        <v>1</v>
      </c>
      <c r="I205" s="38" t="e">
        <v>#DIV/0!</v>
      </c>
      <c r="J205" s="38" t="e">
        <v>#DIV/0!</v>
      </c>
      <c r="K205" s="82" t="e">
        <v>#DIV/0!</v>
      </c>
      <c r="L205" s="38" t="e">
        <v>#DIV/0!</v>
      </c>
      <c r="M205" s="38" t="e">
        <v>#DIV/0!</v>
      </c>
      <c r="N205" s="83"/>
      <c r="O205" s="69">
        <v>850</v>
      </c>
      <c r="P205" s="69">
        <v>900</v>
      </c>
      <c r="Q205" s="38" t="e">
        <v>#DIV/0!</v>
      </c>
      <c r="R205" s="38">
        <v>0</v>
      </c>
      <c r="T205" s="38"/>
      <c r="U205" s="84">
        <v>0</v>
      </c>
    </row>
    <row r="206" spans="1:21" x14ac:dyDescent="0.3">
      <c r="A206" s="14" t="str">
        <f>"("&amp;$O206&amp;", "&amp;$P206&amp;"]"</f>
        <v>(900, 950]</v>
      </c>
      <c r="B206" s="93">
        <v>0</v>
      </c>
      <c r="C206" s="93">
        <v>0</v>
      </c>
      <c r="D206" s="38" t="e">
        <v>#DIV/0!</v>
      </c>
      <c r="E206" s="79">
        <v>0</v>
      </c>
      <c r="F206" s="83"/>
      <c r="G206" s="14" t="str">
        <f>"("&amp;$O206&amp;", "&amp;$P206&amp;"]"</f>
        <v>(900, 950]</v>
      </c>
      <c r="H206" s="80">
        <v>1</v>
      </c>
      <c r="I206" s="38" t="e">
        <v>#DIV/0!</v>
      </c>
      <c r="J206" s="38" t="e">
        <v>#DIV/0!</v>
      </c>
      <c r="K206" s="82" t="e">
        <v>#DIV/0!</v>
      </c>
      <c r="L206" s="38" t="e">
        <v>#DIV/0!</v>
      </c>
      <c r="M206" s="38" t="e">
        <v>#DIV/0!</v>
      </c>
      <c r="N206" s="83"/>
      <c r="O206" s="69">
        <v>900</v>
      </c>
      <c r="P206" s="69">
        <v>950</v>
      </c>
      <c r="Q206" s="38" t="e">
        <v>#DIV/0!</v>
      </c>
      <c r="R206" s="38">
        <v>6.8970000000000004E-3</v>
      </c>
      <c r="T206" s="38"/>
      <c r="U206" s="84">
        <v>0</v>
      </c>
    </row>
    <row r="207" spans="1:21" x14ac:dyDescent="0.3">
      <c r="A207" s="14" t="str">
        <f>"("&amp;$O207&amp;", "&amp;$P207&amp;"]"</f>
        <v>(950, 1000]</v>
      </c>
      <c r="B207" s="93">
        <v>0</v>
      </c>
      <c r="C207" s="93">
        <v>0</v>
      </c>
      <c r="D207" s="38" t="e">
        <v>#DIV/0!</v>
      </c>
      <c r="E207" s="79">
        <v>0</v>
      </c>
      <c r="F207" s="83"/>
      <c r="G207" s="14" t="str">
        <f>"("&amp;$O207&amp;", "&amp;$P207&amp;"]"</f>
        <v>(950, 1000]</v>
      </c>
      <c r="H207" s="80">
        <v>1</v>
      </c>
      <c r="I207" s="38" t="e">
        <v>#DIV/0!</v>
      </c>
      <c r="J207" s="38" t="e">
        <v>#DIV/0!</v>
      </c>
      <c r="K207" s="82" t="e">
        <v>#DIV/0!</v>
      </c>
      <c r="L207" s="38" t="e">
        <v>#DIV/0!</v>
      </c>
      <c r="M207" s="38" t="e">
        <v>#DIV/0!</v>
      </c>
      <c r="N207" s="83"/>
      <c r="O207" s="69">
        <v>950</v>
      </c>
      <c r="P207" s="69">
        <v>1000</v>
      </c>
      <c r="Q207" s="38" t="e">
        <v>#DIV/0!</v>
      </c>
      <c r="R207" s="38">
        <v>0</v>
      </c>
      <c r="T207" s="38"/>
      <c r="U207" s="84">
        <v>0</v>
      </c>
    </row>
    <row r="208" spans="1:21" x14ac:dyDescent="0.3">
      <c r="A208" s="14" t="str">
        <f>"("&amp;$O208&amp;", "&amp;$P208&amp;"]"</f>
        <v>(1000, 2000]</v>
      </c>
      <c r="B208" s="93">
        <v>0</v>
      </c>
      <c r="C208" s="93">
        <v>0</v>
      </c>
      <c r="D208" s="38" t="e">
        <v>#DIV/0!</v>
      </c>
      <c r="E208" s="79">
        <v>0</v>
      </c>
      <c r="F208" s="83"/>
      <c r="G208" s="14" t="str">
        <f>"("&amp;$O208&amp;", "&amp;$P208&amp;"]"</f>
        <v>(1000, 2000]</v>
      </c>
      <c r="H208" s="80">
        <v>1</v>
      </c>
      <c r="I208" s="38" t="e">
        <v>#DIV/0!</v>
      </c>
      <c r="J208" s="38" t="e">
        <v>#DIV/0!</v>
      </c>
      <c r="K208" s="82" t="e">
        <v>#DIV/0!</v>
      </c>
      <c r="L208" s="38" t="e">
        <v>#DIV/0!</v>
      </c>
      <c r="M208" s="38" t="e">
        <v>#DIV/0!</v>
      </c>
      <c r="N208" s="83"/>
      <c r="O208" s="69">
        <v>1000</v>
      </c>
      <c r="P208" s="69">
        <v>2000</v>
      </c>
      <c r="Q208" s="38" t="e">
        <v>#DIV/0!</v>
      </c>
      <c r="R208" s="38">
        <v>0</v>
      </c>
      <c r="T208" s="38"/>
      <c r="U208" s="84">
        <v>0</v>
      </c>
    </row>
    <row r="209" spans="1:21" x14ac:dyDescent="0.3">
      <c r="A209" s="14" t="str">
        <f>"("&amp;$O209&amp;", "&amp;$P209&amp;"]"</f>
        <v>(2000, 3000]</v>
      </c>
      <c r="B209" s="93">
        <v>0</v>
      </c>
      <c r="C209" s="93">
        <v>0</v>
      </c>
      <c r="D209" s="38" t="e">
        <v>#DIV/0!</v>
      </c>
      <c r="E209" s="79">
        <v>0</v>
      </c>
      <c r="F209" s="83"/>
      <c r="G209" s="14" t="str">
        <f>"("&amp;$O209&amp;", "&amp;$P209&amp;"]"</f>
        <v>(2000, 3000]</v>
      </c>
      <c r="H209" s="80">
        <v>1</v>
      </c>
      <c r="I209" s="38" t="e">
        <v>#DIV/0!</v>
      </c>
      <c r="J209" s="38" t="e">
        <v>#DIV/0!</v>
      </c>
      <c r="K209" s="82" t="e">
        <v>#DIV/0!</v>
      </c>
      <c r="L209" s="38" t="e">
        <v>#DIV/0!</v>
      </c>
      <c r="M209" s="38" t="e">
        <v>#DIV/0!</v>
      </c>
      <c r="N209" s="83"/>
      <c r="O209" s="69">
        <v>2000</v>
      </c>
      <c r="P209" s="69">
        <v>3000</v>
      </c>
      <c r="Q209" s="38" t="e">
        <v>#DIV/0!</v>
      </c>
      <c r="R209" s="38">
        <v>0</v>
      </c>
      <c r="T209" s="38"/>
      <c r="U209" s="84">
        <v>0</v>
      </c>
    </row>
    <row r="210" spans="1:21" x14ac:dyDescent="0.3">
      <c r="A210" s="14" t="str">
        <f>"("&amp;$O210&amp;", "&amp;$P210&amp;"]"</f>
        <v>(3000, 4000]</v>
      </c>
      <c r="B210" s="93">
        <v>0</v>
      </c>
      <c r="C210" s="93">
        <v>0</v>
      </c>
      <c r="D210" s="38" t="e">
        <v>#DIV/0!</v>
      </c>
      <c r="E210" s="79">
        <v>0</v>
      </c>
      <c r="F210" s="83"/>
      <c r="G210" s="14" t="str">
        <f>"("&amp;$O210&amp;", "&amp;$P210&amp;"]"</f>
        <v>(3000, 4000]</v>
      </c>
      <c r="H210" s="80">
        <v>1</v>
      </c>
      <c r="I210" s="38" t="e">
        <v>#DIV/0!</v>
      </c>
      <c r="J210" s="38" t="e">
        <v>#DIV/0!</v>
      </c>
      <c r="K210" s="82" t="e">
        <v>#DIV/0!</v>
      </c>
      <c r="L210" s="38" t="e">
        <v>#DIV/0!</v>
      </c>
      <c r="M210" s="38" t="e">
        <v>#DIV/0!</v>
      </c>
      <c r="N210" s="83"/>
      <c r="O210" s="69">
        <v>3000</v>
      </c>
      <c r="P210" s="69">
        <v>4000</v>
      </c>
      <c r="Q210" s="38" t="e">
        <v>#DIV/0!</v>
      </c>
      <c r="R210" s="38">
        <v>0</v>
      </c>
      <c r="T210" s="38"/>
      <c r="U210" s="84">
        <v>0</v>
      </c>
    </row>
    <row r="211" spans="1:21" x14ac:dyDescent="0.3">
      <c r="A211" s="14" t="str">
        <f>"("&amp;$O211&amp;", "&amp;$P211&amp;"]"</f>
        <v>(4000, 5000]</v>
      </c>
      <c r="B211" s="93">
        <v>0</v>
      </c>
      <c r="C211" s="93">
        <v>0</v>
      </c>
      <c r="D211" s="38" t="e">
        <v>#DIV/0!</v>
      </c>
      <c r="E211" s="79">
        <v>0</v>
      </c>
      <c r="F211" s="83"/>
      <c r="G211" s="14" t="str">
        <f>"("&amp;$O211&amp;", "&amp;$P211&amp;"]"</f>
        <v>(4000, 5000]</v>
      </c>
      <c r="H211" s="80">
        <v>1</v>
      </c>
      <c r="I211" s="38" t="e">
        <v>#DIV/0!</v>
      </c>
      <c r="J211" s="38" t="e">
        <v>#DIV/0!</v>
      </c>
      <c r="K211" s="82" t="e">
        <v>#DIV/0!</v>
      </c>
      <c r="L211" s="38" t="e">
        <v>#DIV/0!</v>
      </c>
      <c r="M211" s="38" t="e">
        <v>#DIV/0!</v>
      </c>
      <c r="N211" s="83"/>
      <c r="O211" s="69">
        <v>4000</v>
      </c>
      <c r="P211" s="69">
        <v>5000</v>
      </c>
      <c r="Q211" s="38" t="e">
        <v>#DIV/0!</v>
      </c>
      <c r="R211" s="38">
        <v>0</v>
      </c>
      <c r="T211" s="38"/>
      <c r="U211" s="84">
        <v>0</v>
      </c>
    </row>
    <row r="212" spans="1:21" x14ac:dyDescent="0.3">
      <c r="A212" s="14" t="str">
        <f>"("&amp;$O212&amp;", "&amp;$P212&amp;"]"</f>
        <v>(5000, 6000]</v>
      </c>
      <c r="B212" s="93">
        <v>0</v>
      </c>
      <c r="C212" s="93">
        <v>0</v>
      </c>
      <c r="D212" s="38" t="e">
        <v>#DIV/0!</v>
      </c>
      <c r="E212" s="79">
        <v>0</v>
      </c>
      <c r="F212" s="83"/>
      <c r="G212" s="14" t="str">
        <f>"("&amp;$O212&amp;", "&amp;$P212&amp;"]"</f>
        <v>(5000, 6000]</v>
      </c>
      <c r="H212" s="80">
        <v>1</v>
      </c>
      <c r="I212" s="38" t="e">
        <v>#DIV/0!</v>
      </c>
      <c r="J212" s="38" t="e">
        <v>#DIV/0!</v>
      </c>
      <c r="K212" s="82" t="e">
        <v>#DIV/0!</v>
      </c>
      <c r="L212" s="38" t="e">
        <v>#DIV/0!</v>
      </c>
      <c r="M212" s="38" t="e">
        <v>#DIV/0!</v>
      </c>
      <c r="N212" s="83"/>
      <c r="O212" s="69">
        <v>5000</v>
      </c>
      <c r="P212" s="69">
        <v>6000</v>
      </c>
      <c r="Q212" s="38" t="e">
        <v>#DIV/0!</v>
      </c>
      <c r="R212" s="38">
        <v>0</v>
      </c>
      <c r="T212" s="38"/>
      <c r="U212" s="84">
        <v>0</v>
      </c>
    </row>
    <row r="213" spans="1:21" x14ac:dyDescent="0.3">
      <c r="A213" s="14" t="str">
        <f>"("&amp;$O213&amp;", "&amp;$P213&amp;"]"</f>
        <v>(6000, 7000]</v>
      </c>
      <c r="B213" s="93">
        <v>0</v>
      </c>
      <c r="C213" s="93">
        <v>0</v>
      </c>
      <c r="D213" s="38" t="e">
        <v>#DIV/0!</v>
      </c>
      <c r="E213" s="79">
        <v>0</v>
      </c>
      <c r="F213" s="83"/>
      <c r="G213" s="14" t="str">
        <f>"("&amp;$O213&amp;", "&amp;$P213&amp;"]"</f>
        <v>(6000, 7000]</v>
      </c>
      <c r="H213" s="80">
        <v>1</v>
      </c>
      <c r="I213" s="38" t="e">
        <v>#DIV/0!</v>
      </c>
      <c r="J213" s="38" t="e">
        <v>#DIV/0!</v>
      </c>
      <c r="K213" s="82" t="e">
        <v>#DIV/0!</v>
      </c>
      <c r="L213" s="38" t="e">
        <v>#DIV/0!</v>
      </c>
      <c r="M213" s="38" t="e">
        <v>#DIV/0!</v>
      </c>
      <c r="N213" s="83"/>
      <c r="O213" s="69">
        <v>6000</v>
      </c>
      <c r="P213" s="69">
        <v>7000</v>
      </c>
      <c r="Q213" s="38" t="e">
        <v>#DIV/0!</v>
      </c>
      <c r="R213" s="38">
        <v>0</v>
      </c>
      <c r="T213" s="38"/>
      <c r="U213" s="84">
        <v>0</v>
      </c>
    </row>
    <row r="214" spans="1:21" x14ac:dyDescent="0.3">
      <c r="A214" s="14" t="str">
        <f>"("&amp;$O214&amp;", "&amp;$P214&amp;"]"</f>
        <v>(7000, 8000]</v>
      </c>
      <c r="B214" s="93">
        <v>0</v>
      </c>
      <c r="C214" s="93">
        <v>0</v>
      </c>
      <c r="D214" s="38" t="e">
        <v>#DIV/0!</v>
      </c>
      <c r="E214" s="79">
        <v>0</v>
      </c>
      <c r="F214" s="83"/>
      <c r="G214" s="14" t="str">
        <f>"("&amp;$O214&amp;", "&amp;$P214&amp;"]"</f>
        <v>(7000, 8000]</v>
      </c>
      <c r="H214" s="80">
        <v>1</v>
      </c>
      <c r="I214" s="38" t="e">
        <v>#DIV/0!</v>
      </c>
      <c r="J214" s="38" t="e">
        <v>#DIV/0!</v>
      </c>
      <c r="K214" s="82" t="e">
        <v>#DIV/0!</v>
      </c>
      <c r="L214" s="38" t="e">
        <v>#DIV/0!</v>
      </c>
      <c r="M214" s="38" t="e">
        <v>#DIV/0!</v>
      </c>
      <c r="N214" s="83"/>
      <c r="O214" s="69">
        <v>7000</v>
      </c>
      <c r="P214" s="69">
        <v>8000</v>
      </c>
      <c r="Q214" s="38" t="e">
        <v>#DIV/0!</v>
      </c>
      <c r="R214" s="38">
        <v>0</v>
      </c>
      <c r="T214" s="38"/>
      <c r="U214" s="84">
        <v>0</v>
      </c>
    </row>
    <row r="215" spans="1:21" x14ac:dyDescent="0.3">
      <c r="A215" s="14" t="str">
        <f>"("&amp;$O215&amp;", "&amp;$P215&amp;"]"</f>
        <v>(8000, 9000]</v>
      </c>
      <c r="B215" s="93">
        <v>0</v>
      </c>
      <c r="C215" s="93">
        <v>0</v>
      </c>
      <c r="D215" s="38" t="e">
        <v>#DIV/0!</v>
      </c>
      <c r="E215" s="79">
        <v>0</v>
      </c>
      <c r="F215" s="83"/>
      <c r="G215" s="14" t="str">
        <f>"("&amp;$O215&amp;", "&amp;$P215&amp;"]"</f>
        <v>(8000, 9000]</v>
      </c>
      <c r="H215" s="80">
        <v>1</v>
      </c>
      <c r="I215" s="38" t="e">
        <v>#DIV/0!</v>
      </c>
      <c r="J215" s="38" t="e">
        <v>#DIV/0!</v>
      </c>
      <c r="K215" s="82" t="e">
        <v>#DIV/0!</v>
      </c>
      <c r="L215" s="38" t="e">
        <v>#DIV/0!</v>
      </c>
      <c r="M215" s="38" t="e">
        <v>#DIV/0!</v>
      </c>
      <c r="N215" s="83"/>
      <c r="O215" s="69">
        <v>8000</v>
      </c>
      <c r="P215" s="69">
        <v>9000</v>
      </c>
      <c r="Q215" s="38" t="e">
        <v>#DIV/0!</v>
      </c>
      <c r="R215" s="38">
        <v>0</v>
      </c>
      <c r="T215" s="38"/>
      <c r="U215" s="84">
        <v>0</v>
      </c>
    </row>
    <row r="216" spans="1:21" x14ac:dyDescent="0.3">
      <c r="A216" s="14" t="str">
        <f>"("&amp;$O216&amp;", "&amp;$P216&amp;"]"</f>
        <v>(9000, 10000]</v>
      </c>
      <c r="B216" s="93">
        <v>0</v>
      </c>
      <c r="C216" s="93">
        <v>0</v>
      </c>
      <c r="D216" s="38" t="e">
        <v>#DIV/0!</v>
      </c>
      <c r="E216" s="79">
        <v>0</v>
      </c>
      <c r="F216" s="83"/>
      <c r="G216" s="14" t="str">
        <f>"("&amp;$O216&amp;", "&amp;$P216&amp;"]"</f>
        <v>(9000, 10000]</v>
      </c>
      <c r="H216" s="80">
        <v>1</v>
      </c>
      <c r="I216" s="38" t="e">
        <v>#DIV/0!</v>
      </c>
      <c r="J216" s="38" t="e">
        <v>#DIV/0!</v>
      </c>
      <c r="K216" s="82" t="e">
        <v>#DIV/0!</v>
      </c>
      <c r="L216" s="38" t="e">
        <v>#DIV/0!</v>
      </c>
      <c r="M216" s="38" t="e">
        <v>#DIV/0!</v>
      </c>
      <c r="N216" s="83"/>
      <c r="O216" s="69">
        <v>9000</v>
      </c>
      <c r="P216" s="69">
        <v>10000</v>
      </c>
      <c r="Q216" s="38" t="e">
        <v>#DIV/0!</v>
      </c>
      <c r="R216" s="38">
        <v>0</v>
      </c>
      <c r="T216" s="38"/>
      <c r="U216" s="84">
        <v>0</v>
      </c>
    </row>
    <row r="217" spans="1:21" x14ac:dyDescent="0.3">
      <c r="A217" s="14" t="str">
        <f>"("&amp;$O217&amp;", "&amp;$P217&amp;"]"</f>
        <v>(10000, 20000]</v>
      </c>
      <c r="B217" s="93">
        <v>0</v>
      </c>
      <c r="C217" s="93">
        <v>0</v>
      </c>
      <c r="D217" s="38" t="e">
        <v>#DIV/0!</v>
      </c>
      <c r="E217" s="79">
        <v>0</v>
      </c>
      <c r="F217" s="83"/>
      <c r="G217" s="14" t="str">
        <f>"("&amp;$O217&amp;", "&amp;$P217&amp;"]"</f>
        <v>(10000, 20000]</v>
      </c>
      <c r="H217" s="80">
        <v>1</v>
      </c>
      <c r="I217" s="38" t="e">
        <v>#DIV/0!</v>
      </c>
      <c r="J217" s="38" t="e">
        <v>#DIV/0!</v>
      </c>
      <c r="K217" s="82" t="e">
        <v>#DIV/0!</v>
      </c>
      <c r="L217" s="38" t="e">
        <v>#DIV/0!</v>
      </c>
      <c r="M217" s="38" t="e">
        <v>#DIV/0!</v>
      </c>
      <c r="N217" s="83"/>
      <c r="O217" s="69">
        <v>10000</v>
      </c>
      <c r="P217" s="69">
        <v>20000</v>
      </c>
      <c r="Q217" s="38" t="e">
        <v>#DIV/0!</v>
      </c>
      <c r="R217" s="38">
        <v>0</v>
      </c>
      <c r="T217" s="38"/>
      <c r="U217" s="84">
        <v>0</v>
      </c>
    </row>
    <row r="218" spans="1:21" x14ac:dyDescent="0.3">
      <c r="A218" s="14" t="str">
        <f>"("&amp;$O218&amp;", "&amp;$P218&amp;"]"</f>
        <v>(20000, 30000]</v>
      </c>
      <c r="B218" s="93">
        <v>0</v>
      </c>
      <c r="C218" s="93">
        <v>0</v>
      </c>
      <c r="D218" s="38" t="e">
        <v>#DIV/0!</v>
      </c>
      <c r="E218" s="79">
        <v>0</v>
      </c>
      <c r="F218" s="83"/>
      <c r="G218" s="14" t="str">
        <f>"("&amp;$O218&amp;", "&amp;$P218&amp;"]"</f>
        <v>(20000, 30000]</v>
      </c>
      <c r="H218" s="80">
        <v>1</v>
      </c>
      <c r="I218" s="38" t="e">
        <v>#DIV/0!</v>
      </c>
      <c r="J218" s="38" t="e">
        <v>#DIV/0!</v>
      </c>
      <c r="K218" s="82" t="e">
        <v>#DIV/0!</v>
      </c>
      <c r="L218" s="38" t="e">
        <v>#DIV/0!</v>
      </c>
      <c r="M218" s="38" t="e">
        <v>#DIV/0!</v>
      </c>
      <c r="N218" s="83"/>
      <c r="O218" s="69">
        <v>20000</v>
      </c>
      <c r="P218" s="69">
        <v>30000</v>
      </c>
      <c r="Q218" s="38" t="e">
        <v>#DIV/0!</v>
      </c>
      <c r="R218" s="38">
        <v>0</v>
      </c>
      <c r="T218" s="38"/>
      <c r="U218" s="84">
        <v>0</v>
      </c>
    </row>
    <row r="219" spans="1:21" x14ac:dyDescent="0.3">
      <c r="A219" s="14" t="str">
        <f>"("&amp;$O219&amp;", "&amp;$P219&amp;"]"</f>
        <v>(30000, 40000]</v>
      </c>
      <c r="B219" s="93">
        <v>0</v>
      </c>
      <c r="C219" s="93">
        <v>0</v>
      </c>
      <c r="D219" s="38" t="e">
        <v>#DIV/0!</v>
      </c>
      <c r="E219" s="79">
        <v>0</v>
      </c>
      <c r="F219" s="83"/>
      <c r="G219" s="14" t="str">
        <f>"("&amp;$O219&amp;", "&amp;$P219&amp;"]"</f>
        <v>(30000, 40000]</v>
      </c>
      <c r="H219" s="80">
        <v>1</v>
      </c>
      <c r="I219" s="38" t="e">
        <v>#DIV/0!</v>
      </c>
      <c r="J219" s="38" t="e">
        <v>#DIV/0!</v>
      </c>
      <c r="K219" s="82" t="e">
        <v>#DIV/0!</v>
      </c>
      <c r="L219" s="38" t="e">
        <v>#DIV/0!</v>
      </c>
      <c r="M219" s="38" t="e">
        <v>#DIV/0!</v>
      </c>
      <c r="N219" s="83"/>
      <c r="O219" s="69">
        <v>30000</v>
      </c>
      <c r="P219" s="69">
        <v>40000</v>
      </c>
      <c r="Q219" s="38" t="e">
        <v>#DIV/0!</v>
      </c>
      <c r="R219" s="38">
        <v>0</v>
      </c>
      <c r="T219" s="38"/>
      <c r="U219" s="84">
        <v>0</v>
      </c>
    </row>
    <row r="220" spans="1:21" x14ac:dyDescent="0.3">
      <c r="A220" s="14" t="str">
        <f>"("&amp;$O220&amp;", "&amp;$P220&amp;"]"</f>
        <v>(40000, 50000]</v>
      </c>
      <c r="B220" s="93">
        <v>0</v>
      </c>
      <c r="C220" s="93">
        <v>0</v>
      </c>
      <c r="D220" s="38" t="e">
        <v>#DIV/0!</v>
      </c>
      <c r="E220" s="79">
        <v>0</v>
      </c>
      <c r="F220" s="83"/>
      <c r="G220" s="14" t="str">
        <f>"("&amp;$O220&amp;", "&amp;$P220&amp;"]"</f>
        <v>(40000, 50000]</v>
      </c>
      <c r="H220" s="80">
        <v>1</v>
      </c>
      <c r="I220" s="38" t="e">
        <v>#DIV/0!</v>
      </c>
      <c r="J220" s="38" t="e">
        <v>#DIV/0!</v>
      </c>
      <c r="K220" s="82" t="e">
        <v>#DIV/0!</v>
      </c>
      <c r="L220" s="38" t="e">
        <v>#DIV/0!</v>
      </c>
      <c r="M220" s="38" t="e">
        <v>#DIV/0!</v>
      </c>
      <c r="N220" s="83"/>
      <c r="O220" s="69">
        <v>40000</v>
      </c>
      <c r="P220" s="69">
        <v>50000</v>
      </c>
      <c r="Q220" s="38" t="e">
        <v>#DIV/0!</v>
      </c>
      <c r="R220" s="38">
        <v>0</v>
      </c>
      <c r="T220" s="38"/>
      <c r="U220" s="84">
        <v>0</v>
      </c>
    </row>
    <row r="221" spans="1:21" x14ac:dyDescent="0.3">
      <c r="A221" s="14" t="str">
        <f>"("&amp;$O221&amp;", "&amp;$P221&amp;"]"</f>
        <v>(50000, 60000]</v>
      </c>
      <c r="B221" s="93">
        <v>0</v>
      </c>
      <c r="C221" s="93">
        <v>0</v>
      </c>
      <c r="D221" s="38" t="e">
        <v>#DIV/0!</v>
      </c>
      <c r="E221" s="79">
        <v>0</v>
      </c>
      <c r="F221" s="83"/>
      <c r="G221" s="14" t="str">
        <f>"("&amp;$O221&amp;", "&amp;$P221&amp;"]"</f>
        <v>(50000, 60000]</v>
      </c>
      <c r="H221" s="80">
        <v>1</v>
      </c>
      <c r="I221" s="38" t="e">
        <v>#DIV/0!</v>
      </c>
      <c r="J221" s="38" t="e">
        <v>#DIV/0!</v>
      </c>
      <c r="K221" s="82" t="e">
        <v>#DIV/0!</v>
      </c>
      <c r="L221" s="38" t="e">
        <v>#DIV/0!</v>
      </c>
      <c r="M221" s="38" t="e">
        <v>#DIV/0!</v>
      </c>
      <c r="N221" s="83"/>
      <c r="O221" s="69">
        <v>50000</v>
      </c>
      <c r="P221" s="69">
        <v>60000</v>
      </c>
      <c r="Q221" s="38" t="e">
        <v>#DIV/0!</v>
      </c>
      <c r="R221" s="38">
        <v>0</v>
      </c>
      <c r="T221" s="38"/>
      <c r="U221" s="84">
        <v>0</v>
      </c>
    </row>
    <row r="222" spans="1:21" x14ac:dyDescent="0.3">
      <c r="A222" s="14" t="str">
        <f>"("&amp;$O222&amp;", "&amp;$P222&amp;"]"</f>
        <v>(60000, 70000]</v>
      </c>
      <c r="B222" s="93">
        <v>0</v>
      </c>
      <c r="C222" s="93">
        <v>0</v>
      </c>
      <c r="D222" s="38" t="e">
        <v>#DIV/0!</v>
      </c>
      <c r="E222" s="79">
        <v>0</v>
      </c>
      <c r="F222" s="83"/>
      <c r="G222" s="14" t="str">
        <f>"("&amp;$O222&amp;", "&amp;$P222&amp;"]"</f>
        <v>(60000, 70000]</v>
      </c>
      <c r="H222" s="80">
        <v>1</v>
      </c>
      <c r="I222" s="38" t="e">
        <v>#DIV/0!</v>
      </c>
      <c r="J222" s="38" t="e">
        <v>#DIV/0!</v>
      </c>
      <c r="K222" s="82" t="e">
        <v>#DIV/0!</v>
      </c>
      <c r="L222" s="38" t="e">
        <v>#DIV/0!</v>
      </c>
      <c r="M222" s="38" t="e">
        <v>#DIV/0!</v>
      </c>
      <c r="N222" s="83"/>
      <c r="O222" s="69">
        <v>60000</v>
      </c>
      <c r="P222" s="69">
        <v>70000</v>
      </c>
      <c r="Q222" s="38" t="e">
        <v>#DIV/0!</v>
      </c>
      <c r="R222" s="38">
        <v>0</v>
      </c>
      <c r="T222" s="38"/>
      <c r="U222" s="84">
        <v>0</v>
      </c>
    </row>
    <row r="223" spans="1:21" x14ac:dyDescent="0.3">
      <c r="A223" s="14" t="str">
        <f>"("&amp;$O223&amp;", "&amp;$P223&amp;"]"</f>
        <v>(70000, 80000]</v>
      </c>
      <c r="B223" s="93">
        <v>0</v>
      </c>
      <c r="C223" s="93">
        <v>0</v>
      </c>
      <c r="D223" s="38" t="e">
        <v>#DIV/0!</v>
      </c>
      <c r="E223" s="79">
        <v>0</v>
      </c>
      <c r="F223" s="83"/>
      <c r="G223" s="14" t="str">
        <f>"("&amp;$O223&amp;", "&amp;$P223&amp;"]"</f>
        <v>(70000, 80000]</v>
      </c>
      <c r="H223" s="80">
        <v>1</v>
      </c>
      <c r="I223" s="38" t="e">
        <v>#DIV/0!</v>
      </c>
      <c r="J223" s="38" t="e">
        <v>#DIV/0!</v>
      </c>
      <c r="K223" s="82" t="e">
        <v>#DIV/0!</v>
      </c>
      <c r="L223" s="38" t="e">
        <v>#DIV/0!</v>
      </c>
      <c r="M223" s="38" t="e">
        <v>#DIV/0!</v>
      </c>
      <c r="N223" s="83"/>
      <c r="O223" s="69">
        <v>70000</v>
      </c>
      <c r="P223" s="69">
        <v>80000</v>
      </c>
      <c r="Q223" s="38" t="e">
        <v>#DIV/0!</v>
      </c>
      <c r="R223" s="38">
        <v>0</v>
      </c>
      <c r="T223" s="38"/>
      <c r="U223" s="84">
        <v>0</v>
      </c>
    </row>
    <row r="224" spans="1:21" x14ac:dyDescent="0.3">
      <c r="A224" s="14" t="str">
        <f>"("&amp;$O224&amp;", "&amp;$P224&amp;"]"</f>
        <v>(80000, 90000]</v>
      </c>
      <c r="B224" s="93">
        <v>0</v>
      </c>
      <c r="C224" s="93">
        <v>0</v>
      </c>
      <c r="D224" s="38" t="e">
        <v>#DIV/0!</v>
      </c>
      <c r="E224" s="79">
        <v>0</v>
      </c>
      <c r="F224" s="83"/>
      <c r="G224" s="14" t="str">
        <f>"("&amp;$O224&amp;", "&amp;$P224&amp;"]"</f>
        <v>(80000, 90000]</v>
      </c>
      <c r="H224" s="80">
        <v>1</v>
      </c>
      <c r="I224" s="38" t="e">
        <v>#DIV/0!</v>
      </c>
      <c r="J224" s="38" t="e">
        <v>#DIV/0!</v>
      </c>
      <c r="K224" s="82" t="e">
        <v>#DIV/0!</v>
      </c>
      <c r="L224" s="38" t="e">
        <v>#DIV/0!</v>
      </c>
      <c r="M224" s="38" t="e">
        <v>#DIV/0!</v>
      </c>
      <c r="N224" s="83"/>
      <c r="O224" s="69">
        <v>80000</v>
      </c>
      <c r="P224" s="69">
        <v>90000</v>
      </c>
      <c r="Q224" s="38" t="e">
        <v>#DIV/0!</v>
      </c>
      <c r="R224" s="38">
        <v>0</v>
      </c>
      <c r="T224" s="38"/>
      <c r="U224" s="84">
        <v>0</v>
      </c>
    </row>
    <row r="225" spans="1:21" x14ac:dyDescent="0.3">
      <c r="A225" s="14" t="str">
        <f>"("&amp;$O225&amp;", "&amp;$P225&amp;"]"</f>
        <v>(90000, 100000]</v>
      </c>
      <c r="B225" s="93">
        <v>0</v>
      </c>
      <c r="C225" s="93">
        <v>0</v>
      </c>
      <c r="D225" s="38" t="e">
        <v>#DIV/0!</v>
      </c>
      <c r="E225" s="79">
        <v>0</v>
      </c>
      <c r="F225" s="83"/>
      <c r="G225" s="14" t="str">
        <f>"("&amp;$O225&amp;", "&amp;$P225&amp;"]"</f>
        <v>(90000, 100000]</v>
      </c>
      <c r="H225" s="80">
        <v>1</v>
      </c>
      <c r="I225" s="38" t="e">
        <v>#DIV/0!</v>
      </c>
      <c r="J225" s="38" t="e">
        <v>#DIV/0!</v>
      </c>
      <c r="K225" s="82" t="e">
        <v>#DIV/0!</v>
      </c>
      <c r="L225" s="38" t="e">
        <v>#DIV/0!</v>
      </c>
      <c r="M225" s="38" t="e">
        <v>#DIV/0!</v>
      </c>
      <c r="N225" s="83"/>
      <c r="O225" s="69">
        <v>90000</v>
      </c>
      <c r="P225" s="69">
        <v>100000</v>
      </c>
      <c r="Q225" s="38" t="e">
        <v>#DIV/0!</v>
      </c>
      <c r="R225" s="38">
        <v>0</v>
      </c>
      <c r="T225" s="38"/>
      <c r="U225" s="84">
        <v>0</v>
      </c>
    </row>
    <row r="226" spans="1:21" x14ac:dyDescent="0.3">
      <c r="A226" s="14" t="str">
        <f>"("&amp;$O226&amp;", "&amp;$P226&amp;"]"</f>
        <v>(100000, 9999999]</v>
      </c>
      <c r="B226" s="93">
        <v>0</v>
      </c>
      <c r="C226" s="93">
        <v>0</v>
      </c>
      <c r="D226" s="38" t="e">
        <v>#DIV/0!</v>
      </c>
      <c r="E226" s="79">
        <v>0</v>
      </c>
      <c r="F226" s="83"/>
      <c r="G226" s="14" t="str">
        <f>"("&amp;$O226&amp;", "&amp;$P226&amp;"]"</f>
        <v>(100000, 9999999]</v>
      </c>
      <c r="H226" s="80">
        <v>1</v>
      </c>
      <c r="I226" s="38" t="e">
        <v>#DIV/0!</v>
      </c>
      <c r="J226" s="38" t="e">
        <v>#DIV/0!</v>
      </c>
      <c r="K226" s="82" t="e">
        <v>#DIV/0!</v>
      </c>
      <c r="L226" s="38" t="e">
        <v>#DIV/0!</v>
      </c>
      <c r="M226" s="38" t="e">
        <v>#DIV/0!</v>
      </c>
      <c r="N226" s="83"/>
      <c r="O226" s="69">
        <v>100000</v>
      </c>
      <c r="P226" s="69">
        <v>9999999</v>
      </c>
      <c r="Q226" s="38" t="e">
        <v>#DIV/0!</v>
      </c>
      <c r="R226" s="38">
        <v>0</v>
      </c>
      <c r="T226" s="38"/>
      <c r="U226" s="84">
        <v>0</v>
      </c>
    </row>
  </sheetData>
  <phoneticPr fontId="20" type="noConversion"/>
  <conditionalFormatting sqref="D79">
    <cfRule type="cellIs" dxfId="4" priority="3" operator="lessThan">
      <formula>0.001</formula>
    </cfRule>
  </conditionalFormatting>
  <conditionalFormatting sqref="D86:D149">
    <cfRule type="cellIs" dxfId="3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2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1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0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144</v>
      </c>
      <c r="C2" s="34">
        <v>10000000000</v>
      </c>
    </row>
    <row r="4" spans="1:3" x14ac:dyDescent="0.3">
      <c r="B4" s="12" t="s">
        <v>6</v>
      </c>
      <c r="C4" s="12" t="s">
        <v>145</v>
      </c>
    </row>
    <row r="5" spans="1:3" x14ac:dyDescent="0.3">
      <c r="A5" s="21"/>
      <c r="B5" s="15" t="s">
        <v>146</v>
      </c>
      <c r="C5" s="22"/>
    </row>
    <row r="6" spans="1:3" x14ac:dyDescent="0.3">
      <c r="B6" s="15" t="s">
        <v>147</v>
      </c>
      <c r="C6" s="22"/>
    </row>
    <row r="7" spans="1:3" x14ac:dyDescent="0.3">
      <c r="A7" s="21"/>
      <c r="B7" s="15" t="s">
        <v>148</v>
      </c>
      <c r="C7" s="22"/>
    </row>
    <row r="8" spans="1:3" x14ac:dyDescent="0.3">
      <c r="B8" s="15" t="s">
        <v>149</v>
      </c>
      <c r="C8" s="22"/>
    </row>
    <row r="9" spans="1:3" x14ac:dyDescent="0.3">
      <c r="A9" s="21"/>
      <c r="B9" s="15" t="s">
        <v>150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Description</vt:lpstr>
      <vt:lpstr>Multiplier_Weight</vt:lpstr>
      <vt:lpstr>Detail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2026-08-07T02:48:49Z</dcterms:modified>
</cp:coreProperties>
</file>