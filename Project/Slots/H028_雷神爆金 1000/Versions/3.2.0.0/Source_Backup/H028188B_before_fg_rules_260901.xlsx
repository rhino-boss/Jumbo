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01A55ADE-9E08-4C91-B307-5D865C68400B}" xr6:coauthVersionLast="47" xr6:coauthVersionMax="47" xr10:uidLastSave="{00000000-0000-0000-0000-000000000000}"/>
  <bookViews>
    <workbookView xWindow="-23460" yWindow="1335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<sst xmlns="http://schemas.openxmlformats.org/spreadsheetml/2006/main" count="289" uniqueCount="129">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</sst>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0.9199997779524085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0.71999982973814702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0.19999994821426148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725030703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154403734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45377700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12823318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8349494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6460872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3487327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3921296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2068460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6297156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48277941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1252591</v>
      </c>
      <c r="E17" s="10">
        <f>Detail!K100</f>
        <v>194895365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600705</v>
      </c>
      <c r="E18" s="10">
        <f>Detail!K101</f>
        <v>69880327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416631</v>
      </c>
      <c r="E19" s="10">
        <f>Detail!K102</f>
        <v>117190727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97049766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79154503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460433</v>
      </c>
      <c r="E22" s="10">
        <f>Detail!K105</f>
        <v>71212050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263685</v>
      </c>
      <c r="E23" s="10">
        <f>Detail!K106</f>
        <v>88338144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38352415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66601059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23135104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46852850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14125180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18647539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8031600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7570601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666147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2673797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0.720000000049407</v>
      </c>
      <c r="D7" s="40">
        <f>SUM(_xlfn.ANCHORARRAY(M86))*F7</f>
        <v>0.160000019953662</v>
      </c>
      <c r="E7" s="41">
        <f>SUM(C7:D7)</f>
        <v>0.880000020003069</v>
      </c>
      <c r="F7" s="42">
        <f>L79</f>
        <v>0.002666667</v>
      </c>
      <c r="G7" s="43">
        <f>1/F7</f>
        <v>374.999953125006</v>
      </c>
      <c r="H7" s="44">
        <f>D7*G7</f>
        <v>59.9999999826233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1.16047799847618</v>
      </c>
      <c r="I15" s="36" cm="1">
        <f t="array" ref="I15:I79">D15:D79*H15:H79</f>
        <v>0.725030703</v>
      </c>
      <c r="J15" s="36" cm="1">
        <f t="array" ref="J15:J78">I15:I78/SUM(I15:I78)</f>
        <v>0.725030703</v>
      </c>
      <c r="K15" s="71" cm="1">
        <f t="array" ref="K15:K79">INT(J15:J79*$B$2)</f>
        <v>725030703</v>
      </c>
      <c r="L15" s="36" cm="1">
        <f t="array" ref="L15:L79">_xlfn.LET(_xlpm.x, K15:K79, _xlpm.x/SUM(_xlpm.x))</f>
        <v>0.723097288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1.07776111794518</v>
      </c>
      <c r="I16" s="36">
        <v>0.154403734</v>
      </c>
      <c r="J16" s="36">
        <v>0.154403734</v>
      </c>
      <c r="K16" s="71">
        <v>154403734</v>
      </c>
      <c r="L16" s="36">
        <v>0.153991991</v>
      </c>
      <c r="M16" s="36">
        <v>0.0667932934303679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0.826069752656573</v>
      </c>
      <c r="I17" s="36">
        <v>0.0453777</v>
      </c>
      <c r="J17" s="36">
        <v>0.0453777</v>
      </c>
      <c r="K17" s="71">
        <v>45377700</v>
      </c>
      <c r="L17" s="36">
        <v>0.045256693</v>
      </c>
      <c r="M17" s="36">
        <v>0.0681338133615779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0.630912310952028</v>
      </c>
      <c r="I18" s="36">
        <v>0.020846903</v>
      </c>
      <c r="J18" s="36">
        <v>0.020846903</v>
      </c>
      <c r="K18" s="71">
        <v>20846903</v>
      </c>
      <c r="L18" s="36">
        <v>0.020791311</v>
      </c>
      <c r="M18" s="36">
        <v>0.0526348985016243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0.560526755320337</v>
      </c>
      <c r="I19" s="36">
        <v>0.012823318</v>
      </c>
      <c r="J19" s="36">
        <v>0.012823318</v>
      </c>
      <c r="K19" s="71">
        <v>12823318</v>
      </c>
      <c r="L19" s="36">
        <v>0.012789122</v>
      </c>
      <c r="M19" s="36">
        <v>0.0451239459462865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0.492038424224231</v>
      </c>
      <c r="I20" s="36">
        <v>0.008349494</v>
      </c>
      <c r="J20" s="36">
        <v>0.008349494</v>
      </c>
      <c r="K20" s="71">
        <v>8349494</v>
      </c>
      <c r="L20" s="36">
        <v>0.008327229</v>
      </c>
      <c r="M20" s="36">
        <v>0.0377435469294766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0.479531624664698</v>
      </c>
      <c r="I21" s="36">
        <v>0.006460872</v>
      </c>
      <c r="J21" s="36">
        <v>0.006460872</v>
      </c>
      <c r="K21" s="71">
        <v>6460872</v>
      </c>
      <c r="L21" s="36">
        <v>0.006443643</v>
      </c>
      <c r="M21" s="36">
        <v>0.0357775709498279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0.327764983996756</v>
      </c>
      <c r="I22" s="36">
        <v>0.003487327</v>
      </c>
      <c r="J22" s="36">
        <v>0.003487327</v>
      </c>
      <c r="K22" s="71">
        <v>3487327</v>
      </c>
      <c r="L22" s="36">
        <v>0.003478027</v>
      </c>
      <c r="M22" s="36">
        <v>0.0226926505894743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0.437953263047196</v>
      </c>
      <c r="I23" s="36">
        <v>0.003921296</v>
      </c>
      <c r="J23" s="36">
        <v>0.003921296</v>
      </c>
      <c r="K23" s="71">
        <v>3921296</v>
      </c>
      <c r="L23" s="36">
        <v>0.003910839</v>
      </c>
      <c r="M23" s="36">
        <v>0.0294580873164661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0.422609857943654</v>
      </c>
      <c r="I24" s="36">
        <v>0.003181347</v>
      </c>
      <c r="J24" s="36">
        <v>0.003181347</v>
      </c>
      <c r="K24" s="71">
        <v>3181347</v>
      </c>
      <c r="L24" s="36">
        <v>0.003172863</v>
      </c>
      <c r="M24" s="36">
        <v>0.0271354462722908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0.332278941075531</v>
      </c>
      <c r="I25" s="36">
        <v>0.00206846</v>
      </c>
      <c r="J25" s="36">
        <v>0.00206846</v>
      </c>
      <c r="K25" s="71">
        <v>2068460</v>
      </c>
      <c r="L25" s="36">
        <v>0.002062944</v>
      </c>
      <c r="M25" s="36">
        <v>0.0196760824140018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0.304065306027848</v>
      </c>
      <c r="I26" s="36">
        <v>0.006297156</v>
      </c>
      <c r="J26" s="36">
        <v>0.006297156</v>
      </c>
      <c r="K26" s="71">
        <v>6297156</v>
      </c>
      <c r="L26" s="36">
        <v>0.006280364</v>
      </c>
      <c r="M26" s="36">
        <v>0.0771243386724486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0.245455168935956</v>
      </c>
      <c r="I27" s="36">
        <v>0.002737899</v>
      </c>
      <c r="J27" s="36">
        <v>0.002737899</v>
      </c>
      <c r="K27" s="71">
        <v>2737899</v>
      </c>
      <c r="L27" s="36">
        <v>0.002730598</v>
      </c>
      <c r="M27" s="36">
        <v>0.0473398263145469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0.229838270735234</v>
      </c>
      <c r="I28" s="36">
        <v>0.001549742</v>
      </c>
      <c r="J28" s="36">
        <v>0.001549742</v>
      </c>
      <c r="K28" s="71">
        <v>1549742</v>
      </c>
      <c r="L28" s="36">
        <v>0.001545609</v>
      </c>
      <c r="M28" s="36">
        <v>0.0345726297546585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0.279662500351646</v>
      </c>
      <c r="I29" s="36">
        <v>0.001252591</v>
      </c>
      <c r="J29" s="36">
        <v>0.001252591</v>
      </c>
      <c r="K29" s="71">
        <v>1252591</v>
      </c>
      <c r="L29" s="36">
        <v>0.001249251</v>
      </c>
      <c r="M29" s="36">
        <v>0.0342246898351738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0.19896711521945</v>
      </c>
      <c r="I30" s="36">
        <v>0.000600705</v>
      </c>
      <c r="J30" s="36">
        <v>0.000600705</v>
      </c>
      <c r="K30" s="71">
        <v>600705</v>
      </c>
      <c r="L30" s="36">
        <v>0.000599103</v>
      </c>
      <c r="M30" s="36">
        <v>0.0194099409396475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0.188719097622026</v>
      </c>
      <c r="I31" s="36">
        <v>0.000416631</v>
      </c>
      <c r="J31" s="36">
        <v>0.000416631</v>
      </c>
      <c r="K31" s="71">
        <v>416631</v>
      </c>
      <c r="L31" s="36">
        <v>0.00041552</v>
      </c>
      <c r="M31" s="36">
        <v>0.0155563739221245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0.155057747150886</v>
      </c>
      <c r="I32" s="36">
        <v>0.000255435</v>
      </c>
      <c r="J32" s="36">
        <v>0.000255435</v>
      </c>
      <c r="K32" s="71">
        <v>255435</v>
      </c>
      <c r="L32" s="36">
        <v>0.000254754</v>
      </c>
      <c r="M32" s="36">
        <v>0.0108110656681863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0.17419128576775</v>
      </c>
      <c r="I33" s="36">
        <v>0.000214569</v>
      </c>
      <c r="J33" s="36">
        <v>0.000214569</v>
      </c>
      <c r="K33" s="71">
        <v>214569</v>
      </c>
      <c r="L33" s="36">
        <v>0.000213997</v>
      </c>
      <c r="M33" s="36">
        <v>0.0101563763339325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0.261285575902162</v>
      </c>
      <c r="I34" s="36">
        <v>0.000460433</v>
      </c>
      <c r="J34" s="36">
        <v>0.000460433</v>
      </c>
      <c r="K34" s="71">
        <v>460433</v>
      </c>
      <c r="L34" s="36">
        <v>0.000459205</v>
      </c>
      <c r="M34" s="36">
        <v>0.0251193082955746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0.236371133650963</v>
      </c>
      <c r="I35" s="36">
        <v>0.000263685</v>
      </c>
      <c r="J35" s="36">
        <v>0.000263685</v>
      </c>
      <c r="K35" s="71">
        <v>263685</v>
      </c>
      <c r="L35" s="36">
        <v>0.000262982</v>
      </c>
      <c r="M35" s="36">
        <v>0.0170108662753921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0.38211756938197</v>
      </c>
      <c r="I79" s="36">
        <v>0.002673797</v>
      </c>
      <c r="J79" s="36">
        <f>I79</f>
        <v>0.002673797</v>
      </c>
      <c r="K79" s="72">
        <v>2673797</v>
      </c>
      <c r="L79" s="36">
        <v>0.002666667</v>
      </c>
      <c r="M79" s="36">
        <v>0.0235052483263272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2.02157901157006</v>
      </c>
      <c r="I99" s="36">
        <v>0.048277941</v>
      </c>
      <c r="J99" s="36">
        <v>0.048277941</v>
      </c>
      <c r="K99" s="71">
        <v>48277941</v>
      </c>
      <c r="L99" s="36">
        <v>0.048277941</v>
      </c>
      <c r="M99" s="36">
        <v>1.08951627960283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7.8955568218765</v>
      </c>
      <c r="I100" s="36">
        <v>0.194895365</v>
      </c>
      <c r="J100" s="36">
        <v>0.194895365</v>
      </c>
      <c r="K100" s="71">
        <v>194895365</v>
      </c>
      <c r="L100" s="36">
        <v>0.194895365</v>
      </c>
      <c r="M100" s="36">
        <v>5.37286513836038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2.84872243803856</v>
      </c>
      <c r="I101" s="36">
        <v>0.069880327</v>
      </c>
      <c r="J101" s="36">
        <v>0.069880327</v>
      </c>
      <c r="K101" s="71">
        <v>69880327</v>
      </c>
      <c r="L101" s="36">
        <v>0.069880327</v>
      </c>
      <c r="M101" s="36">
        <v>2.27513363068279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4.74699951893256</v>
      </c>
      <c r="I102" s="36">
        <v>0.117190727</v>
      </c>
      <c r="J102" s="36">
        <v>0.117190727</v>
      </c>
      <c r="K102" s="71">
        <v>117190727</v>
      </c>
      <c r="L102" s="36">
        <v>0.117190727</v>
      </c>
      <c r="M102" s="36">
        <v>4.40091242974426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3.98918994888323</v>
      </c>
      <c r="I103" s="36">
        <v>0.097049766</v>
      </c>
      <c r="J103" s="36">
        <v>0.097049766</v>
      </c>
      <c r="K103" s="71">
        <v>97049766</v>
      </c>
      <c r="L103" s="36">
        <v>0.097049766</v>
      </c>
      <c r="M103" s="36">
        <v>4.12958649528127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3.29595638763096</v>
      </c>
      <c r="I104" s="36">
        <v>0.079154503</v>
      </c>
      <c r="J104" s="36">
        <v>0.079154503</v>
      </c>
      <c r="K104" s="71">
        <v>79154503</v>
      </c>
      <c r="L104" s="36">
        <v>0.079154503</v>
      </c>
      <c r="M104" s="36">
        <v>3.76343568969663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1.53950031403937</v>
      </c>
      <c r="I105" s="36">
        <v>0.07121205</v>
      </c>
      <c r="J105" s="36">
        <v>0.07121205</v>
      </c>
      <c r="K105" s="71">
        <v>71212050</v>
      </c>
      <c r="L105" s="36">
        <v>0.07121205</v>
      </c>
      <c r="M105" s="36">
        <v>3.91759728824916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2.01519168038652</v>
      </c>
      <c r="I106" s="36">
        <v>0.088338144</v>
      </c>
      <c r="J106" s="36">
        <v>0.088338144</v>
      </c>
      <c r="K106" s="71">
        <v>88338144</v>
      </c>
      <c r="L106" s="36">
        <v>0.088338144</v>
      </c>
      <c r="M106" s="36">
        <v>5.74259736845423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0.921706033678132</v>
      </c>
      <c r="I107" s="36">
        <v>0.038352415</v>
      </c>
      <c r="J107" s="36">
        <v>0.038352415</v>
      </c>
      <c r="K107" s="71">
        <v>38352415</v>
      </c>
      <c r="L107" s="36">
        <v>0.038352415</v>
      </c>
      <c r="M107" s="36">
        <v>2.87637042712656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1.71196202012565</v>
      </c>
      <c r="I108" s="36">
        <v>0.066601059</v>
      </c>
      <c r="J108" s="36">
        <v>0.066601059</v>
      </c>
      <c r="K108" s="71">
        <v>66601059</v>
      </c>
      <c r="L108" s="36">
        <v>0.066601059</v>
      </c>
      <c r="M108" s="36">
        <v>5.66024143678527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0.638153583308406</v>
      </c>
      <c r="I109" s="79">
        <v>0.023135104</v>
      </c>
      <c r="J109" s="79">
        <v>0.023135104</v>
      </c>
      <c r="K109" s="71">
        <v>23135104</v>
      </c>
      <c r="L109" s="79">
        <v>0.023135104</v>
      </c>
      <c r="M109" s="79">
        <v>2.19785363979459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0.717708349510063</v>
      </c>
      <c r="I110" s="79">
        <v>0.04685285</v>
      </c>
      <c r="J110" s="79">
        <v>0.04685285</v>
      </c>
      <c r="K110" s="71">
        <v>46852850</v>
      </c>
      <c r="L110" s="79">
        <v>0.04685285</v>
      </c>
      <c r="M110" s="79">
        <v>5.1459976827777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0.249709670707379</v>
      </c>
      <c r="I111" s="79">
        <v>0.01412518</v>
      </c>
      <c r="J111" s="79">
        <v>0.01412518</v>
      </c>
      <c r="K111" s="71">
        <v>14125180</v>
      </c>
      <c r="L111" s="79">
        <v>0.01412518</v>
      </c>
      <c r="M111" s="79">
        <v>1.83363184613164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0.379828034028326</v>
      </c>
      <c r="I112" s="79">
        <v>0.018647539</v>
      </c>
      <c r="J112" s="79">
        <v>0.018647539</v>
      </c>
      <c r="K112" s="71">
        <v>18647539</v>
      </c>
      <c r="L112" s="79">
        <v>0.018647539</v>
      </c>
      <c r="M112" s="79">
        <v>2.79347694884015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0.188192785519107</v>
      </c>
      <c r="I113" s="79">
        <v>0.0080316</v>
      </c>
      <c r="J113" s="79">
        <v>0.0080316</v>
      </c>
      <c r="K113" s="71">
        <v>8031600</v>
      </c>
      <c r="L113" s="79">
        <v>0.0080316</v>
      </c>
      <c r="M113" s="79">
        <v>1.36383097702526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0.205057269908356</v>
      </c>
      <c r="I114" s="79">
        <v>0.007570601</v>
      </c>
      <c r="J114" s="79">
        <v>0.007570601</v>
      </c>
      <c r="K114" s="71">
        <v>7570601</v>
      </c>
      <c r="L114" s="79">
        <v>0.007570601</v>
      </c>
      <c r="M114" s="79">
        <v>1.43695265933237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0.0383726457344842</v>
      </c>
      <c r="I120" s="79">
        <v>0.000666147</v>
      </c>
      <c r="J120" s="79">
        <v>0.000666147</v>
      </c>
      <c r="K120" s="71">
        <v>666147</v>
      </c>
      <c r="L120" s="79">
        <v>0.000666147</v>
      </c>
      <c r="M120" s="79">
        <v>0.315789688369241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2026-08-11T02:25:07Z</dcterms:modified>
</cp:coreProperties>
</file>