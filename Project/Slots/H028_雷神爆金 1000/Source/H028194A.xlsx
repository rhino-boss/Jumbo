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4C8DE0F1-08E8-4D56-AA97-5343C479032A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Overview" sheetId="1" r:id="rId1"/>
    <sheet name="Description" sheetId="2" state="hidden" r:id="rId2"/>
    <sheet name="Multiplier_Weight" sheetId="3" r:id="rId3"/>
    <sheet name="Detail" sheetId="5" r:id="rId4"/>
    <sheet name="Detail_Newbie" sheetId="6" r:id="rId5"/>
    <sheet name="OP Jackpot" sheetId="4" r:id="rId6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<sst xmlns="http://schemas.openxmlformats.org/spreadsheetml/2006/main" count="352" uniqueCount="191">
  <si>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</si>
  <si>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</si>
  <si>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</si>
  <si>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</si>
  <si>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</si>
  <si>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</si>
  <si>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</si>
  <si>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</si>
  <si>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</si>
  <si>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</si>
  <si>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</si>
  <si>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</si>
  <si>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</si>
  <si>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</si>
  <si>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</si>
  <si>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7. BG 流程對應</t>
  </si>
  <si>
    <t xml:space="preserve">  7.1 BG 開局流程</t>
  </si>
  <si>
    <t xml:space="preserve">  BG 每局的主要參數流程如下：</t>
  </si>
  <si>
    <t xml:space="preserve">    1. 先用 Table Selection Weight - Base Game 選出 BG table。</t>
  </si>
  <si>
    <t xml:space="preserve">    2. 再用該 strip 的 Symbol Weight R1~R5 抽停輪位置。</t>
  </si>
  <si>
    <t xml:space="preserve">    3. 依 Symbol ID R1~R5 生成初始盤面。</t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</si>
  <si>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</si>
  <si>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</si>
  <si>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6. 若沒命中特殊池：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</si>
  <si>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</si>
  <si>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</si>
  <si>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7. 再用 Eliminate Table Weight 決定本局是掉落表 A 或 B。</t>
  </si>
  <si>
    <t xml:space="preserve">  7.2 BG cascade 流程</t>
  </si>
  <si>
    <t xml:space="preserve">  </t>
  </si>
  <si>
    <t xml:space="preserve">  BG 發生消除後：</t>
  </si>
  <si>
    <t xml:space="preserve">    1. 一般命中符號會移除。</t>
  </si>
  <si>
    <t xml:space="preserve">    2. 命中的彩虹框會把自身倍率加進最終倍率和，並轉成 WW 留在盤面。</t>
  </si>
  <si>
    <t xml:space="preserve">    3. 新補進來的符號由 Eliminate Wheel Weight A 或 Eliminate Wheel Weight B 決定。</t>
  </si>
  <si>
    <t xml:space="preserve">    4. 若新補進來的是彩虹框：</t>
  </si>
  <si>
    <t xml:space="preserve">      - 且是 BG_Symbol (2) 則第 3 輪用 Multiple Selection Weight - Reel3 After Eliminate</t>
  </si>
  <si>
    <t xml:space="preserve">      - 其他輪用 Multiple Selection Weight - After Eliminate</t>
  </si>
  <si>
    <t xml:space="preserve">  7.3 BG 與 FG 觸發關係</t>
  </si>
  <si>
    <t xml:space="preserve">    1. BG 盤面上的 C1 數量若達 3 個以上，就觸發 FG。</t>
  </si>
  <si>
    <t xml:space="preserve">    2. FG 次數 = 15 + (scatter_count - 3) * 2</t>
  </si>
  <si>
    <t>8. FG 流程對應</t>
  </si>
  <si>
    <t xml:space="preserve">  8.1 FG table 切換規則</t>
  </si>
  <si>
    <t xml:space="preserve">  FG 的 table 不是靠 Table_FG 權重抽，而是依 FG 累積倍率和切換：</t>
  </si>
  <si>
    <t xml:space="preserve">    - 累積倍率和 &lt; 10：用 FG_strip</t>
  </si>
  <si>
    <t xml:space="preserve">    - 累積倍率和 &lt; 20：用 FG_strip (2)</t>
  </si>
  <si>
    <t xml:space="preserve">    - 累積倍率和 &gt;= 20：用 FG_strip (3)</t>
  </si>
  <si>
    <t xml:space="preserve">  8.2 FG 開局流程</t>
  </si>
  <si>
    <t xml:space="preserve">  FG 每局的主要參數流程如下：</t>
  </si>
  <si>
    <t xml:space="preserve">  1. 依當前 累積倍率 選擇 FG table。</t>
  </si>
  <si>
    <t xml:space="preserve">  2. 用該 table 的 Symbol Weight R1~R5 與 Symbol ID R1~R5 生成盤面。</t>
  </si>
  <si>
    <t xml:space="preserve">  3. 初始彩虹框倍率分配：</t>
  </si>
  <si>
    <t xml:space="preserve">    - 第 3 輪用 Multiple Selection Weight - Reel3 Before Eliminate</t>
  </si>
  <si>
    <t xml:space="preserve">    - 其他輪用 Multiple Selection Weight - Before Eliminate</t>
  </si>
  <si>
    <t xml:space="preserve">  5. 用 Eliminate Table Weight 決定本局掉落表 A 或 B。</t>
  </si>
  <si>
    <t xml:space="preserve">  8.3 FG cascade 與倍率累加</t>
  </si>
  <si>
    <t xml:space="preserve">  FG 消除後：</t>
  </si>
  <si>
    <t xml:space="preserve">  1. 命中的彩虹框一樣會把倍率加到 累積倍率</t>
  </si>
  <si>
    <t xml:space="preserve">  2. 該累積值會帶到下一個 FG spin，作為下一局 table 切換條件。</t>
  </si>
  <si>
    <t xml:space="preserve">  3. 新補進來彩虹框的倍率來源：</t>
  </si>
  <si>
    <t xml:space="preserve">    - 第 3 輪用 Multiple Selection Weight - Reel3 After Eliminate</t>
  </si>
  <si>
    <t xml:space="preserve">    - 其他輪用 Multiple Selection Weight - After Eliminate</t>
  </si>
  <si>
    <t xml:space="preserve">  8.4 FG 再觸發</t>
  </si>
  <si>
    <t xml:space="preserve">    1. FG 內若再次出現 C1 &gt;= 3，會再加 15 + (scatter_count - 3) * 2</t>
  </si>
  <si>
    <t xml:space="preserve">    2. 但總剩餘 FG 次數會被 fg_spin_cap = 50 封頂</t>
  </si>
  <si>
    <t>9. 流程</t>
  </si>
  <si>
    <t xml:space="preserve">  1. Spin (啟動)</t>
  </si>
  <si>
    <t xml:space="preserve">  2. 決定畫面 (依據 Table/Symbol 權重)</t>
  </si>
  <si>
    <t xml:space="preserve">  3. 判定倍數 (初始彩虹框/Special Pool)</t>
  </si>
  <si>
    <t xml:space="preserve">  4. 算分 (計算中獎連線)</t>
  </si>
  <si>
    <t xml:space="preserve">  5. 消除循環 (消除中獎符號，新符號掉落並判定新彩虹框倍數)</t>
  </si>
  <si>
    <t xml:space="preserve">  6. 算分循環 (重複檢查連線)</t>
  </si>
  <si>
    <t xml:space="preserve">  7. 結算 (加總總得分)</t>
  </si>
  <si>
    <t>10. 注意</t>
  </si>
  <si>
    <t xml:space="preserve">  1. 倍數會直到該次 spin 消除完後再作用到該次 spin 的總得分</t>
  </si>
  <si>
    <t xml:space="preserve">  2. FG 滿足條件"蒐集到倍數"累積倍數才會作用</t>
  </si>
  <si>
    <t xml:space="preserve">  3. 每一輪最多出現一個 SC</t>
  </si>
  <si>
    <t xml:space="preserve">  4. BG_Symbol (2): 觸發全部都是彩虹框用的表。</t>
  </si>
  <si>
    <t xml:space="preserve">  5. BG_Symbol (3): 觸發 FG 用的表。得分少、C1 多，盡量不要有倍數百搭參與 → 控制進 FG 時的得分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</si>
  <si>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</si>
  <si>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</si>
  <si>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</si>
  <si>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</si>
  <si>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</si>
  <si>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</si>
  <si>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</si>
  <si>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</si>
  <si>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</si>
  <si>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</si>
  <si>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</si>
  <si>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</si>
  <si>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</si>
  <si>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</si>
  <si>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</si>
  <si>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</si>
  <si>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</si>
  <si>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</si>
  <si>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</si>
  <si>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</si>
  <si>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</si>
  <si>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</si>
  <si>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</si>
  <si>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</si>
  <si>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</si>
  <si>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</si>
  <si>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</si>
  <si>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</si>
  <si>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</si>
  <si>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</si>
  <si>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</si>
  <si>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</si>
  <si>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</si>
  <si>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</si>
  <si>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</si>
  <si>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</si>
  <si>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</si>
  <si>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</si>
  <si>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</si>
  <si>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</si>
  <si>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</si>
  <si>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</si>
  <si>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</si>
  <si>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</si>
  <si>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</si>
  <si>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</si>
  <si>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</si>
  <si>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</si>
  <si>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</si>
  <si>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</si>
  <si>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</si>
  <si>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</si>
  <si>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</si>
  <si>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</si>
  <si>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</si>
  <si>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</si>
  <si>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</si>
  <si>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</si>
  <si>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</si>
  <si>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</si>
  <si>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</si>
  <si>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</si>
  <si>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</si>
  <si>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</si>
  <si>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</si>
  <si>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</si>
  <si>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</si>
  <si>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</si>
  <si>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</si>
  <si>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</si>
  <si>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</si>
  <si>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</si>
  <si>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</si>
  <si>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</si>
  <si>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</si>
  <si>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</si>
  <si>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</si>
  <si>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</si>
  <si>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</si>
  <si>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</si>
  <si>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</si>
  <si>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</si>
  <si>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</si>
  <si>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</si>
  <si>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</si>
  <si>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</si>
  <si>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</si>
  <si>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</si>
  <si>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</si>
  <si>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</si>
  <si>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</si>
  <si>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</si>
  <si>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</si>
  <si>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</si>
  <si>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</si>
  <si>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</si>
  <si>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</si>
  <si>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</si>
  <si>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</si>
  <si>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</si>
  <si>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</si>
  <si>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</si>
  <si>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</si>
  <si>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</si>
  <si>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</si>
  <si>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</si>
  <si>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</si>
  <si>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</si>
  <si>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</si>
  <si>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</si>
  <si>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</si>
  <si>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</si>
  <si>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</si>
  <si>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2.1.0.0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</si>
</sst>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183</v>
      </c>
      <c r="B2" s="98" t="s">
        <v>184</v>
      </c>
    </row>
    <row r="3" spans="1:10" x14ac:dyDescent="0.3">
      <c r="A3" s="3" t="s">
        <v>0</v>
      </c>
      <c r="B3" s="24" t="inlineStr">
        <is>
          <t>2.0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159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0.939999758710936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0.71999981083202502</v>
      </c>
      <c r="C17" s="101">
        <f>1/D17</f>
        <v>3.333332781844436E-3</v>
      </c>
      <c r="D17" s="104">
        <f>Detail!G7</f>
        <v>300.00004963400897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0.219999947878911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/>
  <dimension ref="B3:B83"/>
  <sheetViews>
    <sheetView topLeftCell="A4" workbookViewId="0"/>
  </sheetViews>
  <sheetFormatPr defaultRowHeight="15.6" x14ac:dyDescent="0.3"/>
  <cols>
    <col min="1" max="2" width="8.88671875" style="4" customWidth="1"/>
    <col min="3" max="16384" width="8.88671875" style="4"/>
  </cols>
  <sheetData>
    <row r="3" spans="2:2" x14ac:dyDescent="0.3">
      <c r="B3" s="4" t="s">
        <v>15</v>
      </c>
    </row>
    <row r="5" spans="2:2" x14ac:dyDescent="0.3">
      <c r="B5" s="4" t="s">
        <v>16</v>
      </c>
    </row>
    <row r="7" spans="2:2" x14ac:dyDescent="0.3">
      <c r="B7" s="4" t="s">
        <v>17</v>
      </c>
    </row>
    <row r="8" spans="2:2" x14ac:dyDescent="0.3">
      <c r="B8" s="4" t="s">
        <v>18</v>
      </c>
    </row>
    <row r="9" spans="2:2" x14ac:dyDescent="0.3">
      <c r="B9" s="4" t="s">
        <v>19</v>
      </c>
    </row>
    <row r="10" spans="2:2" x14ac:dyDescent="0.3">
      <c r="B10" s="4" t="s">
        <v>20</v>
      </c>
    </row>
    <row r="11" spans="2:2" x14ac:dyDescent="0.3">
      <c r="B11" s="4" t="s">
        <v>21</v>
      </c>
    </row>
    <row r="12" spans="2:2" x14ac:dyDescent="0.3">
      <c r="B12" s="4" t="s">
        <v>22</v>
      </c>
    </row>
    <row r="13" spans="2:2" x14ac:dyDescent="0.3">
      <c r="B13" s="4" t="s">
        <v>23</v>
      </c>
    </row>
    <row r="14" spans="2:2" x14ac:dyDescent="0.3">
      <c r="B14" s="4" t="s">
        <v>24</v>
      </c>
    </row>
    <row r="15" spans="2:2" x14ac:dyDescent="0.3">
      <c r="B15" s="4" t="s">
        <v>25</v>
      </c>
    </row>
    <row r="16" spans="2:2" x14ac:dyDescent="0.3">
      <c r="B16" s="4" t="s">
        <v>26</v>
      </c>
    </row>
    <row r="18" spans="2:2" x14ac:dyDescent="0.3">
      <c r="B18" s="4" t="s">
        <v>27</v>
      </c>
    </row>
    <row r="19" spans="2:2" x14ac:dyDescent="0.3">
      <c r="B19" s="4" t="s">
        <v>28</v>
      </c>
    </row>
    <row r="20" spans="2:2" x14ac:dyDescent="0.3">
      <c r="B20" s="4" t="s">
        <v>29</v>
      </c>
    </row>
    <row r="21" spans="2:2" x14ac:dyDescent="0.3">
      <c r="B21" s="4" t="s">
        <v>30</v>
      </c>
    </row>
    <row r="22" spans="2:2" x14ac:dyDescent="0.3">
      <c r="B22" s="4" t="s">
        <v>31</v>
      </c>
    </row>
    <row r="23" spans="2:2" x14ac:dyDescent="0.3">
      <c r="B23" s="4" t="s">
        <v>32</v>
      </c>
    </row>
    <row r="24" spans="2:2" x14ac:dyDescent="0.3">
      <c r="B24" s="4" t="s">
        <v>33</v>
      </c>
    </row>
    <row r="25" spans="2:2" x14ac:dyDescent="0.3">
      <c r="B25" s="4" t="s">
        <v>34</v>
      </c>
    </row>
    <row r="26" spans="2:2" x14ac:dyDescent="0.3">
      <c r="B26" s="4" t="s">
        <v>35</v>
      </c>
    </row>
    <row r="28" spans="2:2" x14ac:dyDescent="0.3">
      <c r="B28" s="4" t="s">
        <v>36</v>
      </c>
    </row>
    <row r="30" spans="2:2" x14ac:dyDescent="0.3">
      <c r="B30" s="4" t="s">
        <v>37</v>
      </c>
    </row>
    <row r="31" spans="2:2" x14ac:dyDescent="0.3">
      <c r="B31" s="4" t="s">
        <v>38</v>
      </c>
    </row>
    <row r="33" spans="2:2" x14ac:dyDescent="0.3">
      <c r="B33" s="4" t="s">
        <v>39</v>
      </c>
    </row>
    <row r="35" spans="2:2" x14ac:dyDescent="0.3">
      <c r="B35" s="4" t="s">
        <v>40</v>
      </c>
    </row>
    <row r="37" spans="2:2" x14ac:dyDescent="0.3">
      <c r="B37" s="4" t="s">
        <v>41</v>
      </c>
    </row>
    <row r="38" spans="2:2" x14ac:dyDescent="0.3">
      <c r="B38" s="4" t="s">
        <v>42</v>
      </c>
    </row>
    <row r="39" spans="2:2" x14ac:dyDescent="0.3">
      <c r="B39" s="4" t="s">
        <v>43</v>
      </c>
    </row>
    <row r="40" spans="2:2" x14ac:dyDescent="0.3">
      <c r="B40" s="4" t="s">
        <v>44</v>
      </c>
    </row>
    <row r="42" spans="2:2" x14ac:dyDescent="0.3">
      <c r="B42" s="4" t="s">
        <v>45</v>
      </c>
    </row>
    <row r="43" spans="2:2" x14ac:dyDescent="0.3">
      <c r="B43" s="4" t="s">
        <v>28</v>
      </c>
    </row>
    <row r="44" spans="2:2" x14ac:dyDescent="0.3">
      <c r="B44" s="4" t="s">
        <v>46</v>
      </c>
    </row>
    <row r="46" spans="2:2" x14ac:dyDescent="0.3">
      <c r="B46" s="4" t="s">
        <v>47</v>
      </c>
    </row>
    <row r="47" spans="2:2" x14ac:dyDescent="0.3">
      <c r="B47" s="4" t="s">
        <v>48</v>
      </c>
    </row>
    <row r="48" spans="2:2" x14ac:dyDescent="0.3">
      <c r="B48" s="4" t="s">
        <v>49</v>
      </c>
    </row>
    <row r="49" spans="2:2" x14ac:dyDescent="0.3">
      <c r="B49" s="4" t="s">
        <v>50</v>
      </c>
    </row>
    <row r="50" spans="2:2" x14ac:dyDescent="0.3">
      <c r="B50" s="4" t="s">
        <v>51</v>
      </c>
    </row>
    <row r="51" spans="2:2" x14ac:dyDescent="0.3">
      <c r="B51" s="4" t="s">
        <v>52</v>
      </c>
    </row>
    <row r="53" spans="2:2" x14ac:dyDescent="0.3">
      <c r="B53" s="4" t="s">
        <v>53</v>
      </c>
    </row>
    <row r="55" spans="2:2" x14ac:dyDescent="0.3">
      <c r="B55" s="4" t="s">
        <v>54</v>
      </c>
    </row>
    <row r="56" spans="2:2" x14ac:dyDescent="0.3">
      <c r="B56" s="4" t="s">
        <v>55</v>
      </c>
    </row>
    <row r="57" spans="2:2" x14ac:dyDescent="0.3">
      <c r="B57" s="4" t="s">
        <v>56</v>
      </c>
    </row>
    <row r="58" spans="2:2" x14ac:dyDescent="0.3">
      <c r="B58" s="4" t="s">
        <v>57</v>
      </c>
    </row>
    <row r="59" spans="2:2" x14ac:dyDescent="0.3">
      <c r="B59" s="4" t="s">
        <v>58</v>
      </c>
    </row>
    <row r="60" spans="2:2" x14ac:dyDescent="0.3">
      <c r="B60" s="4" t="s">
        <v>59</v>
      </c>
    </row>
    <row r="62" spans="2:2" x14ac:dyDescent="0.3">
      <c r="B62" s="4" t="s">
        <v>60</v>
      </c>
    </row>
    <row r="64" spans="2:2" x14ac:dyDescent="0.3">
      <c r="B64" s="4" t="s">
        <v>61</v>
      </c>
    </row>
    <row r="65" spans="2:2" x14ac:dyDescent="0.3">
      <c r="B65" s="4" t="s">
        <v>62</v>
      </c>
    </row>
    <row r="67" spans="2:2" x14ac:dyDescent="0.3">
      <c r="B67" s="4" t="s">
        <v>63</v>
      </c>
    </row>
    <row r="69" spans="2:2" x14ac:dyDescent="0.3">
      <c r="B69" s="4" t="s">
        <v>64</v>
      </c>
    </row>
    <row r="70" spans="2:2" x14ac:dyDescent="0.3">
      <c r="B70" s="4" t="s">
        <v>65</v>
      </c>
    </row>
    <row r="71" spans="2:2" x14ac:dyDescent="0.3">
      <c r="B71" s="4" t="s">
        <v>66</v>
      </c>
    </row>
    <row r="72" spans="2:2" x14ac:dyDescent="0.3">
      <c r="B72" s="4" t="s">
        <v>67</v>
      </c>
    </row>
    <row r="73" spans="2:2" x14ac:dyDescent="0.3">
      <c r="B73" s="4" t="s">
        <v>68</v>
      </c>
    </row>
    <row r="74" spans="2:2" x14ac:dyDescent="0.3">
      <c r="B74" s="4" t="s">
        <v>69</v>
      </c>
    </row>
    <row r="75" spans="2:2" x14ac:dyDescent="0.3">
      <c r="B75" s="4" t="s">
        <v>70</v>
      </c>
    </row>
    <row r="77" spans="2:2" x14ac:dyDescent="0.3">
      <c r="B77" s="4" t="s">
        <v>71</v>
      </c>
    </row>
    <row r="79" spans="2:2" x14ac:dyDescent="0.3">
      <c r="B79" s="4" t="s">
        <v>72</v>
      </c>
    </row>
    <row r="80" spans="2:2" x14ac:dyDescent="0.3">
      <c r="B80" s="4" t="s">
        <v>73</v>
      </c>
    </row>
    <row r="81" spans="2:2" x14ac:dyDescent="0.3">
      <c r="B81" s="4" t="s">
        <v>74</v>
      </c>
    </row>
    <row r="82" spans="2:2" x14ac:dyDescent="0.3">
      <c r="B82" s="4" t="s">
        <v>75</v>
      </c>
    </row>
    <row r="83" spans="2:2" x14ac:dyDescent="0.3">
      <c r="B83" s="4" t="s">
        <v>76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I25" sqref="I25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77</v>
      </c>
      <c r="B2" s="9" t="s">
        <v>185</v>
      </c>
      <c r="C2" s="9" t="s">
        <v>186</v>
      </c>
      <c r="D2" s="9" t="s">
        <v>187</v>
      </c>
      <c r="E2" s="9" t="s">
        <v>188</v>
      </c>
      <c r="F2" s="9" t="s">
        <v>189</v>
      </c>
    </row>
    <row r="3" spans="1:6" x14ac:dyDescent="0.3">
      <c r="A3" s="14" t="s">
        <v>78</v>
      </c>
      <c r="B3" s="10">
        <f>Detail_Newbie!K15</f>
        <v>733363665</v>
      </c>
      <c r="C3" s="10">
        <f>Detail_Newbie!K86</f>
        <v>0</v>
      </c>
      <c r="D3" s="10">
        <f>Detail!K15</f>
        <v>725330891</v>
      </c>
      <c r="E3" s="10">
        <f>Detail!K86</f>
        <v>0</v>
      </c>
      <c r="F3" s="10">
        <f>Detail!K163</f>
        <v>0</v>
      </c>
    </row>
    <row r="4" spans="1:6" x14ac:dyDescent="0.3">
      <c r="A4" s="14" t="s">
        <v>79</v>
      </c>
      <c r="B4" s="10">
        <f>Detail_Newbie!K16</f>
        <v>147073596</v>
      </c>
      <c r="C4" s="10">
        <f>Detail_Newbie!K87</f>
        <v>0</v>
      </c>
      <c r="D4" s="10">
        <f>Detail!K16</f>
        <v>154427797</v>
      </c>
      <c r="E4" s="10">
        <f>Detail!K87</f>
        <v>0</v>
      </c>
      <c r="F4" s="10">
        <f>Detail!K164</f>
        <v>0</v>
      </c>
    </row>
    <row r="5" spans="1:6" x14ac:dyDescent="0.3">
      <c r="A5" s="14" t="s">
        <v>80</v>
      </c>
      <c r="B5" s="10">
        <f>Detail_Newbie!K17</f>
        <v>43093408</v>
      </c>
      <c r="C5" s="10">
        <f>Detail_Newbie!K88</f>
        <v>0</v>
      </c>
      <c r="D5" s="10">
        <f>Detail!K17</f>
        <v>45355835</v>
      </c>
      <c r="E5" s="10">
        <f>Detail!K88</f>
        <v>0</v>
      </c>
      <c r="F5" s="10">
        <f>Detail!K165</f>
        <v>0</v>
      </c>
    </row>
    <row r="6" spans="1:6" x14ac:dyDescent="0.3">
      <c r="A6" s="14" t="s">
        <v>81</v>
      </c>
      <c r="B6" s="10">
        <f>Detail_Newbie!K18</f>
        <v>19740462</v>
      </c>
      <c r="C6" s="10">
        <f>Detail_Newbie!K89</f>
        <v>0</v>
      </c>
      <c r="D6" s="10">
        <f>Detail!K18</f>
        <v>20824139</v>
      </c>
      <c r="E6" s="10">
        <f>Detail!K89</f>
        <v>0</v>
      </c>
      <c r="F6" s="10">
        <f>Detail!K166</f>
        <v>0</v>
      </c>
    </row>
    <row r="7" spans="1:6" x14ac:dyDescent="0.3">
      <c r="A7" s="14" t="s">
        <v>82</v>
      </c>
      <c r="B7" s="10">
        <f>Detail_Newbie!K19</f>
        <v>12108784</v>
      </c>
      <c r="C7" s="10">
        <f>Detail_Newbie!K90</f>
        <v>0</v>
      </c>
      <c r="D7" s="10">
        <f>Detail!K19</f>
        <v>12801719</v>
      </c>
      <c r="E7" s="10">
        <f>Detail!K90</f>
        <v>0</v>
      </c>
      <c r="F7" s="10">
        <f>Detail!K167</f>
        <v>0</v>
      </c>
    </row>
    <row r="8" spans="1:6" x14ac:dyDescent="0.3">
      <c r="A8" s="14" t="s">
        <v>83</v>
      </c>
      <c r="B8" s="10">
        <f>Detail_Newbie!K20</f>
        <v>7862043</v>
      </c>
      <c r="C8" s="10">
        <f>Detail_Newbie!K91</f>
        <v>0</v>
      </c>
      <c r="D8" s="10">
        <f>Detail!K20</f>
        <v>8330451</v>
      </c>
      <c r="E8" s="10">
        <f>Detail!K91</f>
        <v>0</v>
      </c>
      <c r="F8" s="10">
        <f>Detail!K168</f>
        <v>0</v>
      </c>
    </row>
    <row r="9" spans="1:6" x14ac:dyDescent="0.3">
      <c r="A9" s="14" t="s">
        <v>84</v>
      </c>
      <c r="B9" s="10">
        <f>Detail_Newbie!K21</f>
        <v>6066266</v>
      </c>
      <c r="C9" s="10">
        <f>Detail_Newbie!K92</f>
        <v>0</v>
      </c>
      <c r="D9" s="10">
        <f>Detail!K21</f>
        <v>6442230</v>
      </c>
      <c r="E9" s="10">
        <f>Detail!K92</f>
        <v>0</v>
      </c>
      <c r="F9" s="10">
        <f>Detail!K169</f>
        <v>0</v>
      </c>
    </row>
    <row r="10" spans="1:6" x14ac:dyDescent="0.3">
      <c r="A10" s="14" t="s">
        <v>85</v>
      </c>
      <c r="B10" s="10">
        <f>Detail_Newbie!K22</f>
        <v>3265393</v>
      </c>
      <c r="C10" s="10">
        <f>Detail_Newbie!K93</f>
        <v>0</v>
      </c>
      <c r="D10" s="10">
        <f>Detail!K22</f>
        <v>3475246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86</v>
      </c>
      <c r="B11" s="10">
        <f>Detail_Newbie!K23</f>
        <v>3661358</v>
      </c>
      <c r="C11" s="10">
        <f>Detail_Newbie!K94</f>
        <v>0</v>
      </c>
      <c r="D11" s="10">
        <f>Detail!K23</f>
        <v>3905374</v>
      </c>
      <c r="E11" s="10">
        <f>Detail!K94</f>
        <v>0</v>
      </c>
      <c r="F11" s="10">
        <f>Detail!K171</f>
        <v>0</v>
      </c>
    </row>
    <row r="12" spans="1:6" x14ac:dyDescent="0.3">
      <c r="A12" s="14" t="s">
        <v>87</v>
      </c>
      <c r="B12" s="10">
        <f>Detail_Newbie!K24</f>
        <v>2961953</v>
      </c>
      <c r="C12" s="10">
        <f>Detail_Newbie!K95</f>
        <v>0</v>
      </c>
      <c r="D12" s="10">
        <f>Detail!K24</f>
        <v>3166507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88</v>
      </c>
      <c r="B13" s="10">
        <f>Detail_Newbie!K25</f>
        <v>1920487</v>
      </c>
      <c r="C13" s="10">
        <f>Detail_Newbie!K96</f>
        <v>0</v>
      </c>
      <c r="D13" s="10">
        <f>Detail!K25</f>
        <v>2057605</v>
      </c>
      <c r="E13" s="10">
        <f>Detail!K96</f>
        <v>0</v>
      </c>
      <c r="F13" s="10">
        <f>Detail!K173</f>
        <v>0</v>
      </c>
    </row>
    <row r="14" spans="1:6" x14ac:dyDescent="0.3">
      <c r="A14" s="14" t="s">
        <v>89</v>
      </c>
      <c r="B14" s="10">
        <f>Detail_Newbie!K26</f>
        <v>10160063</v>
      </c>
      <c r="C14" s="10">
        <f>Detail_Newbie!K97</f>
        <v>0</v>
      </c>
      <c r="D14" s="10">
        <f>Detail!K26</f>
        <v>6253894</v>
      </c>
      <c r="E14" s="10">
        <f>Detail!K97</f>
        <v>0</v>
      </c>
      <c r="F14" s="10">
        <f>Detail!K174</f>
        <v>0</v>
      </c>
    </row>
    <row r="15" spans="1:6" x14ac:dyDescent="0.3">
      <c r="A15" s="14" t="s">
        <v>90</v>
      </c>
      <c r="B15" s="10">
        <f>Detail_Newbie!K27</f>
        <v>4355109</v>
      </c>
      <c r="C15" s="10">
        <f>Detail_Newbie!K98</f>
        <v>0</v>
      </c>
      <c r="D15" s="10">
        <f>Detail!K27</f>
        <v>2710919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91</v>
      </c>
      <c r="B16" s="10">
        <f>Detail_Newbie!K28</f>
        <v>2430496</v>
      </c>
      <c r="C16" s="10">
        <f>Detail_Newbie!K99</f>
        <v>0</v>
      </c>
      <c r="D16" s="10">
        <f>Detail!K28</f>
        <v>1529882</v>
      </c>
      <c r="E16" s="10">
        <f>Detail!K99</f>
        <v>40859217</v>
      </c>
      <c r="F16" s="10">
        <f>Detail!K176</f>
        <v>33710771</v>
      </c>
    </row>
    <row r="17" spans="1:6" x14ac:dyDescent="0.3">
      <c r="A17" s="14" t="s">
        <v>92</v>
      </c>
      <c r="B17" s="10">
        <f>Detail_Newbie!K29</f>
        <v>1936908</v>
      </c>
      <c r="C17" s="10">
        <f>Detail_Newbie!K100</f>
        <v>0</v>
      </c>
      <c r="D17" s="10">
        <f>Detail!K29</f>
        <v>1232845</v>
      </c>
      <c r="E17" s="10">
        <f>Detail!K100</f>
        <v>169019353</v>
      </c>
      <c r="F17" s="10">
        <f>Detail!K177</f>
        <v>142830458</v>
      </c>
    </row>
    <row r="18" spans="1:6" x14ac:dyDescent="0.3">
      <c r="A18" s="14" t="s">
        <v>93</v>
      </c>
      <c r="B18" s="10">
        <f>Detail_Newbie!K30</f>
        <v>0</v>
      </c>
      <c r="C18" s="10">
        <f>Detail_Newbie!K101</f>
        <v>76923450</v>
      </c>
      <c r="D18" s="10">
        <f>Detail!K30</f>
        <v>589478</v>
      </c>
      <c r="E18" s="10">
        <f>Detail!K101</f>
        <v>62084644</v>
      </c>
      <c r="F18" s="10">
        <f>Detail!K178</f>
        <v>53725249</v>
      </c>
    </row>
    <row r="19" spans="1:6" x14ac:dyDescent="0.3">
      <c r="A19" s="14" t="s">
        <v>94</v>
      </c>
      <c r="B19" s="10">
        <f>Detail_Newbie!K31</f>
        <v>0</v>
      </c>
      <c r="C19" s="10">
        <f>Detail_Newbie!K102</f>
        <v>138461262</v>
      </c>
      <c r="D19" s="10">
        <f>Detail!K31</f>
        <v>407621</v>
      </c>
      <c r="E19" s="10">
        <f>Detail!K102</f>
        <v>106685636</v>
      </c>
      <c r="F19" s="10">
        <f>Detail!K179</f>
        <v>94557355</v>
      </c>
    </row>
    <row r="20" spans="1:6" x14ac:dyDescent="0.3">
      <c r="A20" s="14" t="s">
        <v>95</v>
      </c>
      <c r="B20" s="10">
        <f>Detail_Newbie!K32</f>
        <v>0</v>
      </c>
      <c r="C20" s="10">
        <f>Detail_Newbie!K103</f>
        <v>123075743</v>
      </c>
      <c r="D20" s="10">
        <f>Detail!K32</f>
        <v>249168</v>
      </c>
      <c r="E20" s="10">
        <f>Detail!K103</f>
        <v>90530400</v>
      </c>
      <c r="F20" s="10">
        <f>Detail!K180</f>
        <v>82183226</v>
      </c>
    </row>
    <row r="21" spans="1:6" x14ac:dyDescent="0.3">
      <c r="A21" s="14" t="s">
        <v>96</v>
      </c>
      <c r="B21" s="10">
        <f>Detail_Newbie!K33</f>
        <v>0</v>
      </c>
      <c r="C21" s="10">
        <f>Detail_Newbie!K104</f>
        <v>107692301</v>
      </c>
      <c r="D21" s="10">
        <f>Detail!K33</f>
        <v>208680</v>
      </c>
      <c r="E21" s="10">
        <f>Detail!K104</f>
        <v>75646497</v>
      </c>
      <c r="F21" s="10">
        <f>Detail!K181</f>
        <v>70324327</v>
      </c>
    </row>
    <row r="22" spans="1:6" x14ac:dyDescent="0.3">
      <c r="A22" s="14" t="s">
        <v>97</v>
      </c>
      <c r="B22" s="10">
        <f>Detail_Newbie!K34</f>
        <v>0</v>
      </c>
      <c r="C22" s="10">
        <f>Detail_Newbie!K105</f>
        <v>107692429</v>
      </c>
      <c r="D22" s="10">
        <f>Detail!K34</f>
        <v>445871</v>
      </c>
      <c r="E22" s="10">
        <f>Detail!K105</f>
        <v>70579942</v>
      </c>
      <c r="F22" s="10">
        <f>Detail!K182</f>
        <v>68003685</v>
      </c>
    </row>
    <row r="23" spans="1:6" x14ac:dyDescent="0.3">
      <c r="A23" s="14" t="s">
        <v>98</v>
      </c>
      <c r="B23" s="10">
        <f>Detail_Newbie!K35</f>
        <v>0</v>
      </c>
      <c r="C23" s="10">
        <f>Detail_Newbie!K106</f>
        <v>153846812</v>
      </c>
      <c r="D23" s="10">
        <f>Detail!K35</f>
        <v>253833</v>
      </c>
      <c r="E23" s="10">
        <f>Detail!K106</f>
        <v>91915514</v>
      </c>
      <c r="F23" s="10">
        <f>Detail!K183</f>
        <v>92892095</v>
      </c>
    </row>
    <row r="24" spans="1:6" x14ac:dyDescent="0.3">
      <c r="A24" s="14" t="s">
        <v>99</v>
      </c>
      <c r="B24" s="10">
        <f>Detail_Newbie!K36</f>
        <v>0</v>
      </c>
      <c r="C24" s="10">
        <f>Detail_Newbie!K107</f>
        <v>76923427</v>
      </c>
      <c r="D24" s="10">
        <f>Detail!K36</f>
        <v>0</v>
      </c>
      <c r="E24" s="10">
        <f>Detail!K107</f>
        <v>41893996</v>
      </c>
      <c r="F24" s="10">
        <f>Detail!K184</f>
        <v>44410593</v>
      </c>
    </row>
    <row r="25" spans="1:6" x14ac:dyDescent="0.3">
      <c r="A25" s="14" t="s">
        <v>100</v>
      </c>
      <c r="B25" s="10">
        <f>Detail_Newbie!K37</f>
        <v>0</v>
      </c>
      <c r="C25" s="10">
        <f>Detail_Newbie!K108</f>
        <v>153846782</v>
      </c>
      <c r="D25" s="10">
        <f>Detail!K37</f>
        <v>0</v>
      </c>
      <c r="E25" s="10">
        <f>Detail!K108</f>
        <v>76377346</v>
      </c>
      <c r="F25" s="10">
        <f>Detail!K185</f>
        <v>84927663</v>
      </c>
    </row>
    <row r="26" spans="1:6" x14ac:dyDescent="0.3">
      <c r="A26" s="14" t="s">
        <v>101</v>
      </c>
      <c r="B26" s="10">
        <f>Detail_Newbie!K38</f>
        <v>0</v>
      </c>
      <c r="C26" s="10">
        <f>Detail_Newbie!K109</f>
        <v>61537794</v>
      </c>
      <c r="D26" s="10">
        <f>Detail!K38</f>
        <v>0</v>
      </c>
      <c r="E26" s="10">
        <f>Detail!K109</f>
        <v>27851631</v>
      </c>
      <c r="F26" s="10">
        <f>Detail!K186</f>
        <v>32483251</v>
      </c>
    </row>
    <row r="27" spans="1:6" x14ac:dyDescent="0.3">
      <c r="A27" s="14" t="s">
        <v>102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60648738</v>
      </c>
      <c r="F27" s="10">
        <f>Detail!K187</f>
        <v>75958238</v>
      </c>
    </row>
    <row r="28" spans="1:6" x14ac:dyDescent="0.3">
      <c r="A28" s="14" t="s">
        <v>103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20154302</v>
      </c>
      <c r="F28" s="10">
        <f>Detail!K188</f>
        <v>27775307</v>
      </c>
    </row>
    <row r="29" spans="1:6" x14ac:dyDescent="0.3">
      <c r="A29" s="14" t="s">
        <v>104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29318996</v>
      </c>
      <c r="F29" s="10">
        <f>Detail!K189</f>
        <v>44447845</v>
      </c>
    </row>
    <row r="30" spans="1:6" x14ac:dyDescent="0.3">
      <c r="A30" s="14" t="s">
        <v>105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13919072</v>
      </c>
      <c r="F30" s="10">
        <f>Detail!K190</f>
        <v>23218968</v>
      </c>
    </row>
    <row r="31" spans="1:6" x14ac:dyDescent="0.3">
      <c r="A31" s="14" t="s">
        <v>106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14459482</v>
      </c>
      <c r="F31" s="10">
        <f>Detail!K191</f>
        <v>26537158</v>
      </c>
    </row>
    <row r="32" spans="1:6" x14ac:dyDescent="0.3">
      <c r="A32" s="14" t="s">
        <v>107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1028115</v>
      </c>
      <c r="F32" s="10">
        <f>Detail!K192</f>
        <v>257029</v>
      </c>
    </row>
    <row r="33" spans="1:6" x14ac:dyDescent="0.3">
      <c r="A33" s="14" t="s">
        <v>108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840731</v>
      </c>
      <c r="F33" s="10">
        <f>Detail!K193</f>
        <v>210183</v>
      </c>
    </row>
    <row r="34" spans="1:6" x14ac:dyDescent="0.3">
      <c r="A34" s="14" t="s">
        <v>109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711196</v>
      </c>
      <c r="F34" s="10">
        <f>Detail!K194</f>
        <v>177799</v>
      </c>
    </row>
    <row r="35" spans="1:6" x14ac:dyDescent="0.3">
      <c r="A35" s="14" t="s">
        <v>110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616174</v>
      </c>
      <c r="F35" s="10">
        <f>Detail!K195</f>
        <v>154044</v>
      </c>
    </row>
    <row r="36" spans="1:6" x14ac:dyDescent="0.3">
      <c r="A36" s="14" t="s">
        <v>111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543628</v>
      </c>
      <c r="F36" s="10">
        <f>Detail!K196</f>
        <v>135907</v>
      </c>
    </row>
    <row r="37" spans="1:6" x14ac:dyDescent="0.3">
      <c r="A37" s="14" t="s">
        <v>112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486317</v>
      </c>
      <c r="F37" s="10">
        <f>Detail!K197</f>
        <v>121579</v>
      </c>
    </row>
    <row r="38" spans="1:6" x14ac:dyDescent="0.3">
      <c r="A38" s="14" t="s">
        <v>113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439923</v>
      </c>
      <c r="F38" s="10">
        <f>Detail!K198</f>
        <v>109981</v>
      </c>
    </row>
    <row r="39" spans="1:6" x14ac:dyDescent="0.3">
      <c r="A39" s="14" t="s">
        <v>114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401643</v>
      </c>
      <c r="F39" s="10">
        <f>Detail!K199</f>
        <v>100411</v>
      </c>
    </row>
    <row r="40" spans="1:6" x14ac:dyDescent="0.3">
      <c r="A40" s="14" t="s">
        <v>115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369498</v>
      </c>
      <c r="F40" s="10">
        <f>Detail!K200</f>
        <v>92374</v>
      </c>
    </row>
    <row r="41" spans="1:6" x14ac:dyDescent="0.3">
      <c r="A41" s="14" t="s">
        <v>116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342116</v>
      </c>
      <c r="F41" s="10">
        <f>Detail!K201</f>
        <v>85529</v>
      </c>
    </row>
    <row r="42" spans="1:6" x14ac:dyDescent="0.3">
      <c r="A42" s="14" t="s">
        <v>117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318458</v>
      </c>
      <c r="F42" s="10">
        <f>Detail!K202</f>
        <v>79613</v>
      </c>
    </row>
    <row r="43" spans="1:6" x14ac:dyDescent="0.3">
      <c r="A43" s="14" t="s">
        <v>118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297915</v>
      </c>
      <c r="F43" s="10">
        <f>Detail!K203</f>
        <v>74479</v>
      </c>
    </row>
    <row r="44" spans="1:6" x14ac:dyDescent="0.3">
      <c r="A44" s="14" t="s">
        <v>119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279852</v>
      </c>
      <c r="F44" s="10">
        <f>Detail!K204</f>
        <v>69963</v>
      </c>
    </row>
    <row r="45" spans="1:6" x14ac:dyDescent="0.3">
      <c r="A45" s="14" t="s">
        <v>120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263816</v>
      </c>
      <c r="F45" s="10">
        <f>Detail!K205</f>
        <v>65954</v>
      </c>
    </row>
    <row r="46" spans="1:6" x14ac:dyDescent="0.3">
      <c r="A46" s="14" t="s">
        <v>121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249579</v>
      </c>
      <c r="F46" s="10">
        <f>Detail!K206</f>
        <v>62395</v>
      </c>
    </row>
    <row r="47" spans="1:6" x14ac:dyDescent="0.3">
      <c r="A47" s="14" t="s">
        <v>122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236735</v>
      </c>
      <c r="F47" s="10">
        <f>Detail!K207</f>
        <v>59184</v>
      </c>
    </row>
    <row r="48" spans="1:6" x14ac:dyDescent="0.3">
      <c r="A48" s="14" t="s">
        <v>123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166164</v>
      </c>
      <c r="F48" s="10">
        <f>Detail!K208</f>
        <v>41541</v>
      </c>
    </row>
    <row r="49" spans="1:6" x14ac:dyDescent="0.3">
      <c r="A49" s="14" t="s">
        <v>124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190439</v>
      </c>
      <c r="F49" s="10">
        <f>Detail!K209</f>
        <v>47610</v>
      </c>
    </row>
    <row r="50" spans="1:6" x14ac:dyDescent="0.3">
      <c r="A50" s="14" t="s">
        <v>125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67076</v>
      </c>
      <c r="F50" s="10">
        <f>Detail!K210</f>
        <v>16768</v>
      </c>
    </row>
    <row r="51" spans="1:6" x14ac:dyDescent="0.3">
      <c r="A51" s="14" t="s">
        <v>126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51846</v>
      </c>
      <c r="F51" s="10">
        <f>Detail!K211</f>
        <v>12962</v>
      </c>
    </row>
    <row r="52" spans="1:6" x14ac:dyDescent="0.3">
      <c r="A52" s="14" t="s">
        <v>127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42283</v>
      </c>
      <c r="F52" s="10">
        <f>Detail!K212</f>
        <v>10571</v>
      </c>
    </row>
    <row r="53" spans="1:6" x14ac:dyDescent="0.3">
      <c r="A53" s="14" t="s">
        <v>128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35711</v>
      </c>
      <c r="F53" s="10">
        <f>Detail!K213</f>
        <v>8928</v>
      </c>
    </row>
    <row r="54" spans="1:6" x14ac:dyDescent="0.3">
      <c r="A54" s="14" t="s">
        <v>129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30917</v>
      </c>
      <c r="F54" s="10">
        <f>Detail!K214</f>
        <v>7729</v>
      </c>
    </row>
    <row r="55" spans="1:6" x14ac:dyDescent="0.3">
      <c r="A55" s="14" t="s">
        <v>130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27253</v>
      </c>
      <c r="F55" s="10">
        <f>Detail!K215</f>
        <v>6813</v>
      </c>
    </row>
    <row r="56" spans="1:6" x14ac:dyDescent="0.3">
      <c r="A56" s="14" t="s">
        <v>131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132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17846</v>
      </c>
      <c r="F57" s="10">
        <f>Detail!K217</f>
        <v>4461</v>
      </c>
    </row>
    <row r="58" spans="1:6" x14ac:dyDescent="0.3">
      <c r="A58" s="14" t="s">
        <v>133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134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135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136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137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138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139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140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141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3590650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142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160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161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151</v>
      </c>
      <c r="C6" s="12" t="s">
        <v>152</v>
      </c>
      <c r="D6" s="12" t="s">
        <v>153</v>
      </c>
      <c r="E6" s="12" t="s">
        <v>162</v>
      </c>
      <c r="F6" s="12" t="s">
        <v>154</v>
      </c>
      <c r="G6" s="12" t="s">
        <v>155</v>
      </c>
      <c r="H6" s="12" t="s">
        <v>156</v>
      </c>
      <c r="I6" s="56" t="s">
        <v>163</v>
      </c>
      <c r="J6" s="57" t="s">
        <v>164</v>
      </c>
      <c r="K6" s="49"/>
      <c r="L6" s="49"/>
      <c r="M6" s="58"/>
    </row>
    <row r="7" spans="1:21" x14ac:dyDescent="0.3">
      <c r="A7" s="59" t="s">
        <v>157</v>
      </c>
      <c r="B7" s="59" cm="1">
        <f t="array" ref="B7:B8">Overview!B11:B12</f>
        <v>1</v>
      </c>
      <c r="C7" s="40">
        <f>SUM(M15:M79)</f>
        <v>0.71999981083202502</v>
      </c>
      <c r="D7" s="40">
        <f>SUM(_xlfn.ANCHORARRAY(M86))*F7</f>
        <v>0.219999947878911</v>
      </c>
      <c r="E7" s="41">
        <f>SUM(C7:D7)</f>
        <v>0.939999758710936</v>
      </c>
      <c r="F7" s="42">
        <f>L79</f>
        <v>3.333332781844436E-3</v>
      </c>
      <c r="G7" s="43">
        <f>1/F7</f>
        <v>300.00004963400897</v>
      </c>
      <c r="H7" s="44">
        <f>D7*G7</f>
        <v>65.999995283152685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158</v>
      </c>
      <c r="B8" s="59">
        <v>75</v>
      </c>
      <c r="C8" s="40">
        <f>M156/B8</f>
        <v>0</v>
      </c>
      <c r="D8" s="40">
        <f>SUM(_xlfn.ANCHORARRAY(M163))/B8</f>
        <v>0.92499987292709762</v>
      </c>
      <c r="E8" s="41">
        <f>SUM(C8:D8)</f>
        <v>0.92499987292709762</v>
      </c>
      <c r="F8" s="45">
        <f>D156</f>
        <v>1</v>
      </c>
      <c r="G8" s="43">
        <f>1/F8</f>
        <v>1</v>
      </c>
      <c r="H8" s="44">
        <f>D8*G8*B8</f>
        <v>69.374990469532321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157</v>
      </c>
      <c r="B11" s="95" t="s">
        <v>152</v>
      </c>
      <c r="C11" s="95"/>
      <c r="D11" s="90"/>
      <c r="E11" s="89"/>
      <c r="F11" s="91"/>
      <c r="G11" s="95" t="s">
        <v>157</v>
      </c>
      <c r="H11" s="95" t="s">
        <v>152</v>
      </c>
      <c r="I11" s="88"/>
      <c r="J11" s="88"/>
      <c r="K11" s="92"/>
      <c r="L11" s="93"/>
      <c r="M11" s="93"/>
      <c r="N11" s="91"/>
      <c r="O11" s="95" t="s">
        <v>157</v>
      </c>
      <c r="P11" s="95" t="s">
        <v>152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181</v>
      </c>
      <c r="B13" s="47">
        <v>1000000000</v>
      </c>
      <c r="C13" s="1"/>
      <c r="D13" s="1"/>
      <c r="E13" s="1"/>
      <c r="G13" s="65" t="s">
        <v>165</v>
      </c>
      <c r="H13" s="38"/>
      <c r="I13" s="38"/>
      <c r="J13" s="38"/>
      <c r="K13" s="38"/>
      <c r="L13" s="38"/>
      <c r="M13" s="38"/>
    </row>
    <row r="14" spans="1:21" x14ac:dyDescent="0.3">
      <c r="A14" s="9" t="s">
        <v>171</v>
      </c>
      <c r="B14" s="9" t="s">
        <v>168</v>
      </c>
      <c r="C14" s="9" t="s">
        <v>169</v>
      </c>
      <c r="D14" s="9" t="s">
        <v>170</v>
      </c>
      <c r="E14" s="9" t="s">
        <v>149</v>
      </c>
      <c r="G14" s="9" t="s">
        <v>171</v>
      </c>
      <c r="H14" s="9" t="s">
        <v>172</v>
      </c>
      <c r="I14" s="9" t="s">
        <v>173</v>
      </c>
      <c r="J14" s="9" t="s">
        <v>174</v>
      </c>
      <c r="K14" s="9" t="s">
        <v>175</v>
      </c>
      <c r="L14" s="9" t="s">
        <v>150</v>
      </c>
      <c r="M14" s="9" t="s">
        <v>176</v>
      </c>
      <c r="O14" s="9" t="s">
        <v>166</v>
      </c>
      <c r="P14" s="9" t="s">
        <v>167</v>
      </c>
      <c r="Q14" s="12" t="s">
        <v>182</v>
      </c>
      <c r="R14" s="12" t="s">
        <v>177</v>
      </c>
      <c r="T14" s="12" t="s">
        <v>182</v>
      </c>
      <c r="U14" s="12" t="s">
        <v>178</v>
      </c>
    </row>
    <row r="15" spans="1:21" x14ac:dyDescent="0.3">
      <c r="A15" s="14" t="str">
        <f t="shared" ref="A15:A46" si="0">"("&amp;$O15&amp;", "&amp;$P15&amp;"]"</f>
        <v>(-1, 0]</v>
      </c>
      <c r="B15" s="67">
        <v>624764779</v>
      </c>
      <c r="C15" s="67">
        <v>0</v>
      </c>
      <c r="D15" s="37" cm="1">
        <f t="array" ref="D15:D78">_xlfn.LET(_xlpm.x, B15:B78, _xlpm.x/SUM(_xlpm.x))</f>
        <v>0.62476477900000005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1.1609663594688699</v>
      </c>
      <c r="I15" s="36" cm="1">
        <f t="array" ref="I15:I79">D15:D79*H15:H79</f>
        <v>0.72533089100000314</v>
      </c>
      <c r="J15" s="36" cm="1">
        <f t="array" ref="J15:J78">I15:I78/SUM(I15:I78)</f>
        <v>0.72533089100000103</v>
      </c>
      <c r="K15" s="71" cm="1">
        <f t="array" ref="K15:K79">INT(J15:J79*$B$2)</f>
        <v>725330891</v>
      </c>
      <c r="L15" s="36" cm="1">
        <f t="array" ref="L15:L79">_xlfn.LET(_xlpm.x, K15:K79, _xlpm.x/SUM(_xlpm.x))</f>
        <v>0.72291313260704226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0.72291313260704226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143254516</v>
      </c>
      <c r="C16" s="75">
        <v>6213627750</v>
      </c>
      <c r="D16" s="36">
        <v>0.143254516</v>
      </c>
      <c r="E16" s="69">
        <v>0.4337474254563814</v>
      </c>
      <c r="G16" s="14" t="str">
        <f t="shared" si="1"/>
        <v>(0, 1]</v>
      </c>
      <c r="H16" s="70">
        <v>1.07799601933666</v>
      </c>
      <c r="I16" s="36">
        <v>0.15442779799999987</v>
      </c>
      <c r="J16" s="36">
        <v>0.15442779799999942</v>
      </c>
      <c r="K16" s="71">
        <v>154427797</v>
      </c>
      <c r="L16" s="36">
        <v>0.15391304007052747</v>
      </c>
      <c r="M16" s="36">
        <v>6.6759384874756161E-2</v>
      </c>
      <c r="N16" s="73"/>
      <c r="O16" s="59">
        <v>0</v>
      </c>
      <c r="P16" s="59">
        <v>1</v>
      </c>
      <c r="Q16" s="36">
        <v>0.15391304007052747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54941394</v>
      </c>
      <c r="C17" s="75">
        <v>8271310400</v>
      </c>
      <c r="D17" s="36">
        <v>5.4941393999999998E-2</v>
      </c>
      <c r="E17" s="69">
        <v>1.5054788016481708</v>
      </c>
      <c r="F17" s="76"/>
      <c r="G17" s="14" t="str">
        <f t="shared" si="1"/>
        <v>(1, 2]</v>
      </c>
      <c r="H17" s="70">
        <v>0.82553121968474297</v>
      </c>
      <c r="I17" s="36">
        <v>4.5355836000000017E-2</v>
      </c>
      <c r="J17" s="36">
        <v>4.5355835999999886E-2</v>
      </c>
      <c r="K17" s="71">
        <v>45355835</v>
      </c>
      <c r="L17" s="36">
        <v>4.5204649586416318E-2</v>
      </c>
      <c r="M17" s="36">
        <v>6.8054641688283513E-2</v>
      </c>
      <c r="N17" s="73"/>
      <c r="O17" s="59">
        <v>1</v>
      </c>
      <c r="P17" s="59">
        <v>2</v>
      </c>
      <c r="Q17" s="36">
        <v>4.5204649586416318E-2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33052702</v>
      </c>
      <c r="C18" s="75">
        <v>8367423885</v>
      </c>
      <c r="D18" s="36">
        <v>3.3052702000000003E-2</v>
      </c>
      <c r="E18" s="69">
        <v>2.5315400492825066</v>
      </c>
      <c r="F18" s="76"/>
      <c r="G18" s="14" t="str">
        <f t="shared" si="1"/>
        <v>(2, 3]</v>
      </c>
      <c r="H18" s="70">
        <v>0.63002837105420295</v>
      </c>
      <c r="I18" s="36">
        <v>2.0824139999999998E-2</v>
      </c>
      <c r="J18" s="36">
        <v>2.0824139999999939E-2</v>
      </c>
      <c r="K18" s="71">
        <v>20824139</v>
      </c>
      <c r="L18" s="36">
        <v>2.0754725526138499E-2</v>
      </c>
      <c r="M18" s="36">
        <v>5.2541418881285551E-2</v>
      </c>
      <c r="N18" s="73"/>
      <c r="O18" s="59">
        <v>2</v>
      </c>
      <c r="P18" s="59">
        <v>3</v>
      </c>
      <c r="Q18" s="36">
        <v>2.0754725526138499E-2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22868741</v>
      </c>
      <c r="C19" s="75">
        <v>8068853980</v>
      </c>
      <c r="D19" s="36">
        <v>2.2868741000000001E-2</v>
      </c>
      <c r="E19" s="69">
        <v>3.5283332737906297</v>
      </c>
      <c r="F19" s="77"/>
      <c r="G19" s="14" t="str">
        <f t="shared" si="1"/>
        <v>(3, 4]</v>
      </c>
      <c r="H19" s="70">
        <v>0.55979115772048804</v>
      </c>
      <c r="I19" s="36">
        <v>1.2801718999999993E-2</v>
      </c>
      <c r="J19" s="36">
        <v>1.2801718999999956E-2</v>
      </c>
      <c r="K19" s="71">
        <v>12801719</v>
      </c>
      <c r="L19" s="36">
        <v>1.2759046801779042E-2</v>
      </c>
      <c r="M19" s="36">
        <v>4.501816937256891E-2</v>
      </c>
      <c r="N19" s="73"/>
      <c r="O19" s="59">
        <v>3</v>
      </c>
      <c r="P19" s="59">
        <v>4</v>
      </c>
      <c r="Q19" s="36">
        <v>1.2759046801779042E-2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16964682</v>
      </c>
      <c r="C20" s="75">
        <v>7689266290</v>
      </c>
      <c r="D20" s="36">
        <v>1.6964681999999998E-2</v>
      </c>
      <c r="E20" s="69">
        <v>4.5325142493092416</v>
      </c>
      <c r="F20" s="77"/>
      <c r="G20" s="14" t="str">
        <f t="shared" si="1"/>
        <v>(4, 5]</v>
      </c>
      <c r="H20" s="70">
        <v>0.491046752305761</v>
      </c>
      <c r="I20" s="36">
        <v>8.3304520000000021E-3</v>
      </c>
      <c r="J20" s="36">
        <v>8.3304519999999778E-3</v>
      </c>
      <c r="K20" s="71">
        <v>8330451</v>
      </c>
      <c r="L20" s="36">
        <v>8.3026829591343956E-3</v>
      </c>
      <c r="M20" s="36">
        <v>3.763202881977367E-2</v>
      </c>
      <c r="N20" s="73"/>
      <c r="O20" s="59">
        <v>4</v>
      </c>
      <c r="P20" s="59">
        <v>5</v>
      </c>
      <c r="Q20" s="36">
        <v>8.3026829591343956E-3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13467081</v>
      </c>
      <c r="C21" s="75">
        <v>7477223845</v>
      </c>
      <c r="D21" s="36">
        <v>1.3467081000000001E-2</v>
      </c>
      <c r="E21" s="69">
        <v>5.55222311724419</v>
      </c>
      <c r="F21" s="77"/>
      <c r="G21" s="14" t="str">
        <f t="shared" si="1"/>
        <v>(5, 6]</v>
      </c>
      <c r="H21" s="70">
        <v>0.47836877197070399</v>
      </c>
      <c r="I21" s="36">
        <v>6.4422310000000005E-3</v>
      </c>
      <c r="J21" s="36">
        <v>6.4422309999999823E-3</v>
      </c>
      <c r="K21" s="71">
        <v>6442230</v>
      </c>
      <c r="L21" s="36">
        <v>6.4207559998641587E-3</v>
      </c>
      <c r="M21" s="36">
        <v>3.5649469892630119E-2</v>
      </c>
      <c r="N21" s="73"/>
      <c r="O21" s="59">
        <v>5</v>
      </c>
      <c r="P21" s="59">
        <v>6</v>
      </c>
      <c r="Q21" s="36">
        <v>6.4207559998641587E-3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10632034</v>
      </c>
      <c r="C22" s="75">
        <v>6936975045</v>
      </c>
      <c r="D22" s="36">
        <v>1.0632034E-2</v>
      </c>
      <c r="E22" s="69">
        <v>6.5245982518490813</v>
      </c>
      <c r="F22" s="77"/>
      <c r="G22" s="14" t="str">
        <f t="shared" si="1"/>
        <v>(6, 7]</v>
      </c>
      <c r="H22" s="70">
        <v>0.32686567781856202</v>
      </c>
      <c r="I22" s="36">
        <v>3.4752469999999973E-3</v>
      </c>
      <c r="J22" s="36">
        <v>3.4752469999999873E-3</v>
      </c>
      <c r="K22" s="71">
        <v>3475246</v>
      </c>
      <c r="L22" s="36">
        <v>3.4636619005381547E-3</v>
      </c>
      <c r="M22" s="36">
        <v>2.2599002381247509E-2</v>
      </c>
      <c r="N22" s="73"/>
      <c r="O22" s="59">
        <v>6</v>
      </c>
      <c r="P22" s="59">
        <v>7</v>
      </c>
      <c r="Q22" s="36">
        <v>3.4636619005381547E-3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8953486</v>
      </c>
      <c r="C23" s="75">
        <v>6744195935</v>
      </c>
      <c r="D23" s="36">
        <v>8.9534860000000001E-3</v>
      </c>
      <c r="E23" s="69">
        <v>7.5324805723714761</v>
      </c>
      <c r="F23" s="77"/>
      <c r="G23" s="14" t="str">
        <f t="shared" si="1"/>
        <v>(7, 8]</v>
      </c>
      <c r="H23" s="70">
        <v>0.43618485582040301</v>
      </c>
      <c r="I23" s="36">
        <v>3.905374999999997E-3</v>
      </c>
      <c r="J23" s="36">
        <v>3.9053749999999857E-3</v>
      </c>
      <c r="K23" s="71">
        <v>3905374</v>
      </c>
      <c r="L23" s="36">
        <v>3.8923561472057793E-3</v>
      </c>
      <c r="M23" s="36">
        <v>2.9319097059578223E-2</v>
      </c>
      <c r="N23" s="73"/>
      <c r="O23" s="59">
        <v>7</v>
      </c>
      <c r="P23" s="59">
        <v>8</v>
      </c>
      <c r="Q23" s="36">
        <v>3.8923561472057793E-3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7534128</v>
      </c>
      <c r="C24" s="75">
        <v>6443473090</v>
      </c>
      <c r="D24" s="36">
        <v>7.5341280000000002E-3</v>
      </c>
      <c r="E24" s="69">
        <v>8.5523807001951653</v>
      </c>
      <c r="F24" s="77"/>
      <c r="G24" s="14" t="str">
        <f t="shared" si="1"/>
        <v>(8, 9]</v>
      </c>
      <c r="H24" s="70">
        <v>0.420288585487265</v>
      </c>
      <c r="I24" s="36">
        <v>3.1665079999999971E-3</v>
      </c>
      <c r="J24" s="36">
        <v>3.166507999999988E-3</v>
      </c>
      <c r="K24" s="71">
        <v>3166507</v>
      </c>
      <c r="L24" s="36">
        <v>3.1559520257522407E-3</v>
      </c>
      <c r="M24" s="36">
        <v>2.6990903195785298E-2</v>
      </c>
      <c r="N24" s="73"/>
      <c r="O24" s="59">
        <v>8</v>
      </c>
      <c r="P24" s="59">
        <v>9</v>
      </c>
      <c r="Q24" s="36">
        <v>3.1559520257522407E-3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6231775</v>
      </c>
      <c r="C25" s="75">
        <v>5943691225</v>
      </c>
      <c r="D25" s="36">
        <v>6.2317750000000002E-3</v>
      </c>
      <c r="E25" s="69">
        <v>9.5377179455291632</v>
      </c>
      <c r="F25" s="77"/>
      <c r="G25" s="14" t="str">
        <f t="shared" si="1"/>
        <v>(9, 10]</v>
      </c>
      <c r="H25" s="70">
        <v>0.33017960372446098</v>
      </c>
      <c r="I25" s="36">
        <v>2.0576050000000027E-3</v>
      </c>
      <c r="J25" s="36">
        <v>2.0576049999999966E-3</v>
      </c>
      <c r="K25" s="71">
        <v>2057605</v>
      </c>
      <c r="L25" s="36">
        <v>2.050746348562608E-3</v>
      </c>
      <c r="M25" s="36">
        <v>1.9559440250413992E-2</v>
      </c>
      <c r="N25" s="73"/>
      <c r="O25" s="59">
        <v>9</v>
      </c>
      <c r="P25" s="59">
        <v>10</v>
      </c>
      <c r="Q25" s="36">
        <v>2.050746348562608E-3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20720821</v>
      </c>
      <c r="C26" s="75">
        <v>25446656890</v>
      </c>
      <c r="D26" s="36">
        <v>2.0720821E-2</v>
      </c>
      <c r="E26" s="69">
        <v>12.280718457053416</v>
      </c>
      <c r="F26" s="77"/>
      <c r="G26" s="14" t="str">
        <f t="shared" si="1"/>
        <v>(10, 15]</v>
      </c>
      <c r="H26" s="70">
        <v>0.30181695020675098</v>
      </c>
      <c r="I26" s="36">
        <v>6.2538949999999998E-3</v>
      </c>
      <c r="J26" s="36">
        <v>6.2538949999999816E-3</v>
      </c>
      <c r="K26" s="71">
        <v>6253894</v>
      </c>
      <c r="L26" s="36">
        <v>6.2330477836113366E-3</v>
      </c>
      <c r="M26" s="36">
        <v>7.6546304959891634E-2</v>
      </c>
      <c r="N26" s="73"/>
      <c r="O26" s="59">
        <v>10</v>
      </c>
      <c r="P26" s="59">
        <v>15</v>
      </c>
      <c r="Q26" s="36">
        <v>6.2330477836113366E-3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11152939</v>
      </c>
      <c r="C27" s="75">
        <v>19336495675</v>
      </c>
      <c r="D27" s="36">
        <v>1.1152939000000001E-2</v>
      </c>
      <c r="E27" s="69">
        <v>17.337578619411442</v>
      </c>
      <c r="F27" s="77"/>
      <c r="G27" s="14" t="str">
        <f t="shared" si="1"/>
        <v>(15, 20]</v>
      </c>
      <c r="H27" s="70">
        <v>0.24306776895309801</v>
      </c>
      <c r="I27" s="36">
        <v>2.710919999999996E-3</v>
      </c>
      <c r="J27" s="36">
        <v>2.7109199999999882E-3</v>
      </c>
      <c r="K27" s="71">
        <v>2710919</v>
      </c>
      <c r="L27" s="36">
        <v>2.7018826453566146E-3</v>
      </c>
      <c r="M27" s="36">
        <v>4.684410278429367E-2</v>
      </c>
      <c r="N27" s="73"/>
      <c r="O27" s="59">
        <v>15</v>
      </c>
      <c r="P27" s="59">
        <v>20</v>
      </c>
      <c r="Q27" s="36">
        <v>2.7018826453566146E-3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6735707</v>
      </c>
      <c r="C28" s="75">
        <v>15067467285</v>
      </c>
      <c r="D28" s="36">
        <v>6.7357069999999996E-3</v>
      </c>
      <c r="E28" s="69">
        <v>22.369540844042056</v>
      </c>
      <c r="F28" s="77"/>
      <c r="G28" s="14" t="str">
        <f t="shared" si="1"/>
        <v>(20, 25]</v>
      </c>
      <c r="H28" s="70">
        <v>0.22713012902728699</v>
      </c>
      <c r="I28" s="36">
        <v>1.5298820000000002E-3</v>
      </c>
      <c r="J28" s="36">
        <v>1.5298819999999959E-3</v>
      </c>
      <c r="K28" s="71">
        <v>1529882</v>
      </c>
      <c r="L28" s="36">
        <v>1.5247824170487826E-3</v>
      </c>
      <c r="M28" s="36">
        <v>3.4108682556449908E-2</v>
      </c>
      <c r="N28" s="73"/>
      <c r="O28" s="59">
        <v>20</v>
      </c>
      <c r="P28" s="59">
        <v>25</v>
      </c>
      <c r="Q28" s="36">
        <v>1.5247824170487826E-3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4480490</v>
      </c>
      <c r="C29" s="75">
        <v>12274919250</v>
      </c>
      <c r="D29" s="36">
        <v>4.4804900000000002E-3</v>
      </c>
      <c r="E29" s="69">
        <v>27.396376847175198</v>
      </c>
      <c r="F29" s="77"/>
      <c r="G29" s="14" t="str">
        <f t="shared" si="1"/>
        <v>(25, 30]</v>
      </c>
      <c r="H29" s="70">
        <v>0.27515874379811101</v>
      </c>
      <c r="I29" s="36">
        <v>1.2328459999999984E-3</v>
      </c>
      <c r="J29" s="36">
        <v>1.2328459999999949E-3</v>
      </c>
      <c r="K29" s="71">
        <v>1232845</v>
      </c>
      <c r="L29" s="36">
        <v>1.2287355357776001E-3</v>
      </c>
      <c r="M29" s="36">
        <v>3.3662901783678853E-2</v>
      </c>
      <c r="N29" s="73"/>
      <c r="O29" s="59">
        <v>25</v>
      </c>
      <c r="P29" s="59">
        <v>30</v>
      </c>
      <c r="Q29" s="36">
        <v>1.2287355357776001E-3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3017593</v>
      </c>
      <c r="C30" s="75">
        <v>9776019545</v>
      </c>
      <c r="D30" s="36">
        <v>3.0175929999999998E-3</v>
      </c>
      <c r="E30" s="69">
        <v>32.396746496296885</v>
      </c>
      <c r="F30" s="77"/>
      <c r="G30" s="14" t="str">
        <f t="shared" si="1"/>
        <v>(30, 35]</v>
      </c>
      <c r="H30" s="70">
        <v>0.19534741762722799</v>
      </c>
      <c r="I30" s="36">
        <v>5.8947899999999974E-4</v>
      </c>
      <c r="J30" s="36">
        <v>5.8947899999999801E-4</v>
      </c>
      <c r="K30" s="71">
        <v>589478</v>
      </c>
      <c r="L30" s="36">
        <v>5.8751308247112011E-4</v>
      </c>
      <c r="M30" s="36">
        <v>1.9033512396074842E-2</v>
      </c>
      <c r="N30" s="73"/>
      <c r="O30" s="59">
        <v>30</v>
      </c>
      <c r="P30" s="59">
        <v>35</v>
      </c>
      <c r="Q30" s="36">
        <v>5.8751308247112011E-4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2208968</v>
      </c>
      <c r="C31" s="75">
        <v>8270252000</v>
      </c>
      <c r="D31" s="36">
        <v>2.208968E-3</v>
      </c>
      <c r="E31" s="69">
        <v>37.439437782711202</v>
      </c>
      <c r="F31" s="77"/>
      <c r="G31" s="14" t="str">
        <f t="shared" si="1"/>
        <v>(35, 40]</v>
      </c>
      <c r="H31" s="70">
        <v>0.18453051379648799</v>
      </c>
      <c r="I31" s="36">
        <v>4.076220000000005E-4</v>
      </c>
      <c r="J31" s="36">
        <v>4.076219999999993E-4</v>
      </c>
      <c r="K31" s="71">
        <v>407621</v>
      </c>
      <c r="L31" s="36">
        <v>4.0626226965206582E-4</v>
      </c>
      <c r="M31" s="36">
        <v>1.5210230968101559E-2</v>
      </c>
      <c r="N31" s="73"/>
      <c r="O31" s="59">
        <v>35</v>
      </c>
      <c r="P31" s="59">
        <v>40</v>
      </c>
      <c r="Q31" s="36">
        <v>4.0626226965206582E-4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1649296</v>
      </c>
      <c r="C32" s="75">
        <v>6999231850</v>
      </c>
      <c r="D32" s="36">
        <v>1.649296E-3</v>
      </c>
      <c r="E32" s="69">
        <v>42.437693719017076</v>
      </c>
      <c r="F32" s="77"/>
      <c r="G32" s="14" t="str">
        <f t="shared" si="1"/>
        <v>(40, 45]</v>
      </c>
      <c r="H32" s="70">
        <v>0.15107597423385499</v>
      </c>
      <c r="I32" s="36">
        <v>2.4916900000000009E-4</v>
      </c>
      <c r="J32" s="36">
        <v>2.4916899999999939E-4</v>
      </c>
      <c r="K32" s="71">
        <v>249168</v>
      </c>
      <c r="L32" s="36">
        <v>2.4833744386247505E-4</v>
      </c>
      <c r="M32" s="36">
        <v>1.0538868381599313E-2</v>
      </c>
      <c r="N32" s="73"/>
      <c r="O32" s="59">
        <v>40</v>
      </c>
      <c r="P32" s="59">
        <v>45</v>
      </c>
      <c r="Q32" s="36">
        <v>2.4833744386247505E-4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1233169</v>
      </c>
      <c r="C33" s="75">
        <v>5852538350</v>
      </c>
      <c r="D33" s="36">
        <v>1.2331690000000001E-3</v>
      </c>
      <c r="E33" s="69">
        <v>47.459337284670639</v>
      </c>
      <c r="F33" s="77"/>
      <c r="G33" s="14" t="str">
        <f t="shared" si="1"/>
        <v>(45, 50]</v>
      </c>
      <c r="H33" s="70">
        <v>0.16922254776109399</v>
      </c>
      <c r="I33" s="36">
        <v>2.0868000000000053E-4</v>
      </c>
      <c r="J33" s="36">
        <v>2.0867999999999993E-4</v>
      </c>
      <c r="K33" s="71">
        <v>208680</v>
      </c>
      <c r="L33" s="36">
        <v>2.0798440323485076E-4</v>
      </c>
      <c r="M33" s="36">
        <v>9.8708019430737252E-3</v>
      </c>
      <c r="N33" s="73"/>
      <c r="O33" s="59">
        <v>45</v>
      </c>
      <c r="P33" s="59">
        <v>50</v>
      </c>
      <c r="Q33" s="36">
        <v>2.0798440323485076E-4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1764123</v>
      </c>
      <c r="C34" s="75">
        <v>9650646255</v>
      </c>
      <c r="D34" s="36">
        <v>1.764123E-3</v>
      </c>
      <c r="E34" s="69">
        <v>54.705064527813541</v>
      </c>
      <c r="F34" s="77"/>
      <c r="G34" s="14" t="str">
        <f t="shared" si="1"/>
        <v>(50, 60]</v>
      </c>
      <c r="H34" s="70">
        <v>0.25274428143615801</v>
      </c>
      <c r="I34" s="36">
        <v>4.4587199999999939E-4</v>
      </c>
      <c r="J34" s="36">
        <v>4.4587199999999809E-4</v>
      </c>
      <c r="K34" s="71">
        <v>445871</v>
      </c>
      <c r="L34" s="36">
        <v>4.4438477024499781E-4</v>
      </c>
      <c r="M34" s="36">
        <v>2.4310097531430201E-2</v>
      </c>
      <c r="N34" s="73"/>
      <c r="O34" s="59">
        <v>50</v>
      </c>
      <c r="P34" s="59">
        <v>60</v>
      </c>
      <c r="Q34" s="36">
        <v>4.4438477024499781E-4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1114375</v>
      </c>
      <c r="C35" s="75">
        <v>7207860310</v>
      </c>
      <c r="D35" s="36">
        <v>1.1143749999999999E-3</v>
      </c>
      <c r="E35" s="69">
        <v>64.680743107122822</v>
      </c>
      <c r="F35" s="77"/>
      <c r="G35" s="14" t="str">
        <f t="shared" si="1"/>
        <v>(60, 70]</v>
      </c>
      <c r="H35" s="70">
        <v>0.22778059450364599</v>
      </c>
      <c r="I35" s="36">
        <v>2.5383300000000045E-4</v>
      </c>
      <c r="J35" s="36">
        <v>2.538329999999997E-4</v>
      </c>
      <c r="K35" s="71">
        <v>253833</v>
      </c>
      <c r="L35" s="36">
        <v>2.5298689393478949E-4</v>
      </c>
      <c r="M35" s="36">
        <v>1.6363380296065048E-2</v>
      </c>
      <c r="N35" s="73"/>
      <c r="O35" s="59">
        <v>60</v>
      </c>
      <c r="P35" s="59">
        <v>70</v>
      </c>
      <c r="Q35" s="36">
        <v>2.5298689393478949E-4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766232</v>
      </c>
      <c r="C36" s="75">
        <v>5733848860</v>
      </c>
      <c r="D36" s="36">
        <v>7.6623200000000005E-4</v>
      </c>
      <c r="E36" s="69">
        <v>74.831759310496039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550692</v>
      </c>
      <c r="C37" s="75">
        <v>4667913150</v>
      </c>
      <c r="D37" s="36">
        <v>5.5069199999999998E-4</v>
      </c>
      <c r="E37" s="69">
        <v>84.764499030310958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385633</v>
      </c>
      <c r="C38" s="75">
        <v>3656643620</v>
      </c>
      <c r="D38" s="36">
        <v>3.8563300000000003E-4</v>
      </c>
      <c r="E38" s="69">
        <v>94.821854457476405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525213</v>
      </c>
      <c r="C39" s="75">
        <v>5740505310</v>
      </c>
      <c r="D39" s="36">
        <v>5.2521299999999996E-4</v>
      </c>
      <c r="E39" s="69">
        <v>109.29861427649354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309872</v>
      </c>
      <c r="C40" s="75">
        <v>4001020860</v>
      </c>
      <c r="D40" s="36">
        <v>3.0987199999999999E-4</v>
      </c>
      <c r="E40" s="69">
        <v>129.11850247844271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200115</v>
      </c>
      <c r="C41" s="75">
        <v>2993794525</v>
      </c>
      <c r="D41" s="36">
        <v>2.00115E-4</v>
      </c>
      <c r="E41" s="69">
        <v>149.60370412013094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136508</v>
      </c>
      <c r="C42" s="75">
        <v>2312105855</v>
      </c>
      <c r="D42" s="36">
        <v>1.36508E-4</v>
      </c>
      <c r="E42" s="69">
        <v>169.3751175755267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89553</v>
      </c>
      <c r="C43" s="75">
        <v>1696850110</v>
      </c>
      <c r="D43" s="36">
        <v>8.9553000000000001E-5</v>
      </c>
      <c r="E43" s="69">
        <v>189.47998503679383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134625</v>
      </c>
      <c r="C44" s="75">
        <v>2993550425</v>
      </c>
      <c r="D44" s="36">
        <v>1.3462500000000001E-4</v>
      </c>
      <c r="E44" s="69">
        <v>222.36214856081708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62011</v>
      </c>
      <c r="C45" s="75">
        <v>1688069400</v>
      </c>
      <c r="D45" s="36">
        <v>6.2011E-5</v>
      </c>
      <c r="E45" s="69">
        <v>272.22096079727794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36329</v>
      </c>
      <c r="C46" s="75">
        <v>1172012085</v>
      </c>
      <c r="D46" s="36">
        <v>3.6328999999999997E-5</v>
      </c>
      <c r="E46" s="69">
        <v>322.61060998100692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19646</v>
      </c>
      <c r="C47" s="75">
        <v>732146825</v>
      </c>
      <c r="D47" s="36">
        <v>1.9646000000000001E-5</v>
      </c>
      <c r="E47" s="69">
        <v>372.66966558077985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12054</v>
      </c>
      <c r="C48" s="75">
        <v>510954935</v>
      </c>
      <c r="D48" s="36">
        <v>1.2054E-5</v>
      </c>
      <c r="E48" s="69">
        <v>423.88828189812511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8732</v>
      </c>
      <c r="C49" s="75">
        <v>412924555</v>
      </c>
      <c r="D49" s="36">
        <v>8.7320000000000004E-6</v>
      </c>
      <c r="E49" s="69">
        <v>472.88657237746224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5111</v>
      </c>
      <c r="C50" s="75">
        <v>267140225</v>
      </c>
      <c r="D50" s="36">
        <v>5.1109999999999999E-6</v>
      </c>
      <c r="E50" s="69">
        <v>522.67702015261204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3570</v>
      </c>
      <c r="C51" s="75">
        <v>205181690</v>
      </c>
      <c r="D51" s="36">
        <v>3.5700000000000001E-6</v>
      </c>
      <c r="E51" s="69">
        <v>574.7386274509804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2674</v>
      </c>
      <c r="C52" s="75">
        <v>166541140</v>
      </c>
      <c r="D52" s="36">
        <v>2.6740000000000001E-6</v>
      </c>
      <c r="E52" s="69">
        <v>622.81652954375465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1976</v>
      </c>
      <c r="C53" s="75">
        <v>133016900</v>
      </c>
      <c r="D53" s="36">
        <v>1.9759999999999998E-6</v>
      </c>
      <c r="E53" s="69">
        <v>673.16244939271257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1374</v>
      </c>
      <c r="C54" s="75">
        <v>99478545</v>
      </c>
      <c r="D54" s="36">
        <v>1.3740000000000001E-6</v>
      </c>
      <c r="E54" s="69">
        <v>724.00687772925767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989</v>
      </c>
      <c r="C55" s="75">
        <v>76514355</v>
      </c>
      <c r="D55" s="36">
        <v>9.8899999999999998E-7</v>
      </c>
      <c r="E55" s="69">
        <v>773.65374115267946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711</v>
      </c>
      <c r="C56" s="75">
        <v>58588745</v>
      </c>
      <c r="D56" s="36">
        <v>7.1099999999999995E-7</v>
      </c>
      <c r="E56" s="69">
        <v>824.03298171589313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691</v>
      </c>
      <c r="C57" s="75">
        <v>60619485</v>
      </c>
      <c r="D57" s="36">
        <v>6.9100000000000003E-7</v>
      </c>
      <c r="E57" s="69">
        <v>877.27185238784364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586</v>
      </c>
      <c r="C58" s="75">
        <v>54142340</v>
      </c>
      <c r="D58" s="36">
        <v>5.8599999999999998E-7</v>
      </c>
      <c r="E58" s="69">
        <v>923.93071672354961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391</v>
      </c>
      <c r="C59" s="75">
        <v>38088040</v>
      </c>
      <c r="D59" s="36">
        <v>3.9099999999999999E-7</v>
      </c>
      <c r="E59" s="69">
        <v>974.1186700767264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1775</v>
      </c>
      <c r="C60" s="75">
        <v>224584030</v>
      </c>
      <c r="D60" s="36">
        <v>1.7749999999999999E-6</v>
      </c>
      <c r="E60" s="69">
        <v>1265.2621408450705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102</v>
      </c>
      <c r="C61" s="75">
        <v>23914030</v>
      </c>
      <c r="D61" s="36">
        <v>1.02E-7</v>
      </c>
      <c r="E61" s="69">
        <v>2344.512745098039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22</v>
      </c>
      <c r="C62" s="75">
        <v>7495425</v>
      </c>
      <c r="D62" s="36">
        <v>2.1999999999999998E-8</v>
      </c>
      <c r="E62" s="69">
        <v>3407.0113636363635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9</v>
      </c>
      <c r="C63" s="75">
        <v>4153385</v>
      </c>
      <c r="D63" s="36">
        <v>8.9999999999999995E-9</v>
      </c>
      <c r="E63" s="69">
        <v>4614.8722222222223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2</v>
      </c>
      <c r="C64" s="75">
        <v>1010765</v>
      </c>
      <c r="D64" s="36">
        <v>2.0000000000000001E-9</v>
      </c>
      <c r="E64" s="69">
        <v>5053.8249999999998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1</v>
      </c>
      <c r="C65" s="75">
        <v>617140</v>
      </c>
      <c r="D65" s="36">
        <v>1.0000000000000001E-9</v>
      </c>
      <c r="E65" s="69">
        <v>6171.4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2</v>
      </c>
      <c r="C66" s="75">
        <v>1454520</v>
      </c>
      <c r="D66" s="36">
        <v>2.0000000000000001E-9</v>
      </c>
      <c r="E66" s="69">
        <v>7272.6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0</v>
      </c>
      <c r="C68" s="75">
        <v>0</v>
      </c>
      <c r="D68" s="36">
        <v>0</v>
      </c>
      <c r="E68" s="69">
        <v>0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179</v>
      </c>
      <c r="B79" s="75">
        <v>7003536</v>
      </c>
      <c r="C79" s="75">
        <v>6174466305</v>
      </c>
      <c r="D79" s="36">
        <f>B79/B13</f>
        <v>7.0035360000000003E-3</v>
      </c>
      <c r="E79" s="69">
        <v>8.8162127031259629</v>
      </c>
      <c r="F79" s="77"/>
      <c r="G79" s="14" t="s">
        <v>179</v>
      </c>
      <c r="H79" s="70">
        <v>0.47754177318428898</v>
      </c>
      <c r="I79" s="36">
        <v>3.3444810000000024E-3</v>
      </c>
      <c r="J79" s="36">
        <f>I79</f>
        <v>3.3444810000000024E-3</v>
      </c>
      <c r="K79" s="72">
        <v>3344481</v>
      </c>
      <c r="L79" s="36">
        <v>3.333332781844436E-3</v>
      </c>
      <c r="M79" s="36">
        <v>2.9387370815043123E-2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157</v>
      </c>
      <c r="B82" s="95" t="s">
        <v>153</v>
      </c>
      <c r="C82" s="95"/>
      <c r="D82" s="90"/>
      <c r="E82" s="89"/>
      <c r="F82" s="91"/>
      <c r="G82" s="95" t="s">
        <v>157</v>
      </c>
      <c r="H82" s="95" t="s">
        <v>153</v>
      </c>
      <c r="I82" s="88"/>
      <c r="J82" s="88"/>
      <c r="K82" s="92"/>
      <c r="L82" s="93"/>
      <c r="M82" s="93"/>
      <c r="N82" s="91"/>
      <c r="O82" s="95" t="s">
        <v>157</v>
      </c>
      <c r="P82" s="95" t="s">
        <v>153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181</v>
      </c>
      <c r="B84" s="65"/>
      <c r="C84" s="1"/>
      <c r="D84" s="1"/>
      <c r="E84" s="1"/>
      <c r="G84" s="65" t="s">
        <v>165</v>
      </c>
      <c r="H84" s="38"/>
      <c r="I84" s="38"/>
      <c r="J84" s="38"/>
      <c r="K84" s="38"/>
      <c r="L84" s="38"/>
      <c r="M84" s="38"/>
    </row>
    <row r="85" spans="1:21" x14ac:dyDescent="0.3">
      <c r="A85" s="9" t="s">
        <v>171</v>
      </c>
      <c r="B85" s="9" t="s">
        <v>168</v>
      </c>
      <c r="C85" s="9" t="s">
        <v>169</v>
      </c>
      <c r="D85" s="9" t="s">
        <v>170</v>
      </c>
      <c r="E85" s="9" t="s">
        <v>149</v>
      </c>
      <c r="G85" s="9" t="s">
        <v>171</v>
      </c>
      <c r="H85" s="9" t="s">
        <v>172</v>
      </c>
      <c r="I85" s="9" t="s">
        <v>173</v>
      </c>
      <c r="J85" s="9" t="s">
        <v>174</v>
      </c>
      <c r="K85" s="9" t="s">
        <v>175</v>
      </c>
      <c r="L85" s="9" t="s">
        <v>150</v>
      </c>
      <c r="M85" s="9" t="s">
        <v>176</v>
      </c>
      <c r="O85" s="9" t="s">
        <v>166</v>
      </c>
      <c r="P85" s="9" t="s">
        <v>167</v>
      </c>
      <c r="Q85" s="12" t="s">
        <v>182</v>
      </c>
      <c r="R85" s="12" t="s">
        <v>177</v>
      </c>
      <c r="T85" s="12" t="s">
        <v>182</v>
      </c>
      <c r="U85" s="12" t="s">
        <v>178</v>
      </c>
    </row>
    <row r="86" spans="1:21" x14ac:dyDescent="0.3">
      <c r="A86" s="14" t="str">
        <f t="shared" ref="A86:A117" si="4">"("&amp;$O86&amp;", "&amp;$P86&amp;"]"</f>
        <v>(-1, 0]</v>
      </c>
      <c r="B86" s="67">
        <v>25733</v>
      </c>
      <c r="C86" s="67">
        <v>0</v>
      </c>
      <c r="D86" s="36" cm="1">
        <f t="array" ref="D86:D149">_xlfn.LET(_xlpm.x, B86:B149, _xlpm.x/SUM(_xlpm.x))</f>
        <v>3.6742868174019522E-3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10103</v>
      </c>
      <c r="C87" s="75">
        <v>620285</v>
      </c>
      <c r="D87" s="36">
        <v>1.4425570169125995E-3</v>
      </c>
      <c r="E87" s="69">
        <v>0.61396119964367013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12745</v>
      </c>
      <c r="C88" s="75">
        <v>1986100</v>
      </c>
      <c r="D88" s="36">
        <v>1.8197950292537942E-3</v>
      </c>
      <c r="E88" s="69">
        <v>1.5583366025892509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12974</v>
      </c>
      <c r="C89" s="75">
        <v>3346690</v>
      </c>
      <c r="D89" s="36">
        <v>1.8524927979237916E-3</v>
      </c>
      <c r="E89" s="69">
        <v>2.5795359950670571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13264</v>
      </c>
      <c r="C90" s="75">
        <v>4759360</v>
      </c>
      <c r="D90" s="36">
        <v>1.8939004525713868E-3</v>
      </c>
      <c r="E90" s="69">
        <v>3.5881785283474068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13259</v>
      </c>
      <c r="C91" s="75">
        <v>6071400</v>
      </c>
      <c r="D91" s="36">
        <v>1.8931865274912558E-3</v>
      </c>
      <c r="E91" s="69">
        <v>4.5790783618674107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14611</v>
      </c>
      <c r="C92" s="75">
        <v>8170270</v>
      </c>
      <c r="D92" s="36">
        <v>2.0862318691586652E-3</v>
      </c>
      <c r="E92" s="69">
        <v>5.5918622955307651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13100</v>
      </c>
      <c r="C93" s="75">
        <v>8615115</v>
      </c>
      <c r="D93" s="36">
        <v>1.8704837099430916E-3</v>
      </c>
      <c r="E93" s="69">
        <v>6.576423664122137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14716</v>
      </c>
      <c r="C94" s="75">
        <v>11128800</v>
      </c>
      <c r="D94" s="36">
        <v>2.1012242958414148E-3</v>
      </c>
      <c r="E94" s="69">
        <v>7.5623810818157109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14381</v>
      </c>
      <c r="C95" s="75">
        <v>12340410</v>
      </c>
      <c r="D95" s="36">
        <v>2.0533913154726414E-3</v>
      </c>
      <c r="E95" s="69">
        <v>8.5810513872470615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14299</v>
      </c>
      <c r="C96" s="75">
        <v>13696660</v>
      </c>
      <c r="D96" s="36">
        <v>2.0416829441584935E-3</v>
      </c>
      <c r="E96" s="69">
        <v>9.5787537590041261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73611</v>
      </c>
      <c r="C97" s="75">
        <v>92606940</v>
      </c>
      <c r="D97" s="36">
        <v>1.0510547814703886E-2</v>
      </c>
      <c r="E97" s="69">
        <v>12.580584423523657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74130</v>
      </c>
      <c r="C98" s="75">
        <v>130221780</v>
      </c>
      <c r="D98" s="36">
        <v>1.0584653238021479E-2</v>
      </c>
      <c r="E98" s="69">
        <v>17.566677458518818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74193</v>
      </c>
      <c r="C99" s="75">
        <v>167349120</v>
      </c>
      <c r="D99" s="36">
        <v>1.059364869403113E-2</v>
      </c>
      <c r="E99" s="69">
        <v>22.555917674174111</v>
      </c>
      <c r="F99" s="73"/>
      <c r="G99" s="14" t="str">
        <f t="shared" si="5"/>
        <v>(20, 25]</v>
      </c>
      <c r="H99" s="70">
        <v>3.8569541222394599</v>
      </c>
      <c r="I99" s="36">
        <v>4.0859217000000038E-2</v>
      </c>
      <c r="J99" s="36">
        <v>4.0859217000000052E-2</v>
      </c>
      <c r="K99" s="71">
        <v>40859217</v>
      </c>
      <c r="L99" s="36">
        <v>4.0859217122577653E-2</v>
      </c>
      <c r="M99" s="36">
        <v>0.92161713764806674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75361</v>
      </c>
      <c r="C100" s="75">
        <v>207784195</v>
      </c>
      <c r="D100" s="36">
        <v>1.076042159274972E-2</v>
      </c>
      <c r="E100" s="69">
        <v>27.571846843858228</v>
      </c>
      <c r="F100" s="73"/>
      <c r="G100" s="14" t="str">
        <f t="shared" si="5"/>
        <v>(25, 30]</v>
      </c>
      <c r="H100" s="70">
        <v>15.7075028653044</v>
      </c>
      <c r="I100" s="36">
        <v>0.16901935299999957</v>
      </c>
      <c r="J100" s="36">
        <v>0.16901935299999962</v>
      </c>
      <c r="K100" s="71">
        <v>169019353</v>
      </c>
      <c r="L100" s="36">
        <v>0.16901935350705807</v>
      </c>
      <c r="M100" s="36">
        <v>4.6601757285445373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73518</v>
      </c>
      <c r="C101" s="75">
        <v>239242930</v>
      </c>
      <c r="D101" s="36">
        <v>1.0497268808213452E-2</v>
      </c>
      <c r="E101" s="69">
        <v>32.542089012214696</v>
      </c>
      <c r="F101" s="73"/>
      <c r="G101" s="14" t="str">
        <f t="shared" si="5"/>
        <v>(30, 35]</v>
      </c>
      <c r="H101" s="70">
        <v>5.9143616434231596</v>
      </c>
      <c r="I101" s="36">
        <v>6.2084643999999981E-2</v>
      </c>
      <c r="J101" s="36">
        <v>6.2084644000000001E-2</v>
      </c>
      <c r="K101" s="71">
        <v>62084644</v>
      </c>
      <c r="L101" s="36">
        <v>6.208464418625393E-2</v>
      </c>
      <c r="M101" s="36">
        <v>2.0203640174007531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73974</v>
      </c>
      <c r="C102" s="75">
        <v>277797260</v>
      </c>
      <c r="D102" s="36">
        <v>1.0562378775521394E-2</v>
      </c>
      <c r="E102" s="69">
        <v>37.553364695703891</v>
      </c>
      <c r="F102" s="73"/>
      <c r="G102" s="14" t="str">
        <f t="shared" si="5"/>
        <v>(35, 40]</v>
      </c>
      <c r="H102" s="70">
        <v>10.100531165124201</v>
      </c>
      <c r="I102" s="36">
        <v>0.10668563600000024</v>
      </c>
      <c r="J102" s="36">
        <v>0.10668563600000028</v>
      </c>
      <c r="K102" s="71">
        <v>106685636</v>
      </c>
      <c r="L102" s="36">
        <v>0.10668563632005691</v>
      </c>
      <c r="M102" s="36">
        <v>4.00640460852033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72529</v>
      </c>
      <c r="C103" s="75">
        <v>308729305</v>
      </c>
      <c r="D103" s="36">
        <v>1.0356054427363549E-2</v>
      </c>
      <c r="E103" s="69">
        <v>42.566325883439731</v>
      </c>
      <c r="F103" s="73"/>
      <c r="G103" s="14" t="str">
        <f t="shared" si="5"/>
        <v>(40, 45]</v>
      </c>
      <c r="H103" s="70">
        <v>8.7417848790745794</v>
      </c>
      <c r="I103" s="36">
        <v>9.0530400000000025E-2</v>
      </c>
      <c r="J103" s="36">
        <v>9.0530400000000052E-2</v>
      </c>
      <c r="K103" s="71">
        <v>90530400</v>
      </c>
      <c r="L103" s="36">
        <v>9.0530400271591205E-2</v>
      </c>
      <c r="M103" s="36">
        <v>3.8535465203187917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71665</v>
      </c>
      <c r="C104" s="75">
        <v>340734250</v>
      </c>
      <c r="D104" s="36">
        <v>1.023268817351692E-2</v>
      </c>
      <c r="E104" s="69">
        <v>47.545419660922342</v>
      </c>
      <c r="F104" s="73"/>
      <c r="G104" s="14" t="str">
        <f t="shared" si="5"/>
        <v>(45, 50]</v>
      </c>
      <c r="H104" s="70">
        <v>7.3926318986031099</v>
      </c>
      <c r="I104" s="36">
        <v>7.5646496999999979E-2</v>
      </c>
      <c r="J104" s="36">
        <v>7.5646497000000007E-2</v>
      </c>
      <c r="K104" s="71">
        <v>75646497</v>
      </c>
      <c r="L104" s="36">
        <v>7.5646497226939488E-2</v>
      </c>
      <c r="M104" s="36">
        <v>3.5966444565336362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141059</v>
      </c>
      <c r="C105" s="75">
        <v>776296860</v>
      </c>
      <c r="D105" s="36">
        <v>2.0141111575638363E-2</v>
      </c>
      <c r="E105" s="69">
        <v>55.033486697055842</v>
      </c>
      <c r="F105" s="73"/>
      <c r="G105" s="14" t="str">
        <f t="shared" si="5"/>
        <v>(50, 60]</v>
      </c>
      <c r="H105" s="70">
        <v>3.5042724297982599</v>
      </c>
      <c r="I105" s="36">
        <v>7.0579942000000104E-2</v>
      </c>
      <c r="J105" s="36">
        <v>7.0579942000000132E-2</v>
      </c>
      <c r="K105" s="71">
        <v>70579942</v>
      </c>
      <c r="L105" s="36">
        <v>7.0579942211739827E-2</v>
      </c>
      <c r="M105" s="36">
        <v>3.8842603107887537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136780</v>
      </c>
      <c r="C106" s="75">
        <v>889498060</v>
      </c>
      <c r="D106" s="36">
        <v>1.9530134492062295E-2</v>
      </c>
      <c r="E106" s="69">
        <v>65.03129551103963</v>
      </c>
      <c r="F106" s="73"/>
      <c r="G106" s="14" t="str">
        <f t="shared" si="5"/>
        <v>(60, 70]</v>
      </c>
      <c r="H106" s="70">
        <v>4.7063431149108403</v>
      </c>
      <c r="I106" s="36">
        <v>9.1915514000000101E-2</v>
      </c>
      <c r="J106" s="36">
        <v>9.1915514000000129E-2</v>
      </c>
      <c r="K106" s="71">
        <v>91915514</v>
      </c>
      <c r="L106" s="36">
        <v>9.191551427574654E-2</v>
      </c>
      <c r="M106" s="36">
        <v>5.9773849709152547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133347</v>
      </c>
      <c r="C107" s="75">
        <v>1000522670</v>
      </c>
      <c r="D107" s="36">
        <v>1.9039953532044386E-2</v>
      </c>
      <c r="E107" s="69">
        <v>75.03150952027417</v>
      </c>
      <c r="F107" s="73"/>
      <c r="G107" s="14" t="str">
        <f t="shared" si="5"/>
        <v>(70, 80]</v>
      </c>
      <c r="H107" s="70">
        <v>2.2003202859446098</v>
      </c>
      <c r="I107" s="36">
        <v>4.1893995999999989E-2</v>
      </c>
      <c r="J107" s="36">
        <v>4.1893996000000003E-2</v>
      </c>
      <c r="K107" s="71">
        <v>41893996</v>
      </c>
      <c r="L107" s="36">
        <v>4.1893996125681988E-2</v>
      </c>
      <c r="M107" s="36">
        <v>3.1433697691464375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129227</v>
      </c>
      <c r="C108" s="75">
        <v>1098874310</v>
      </c>
      <c r="D108" s="36">
        <v>1.8451679266016482E-2</v>
      </c>
      <c r="E108" s="69">
        <v>85.03442082536931</v>
      </c>
      <c r="F108" s="73"/>
      <c r="G108" s="14" t="str">
        <f t="shared" si="5"/>
        <v>(80, 90]</v>
      </c>
      <c r="H108" s="70">
        <v>4.1393168014072597</v>
      </c>
      <c r="I108" s="36">
        <v>7.6377345999999999E-2</v>
      </c>
      <c r="J108" s="36">
        <v>7.6377346000000026E-2</v>
      </c>
      <c r="K108" s="71">
        <v>76377346</v>
      </c>
      <c r="L108" s="36">
        <v>7.6377346229132045E-2</v>
      </c>
      <c r="M108" s="36">
        <v>6.4947034007729485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125018</v>
      </c>
      <c r="C109" s="75">
        <v>1187983350</v>
      </c>
      <c r="D109" s="36">
        <v>1.7850697133562247E-2</v>
      </c>
      <c r="E109" s="69">
        <v>95.024984402246076</v>
      </c>
      <c r="F109" s="73"/>
      <c r="G109" s="14" t="str">
        <f t="shared" si="5"/>
        <v>(90, 100]</v>
      </c>
      <c r="H109" s="81">
        <v>1.56025458230616</v>
      </c>
      <c r="I109" s="79">
        <v>2.7851631999999932E-2</v>
      </c>
      <c r="J109" s="79">
        <v>2.7851631999999942E-2</v>
      </c>
      <c r="K109" s="71">
        <v>27851631</v>
      </c>
      <c r="L109" s="79">
        <v>2.7851631083554894E-2</v>
      </c>
      <c r="M109" s="79">
        <v>2.646600809291916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238296</v>
      </c>
      <c r="C110" s="75">
        <v>2619871495</v>
      </c>
      <c r="D110" s="36">
        <v>3.4025098178977017E-2</v>
      </c>
      <c r="E110" s="69">
        <v>109.94189978010542</v>
      </c>
      <c r="F110" s="73"/>
      <c r="G110" s="14" t="str">
        <f t="shared" si="5"/>
        <v>(100, 120]</v>
      </c>
      <c r="H110" s="81">
        <v>1.7824706245072</v>
      </c>
      <c r="I110" s="79">
        <v>6.0648737999999959E-2</v>
      </c>
      <c r="J110" s="79">
        <v>6.064873799999998E-2</v>
      </c>
      <c r="K110" s="71">
        <v>60648738</v>
      </c>
      <c r="L110" s="79">
        <v>6.0648738181946216E-2</v>
      </c>
      <c r="M110" s="79">
        <v>6.6678374949893833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224748</v>
      </c>
      <c r="C111" s="75">
        <v>2920951700</v>
      </c>
      <c r="D111" s="36">
        <v>3.2090646781854193E-2</v>
      </c>
      <c r="E111" s="69">
        <v>129.9656370690729</v>
      </c>
      <c r="F111" s="73"/>
      <c r="G111" s="14" t="str">
        <f t="shared" si="5"/>
        <v>(120, 140]</v>
      </c>
      <c r="H111" s="81">
        <v>0.628042872959368</v>
      </c>
      <c r="I111" s="79">
        <v>2.0154302000000006E-2</v>
      </c>
      <c r="J111" s="79">
        <v>2.0154302000000013E-2</v>
      </c>
      <c r="K111" s="71">
        <v>20154302</v>
      </c>
      <c r="L111" s="79">
        <v>2.0154302060462904E-2</v>
      </c>
      <c r="M111" s="79">
        <v>2.6193667069705899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209650</v>
      </c>
      <c r="C112" s="75">
        <v>3143246085</v>
      </c>
      <c r="D112" s="36">
        <v>2.9934878609890775E-2</v>
      </c>
      <c r="E112" s="69">
        <v>149.92826544240401</v>
      </c>
      <c r="F112" s="73"/>
      <c r="G112" s="14" t="str">
        <f t="shared" si="5"/>
        <v>(140, 160]</v>
      </c>
      <c r="H112" s="81">
        <v>0.97942591924567601</v>
      </c>
      <c r="I112" s="79">
        <v>2.9318995999999996E-2</v>
      </c>
      <c r="J112" s="79">
        <v>2.9318996000000007E-2</v>
      </c>
      <c r="K112" s="71">
        <v>29318996</v>
      </c>
      <c r="L112" s="79">
        <v>2.9318996087956989E-2</v>
      </c>
      <c r="M112" s="79">
        <v>4.3957462279800206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198734</v>
      </c>
      <c r="C113" s="75">
        <v>3377478315</v>
      </c>
      <c r="D113" s="36">
        <v>2.8376237374948883E-2</v>
      </c>
      <c r="E113" s="69">
        <v>169.94969733412501</v>
      </c>
      <c r="F113" s="73"/>
      <c r="G113" s="14" t="str">
        <f t="shared" si="5"/>
        <v>(160, 180]</v>
      </c>
      <c r="H113" s="81">
        <v>0.49051859187955799</v>
      </c>
      <c r="I113" s="79">
        <v>1.3919072000000011E-2</v>
      </c>
      <c r="J113" s="79">
        <v>1.3919072000000017E-2</v>
      </c>
      <c r="K113" s="71">
        <v>13919072</v>
      </c>
      <c r="L113" s="79">
        <v>1.3919072041757217E-2</v>
      </c>
      <c r="M113" s="79">
        <v>2.3655420806685203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187485</v>
      </c>
      <c r="C114" s="75">
        <v>3561092465</v>
      </c>
      <c r="D114" s="36">
        <v>2.677004872967027E-2</v>
      </c>
      <c r="E114" s="69">
        <v>189.94012667680082</v>
      </c>
      <c r="F114" s="73"/>
      <c r="G114" s="14" t="str">
        <f t="shared" si="5"/>
        <v>(180, 200]</v>
      </c>
      <c r="H114" s="81">
        <v>0.54013655880924905</v>
      </c>
      <c r="I114" s="79">
        <v>1.4459482000000008E-2</v>
      </c>
      <c r="J114" s="79">
        <v>1.4459482000000013E-2</v>
      </c>
      <c r="K114" s="71">
        <v>14459482</v>
      </c>
      <c r="L114" s="79">
        <v>1.4459482043378446E-2</v>
      </c>
      <c r="M114" s="79">
        <v>2.7464358510002289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422002</v>
      </c>
      <c r="C115" s="75">
        <v>9472199210</v>
      </c>
      <c r="D115" s="36">
        <v>6.0255562333084316E-2</v>
      </c>
      <c r="E115" s="69">
        <v>224.45863313444013</v>
      </c>
      <c r="F115" s="73"/>
      <c r="G115" s="14" t="str">
        <f t="shared" si="5"/>
        <v>(200, 250]</v>
      </c>
      <c r="H115" s="81">
        <v>1.7062574145715E-2</v>
      </c>
      <c r="I115" s="79">
        <v>1.0281150000000031E-3</v>
      </c>
      <c r="J115" s="79">
        <v>1.0281150000000035E-3</v>
      </c>
      <c r="K115" s="71">
        <v>1028115</v>
      </c>
      <c r="L115" s="79">
        <v>1.0281150030843451E-3</v>
      </c>
      <c r="M115" s="79">
        <v>0.23076928829732279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368119</v>
      </c>
      <c r="C116" s="75">
        <v>10104365770</v>
      </c>
      <c r="D116" s="36">
        <v>5.2561877314545112E-2</v>
      </c>
      <c r="E116" s="69">
        <v>274.48639624686581</v>
      </c>
      <c r="F116" s="73"/>
      <c r="G116" s="14" t="str">
        <f t="shared" si="5"/>
        <v>(250, 300]</v>
      </c>
      <c r="H116" s="81">
        <v>1.5995071769770101E-2</v>
      </c>
      <c r="I116" s="79">
        <v>8.4073100000000005E-4</v>
      </c>
      <c r="J116" s="79">
        <v>8.4073100000000038E-4</v>
      </c>
      <c r="K116" s="71">
        <v>840731</v>
      </c>
      <c r="L116" s="79">
        <v>8.4073100252219301E-4</v>
      </c>
      <c r="M116" s="79">
        <v>0.2307692230953314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321405</v>
      </c>
      <c r="C117" s="75">
        <v>10428962590</v>
      </c>
      <c r="D117" s="36">
        <v>4.5891818075897664E-2</v>
      </c>
      <c r="E117" s="69">
        <v>324.48040914111482</v>
      </c>
      <c r="F117" s="73"/>
      <c r="G117" s="14" t="str">
        <f t="shared" si="5"/>
        <v>(300, 350]</v>
      </c>
      <c r="H117" s="81">
        <v>1.54972286960564E-2</v>
      </c>
      <c r="I117" s="79">
        <v>7.1119600000000107E-4</v>
      </c>
      <c r="J117" s="79">
        <v>7.1119600000000129E-4</v>
      </c>
      <c r="K117" s="71">
        <v>711196</v>
      </c>
      <c r="L117" s="79">
        <v>7.11196002133588E-4</v>
      </c>
      <c r="M117" s="79">
        <v>0.23076916975183179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283712</v>
      </c>
      <c r="C118" s="75">
        <v>10625548070</v>
      </c>
      <c r="D118" s="36">
        <v>4.050982246682247E-2</v>
      </c>
      <c r="E118" s="69">
        <v>374.51881027238886</v>
      </c>
      <c r="F118" s="73"/>
      <c r="G118" s="14" t="str">
        <f t="shared" ref="G118:G149" si="7">"("&amp;$O118&amp;", "&amp;$P118&amp;"]"</f>
        <v>(350, 400]</v>
      </c>
      <c r="H118" s="81">
        <v>1.5210508525546999E-2</v>
      </c>
      <c r="I118" s="79">
        <v>6.1617499999999854E-4</v>
      </c>
      <c r="J118" s="79">
        <v>6.1617499999999875E-4</v>
      </c>
      <c r="K118" s="71">
        <v>616174</v>
      </c>
      <c r="L118" s="79">
        <v>6.1617400184852203E-4</v>
      </c>
      <c r="M118" s="79">
        <v>0.2307687540930852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250380</v>
      </c>
      <c r="C119" s="75">
        <v>10628587395</v>
      </c>
      <c r="D119" s="36">
        <v>3.5750512312637504E-2</v>
      </c>
      <c r="E119" s="69">
        <v>424.49825844716031</v>
      </c>
      <c r="F119" s="73"/>
      <c r="G119" s="14" t="str">
        <f t="shared" si="7"/>
        <v>(400, 450]</v>
      </c>
      <c r="H119" s="81">
        <v>1.5206159711670299E-2</v>
      </c>
      <c r="I119" s="79">
        <v>5.436280000000014E-4</v>
      </c>
      <c r="J119" s="79">
        <v>5.4362800000000162E-4</v>
      </c>
      <c r="K119" s="71">
        <v>543628</v>
      </c>
      <c r="L119" s="79">
        <v>5.4362800163088401E-4</v>
      </c>
      <c r="M119" s="79">
        <v>0.23076913993542028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223043</v>
      </c>
      <c r="C120" s="75">
        <v>10583930920</v>
      </c>
      <c r="D120" s="36">
        <v>3.1847198329529543E-2</v>
      </c>
      <c r="E120" s="69">
        <v>474.52423613383968</v>
      </c>
      <c r="F120" s="73"/>
      <c r="G120" s="14" t="str">
        <f t="shared" si="7"/>
        <v>(450, 500]</v>
      </c>
      <c r="H120" s="81">
        <v>1.52703228386993E-2</v>
      </c>
      <c r="I120" s="79">
        <v>4.8631700000000119E-4</v>
      </c>
      <c r="J120" s="79">
        <v>4.8631700000000135E-4</v>
      </c>
      <c r="K120" s="71">
        <v>486317</v>
      </c>
      <c r="L120" s="79">
        <v>4.8631700145895101E-4</v>
      </c>
      <c r="M120" s="79">
        <v>0.23076920363620812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199354</v>
      </c>
      <c r="C121" s="75">
        <v>10457453505</v>
      </c>
      <c r="D121" s="36">
        <v>2.846476408488512E-2</v>
      </c>
      <c r="E121" s="69">
        <v>524.56702674639087</v>
      </c>
      <c r="F121" s="73"/>
      <c r="G121" s="14" t="str">
        <f t="shared" si="7"/>
        <v>(500, 550]</v>
      </c>
      <c r="H121" s="81">
        <v>1.5455002496704401E-2</v>
      </c>
      <c r="I121" s="79">
        <v>4.399230000000013E-4</v>
      </c>
      <c r="J121" s="79">
        <v>4.3992300000000146E-4</v>
      </c>
      <c r="K121" s="71">
        <v>439923</v>
      </c>
      <c r="L121" s="79">
        <v>4.39923001319769E-4</v>
      </c>
      <c r="M121" s="79">
        <v>0.23076910079965982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177640</v>
      </c>
      <c r="C122" s="75">
        <v>10206550410</v>
      </c>
      <c r="D122" s="36">
        <v>2.5364330246892428E-2</v>
      </c>
      <c r="E122" s="69">
        <v>574.56374746678671</v>
      </c>
      <c r="F122" s="73"/>
      <c r="G122" s="14" t="str">
        <f t="shared" si="7"/>
        <v>(550, 600]</v>
      </c>
      <c r="H122" s="70">
        <v>1.58349538935375E-2</v>
      </c>
      <c r="I122" s="36">
        <v>4.0164300000000019E-4</v>
      </c>
      <c r="J122" s="36">
        <v>4.016430000000003E-4</v>
      </c>
      <c r="K122" s="71">
        <v>401643</v>
      </c>
      <c r="L122" s="36">
        <v>4.0164300120492898E-4</v>
      </c>
      <c r="M122" s="36">
        <v>0.23076950791611112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160014</v>
      </c>
      <c r="C123" s="75">
        <v>9993632010</v>
      </c>
      <c r="D123" s="36">
        <v>2.2847601554414797E-2</v>
      </c>
      <c r="E123" s="69">
        <v>624.54735273163601</v>
      </c>
      <c r="F123" s="73"/>
      <c r="G123" s="14" t="str">
        <f t="shared" si="7"/>
        <v>(600, 650]</v>
      </c>
      <c r="H123" s="70">
        <v>1.6172288330571102E-2</v>
      </c>
      <c r="I123" s="36">
        <v>3.694980000000006E-4</v>
      </c>
      <c r="J123" s="36">
        <v>3.6949800000000071E-4</v>
      </c>
      <c r="K123" s="71">
        <v>369498</v>
      </c>
      <c r="L123" s="36">
        <v>3.69498001108494E-4</v>
      </c>
      <c r="M123" s="36">
        <v>0.23076899843194104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144165</v>
      </c>
      <c r="C124" s="75">
        <v>9724431615</v>
      </c>
      <c r="D124" s="36">
        <v>2.058460183541571E-2</v>
      </c>
      <c r="E124" s="69">
        <v>674.53484653001772</v>
      </c>
      <c r="F124" s="73"/>
      <c r="G124" s="14" t="str">
        <f t="shared" si="7"/>
        <v>(650, 700]</v>
      </c>
      <c r="H124" s="70">
        <v>1.6619995991925901E-2</v>
      </c>
      <c r="I124" s="36">
        <v>3.4211599999999962E-4</v>
      </c>
      <c r="J124" s="36">
        <v>3.4211599999999973E-4</v>
      </c>
      <c r="K124" s="71">
        <v>342116</v>
      </c>
      <c r="L124" s="36">
        <v>3.4211600102634801E-4</v>
      </c>
      <c r="M124" s="36">
        <v>0.23076916424777102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130027</v>
      </c>
      <c r="C125" s="75">
        <v>9422349115</v>
      </c>
      <c r="D125" s="36">
        <v>1.8565907278837432E-2</v>
      </c>
      <c r="E125" s="69">
        <v>724.64558245595151</v>
      </c>
      <c r="F125" s="73"/>
      <c r="G125" s="14" t="str">
        <f t="shared" si="7"/>
        <v>(700, 750]</v>
      </c>
      <c r="H125" s="70">
        <v>1.7152838006629399E-2</v>
      </c>
      <c r="I125" s="36">
        <v>3.1845800000000009E-4</v>
      </c>
      <c r="J125" s="36">
        <v>3.184580000000002E-4</v>
      </c>
      <c r="K125" s="71">
        <v>318458</v>
      </c>
      <c r="L125" s="36">
        <v>3.18458000955374E-4</v>
      </c>
      <c r="M125" s="36">
        <v>0.23076918359006496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118105</v>
      </c>
      <c r="C126" s="75">
        <v>9148586635</v>
      </c>
      <c r="D126" s="36">
        <v>1.6863624317773194E-2</v>
      </c>
      <c r="E126" s="69">
        <v>774.61467634731798</v>
      </c>
      <c r="F126" s="73"/>
      <c r="G126" s="14" t="str">
        <f t="shared" si="7"/>
        <v>(750, 800]</v>
      </c>
      <c r="H126" s="70">
        <v>1.7666131217476001E-2</v>
      </c>
      <c r="I126" s="36">
        <v>2.9791500000000043E-4</v>
      </c>
      <c r="J126" s="36">
        <v>2.9791500000000054E-4</v>
      </c>
      <c r="K126" s="71">
        <v>297915</v>
      </c>
      <c r="L126" s="36">
        <v>2.9791500089374498E-4</v>
      </c>
      <c r="M126" s="36">
        <v>0.23076933199631922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107681</v>
      </c>
      <c r="C127" s="75">
        <v>8879504370</v>
      </c>
      <c r="D127" s="36">
        <v>1.5375233310716187E-2</v>
      </c>
      <c r="E127" s="69">
        <v>824.61199004466891</v>
      </c>
      <c r="F127" s="73"/>
      <c r="G127" s="14" t="str">
        <f t="shared" si="7"/>
        <v>(800, 850]</v>
      </c>
      <c r="H127" s="70">
        <v>1.82014798959148E-2</v>
      </c>
      <c r="I127" s="36">
        <v>2.7985200000000025E-4</v>
      </c>
      <c r="J127" s="36">
        <v>2.7985200000000036E-4</v>
      </c>
      <c r="K127" s="71">
        <v>279852</v>
      </c>
      <c r="L127" s="36">
        <v>2.7985200083955599E-4</v>
      </c>
      <c r="M127" s="36">
        <v>0.23076931533028863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97799</v>
      </c>
      <c r="C128" s="75">
        <v>8554827365</v>
      </c>
      <c r="D128" s="36">
        <v>1.3964231782345375E-2</v>
      </c>
      <c r="E128" s="69">
        <v>874.7356685651182</v>
      </c>
      <c r="F128" s="73"/>
      <c r="G128" s="14" t="str">
        <f t="shared" si="7"/>
        <v>(850, 900]</v>
      </c>
      <c r="H128" s="70">
        <v>1.8892267337866399E-2</v>
      </c>
      <c r="I128" s="36">
        <v>2.638159999999994E-4</v>
      </c>
      <c r="J128" s="36">
        <v>2.6381599999999951E-4</v>
      </c>
      <c r="K128" s="72">
        <v>263816</v>
      </c>
      <c r="L128" s="36">
        <v>2.6381600079144801E-4</v>
      </c>
      <c r="M128" s="36">
        <v>0.23076926583048302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89240</v>
      </c>
      <c r="C129" s="75">
        <v>8251438340</v>
      </c>
      <c r="D129" s="36">
        <v>1.2742134830177214E-2</v>
      </c>
      <c r="E129" s="69">
        <v>924.63450694755704</v>
      </c>
      <c r="F129" s="73"/>
      <c r="G129" s="14" t="str">
        <f t="shared" si="7"/>
        <v>(900, 950]</v>
      </c>
      <c r="H129" s="70">
        <v>1.9586906223039002E-2</v>
      </c>
      <c r="I129" s="36">
        <v>2.495790000000001E-4</v>
      </c>
      <c r="J129" s="36">
        <v>2.4957900000000021E-4</v>
      </c>
      <c r="K129" s="72">
        <v>249579</v>
      </c>
      <c r="L129" s="36">
        <v>2.49579000748737E-4</v>
      </c>
      <c r="M129" s="36">
        <v>0.23076935630177239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81261</v>
      </c>
      <c r="C130" s="75">
        <v>7921331040</v>
      </c>
      <c r="D130" s="36">
        <v>1.1602853187304241E-2</v>
      </c>
      <c r="E130" s="69">
        <v>974.80107800790051</v>
      </c>
      <c r="F130" s="73"/>
      <c r="G130" s="14" t="str">
        <f t="shared" si="7"/>
        <v>(950, 1000]</v>
      </c>
      <c r="H130" s="70">
        <v>2.0403171200945099E-2</v>
      </c>
      <c r="I130" s="36">
        <v>2.3673499999999993E-4</v>
      </c>
      <c r="J130" s="36">
        <v>2.3673500000000002E-4</v>
      </c>
      <c r="K130" s="72">
        <v>236735</v>
      </c>
      <c r="L130" s="36">
        <v>2.36735000710205E-4</v>
      </c>
      <c r="M130" s="36">
        <v>0.23076953389450891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818533</v>
      </c>
      <c r="C131" s="75">
        <v>113678095185</v>
      </c>
      <c r="D131" s="36">
        <v>0.11687424752296555</v>
      </c>
      <c r="E131" s="69">
        <v>1388.8028361104562</v>
      </c>
      <c r="F131" s="73"/>
      <c r="G131" s="14" t="str">
        <f t="shared" si="7"/>
        <v>(1000, 2000]</v>
      </c>
      <c r="H131" s="70">
        <v>1.4217332177248799E-3</v>
      </c>
      <c r="I131" s="36">
        <v>1.6616399999999987E-4</v>
      </c>
      <c r="J131" s="36">
        <v>1.6616399999999992E-4</v>
      </c>
      <c r="K131" s="72">
        <v>166164</v>
      </c>
      <c r="L131" s="36">
        <v>1.6616400049849201E-4</v>
      </c>
      <c r="M131" s="36">
        <v>0.23076903515176495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259696</v>
      </c>
      <c r="C132" s="75">
        <v>62938649725</v>
      </c>
      <c r="D132" s="36">
        <v>3.7080697521937489E-2</v>
      </c>
      <c r="E132" s="69">
        <v>2423.5509875007701</v>
      </c>
      <c r="F132" s="73"/>
      <c r="G132" s="14" t="str">
        <f t="shared" si="7"/>
        <v>(2000, 3000]</v>
      </c>
      <c r="H132" s="70">
        <v>5.1357987504774801E-3</v>
      </c>
      <c r="I132" s="36">
        <v>1.9043899999999996E-4</v>
      </c>
      <c r="J132" s="36">
        <v>1.9043900000000001E-4</v>
      </c>
      <c r="K132" s="72">
        <v>190439</v>
      </c>
      <c r="L132" s="36">
        <v>1.9043900057131701E-4</v>
      </c>
      <c r="M132" s="36">
        <v>0.46153862789327504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114482</v>
      </c>
      <c r="C133" s="75">
        <v>39386745855</v>
      </c>
      <c r="D133" s="36">
        <v>1.6346314204710305E-2</v>
      </c>
      <c r="E133" s="69">
        <v>3440.4313215177931</v>
      </c>
      <c r="F133" s="73"/>
      <c r="G133" s="14" t="str">
        <f t="shared" si="7"/>
        <v>(3000, 4000]</v>
      </c>
      <c r="H133" s="70">
        <v>4.1034326858021396E-3</v>
      </c>
      <c r="I133" s="36">
        <v>6.7076000000000074E-5</v>
      </c>
      <c r="J133" s="36">
        <v>6.7076000000000101E-5</v>
      </c>
      <c r="K133" s="72">
        <v>67076</v>
      </c>
      <c r="L133" s="36">
        <v>6.7076000201227997E-5</v>
      </c>
      <c r="M133" s="36">
        <v>0.23077037201443859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59903</v>
      </c>
      <c r="C134" s="75">
        <v>26662874075</v>
      </c>
      <c r="D134" s="36">
        <v>8.5532508150168718E-3</v>
      </c>
      <c r="E134" s="69">
        <v>4451.0081423301008</v>
      </c>
      <c r="F134" s="73"/>
      <c r="G134" s="14" t="str">
        <f t="shared" si="7"/>
        <v>(4000, 5000]</v>
      </c>
      <c r="H134" s="70">
        <v>6.0615549714705397E-3</v>
      </c>
      <c r="I134" s="36">
        <v>5.1845999999999964E-5</v>
      </c>
      <c r="J134" s="36">
        <v>5.1845999999999984E-5</v>
      </c>
      <c r="K134" s="72">
        <v>51846</v>
      </c>
      <c r="L134" s="36">
        <v>5.1846000155538002E-5</v>
      </c>
      <c r="M134" s="36">
        <v>0.23076696883954731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34360</v>
      </c>
      <c r="C135" s="75">
        <v>18752815435</v>
      </c>
      <c r="D135" s="36">
        <v>4.9060931506598954E-3</v>
      </c>
      <c r="E135" s="69">
        <v>5457.7460520954592</v>
      </c>
      <c r="F135" s="73"/>
      <c r="G135" s="14" t="str">
        <f t="shared" si="7"/>
        <v>(5000, 6000]</v>
      </c>
      <c r="H135" s="70">
        <v>8.6184666090803295E-3</v>
      </c>
      <c r="I135" s="36">
        <v>4.2283000000000022E-5</v>
      </c>
      <c r="J135" s="36">
        <v>4.2283000000000035E-5</v>
      </c>
      <c r="K135" s="72">
        <v>42283</v>
      </c>
      <c r="L135" s="36">
        <v>4.2283000126848999E-5</v>
      </c>
      <c r="M135" s="36">
        <v>0.23076987701306192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21474</v>
      </c>
      <c r="C136" s="75">
        <v>13876466240</v>
      </c>
      <c r="D136" s="36">
        <v>3.0661654341464085E-3</v>
      </c>
      <c r="E136" s="69">
        <v>6461.9848374778803</v>
      </c>
      <c r="F136" s="73"/>
      <c r="G136" s="14" t="str">
        <f t="shared" si="7"/>
        <v>(6000, 7000]</v>
      </c>
      <c r="H136" s="70">
        <v>1.16471210595138E-2</v>
      </c>
      <c r="I136" s="36">
        <v>3.5711999999999912E-5</v>
      </c>
      <c r="J136" s="36">
        <v>3.5711999999999925E-5</v>
      </c>
      <c r="K136" s="72">
        <v>35711</v>
      </c>
      <c r="L136" s="36">
        <v>3.5711000107133002E-5</v>
      </c>
      <c r="M136" s="36">
        <v>0.23076394122346441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13856</v>
      </c>
      <c r="C137" s="75">
        <v>10342217665</v>
      </c>
      <c r="D137" s="36">
        <v>1.9784291820588913E-3</v>
      </c>
      <c r="E137" s="69">
        <v>7464.0716404445729</v>
      </c>
      <c r="F137" s="73"/>
      <c r="G137" s="14" t="str">
        <f t="shared" si="7"/>
        <v>(7000, 8000]</v>
      </c>
      <c r="H137" s="70">
        <v>1.5627044061200902E-2</v>
      </c>
      <c r="I137" s="36">
        <v>3.0916999999999955E-5</v>
      </c>
      <c r="J137" s="36">
        <v>3.0916999999999968E-5</v>
      </c>
      <c r="K137" s="72">
        <v>30917</v>
      </c>
      <c r="L137" s="36">
        <v>3.0917000092750998E-5</v>
      </c>
      <c r="M137" s="36">
        <v>0.23076670359992496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9445</v>
      </c>
      <c r="C138" s="75">
        <v>7997671565</v>
      </c>
      <c r="D138" s="36">
        <v>1.3486044763673663E-3</v>
      </c>
      <c r="E138" s="69">
        <v>8467.6247379565903</v>
      </c>
      <c r="F138" s="73"/>
      <c r="G138" s="14" t="str">
        <f t="shared" si="7"/>
        <v>(8000, 9000]</v>
      </c>
      <c r="H138" s="70">
        <v>2.02082971527793E-2</v>
      </c>
      <c r="I138" s="36">
        <v>2.7253000000000066E-5</v>
      </c>
      <c r="J138" s="36">
        <v>2.7253000000000076E-5</v>
      </c>
      <c r="K138" s="72">
        <v>27253</v>
      </c>
      <c r="L138" s="36">
        <v>2.7253000081759E-5</v>
      </c>
      <c r="M138" s="36">
        <v>0.23076817767583549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6555</v>
      </c>
      <c r="C139" s="75">
        <v>6207601600</v>
      </c>
      <c r="D139" s="36">
        <v>9.3595578005167671E-4</v>
      </c>
      <c r="E139" s="69">
        <v>9470.0253241800165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17466</v>
      </c>
      <c r="C140" s="75">
        <v>22586001445</v>
      </c>
      <c r="D140" s="36">
        <v>2.4938830899134379E-3</v>
      </c>
      <c r="E140" s="69">
        <v>12931.410423107753</v>
      </c>
      <c r="F140" s="73"/>
      <c r="G140" s="14" t="str">
        <f t="shared" si="7"/>
        <v>(10000, 20000]</v>
      </c>
      <c r="H140" s="70">
        <v>7.1559088203366596E-3</v>
      </c>
      <c r="I140" s="36">
        <v>1.7846000000000012E-5</v>
      </c>
      <c r="J140" s="36">
        <v>1.7846000000000019E-5</v>
      </c>
      <c r="K140" s="72">
        <v>17846</v>
      </c>
      <c r="L140" s="36">
        <v>1.7846000053538E-5</v>
      </c>
      <c r="M140" s="36">
        <v>0.23077395110310281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1194</v>
      </c>
      <c r="C141" s="75">
        <v>2764219645</v>
      </c>
      <c r="D141" s="36">
        <v>1.704853091352711E-4</v>
      </c>
      <c r="E141" s="69">
        <v>23150.918299832498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95</v>
      </c>
      <c r="C142" s="75">
        <v>319282180</v>
      </c>
      <c r="D142" s="36">
        <v>1.3564576522488069E-5</v>
      </c>
      <c r="E142" s="69">
        <v>33608.650526315789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17</v>
      </c>
      <c r="C143" s="75">
        <v>72474480</v>
      </c>
      <c r="D143" s="36">
        <v>2.4273452724452335E-6</v>
      </c>
      <c r="E143" s="69">
        <v>42632.047058823526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3</v>
      </c>
      <c r="C144" s="75">
        <v>16049515</v>
      </c>
      <c r="D144" s="36">
        <v>4.2835504807857061E-7</v>
      </c>
      <c r="E144" s="69">
        <v>53498.383333333331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158</v>
      </c>
      <c r="B152" s="96" t="s">
        <v>152</v>
      </c>
      <c r="C152" s="96"/>
      <c r="D152" s="84"/>
      <c r="E152" s="84"/>
      <c r="F152" s="85"/>
      <c r="G152" s="96" t="s">
        <v>158</v>
      </c>
      <c r="H152" s="96" t="s">
        <v>152</v>
      </c>
      <c r="I152" s="86"/>
      <c r="J152" s="86"/>
      <c r="K152" s="86"/>
      <c r="L152" s="86"/>
      <c r="M152" s="86"/>
      <c r="N152" s="85"/>
      <c r="O152" s="96" t="s">
        <v>158</v>
      </c>
      <c r="P152" s="96" t="s">
        <v>152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181</v>
      </c>
      <c r="B154" s="4">
        <v>100000000</v>
      </c>
      <c r="C154" s="1"/>
      <c r="D154" s="1"/>
      <c r="E154" s="1"/>
      <c r="G154" s="65" t="s">
        <v>165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171</v>
      </c>
      <c r="B155" s="9" t="s">
        <v>168</v>
      </c>
      <c r="C155" s="9" t="s">
        <v>169</v>
      </c>
      <c r="D155" s="9" t="s">
        <v>170</v>
      </c>
      <c r="E155" s="9" t="s">
        <v>149</v>
      </c>
      <c r="G155" s="9" t="s">
        <v>171</v>
      </c>
      <c r="H155" s="9" t="s">
        <v>172</v>
      </c>
      <c r="I155" s="9" t="s">
        <v>173</v>
      </c>
      <c r="J155" s="9" t="s">
        <v>174</v>
      </c>
      <c r="K155" s="9" t="s">
        <v>175</v>
      </c>
      <c r="L155" s="9" t="s">
        <v>150</v>
      </c>
      <c r="M155" s="9" t="s">
        <v>176</v>
      </c>
    </row>
    <row r="156" spans="1:21" x14ac:dyDescent="0.3">
      <c r="A156" s="14" t="s">
        <v>180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180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158</v>
      </c>
      <c r="B159" s="96" t="s">
        <v>153</v>
      </c>
      <c r="C159" s="96"/>
      <c r="D159" s="84"/>
      <c r="E159" s="84"/>
      <c r="F159" s="85"/>
      <c r="G159" s="96" t="s">
        <v>158</v>
      </c>
      <c r="H159" s="96" t="s">
        <v>153</v>
      </c>
      <c r="I159" s="86"/>
      <c r="J159" s="86"/>
      <c r="K159" s="86"/>
      <c r="L159" s="86"/>
      <c r="M159" s="86"/>
      <c r="N159" s="85"/>
      <c r="O159" s="96" t="s">
        <v>158</v>
      </c>
      <c r="P159" s="96" t="s">
        <v>153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181</v>
      </c>
      <c r="C161" s="1"/>
      <c r="D161" s="1"/>
      <c r="E161" s="1"/>
      <c r="G161" s="65" t="s">
        <v>165</v>
      </c>
      <c r="H161" s="38"/>
      <c r="I161" s="38"/>
      <c r="J161" s="38"/>
      <c r="L161" s="38"/>
      <c r="M161" s="38"/>
    </row>
    <row r="162" spans="1:21" x14ac:dyDescent="0.3">
      <c r="A162" s="9" t="s">
        <v>171</v>
      </c>
      <c r="B162" s="9" t="s">
        <v>168</v>
      </c>
      <c r="C162" s="9" t="s">
        <v>169</v>
      </c>
      <c r="D162" s="9" t="s">
        <v>170</v>
      </c>
      <c r="E162" s="9" t="s">
        <v>149</v>
      </c>
      <c r="G162" s="9" t="s">
        <v>171</v>
      </c>
      <c r="H162" s="9" t="s">
        <v>172</v>
      </c>
      <c r="I162" s="9" t="s">
        <v>173</v>
      </c>
      <c r="J162" s="9" t="s">
        <v>174</v>
      </c>
      <c r="K162" s="9" t="s">
        <v>175</v>
      </c>
      <c r="L162" s="9" t="s">
        <v>150</v>
      </c>
      <c r="M162" s="9" t="s">
        <v>176</v>
      </c>
      <c r="O162" s="9" t="s">
        <v>166</v>
      </c>
      <c r="P162" s="9" t="s">
        <v>167</v>
      </c>
      <c r="Q162" s="12" t="s">
        <v>182</v>
      </c>
      <c r="R162" s="12" t="s">
        <v>177</v>
      </c>
      <c r="T162" s="12" t="s">
        <v>182</v>
      </c>
      <c r="U162" s="12" t="s">
        <v>178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25733</v>
      </c>
      <c r="C163" s="82">
        <v>0</v>
      </c>
      <c r="D163" s="36" cm="1">
        <f t="array" ref="D163:D226">_xlfn.LET(_xlpm.x, B163:B226, _xlpm.x/SUM(_xlpm.x))</f>
        <v>3.6742868174019522E-3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10103</v>
      </c>
      <c r="C164" s="83">
        <v>620285</v>
      </c>
      <c r="D164" s="36">
        <v>1.4425570169125995E-3</v>
      </c>
      <c r="E164" s="69">
        <v>0.61396119964367013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12745</v>
      </c>
      <c r="C165" s="83">
        <v>1986100</v>
      </c>
      <c r="D165" s="36">
        <v>1.8197950292537942E-3</v>
      </c>
      <c r="E165" s="69">
        <v>1.5583366025892509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12974</v>
      </c>
      <c r="C166" s="83">
        <v>3346690</v>
      </c>
      <c r="D166" s="36">
        <v>1.8524927979237916E-3</v>
      </c>
      <c r="E166" s="69">
        <v>2.5795359950670571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13264</v>
      </c>
      <c r="C167" s="83">
        <v>4759360</v>
      </c>
      <c r="D167" s="36">
        <v>1.8939004525713868E-3</v>
      </c>
      <c r="E167" s="69">
        <v>3.5881785283474068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13259</v>
      </c>
      <c r="C168" s="83">
        <v>6071400</v>
      </c>
      <c r="D168" s="36">
        <v>1.8931865274912558E-3</v>
      </c>
      <c r="E168" s="69">
        <v>4.5790783618674107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14611</v>
      </c>
      <c r="C169" s="83">
        <v>8170270</v>
      </c>
      <c r="D169" s="36">
        <v>2.0862318691586652E-3</v>
      </c>
      <c r="E169" s="69">
        <v>5.5918622955307651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13100</v>
      </c>
      <c r="C170" s="83">
        <v>8615115</v>
      </c>
      <c r="D170" s="36">
        <v>1.8704837099430916E-3</v>
      </c>
      <c r="E170" s="69">
        <v>6.576423664122137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14716</v>
      </c>
      <c r="C171" s="83">
        <v>11128800</v>
      </c>
      <c r="D171" s="36">
        <v>2.1012242958414148E-3</v>
      </c>
      <c r="E171" s="69">
        <v>7.5623810818157109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14381</v>
      </c>
      <c r="C172" s="83">
        <v>12340410</v>
      </c>
      <c r="D172" s="36">
        <v>2.0533913154726414E-3</v>
      </c>
      <c r="E172" s="69">
        <v>8.5810513872470615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14299</v>
      </c>
      <c r="C173" s="83">
        <v>13696660</v>
      </c>
      <c r="D173" s="36">
        <v>2.0416829441584935E-3</v>
      </c>
      <c r="E173" s="69">
        <v>9.5787537590041261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73611</v>
      </c>
      <c r="C174" s="83">
        <v>92606940</v>
      </c>
      <c r="D174" s="36">
        <v>1.0510547814703886E-2</v>
      </c>
      <c r="E174" s="69">
        <v>12.580584423523657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74130</v>
      </c>
      <c r="C175" s="83">
        <v>130221780</v>
      </c>
      <c r="D175" s="36">
        <v>1.0584653238021479E-2</v>
      </c>
      <c r="E175" s="69">
        <v>17.566677458518818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74193</v>
      </c>
      <c r="C176" s="83">
        <v>167349120</v>
      </c>
      <c r="D176" s="36">
        <v>1.059364869403113E-2</v>
      </c>
      <c r="E176" s="69">
        <v>22.555917674174111</v>
      </c>
      <c r="F176" s="73"/>
      <c r="G176" s="14" t="str">
        <f t="shared" si="9"/>
        <v>(20, 25]</v>
      </c>
      <c r="H176" s="70">
        <v>3.18216810597032</v>
      </c>
      <c r="I176" s="36">
        <v>3.3710770999999994E-2</v>
      </c>
      <c r="J176" s="36">
        <v>3.3710771E-2</v>
      </c>
      <c r="K176" s="71">
        <v>33710771</v>
      </c>
      <c r="L176" s="36">
        <v>3.3710771134843082E-2</v>
      </c>
      <c r="M176" s="36">
        <v>0.76037737845044551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75361</v>
      </c>
      <c r="C177" s="83">
        <v>207784195</v>
      </c>
      <c r="D177" s="36">
        <v>1.076042159274972E-2</v>
      </c>
      <c r="E177" s="69">
        <v>27.571846843858228</v>
      </c>
      <c r="F177" s="73"/>
      <c r="G177" s="14" t="str">
        <f t="shared" si="9"/>
        <v>(25, 30]</v>
      </c>
      <c r="H177" s="70">
        <v>13.2736860511337</v>
      </c>
      <c r="I177" s="36">
        <v>0.14283045799999983</v>
      </c>
      <c r="J177" s="36">
        <v>0.14283045799999985</v>
      </c>
      <c r="K177" s="71">
        <v>142830458</v>
      </c>
      <c r="L177" s="36">
        <v>0.14283045857132184</v>
      </c>
      <c r="M177" s="36">
        <v>3.9380995283665237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73518</v>
      </c>
      <c r="C178" s="83">
        <v>239242930</v>
      </c>
      <c r="D178" s="36">
        <v>1.0497268808213452E-2</v>
      </c>
      <c r="E178" s="69">
        <v>32.542089012214696</v>
      </c>
      <c r="F178" s="73"/>
      <c r="G178" s="14" t="str">
        <f t="shared" si="9"/>
        <v>(30, 35]</v>
      </c>
      <c r="H178" s="70">
        <v>5.1180216474940003</v>
      </c>
      <c r="I178" s="36">
        <v>5.3725248999999989E-2</v>
      </c>
      <c r="J178" s="36">
        <v>5.3725248999999996E-2</v>
      </c>
      <c r="K178" s="71">
        <v>53725249</v>
      </c>
      <c r="L178" s="36">
        <v>5.3725249214900996E-2</v>
      </c>
      <c r="M178" s="36">
        <v>1.7483318421547258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73974</v>
      </c>
      <c r="C179" s="83">
        <v>277797260</v>
      </c>
      <c r="D179" s="36">
        <v>1.0562378775521394E-2</v>
      </c>
      <c r="E179" s="69">
        <v>37.553364695703891</v>
      </c>
      <c r="F179" s="73"/>
      <c r="G179" s="14" t="str">
        <f t="shared" si="9"/>
        <v>(35, 40]</v>
      </c>
      <c r="H179" s="70">
        <v>8.9522783654700309</v>
      </c>
      <c r="I179" s="36">
        <v>9.455735500000001E-2</v>
      </c>
      <c r="J179" s="36">
        <v>9.4557355000000023E-2</v>
      </c>
      <c r="K179" s="71">
        <v>94557355</v>
      </c>
      <c r="L179" s="36">
        <v>9.4557355378229416E-2</v>
      </c>
      <c r="M179" s="36">
        <v>3.5509468511799271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72529</v>
      </c>
      <c r="C180" s="83">
        <v>308729305</v>
      </c>
      <c r="D180" s="36">
        <v>1.0356054427363549E-2</v>
      </c>
      <c r="E180" s="69">
        <v>42.566325883439731</v>
      </c>
      <c r="F180" s="73"/>
      <c r="G180" s="14" t="str">
        <f t="shared" si="9"/>
        <v>(40, 45]</v>
      </c>
      <c r="H180" s="70">
        <v>7.9357661333692198</v>
      </c>
      <c r="I180" s="36">
        <v>8.2183226000000026E-2</v>
      </c>
      <c r="J180" s="36">
        <v>8.218322600000004E-2</v>
      </c>
      <c r="K180" s="71">
        <v>82183226</v>
      </c>
      <c r="L180" s="36">
        <v>8.21832263287329E-2</v>
      </c>
      <c r="M180" s="36">
        <v>3.4982379940613288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71665</v>
      </c>
      <c r="C181" s="83">
        <v>340734250</v>
      </c>
      <c r="D181" s="36">
        <v>1.023268817351692E-2</v>
      </c>
      <c r="E181" s="69">
        <v>47.545419660922342</v>
      </c>
      <c r="F181" s="73"/>
      <c r="G181" s="14" t="str">
        <f t="shared" si="9"/>
        <v>(45, 50]</v>
      </c>
      <c r="H181" s="70">
        <v>6.8725173490584304</v>
      </c>
      <c r="I181" s="36">
        <v>7.0324327000000048E-2</v>
      </c>
      <c r="J181" s="36">
        <v>7.0324327000000061E-2</v>
      </c>
      <c r="K181" s="71">
        <v>70324327</v>
      </c>
      <c r="L181" s="36">
        <v>7.0324327281297311E-2</v>
      </c>
      <c r="M181" s="36">
        <v>3.3435996529613305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141059</v>
      </c>
      <c r="C182" s="83">
        <v>776296860</v>
      </c>
      <c r="D182" s="36">
        <v>2.0141111575638363E-2</v>
      </c>
      <c r="E182" s="69">
        <v>55.033486697055842</v>
      </c>
      <c r="F182" s="73"/>
      <c r="G182" s="14" t="str">
        <f t="shared" si="9"/>
        <v>(50, 60]</v>
      </c>
      <c r="H182" s="70">
        <v>3.37636206147896</v>
      </c>
      <c r="I182" s="36">
        <v>6.8003685000000091E-2</v>
      </c>
      <c r="J182" s="36">
        <v>6.8003685000000105E-2</v>
      </c>
      <c r="K182" s="71">
        <v>68003685</v>
      </c>
      <c r="L182" s="36">
        <v>6.8003685272014738E-2</v>
      </c>
      <c r="M182" s="36">
        <v>3.7424799087681953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136780</v>
      </c>
      <c r="C183" s="83">
        <v>889498060</v>
      </c>
      <c r="D183" s="36">
        <v>1.9530134492062295E-2</v>
      </c>
      <c r="E183" s="69">
        <v>65.03129551103963</v>
      </c>
      <c r="F183" s="73"/>
      <c r="G183" s="14" t="str">
        <f t="shared" si="9"/>
        <v>(60, 70]</v>
      </c>
      <c r="H183" s="70">
        <v>4.7563469180283704</v>
      </c>
      <c r="I183" s="36">
        <v>9.2892095000000063E-2</v>
      </c>
      <c r="J183" s="36">
        <v>9.2892095000000077E-2</v>
      </c>
      <c r="K183" s="71">
        <v>92892095</v>
      </c>
      <c r="L183" s="36">
        <v>9.2892095371568381E-2</v>
      </c>
      <c r="M183" s="36">
        <v>6.0408933047481401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133347</v>
      </c>
      <c r="C184" s="83">
        <v>1000522670</v>
      </c>
      <c r="D184" s="36">
        <v>1.9039953532044386E-2</v>
      </c>
      <c r="E184" s="69">
        <v>75.03150952027417</v>
      </c>
      <c r="F184" s="73"/>
      <c r="G184" s="14" t="str">
        <f t="shared" si="9"/>
        <v>(70, 80]</v>
      </c>
      <c r="H184" s="70">
        <v>2.3324948732283701</v>
      </c>
      <c r="I184" s="36">
        <v>4.4410593999999928E-2</v>
      </c>
      <c r="J184" s="36">
        <v>4.4410593999999935E-2</v>
      </c>
      <c r="K184" s="71">
        <v>44410593</v>
      </c>
      <c r="L184" s="36">
        <v>4.4410593177642371E-2</v>
      </c>
      <c r="M184" s="36">
        <v>3.3321938448092965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129227</v>
      </c>
      <c r="C185" s="83">
        <v>1098874310</v>
      </c>
      <c r="D185" s="36">
        <v>1.8451679266016482E-2</v>
      </c>
      <c r="E185" s="69">
        <v>85.03442082536931</v>
      </c>
      <c r="F185" s="73"/>
      <c r="G185" s="14" t="str">
        <f t="shared" si="9"/>
        <v>(80, 90]</v>
      </c>
      <c r="H185" s="70">
        <v>4.60270644073118</v>
      </c>
      <c r="I185" s="36">
        <v>8.4927663000000028E-2</v>
      </c>
      <c r="J185" s="36">
        <v>8.4927663000000042E-2</v>
      </c>
      <c r="K185" s="71">
        <v>84927663</v>
      </c>
      <c r="L185" s="36">
        <v>8.4927663339710649E-2</v>
      </c>
      <c r="M185" s="36">
        <v>7.2217746641442453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125018</v>
      </c>
      <c r="C186" s="83">
        <v>1187983350</v>
      </c>
      <c r="D186" s="36">
        <v>1.7850697133562247E-2</v>
      </c>
      <c r="E186" s="69">
        <v>95.024984402246076</v>
      </c>
      <c r="F186" s="73"/>
      <c r="G186" s="14" t="str">
        <f t="shared" si="9"/>
        <v>(90, 100]</v>
      </c>
      <c r="H186" s="70">
        <v>1.8197189026823</v>
      </c>
      <c r="I186" s="36">
        <v>3.248325099999997E-2</v>
      </c>
      <c r="J186" s="36">
        <v>3.2483250999999977E-2</v>
      </c>
      <c r="K186" s="71">
        <v>32483251</v>
      </c>
      <c r="L186" s="36">
        <v>3.2483251129933007E-2</v>
      </c>
      <c r="M186" s="36">
        <v>3.0867204319561261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238296</v>
      </c>
      <c r="C187" s="83">
        <v>2619871495</v>
      </c>
      <c r="D187" s="36">
        <v>3.4025098178977017E-2</v>
      </c>
      <c r="E187" s="69">
        <v>109.94189978010542</v>
      </c>
      <c r="F187" s="73"/>
      <c r="G187" s="14" t="str">
        <f t="shared" si="9"/>
        <v>(100, 120]</v>
      </c>
      <c r="H187" s="70">
        <v>2.2324178934164598</v>
      </c>
      <c r="I187" s="36">
        <v>7.5958238000000095E-2</v>
      </c>
      <c r="J187" s="36">
        <v>7.5958238000000108E-2</v>
      </c>
      <c r="K187" s="71">
        <v>75958238</v>
      </c>
      <c r="L187" s="36">
        <v>7.5958238303832956E-2</v>
      </c>
      <c r="M187" s="36">
        <v>8.350993023073368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224748</v>
      </c>
      <c r="C188" s="83">
        <v>2920951700</v>
      </c>
      <c r="D188" s="36">
        <v>3.2090646781854193E-2</v>
      </c>
      <c r="E188" s="69">
        <v>129.9656370690729</v>
      </c>
      <c r="F188" s="73"/>
      <c r="G188" s="14" t="str">
        <f t="shared" si="9"/>
        <v>(120, 140]</v>
      </c>
      <c r="H188" s="70">
        <v>0.86552655634555997</v>
      </c>
      <c r="I188" s="36">
        <v>2.7775306999999985E-2</v>
      </c>
      <c r="J188" s="36">
        <v>2.7775306999999989E-2</v>
      </c>
      <c r="K188" s="71">
        <v>27775307</v>
      </c>
      <c r="L188" s="36">
        <v>2.7775307111101228E-2</v>
      </c>
      <c r="M188" s="36">
        <v>3.6098354834834216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209650</v>
      </c>
      <c r="C189" s="83">
        <v>3143246085</v>
      </c>
      <c r="D189" s="36">
        <v>2.9934878609890775E-2</v>
      </c>
      <c r="E189" s="69">
        <v>149.92826544240401</v>
      </c>
      <c r="F189" s="73"/>
      <c r="G189" s="14" t="str">
        <f t="shared" si="9"/>
        <v>(140, 160]</v>
      </c>
      <c r="H189" s="70">
        <v>1.4848179803646799</v>
      </c>
      <c r="I189" s="36">
        <v>4.4447845999999881E-2</v>
      </c>
      <c r="J189" s="36">
        <v>4.4447845999999888E-2</v>
      </c>
      <c r="K189" s="71">
        <v>44447845</v>
      </c>
      <c r="L189" s="36">
        <v>4.4447845177791379E-2</v>
      </c>
      <c r="M189" s="36">
        <v>6.6639883301587828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198734</v>
      </c>
      <c r="C190" s="83">
        <v>3377478315</v>
      </c>
      <c r="D190" s="36">
        <v>2.8376237374948883E-2</v>
      </c>
      <c r="E190" s="69">
        <v>169.94969733412501</v>
      </c>
      <c r="F190" s="73"/>
      <c r="G190" s="14" t="str">
        <f t="shared" si="9"/>
        <v>(160, 180]</v>
      </c>
      <c r="H190" s="70">
        <v>0.81825393878676</v>
      </c>
      <c r="I190" s="36">
        <v>2.3218967999999996E-2</v>
      </c>
      <c r="J190" s="36">
        <v>2.3218968E-2</v>
      </c>
      <c r="K190" s="71">
        <v>23218968</v>
      </c>
      <c r="L190" s="36">
        <v>2.3218968092875873E-2</v>
      </c>
      <c r="M190" s="36">
        <v>3.9460565997949604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187485</v>
      </c>
      <c r="C191" s="83">
        <v>3561092465</v>
      </c>
      <c r="D191" s="36">
        <v>2.677004872967027E-2</v>
      </c>
      <c r="E191" s="69">
        <v>189.94012667680082</v>
      </c>
      <c r="F191" s="73"/>
      <c r="G191" s="14" t="str">
        <f t="shared" si="9"/>
        <v>(180, 200]</v>
      </c>
      <c r="H191" s="70">
        <v>0.99130032477631802</v>
      </c>
      <c r="I191" s="36">
        <v>2.6537157999999998E-2</v>
      </c>
      <c r="J191" s="36">
        <v>2.6537158000000002E-2</v>
      </c>
      <c r="K191" s="71">
        <v>26537158</v>
      </c>
      <c r="L191" s="36">
        <v>2.6537158106148633E-2</v>
      </c>
      <c r="M191" s="36">
        <v>5.0404711723241631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422002</v>
      </c>
      <c r="C192" s="83">
        <v>9472199210</v>
      </c>
      <c r="D192" s="36">
        <v>6.0255562333084316E-2</v>
      </c>
      <c r="E192" s="69">
        <v>224.45863313444013</v>
      </c>
      <c r="F192" s="73"/>
      <c r="G192" s="14" t="str">
        <f t="shared" si="9"/>
        <v>(200, 250]</v>
      </c>
      <c r="H192" s="70">
        <v>4.2656476854232902E-3</v>
      </c>
      <c r="I192" s="36">
        <v>2.5702899999999987E-4</v>
      </c>
      <c r="J192" s="36">
        <v>2.5702899999999993E-4</v>
      </c>
      <c r="K192" s="71">
        <v>257029</v>
      </c>
      <c r="L192" s="36">
        <v>2.57029001028116E-4</v>
      </c>
      <c r="M192" s="36">
        <v>5.7692378246681525E-2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368119</v>
      </c>
      <c r="C193" s="83">
        <v>10104365770</v>
      </c>
      <c r="D193" s="36">
        <v>5.2561877314545112E-2</v>
      </c>
      <c r="E193" s="69">
        <v>274.48639624686581</v>
      </c>
      <c r="F193" s="73"/>
      <c r="G193" s="14" t="str">
        <f t="shared" si="9"/>
        <v>(250, 300]</v>
      </c>
      <c r="H193" s="70">
        <v>3.99877269874144E-3</v>
      </c>
      <c r="I193" s="36">
        <v>2.1018300000000002E-4</v>
      </c>
      <c r="J193" s="36">
        <v>2.1018300000000004E-4</v>
      </c>
      <c r="K193" s="71">
        <v>210183</v>
      </c>
      <c r="L193" s="36">
        <v>2.1018300084073201E-4</v>
      </c>
      <c r="M193" s="36">
        <v>5.7692374453124494E-2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321405</v>
      </c>
      <c r="C194" s="83">
        <v>10428962590</v>
      </c>
      <c r="D194" s="36">
        <v>4.5891818075897664E-2</v>
      </c>
      <c r="E194" s="69">
        <v>324.48040914111482</v>
      </c>
      <c r="F194" s="73"/>
      <c r="G194" s="14" t="str">
        <f t="shared" si="9"/>
        <v>(300, 350]</v>
      </c>
      <c r="H194" s="70">
        <v>3.87430717401409E-3</v>
      </c>
      <c r="I194" s="36">
        <v>1.7779899999999981E-4</v>
      </c>
      <c r="J194" s="36">
        <v>1.7779899999999983E-4</v>
      </c>
      <c r="K194" s="71">
        <v>177799</v>
      </c>
      <c r="L194" s="36">
        <v>1.7779900071119599E-4</v>
      </c>
      <c r="M194" s="36">
        <v>5.7692292495650242E-2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283712</v>
      </c>
      <c r="C195" s="83">
        <v>10625548070</v>
      </c>
      <c r="D195" s="36">
        <v>4.050982246682247E-2</v>
      </c>
      <c r="E195" s="69">
        <v>374.51881027238886</v>
      </c>
      <c r="F195" s="73"/>
      <c r="G195" s="14" t="str">
        <f t="shared" ref="G195:G226" si="11">"("&amp;$O195&amp;", "&amp;$P195&amp;"]"</f>
        <v>(350, 400]</v>
      </c>
      <c r="H195" s="70">
        <v>3.80263330272953E-3</v>
      </c>
      <c r="I195" s="36">
        <v>1.5404400000000005E-4</v>
      </c>
      <c r="J195" s="36">
        <v>1.5404400000000007E-4</v>
      </c>
      <c r="K195" s="71">
        <v>154044</v>
      </c>
      <c r="L195" s="36">
        <v>1.5404400061617599E-4</v>
      </c>
      <c r="M195" s="36">
        <v>5.7692375840369368E-2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250380</v>
      </c>
      <c r="C196" s="83">
        <v>10628587395</v>
      </c>
      <c r="D196" s="36">
        <v>3.5750512312637504E-2</v>
      </c>
      <c r="E196" s="69">
        <v>424.49825844716031</v>
      </c>
      <c r="F196" s="73"/>
      <c r="G196" s="14" t="str">
        <f t="shared" si="11"/>
        <v>(400, 450]</v>
      </c>
      <c r="H196" s="70">
        <v>3.8015399279175601E-3</v>
      </c>
      <c r="I196" s="36">
        <v>1.3590699999999984E-4</v>
      </c>
      <c r="J196" s="36">
        <v>1.3590699999999986E-4</v>
      </c>
      <c r="K196" s="71">
        <v>135907</v>
      </c>
      <c r="L196" s="36">
        <v>1.3590700054362799E-4</v>
      </c>
      <c r="M196" s="36">
        <v>5.7692285041547352E-2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223043</v>
      </c>
      <c r="C197" s="83">
        <v>10583930920</v>
      </c>
      <c r="D197" s="36">
        <v>3.1847198329529543E-2</v>
      </c>
      <c r="E197" s="69">
        <v>474.52423613383968</v>
      </c>
      <c r="F197" s="73"/>
      <c r="G197" s="14" t="str">
        <f t="shared" si="11"/>
        <v>(450, 500]</v>
      </c>
      <c r="H197" s="70">
        <v>3.81757285969073E-3</v>
      </c>
      <c r="I197" s="36">
        <v>1.2157899999999994E-4</v>
      </c>
      <c r="J197" s="36">
        <v>1.2157899999999996E-4</v>
      </c>
      <c r="K197" s="71">
        <v>121579</v>
      </c>
      <c r="L197" s="36">
        <v>1.2157900048631601E-4</v>
      </c>
      <c r="M197" s="36">
        <v>5.7692182335684829E-2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199354</v>
      </c>
      <c r="C198" s="83">
        <v>10457453505</v>
      </c>
      <c r="D198" s="36">
        <v>2.846476408488512E-2</v>
      </c>
      <c r="E198" s="69">
        <v>524.56702674639087</v>
      </c>
      <c r="F198" s="73"/>
      <c r="G198" s="14" t="str">
        <f t="shared" si="11"/>
        <v>(500, 550]</v>
      </c>
      <c r="H198" s="70">
        <v>3.8637594069644999E-3</v>
      </c>
      <c r="I198" s="36">
        <v>1.0998100000000012E-4</v>
      </c>
      <c r="J198" s="36">
        <v>1.0998100000000014E-4</v>
      </c>
      <c r="K198" s="71">
        <v>109981</v>
      </c>
      <c r="L198" s="36">
        <v>1.0998100043992401E-4</v>
      </c>
      <c r="M198" s="36">
        <v>5.7692406399364439E-2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177640</v>
      </c>
      <c r="C199" s="83">
        <v>10206550410</v>
      </c>
      <c r="D199" s="36">
        <v>2.5364330246892428E-2</v>
      </c>
      <c r="E199" s="69">
        <v>574.56374746678671</v>
      </c>
      <c r="F199" s="73"/>
      <c r="G199" s="14" t="str">
        <f t="shared" si="11"/>
        <v>(550, 600]</v>
      </c>
      <c r="H199" s="70">
        <v>3.9587483297455501E-3</v>
      </c>
      <c r="I199" s="36">
        <v>1.0041099999999993E-4</v>
      </c>
      <c r="J199" s="36">
        <v>1.0041099999999994E-4</v>
      </c>
      <c r="K199" s="71">
        <v>100411</v>
      </c>
      <c r="L199" s="36">
        <v>1.0041100040164401E-4</v>
      </c>
      <c r="M199" s="36">
        <v>5.7692520677657608E-2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160014</v>
      </c>
      <c r="C200" s="83">
        <v>9993632010</v>
      </c>
      <c r="D200" s="36">
        <v>2.2847601554414797E-2</v>
      </c>
      <c r="E200" s="69">
        <v>624.54735273163601</v>
      </c>
      <c r="F200" s="73"/>
      <c r="G200" s="14" t="str">
        <f t="shared" si="11"/>
        <v>(600, 650]</v>
      </c>
      <c r="H200" s="70">
        <v>4.0430501985076299E-3</v>
      </c>
      <c r="I200" s="36">
        <v>9.237399999999998E-5</v>
      </c>
      <c r="J200" s="36">
        <v>9.2373999999999993E-5</v>
      </c>
      <c r="K200" s="71">
        <v>92374</v>
      </c>
      <c r="L200" s="36">
        <v>9.2374000369495999E-5</v>
      </c>
      <c r="M200" s="36">
        <v>5.769193739199989E-2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144165</v>
      </c>
      <c r="C201" s="83">
        <v>9724431615</v>
      </c>
      <c r="D201" s="36">
        <v>2.058460183541571E-2</v>
      </c>
      <c r="E201" s="69">
        <v>674.53484653001772</v>
      </c>
      <c r="F201" s="73"/>
      <c r="G201" s="14" t="str">
        <f t="shared" si="11"/>
        <v>(650, 700]</v>
      </c>
      <c r="H201" s="70">
        <v>4.1549989979814796E-3</v>
      </c>
      <c r="I201" s="36">
        <v>8.5529000000000001E-5</v>
      </c>
      <c r="J201" s="36">
        <v>8.5529000000000014E-5</v>
      </c>
      <c r="K201" s="71">
        <v>85529</v>
      </c>
      <c r="L201" s="36">
        <v>8.5529000342115998E-5</v>
      </c>
      <c r="M201" s="36">
        <v>5.7692291119635045E-2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130027</v>
      </c>
      <c r="C202" s="83">
        <v>9422349115</v>
      </c>
      <c r="D202" s="36">
        <v>1.8565907278837432E-2</v>
      </c>
      <c r="E202" s="69">
        <v>724.64558245595151</v>
      </c>
      <c r="F202" s="73"/>
      <c r="G202" s="14" t="str">
        <f t="shared" si="11"/>
        <v>(700, 750]</v>
      </c>
      <c r="H202" s="70">
        <v>4.2881825705737998E-3</v>
      </c>
      <c r="I202" s="36">
        <v>7.9613999999999919E-5</v>
      </c>
      <c r="J202" s="36">
        <v>7.9613999999999933E-5</v>
      </c>
      <c r="K202" s="71">
        <v>79613</v>
      </c>
      <c r="L202" s="36">
        <v>7.9613000318451996E-5</v>
      </c>
      <c r="M202" s="36">
        <v>5.76912089868305E-2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118105</v>
      </c>
      <c r="C203" s="83">
        <v>9148586635</v>
      </c>
      <c r="D203" s="36">
        <v>1.6863624317773194E-2</v>
      </c>
      <c r="E203" s="69">
        <v>774.61467634731798</v>
      </c>
      <c r="F203" s="73"/>
      <c r="G203" s="14" t="str">
        <f t="shared" si="11"/>
        <v>(750, 800]</v>
      </c>
      <c r="H203" s="70">
        <v>4.4165476291774296E-3</v>
      </c>
      <c r="I203" s="36">
        <v>7.4479000000000044E-5</v>
      </c>
      <c r="J203" s="36">
        <v>7.4479000000000057E-5</v>
      </c>
      <c r="K203" s="71">
        <v>74479</v>
      </c>
      <c r="L203" s="36">
        <v>7.4479000297916005E-5</v>
      </c>
      <c r="M203" s="36">
        <v>5.7692526710442005E-2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107681</v>
      </c>
      <c r="C204" s="83">
        <v>8879504370</v>
      </c>
      <c r="D204" s="36">
        <v>1.5375233310716187E-2</v>
      </c>
      <c r="E204" s="69">
        <v>824.61199004466891</v>
      </c>
      <c r="F204" s="73"/>
      <c r="G204" s="14" t="str">
        <f t="shared" si="11"/>
        <v>(800, 850]</v>
      </c>
      <c r="H204" s="70">
        <v>4.5503699739787001E-3</v>
      </c>
      <c r="I204" s="36">
        <v>6.9963000000000062E-5</v>
      </c>
      <c r="J204" s="36">
        <v>6.9963000000000075E-5</v>
      </c>
      <c r="K204" s="71">
        <v>69963</v>
      </c>
      <c r="L204" s="36">
        <v>6.9963000279851996E-5</v>
      </c>
      <c r="M204" s="36">
        <v>5.7692328890264481E-2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97799</v>
      </c>
      <c r="C205" s="83">
        <v>8554827365</v>
      </c>
      <c r="D205" s="36">
        <v>1.3964231782345375E-2</v>
      </c>
      <c r="E205" s="69">
        <v>874.7356685651182</v>
      </c>
      <c r="F205" s="73"/>
      <c r="G205" s="14" t="str">
        <f t="shared" si="11"/>
        <v>(850, 900]</v>
      </c>
      <c r="H205" s="70">
        <v>4.7230668344666101E-3</v>
      </c>
      <c r="I205" s="36">
        <v>6.5953999999999999E-5</v>
      </c>
      <c r="J205" s="36">
        <v>6.5954000000000013E-5</v>
      </c>
      <c r="K205" s="72">
        <v>65954</v>
      </c>
      <c r="L205" s="36">
        <v>6.5954000263816E-5</v>
      </c>
      <c r="M205" s="36">
        <v>5.769231651531307E-2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89240</v>
      </c>
      <c r="C206" s="83">
        <v>8251438340</v>
      </c>
      <c r="D206" s="36">
        <v>1.2742134830177214E-2</v>
      </c>
      <c r="E206" s="69">
        <v>924.63450694755704</v>
      </c>
      <c r="F206" s="73"/>
      <c r="G206" s="14" t="str">
        <f t="shared" si="11"/>
        <v>(900, 950]</v>
      </c>
      <c r="H206" s="70">
        <v>4.8967461757059598E-3</v>
      </c>
      <c r="I206" s="36">
        <v>6.2394999999999974E-5</v>
      </c>
      <c r="J206" s="36">
        <v>6.2394999999999988E-5</v>
      </c>
      <c r="K206" s="72">
        <v>62395</v>
      </c>
      <c r="L206" s="36">
        <v>6.2395000249580008E-5</v>
      </c>
      <c r="M206" s="36">
        <v>5.7692570291763112E-2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81261</v>
      </c>
      <c r="C207" s="83">
        <v>7921331040</v>
      </c>
      <c r="D207" s="36">
        <v>1.1602853187304241E-2</v>
      </c>
      <c r="E207" s="69">
        <v>974.80107800790051</v>
      </c>
      <c r="F207" s="73"/>
      <c r="G207" s="14" t="str">
        <f t="shared" si="11"/>
        <v>(950, 1000]</v>
      </c>
      <c r="H207" s="70">
        <v>5.1008143466607604E-3</v>
      </c>
      <c r="I207" s="36">
        <v>5.9184000000000008E-5</v>
      </c>
      <c r="J207" s="36">
        <v>5.9184000000000015E-5</v>
      </c>
      <c r="K207" s="72">
        <v>59184</v>
      </c>
      <c r="L207" s="36">
        <v>5.9184000236736E-5</v>
      </c>
      <c r="M207" s="36">
        <v>5.7692627231590091E-2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818533</v>
      </c>
      <c r="C208" s="83">
        <v>113678095185</v>
      </c>
      <c r="D208" s="36">
        <v>0.11687424752296555</v>
      </c>
      <c r="E208" s="69">
        <v>1388.8028361104562</v>
      </c>
      <c r="F208" s="73"/>
      <c r="G208" s="14" t="str">
        <f t="shared" si="11"/>
        <v>(1000, 2000]</v>
      </c>
      <c r="H208" s="70">
        <v>3.5543330443121998E-4</v>
      </c>
      <c r="I208" s="36">
        <v>4.1540999999999967E-5</v>
      </c>
      <c r="J208" s="36">
        <v>4.1540999999999974E-5</v>
      </c>
      <c r="K208" s="72">
        <v>41541</v>
      </c>
      <c r="L208" s="36">
        <v>4.1541000166163999E-5</v>
      </c>
      <c r="M208" s="36">
        <v>5.769225884563349E-2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259696</v>
      </c>
      <c r="C209" s="83">
        <v>62938649725</v>
      </c>
      <c r="D209" s="36">
        <v>3.7080697521937489E-2</v>
      </c>
      <c r="E209" s="69">
        <v>2423.5509875007701</v>
      </c>
      <c r="F209" s="73"/>
      <c r="G209" s="14" t="str">
        <f t="shared" si="11"/>
        <v>(2000, 3000]</v>
      </c>
      <c r="H209" s="70">
        <v>1.2839564296716201E-3</v>
      </c>
      <c r="I209" s="36">
        <v>4.7610000000000149E-5</v>
      </c>
      <c r="J209" s="36">
        <v>4.7610000000000156E-5</v>
      </c>
      <c r="K209" s="72">
        <v>47610</v>
      </c>
      <c r="L209" s="36">
        <v>4.7610000190440003E-5</v>
      </c>
      <c r="M209" s="36">
        <v>0.11538526297645273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114482</v>
      </c>
      <c r="C210" s="83">
        <v>39386745855</v>
      </c>
      <c r="D210" s="36">
        <v>1.6346314204710305E-2</v>
      </c>
      <c r="E210" s="69">
        <v>3440.4313215177931</v>
      </c>
      <c r="F210" s="73"/>
      <c r="G210" s="14" t="str">
        <f t="shared" si="11"/>
        <v>(3000, 4000]</v>
      </c>
      <c r="H210" s="70">
        <v>1.0258581714505299E-3</v>
      </c>
      <c r="I210" s="36">
        <v>1.6768999999999937E-5</v>
      </c>
      <c r="J210" s="36">
        <v>1.6768999999999941E-5</v>
      </c>
      <c r="K210" s="72">
        <v>16768</v>
      </c>
      <c r="L210" s="36">
        <v>1.6768000067072002E-5</v>
      </c>
      <c r="M210" s="36">
        <v>5.7689152629966968E-2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59903</v>
      </c>
      <c r="C211" s="83">
        <v>26662874075</v>
      </c>
      <c r="D211" s="36">
        <v>8.5532508150168718E-3</v>
      </c>
      <c r="E211" s="69">
        <v>4451.0081423301008</v>
      </c>
      <c r="F211" s="73"/>
      <c r="G211" s="14" t="str">
        <f t="shared" si="11"/>
        <v>(4000, 5000]</v>
      </c>
      <c r="H211" s="70">
        <v>1.51544720017361E-3</v>
      </c>
      <c r="I211" s="36">
        <v>1.2961999999999965E-5</v>
      </c>
      <c r="J211" s="36">
        <v>1.2961999999999967E-5</v>
      </c>
      <c r="K211" s="72">
        <v>12962</v>
      </c>
      <c r="L211" s="36">
        <v>1.2962000051848E-5</v>
      </c>
      <c r="M211" s="36">
        <v>5.7693967771658639E-2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34360</v>
      </c>
      <c r="C212" s="83">
        <v>18752815435</v>
      </c>
      <c r="D212" s="36">
        <v>4.9060931506598954E-3</v>
      </c>
      <c r="E212" s="69">
        <v>5457.7460520954592</v>
      </c>
      <c r="F212" s="73"/>
      <c r="G212" s="14" t="str">
        <f t="shared" si="11"/>
        <v>(5000, 6000]</v>
      </c>
      <c r="H212" s="70">
        <v>2.1546676093131501E-3</v>
      </c>
      <c r="I212" s="36">
        <v>1.0570999999999977E-5</v>
      </c>
      <c r="J212" s="36">
        <v>1.0570999999999979E-5</v>
      </c>
      <c r="K212" s="72">
        <v>10571</v>
      </c>
      <c r="L212" s="36">
        <v>1.0571000042284001E-5</v>
      </c>
      <c r="M212" s="36">
        <v>5.7693833747476435E-2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21474</v>
      </c>
      <c r="C213" s="83">
        <v>13876466240</v>
      </c>
      <c r="D213" s="36">
        <v>3.0661654341464085E-3</v>
      </c>
      <c r="E213" s="69">
        <v>6461.9848374778803</v>
      </c>
      <c r="F213" s="73"/>
      <c r="G213" s="14" t="str">
        <f t="shared" si="11"/>
        <v>(6000, 7000]</v>
      </c>
      <c r="H213" s="70">
        <v>2.91178026487846E-3</v>
      </c>
      <c r="I213" s="36">
        <v>8.9280000000000084E-6</v>
      </c>
      <c r="J213" s="36">
        <v>8.9280000000000101E-6</v>
      </c>
      <c r="K213" s="72">
        <v>8928</v>
      </c>
      <c r="L213" s="36">
        <v>8.9280000357119999E-6</v>
      </c>
      <c r="M213" s="36">
        <v>5.7692600859772916E-2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13856</v>
      </c>
      <c r="C214" s="83">
        <v>10342217665</v>
      </c>
      <c r="D214" s="36">
        <v>1.9784291820588913E-3</v>
      </c>
      <c r="E214" s="69">
        <v>7464.0716404445729</v>
      </c>
      <c r="F214" s="73"/>
      <c r="G214" s="14" t="str">
        <f t="shared" si="11"/>
        <v>(7000, 8000]</v>
      </c>
      <c r="H214" s="70">
        <v>3.9066346524249396E-3</v>
      </c>
      <c r="I214" s="36">
        <v>7.7289999999999949E-6</v>
      </c>
      <c r="J214" s="36">
        <v>7.7289999999999966E-6</v>
      </c>
      <c r="K214" s="72">
        <v>7729</v>
      </c>
      <c r="L214" s="36">
        <v>7.7290000309159996E-6</v>
      </c>
      <c r="M214" s="36">
        <v>5.7689809939755338E-2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9445</v>
      </c>
      <c r="C215" s="83">
        <v>7997671565</v>
      </c>
      <c r="D215" s="36">
        <v>1.3486044763673663E-3</v>
      </c>
      <c r="E215" s="69">
        <v>8467.6247379565903</v>
      </c>
      <c r="F215" s="73"/>
      <c r="G215" s="14" t="str">
        <f t="shared" si="11"/>
        <v>(8000, 9000]</v>
      </c>
      <c r="H215" s="70">
        <v>5.0518889113816802E-3</v>
      </c>
      <c r="I215" s="36">
        <v>6.8129999999999956E-6</v>
      </c>
      <c r="J215" s="36">
        <v>6.8129999999999964E-6</v>
      </c>
      <c r="K215" s="72">
        <v>6813</v>
      </c>
      <c r="L215" s="36">
        <v>6.813000027252E-6</v>
      </c>
      <c r="M215" s="36">
        <v>5.7689927570457961E-2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6555</v>
      </c>
      <c r="C216" s="83">
        <v>6207601600</v>
      </c>
      <c r="D216" s="36">
        <v>9.3595578005167671E-4</v>
      </c>
      <c r="E216" s="69">
        <v>9470.0253241800165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17466</v>
      </c>
      <c r="C217" s="83">
        <v>22586001445</v>
      </c>
      <c r="D217" s="36">
        <v>2.4938830899134379E-3</v>
      </c>
      <c r="E217" s="69">
        <v>12931.410423107753</v>
      </c>
      <c r="F217" s="73"/>
      <c r="G217" s="14" t="str">
        <f t="shared" si="11"/>
        <v>(10000, 20000]</v>
      </c>
      <c r="H217" s="70">
        <v>1.7887767145310901E-3</v>
      </c>
      <c r="I217" s="36">
        <v>4.4610000000000027E-6</v>
      </c>
      <c r="J217" s="36">
        <v>4.4610000000000035E-6</v>
      </c>
      <c r="K217" s="72">
        <v>4461</v>
      </c>
      <c r="L217" s="36">
        <v>4.4610000178440003E-6</v>
      </c>
      <c r="M217" s="36">
        <v>5.7687022128231777E-2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1194</v>
      </c>
      <c r="C218" s="83">
        <v>2764219645</v>
      </c>
      <c r="D218" s="36">
        <v>1.704853091352711E-4</v>
      </c>
      <c r="E218" s="69">
        <v>23150.918299832498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95</v>
      </c>
      <c r="C219" s="83">
        <v>319282180</v>
      </c>
      <c r="D219" s="36">
        <v>1.3564576522488069E-5</v>
      </c>
      <c r="E219" s="69">
        <v>33608.650526315789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17</v>
      </c>
      <c r="C220" s="83">
        <v>72474480</v>
      </c>
      <c r="D220" s="36">
        <v>2.4273452724452335E-6</v>
      </c>
      <c r="E220" s="69">
        <v>42632.047058823526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3</v>
      </c>
      <c r="C221" s="83">
        <v>16049515</v>
      </c>
      <c r="D221" s="36">
        <v>4.2835504807857061E-7</v>
      </c>
      <c r="E221" s="69">
        <v>53498.383333333331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142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160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161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151</v>
      </c>
      <c r="C6" s="12" t="s">
        <v>152</v>
      </c>
      <c r="D6" s="12" t="s">
        <v>153</v>
      </c>
      <c r="E6" s="12" t="s">
        <v>162</v>
      </c>
      <c r="F6" s="12" t="s">
        <v>154</v>
      </c>
      <c r="G6" s="12" t="s">
        <v>155</v>
      </c>
      <c r="H6" s="12" t="s">
        <v>156</v>
      </c>
      <c r="I6" s="56" t="s">
        <v>163</v>
      </c>
      <c r="J6" s="57" t="s">
        <v>164</v>
      </c>
      <c r="K6" s="49"/>
      <c r="L6" s="49"/>
      <c r="M6" s="58"/>
    </row>
    <row r="7" spans="1:21" x14ac:dyDescent="0.3">
      <c r="A7" s="59" t="s">
        <v>157</v>
      </c>
      <c r="B7" s="59">
        <f>Overview!B11</f>
        <v>1</v>
      </c>
      <c r="C7" s="40">
        <f>SUM(M15:M79)</f>
        <v>0.71999991604091018</v>
      </c>
      <c r="D7" s="40">
        <f>SUM(_xlfn.ANCHORARRAY(M86))*F7</f>
        <v>0.20999996429257214</v>
      </c>
      <c r="E7" s="41">
        <f>SUM(C7:D7)</f>
        <v>0.92999988033348235</v>
      </c>
      <c r="F7" s="42">
        <f>L79</f>
        <v>3.5778033924491331E-3</v>
      </c>
      <c r="G7" s="43">
        <f>1/F7</f>
        <v>279.50110453539054</v>
      </c>
      <c r="H7" s="44">
        <f>D7*G7</f>
        <v>58.695221972166486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157</v>
      </c>
      <c r="B11" s="95" t="s">
        <v>152</v>
      </c>
      <c r="C11" s="95"/>
      <c r="D11" s="90"/>
      <c r="E11" s="89"/>
      <c r="F11" s="91"/>
      <c r="G11" s="95" t="s">
        <v>157</v>
      </c>
      <c r="H11" s="95" t="s">
        <v>152</v>
      </c>
      <c r="I11" s="88"/>
      <c r="J11" s="88"/>
      <c r="K11" s="92"/>
      <c r="L11" s="93"/>
      <c r="M11" s="93"/>
      <c r="N11" s="91"/>
      <c r="O11" s="95" t="s">
        <v>157</v>
      </c>
      <c r="P11" s="95" t="s">
        <v>152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181</v>
      </c>
      <c r="B13" s="47">
        <v>1000000000</v>
      </c>
      <c r="C13" s="1"/>
      <c r="D13" s="1"/>
      <c r="E13" s="1"/>
      <c r="G13" s="65" t="s">
        <v>165</v>
      </c>
      <c r="H13" s="38"/>
      <c r="I13" s="38"/>
      <c r="J13" s="38"/>
      <c r="K13" s="38"/>
      <c r="L13" s="38"/>
      <c r="M13" s="38"/>
    </row>
    <row r="14" spans="1:21" x14ac:dyDescent="0.3">
      <c r="A14" s="9" t="s">
        <v>171</v>
      </c>
      <c r="B14" s="9" t="s">
        <v>168</v>
      </c>
      <c r="C14" s="9" t="s">
        <v>169</v>
      </c>
      <c r="D14" s="9" t="s">
        <v>170</v>
      </c>
      <c r="E14" s="9" t="s">
        <v>149</v>
      </c>
      <c r="G14" s="9" t="s">
        <v>171</v>
      </c>
      <c r="H14" s="9" t="s">
        <v>172</v>
      </c>
      <c r="I14" s="9" t="s">
        <v>173</v>
      </c>
      <c r="J14" s="9" t="s">
        <v>174</v>
      </c>
      <c r="K14" s="9" t="s">
        <v>175</v>
      </c>
      <c r="L14" s="9" t="s">
        <v>150</v>
      </c>
      <c r="M14" s="9" t="s">
        <v>176</v>
      </c>
      <c r="O14" s="9" t="s">
        <v>166</v>
      </c>
      <c r="P14" s="9" t="s">
        <v>167</v>
      </c>
      <c r="Q14" s="12" t="s">
        <v>182</v>
      </c>
      <c r="R14" s="12" t="s">
        <v>177</v>
      </c>
      <c r="T14" s="12" t="s">
        <v>182</v>
      </c>
      <c r="U14" s="12" t="s">
        <v>178</v>
      </c>
    </row>
    <row r="15" spans="1:21" x14ac:dyDescent="0.3">
      <c r="A15" s="14" t="str">
        <f t="shared" ref="A15:A78" si="0">"("&amp;$O15&amp;", "&amp;$P15&amp;"]"</f>
        <v>(-1, 0]</v>
      </c>
      <c r="B15" s="67">
        <v>624764779</v>
      </c>
      <c r="C15" s="67">
        <v>0</v>
      </c>
      <c r="D15" s="37" cm="1">
        <f t="array" ref="D15:D78">_xlfn.LET(_xlpm.x, B15:B78, _xlpm.x/SUM(_xlpm.x))</f>
        <v>0.62476477900000005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1.1738236367514601</v>
      </c>
      <c r="I15" s="36" cm="1">
        <f t="array" ref="I15:I79">D15:D79*H15:H79</f>
        <v>0.73336366500000227</v>
      </c>
      <c r="J15" s="36" cm="1">
        <f t="array" ref="J15:J78">I15:I78/SUM(I15:I78)</f>
        <v>0.73336366500000028</v>
      </c>
      <c r="K15" s="71" cm="1">
        <f t="array" ref="K15:K79">INT(J15:J79*$B$2)</f>
        <v>733363665</v>
      </c>
      <c r="L15" s="36" cm="1">
        <f t="array" ref="L15:L79">_xlfn.LET(_xlpm.x, K15:K79, _xlpm.x/SUM(_xlpm.x))</f>
        <v>0.73073984056812269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0.73073984056812269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143254516</v>
      </c>
      <c r="C16" s="75">
        <v>6213627750</v>
      </c>
      <c r="D16" s="36">
        <v>0.143254516</v>
      </c>
      <c r="E16" s="69">
        <v>0.4337474254563814</v>
      </c>
      <c r="G16" s="14" t="str">
        <f t="shared" si="1"/>
        <v>(0, 1]</v>
      </c>
      <c r="H16" s="70">
        <v>1.0266594038822501</v>
      </c>
      <c r="I16" s="36">
        <v>0.14707359600000025</v>
      </c>
      <c r="J16" s="36">
        <v>0.14707359599999986</v>
      </c>
      <c r="K16" s="71">
        <v>147073596</v>
      </c>
      <c r="L16" s="36">
        <v>0.14654739690821808</v>
      </c>
      <c r="M16" s="36">
        <v>6.3564556116274054E-2</v>
      </c>
      <c r="N16" s="73"/>
      <c r="O16" s="59">
        <v>0</v>
      </c>
      <c r="P16" s="59">
        <v>1</v>
      </c>
      <c r="Q16" s="36">
        <v>0.14654739690821808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54941394</v>
      </c>
      <c r="C17" s="75">
        <v>8271310400</v>
      </c>
      <c r="D17" s="36">
        <v>5.4941393999999998E-2</v>
      </c>
      <c r="E17" s="69">
        <v>1.5054788016481708</v>
      </c>
      <c r="F17" s="76"/>
      <c r="G17" s="14" t="str">
        <f t="shared" si="1"/>
        <v>(1, 2]</v>
      </c>
      <c r="H17" s="70">
        <v>0.78435230456657101</v>
      </c>
      <c r="I17" s="36">
        <v>4.3093408999999978E-2</v>
      </c>
      <c r="J17" s="36">
        <v>4.309340899999986E-2</v>
      </c>
      <c r="K17" s="71">
        <v>43093408</v>
      </c>
      <c r="L17" s="36">
        <v>4.2939228645118462E-2</v>
      </c>
      <c r="M17" s="36">
        <v>6.4644098484349752E-2</v>
      </c>
      <c r="N17" s="73"/>
      <c r="O17" s="59">
        <v>1</v>
      </c>
      <c r="P17" s="59">
        <v>2</v>
      </c>
      <c r="Q17" s="36">
        <v>4.2939228645118462E-2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33052702</v>
      </c>
      <c r="C18" s="75">
        <v>8367423885</v>
      </c>
      <c r="D18" s="36">
        <v>3.3052702000000003E-2</v>
      </c>
      <c r="E18" s="69">
        <v>2.5315400492825066</v>
      </c>
      <c r="F18" s="76"/>
      <c r="G18" s="14" t="str">
        <f t="shared" si="1"/>
        <v>(2, 3]</v>
      </c>
      <c r="H18" s="70">
        <v>0.59724200460222598</v>
      </c>
      <c r="I18" s="36">
        <v>1.9740462000000007E-2</v>
      </c>
      <c r="J18" s="36">
        <v>1.9740461999999955E-2</v>
      </c>
      <c r="K18" s="71">
        <v>19740462</v>
      </c>
      <c r="L18" s="36">
        <v>1.9669834685116398E-2</v>
      </c>
      <c r="M18" s="36">
        <v>4.9794974268138323E-2</v>
      </c>
      <c r="N18" s="73"/>
      <c r="O18" s="59">
        <v>2</v>
      </c>
      <c r="P18" s="59">
        <v>3</v>
      </c>
      <c r="Q18" s="36">
        <v>1.9669834685116398E-2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22868741</v>
      </c>
      <c r="C19" s="75">
        <v>8068853980</v>
      </c>
      <c r="D19" s="36">
        <v>2.2868741000000001E-2</v>
      </c>
      <c r="E19" s="69">
        <v>3.5283332737906297</v>
      </c>
      <c r="F19" s="77"/>
      <c r="G19" s="14" t="str">
        <f t="shared" si="1"/>
        <v>(3, 4]</v>
      </c>
      <c r="H19" s="70">
        <v>0.52949062652815004</v>
      </c>
      <c r="I19" s="36">
        <v>1.2108783999999994E-2</v>
      </c>
      <c r="J19" s="36">
        <v>1.2108783999999961E-2</v>
      </c>
      <c r="K19" s="71">
        <v>12108784</v>
      </c>
      <c r="L19" s="36">
        <v>1.2065461260115517E-2</v>
      </c>
      <c r="M19" s="36">
        <v>4.2570968427697399E-2</v>
      </c>
      <c r="N19" s="73"/>
      <c r="O19" s="59">
        <v>3</v>
      </c>
      <c r="P19" s="59">
        <v>4</v>
      </c>
      <c r="Q19" s="36">
        <v>1.2065461260115517E-2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16964682</v>
      </c>
      <c r="C20" s="75">
        <v>7689266290</v>
      </c>
      <c r="D20" s="36">
        <v>1.6964681999999998E-2</v>
      </c>
      <c r="E20" s="69">
        <v>4.5325142493092416</v>
      </c>
      <c r="F20" s="77"/>
      <c r="G20" s="14" t="str">
        <f t="shared" si="1"/>
        <v>(4, 5]</v>
      </c>
      <c r="H20" s="70">
        <v>0.46343597834607198</v>
      </c>
      <c r="I20" s="36">
        <v>7.8620439999999969E-3</v>
      </c>
      <c r="J20" s="36">
        <v>7.862043999999976E-3</v>
      </c>
      <c r="K20" s="71">
        <v>7862043</v>
      </c>
      <c r="L20" s="36">
        <v>7.8339142263882475E-3</v>
      </c>
      <c r="M20" s="36">
        <v>3.5507327858971115E-2</v>
      </c>
      <c r="N20" s="73"/>
      <c r="O20" s="59">
        <v>4</v>
      </c>
      <c r="P20" s="59">
        <v>5</v>
      </c>
      <c r="Q20" s="36">
        <v>7.8339142263882475E-3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13467081</v>
      </c>
      <c r="C21" s="75">
        <v>7477223845</v>
      </c>
      <c r="D21" s="36">
        <v>1.3467081000000001E-2</v>
      </c>
      <c r="E21" s="69">
        <v>5.55222311724419</v>
      </c>
      <c r="F21" s="77"/>
      <c r="G21" s="14" t="str">
        <f t="shared" si="1"/>
        <v>(5, 6]</v>
      </c>
      <c r="H21" s="70">
        <v>0.45045151209827899</v>
      </c>
      <c r="I21" s="36">
        <v>6.0662670000000037E-3</v>
      </c>
      <c r="J21" s="36">
        <v>6.0662669999999872E-3</v>
      </c>
      <c r="K21" s="71">
        <v>6066266</v>
      </c>
      <c r="L21" s="36">
        <v>6.0445621473267609E-3</v>
      </c>
      <c r="M21" s="36">
        <v>3.3560757688006822E-2</v>
      </c>
      <c r="N21" s="73"/>
      <c r="O21" s="59">
        <v>5</v>
      </c>
      <c r="P21" s="59">
        <v>6</v>
      </c>
      <c r="Q21" s="36">
        <v>6.0445621473267609E-3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10632034</v>
      </c>
      <c r="C22" s="75">
        <v>6936975045</v>
      </c>
      <c r="D22" s="36">
        <v>1.0632034E-2</v>
      </c>
      <c r="E22" s="69">
        <v>6.5245982518490813</v>
      </c>
      <c r="F22" s="77"/>
      <c r="G22" s="14" t="str">
        <f t="shared" si="1"/>
        <v>(6, 7]</v>
      </c>
      <c r="H22" s="70">
        <v>0.30712778006541402</v>
      </c>
      <c r="I22" s="36">
        <v>3.265393000000004E-3</v>
      </c>
      <c r="J22" s="36">
        <v>3.2653929999999953E-3</v>
      </c>
      <c r="K22" s="71">
        <v>3265393</v>
      </c>
      <c r="L22" s="36">
        <v>3.2537100951303111E-3</v>
      </c>
      <c r="M22" s="36">
        <v>2.1229151198710935E-2</v>
      </c>
      <c r="N22" s="73"/>
      <c r="O22" s="59">
        <v>6</v>
      </c>
      <c r="P22" s="59">
        <v>7</v>
      </c>
      <c r="Q22" s="36">
        <v>3.2537100951303111E-3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8953486</v>
      </c>
      <c r="C23" s="75">
        <v>6744195935</v>
      </c>
      <c r="D23" s="36">
        <v>8.9534860000000001E-3</v>
      </c>
      <c r="E23" s="69">
        <v>7.5324805723714761</v>
      </c>
      <c r="F23" s="77"/>
      <c r="G23" s="14" t="str">
        <f t="shared" si="1"/>
        <v>(7, 8]</v>
      </c>
      <c r="H23" s="70">
        <v>0.408931113534996</v>
      </c>
      <c r="I23" s="36">
        <v>3.6613589999999973E-3</v>
      </c>
      <c r="J23" s="36">
        <v>3.6613589999999877E-3</v>
      </c>
      <c r="K23" s="71">
        <v>3661358</v>
      </c>
      <c r="L23" s="36">
        <v>3.6482584137609549E-3</v>
      </c>
      <c r="M23" s="36">
        <v>2.748043562464517E-2</v>
      </c>
      <c r="N23" s="73"/>
      <c r="O23" s="59">
        <v>7</v>
      </c>
      <c r="P23" s="59">
        <v>8</v>
      </c>
      <c r="Q23" s="36">
        <v>3.6482584137609549E-3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7534128</v>
      </c>
      <c r="C24" s="75">
        <v>6443473090</v>
      </c>
      <c r="D24" s="36">
        <v>7.5341280000000002E-3</v>
      </c>
      <c r="E24" s="69">
        <v>8.5523807001951653</v>
      </c>
      <c r="F24" s="77"/>
      <c r="G24" s="14" t="str">
        <f t="shared" si="1"/>
        <v>(8, 9]</v>
      </c>
      <c r="H24" s="70">
        <v>0.39313826364510901</v>
      </c>
      <c r="I24" s="36">
        <v>2.961953999999998E-3</v>
      </c>
      <c r="J24" s="36">
        <v>2.9619539999999902E-3</v>
      </c>
      <c r="K24" s="71">
        <v>2961953</v>
      </c>
      <c r="L24" s="36">
        <v>2.9513557410705267E-3</v>
      </c>
      <c r="M24" s="36">
        <v>2.5241117879341773E-2</v>
      </c>
      <c r="N24" s="73"/>
      <c r="O24" s="59">
        <v>8</v>
      </c>
      <c r="P24" s="59">
        <v>9</v>
      </c>
      <c r="Q24" s="36">
        <v>2.9513557410705267E-3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6231775</v>
      </c>
      <c r="C25" s="75">
        <v>5943691225</v>
      </c>
      <c r="D25" s="36">
        <v>6.2317750000000002E-3</v>
      </c>
      <c r="E25" s="69">
        <v>9.5377179455291632</v>
      </c>
      <c r="F25" s="77"/>
      <c r="G25" s="14" t="str">
        <f t="shared" si="1"/>
        <v>(9, 10]</v>
      </c>
      <c r="H25" s="70">
        <v>0.30817672332521601</v>
      </c>
      <c r="I25" s="36">
        <v>1.920487999999998E-3</v>
      </c>
      <c r="J25" s="36">
        <v>1.9204879999999928E-3</v>
      </c>
      <c r="K25" s="71">
        <v>1920487</v>
      </c>
      <c r="L25" s="36">
        <v>1.9136158923187885E-3</v>
      </c>
      <c r="M25" s="36">
        <v>1.8251528637018712E-2</v>
      </c>
      <c r="N25" s="73"/>
      <c r="O25" s="59">
        <v>9</v>
      </c>
      <c r="P25" s="59">
        <v>10</v>
      </c>
      <c r="Q25" s="36">
        <v>1.9136158923187885E-3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20720821</v>
      </c>
      <c r="C26" s="75">
        <v>25446656890</v>
      </c>
      <c r="D26" s="36">
        <v>2.0720821E-2</v>
      </c>
      <c r="E26" s="69">
        <v>12.280718457053416</v>
      </c>
      <c r="F26" s="77"/>
      <c r="G26" s="14" t="str">
        <f t="shared" si="1"/>
        <v>(10, 15]</v>
      </c>
      <c r="H26" s="70">
        <v>0.49033110222804399</v>
      </c>
      <c r="I26" s="36">
        <v>1.0160063E-2</v>
      </c>
      <c r="J26" s="36">
        <v>1.0160062999999973E-2</v>
      </c>
      <c r="K26" s="71">
        <v>10160063</v>
      </c>
      <c r="L26" s="36">
        <v>1.0123712383244514E-2</v>
      </c>
      <c r="M26" s="36">
        <v>0.12432646151881113</v>
      </c>
      <c r="N26" s="73"/>
      <c r="O26" s="59">
        <v>10</v>
      </c>
      <c r="P26" s="59">
        <v>15</v>
      </c>
      <c r="Q26" s="36">
        <v>1.0123712383244514E-2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11152939</v>
      </c>
      <c r="C27" s="75">
        <v>19336495675</v>
      </c>
      <c r="D27" s="36">
        <v>1.1152939000000001E-2</v>
      </c>
      <c r="E27" s="69">
        <v>17.337578619411442</v>
      </c>
      <c r="F27" s="77"/>
      <c r="G27" s="14" t="str">
        <f t="shared" si="1"/>
        <v>(15, 20]</v>
      </c>
      <c r="H27" s="70">
        <v>0.39048989687830299</v>
      </c>
      <c r="I27" s="36">
        <v>4.355110000000004E-3</v>
      </c>
      <c r="J27" s="36">
        <v>4.3551099999999928E-3</v>
      </c>
      <c r="K27" s="71">
        <v>4355109</v>
      </c>
      <c r="L27" s="36">
        <v>4.3395273153010597E-3</v>
      </c>
      <c r="M27" s="36">
        <v>7.5236896000115586E-2</v>
      </c>
      <c r="N27" s="73"/>
      <c r="O27" s="59">
        <v>15</v>
      </c>
      <c r="P27" s="59">
        <v>20</v>
      </c>
      <c r="Q27" s="36">
        <v>4.3395273153010597E-3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6735707</v>
      </c>
      <c r="C28" s="75">
        <v>15067467285</v>
      </c>
      <c r="D28" s="36">
        <v>6.7357069999999996E-3</v>
      </c>
      <c r="E28" s="69">
        <v>22.369540844042056</v>
      </c>
      <c r="F28" s="77"/>
      <c r="G28" s="14" t="str">
        <f t="shared" si="1"/>
        <v>(20, 25]</v>
      </c>
      <c r="H28" s="70">
        <v>0.36083769677036098</v>
      </c>
      <c r="I28" s="36">
        <v>2.4304969999999976E-3</v>
      </c>
      <c r="J28" s="36">
        <v>2.4304969999999911E-3</v>
      </c>
      <c r="K28" s="71">
        <v>2430496</v>
      </c>
      <c r="L28" s="36">
        <v>2.4218001849620678E-3</v>
      </c>
      <c r="M28" s="36">
        <v>5.4174558153617582E-2</v>
      </c>
      <c r="N28" s="73"/>
      <c r="O28" s="59">
        <v>20</v>
      </c>
      <c r="P28" s="59">
        <v>25</v>
      </c>
      <c r="Q28" s="36">
        <v>2.4218001849620678E-3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4480490</v>
      </c>
      <c r="C29" s="75">
        <v>12274919250</v>
      </c>
      <c r="D29" s="36">
        <v>4.4804900000000002E-3</v>
      </c>
      <c r="E29" s="69">
        <v>27.396376847175198</v>
      </c>
      <c r="F29" s="77"/>
      <c r="G29" s="14" t="str">
        <f t="shared" si="1"/>
        <v>(25, 30]</v>
      </c>
      <c r="H29" s="70">
        <v>0.43229847628272799</v>
      </c>
      <c r="I29" s="36">
        <v>1.9369090000000001E-3</v>
      </c>
      <c r="J29" s="36">
        <v>1.9369089999999949E-3</v>
      </c>
      <c r="K29" s="71">
        <v>1936908</v>
      </c>
      <c r="L29" s="36">
        <v>1.9299781413565414E-3</v>
      </c>
      <c r="M29" s="36">
        <v>5.287440846741457E-2</v>
      </c>
      <c r="N29" s="73"/>
      <c r="O29" s="59">
        <v>25</v>
      </c>
      <c r="P29" s="59">
        <v>30</v>
      </c>
      <c r="Q29" s="36">
        <v>1.9299781413565414E-3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3017593</v>
      </c>
      <c r="C30" s="75">
        <v>9776019545</v>
      </c>
      <c r="D30" s="36">
        <v>3.0175929999999998E-3</v>
      </c>
      <c r="E30" s="69">
        <v>32.396746496296885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2208968</v>
      </c>
      <c r="C31" s="75">
        <v>8270252000</v>
      </c>
      <c r="D31" s="36">
        <v>2.208968E-3</v>
      </c>
      <c r="E31" s="69">
        <v>37.439437782711202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1649296</v>
      </c>
      <c r="C32" s="75">
        <v>6999231850</v>
      </c>
      <c r="D32" s="36">
        <v>1.649296E-3</v>
      </c>
      <c r="E32" s="69">
        <v>42.437693719017076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1233169</v>
      </c>
      <c r="C33" s="75">
        <v>5852538350</v>
      </c>
      <c r="D33" s="36">
        <v>1.2331690000000001E-3</v>
      </c>
      <c r="E33" s="69">
        <v>47.459337284670639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1764123</v>
      </c>
      <c r="C34" s="75">
        <v>9650646255</v>
      </c>
      <c r="D34" s="36">
        <v>1.764123E-3</v>
      </c>
      <c r="E34" s="69">
        <v>54.705064527813541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1114375</v>
      </c>
      <c r="C35" s="75">
        <v>7207860310</v>
      </c>
      <c r="D35" s="36">
        <v>1.1143749999999999E-3</v>
      </c>
      <c r="E35" s="69">
        <v>64.680743107122822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766232</v>
      </c>
      <c r="C36" s="75">
        <v>5733848860</v>
      </c>
      <c r="D36" s="36">
        <v>7.6623200000000005E-4</v>
      </c>
      <c r="E36" s="69">
        <v>74.831759310496039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550692</v>
      </c>
      <c r="C37" s="75">
        <v>4667913150</v>
      </c>
      <c r="D37" s="36">
        <v>5.5069199999999998E-4</v>
      </c>
      <c r="E37" s="69">
        <v>84.764499030310958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385633</v>
      </c>
      <c r="C38" s="75">
        <v>3656643620</v>
      </c>
      <c r="D38" s="36">
        <v>3.8563300000000003E-4</v>
      </c>
      <c r="E38" s="69">
        <v>94.821854457476405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525213</v>
      </c>
      <c r="C39" s="75">
        <v>5740505310</v>
      </c>
      <c r="D39" s="36">
        <v>5.2521299999999996E-4</v>
      </c>
      <c r="E39" s="69">
        <v>109.29861427649354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309872</v>
      </c>
      <c r="C40" s="75">
        <v>4001020860</v>
      </c>
      <c r="D40" s="36">
        <v>3.0987199999999999E-4</v>
      </c>
      <c r="E40" s="69">
        <v>129.11850247844271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200115</v>
      </c>
      <c r="C41" s="75">
        <v>2993794525</v>
      </c>
      <c r="D41" s="36">
        <v>2.00115E-4</v>
      </c>
      <c r="E41" s="69">
        <v>149.60370412013094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136508</v>
      </c>
      <c r="C42" s="75">
        <v>2312105855</v>
      </c>
      <c r="D42" s="36">
        <v>1.36508E-4</v>
      </c>
      <c r="E42" s="69">
        <v>169.3751175755267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89553</v>
      </c>
      <c r="C43" s="75">
        <v>1696850110</v>
      </c>
      <c r="D43" s="36">
        <v>8.9553000000000001E-5</v>
      </c>
      <c r="E43" s="69">
        <v>189.47998503679383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134625</v>
      </c>
      <c r="C44" s="75">
        <v>2993550425</v>
      </c>
      <c r="D44" s="36">
        <v>1.3462500000000001E-4</v>
      </c>
      <c r="E44" s="69">
        <v>222.36214856081708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62011</v>
      </c>
      <c r="C45" s="75">
        <v>1688069400</v>
      </c>
      <c r="D45" s="36">
        <v>6.2011E-5</v>
      </c>
      <c r="E45" s="69">
        <v>272.22096079727794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36329</v>
      </c>
      <c r="C46" s="75">
        <v>1172012085</v>
      </c>
      <c r="D46" s="36">
        <v>3.6328999999999997E-5</v>
      </c>
      <c r="E46" s="69">
        <v>322.61060998100692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19646</v>
      </c>
      <c r="C47" s="75">
        <v>732146825</v>
      </c>
      <c r="D47" s="36">
        <v>1.9646000000000001E-5</v>
      </c>
      <c r="E47" s="69">
        <v>372.66966558077985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12054</v>
      </c>
      <c r="C48" s="75">
        <v>510954935</v>
      </c>
      <c r="D48" s="36">
        <v>1.2054E-5</v>
      </c>
      <c r="E48" s="69">
        <v>423.88828189812511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8732</v>
      </c>
      <c r="C49" s="75">
        <v>412924555</v>
      </c>
      <c r="D49" s="36">
        <v>8.7320000000000004E-6</v>
      </c>
      <c r="E49" s="69">
        <v>472.88657237746224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5111</v>
      </c>
      <c r="C50" s="75">
        <v>267140225</v>
      </c>
      <c r="D50" s="36">
        <v>5.1109999999999999E-6</v>
      </c>
      <c r="E50" s="69">
        <v>522.67702015261204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3570</v>
      </c>
      <c r="C51" s="75">
        <v>205181690</v>
      </c>
      <c r="D51" s="36">
        <v>3.5700000000000001E-6</v>
      </c>
      <c r="E51" s="69">
        <v>574.7386274509804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2674</v>
      </c>
      <c r="C52" s="75">
        <v>166541140</v>
      </c>
      <c r="D52" s="36">
        <v>2.6740000000000001E-6</v>
      </c>
      <c r="E52" s="69">
        <v>622.81652954375465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1976</v>
      </c>
      <c r="C53" s="75">
        <v>133016900</v>
      </c>
      <c r="D53" s="36">
        <v>1.9759999999999998E-6</v>
      </c>
      <c r="E53" s="69">
        <v>673.16244939271257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1374</v>
      </c>
      <c r="C54" s="75">
        <v>99478545</v>
      </c>
      <c r="D54" s="36">
        <v>1.3740000000000001E-6</v>
      </c>
      <c r="E54" s="69">
        <v>724.00687772925767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989</v>
      </c>
      <c r="C55" s="75">
        <v>76514355</v>
      </c>
      <c r="D55" s="36">
        <v>9.8899999999999998E-7</v>
      </c>
      <c r="E55" s="69">
        <v>773.65374115267946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711</v>
      </c>
      <c r="C56" s="75">
        <v>58588745</v>
      </c>
      <c r="D56" s="36">
        <v>7.1099999999999995E-7</v>
      </c>
      <c r="E56" s="69">
        <v>824.03298171589313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691</v>
      </c>
      <c r="C57" s="75">
        <v>60619485</v>
      </c>
      <c r="D57" s="36">
        <v>6.9100000000000003E-7</v>
      </c>
      <c r="E57" s="69">
        <v>877.27185238784364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586</v>
      </c>
      <c r="C58" s="75">
        <v>54142340</v>
      </c>
      <c r="D58" s="36">
        <v>5.8599999999999998E-7</v>
      </c>
      <c r="E58" s="69">
        <v>923.93071672354961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391</v>
      </c>
      <c r="C59" s="75">
        <v>38088040</v>
      </c>
      <c r="D59" s="36">
        <v>3.9099999999999999E-7</v>
      </c>
      <c r="E59" s="69">
        <v>974.1186700767264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1775</v>
      </c>
      <c r="C60" s="75">
        <v>224584030</v>
      </c>
      <c r="D60" s="36">
        <v>1.7749999999999999E-6</v>
      </c>
      <c r="E60" s="69">
        <v>1265.2621408450705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102</v>
      </c>
      <c r="C61" s="75">
        <v>23914030</v>
      </c>
      <c r="D61" s="36">
        <v>1.02E-7</v>
      </c>
      <c r="E61" s="69">
        <v>2344.512745098039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22</v>
      </c>
      <c r="C62" s="75">
        <v>7495425</v>
      </c>
      <c r="D62" s="36">
        <v>2.1999999999999998E-8</v>
      </c>
      <c r="E62" s="69">
        <v>3407.0113636363635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9</v>
      </c>
      <c r="C63" s="75">
        <v>4153385</v>
      </c>
      <c r="D63" s="36">
        <v>8.9999999999999995E-9</v>
      </c>
      <c r="E63" s="69">
        <v>4614.8722222222223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2</v>
      </c>
      <c r="C64" s="75">
        <v>1010765</v>
      </c>
      <c r="D64" s="36">
        <v>2.0000000000000001E-9</v>
      </c>
      <c r="E64" s="69">
        <v>5053.8249999999998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1</v>
      </c>
      <c r="C65" s="75">
        <v>617140</v>
      </c>
      <c r="D65" s="36">
        <v>1.0000000000000001E-9</v>
      </c>
      <c r="E65" s="69">
        <v>6171.4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2</v>
      </c>
      <c r="C66" s="75">
        <v>1454520</v>
      </c>
      <c r="D66" s="36">
        <v>2.0000000000000001E-9</v>
      </c>
      <c r="E66" s="69">
        <v>7272.6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0</v>
      </c>
      <c r="C68" s="75">
        <v>0</v>
      </c>
      <c r="D68" s="36">
        <v>0</v>
      </c>
      <c r="E68" s="69">
        <v>0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179</v>
      </c>
      <c r="B79" s="75">
        <v>7003536</v>
      </c>
      <c r="C79" s="75">
        <v>6174466305</v>
      </c>
      <c r="D79" s="36">
        <f>B79/B13</f>
        <v>7.0035360000000003E-3</v>
      </c>
      <c r="E79" s="69">
        <v>8.8162127031259629</v>
      </c>
      <c r="F79" s="77"/>
      <c r="G79" s="14" t="s">
        <v>179</v>
      </c>
      <c r="H79" s="70">
        <v>0.51269101779444004</v>
      </c>
      <c r="I79" s="36">
        <v>3.5906500000000017E-3</v>
      </c>
      <c r="J79" s="36">
        <f>I79</f>
        <v>3.5906500000000017E-3</v>
      </c>
      <c r="K79" s="72">
        <v>3590650</v>
      </c>
      <c r="L79" s="36">
        <v>3.5778033924491331E-3</v>
      </c>
      <c r="M79" s="36">
        <v>3.154267571779721E-2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157</v>
      </c>
      <c r="B82" s="95" t="s">
        <v>153</v>
      </c>
      <c r="C82" s="95"/>
      <c r="D82" s="90"/>
      <c r="E82" s="89"/>
      <c r="F82" s="91"/>
      <c r="G82" s="95" t="s">
        <v>157</v>
      </c>
      <c r="H82" s="95" t="s">
        <v>153</v>
      </c>
      <c r="I82" s="88"/>
      <c r="J82" s="88"/>
      <c r="K82" s="92"/>
      <c r="L82" s="93"/>
      <c r="M82" s="93"/>
      <c r="N82" s="91"/>
      <c r="O82" s="95" t="s">
        <v>157</v>
      </c>
      <c r="P82" s="95" t="s">
        <v>153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181</v>
      </c>
      <c r="B84" s="65"/>
      <c r="C84" s="1"/>
      <c r="D84" s="1"/>
      <c r="E84" s="1"/>
      <c r="G84" s="65" t="s">
        <v>165</v>
      </c>
      <c r="H84" s="38"/>
      <c r="I84" s="38"/>
      <c r="J84" s="38"/>
      <c r="K84" s="38"/>
      <c r="L84" s="38"/>
      <c r="M84" s="38"/>
    </row>
    <row r="85" spans="1:21" x14ac:dyDescent="0.3">
      <c r="A85" s="9" t="s">
        <v>171</v>
      </c>
      <c r="B85" s="9" t="s">
        <v>168</v>
      </c>
      <c r="C85" s="9" t="s">
        <v>169</v>
      </c>
      <c r="D85" s="9" t="s">
        <v>170</v>
      </c>
      <c r="E85" s="9" t="s">
        <v>149</v>
      </c>
      <c r="G85" s="9" t="s">
        <v>171</v>
      </c>
      <c r="H85" s="9" t="s">
        <v>172</v>
      </c>
      <c r="I85" s="9" t="s">
        <v>173</v>
      </c>
      <c r="J85" s="9" t="s">
        <v>174</v>
      </c>
      <c r="K85" s="9" t="s">
        <v>175</v>
      </c>
      <c r="L85" s="9" t="s">
        <v>150</v>
      </c>
      <c r="M85" s="9" t="s">
        <v>176</v>
      </c>
      <c r="O85" s="9" t="s">
        <v>166</v>
      </c>
      <c r="P85" s="9" t="s">
        <v>167</v>
      </c>
      <c r="Q85" s="12" t="s">
        <v>182</v>
      </c>
      <c r="R85" s="12" t="s">
        <v>177</v>
      </c>
      <c r="T85" s="12" t="s">
        <v>182</v>
      </c>
      <c r="U85" s="12" t="s">
        <v>178</v>
      </c>
    </row>
    <row r="86" spans="1:21" x14ac:dyDescent="0.3">
      <c r="A86" s="14" t="str">
        <f t="shared" ref="A86:A149" si="2">"("&amp;$O86&amp;", "&amp;$P86&amp;"]"</f>
        <v>(-1, 0]</v>
      </c>
      <c r="B86" s="67">
        <v>25733</v>
      </c>
      <c r="C86" s="67">
        <v>0</v>
      </c>
      <c r="D86" s="36" cm="1">
        <f t="array" ref="D86:D149">_xlfn.LET(_xlpm.x, B86:B149, _xlpm.x/SUM(_xlpm.x))</f>
        <v>3.6742868174019522E-3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10103</v>
      </c>
      <c r="C87" s="75">
        <v>620285</v>
      </c>
      <c r="D87" s="36">
        <v>1.4425570169125995E-3</v>
      </c>
      <c r="E87" s="69">
        <v>0.61396119964367013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12745</v>
      </c>
      <c r="C88" s="75">
        <v>1986100</v>
      </c>
      <c r="D88" s="36">
        <v>1.8197950292537942E-3</v>
      </c>
      <c r="E88" s="69">
        <v>1.5583366025892509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12974</v>
      </c>
      <c r="C89" s="75">
        <v>3346690</v>
      </c>
      <c r="D89" s="36">
        <v>1.8524927979237916E-3</v>
      </c>
      <c r="E89" s="69">
        <v>2.5795359950670571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13264</v>
      </c>
      <c r="C90" s="75">
        <v>4759360</v>
      </c>
      <c r="D90" s="36">
        <v>1.8939004525713868E-3</v>
      </c>
      <c r="E90" s="69">
        <v>3.5881785283474068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13259</v>
      </c>
      <c r="C91" s="75">
        <v>6071400</v>
      </c>
      <c r="D91" s="36">
        <v>1.8931865274912558E-3</v>
      </c>
      <c r="E91" s="69">
        <v>4.5790783618674107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14611</v>
      </c>
      <c r="C92" s="75">
        <v>8170270</v>
      </c>
      <c r="D92" s="36">
        <v>2.0862318691586652E-3</v>
      </c>
      <c r="E92" s="69">
        <v>5.5918622955307651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13100</v>
      </c>
      <c r="C93" s="75">
        <v>8615115</v>
      </c>
      <c r="D93" s="36">
        <v>1.8704837099430916E-3</v>
      </c>
      <c r="E93" s="69">
        <v>6.576423664122137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14716</v>
      </c>
      <c r="C94" s="75">
        <v>11128800</v>
      </c>
      <c r="D94" s="36">
        <v>2.1012242958414148E-3</v>
      </c>
      <c r="E94" s="69">
        <v>7.5623810818157109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14381</v>
      </c>
      <c r="C95" s="75">
        <v>12340410</v>
      </c>
      <c r="D95" s="36">
        <v>2.0533913154726414E-3</v>
      </c>
      <c r="E95" s="69">
        <v>8.5810513872470615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14299</v>
      </c>
      <c r="C96" s="75">
        <v>13696660</v>
      </c>
      <c r="D96" s="36">
        <v>2.0416829441584935E-3</v>
      </c>
      <c r="E96" s="69">
        <v>9.5787537590041261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73611</v>
      </c>
      <c r="C97" s="75">
        <v>92606940</v>
      </c>
      <c r="D97" s="36">
        <v>1.0510547814703886E-2</v>
      </c>
      <c r="E97" s="69">
        <v>12.580584423523657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74130</v>
      </c>
      <c r="C98" s="75">
        <v>130221780</v>
      </c>
      <c r="D98" s="36">
        <v>1.0584653238021479E-2</v>
      </c>
      <c r="E98" s="69">
        <v>17.566677458518818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74193</v>
      </c>
      <c r="C99" s="75">
        <v>167349120</v>
      </c>
      <c r="D99" s="36">
        <v>1.059364869403113E-2</v>
      </c>
      <c r="E99" s="69">
        <v>22.555917674174111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75361</v>
      </c>
      <c r="C100" s="75">
        <v>207784195</v>
      </c>
      <c r="D100" s="36">
        <v>1.076042159274972E-2</v>
      </c>
      <c r="E100" s="69">
        <v>27.571846843858228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73518</v>
      </c>
      <c r="C101" s="75">
        <v>239242930</v>
      </c>
      <c r="D101" s="36">
        <v>1.0497268808213452E-2</v>
      </c>
      <c r="E101" s="69">
        <v>32.542089012214696</v>
      </c>
      <c r="F101" s="73"/>
      <c r="G101" s="14" t="str">
        <f t="shared" si="3"/>
        <v>(30, 35]</v>
      </c>
      <c r="H101" s="70">
        <v>7.3279489556190303</v>
      </c>
      <c r="I101" s="36">
        <v>7.692344999999999E-2</v>
      </c>
      <c r="J101" s="36">
        <v>7.6923449999999977E-2</v>
      </c>
      <c r="K101" s="71">
        <v>76923450</v>
      </c>
      <c r="L101" s="36">
        <v>7.6923450000000004E-2</v>
      </c>
      <c r="M101" s="36">
        <v>2.5032497570266465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73974</v>
      </c>
      <c r="C102" s="75">
        <v>277797260</v>
      </c>
      <c r="D102" s="36">
        <v>1.0562378775521394E-2</v>
      </c>
      <c r="E102" s="69">
        <v>37.553364695703891</v>
      </c>
      <c r="F102" s="73"/>
      <c r="G102" s="14" t="str">
        <f t="shared" si="3"/>
        <v>(35, 40]</v>
      </c>
      <c r="H102" s="70">
        <v>13.108908981837301</v>
      </c>
      <c r="I102" s="36">
        <v>0.13846126200000008</v>
      </c>
      <c r="J102" s="36">
        <v>0.13846126200000006</v>
      </c>
      <c r="K102" s="71">
        <v>138461262</v>
      </c>
      <c r="L102" s="36">
        <v>0.138461262</v>
      </c>
      <c r="M102" s="36">
        <v>5.1996862681134068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72529</v>
      </c>
      <c r="C103" s="75">
        <v>308729305</v>
      </c>
      <c r="D103" s="36">
        <v>1.0356054427363549E-2</v>
      </c>
      <c r="E103" s="69">
        <v>42.566325883439731</v>
      </c>
      <c r="F103" s="73"/>
      <c r="G103" s="14" t="str">
        <f t="shared" si="3"/>
        <v>(40, 45]</v>
      </c>
      <c r="H103" s="70">
        <v>11.884424117625301</v>
      </c>
      <c r="I103" s="36">
        <v>0.12307574299999964</v>
      </c>
      <c r="J103" s="36">
        <v>0.12307574299999961</v>
      </c>
      <c r="K103" s="71">
        <v>123075743</v>
      </c>
      <c r="L103" s="36">
        <v>0.123075743</v>
      </c>
      <c r="M103" s="36">
        <v>5.238882184884476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71665</v>
      </c>
      <c r="C104" s="75">
        <v>340734250</v>
      </c>
      <c r="D104" s="36">
        <v>1.023268817351692E-2</v>
      </c>
      <c r="E104" s="69">
        <v>47.545419660922342</v>
      </c>
      <c r="F104" s="73"/>
      <c r="G104" s="14" t="str">
        <f t="shared" si="3"/>
        <v>(45, 50]</v>
      </c>
      <c r="H104" s="70">
        <v>10.524341128533299</v>
      </c>
      <c r="I104" s="36">
        <v>0.10769230100000041</v>
      </c>
      <c r="J104" s="36">
        <v>0.10769230100000038</v>
      </c>
      <c r="K104" s="71">
        <v>107692301</v>
      </c>
      <c r="L104" s="36">
        <v>0.107692301</v>
      </c>
      <c r="M104" s="36">
        <v>5.1202756452953668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141059</v>
      </c>
      <c r="C105" s="75">
        <v>776296860</v>
      </c>
      <c r="D105" s="36">
        <v>2.0141111575638363E-2</v>
      </c>
      <c r="E105" s="69">
        <v>55.033486697055842</v>
      </c>
      <c r="F105" s="73"/>
      <c r="G105" s="14" t="str">
        <f t="shared" si="3"/>
        <v>(50, 60]</v>
      </c>
      <c r="H105" s="70">
        <v>5.3468960040050204</v>
      </c>
      <c r="I105" s="36">
        <v>0.10769242900000002</v>
      </c>
      <c r="J105" s="36">
        <v>0.10769242899999999</v>
      </c>
      <c r="K105" s="71">
        <v>107692429</v>
      </c>
      <c r="L105" s="36">
        <v>0.10769242900000001</v>
      </c>
      <c r="M105" s="36">
        <v>5.9266898587451315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136780</v>
      </c>
      <c r="C106" s="75">
        <v>889498060</v>
      </c>
      <c r="D106" s="36">
        <v>1.9530134492062295E-2</v>
      </c>
      <c r="E106" s="69">
        <v>65.03129551103963</v>
      </c>
      <c r="F106" s="73"/>
      <c r="G106" s="14" t="str">
        <f t="shared" si="3"/>
        <v>(60, 70]</v>
      </c>
      <c r="H106" s="70">
        <v>7.8774066846558899</v>
      </c>
      <c r="I106" s="36">
        <v>0.15384681200000008</v>
      </c>
      <c r="J106" s="36">
        <v>0.15384681200000005</v>
      </c>
      <c r="K106" s="71">
        <v>153846812</v>
      </c>
      <c r="L106" s="36">
        <v>0.153846812</v>
      </c>
      <c r="M106" s="36">
        <v>10.004857494603359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133347</v>
      </c>
      <c r="C107" s="75">
        <v>1000522670</v>
      </c>
      <c r="D107" s="36">
        <v>1.9039953532044386E-2</v>
      </c>
      <c r="E107" s="69">
        <v>75.03150952027417</v>
      </c>
      <c r="F107" s="73"/>
      <c r="G107" s="14" t="str">
        <f t="shared" si="3"/>
        <v>(70, 80]</v>
      </c>
      <c r="H107" s="70">
        <v>4.0401058159379097</v>
      </c>
      <c r="I107" s="36">
        <v>7.6923427000000072E-2</v>
      </c>
      <c r="J107" s="36">
        <v>7.6923427000000058E-2</v>
      </c>
      <c r="K107" s="71">
        <v>76923427</v>
      </c>
      <c r="L107" s="36">
        <v>7.6923427000000003E-2</v>
      </c>
      <c r="M107" s="36">
        <v>5.7716808452826154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129227</v>
      </c>
      <c r="C108" s="75">
        <v>1098874310</v>
      </c>
      <c r="D108" s="36">
        <v>1.8451679266016482E-2</v>
      </c>
      <c r="E108" s="69">
        <v>85.03442082536931</v>
      </c>
      <c r="F108" s="73"/>
      <c r="G108" s="14" t="str">
        <f t="shared" si="3"/>
        <v>(80, 90]</v>
      </c>
      <c r="H108" s="70">
        <v>8.3378200857495095</v>
      </c>
      <c r="I108" s="36">
        <v>0.15384678199999999</v>
      </c>
      <c r="J108" s="36">
        <v>0.15384678199999996</v>
      </c>
      <c r="K108" s="71">
        <v>153846782</v>
      </c>
      <c r="L108" s="36">
        <v>0.15384678199999999</v>
      </c>
      <c r="M108" s="36">
        <v>13.08227200321685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125018</v>
      </c>
      <c r="C109" s="75">
        <v>1187983350</v>
      </c>
      <c r="D109" s="36">
        <v>1.7850697133562247E-2</v>
      </c>
      <c r="E109" s="69">
        <v>95.024984402246076</v>
      </c>
      <c r="F109" s="73"/>
      <c r="G109" s="14" t="str">
        <f t="shared" si="3"/>
        <v>(90, 100]</v>
      </c>
      <c r="H109" s="81">
        <v>3.4473608251578498</v>
      </c>
      <c r="I109" s="79">
        <v>6.1537794000000014E-2</v>
      </c>
      <c r="J109" s="79">
        <v>6.1537794E-2</v>
      </c>
      <c r="K109" s="71">
        <v>61537794</v>
      </c>
      <c r="L109" s="79">
        <v>6.1537794E-2</v>
      </c>
      <c r="M109" s="79">
        <v>5.8476279149986325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238296</v>
      </c>
      <c r="C110" s="75">
        <v>2619871495</v>
      </c>
      <c r="D110" s="36">
        <v>3.4025098178977017E-2</v>
      </c>
      <c r="E110" s="69">
        <v>109.94189978010542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224748</v>
      </c>
      <c r="C111" s="75">
        <v>2920951700</v>
      </c>
      <c r="D111" s="36">
        <v>3.2090646781854193E-2</v>
      </c>
      <c r="E111" s="69">
        <v>129.9656370690729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209650</v>
      </c>
      <c r="C112" s="75">
        <v>3143246085</v>
      </c>
      <c r="D112" s="36">
        <v>2.9934878609890775E-2</v>
      </c>
      <c r="E112" s="69">
        <v>149.92826544240401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198734</v>
      </c>
      <c r="C113" s="75">
        <v>3377478315</v>
      </c>
      <c r="D113" s="36">
        <v>2.8376237374948883E-2</v>
      </c>
      <c r="E113" s="69">
        <v>169.94969733412501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187485</v>
      </c>
      <c r="C114" s="75">
        <v>3561092465</v>
      </c>
      <c r="D114" s="36">
        <v>2.677004872967027E-2</v>
      </c>
      <c r="E114" s="69">
        <v>189.94012667680082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422002</v>
      </c>
      <c r="C115" s="75">
        <v>9472199210</v>
      </c>
      <c r="D115" s="36">
        <v>6.0255562333084316E-2</v>
      </c>
      <c r="E115" s="69">
        <v>224.45863313444013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368119</v>
      </c>
      <c r="C116" s="75">
        <v>10104365770</v>
      </c>
      <c r="D116" s="36">
        <v>5.2561877314545112E-2</v>
      </c>
      <c r="E116" s="69">
        <v>274.48639624686581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321405</v>
      </c>
      <c r="C117" s="75">
        <v>10428962590</v>
      </c>
      <c r="D117" s="36">
        <v>4.5891818075897664E-2</v>
      </c>
      <c r="E117" s="69">
        <v>324.48040914111482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283712</v>
      </c>
      <c r="C118" s="75">
        <v>10625548070</v>
      </c>
      <c r="D118" s="36">
        <v>4.050982246682247E-2</v>
      </c>
      <c r="E118" s="69">
        <v>374.51881027238886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250380</v>
      </c>
      <c r="C119" s="75">
        <v>10628587395</v>
      </c>
      <c r="D119" s="36">
        <v>3.5750512312637504E-2</v>
      </c>
      <c r="E119" s="69">
        <v>424.49825844716031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223043</v>
      </c>
      <c r="C120" s="75">
        <v>10583930920</v>
      </c>
      <c r="D120" s="36">
        <v>3.1847198329529543E-2</v>
      </c>
      <c r="E120" s="69">
        <v>474.52423613383968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199354</v>
      </c>
      <c r="C121" s="75">
        <v>10457453505</v>
      </c>
      <c r="D121" s="36">
        <v>2.846476408488512E-2</v>
      </c>
      <c r="E121" s="69">
        <v>524.56702674639087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177640</v>
      </c>
      <c r="C122" s="75">
        <v>10206550410</v>
      </c>
      <c r="D122" s="36">
        <v>2.5364330246892428E-2</v>
      </c>
      <c r="E122" s="69">
        <v>574.56374746678671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160014</v>
      </c>
      <c r="C123" s="75">
        <v>9993632010</v>
      </c>
      <c r="D123" s="36">
        <v>2.2847601554414797E-2</v>
      </c>
      <c r="E123" s="69">
        <v>624.54735273163601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144165</v>
      </c>
      <c r="C124" s="75">
        <v>9724431615</v>
      </c>
      <c r="D124" s="36">
        <v>2.058460183541571E-2</v>
      </c>
      <c r="E124" s="69">
        <v>674.53484653001772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130027</v>
      </c>
      <c r="C125" s="75">
        <v>9422349115</v>
      </c>
      <c r="D125" s="36">
        <v>1.8565907278837432E-2</v>
      </c>
      <c r="E125" s="69">
        <v>724.64558245595151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118105</v>
      </c>
      <c r="C126" s="75">
        <v>9148586635</v>
      </c>
      <c r="D126" s="36">
        <v>1.6863624317773194E-2</v>
      </c>
      <c r="E126" s="69">
        <v>774.61467634731798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107681</v>
      </c>
      <c r="C127" s="75">
        <v>8879504370</v>
      </c>
      <c r="D127" s="36">
        <v>1.5375233310716187E-2</v>
      </c>
      <c r="E127" s="69">
        <v>824.61199004466891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97799</v>
      </c>
      <c r="C128" s="75">
        <v>8554827365</v>
      </c>
      <c r="D128" s="36">
        <v>1.3964231782345375E-2</v>
      </c>
      <c r="E128" s="69">
        <v>874.7356685651182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89240</v>
      </c>
      <c r="C129" s="75">
        <v>8251438340</v>
      </c>
      <c r="D129" s="36">
        <v>1.2742134830177214E-2</v>
      </c>
      <c r="E129" s="69">
        <v>924.63450694755704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81261</v>
      </c>
      <c r="C130" s="75">
        <v>7921331040</v>
      </c>
      <c r="D130" s="36">
        <v>1.1602853187304241E-2</v>
      </c>
      <c r="E130" s="69">
        <v>974.80107800790051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818533</v>
      </c>
      <c r="C131" s="75">
        <v>113678095185</v>
      </c>
      <c r="D131" s="36">
        <v>0.11687424752296555</v>
      </c>
      <c r="E131" s="69">
        <v>1388.8028361104562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259696</v>
      </c>
      <c r="C132" s="75">
        <v>62938649725</v>
      </c>
      <c r="D132" s="36">
        <v>3.7080697521937489E-2</v>
      </c>
      <c r="E132" s="69">
        <v>2423.5509875007701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114482</v>
      </c>
      <c r="C133" s="75">
        <v>39386745855</v>
      </c>
      <c r="D133" s="36">
        <v>1.6346314204710305E-2</v>
      </c>
      <c r="E133" s="69">
        <v>3440.4313215177931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59903</v>
      </c>
      <c r="C134" s="75">
        <v>26662874075</v>
      </c>
      <c r="D134" s="36">
        <v>8.5532508150168718E-3</v>
      </c>
      <c r="E134" s="69">
        <v>4451.0081423301008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34360</v>
      </c>
      <c r="C135" s="75">
        <v>18752815435</v>
      </c>
      <c r="D135" s="36">
        <v>4.9060931506598954E-3</v>
      </c>
      <c r="E135" s="69">
        <v>5457.7460520954592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21474</v>
      </c>
      <c r="C136" s="75">
        <v>13876466240</v>
      </c>
      <c r="D136" s="36">
        <v>3.0661654341464085E-3</v>
      </c>
      <c r="E136" s="69">
        <v>6461.9848374778803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13856</v>
      </c>
      <c r="C137" s="75">
        <v>10342217665</v>
      </c>
      <c r="D137" s="36">
        <v>1.9784291820588913E-3</v>
      </c>
      <c r="E137" s="69">
        <v>7464.0716404445729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9445</v>
      </c>
      <c r="C138" s="75">
        <v>7997671565</v>
      </c>
      <c r="D138" s="36">
        <v>1.3486044763673663E-3</v>
      </c>
      <c r="E138" s="69">
        <v>8467.6247379565903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6555</v>
      </c>
      <c r="C139" s="75">
        <v>6207601600</v>
      </c>
      <c r="D139" s="36">
        <v>9.3595578005167671E-4</v>
      </c>
      <c r="E139" s="69">
        <v>9470.0253241800165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17466</v>
      </c>
      <c r="C140" s="75">
        <v>22586001445</v>
      </c>
      <c r="D140" s="36">
        <v>2.4938830899134379E-3</v>
      </c>
      <c r="E140" s="69">
        <v>12931.410423107753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1194</v>
      </c>
      <c r="C141" s="75">
        <v>2764219645</v>
      </c>
      <c r="D141" s="36">
        <v>1.704853091352711E-4</v>
      </c>
      <c r="E141" s="69">
        <v>23150.918299832498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95</v>
      </c>
      <c r="C142" s="75">
        <v>319282180</v>
      </c>
      <c r="D142" s="36">
        <v>1.3564576522488069E-5</v>
      </c>
      <c r="E142" s="69">
        <v>33608.650526315789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17</v>
      </c>
      <c r="C143" s="75">
        <v>72474480</v>
      </c>
      <c r="D143" s="36">
        <v>2.4273452724452335E-6</v>
      </c>
      <c r="E143" s="69">
        <v>42632.047058823526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3</v>
      </c>
      <c r="C144" s="75">
        <v>16049515</v>
      </c>
      <c r="D144" s="36">
        <v>4.2835504807857061E-7</v>
      </c>
      <c r="E144" s="69">
        <v>53498.383333333331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142</v>
      </c>
      <c r="C2" s="34">
        <v>10000000000</v>
      </c>
    </row>
    <row r="4" spans="1:3" x14ac:dyDescent="0.3">
      <c r="B4" s="12" t="s">
        <v>5</v>
      </c>
      <c r="C4" s="12" t="s">
        <v>143</v>
      </c>
    </row>
    <row r="5" spans="1:3" x14ac:dyDescent="0.3">
      <c r="A5" s="21"/>
      <c r="B5" s="15" t="s">
        <v>144</v>
      </c>
      <c r="C5" s="22"/>
    </row>
    <row r="6" spans="1:3" x14ac:dyDescent="0.3">
      <c r="B6" s="15" t="s">
        <v>145</v>
      </c>
      <c r="C6" s="22"/>
    </row>
    <row r="7" spans="1:3" x14ac:dyDescent="0.3">
      <c r="A7" s="21"/>
      <c r="B7" s="15" t="s">
        <v>146</v>
      </c>
      <c r="C7" s="22"/>
    </row>
    <row r="8" spans="1:3" x14ac:dyDescent="0.3">
      <c r="B8" s="15" t="s">
        <v>147</v>
      </c>
      <c r="C8" s="22"/>
    </row>
    <row r="9" spans="1:3" x14ac:dyDescent="0.3">
      <c r="A9" s="21"/>
      <c r="B9" s="15" t="s">
        <v>148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Description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2026-08-10T09:28:57Z</dcterms:modified>
</cp:coreProperties>
</file>