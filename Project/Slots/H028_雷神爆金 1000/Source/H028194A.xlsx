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AppData\Local\Temp\claude\C--Users-rhinshen-Mine----------\b0e08a10-2c3c-49c0-bb4b-0cc7f0eeffa7\scratchpad\"/>
    </mc:Choice>
  </mc:AlternateContent>
  <xr:revisionPtr revIDLastSave="0" documentId="13_ncr:1_{B8A74043-4263-4DDC-9C5F-11B263BBE082}" xr6:coauthVersionLast="47" xr6:coauthVersionMax="47" xr10:uidLastSave="{00000000-0000-0000-0000-000000000000}"/>
  <bookViews>
    <workbookView xWindow="-20280" yWindow="5805" windowWidth="15090" windowHeight="9870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6" l="1"/>
  <c r="G149" i="6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 s="1"/>
  <c r="I86" i="6" s="1" a="1"/>
  <c r="I86" i="6" s="1"/>
  <c r="J86" i="6" s="1" a="1"/>
  <c r="J86" i="6" s="1"/>
  <c r="K86" i="6" s="1" a="1"/>
  <c r="K86" i="6" s="1"/>
  <c r="C3" i="3" s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A15" i="6"/>
  <c r="B3" i="6"/>
  <c r="E15" i="6" s="1" a="1"/>
  <c r="E15" i="6" s="1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B163" i="5" a="1"/>
  <c r="B163" i="5" s="1"/>
  <c r="D163" i="5" s="1" a="1"/>
  <c r="D163" i="5" s="1"/>
  <c r="I163" i="5" s="1" a="1"/>
  <c r="I163" i="5" s="1"/>
  <c r="J163" i="5" s="1" a="1"/>
  <c r="J163" i="5" s="1"/>
  <c r="K163" i="5" s="1" a="1"/>
  <c r="K163" i="5" s="1"/>
  <c r="F3" i="3" s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K86" i="5" s="1"/>
  <c r="E3" i="3" s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 s="1"/>
  <c r="A15" i="5"/>
  <c r="F8" i="5"/>
  <c r="G8" i="5" s="1"/>
  <c r="B7" i="5" a="1"/>
  <c r="B7" i="5" s="1"/>
  <c r="B3" i="5"/>
  <c r="E15" i="5" s="1" a="1"/>
  <c r="E15" i="5" s="1"/>
  <c r="C21" i="1"/>
  <c r="A21" i="1"/>
  <c r="A17" i="1"/>
  <c r="A11" i="1" a="1"/>
  <c r="A12" i="1" s="1"/>
  <c r="F62" i="3" l="1"/>
  <c r="F42" i="3"/>
  <c r="F22" i="3"/>
  <c r="F60" i="3"/>
  <c r="F39" i="3"/>
  <c r="F57" i="3"/>
  <c r="F16" i="3"/>
  <c r="F34" i="3"/>
  <c r="F32" i="3"/>
  <c r="F51" i="3"/>
  <c r="E38" i="3"/>
  <c r="F49" i="3"/>
  <c r="F29" i="3"/>
  <c r="F9" i="3"/>
  <c r="F58" i="3"/>
  <c r="F37" i="3"/>
  <c r="F36" i="3"/>
  <c r="F35" i="3"/>
  <c r="F12" i="3"/>
  <c r="F11" i="3"/>
  <c r="F10" i="3"/>
  <c r="E36" i="3"/>
  <c r="F47" i="3"/>
  <c r="F27" i="3"/>
  <c r="F7" i="3"/>
  <c r="F61" i="3"/>
  <c r="F20" i="3"/>
  <c r="F59" i="3"/>
  <c r="F13" i="3"/>
  <c r="F30" i="3"/>
  <c r="F8" i="3"/>
  <c r="F66" i="3"/>
  <c r="F46" i="3"/>
  <c r="F26" i="3"/>
  <c r="F6" i="3"/>
  <c r="F41" i="3"/>
  <c r="F17" i="3"/>
  <c r="F56" i="3"/>
  <c r="F54" i="3"/>
  <c r="F53" i="3"/>
  <c r="F52" i="3"/>
  <c r="F31" i="3"/>
  <c r="F28" i="3"/>
  <c r="F65" i="3"/>
  <c r="F45" i="3"/>
  <c r="F25" i="3"/>
  <c r="F5" i="3"/>
  <c r="F18" i="3"/>
  <c r="F55" i="3"/>
  <c r="F33" i="3"/>
  <c r="F48" i="3"/>
  <c r="F64" i="3"/>
  <c r="F44" i="3"/>
  <c r="F24" i="3"/>
  <c r="F4" i="3"/>
  <c r="F21" i="3"/>
  <c r="F40" i="3"/>
  <c r="F19" i="3"/>
  <c r="F38" i="3"/>
  <c r="F15" i="3"/>
  <c r="F14" i="3"/>
  <c r="F50" i="3"/>
  <c r="E37" i="3"/>
  <c r="F63" i="3"/>
  <c r="F43" i="3"/>
  <c r="F23" i="3"/>
  <c r="E61" i="3"/>
  <c r="E60" i="3"/>
  <c r="E30" i="3"/>
  <c r="E59" i="3"/>
  <c r="E29" i="3"/>
  <c r="E58" i="3"/>
  <c r="E22" i="3"/>
  <c r="E57" i="3"/>
  <c r="E21" i="3"/>
  <c r="E49" i="3"/>
  <c r="E15" i="3"/>
  <c r="E56" i="3"/>
  <c r="E19" i="3"/>
  <c r="E42" i="3"/>
  <c r="E12" i="3"/>
  <c r="E35" i="3"/>
  <c r="E62" i="3"/>
  <c r="E55" i="3"/>
  <c r="E52" i="3"/>
  <c r="E17" i="3"/>
  <c r="E50" i="3"/>
  <c r="E41" i="3"/>
  <c r="E11" i="3"/>
  <c r="E32" i="3"/>
  <c r="E20" i="3"/>
  <c r="E18" i="3"/>
  <c r="E16" i="3"/>
  <c r="E40" i="3"/>
  <c r="E10" i="3"/>
  <c r="E31" i="3"/>
  <c r="E51" i="3"/>
  <c r="E39" i="3"/>
  <c r="E9" i="3"/>
  <c r="E54" i="3"/>
  <c r="E34" i="3"/>
  <c r="E14" i="3"/>
  <c r="E53" i="3"/>
  <c r="E33" i="3"/>
  <c r="E13" i="3"/>
  <c r="E48" i="3"/>
  <c r="E47" i="3"/>
  <c r="E27" i="3"/>
  <c r="E7" i="3"/>
  <c r="E66" i="3"/>
  <c r="E46" i="3"/>
  <c r="E26" i="3"/>
  <c r="E6" i="3"/>
  <c r="E65" i="3"/>
  <c r="E45" i="3"/>
  <c r="E25" i="3"/>
  <c r="E5" i="3"/>
  <c r="E28" i="3"/>
  <c r="E64" i="3"/>
  <c r="E44" i="3"/>
  <c r="E24" i="3"/>
  <c r="E4" i="3"/>
  <c r="E8" i="3"/>
  <c r="E63" i="3"/>
  <c r="E43" i="3"/>
  <c r="E23" i="3"/>
  <c r="C61" i="3"/>
  <c r="C60" i="3"/>
  <c r="C59" i="3"/>
  <c r="C58" i="3"/>
  <c r="C62" i="3"/>
  <c r="C42" i="3"/>
  <c r="C41" i="3"/>
  <c r="C40" i="3"/>
  <c r="C39" i="3"/>
  <c r="C38" i="3"/>
  <c r="C22" i="3"/>
  <c r="C21" i="3"/>
  <c r="C20" i="3"/>
  <c r="C19" i="3"/>
  <c r="C18" i="3"/>
  <c r="C37" i="3"/>
  <c r="C15" i="3"/>
  <c r="C14" i="3"/>
  <c r="C32" i="3"/>
  <c r="C51" i="3"/>
  <c r="C10" i="3"/>
  <c r="C29" i="3"/>
  <c r="C48" i="3"/>
  <c r="C28" i="3"/>
  <c r="C8" i="3"/>
  <c r="C57" i="3"/>
  <c r="C36" i="3"/>
  <c r="C34" i="3"/>
  <c r="C31" i="3"/>
  <c r="C30" i="3"/>
  <c r="C49" i="3"/>
  <c r="C47" i="3"/>
  <c r="C27" i="3"/>
  <c r="C7" i="3"/>
  <c r="C54" i="3"/>
  <c r="C53" i="3"/>
  <c r="C12" i="3"/>
  <c r="C9" i="3"/>
  <c r="C66" i="3"/>
  <c r="C46" i="3"/>
  <c r="C26" i="3"/>
  <c r="C6" i="3"/>
  <c r="C35" i="3"/>
  <c r="C13" i="3"/>
  <c r="C52" i="3"/>
  <c r="C11" i="3"/>
  <c r="C50" i="3"/>
  <c r="C65" i="3"/>
  <c r="C45" i="3"/>
  <c r="C25" i="3"/>
  <c r="C5" i="3"/>
  <c r="C17" i="3"/>
  <c r="C56" i="3"/>
  <c r="C16" i="3"/>
  <c r="C55" i="3"/>
  <c r="C33" i="3"/>
  <c r="C64" i="3"/>
  <c r="C44" i="3"/>
  <c r="C24" i="3"/>
  <c r="C4" i="3"/>
  <c r="C63" i="3"/>
  <c r="C43" i="3"/>
  <c r="C23" i="3"/>
  <c r="I15" i="6" a="1"/>
  <c r="J79" i="6" s="1"/>
  <c r="I15" i="5" a="1"/>
  <c r="J79" i="5" s="1"/>
  <c r="L86" i="6" a="1"/>
  <c r="L86" i="6" s="1"/>
  <c r="J7" i="6" a="1"/>
  <c r="J7" i="6" s="1"/>
  <c r="E86" i="6" a="1"/>
  <c r="E86" i="6" s="1"/>
  <c r="E163" i="5" a="1"/>
  <c r="E163" i="5" s="1"/>
  <c r="A11" i="1"/>
  <c r="L86" i="5" a="1"/>
  <c r="L86" i="5" s="1"/>
  <c r="J7" i="5" a="1"/>
  <c r="J7" i="5" s="1"/>
  <c r="J8" i="5" a="1"/>
  <c r="J8" i="5" s="1"/>
  <c r="L163" i="5" a="1"/>
  <c r="L163" i="5" s="1"/>
  <c r="E86" i="5" a="1"/>
  <c r="E86" i="5" s="1"/>
  <c r="E156" i="5"/>
  <c r="M156" i="5" s="1"/>
  <c r="C8" i="5" s="1"/>
  <c r="I15" i="5" l="1"/>
  <c r="J15" i="5" s="1" a="1"/>
  <c r="J15" i="5" s="1"/>
  <c r="K15" i="5" s="1" a="1"/>
  <c r="D67" i="3" s="1"/>
  <c r="I15" i="6"/>
  <c r="J15" i="6" s="1" a="1"/>
  <c r="J15" i="6" s="1"/>
  <c r="K15" i="6" s="1" a="1"/>
  <c r="B67" i="3" s="1"/>
  <c r="U86" i="6" a="1"/>
  <c r="U86" i="6" s="1"/>
  <c r="M86" i="6" a="1"/>
  <c r="M86" i="6" s="1"/>
  <c r="Q86" i="6" a="1"/>
  <c r="Q86" i="6" s="1"/>
  <c r="B21" i="1"/>
  <c r="U163" i="5" a="1"/>
  <c r="U163" i="5" s="1"/>
  <c r="Q163" i="5" a="1"/>
  <c r="Q163" i="5" s="1"/>
  <c r="M163" i="5" a="1"/>
  <c r="M163" i="5" s="1"/>
  <c r="D8" i="5" s="1"/>
  <c r="U86" i="5" a="1"/>
  <c r="U86" i="5" s="1"/>
  <c r="Q86" i="5" a="1"/>
  <c r="Q86" i="5" s="1"/>
  <c r="M86" i="5" a="1"/>
  <c r="M86" i="5" s="1"/>
  <c r="K15" i="5" l="1"/>
  <c r="D23" i="3"/>
  <c r="D43" i="3"/>
  <c r="D63" i="3"/>
  <c r="D4" i="3"/>
  <c r="D24" i="3"/>
  <c r="D44" i="3"/>
  <c r="D64" i="3"/>
  <c r="D9" i="3"/>
  <c r="D10" i="3"/>
  <c r="D31" i="3"/>
  <c r="D52" i="3"/>
  <c r="D14" i="3"/>
  <c r="D35" i="3"/>
  <c r="D56" i="3"/>
  <c r="D18" i="3"/>
  <c r="D19" i="3"/>
  <c r="D40" i="3"/>
  <c r="D21" i="3"/>
  <c r="D5" i="3"/>
  <c r="D25" i="3"/>
  <c r="D45" i="3"/>
  <c r="D65" i="3"/>
  <c r="D49" i="3"/>
  <c r="D50" i="3"/>
  <c r="D51" i="3"/>
  <c r="D16" i="3"/>
  <c r="D37" i="3"/>
  <c r="D58" i="3"/>
  <c r="D39" i="3"/>
  <c r="D41" i="3"/>
  <c r="D22" i="3"/>
  <c r="D6" i="3"/>
  <c r="D26" i="3"/>
  <c r="D46" i="3"/>
  <c r="D66" i="3"/>
  <c r="D29" i="3"/>
  <c r="D33" i="3"/>
  <c r="D34" i="3"/>
  <c r="D55" i="3"/>
  <c r="D36" i="3"/>
  <c r="D57" i="3"/>
  <c r="D7" i="3"/>
  <c r="D27" i="3"/>
  <c r="D47" i="3"/>
  <c r="D32" i="3"/>
  <c r="D53" i="3"/>
  <c r="D54" i="3"/>
  <c r="D15" i="3"/>
  <c r="D17" i="3"/>
  <c r="D20" i="3"/>
  <c r="D61" i="3"/>
  <c r="D62" i="3"/>
  <c r="D8" i="3"/>
  <c r="D28" i="3"/>
  <c r="D48" i="3"/>
  <c r="D30" i="3"/>
  <c r="D11" i="3"/>
  <c r="D12" i="3"/>
  <c r="D13" i="3"/>
  <c r="D38" i="3"/>
  <c r="D59" i="3"/>
  <c r="D60" i="3"/>
  <c r="D42" i="3"/>
  <c r="K15" i="6"/>
  <c r="B23" i="3"/>
  <c r="B43" i="3"/>
  <c r="B63" i="3"/>
  <c r="B8" i="3"/>
  <c r="B49" i="3"/>
  <c r="B10" i="3"/>
  <c r="B11" i="3"/>
  <c r="B52" i="3"/>
  <c r="B53" i="3"/>
  <c r="B38" i="3"/>
  <c r="B4" i="3"/>
  <c r="B24" i="3"/>
  <c r="B44" i="3"/>
  <c r="B64" i="3"/>
  <c r="B50" i="3"/>
  <c r="B51" i="3"/>
  <c r="B12" i="3"/>
  <c r="B33" i="3"/>
  <c r="B55" i="3"/>
  <c r="B16" i="3"/>
  <c r="B56" i="3"/>
  <c r="B17" i="3"/>
  <c r="B18" i="3"/>
  <c r="B39" i="3"/>
  <c r="B40" i="3"/>
  <c r="B42" i="3"/>
  <c r="B5" i="3"/>
  <c r="B25" i="3"/>
  <c r="B45" i="3"/>
  <c r="B65" i="3"/>
  <c r="B31" i="3"/>
  <c r="B14" i="3"/>
  <c r="B58" i="3"/>
  <c r="B21" i="3"/>
  <c r="B62" i="3"/>
  <c r="B6" i="3"/>
  <c r="B26" i="3"/>
  <c r="B46" i="3"/>
  <c r="B66" i="3"/>
  <c r="B48" i="3"/>
  <c r="B9" i="3"/>
  <c r="B54" i="3"/>
  <c r="B15" i="3"/>
  <c r="B57" i="3"/>
  <c r="B19" i="3"/>
  <c r="B60" i="3"/>
  <c r="B61" i="3"/>
  <c r="B7" i="3"/>
  <c r="B27" i="3"/>
  <c r="B47" i="3"/>
  <c r="B28" i="3"/>
  <c r="B29" i="3"/>
  <c r="B30" i="3"/>
  <c r="B32" i="3"/>
  <c r="B13" i="3"/>
  <c r="B34" i="3"/>
  <c r="B35" i="3"/>
  <c r="B36" i="3"/>
  <c r="B37" i="3"/>
  <c r="B59" i="3"/>
  <c r="B20" i="3"/>
  <c r="B41" i="3"/>
  <c r="B22" i="3"/>
  <c r="I7" i="5" a="1"/>
  <c r="I7" i="5" s="1"/>
  <c r="L15" i="6" a="1"/>
  <c r="F7" i="6" s="1"/>
  <c r="B22" i="1"/>
  <c r="C12" i="1" s="1"/>
  <c r="H8" i="5"/>
  <c r="E8" i="5"/>
  <c r="L15" i="5" l="1" a="1"/>
  <c r="D3" i="3"/>
  <c r="I7" i="6" a="1"/>
  <c r="I7" i="6" s="1"/>
  <c r="B3" i="3"/>
  <c r="L15" i="6"/>
  <c r="Q15" i="6" s="1" a="1"/>
  <c r="Q15" i="6" s="1"/>
  <c r="U15" i="6" a="1"/>
  <c r="U15" i="6" s="1"/>
  <c r="M15" i="6" a="1"/>
  <c r="M15" i="6" s="1"/>
  <c r="C7" i="6" s="1"/>
  <c r="G7" i="6"/>
  <c r="D7" i="6"/>
  <c r="F7" i="5" l="1"/>
  <c r="L15" i="5"/>
  <c r="H7" i="6"/>
  <c r="E7" i="6"/>
  <c r="M15" i="5" l="1" a="1"/>
  <c r="M15" i="5" s="1"/>
  <c r="C7" i="5" s="1"/>
  <c r="U15" i="5" a="1"/>
  <c r="U15" i="5" s="1"/>
  <c r="Q15" i="5" a="1"/>
  <c r="Q15" i="5" s="1"/>
  <c r="G7" i="5"/>
  <c r="D17" i="1" s="1"/>
  <c r="C17" i="1" s="1"/>
  <c r="D7" i="5"/>
  <c r="H7" i="5" l="1"/>
  <c r="B18" i="1"/>
  <c r="B17" i="1"/>
  <c r="E7" i="5"/>
  <c r="C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<sst xmlns="http://schemas.openxmlformats.org/spreadsheetml/2006/main" count="352" uniqueCount="191">
  <si>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</si>
  <si>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2.0.0.36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</si>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</sst>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F18" sqref="F18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184</v>
      </c>
      <c r="B2" s="98" t="s">
        <v>185</v>
      </c>
    </row>
    <row r="3" spans="1:10" x14ac:dyDescent="0.3">
      <c r="A3" s="3" t="s">
        <v>0</v>
      </c>
      <c r="B3" s="99" t="s">
        <v>1</v>
      </c>
      <c r="C3" s="24"/>
    </row>
    <row r="5" spans="1:10" x14ac:dyDescent="0.3">
      <c r="A5" s="3"/>
      <c r="B5" s="6"/>
      <c r="C5" s="6"/>
    </row>
    <row r="6" spans="1:10" x14ac:dyDescent="0.3">
      <c r="A6" s="9" t="s">
        <v>2</v>
      </c>
      <c r="B6" s="9" t="s">
        <v>3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4</v>
      </c>
      <c r="B10" s="9" t="s">
        <v>5</v>
      </c>
      <c r="C10" s="17" t="s">
        <v>160</v>
      </c>
      <c r="D10" s="17" t="s">
        <v>6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0.93999987487178771</v>
      </c>
      <c r="D11" s="23" t="s">
        <v>7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0.92499955833694303</v>
      </c>
      <c r="D12" s="23" t="s">
        <v>8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9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6</v>
      </c>
      <c r="B16" s="9" t="s">
        <v>10</v>
      </c>
      <c r="C16" s="9" t="s">
        <v>11</v>
      </c>
      <c r="D16" s="9" t="s">
        <v>12</v>
      </c>
      <c r="E16" s="9" t="s">
        <v>13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0.72000002271071117</v>
      </c>
      <c r="C17" s="102">
        <f>1/D17</f>
        <v>3.3333327718777705E-3</v>
      </c>
      <c r="D17" s="105">
        <f>Detail!G7</f>
        <v>300.00005053100915</v>
      </c>
      <c r="E17" s="16" t="s">
        <v>14</v>
      </c>
      <c r="H17" s="26"/>
      <c r="I17" s="30"/>
      <c r="J17" s="31"/>
    </row>
    <row r="18" spans="1:10" ht="15.6" customHeight="1" x14ac:dyDescent="0.3">
      <c r="A18" s="101"/>
      <c r="B18" s="19">
        <f>Detail!D7</f>
        <v>0.21999985216107651</v>
      </c>
      <c r="C18" s="103"/>
      <c r="D18" s="103"/>
      <c r="E18" s="16" t="s">
        <v>15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6</v>
      </c>
      <c r="B20" s="9" t="s">
        <v>10</v>
      </c>
      <c r="C20" s="9" t="s">
        <v>11</v>
      </c>
      <c r="D20" s="9" t="s">
        <v>12</v>
      </c>
      <c r="E20" s="9" t="s">
        <v>13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14</v>
      </c>
      <c r="H21" s="26"/>
      <c r="I21" s="30"/>
      <c r="J21" s="31"/>
    </row>
    <row r="22" spans="1:10" x14ac:dyDescent="0.3">
      <c r="A22" s="107"/>
      <c r="B22" s="19">
        <f>Detail!D8</f>
        <v>0.92499955833694303</v>
      </c>
      <c r="C22" s="103"/>
      <c r="D22" s="103"/>
      <c r="E22" s="16" t="s">
        <v>15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16</v>
      </c>
    </row>
    <row r="5" spans="2:2" x14ac:dyDescent="0.3">
      <c r="B5" s="4" t="s">
        <v>17</v>
      </c>
    </row>
    <row r="7" spans="2:2" x14ac:dyDescent="0.3">
      <c r="B7" s="4" t="s">
        <v>18</v>
      </c>
    </row>
    <row r="8" spans="2:2" x14ac:dyDescent="0.3">
      <c r="B8" s="4" t="s">
        <v>19</v>
      </c>
    </row>
    <row r="9" spans="2:2" x14ac:dyDescent="0.3">
      <c r="B9" s="4" t="s">
        <v>20</v>
      </c>
    </row>
    <row r="10" spans="2:2" x14ac:dyDescent="0.3">
      <c r="B10" s="4" t="s">
        <v>21</v>
      </c>
    </row>
    <row r="11" spans="2:2" x14ac:dyDescent="0.3">
      <c r="B11" s="4" t="s">
        <v>22</v>
      </c>
    </row>
    <row r="12" spans="2:2" x14ac:dyDescent="0.3">
      <c r="B12" s="4" t="s">
        <v>23</v>
      </c>
    </row>
    <row r="13" spans="2:2" x14ac:dyDescent="0.3">
      <c r="B13" s="4" t="s">
        <v>24</v>
      </c>
    </row>
    <row r="14" spans="2:2" x14ac:dyDescent="0.3">
      <c r="B14" s="4" t="s">
        <v>25</v>
      </c>
    </row>
    <row r="15" spans="2:2" x14ac:dyDescent="0.3">
      <c r="B15" s="4" t="s">
        <v>26</v>
      </c>
    </row>
    <row r="16" spans="2:2" x14ac:dyDescent="0.3">
      <c r="B16" s="4" t="s">
        <v>27</v>
      </c>
    </row>
    <row r="18" spans="2:2" x14ac:dyDescent="0.3">
      <c r="B18" s="4" t="s">
        <v>28</v>
      </c>
    </row>
    <row r="19" spans="2:2" x14ac:dyDescent="0.3">
      <c r="B19" s="4" t="s">
        <v>29</v>
      </c>
    </row>
    <row r="20" spans="2:2" x14ac:dyDescent="0.3">
      <c r="B20" s="4" t="s">
        <v>30</v>
      </c>
    </row>
    <row r="21" spans="2:2" x14ac:dyDescent="0.3">
      <c r="B21" s="4" t="s">
        <v>31</v>
      </c>
    </row>
    <row r="22" spans="2:2" x14ac:dyDescent="0.3">
      <c r="B22" s="4" t="s">
        <v>32</v>
      </c>
    </row>
    <row r="23" spans="2:2" x14ac:dyDescent="0.3">
      <c r="B23" s="4" t="s">
        <v>33</v>
      </c>
    </row>
    <row r="24" spans="2:2" x14ac:dyDescent="0.3">
      <c r="B24" s="4" t="s">
        <v>34</v>
      </c>
    </row>
    <row r="25" spans="2:2" x14ac:dyDescent="0.3">
      <c r="B25" s="4" t="s">
        <v>35</v>
      </c>
    </row>
    <row r="26" spans="2:2" x14ac:dyDescent="0.3">
      <c r="B26" s="4" t="s">
        <v>36</v>
      </c>
    </row>
    <row r="28" spans="2:2" x14ac:dyDescent="0.3">
      <c r="B28" s="4" t="s">
        <v>37</v>
      </c>
    </row>
    <row r="30" spans="2:2" x14ac:dyDescent="0.3">
      <c r="B30" s="4" t="s">
        <v>38</v>
      </c>
    </row>
    <row r="31" spans="2:2" x14ac:dyDescent="0.3">
      <c r="B31" s="4" t="s">
        <v>39</v>
      </c>
    </row>
    <row r="33" spans="2:2" x14ac:dyDescent="0.3">
      <c r="B33" s="4" t="s">
        <v>40</v>
      </c>
    </row>
    <row r="35" spans="2:2" x14ac:dyDescent="0.3">
      <c r="B35" s="4" t="s">
        <v>41</v>
      </c>
    </row>
    <row r="37" spans="2:2" x14ac:dyDescent="0.3">
      <c r="B37" s="4" t="s">
        <v>42</v>
      </c>
    </row>
    <row r="38" spans="2:2" x14ac:dyDescent="0.3">
      <c r="B38" s="4" t="s">
        <v>43</v>
      </c>
    </row>
    <row r="39" spans="2:2" x14ac:dyDescent="0.3">
      <c r="B39" s="4" t="s">
        <v>44</v>
      </c>
    </row>
    <row r="40" spans="2:2" x14ac:dyDescent="0.3">
      <c r="B40" s="4" t="s">
        <v>45</v>
      </c>
    </row>
    <row r="42" spans="2:2" x14ac:dyDescent="0.3">
      <c r="B42" s="4" t="s">
        <v>46</v>
      </c>
    </row>
    <row r="43" spans="2:2" x14ac:dyDescent="0.3">
      <c r="B43" s="4" t="s">
        <v>29</v>
      </c>
    </row>
    <row r="44" spans="2:2" x14ac:dyDescent="0.3">
      <c r="B44" s="4" t="s">
        <v>47</v>
      </c>
    </row>
    <row r="46" spans="2:2" x14ac:dyDescent="0.3">
      <c r="B46" s="4" t="s">
        <v>48</v>
      </c>
    </row>
    <row r="47" spans="2:2" x14ac:dyDescent="0.3">
      <c r="B47" s="4" t="s">
        <v>49</v>
      </c>
    </row>
    <row r="48" spans="2:2" x14ac:dyDescent="0.3">
      <c r="B48" s="4" t="s">
        <v>50</v>
      </c>
    </row>
    <row r="49" spans="2:2" x14ac:dyDescent="0.3">
      <c r="B49" s="4" t="s">
        <v>51</v>
      </c>
    </row>
    <row r="50" spans="2:2" x14ac:dyDescent="0.3">
      <c r="B50" s="4" t="s">
        <v>52</v>
      </c>
    </row>
    <row r="51" spans="2:2" x14ac:dyDescent="0.3">
      <c r="B51" s="4" t="s">
        <v>53</v>
      </c>
    </row>
    <row r="53" spans="2:2" x14ac:dyDescent="0.3">
      <c r="B53" s="4" t="s">
        <v>54</v>
      </c>
    </row>
    <row r="55" spans="2:2" x14ac:dyDescent="0.3">
      <c r="B55" s="4" t="s">
        <v>55</v>
      </c>
    </row>
    <row r="56" spans="2:2" x14ac:dyDescent="0.3">
      <c r="B56" s="4" t="s">
        <v>56</v>
      </c>
    </row>
    <row r="57" spans="2:2" x14ac:dyDescent="0.3">
      <c r="B57" s="4" t="s">
        <v>57</v>
      </c>
    </row>
    <row r="58" spans="2:2" x14ac:dyDescent="0.3">
      <c r="B58" s="4" t="s">
        <v>58</v>
      </c>
    </row>
    <row r="59" spans="2:2" x14ac:dyDescent="0.3">
      <c r="B59" s="4" t="s">
        <v>59</v>
      </c>
    </row>
    <row r="60" spans="2:2" x14ac:dyDescent="0.3">
      <c r="B60" s="4" t="s">
        <v>60</v>
      </c>
    </row>
    <row r="62" spans="2:2" x14ac:dyDescent="0.3">
      <c r="B62" s="4" t="s">
        <v>61</v>
      </c>
    </row>
    <row r="64" spans="2:2" x14ac:dyDescent="0.3">
      <c r="B64" s="4" t="s">
        <v>62</v>
      </c>
    </row>
    <row r="65" spans="2:2" x14ac:dyDescent="0.3">
      <c r="B65" s="4" t="s">
        <v>63</v>
      </c>
    </row>
    <row r="67" spans="2:2" x14ac:dyDescent="0.3">
      <c r="B67" s="4" t="s">
        <v>64</v>
      </c>
    </row>
    <row r="69" spans="2:2" x14ac:dyDescent="0.3">
      <c r="B69" s="4" t="s">
        <v>65</v>
      </c>
    </row>
    <row r="70" spans="2:2" x14ac:dyDescent="0.3">
      <c r="B70" s="4" t="s">
        <v>66</v>
      </c>
    </row>
    <row r="71" spans="2:2" x14ac:dyDescent="0.3">
      <c r="B71" s="4" t="s">
        <v>67</v>
      </c>
    </row>
    <row r="72" spans="2:2" x14ac:dyDescent="0.3">
      <c r="B72" s="4" t="s">
        <v>68</v>
      </c>
    </row>
    <row r="73" spans="2:2" x14ac:dyDescent="0.3">
      <c r="B73" s="4" t="s">
        <v>69</v>
      </c>
    </row>
    <row r="74" spans="2:2" x14ac:dyDescent="0.3">
      <c r="B74" s="4" t="s">
        <v>70</v>
      </c>
    </row>
    <row r="75" spans="2:2" x14ac:dyDescent="0.3">
      <c r="B75" s="4" t="s">
        <v>71</v>
      </c>
    </row>
    <row r="77" spans="2:2" x14ac:dyDescent="0.3">
      <c r="B77" s="4" t="s">
        <v>72</v>
      </c>
    </row>
    <row r="79" spans="2:2" x14ac:dyDescent="0.3">
      <c r="B79" s="4" t="s">
        <v>73</v>
      </c>
    </row>
    <row r="80" spans="2:2" x14ac:dyDescent="0.3">
      <c r="B80" s="4" t="s">
        <v>74</v>
      </c>
    </row>
    <row r="81" spans="2:2" x14ac:dyDescent="0.3">
      <c r="B81" s="4" t="s">
        <v>75</v>
      </c>
    </row>
    <row r="82" spans="2:2" x14ac:dyDescent="0.3">
      <c r="B82" s="4" t="s">
        <v>76</v>
      </c>
    </row>
    <row r="83" spans="2:2" x14ac:dyDescent="0.3">
      <c r="B83" s="4" t="s">
        <v>77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78</v>
      </c>
      <c r="B2" s="9" t="s">
        <v>186</v>
      </c>
      <c r="C2" s="9" t="s">
        <v>187</v>
      </c>
      <c r="D2" s="9" t="s">
        <v>188</v>
      </c>
      <c r="E2" s="9" t="s">
        <v>189</v>
      </c>
      <c r="F2" s="9" t="s">
        <v>190</v>
      </c>
    </row>
    <row r="3" spans="1:6" x14ac:dyDescent="0.3">
      <c r="A3" s="14" t="s">
        <v>79</v>
      </c>
      <c r="B3" s="10">
        <f>Detail_Newbie!K15</f>
        <v>730945631</v>
      </c>
      <c r="C3" s="10">
        <f>Detail_Newbie!K86</f>
        <v>0</v>
      </c>
      <c r="D3" s="10">
        <f>Detail!K15</f>
        <v>723742654</v>
      </c>
      <c r="E3" s="10">
        <f>Detail!K86</f>
        <v>0</v>
      </c>
      <c r="F3" s="10">
        <f>Detail!K163</f>
        <v>0</v>
      </c>
    </row>
    <row r="4" spans="1:6" x14ac:dyDescent="0.3">
      <c r="A4" s="14" t="s">
        <v>80</v>
      </c>
      <c r="B4" s="10">
        <f>Detail_Newbie!K16</f>
        <v>146886012</v>
      </c>
      <c r="C4" s="10">
        <f>Detail_Newbie!K87</f>
        <v>0</v>
      </c>
      <c r="D4" s="10">
        <f>Detail!K16</f>
        <v>154296781</v>
      </c>
      <c r="E4" s="10">
        <f>Detail!K87</f>
        <v>0</v>
      </c>
      <c r="F4" s="10">
        <f>Detail!K164</f>
        <v>0</v>
      </c>
    </row>
    <row r="5" spans="1:6" x14ac:dyDescent="0.3">
      <c r="A5" s="14" t="s">
        <v>81</v>
      </c>
      <c r="B5" s="10">
        <f>Detail_Newbie!K17</f>
        <v>43254753</v>
      </c>
      <c r="C5" s="10">
        <f>Detail_Newbie!K88</f>
        <v>0</v>
      </c>
      <c r="D5" s="10">
        <f>Detail!K17</f>
        <v>45468214</v>
      </c>
      <c r="E5" s="10">
        <f>Detail!K88</f>
        <v>0</v>
      </c>
      <c r="F5" s="10">
        <f>Detail!K165</f>
        <v>0</v>
      </c>
    </row>
    <row r="6" spans="1:6" x14ac:dyDescent="0.3">
      <c r="A6" s="14" t="s">
        <v>82</v>
      </c>
      <c r="B6" s="10">
        <f>Detail_Newbie!K18</f>
        <v>19909678</v>
      </c>
      <c r="C6" s="10">
        <f>Detail_Newbie!K89</f>
        <v>0</v>
      </c>
      <c r="D6" s="10">
        <f>Detail!K18</f>
        <v>20942246</v>
      </c>
      <c r="E6" s="10">
        <f>Detail!K89</f>
        <v>0</v>
      </c>
      <c r="F6" s="10">
        <f>Detail!K166</f>
        <v>0</v>
      </c>
    </row>
    <row r="7" spans="1:6" x14ac:dyDescent="0.3">
      <c r="A7" s="14" t="s">
        <v>83</v>
      </c>
      <c r="B7" s="10">
        <f>Detail_Newbie!K19</f>
        <v>12269541</v>
      </c>
      <c r="C7" s="10">
        <f>Detail_Newbie!K90</f>
        <v>0</v>
      </c>
      <c r="D7" s="10">
        <f>Detail!K19</f>
        <v>12914101</v>
      </c>
      <c r="E7" s="10">
        <f>Detail!K90</f>
        <v>0</v>
      </c>
      <c r="F7" s="10">
        <f>Detail!K167</f>
        <v>0</v>
      </c>
    </row>
    <row r="8" spans="1:6" x14ac:dyDescent="0.3">
      <c r="A8" s="14" t="s">
        <v>84</v>
      </c>
      <c r="B8" s="10">
        <f>Detail_Newbie!K20</f>
        <v>8003862</v>
      </c>
      <c r="C8" s="10">
        <f>Detail_Newbie!K91</f>
        <v>0</v>
      </c>
      <c r="D8" s="10">
        <f>Detail!K20</f>
        <v>8429742</v>
      </c>
      <c r="E8" s="10">
        <f>Detail!K91</f>
        <v>0</v>
      </c>
      <c r="F8" s="10">
        <f>Detail!K168</f>
        <v>0</v>
      </c>
    </row>
    <row r="9" spans="1:6" x14ac:dyDescent="0.3">
      <c r="A9" s="14" t="s">
        <v>85</v>
      </c>
      <c r="B9" s="10">
        <f>Detail_Newbie!K21</f>
        <v>6205230</v>
      </c>
      <c r="C9" s="10">
        <f>Detail_Newbie!K92</f>
        <v>0</v>
      </c>
      <c r="D9" s="10">
        <f>Detail!K21</f>
        <v>6539670</v>
      </c>
      <c r="E9" s="10">
        <f>Detail!K92</f>
        <v>0</v>
      </c>
      <c r="F9" s="10">
        <f>Detail!K169</f>
        <v>0</v>
      </c>
    </row>
    <row r="10" spans="1:6" x14ac:dyDescent="0.3">
      <c r="A10" s="14" t="s">
        <v>86</v>
      </c>
      <c r="B10" s="10">
        <f>Detail_Newbie!K22</f>
        <v>3355414</v>
      </c>
      <c r="C10" s="10">
        <f>Detail_Newbie!K93</f>
        <v>0</v>
      </c>
      <c r="D10" s="10">
        <f>Detail!K22</f>
        <v>3538458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87</v>
      </c>
      <c r="B11" s="10">
        <f>Detail_Newbie!K23</f>
        <v>3780077</v>
      </c>
      <c r="C11" s="10">
        <f>Detail_Newbie!K94</f>
        <v>0</v>
      </c>
      <c r="D11" s="10">
        <f>Detail!K23</f>
        <v>3988857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88</v>
      </c>
      <c r="B12" s="10">
        <f>Detail_Newbie!K24</f>
        <v>3072622</v>
      </c>
      <c r="C12" s="10">
        <f>Detail_Newbie!K95</f>
        <v>0</v>
      </c>
      <c r="D12" s="10">
        <f>Detail!K24</f>
        <v>3244443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89</v>
      </c>
      <c r="B13" s="10">
        <f>Detail_Newbie!K25</f>
        <v>2001441</v>
      </c>
      <c r="C13" s="10">
        <f>Detail_Newbie!K96</f>
        <v>0</v>
      </c>
      <c r="D13" s="10">
        <f>Detail!K25</f>
        <v>2114694</v>
      </c>
      <c r="E13" s="10">
        <f>Detail!K96</f>
        <v>0</v>
      </c>
      <c r="F13" s="10">
        <f>Detail!K173</f>
        <v>0</v>
      </c>
    </row>
    <row r="14" spans="1:6" x14ac:dyDescent="0.3">
      <c r="A14" s="14" t="s">
        <v>90</v>
      </c>
      <c r="B14" s="10">
        <f>Detail_Newbie!K26</f>
        <v>10724786</v>
      </c>
      <c r="C14" s="10">
        <f>Detail_Newbie!K97</f>
        <v>0</v>
      </c>
      <c r="D14" s="10">
        <f>Detail!K26</f>
        <v>6482204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91</v>
      </c>
      <c r="B15" s="10">
        <f>Detail_Newbie!K27</f>
        <v>4707100</v>
      </c>
      <c r="C15" s="10">
        <f>Detail_Newbie!K98</f>
        <v>0</v>
      </c>
      <c r="D15" s="10">
        <f>Detail!K27</f>
        <v>2854249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92</v>
      </c>
      <c r="B16" s="10">
        <f>Detail_Newbie!K28</f>
        <v>2689533</v>
      </c>
      <c r="C16" s="10">
        <f>Detail_Newbie!K99</f>
        <v>0</v>
      </c>
      <c r="D16" s="10">
        <f>Detail!K28</f>
        <v>1636111</v>
      </c>
      <c r="E16" s="10">
        <f>Detail!K99</f>
        <v>40859190</v>
      </c>
      <c r="F16" s="10">
        <f>Detail!K176</f>
        <v>33710771</v>
      </c>
    </row>
    <row r="17" spans="1:6" x14ac:dyDescent="0.3">
      <c r="A17" s="14" t="s">
        <v>93</v>
      </c>
      <c r="B17" s="10">
        <f>Detail_Newbie!K29</f>
        <v>2194312</v>
      </c>
      <c r="C17" s="10">
        <f>Detail_Newbie!K100</f>
        <v>0</v>
      </c>
      <c r="D17" s="10">
        <f>Detail!K29</f>
        <v>1339153</v>
      </c>
      <c r="E17" s="10">
        <f>Detail!K100</f>
        <v>169019509</v>
      </c>
      <c r="F17" s="10">
        <f>Detail!K177</f>
        <v>142830463</v>
      </c>
    </row>
    <row r="18" spans="1:6" x14ac:dyDescent="0.3">
      <c r="A18" s="14" t="s">
        <v>94</v>
      </c>
      <c r="B18" s="10">
        <f>Detail_Newbie!K30</f>
        <v>0</v>
      </c>
      <c r="C18" s="10">
        <f>Detail_Newbie!K101</f>
        <v>76923420</v>
      </c>
      <c r="D18" s="10">
        <f>Detail!K30</f>
        <v>650283</v>
      </c>
      <c r="E18" s="10">
        <f>Detail!K101</f>
        <v>62084630</v>
      </c>
      <c r="F18" s="10">
        <f>Detail!K178</f>
        <v>53725246</v>
      </c>
    </row>
    <row r="19" spans="1:6" x14ac:dyDescent="0.3">
      <c r="A19" s="14" t="s">
        <v>95</v>
      </c>
      <c r="B19" s="10">
        <f>Detail_Newbie!K31</f>
        <v>0</v>
      </c>
      <c r="C19" s="10">
        <f>Detail_Newbie!K102</f>
        <v>138461263</v>
      </c>
      <c r="D19" s="10">
        <f>Detail!K31</f>
        <v>456771</v>
      </c>
      <c r="E19" s="10">
        <f>Detail!K102</f>
        <v>106685541</v>
      </c>
      <c r="F19" s="10">
        <f>Detail!K179</f>
        <v>94557352</v>
      </c>
    </row>
    <row r="20" spans="1:6" x14ac:dyDescent="0.3">
      <c r="A20" s="14" t="s">
        <v>96</v>
      </c>
      <c r="B20" s="10">
        <f>Detail_Newbie!K32</f>
        <v>0</v>
      </c>
      <c r="C20" s="10">
        <f>Detail_Newbie!K103</f>
        <v>123075687</v>
      </c>
      <c r="D20" s="10">
        <f>Detail!K32</f>
        <v>283570</v>
      </c>
      <c r="E20" s="10">
        <f>Detail!K103</f>
        <v>90530418</v>
      </c>
      <c r="F20" s="10">
        <f>Detail!K180</f>
        <v>82183226</v>
      </c>
    </row>
    <row r="21" spans="1:6" x14ac:dyDescent="0.3">
      <c r="A21" s="14" t="s">
        <v>97</v>
      </c>
      <c r="B21" s="10">
        <f>Detail_Newbie!K33</f>
        <v>0</v>
      </c>
      <c r="C21" s="10">
        <f>Detail_Newbie!K104</f>
        <v>107692342</v>
      </c>
      <c r="D21" s="10">
        <f>Detail!K33</f>
        <v>241191</v>
      </c>
      <c r="E21" s="10">
        <f>Detail!K104</f>
        <v>75646393</v>
      </c>
      <c r="F21" s="10">
        <f>Detail!K181</f>
        <v>70324321</v>
      </c>
    </row>
    <row r="22" spans="1:6" x14ac:dyDescent="0.3">
      <c r="A22" s="14" t="s">
        <v>98</v>
      </c>
      <c r="B22" s="10">
        <f>Detail_Newbie!K34</f>
        <v>0</v>
      </c>
      <c r="C22" s="10">
        <f>Detail_Newbie!K105</f>
        <v>107692342</v>
      </c>
      <c r="D22" s="10">
        <f>Detail!K34</f>
        <v>527079</v>
      </c>
      <c r="E22" s="10">
        <f>Detail!K105</f>
        <v>70580031</v>
      </c>
      <c r="F22" s="10">
        <f>Detail!K182</f>
        <v>68003688</v>
      </c>
    </row>
    <row r="23" spans="1:6" x14ac:dyDescent="0.3">
      <c r="A23" s="14" t="s">
        <v>99</v>
      </c>
      <c r="B23" s="10">
        <f>Detail_Newbie!K35</f>
        <v>0</v>
      </c>
      <c r="C23" s="10">
        <f>Detail_Newbie!K106</f>
        <v>153846840</v>
      </c>
      <c r="D23" s="10">
        <f>Detail!K35</f>
        <v>309517</v>
      </c>
      <c r="E23" s="10">
        <f>Detail!K106</f>
        <v>91915468</v>
      </c>
      <c r="F23" s="10">
        <f>Detail!K183</f>
        <v>92892093</v>
      </c>
    </row>
    <row r="24" spans="1:6" x14ac:dyDescent="0.3">
      <c r="A24" s="14" t="s">
        <v>100</v>
      </c>
      <c r="B24" s="10">
        <f>Detail_Newbie!K36</f>
        <v>0</v>
      </c>
      <c r="C24" s="10">
        <f>Detail_Newbie!K107</f>
        <v>76923420</v>
      </c>
      <c r="D24" s="10">
        <f>Detail!K36</f>
        <v>0</v>
      </c>
      <c r="E24" s="10">
        <f>Detail!K107</f>
        <v>41894010</v>
      </c>
      <c r="F24" s="10">
        <f>Detail!K184</f>
        <v>44410595</v>
      </c>
    </row>
    <row r="25" spans="1:6" x14ac:dyDescent="0.3">
      <c r="A25" s="14" t="s">
        <v>101</v>
      </c>
      <c r="B25" s="10">
        <f>Detail_Newbie!K37</f>
        <v>0</v>
      </c>
      <c r="C25" s="10">
        <f>Detail_Newbie!K108</f>
        <v>153846840</v>
      </c>
      <c r="D25" s="10">
        <f>Detail!K37</f>
        <v>0</v>
      </c>
      <c r="E25" s="10">
        <f>Detail!K108</f>
        <v>76377320</v>
      </c>
      <c r="F25" s="10">
        <f>Detail!K185</f>
        <v>84927664</v>
      </c>
    </row>
    <row r="26" spans="1:6" x14ac:dyDescent="0.3">
      <c r="A26" s="14" t="s">
        <v>102</v>
      </c>
      <c r="B26" s="10">
        <f>Detail_Newbie!K38</f>
        <v>0</v>
      </c>
      <c r="C26" s="10">
        <f>Detail_Newbie!K109</f>
        <v>61537843</v>
      </c>
      <c r="D26" s="10">
        <f>Detail!K38</f>
        <v>0</v>
      </c>
      <c r="E26" s="10">
        <f>Detail!K109</f>
        <v>27851605</v>
      </c>
      <c r="F26" s="10">
        <f>Detail!K186</f>
        <v>32483251</v>
      </c>
    </row>
    <row r="27" spans="1:6" x14ac:dyDescent="0.3">
      <c r="A27" s="14" t="s">
        <v>103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60648753</v>
      </c>
      <c r="F27" s="10">
        <f>Detail!K187</f>
        <v>75958238</v>
      </c>
    </row>
    <row r="28" spans="1:6" x14ac:dyDescent="0.3">
      <c r="A28" s="14" t="s">
        <v>104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20154336</v>
      </c>
      <c r="F28" s="10">
        <f>Detail!K188</f>
        <v>27775308</v>
      </c>
    </row>
    <row r="29" spans="1:6" x14ac:dyDescent="0.3">
      <c r="A29" s="14" t="s">
        <v>105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29319036</v>
      </c>
      <c r="F29" s="10">
        <f>Detail!K189</f>
        <v>44447842</v>
      </c>
    </row>
    <row r="30" spans="1:6" x14ac:dyDescent="0.3">
      <c r="A30" s="14" t="s">
        <v>106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13919042</v>
      </c>
      <c r="F30" s="10">
        <f>Detail!K190</f>
        <v>23218969</v>
      </c>
    </row>
    <row r="31" spans="1:6" x14ac:dyDescent="0.3">
      <c r="A31" s="14" t="s">
        <v>107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14459474</v>
      </c>
      <c r="F31" s="10">
        <f>Detail!K191</f>
        <v>26537157</v>
      </c>
    </row>
    <row r="32" spans="1:6" x14ac:dyDescent="0.3">
      <c r="A32" s="14" t="s">
        <v>108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1028114</v>
      </c>
      <c r="F32" s="10">
        <f>Detail!K192</f>
        <v>257028</v>
      </c>
    </row>
    <row r="33" spans="1:6" x14ac:dyDescent="0.3">
      <c r="A33" s="14" t="s">
        <v>109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840731</v>
      </c>
      <c r="F33" s="10">
        <f>Detail!K193</f>
        <v>210182</v>
      </c>
    </row>
    <row r="34" spans="1:6" x14ac:dyDescent="0.3">
      <c r="A34" s="14" t="s">
        <v>110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711196</v>
      </c>
      <c r="F34" s="10">
        <f>Detail!K194</f>
        <v>177799</v>
      </c>
    </row>
    <row r="35" spans="1:6" x14ac:dyDescent="0.3">
      <c r="A35" s="14" t="s">
        <v>111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616175</v>
      </c>
      <c r="F35" s="10">
        <f>Detail!K195</f>
        <v>154043</v>
      </c>
    </row>
    <row r="36" spans="1:6" x14ac:dyDescent="0.3">
      <c r="A36" s="14" t="s">
        <v>112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543628</v>
      </c>
      <c r="F36" s="10">
        <f>Detail!K196</f>
        <v>135907</v>
      </c>
    </row>
    <row r="37" spans="1:6" x14ac:dyDescent="0.3">
      <c r="A37" s="14" t="s">
        <v>113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486317</v>
      </c>
      <c r="F37" s="10">
        <f>Detail!K197</f>
        <v>121579</v>
      </c>
    </row>
    <row r="38" spans="1:6" x14ac:dyDescent="0.3">
      <c r="A38" s="14" t="s">
        <v>114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439923</v>
      </c>
      <c r="F38" s="10">
        <f>Detail!K198</f>
        <v>109980</v>
      </c>
    </row>
    <row r="39" spans="1:6" x14ac:dyDescent="0.3">
      <c r="A39" s="14" t="s">
        <v>115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401642</v>
      </c>
      <c r="F39" s="10">
        <f>Detail!K199</f>
        <v>100410</v>
      </c>
    </row>
    <row r="40" spans="1:6" x14ac:dyDescent="0.3">
      <c r="A40" s="14" t="s">
        <v>116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369498</v>
      </c>
      <c r="F40" s="10">
        <f>Detail!K200</f>
        <v>92374</v>
      </c>
    </row>
    <row r="41" spans="1:6" x14ac:dyDescent="0.3">
      <c r="A41" s="14" t="s">
        <v>117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342116</v>
      </c>
      <c r="F41" s="10">
        <f>Detail!K201</f>
        <v>85529</v>
      </c>
    </row>
    <row r="42" spans="1:6" x14ac:dyDescent="0.3">
      <c r="A42" s="14" t="s">
        <v>118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318458</v>
      </c>
      <c r="F42" s="10">
        <f>Detail!K202</f>
        <v>79614</v>
      </c>
    </row>
    <row r="43" spans="1:6" x14ac:dyDescent="0.3">
      <c r="A43" s="14" t="s">
        <v>119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297914</v>
      </c>
      <c r="F43" s="10">
        <f>Detail!K203</f>
        <v>74478</v>
      </c>
    </row>
    <row r="44" spans="1:6" x14ac:dyDescent="0.3">
      <c r="A44" s="14" t="s">
        <v>120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279851</v>
      </c>
      <c r="F44" s="10">
        <f>Detail!K204</f>
        <v>69962</v>
      </c>
    </row>
    <row r="45" spans="1:6" x14ac:dyDescent="0.3">
      <c r="A45" s="14" t="s">
        <v>121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263815</v>
      </c>
      <c r="F45" s="10">
        <f>Detail!K205</f>
        <v>65953</v>
      </c>
    </row>
    <row r="46" spans="1:6" x14ac:dyDescent="0.3">
      <c r="A46" s="14" t="s">
        <v>122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249578</v>
      </c>
      <c r="F46" s="10">
        <f>Detail!K206</f>
        <v>62394</v>
      </c>
    </row>
    <row r="47" spans="1:6" x14ac:dyDescent="0.3">
      <c r="A47" s="14" t="s">
        <v>123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236734</v>
      </c>
      <c r="F47" s="10">
        <f>Detail!K207</f>
        <v>59183</v>
      </c>
    </row>
    <row r="48" spans="1:6" x14ac:dyDescent="0.3">
      <c r="A48" s="14" t="s">
        <v>124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166164</v>
      </c>
      <c r="F48" s="10">
        <f>Detail!K208</f>
        <v>41541</v>
      </c>
    </row>
    <row r="49" spans="1:6" x14ac:dyDescent="0.3">
      <c r="A49" s="14" t="s">
        <v>125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190438</v>
      </c>
      <c r="F49" s="10">
        <f>Detail!K209</f>
        <v>47609</v>
      </c>
    </row>
    <row r="50" spans="1:6" x14ac:dyDescent="0.3">
      <c r="A50" s="14" t="s">
        <v>126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67075</v>
      </c>
      <c r="F50" s="10">
        <f>Detail!K210</f>
        <v>16768</v>
      </c>
    </row>
    <row r="51" spans="1:6" x14ac:dyDescent="0.3">
      <c r="A51" s="14" t="s">
        <v>127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51846</v>
      </c>
      <c r="F51" s="10">
        <f>Detail!K211</f>
        <v>12961</v>
      </c>
    </row>
    <row r="52" spans="1:6" x14ac:dyDescent="0.3">
      <c r="A52" s="14" t="s">
        <v>128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42282</v>
      </c>
      <c r="F52" s="10">
        <f>Detail!K212</f>
        <v>10570</v>
      </c>
    </row>
    <row r="53" spans="1:6" x14ac:dyDescent="0.3">
      <c r="A53" s="14" t="s">
        <v>129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35711</v>
      </c>
      <c r="F53" s="10">
        <f>Detail!K213</f>
        <v>8927</v>
      </c>
    </row>
    <row r="54" spans="1:6" x14ac:dyDescent="0.3">
      <c r="A54" s="14" t="s">
        <v>130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30917</v>
      </c>
      <c r="F54" s="10">
        <f>Detail!K214</f>
        <v>7729</v>
      </c>
    </row>
    <row r="55" spans="1:6" x14ac:dyDescent="0.3">
      <c r="A55" s="14" t="s">
        <v>131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27253</v>
      </c>
      <c r="F55" s="10">
        <f>Detail!K215</f>
        <v>6813</v>
      </c>
    </row>
    <row r="56" spans="1:6" x14ac:dyDescent="0.3">
      <c r="A56" s="14" t="s">
        <v>132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133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17845</v>
      </c>
      <c r="F57" s="10">
        <f>Detail!K217</f>
        <v>4461</v>
      </c>
    </row>
    <row r="58" spans="1:6" x14ac:dyDescent="0.3">
      <c r="A58" s="14" t="s">
        <v>134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135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136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137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138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139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140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141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142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15</v>
      </c>
      <c r="B67" s="10">
        <f>Detail_Newbie!K79</f>
        <v>3590651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 cm="1">
        <f t="array" ref="B7:B8">Overview!B11:B12</f>
        <v>1</v>
      </c>
      <c r="C7" s="40">
        <f>SUM(M15:M79)</f>
        <v>0.72000002271071117</v>
      </c>
      <c r="D7" s="40">
        <f>SUM(_xlfn.ANCHORARRAY(M86))*F7</f>
        <v>0.21999985216107651</v>
      </c>
      <c r="E7" s="41">
        <f>SUM(C7:D7)</f>
        <v>0.93999987487178771</v>
      </c>
      <c r="F7" s="42">
        <f>L79</f>
        <v>3.3333327718777705E-3</v>
      </c>
      <c r="G7" s="43">
        <f>1/F7</f>
        <v>300.00005053100915</v>
      </c>
      <c r="H7" s="44">
        <f>D7*G7</f>
        <v>65.999966765137501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159</v>
      </c>
      <c r="B8" s="59">
        <v>75</v>
      </c>
      <c r="C8" s="40">
        <f>M156/B8</f>
        <v>0</v>
      </c>
      <c r="D8" s="40">
        <f>SUM(_xlfn.ANCHORARRAY(M163))/B8</f>
        <v>0.92499955833694303</v>
      </c>
      <c r="E8" s="41">
        <f>SUM(C8:D8)</f>
        <v>0.92499955833694303</v>
      </c>
      <c r="F8" s="45">
        <f>D156</f>
        <v>1</v>
      </c>
      <c r="G8" s="43">
        <f>1/F8</f>
        <v>1</v>
      </c>
      <c r="H8" s="44">
        <f>D8*G8*B8</f>
        <v>69.374966875270729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46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1.1584242247172729</v>
      </c>
      <c r="I15" s="36" cm="1">
        <f t="array" ref="I15:I79">D15:D79*H15:H79</f>
        <v>0.72374265474373345</v>
      </c>
      <c r="J15" s="36" cm="1">
        <f t="array" ref="J15:J78">I15:I78/SUM(I15:I78)</f>
        <v>0.72374265474373356</v>
      </c>
      <c r="K15" s="71" cm="1">
        <f t="array" ref="K15:K79">INT(J15:J79*$B$2)</f>
        <v>723742654</v>
      </c>
      <c r="L15" s="36" cm="1">
        <f t="array" ref="L15:L79">_xlfn.LET(_xlpm.x, K15:K79, _xlpm.x/SUM(_xlpm.x))</f>
        <v>0.72133018754897826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0.72133018754897826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1.0770814475661761</v>
      </c>
      <c r="I16" s="36">
        <v>0.15429678146367193</v>
      </c>
      <c r="J16" s="36">
        <v>0.15429678146367196</v>
      </c>
      <c r="K16" s="71">
        <v>154296781</v>
      </c>
      <c r="L16" s="36">
        <v>0.15378246032868698</v>
      </c>
      <c r="M16" s="36">
        <v>6.6702746247916084E-2</v>
      </c>
      <c r="N16" s="73"/>
      <c r="O16" s="59">
        <v>0</v>
      </c>
      <c r="P16" s="59">
        <v>1</v>
      </c>
      <c r="Q16" s="36">
        <v>0.15378246032868698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0.82757664578730916</v>
      </c>
      <c r="I17" s="36">
        <v>4.546821456139899E-2</v>
      </c>
      <c r="J17" s="36">
        <v>4.5468214561398997E-2</v>
      </c>
      <c r="K17" s="71">
        <v>45468214</v>
      </c>
      <c r="L17" s="36">
        <v>4.5316653855994891E-2</v>
      </c>
      <c r="M17" s="36">
        <v>6.8223261741828148E-2</v>
      </c>
      <c r="N17" s="73"/>
      <c r="O17" s="59">
        <v>1</v>
      </c>
      <c r="P17" s="59">
        <v>2</v>
      </c>
      <c r="Q17" s="36">
        <v>4.5316653855994891E-2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0.6336016512719026</v>
      </c>
      <c r="I18" s="36">
        <v>2.0942246566198121E-2</v>
      </c>
      <c r="J18" s="36">
        <v>2.0942246566198124E-2</v>
      </c>
      <c r="K18" s="71">
        <v>20942246</v>
      </c>
      <c r="L18" s="36">
        <v>2.0872438775560741E-2</v>
      </c>
      <c r="M18" s="36">
        <v>5.283941468652914E-2</v>
      </c>
      <c r="N18" s="73"/>
      <c r="O18" s="59">
        <v>2</v>
      </c>
      <c r="P18" s="59">
        <v>3</v>
      </c>
      <c r="Q18" s="36">
        <v>2.0872438775560741E-2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0.56470538699418449</v>
      </c>
      <c r="I19" s="36">
        <v>1.2914101236474775E-2</v>
      </c>
      <c r="J19" s="36">
        <v>1.2914101236474778E-2</v>
      </c>
      <c r="K19" s="71">
        <v>12914101</v>
      </c>
      <c r="L19" s="36">
        <v>1.287105415837001E-2</v>
      </c>
      <c r="M19" s="36">
        <v>4.5413368655738154E-2</v>
      </c>
      <c r="N19" s="73"/>
      <c r="O19" s="59">
        <v>3</v>
      </c>
      <c r="P19" s="59">
        <v>4</v>
      </c>
      <c r="Q19" s="36">
        <v>1.287105415837001E-2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0.49689954330226599</v>
      </c>
      <c r="I20" s="36">
        <v>8.4297427380681713E-3</v>
      </c>
      <c r="J20" s="36">
        <v>8.429742738068173E-3</v>
      </c>
      <c r="K20" s="71">
        <v>8429742</v>
      </c>
      <c r="L20" s="36">
        <v>8.4016429655526404E-3</v>
      </c>
      <c r="M20" s="36">
        <v>3.8080566458976096E-2</v>
      </c>
      <c r="N20" s="73"/>
      <c r="O20" s="59">
        <v>4</v>
      </c>
      <c r="P20" s="59">
        <v>5</v>
      </c>
      <c r="Q20" s="36">
        <v>8.4016429655526404E-3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0.48560413016830711</v>
      </c>
      <c r="I21" s="36">
        <v>6.539670154911136E-3</v>
      </c>
      <c r="J21" s="36">
        <v>6.5396701549111378E-3</v>
      </c>
      <c r="K21" s="71">
        <v>6539670</v>
      </c>
      <c r="L21" s="36">
        <v>6.5178711818861881E-3</v>
      </c>
      <c r="M21" s="36">
        <v>3.6188675051288206E-2</v>
      </c>
      <c r="N21" s="73"/>
      <c r="O21" s="59">
        <v>5</v>
      </c>
      <c r="P21" s="59">
        <v>6</v>
      </c>
      <c r="Q21" s="36">
        <v>6.5178711818861881E-3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0.33281102811759733</v>
      </c>
      <c r="I22" s="36">
        <v>3.5384581665212507E-3</v>
      </c>
      <c r="J22" s="36">
        <v>3.5384581665212516E-3</v>
      </c>
      <c r="K22" s="71">
        <v>3538458</v>
      </c>
      <c r="L22" s="36">
        <v>3.5266631843066452E-3</v>
      </c>
      <c r="M22" s="36">
        <v>2.301006044718765E-2</v>
      </c>
      <c r="N22" s="73"/>
      <c r="O22" s="59">
        <v>6</v>
      </c>
      <c r="P22" s="59">
        <v>7</v>
      </c>
      <c r="Q22" s="36">
        <v>3.5266631843066452E-3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0.44550893360699556</v>
      </c>
      <c r="I23" s="36">
        <v>3.9888579999251645E-3</v>
      </c>
      <c r="J23" s="36">
        <v>3.9888579999251654E-3</v>
      </c>
      <c r="K23" s="71">
        <v>3988857</v>
      </c>
      <c r="L23" s="36">
        <v>3.975560859946296E-3</v>
      </c>
      <c r="M23" s="36">
        <v>2.9945834941825913E-2</v>
      </c>
      <c r="N23" s="73"/>
      <c r="O23" s="59">
        <v>7</v>
      </c>
      <c r="P23" s="59">
        <v>8</v>
      </c>
      <c r="Q23" s="36">
        <v>3.975560859946296E-3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0.43063297429069275</v>
      </c>
      <c r="I24" s="36">
        <v>3.2444439493267883E-3</v>
      </c>
      <c r="J24" s="36">
        <v>3.2444439493267891E-3</v>
      </c>
      <c r="K24" s="71">
        <v>3244443</v>
      </c>
      <c r="L24" s="36">
        <v>3.2336282306251493E-3</v>
      </c>
      <c r="M24" s="36">
        <v>2.7655219671204767E-2</v>
      </c>
      <c r="N24" s="73"/>
      <c r="O24" s="59">
        <v>8</v>
      </c>
      <c r="P24" s="59">
        <v>9</v>
      </c>
      <c r="Q24" s="36">
        <v>3.2336282306251493E-3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0.33934065971524996</v>
      </c>
      <c r="I25" s="36">
        <v>2.1146946396970018E-3</v>
      </c>
      <c r="J25" s="36">
        <v>2.1146946396970023E-3</v>
      </c>
      <c r="K25" s="71">
        <v>2114694</v>
      </c>
      <c r="L25" s="36">
        <v>2.1076450464790472E-3</v>
      </c>
      <c r="M25" s="36">
        <v>2.0102123982608855E-2</v>
      </c>
      <c r="N25" s="73"/>
      <c r="O25" s="59">
        <v>9</v>
      </c>
      <c r="P25" s="59">
        <v>10</v>
      </c>
      <c r="Q25" s="36">
        <v>2.1076450464790472E-3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0.31283533454621482</v>
      </c>
      <c r="I26" s="36">
        <v>6.4822049696072331E-3</v>
      </c>
      <c r="J26" s="36">
        <v>6.4822049696072349E-3</v>
      </c>
      <c r="K26" s="71">
        <v>6482204</v>
      </c>
      <c r="L26" s="36">
        <v>6.4605967344999633E-3</v>
      </c>
      <c r="M26" s="36">
        <v>7.934076956095272E-2</v>
      </c>
      <c r="N26" s="73"/>
      <c r="O26" s="59">
        <v>10</v>
      </c>
      <c r="P26" s="59">
        <v>15</v>
      </c>
      <c r="Q26" s="36">
        <v>6.4605967344999633E-3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0.25591906376655654</v>
      </c>
      <c r="I27" s="36">
        <v>2.8542497071255154E-3</v>
      </c>
      <c r="J27" s="36">
        <v>2.8542497071255158E-3</v>
      </c>
      <c r="K27" s="71">
        <v>2854249</v>
      </c>
      <c r="L27" s="36">
        <v>2.8447348724060192E-3</v>
      </c>
      <c r="M27" s="36">
        <v>4.9320814501720732E-2</v>
      </c>
      <c r="N27" s="73"/>
      <c r="O27" s="59">
        <v>15</v>
      </c>
      <c r="P27" s="59">
        <v>20</v>
      </c>
      <c r="Q27" s="36">
        <v>2.8447348724060192E-3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0.24290123106226669</v>
      </c>
      <c r="I28" s="36">
        <v>1.636111522374727E-3</v>
      </c>
      <c r="J28" s="36">
        <v>1.6361115223747274E-3</v>
      </c>
      <c r="K28" s="71">
        <v>1636111</v>
      </c>
      <c r="L28" s="36">
        <v>1.6306573171531581E-3</v>
      </c>
      <c r="M28" s="36">
        <v>3.6477055458693612E-2</v>
      </c>
      <c r="N28" s="73"/>
      <c r="O28" s="59">
        <v>20</v>
      </c>
      <c r="P28" s="59">
        <v>25</v>
      </c>
      <c r="Q28" s="36">
        <v>1.6306573171531581E-3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0.29888556296647217</v>
      </c>
      <c r="I29" s="36">
        <v>1.3391537760156489E-3</v>
      </c>
      <c r="J29" s="36">
        <v>1.3391537760156491E-3</v>
      </c>
      <c r="K29" s="71">
        <v>1339153</v>
      </c>
      <c r="L29" s="36">
        <v>1.3346891734348117E-3</v>
      </c>
      <c r="M29" s="36">
        <v>3.6565647569264878E-2</v>
      </c>
      <c r="N29" s="73"/>
      <c r="O29" s="59">
        <v>25</v>
      </c>
      <c r="P29" s="59">
        <v>30</v>
      </c>
      <c r="Q29" s="36">
        <v>1.3346891734348117E-3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0.21549738512595348</v>
      </c>
      <c r="I30" s="36">
        <v>6.5028340087438131E-4</v>
      </c>
      <c r="J30" s="36">
        <v>6.5028340087438141E-4</v>
      </c>
      <c r="K30" s="71">
        <v>650283</v>
      </c>
      <c r="L30" s="36">
        <v>6.4811539814248979E-4</v>
      </c>
      <c r="M30" s="36">
        <v>2.0996830253968767E-2</v>
      </c>
      <c r="N30" s="73"/>
      <c r="O30" s="59">
        <v>30</v>
      </c>
      <c r="P30" s="59">
        <v>35</v>
      </c>
      <c r="Q30" s="36">
        <v>6.4811539814248979E-4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0.20678027024384674</v>
      </c>
      <c r="I31" s="36">
        <v>4.5677100000000962E-4</v>
      </c>
      <c r="J31" s="36">
        <v>4.5677100000000973E-4</v>
      </c>
      <c r="K31" s="71">
        <v>456771</v>
      </c>
      <c r="L31" s="36">
        <v>4.5524843571943785E-4</v>
      </c>
      <c r="M31" s="36">
        <v>1.7044245484794492E-2</v>
      </c>
      <c r="N31" s="73"/>
      <c r="O31" s="59">
        <v>35</v>
      </c>
      <c r="P31" s="59">
        <v>40</v>
      </c>
      <c r="Q31" s="36">
        <v>4.5524843571943785E-4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0.17193418282371919</v>
      </c>
      <c r="I32" s="36">
        <v>2.8357035999442877E-4</v>
      </c>
      <c r="J32" s="36">
        <v>2.8357035999442882E-4</v>
      </c>
      <c r="K32" s="71">
        <v>283570</v>
      </c>
      <c r="L32" s="36">
        <v>2.8262477021737586E-4</v>
      </c>
      <c r="M32" s="36">
        <v>1.1993943435892575E-2</v>
      </c>
      <c r="N32" s="73"/>
      <c r="O32" s="59">
        <v>40</v>
      </c>
      <c r="P32" s="59">
        <v>45</v>
      </c>
      <c r="Q32" s="36">
        <v>2.8262477021737586E-4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0.19558682390956847</v>
      </c>
      <c r="I33" s="36">
        <v>2.4119160805373866E-4</v>
      </c>
      <c r="J33" s="36">
        <v>2.4119160805373871E-4</v>
      </c>
      <c r="K33" s="71">
        <v>241191</v>
      </c>
      <c r="L33" s="36">
        <v>2.4038703302006243E-4</v>
      </c>
      <c r="M33" s="36">
        <v>1.1408609278960402E-2</v>
      </c>
      <c r="N33" s="73"/>
      <c r="O33" s="59">
        <v>45</v>
      </c>
      <c r="P33" s="59">
        <v>50</v>
      </c>
      <c r="Q33" s="36">
        <v>2.4038703302006243E-4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0.29877723179379284</v>
      </c>
      <c r="I34" s="36">
        <v>5.2707978648376121E-4</v>
      </c>
      <c r="J34" s="36">
        <v>5.2707978648376132E-4</v>
      </c>
      <c r="K34" s="71">
        <v>527079</v>
      </c>
      <c r="L34" s="36">
        <v>5.2532207659979633E-4</v>
      </c>
      <c r="M34" s="36">
        <v>2.8737778098276864E-2</v>
      </c>
      <c r="N34" s="73"/>
      <c r="O34" s="59">
        <v>50</v>
      </c>
      <c r="P34" s="59">
        <v>60</v>
      </c>
      <c r="Q34" s="36">
        <v>5.2532207659979633E-4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0.27774999398202627</v>
      </c>
      <c r="I35" s="36">
        <v>3.095176495437205E-4</v>
      </c>
      <c r="J35" s="36">
        <v>3.0951764954372055E-4</v>
      </c>
      <c r="K35" s="71">
        <v>309517</v>
      </c>
      <c r="L35" s="36">
        <v>3.0848528054227008E-4</v>
      </c>
      <c r="M35" s="36">
        <v>1.9953057183083284E-2</v>
      </c>
      <c r="N35" s="73"/>
      <c r="O35" s="59">
        <v>60</v>
      </c>
      <c r="P35" s="59">
        <v>70</v>
      </c>
      <c r="Q35" s="36">
        <v>3.0848528054227008E-4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85378410</v>
      </c>
      <c r="C79" s="75"/>
      <c r="D79" s="36">
        <f>B79/B13</f>
        <v>8.5378410000000002E-2</v>
      </c>
      <c r="E79" s="69">
        <v>0</v>
      </c>
      <c r="F79" s="77"/>
      <c r="G79" s="14" t="s">
        <v>180</v>
      </c>
      <c r="H79" s="70">
        <v>3.917245589370881E-2</v>
      </c>
      <c r="I79" s="36">
        <v>3.3444819999999872E-3</v>
      </c>
      <c r="J79" s="36">
        <f>I79</f>
        <v>3.3444819999999872E-3</v>
      </c>
      <c r="K79" s="72">
        <v>3344481</v>
      </c>
      <c r="L79" s="36">
        <v>3.3333327718777705E-3</v>
      </c>
      <c r="M79" s="36">
        <v>0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17" si="4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5"/>
        <v>(20, 25]</v>
      </c>
      <c r="H99" s="70">
        <v>3.8569516555916197</v>
      </c>
      <c r="I99" s="36">
        <v>4.0859190869199369E-2</v>
      </c>
      <c r="J99" s="36">
        <v>4.0859190869199369E-2</v>
      </c>
      <c r="K99" s="71">
        <v>40859190</v>
      </c>
      <c r="L99" s="36">
        <v>4.085919093976139E-2</v>
      </c>
      <c r="M99" s="36">
        <v>0.92161654707061869</v>
      </c>
      <c r="N99" s="73"/>
      <c r="O99" s="59">
        <v>20</v>
      </c>
      <c r="P99" s="59">
        <v>25</v>
      </c>
      <c r="Q99" s="36">
        <v>4.085919093976139E-2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5"/>
        <v>(25, 30]</v>
      </c>
      <c r="H100" s="70">
        <v>15.707517377716437</v>
      </c>
      <c r="I100" s="36">
        <v>0.1690195091596714</v>
      </c>
      <c r="J100" s="36">
        <v>0.1690195091596714</v>
      </c>
      <c r="K100" s="71">
        <v>169019509</v>
      </c>
      <c r="L100" s="36">
        <v>0.16901951288744879</v>
      </c>
      <c r="M100" s="36">
        <v>4.6601801229562598</v>
      </c>
      <c r="N100" s="73"/>
      <c r="O100" s="59">
        <v>25</v>
      </c>
      <c r="P100" s="59">
        <v>30</v>
      </c>
      <c r="Q100" s="36">
        <v>0.16901951288744879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5"/>
        <v>(30, 35]</v>
      </c>
      <c r="H101" s="70">
        <v>5.9143603686719155</v>
      </c>
      <c r="I101" s="36">
        <v>6.2084630618593512E-2</v>
      </c>
      <c r="J101" s="36">
        <v>6.2084630618593512E-2</v>
      </c>
      <c r="K101" s="71">
        <v>62084630</v>
      </c>
      <c r="L101" s="36">
        <v>6.208463142794652E-2</v>
      </c>
      <c r="M101" s="36">
        <v>2.0203636022187776</v>
      </c>
      <c r="N101" s="73"/>
      <c r="O101" s="59">
        <v>30</v>
      </c>
      <c r="P101" s="59">
        <v>35</v>
      </c>
      <c r="Q101" s="36">
        <v>6.208463142794652E-2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5"/>
        <v>(35, 40]</v>
      </c>
      <c r="H102" s="70">
        <v>10.100522254854647</v>
      </c>
      <c r="I102" s="36">
        <v>0.10668554188635822</v>
      </c>
      <c r="J102" s="36">
        <v>0.10668554188635822</v>
      </c>
      <c r="K102" s="71">
        <v>106685541</v>
      </c>
      <c r="L102" s="36">
        <v>0.1066855434537675</v>
      </c>
      <c r="M102" s="36">
        <v>4.0064011210786958</v>
      </c>
      <c r="N102" s="73"/>
      <c r="O102" s="59">
        <v>35</v>
      </c>
      <c r="P102" s="59">
        <v>40</v>
      </c>
      <c r="Q102" s="36">
        <v>0.1066855434537675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5"/>
        <v>(40, 45]</v>
      </c>
      <c r="H103" s="70">
        <v>8.7417866929954027</v>
      </c>
      <c r="I103" s="36">
        <v>9.0530418785062794E-2</v>
      </c>
      <c r="J103" s="36">
        <v>9.0530418785062794E-2</v>
      </c>
      <c r="K103" s="71">
        <v>90530418</v>
      </c>
      <c r="L103" s="36">
        <v>9.0530420082199664E-2</v>
      </c>
      <c r="M103" s="36">
        <v>3.8535473635836075</v>
      </c>
      <c r="N103" s="73"/>
      <c r="O103" s="59">
        <v>40</v>
      </c>
      <c r="P103" s="59">
        <v>45</v>
      </c>
      <c r="Q103" s="36">
        <v>9.0530420082199664E-2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5"/>
        <v>(45, 50]</v>
      </c>
      <c r="H104" s="70">
        <v>7.3926218259167351</v>
      </c>
      <c r="I104" s="36">
        <v>7.5646393929341235E-2</v>
      </c>
      <c r="J104" s="36">
        <v>7.5646393929341235E-2</v>
      </c>
      <c r="K104" s="71">
        <v>75646393</v>
      </c>
      <c r="L104" s="36">
        <v>7.5646394739867076E-2</v>
      </c>
      <c r="M104" s="36">
        <v>3.5966395837427685</v>
      </c>
      <c r="N104" s="73"/>
      <c r="O104" s="59">
        <v>45</v>
      </c>
      <c r="P104" s="59">
        <v>50</v>
      </c>
      <c r="Q104" s="36">
        <v>7.5646394739867076E-2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5"/>
        <v>(50, 60]</v>
      </c>
      <c r="H105" s="70">
        <v>3.5042768826828854</v>
      </c>
      <c r="I105" s="36">
        <v>7.058003168604618E-2</v>
      </c>
      <c r="J105" s="36">
        <v>7.058003168604618E-2</v>
      </c>
      <c r="K105" s="71">
        <v>70580031</v>
      </c>
      <c r="L105" s="36">
        <v>7.0580032623340755E-2</v>
      </c>
      <c r="M105" s="36">
        <v>3.884265286454391</v>
      </c>
      <c r="N105" s="73"/>
      <c r="O105" s="59">
        <v>50</v>
      </c>
      <c r="P105" s="59">
        <v>60</v>
      </c>
      <c r="Q105" s="36">
        <v>7.0580032623340755E-2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5"/>
        <v>(60, 70]</v>
      </c>
      <c r="H106" s="70">
        <v>4.7063408024876594</v>
      </c>
      <c r="I106" s="36">
        <v>9.1915468838064382E-2</v>
      </c>
      <c r="J106" s="36">
        <v>9.1915468838064382E-2</v>
      </c>
      <c r="K106" s="71">
        <v>91915468</v>
      </c>
      <c r="L106" s="36">
        <v>9.1915470114055819E-2</v>
      </c>
      <c r="M106" s="36">
        <v>5.9773820990232958</v>
      </c>
      <c r="N106" s="73"/>
      <c r="O106" s="59">
        <v>60</v>
      </c>
      <c r="P106" s="59">
        <v>70</v>
      </c>
      <c r="Q106" s="36">
        <v>9.1915470114055819E-2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5"/>
        <v>(70, 80]</v>
      </c>
      <c r="H107" s="70">
        <v>2.2003210585371549</v>
      </c>
      <c r="I107" s="36">
        <v>4.1894010710126141E-2</v>
      </c>
      <c r="J107" s="36">
        <v>4.1894010710126141E-2</v>
      </c>
      <c r="K107" s="71">
        <v>41894010</v>
      </c>
      <c r="L107" s="36">
        <v>4.1894010963562253E-2</v>
      </c>
      <c r="M107" s="36">
        <v>3.1433708824549917</v>
      </c>
      <c r="N107" s="73"/>
      <c r="O107" s="59">
        <v>70</v>
      </c>
      <c r="P107" s="59">
        <v>80</v>
      </c>
      <c r="Q107" s="36">
        <v>4.1894010963562253E-2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5"/>
        <v>(80, 90]</v>
      </c>
      <c r="H108" s="70">
        <v>4.1393154237108218</v>
      </c>
      <c r="I108" s="36">
        <v>7.6377320579187197E-2</v>
      </c>
      <c r="J108" s="36">
        <v>7.6377320579187197E-2</v>
      </c>
      <c r="K108" s="71">
        <v>76377320</v>
      </c>
      <c r="L108" s="36">
        <v>7.6377321756678399E-2</v>
      </c>
      <c r="M108" s="36">
        <v>6.4947013197720258</v>
      </c>
      <c r="N108" s="73"/>
      <c r="O108" s="59">
        <v>80</v>
      </c>
      <c r="P108" s="59">
        <v>90</v>
      </c>
      <c r="Q108" s="36">
        <v>7.6377321756678399E-2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5"/>
        <v>(90, 100]</v>
      </c>
      <c r="H109" s="81">
        <v>1.5602531204429264</v>
      </c>
      <c r="I109" s="79">
        <v>2.7851605904722097E-2</v>
      </c>
      <c r="J109" s="79">
        <v>2.7851605904722097E-2</v>
      </c>
      <c r="K109" s="71">
        <v>27851605</v>
      </c>
      <c r="L109" s="79">
        <v>2.7851605640586929E-2</v>
      </c>
      <c r="M109" s="79">
        <v>2.6465983915742819</v>
      </c>
      <c r="N109" s="73"/>
      <c r="O109" s="59">
        <v>90</v>
      </c>
      <c r="P109" s="59">
        <v>100</v>
      </c>
      <c r="Q109" s="36">
        <v>2.7851605640586929E-2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5"/>
        <v>(100, 120]</v>
      </c>
      <c r="H110" s="81">
        <v>1.7824710781206958</v>
      </c>
      <c r="I110" s="79">
        <v>6.0648753434243689E-2</v>
      </c>
      <c r="J110" s="79">
        <v>6.0648753434243689E-2</v>
      </c>
      <c r="K110" s="71">
        <v>60648753</v>
      </c>
      <c r="L110" s="79">
        <v>6.0648754394921352E-2</v>
      </c>
      <c r="M110" s="79">
        <v>6.6678392774746715</v>
      </c>
      <c r="N110" s="73"/>
      <c r="O110" s="59">
        <v>100</v>
      </c>
      <c r="P110" s="59">
        <v>120</v>
      </c>
      <c r="Q110" s="36">
        <v>6.0648754394921352E-2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5"/>
        <v>(120, 140]</v>
      </c>
      <c r="H111" s="81">
        <v>0.62804395868868834</v>
      </c>
      <c r="I111" s="79">
        <v>2.0154336841756125E-2</v>
      </c>
      <c r="J111" s="79">
        <v>2.0154336841756125E-2</v>
      </c>
      <c r="K111" s="71">
        <v>20154336</v>
      </c>
      <c r="L111" s="79">
        <v>2.0154336463549739E-2</v>
      </c>
      <c r="M111" s="79">
        <v>2.6193711781896876</v>
      </c>
      <c r="N111" s="73"/>
      <c r="O111" s="59">
        <v>120</v>
      </c>
      <c r="P111" s="59">
        <v>140</v>
      </c>
      <c r="Q111" s="36">
        <v>2.0154336463549739E-2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5"/>
        <v>(140, 160]</v>
      </c>
      <c r="H112" s="81">
        <v>0.97942726861999607</v>
      </c>
      <c r="I112" s="79">
        <v>2.9319036393356465E-2</v>
      </c>
      <c r="J112" s="79">
        <v>2.9319036393356465E-2</v>
      </c>
      <c r="K112" s="71">
        <v>29319036</v>
      </c>
      <c r="L112" s="79">
        <v>2.9319036674337842E-2</v>
      </c>
      <c r="M112" s="79">
        <v>4.3957523130257021</v>
      </c>
      <c r="N112" s="73"/>
      <c r="O112" s="59">
        <v>140</v>
      </c>
      <c r="P112" s="59">
        <v>160</v>
      </c>
      <c r="Q112" s="36">
        <v>2.9319036674337842E-2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5"/>
        <v>(160, 180]</v>
      </c>
      <c r="H113" s="81">
        <v>0.49051754520479701</v>
      </c>
      <c r="I113" s="79">
        <v>1.3919042299308539E-2</v>
      </c>
      <c r="J113" s="79">
        <v>1.3919042299308539E-2</v>
      </c>
      <c r="K113" s="71">
        <v>13919042</v>
      </c>
      <c r="L113" s="79">
        <v>1.3919042320137973E-2</v>
      </c>
      <c r="M113" s="79">
        <v>2.3655370294883258</v>
      </c>
      <c r="N113" s="73"/>
      <c r="O113" s="59">
        <v>160</v>
      </c>
      <c r="P113" s="59">
        <v>180</v>
      </c>
      <c r="Q113" s="36">
        <v>1.3919042320137973E-2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5"/>
        <v>(180, 200]</v>
      </c>
      <c r="H114" s="81">
        <v>0.54013629393511309</v>
      </c>
      <c r="I114" s="79">
        <v>1.4459474909306481E-2</v>
      </c>
      <c r="J114" s="79">
        <v>1.4459474909306481E-2</v>
      </c>
      <c r="K114" s="71">
        <v>14459474</v>
      </c>
      <c r="L114" s="79">
        <v>1.4459474332567909E-2</v>
      </c>
      <c r="M114" s="79">
        <v>2.7464343864078984</v>
      </c>
      <c r="N114" s="73"/>
      <c r="O114" s="59">
        <v>180</v>
      </c>
      <c r="P114" s="59">
        <v>200</v>
      </c>
      <c r="Q114" s="36">
        <v>1.4459474332567909E-2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5"/>
        <v>(200, 250]</v>
      </c>
      <c r="H115" s="81">
        <v>1.7062569943401933E-2</v>
      </c>
      <c r="I115" s="79">
        <v>1.028114746787266E-3</v>
      </c>
      <c r="J115" s="79">
        <v>1.028114746787266E-3</v>
      </c>
      <c r="K115" s="71">
        <v>1028114</v>
      </c>
      <c r="L115" s="79">
        <v>1.0281140236466225E-3</v>
      </c>
      <c r="M115" s="79">
        <v>0.23076906845407036</v>
      </c>
      <c r="N115" s="73"/>
      <c r="O115" s="59">
        <v>200</v>
      </c>
      <c r="P115" s="59">
        <v>250</v>
      </c>
      <c r="Q115" s="36">
        <v>1.0281140236466225E-3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5"/>
        <v>(250, 300]</v>
      </c>
      <c r="H116" s="81">
        <v>1.5995072349648479E-2</v>
      </c>
      <c r="I116" s="79">
        <v>8.4073103047949615E-4</v>
      </c>
      <c r="J116" s="79">
        <v>8.4073103047949615E-4</v>
      </c>
      <c r="K116" s="71">
        <v>840731</v>
      </c>
      <c r="L116" s="79">
        <v>8.4073101933681345E-4</v>
      </c>
      <c r="M116" s="79">
        <v>0.23076922771071598</v>
      </c>
      <c r="N116" s="73"/>
      <c r="O116" s="59">
        <v>250</v>
      </c>
      <c r="P116" s="59">
        <v>300</v>
      </c>
      <c r="Q116" s="36">
        <v>8.4073101933681345E-4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5"/>
        <v>(300, 350]</v>
      </c>
      <c r="H117" s="81">
        <v>1.5497232840151698E-2</v>
      </c>
      <c r="I117" s="79">
        <v>7.1119619018006862E-4</v>
      </c>
      <c r="J117" s="79">
        <v>7.1119619018006862E-4</v>
      </c>
      <c r="K117" s="71">
        <v>711196</v>
      </c>
      <c r="L117" s="79">
        <v>7.1119601635750832E-4</v>
      </c>
      <c r="M117" s="79">
        <v>0.23076917436721528</v>
      </c>
      <c r="N117" s="73"/>
      <c r="O117" s="59">
        <v>300</v>
      </c>
      <c r="P117" s="59">
        <v>350</v>
      </c>
      <c r="Q117" s="36">
        <v>7.1119601635750832E-4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ref="G118:G149" si="7">"("&amp;$O118&amp;", "&amp;$P118&amp;"]"</f>
        <v>(350, 400]</v>
      </c>
      <c r="H118" s="81">
        <v>1.5210515304596573E-2</v>
      </c>
      <c r="I118" s="79">
        <v>6.161752746180933E-4</v>
      </c>
      <c r="J118" s="79">
        <v>6.161752746180933E-4</v>
      </c>
      <c r="K118" s="71">
        <v>616175</v>
      </c>
      <c r="L118" s="79">
        <v>6.1617501417202537E-4</v>
      </c>
      <c r="M118" s="79">
        <v>0.23076913322727929</v>
      </c>
      <c r="N118" s="73"/>
      <c r="O118" s="59">
        <v>350</v>
      </c>
      <c r="P118" s="59">
        <v>400</v>
      </c>
      <c r="Q118" s="36">
        <v>6.1617501417202537E-4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7"/>
        <v>(400, 450]</v>
      </c>
      <c r="H119" s="81">
        <v>1.5206165742635976E-2</v>
      </c>
      <c r="I119" s="79">
        <v>5.4362821561011407E-4</v>
      </c>
      <c r="J119" s="79">
        <v>5.4362821561011407E-4</v>
      </c>
      <c r="K119" s="71">
        <v>543628</v>
      </c>
      <c r="L119" s="79">
        <v>5.4362801250344424E-4</v>
      </c>
      <c r="M119" s="79">
        <v>0.23076914455080316</v>
      </c>
      <c r="N119" s="73"/>
      <c r="O119" s="59">
        <v>400</v>
      </c>
      <c r="P119" s="59">
        <v>450</v>
      </c>
      <c r="Q119" s="36">
        <v>5.4362801250344424E-4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7"/>
        <v>(450, 500]</v>
      </c>
      <c r="H120" s="81">
        <v>1.5270324679940515E-2</v>
      </c>
      <c r="I120" s="79">
        <v>4.8631705863837535E-4</v>
      </c>
      <c r="J120" s="79">
        <v>4.8631705863837535E-4</v>
      </c>
      <c r="K120" s="71">
        <v>486317</v>
      </c>
      <c r="L120" s="79">
        <v>4.8631701118529125E-4</v>
      </c>
      <c r="M120" s="79">
        <v>0.23076920825159231</v>
      </c>
      <c r="N120" s="73"/>
      <c r="O120" s="59">
        <v>450</v>
      </c>
      <c r="P120" s="59">
        <v>500</v>
      </c>
      <c r="Q120" s="36">
        <v>4.8631701118529125E-4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7"/>
        <v>(500, 550]</v>
      </c>
      <c r="H121" s="81">
        <v>1.5455011247354482E-2</v>
      </c>
      <c r="I121" s="79">
        <v>4.3992324908519143E-4</v>
      </c>
      <c r="J121" s="79">
        <v>4.3992324908519143E-4</v>
      </c>
      <c r="K121" s="71">
        <v>439923</v>
      </c>
      <c r="L121" s="79">
        <v>4.3992301011822922E-4</v>
      </c>
      <c r="M121" s="79">
        <v>0.23076910541504192</v>
      </c>
      <c r="N121" s="73"/>
      <c r="O121" s="59">
        <v>500</v>
      </c>
      <c r="P121" s="59">
        <v>550</v>
      </c>
      <c r="Q121" s="36">
        <v>4.3992301011822922E-4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7"/>
        <v>(550, 600]</v>
      </c>
      <c r="H122" s="70">
        <v>1.5834934923763488E-2</v>
      </c>
      <c r="I122" s="36">
        <v>4.0164251884438744E-4</v>
      </c>
      <c r="J122" s="36">
        <v>4.0164251884438744E-4</v>
      </c>
      <c r="K122" s="71">
        <v>401642</v>
      </c>
      <c r="L122" s="36">
        <v>4.0164200923776622E-4</v>
      </c>
      <c r="M122" s="36">
        <v>0.23076893796774073</v>
      </c>
      <c r="N122" s="73"/>
      <c r="O122" s="59">
        <v>550</v>
      </c>
      <c r="P122" s="59">
        <v>600</v>
      </c>
      <c r="Q122" s="36">
        <v>4.0164200923776622E-4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7"/>
        <v>(600, 650]</v>
      </c>
      <c r="H123" s="70">
        <v>1.6172304661282152E-2</v>
      </c>
      <c r="I123" s="36">
        <v>3.6949837311757981E-4</v>
      </c>
      <c r="J123" s="36">
        <v>3.6949837311757981E-4</v>
      </c>
      <c r="K123" s="71">
        <v>369498</v>
      </c>
      <c r="L123" s="36">
        <v>3.6949800849845417E-4</v>
      </c>
      <c r="M123" s="36">
        <v>0.23076900304732109</v>
      </c>
      <c r="N123" s="73"/>
      <c r="O123" s="59">
        <v>600</v>
      </c>
      <c r="P123" s="59">
        <v>650</v>
      </c>
      <c r="Q123" s="36">
        <v>3.6949800849845417E-4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7"/>
        <v>(650, 700]</v>
      </c>
      <c r="H124" s="70">
        <v>1.6620000832661679E-2</v>
      </c>
      <c r="I124" s="36">
        <v>3.4211609964461819E-4</v>
      </c>
      <c r="J124" s="36">
        <v>3.4211609964461819E-4</v>
      </c>
      <c r="K124" s="71">
        <v>342116</v>
      </c>
      <c r="L124" s="36">
        <v>3.4211600786866818E-4</v>
      </c>
      <c r="M124" s="36">
        <v>0.23076916886315443</v>
      </c>
      <c r="N124" s="73"/>
      <c r="O124" s="59">
        <v>650</v>
      </c>
      <c r="P124" s="59">
        <v>700</v>
      </c>
      <c r="Q124" s="36">
        <v>3.4211600786866818E-4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7"/>
        <v>(700, 750]</v>
      </c>
      <c r="H125" s="70">
        <v>1.7152841564867186E-2</v>
      </c>
      <c r="I125" s="36">
        <v>3.1845806606191292E-4</v>
      </c>
      <c r="J125" s="36">
        <v>3.1845806606191292E-4</v>
      </c>
      <c r="K125" s="71">
        <v>318458</v>
      </c>
      <c r="L125" s="36">
        <v>3.1845800732453419E-4</v>
      </c>
      <c r="M125" s="36">
        <v>0.23076918820544876</v>
      </c>
      <c r="N125" s="73"/>
      <c r="O125" s="59">
        <v>700</v>
      </c>
      <c r="P125" s="59">
        <v>750</v>
      </c>
      <c r="Q125" s="36">
        <v>3.1845800732453419E-4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7"/>
        <v>(750, 800]</v>
      </c>
      <c r="H126" s="70">
        <v>1.7666123521216624E-2</v>
      </c>
      <c r="I126" s="36">
        <v>2.9791487021317369E-4</v>
      </c>
      <c r="J126" s="36">
        <v>2.9791487021317369E-4</v>
      </c>
      <c r="K126" s="71">
        <v>297914</v>
      </c>
      <c r="L126" s="36">
        <v>2.9791400685202213E-4</v>
      </c>
      <c r="M126" s="36">
        <v>0.23076856199701179</v>
      </c>
      <c r="N126" s="73"/>
      <c r="O126" s="59">
        <v>750</v>
      </c>
      <c r="P126" s="59">
        <v>800</v>
      </c>
      <c r="Q126" s="36">
        <v>2.9791400685202213E-4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7"/>
        <v>(800, 850]</v>
      </c>
      <c r="H127" s="70">
        <v>1.8201473280930608E-2</v>
      </c>
      <c r="I127" s="36">
        <v>2.7985189829307492E-4</v>
      </c>
      <c r="J127" s="36">
        <v>2.7985189829307492E-4</v>
      </c>
      <c r="K127" s="71">
        <v>279851</v>
      </c>
      <c r="L127" s="36">
        <v>2.7985100643657313E-4</v>
      </c>
      <c r="M127" s="36">
        <v>0.23076849533366603</v>
      </c>
      <c r="N127" s="73"/>
      <c r="O127" s="59">
        <v>800</v>
      </c>
      <c r="P127" s="59">
        <v>850</v>
      </c>
      <c r="Q127" s="36">
        <v>2.7985100643657313E-4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7"/>
        <v>(850, 900]</v>
      </c>
      <c r="H128" s="70">
        <v>1.8892264524201952E-2</v>
      </c>
      <c r="I128" s="36">
        <v>2.6381596070933693E-4</v>
      </c>
      <c r="J128" s="36">
        <v>2.6381596070933693E-4</v>
      </c>
      <c r="K128" s="72">
        <v>263815</v>
      </c>
      <c r="L128" s="36">
        <v>2.6381500606774514E-4</v>
      </c>
      <c r="M128" s="36">
        <v>0.23076839571017976</v>
      </c>
      <c r="N128" s="73"/>
      <c r="O128" s="59">
        <v>850</v>
      </c>
      <c r="P128" s="59">
        <v>900</v>
      </c>
      <c r="Q128" s="36">
        <v>2.6381500606774514E-4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7"/>
        <v>(900, 950]</v>
      </c>
      <c r="H129" s="70">
        <v>1.9586895627030955E-2</v>
      </c>
      <c r="I129" s="36">
        <v>2.4957886498423688E-4</v>
      </c>
      <c r="J129" s="36">
        <v>2.4957886498423688E-4</v>
      </c>
      <c r="K129" s="72">
        <v>249578</v>
      </c>
      <c r="L129" s="36">
        <v>2.4957800574029412E-4</v>
      </c>
      <c r="M129" s="36">
        <v>0.23076843628263141</v>
      </c>
      <c r="N129" s="73"/>
      <c r="O129" s="59">
        <v>900</v>
      </c>
      <c r="P129" s="59">
        <v>950</v>
      </c>
      <c r="Q129" s="36">
        <v>2.4957800574029412E-4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7"/>
        <v>(950, 1000]</v>
      </c>
      <c r="H130" s="70">
        <v>2.0403144461749644E-2</v>
      </c>
      <c r="I130" s="36">
        <v>2.3673468974904073E-4</v>
      </c>
      <c r="J130" s="36">
        <v>2.3673468974904073E-4</v>
      </c>
      <c r="K130" s="72">
        <v>236734</v>
      </c>
      <c r="L130" s="36">
        <v>2.3673400544488212E-4</v>
      </c>
      <c r="M130" s="36">
        <v>0.23076856370879928</v>
      </c>
      <c r="N130" s="73"/>
      <c r="O130" s="59">
        <v>950</v>
      </c>
      <c r="P130" s="59">
        <v>1000</v>
      </c>
      <c r="Q130" s="36">
        <v>2.3673400544488212E-4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7"/>
        <v>(1000, 2000]</v>
      </c>
      <c r="H131" s="70">
        <v>1.4217344271597854E-3</v>
      </c>
      <c r="I131" s="36">
        <v>1.661641413517944E-4</v>
      </c>
      <c r="J131" s="36">
        <v>1.661641413517944E-4</v>
      </c>
      <c r="K131" s="72">
        <v>166164</v>
      </c>
      <c r="L131" s="36">
        <v>1.6616400382177209E-4</v>
      </c>
      <c r="M131" s="36">
        <v>0.23076903976714574</v>
      </c>
      <c r="N131" s="73"/>
      <c r="O131" s="59">
        <v>1000</v>
      </c>
      <c r="P131" s="59">
        <v>2000</v>
      </c>
      <c r="Q131" s="36">
        <v>1.6616400382177209E-4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7"/>
        <v>(2000, 3000]</v>
      </c>
      <c r="H132" s="70">
        <v>5.1357969147617123E-3</v>
      </c>
      <c r="I132" s="36">
        <v>1.9043893193037884E-4</v>
      </c>
      <c r="J132" s="36">
        <v>1.9043893193037884E-4</v>
      </c>
      <c r="K132" s="72">
        <v>190438</v>
      </c>
      <c r="L132" s="36">
        <v>1.904380043800741E-4</v>
      </c>
      <c r="M132" s="36">
        <v>0.46153621357300456</v>
      </c>
      <c r="N132" s="73"/>
      <c r="O132" s="59">
        <v>2000</v>
      </c>
      <c r="P132" s="59">
        <v>3000</v>
      </c>
      <c r="Q132" s="36">
        <v>1.904380043800741E-4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7"/>
        <v>(3000, 4000]</v>
      </c>
      <c r="H133" s="70">
        <v>4.1034124051135467E-3</v>
      </c>
      <c r="I133" s="36">
        <v>6.707566848549205E-5</v>
      </c>
      <c r="J133" s="36">
        <v>6.707566848549205E-5</v>
      </c>
      <c r="K133" s="72">
        <v>67075</v>
      </c>
      <c r="L133" s="36">
        <v>6.7075001542725031E-5</v>
      </c>
      <c r="M133" s="36">
        <v>0.23076693619844549</v>
      </c>
      <c r="N133" s="73"/>
      <c r="O133" s="59">
        <v>3000</v>
      </c>
      <c r="P133" s="59">
        <v>4000</v>
      </c>
      <c r="Q133" s="36">
        <v>6.7075001542725031E-5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7"/>
        <v>(4000, 5000]</v>
      </c>
      <c r="H134" s="70">
        <v>6.0616144037525911E-3</v>
      </c>
      <c r="I134" s="36">
        <v>5.1846508339214856E-5</v>
      </c>
      <c r="J134" s="36">
        <v>5.1846508339214856E-5</v>
      </c>
      <c r="K134" s="72">
        <v>51846</v>
      </c>
      <c r="L134" s="36">
        <v>5.1846001192458029E-5</v>
      </c>
      <c r="M134" s="36">
        <v>0.23076697345488681</v>
      </c>
      <c r="N134" s="73"/>
      <c r="O134" s="59">
        <v>4000</v>
      </c>
      <c r="P134" s="59">
        <v>5000</v>
      </c>
      <c r="Q134" s="36">
        <v>5.1846001192458029E-5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7"/>
        <v>(5000, 6000]</v>
      </c>
      <c r="H135" s="70">
        <v>8.618442499936093E-3</v>
      </c>
      <c r="I135" s="36">
        <v>4.2282881718292609E-5</v>
      </c>
      <c r="J135" s="36">
        <v>4.2282881718292609E-5</v>
      </c>
      <c r="K135" s="72">
        <v>42282</v>
      </c>
      <c r="L135" s="36">
        <v>4.2282000972486021E-5</v>
      </c>
      <c r="M135" s="36">
        <v>0.23076442388228194</v>
      </c>
      <c r="N135" s="73"/>
      <c r="O135" s="59">
        <v>5000</v>
      </c>
      <c r="P135" s="59">
        <v>6000</v>
      </c>
      <c r="Q135" s="36">
        <v>4.2282000972486021E-5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7"/>
        <v>(6000, 7000]</v>
      </c>
      <c r="H136" s="70">
        <v>1.1647061920748891E-2</v>
      </c>
      <c r="I136" s="36">
        <v>3.5711818670763123E-5</v>
      </c>
      <c r="J136" s="36">
        <v>3.5711818670763123E-5</v>
      </c>
      <c r="K136" s="72">
        <v>35711</v>
      </c>
      <c r="L136" s="36">
        <v>3.571100082135302E-5</v>
      </c>
      <c r="M136" s="36">
        <v>0.23076394583874335</v>
      </c>
      <c r="N136" s="73"/>
      <c r="O136" s="59">
        <v>6000</v>
      </c>
      <c r="P136" s="59">
        <v>7000</v>
      </c>
      <c r="Q136" s="36">
        <v>3.571100082135302E-5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7"/>
        <v>(7000, 8000]</v>
      </c>
      <c r="H137" s="70">
        <v>1.5627215242763077E-2</v>
      </c>
      <c r="I137" s="36">
        <v>3.091733867059799E-5</v>
      </c>
      <c r="J137" s="36">
        <v>3.091733867059799E-5</v>
      </c>
      <c r="K137" s="72">
        <v>30917</v>
      </c>
      <c r="L137" s="36">
        <v>3.0917000711091019E-5</v>
      </c>
      <c r="M137" s="36">
        <v>0.23076670821525916</v>
      </c>
      <c r="N137" s="73"/>
      <c r="O137" s="59">
        <v>7000</v>
      </c>
      <c r="P137" s="59">
        <v>8000</v>
      </c>
      <c r="Q137" s="36">
        <v>3.0917000711091019E-5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7"/>
        <v>(8000, 9000]</v>
      </c>
      <c r="H138" s="70">
        <v>2.0208389432463718E-2</v>
      </c>
      <c r="I138" s="36">
        <v>2.7253124448795553E-5</v>
      </c>
      <c r="J138" s="36">
        <v>2.7253124448795553E-5</v>
      </c>
      <c r="K138" s="72">
        <v>27253</v>
      </c>
      <c r="L138" s="36">
        <v>2.7253000626819016E-5</v>
      </c>
      <c r="M138" s="36">
        <v>0.23076818229119916</v>
      </c>
      <c r="N138" s="73"/>
      <c r="O138" s="59">
        <v>8000</v>
      </c>
      <c r="P138" s="59">
        <v>9000</v>
      </c>
      <c r="Q138" s="36">
        <v>2.7253000626819016E-5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7"/>
        <v>(10000, 20000]</v>
      </c>
      <c r="H140" s="70">
        <v>7.1557624722564757E-3</v>
      </c>
      <c r="I140" s="36">
        <v>1.7845635024997602E-5</v>
      </c>
      <c r="J140" s="36">
        <v>1.7845635024997602E-5</v>
      </c>
      <c r="K140" s="72">
        <v>17845</v>
      </c>
      <c r="L140" s="36">
        <v>1.7845000410435008E-5</v>
      </c>
      <c r="M140" s="36">
        <v>0.23076102430786138</v>
      </c>
      <c r="N140" s="73"/>
      <c r="O140" s="59">
        <v>10000</v>
      </c>
      <c r="P140" s="59">
        <v>20000</v>
      </c>
      <c r="Q140" s="36">
        <v>1.7845000410435008E-5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159</v>
      </c>
      <c r="B152" s="96" t="s">
        <v>153</v>
      </c>
      <c r="C152" s="96"/>
      <c r="D152" s="84"/>
      <c r="E152" s="84"/>
      <c r="F152" s="85"/>
      <c r="G152" s="96" t="s">
        <v>159</v>
      </c>
      <c r="H152" s="96" t="s">
        <v>153</v>
      </c>
      <c r="I152" s="86"/>
      <c r="J152" s="86"/>
      <c r="K152" s="86"/>
      <c r="L152" s="86"/>
      <c r="M152" s="86"/>
      <c r="N152" s="85"/>
      <c r="O152" s="96" t="s">
        <v>159</v>
      </c>
      <c r="P152" s="96" t="s">
        <v>153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182</v>
      </c>
      <c r="B154" s="4">
        <v>100000000</v>
      </c>
      <c r="C154" s="1"/>
      <c r="D154" s="1"/>
      <c r="E154" s="1"/>
      <c r="G154" s="65" t="s">
        <v>166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172</v>
      </c>
      <c r="B155" s="9" t="s">
        <v>169</v>
      </c>
      <c r="C155" s="9" t="s">
        <v>170</v>
      </c>
      <c r="D155" s="9" t="s">
        <v>171</v>
      </c>
      <c r="E155" s="9" t="s">
        <v>150</v>
      </c>
      <c r="G155" s="9" t="s">
        <v>172</v>
      </c>
      <c r="H155" s="9" t="s">
        <v>173</v>
      </c>
      <c r="I155" s="9" t="s">
        <v>174</v>
      </c>
      <c r="J155" s="9" t="s">
        <v>175</v>
      </c>
      <c r="K155" s="9" t="s">
        <v>176</v>
      </c>
      <c r="L155" s="9" t="s">
        <v>151</v>
      </c>
      <c r="M155" s="9" t="s">
        <v>177</v>
      </c>
    </row>
    <row r="156" spans="1:21" x14ac:dyDescent="0.3">
      <c r="A156" s="14" t="s">
        <v>181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181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159</v>
      </c>
      <c r="B159" s="96" t="s">
        <v>154</v>
      </c>
      <c r="C159" s="96"/>
      <c r="D159" s="84"/>
      <c r="E159" s="84"/>
      <c r="F159" s="85"/>
      <c r="G159" s="96" t="s">
        <v>159</v>
      </c>
      <c r="H159" s="96" t="s">
        <v>154</v>
      </c>
      <c r="I159" s="86"/>
      <c r="J159" s="86"/>
      <c r="K159" s="86"/>
      <c r="L159" s="86"/>
      <c r="M159" s="86"/>
      <c r="N159" s="85"/>
      <c r="O159" s="96" t="s">
        <v>159</v>
      </c>
      <c r="P159" s="96" t="s">
        <v>154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182</v>
      </c>
      <c r="C161" s="1"/>
      <c r="D161" s="1"/>
      <c r="E161" s="1"/>
      <c r="G161" s="65" t="s">
        <v>166</v>
      </c>
      <c r="H161" s="38"/>
      <c r="I161" s="38"/>
      <c r="J161" s="38"/>
      <c r="L161" s="38"/>
      <c r="M161" s="38"/>
    </row>
    <row r="162" spans="1:21" x14ac:dyDescent="0.3">
      <c r="A162" s="9" t="s">
        <v>172</v>
      </c>
      <c r="B162" s="9" t="s">
        <v>169</v>
      </c>
      <c r="C162" s="9" t="s">
        <v>170</v>
      </c>
      <c r="D162" s="9" t="s">
        <v>171</v>
      </c>
      <c r="E162" s="9" t="s">
        <v>150</v>
      </c>
      <c r="G162" s="9" t="s">
        <v>172</v>
      </c>
      <c r="H162" s="9" t="s">
        <v>173</v>
      </c>
      <c r="I162" s="9" t="s">
        <v>174</v>
      </c>
      <c r="J162" s="9" t="s">
        <v>175</v>
      </c>
      <c r="K162" s="9" t="s">
        <v>176</v>
      </c>
      <c r="L162" s="9" t="s">
        <v>151</v>
      </c>
      <c r="M162" s="9" t="s">
        <v>177</v>
      </c>
      <c r="O162" s="9" t="s">
        <v>167</v>
      </c>
      <c r="P162" s="9" t="s">
        <v>168</v>
      </c>
      <c r="Q162" s="12" t="s">
        <v>183</v>
      </c>
      <c r="R162" s="12" t="s">
        <v>178</v>
      </c>
      <c r="T162" s="12" t="s">
        <v>183</v>
      </c>
      <c r="U162" s="12" t="s">
        <v>179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25733</v>
      </c>
      <c r="C163" s="82">
        <v>0</v>
      </c>
      <c r="D163" s="36" cm="1">
        <f t="array" ref="D163:D226">_xlfn.LET(_xlpm.x, B163:B226, _xlpm.x/SUM(_xlpm.x))</f>
        <v>3.6742868174019522E-3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10103</v>
      </c>
      <c r="C164" s="83">
        <v>620285</v>
      </c>
      <c r="D164" s="36">
        <v>1.4425570169125995E-3</v>
      </c>
      <c r="E164" s="69">
        <v>0.61396119964367013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12745</v>
      </c>
      <c r="C165" s="83">
        <v>1986100</v>
      </c>
      <c r="D165" s="36">
        <v>1.8197950292537942E-3</v>
      </c>
      <c r="E165" s="69">
        <v>1.5583366025892509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12974</v>
      </c>
      <c r="C166" s="83">
        <v>3346690</v>
      </c>
      <c r="D166" s="36">
        <v>1.8524927979237916E-3</v>
      </c>
      <c r="E166" s="69">
        <v>2.5795359950670571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13264</v>
      </c>
      <c r="C167" s="83">
        <v>4759360</v>
      </c>
      <c r="D167" s="36">
        <v>1.8939004525713868E-3</v>
      </c>
      <c r="E167" s="69">
        <v>3.5881785283474068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13259</v>
      </c>
      <c r="C168" s="83">
        <v>6071400</v>
      </c>
      <c r="D168" s="36">
        <v>1.8931865274912558E-3</v>
      </c>
      <c r="E168" s="69">
        <v>4.5790783618674107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14611</v>
      </c>
      <c r="C169" s="83">
        <v>8170270</v>
      </c>
      <c r="D169" s="36">
        <v>2.0862318691586652E-3</v>
      </c>
      <c r="E169" s="69">
        <v>5.5918622955307651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13100</v>
      </c>
      <c r="C170" s="83">
        <v>8615115</v>
      </c>
      <c r="D170" s="36">
        <v>1.8704837099430916E-3</v>
      </c>
      <c r="E170" s="69">
        <v>6.576423664122137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14716</v>
      </c>
      <c r="C171" s="83">
        <v>11128800</v>
      </c>
      <c r="D171" s="36">
        <v>2.1012242958414148E-3</v>
      </c>
      <c r="E171" s="69">
        <v>7.5623810818157109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14381</v>
      </c>
      <c r="C172" s="83">
        <v>12340410</v>
      </c>
      <c r="D172" s="36">
        <v>2.0533913154726414E-3</v>
      </c>
      <c r="E172" s="69">
        <v>8.5810513872470615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14299</v>
      </c>
      <c r="C173" s="83">
        <v>13696660</v>
      </c>
      <c r="D173" s="36">
        <v>2.0416829441584935E-3</v>
      </c>
      <c r="E173" s="69">
        <v>9.5787537590041261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73611</v>
      </c>
      <c r="C174" s="83">
        <v>92606940</v>
      </c>
      <c r="D174" s="36">
        <v>1.0510547814703886E-2</v>
      </c>
      <c r="E174" s="69">
        <v>12.580584423523657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74130</v>
      </c>
      <c r="C175" s="83">
        <v>130221780</v>
      </c>
      <c r="D175" s="36">
        <v>1.0584653238021479E-2</v>
      </c>
      <c r="E175" s="69">
        <v>17.566677458518818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74193</v>
      </c>
      <c r="C176" s="83">
        <v>167349120</v>
      </c>
      <c r="D176" s="36">
        <v>1.059364869403113E-2</v>
      </c>
      <c r="E176" s="69">
        <v>22.555917674174111</v>
      </c>
      <c r="F176" s="73"/>
      <c r="G176" s="14" t="str">
        <f t="shared" si="9"/>
        <v>(20, 25]</v>
      </c>
      <c r="H176" s="70">
        <v>3.1821681574080456</v>
      </c>
      <c r="I176" s="36">
        <v>3.3710771544913191E-2</v>
      </c>
      <c r="J176" s="36">
        <v>3.3710771544913198E-2</v>
      </c>
      <c r="K176" s="71">
        <v>33710771</v>
      </c>
      <c r="L176" s="36">
        <v>3.3710771741636981E-2</v>
      </c>
      <c r="M176" s="36">
        <v>0.76037739213723876</v>
      </c>
      <c r="N176" s="73"/>
      <c r="O176" s="59">
        <v>20</v>
      </c>
      <c r="P176" s="59">
        <v>25</v>
      </c>
      <c r="Q176" s="36">
        <v>3.3710771741636981E-2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75361</v>
      </c>
      <c r="C177" s="83">
        <v>207784195</v>
      </c>
      <c r="D177" s="36">
        <v>1.076042159274972E-2</v>
      </c>
      <c r="E177" s="69">
        <v>27.571846843858228</v>
      </c>
      <c r="F177" s="73"/>
      <c r="G177" s="14" t="str">
        <f t="shared" si="9"/>
        <v>(25, 30]</v>
      </c>
      <c r="H177" s="70">
        <v>13.273686518520725</v>
      </c>
      <c r="I177" s="36">
        <v>0.14283046302928126</v>
      </c>
      <c r="J177" s="36">
        <v>0.14283046302928129</v>
      </c>
      <c r="K177" s="71">
        <v>142830463</v>
      </c>
      <c r="L177" s="36">
        <v>0.14283046614227027</v>
      </c>
      <c r="M177" s="36">
        <v>3.9380997371115543</v>
      </c>
      <c r="N177" s="73"/>
      <c r="O177" s="59">
        <v>25</v>
      </c>
      <c r="P177" s="59">
        <v>30</v>
      </c>
      <c r="Q177" s="36">
        <v>0.14283046614227027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73518</v>
      </c>
      <c r="C178" s="83">
        <v>239242930</v>
      </c>
      <c r="D178" s="36">
        <v>1.0497268808213452E-2</v>
      </c>
      <c r="E178" s="69">
        <v>32.542089012214696</v>
      </c>
      <c r="F178" s="73"/>
      <c r="G178" s="14" t="str">
        <f t="shared" si="9"/>
        <v>(30, 35]</v>
      </c>
      <c r="H178" s="70">
        <v>5.1180213728599302</v>
      </c>
      <c r="I178" s="36">
        <v>5.3725246117092333E-2</v>
      </c>
      <c r="J178" s="36">
        <v>5.3725246117092347E-2</v>
      </c>
      <c r="K178" s="71">
        <v>53725246</v>
      </c>
      <c r="L178" s="36">
        <v>5.3725247181955441E-2</v>
      </c>
      <c r="M178" s="36">
        <v>1.7483317759984307</v>
      </c>
      <c r="N178" s="73"/>
      <c r="O178" s="59">
        <v>30</v>
      </c>
      <c r="P178" s="59">
        <v>35</v>
      </c>
      <c r="Q178" s="36">
        <v>5.3725247181955441E-2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73974</v>
      </c>
      <c r="C179" s="83">
        <v>277797260</v>
      </c>
      <c r="D179" s="36">
        <v>1.0562378775521394E-2</v>
      </c>
      <c r="E179" s="69">
        <v>37.553364695703891</v>
      </c>
      <c r="F179" s="73"/>
      <c r="G179" s="14" t="str">
        <f t="shared" si="9"/>
        <v>(35, 40]</v>
      </c>
      <c r="H179" s="70">
        <v>8.9522781291238118</v>
      </c>
      <c r="I179" s="36">
        <v>9.4557352503621725E-2</v>
      </c>
      <c r="J179" s="36">
        <v>9.4557352503621753E-2</v>
      </c>
      <c r="K179" s="71">
        <v>94557352</v>
      </c>
      <c r="L179" s="36">
        <v>9.4557354080261793E-2</v>
      </c>
      <c r="M179" s="36">
        <v>3.5509468024368753</v>
      </c>
      <c r="N179" s="73"/>
      <c r="O179" s="59">
        <v>35</v>
      </c>
      <c r="P179" s="59">
        <v>40</v>
      </c>
      <c r="Q179" s="36">
        <v>9.4557354080261793E-2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72529</v>
      </c>
      <c r="C180" s="83">
        <v>308729305</v>
      </c>
      <c r="D180" s="36">
        <v>1.0356054427363549E-2</v>
      </c>
      <c r="E180" s="69">
        <v>42.566325883439731</v>
      </c>
      <c r="F180" s="73"/>
      <c r="G180" s="14" t="str">
        <f t="shared" si="9"/>
        <v>(40, 45]</v>
      </c>
      <c r="H180" s="70">
        <v>7.9357661651790483</v>
      </c>
      <c r="I180" s="36">
        <v>8.2183226329424333E-2</v>
      </c>
      <c r="J180" s="36">
        <v>8.2183226329424347E-2</v>
      </c>
      <c r="K180" s="71">
        <v>82183226</v>
      </c>
      <c r="L180" s="36">
        <v>8.2183227808031015E-2</v>
      </c>
      <c r="M180" s="36">
        <v>3.4982380570296145</v>
      </c>
      <c r="N180" s="73"/>
      <c r="O180" s="59">
        <v>40</v>
      </c>
      <c r="P180" s="59">
        <v>45</v>
      </c>
      <c r="Q180" s="36">
        <v>8.2183227808031015E-2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71665</v>
      </c>
      <c r="C181" s="83">
        <v>340734250</v>
      </c>
      <c r="D181" s="36">
        <v>1.023268817351692E-2</v>
      </c>
      <c r="E181" s="69">
        <v>47.545419660922342</v>
      </c>
      <c r="F181" s="73"/>
      <c r="G181" s="14" t="str">
        <f t="shared" si="9"/>
        <v>(45, 50]</v>
      </c>
      <c r="H181" s="70">
        <v>6.872516852818058</v>
      </c>
      <c r="I181" s="36">
        <v>7.0324321922127064E-2</v>
      </c>
      <c r="J181" s="36">
        <v>7.0324321922127078E-2</v>
      </c>
      <c r="K181" s="71">
        <v>70324321</v>
      </c>
      <c r="L181" s="36">
        <v>7.0324322547135096E-2</v>
      </c>
      <c r="M181" s="36">
        <v>3.3435994278736012</v>
      </c>
      <c r="N181" s="73"/>
      <c r="O181" s="59">
        <v>45</v>
      </c>
      <c r="P181" s="59">
        <v>50</v>
      </c>
      <c r="Q181" s="36">
        <v>7.0324322547135096E-2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141059</v>
      </c>
      <c r="C182" s="83">
        <v>776296860</v>
      </c>
      <c r="D182" s="36">
        <v>2.0141111575638363E-2</v>
      </c>
      <c r="E182" s="69">
        <v>55.033486697055842</v>
      </c>
      <c r="F182" s="73"/>
      <c r="G182" s="14" t="str">
        <f t="shared" si="9"/>
        <v>(50, 60]</v>
      </c>
      <c r="H182" s="70">
        <v>3.3763622367994199</v>
      </c>
      <c r="I182" s="36">
        <v>6.8003688531149034E-2</v>
      </c>
      <c r="J182" s="36">
        <v>6.8003688531149048E-2</v>
      </c>
      <c r="K182" s="71">
        <v>68003688</v>
      </c>
      <c r="L182" s="36">
        <v>6.8003689496081168E-2</v>
      </c>
      <c r="M182" s="36">
        <v>3.7424801412332993</v>
      </c>
      <c r="N182" s="73"/>
      <c r="O182" s="59">
        <v>50</v>
      </c>
      <c r="P182" s="59">
        <v>60</v>
      </c>
      <c r="Q182" s="36">
        <v>6.8003689496081168E-2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136780</v>
      </c>
      <c r="C183" s="83">
        <v>889498060</v>
      </c>
      <c r="D183" s="36">
        <v>1.9530134492062295E-2</v>
      </c>
      <c r="E183" s="69">
        <v>65.03129551103963</v>
      </c>
      <c r="F183" s="73"/>
      <c r="G183" s="14" t="str">
        <f t="shared" si="9"/>
        <v>(60, 70]</v>
      </c>
      <c r="H183" s="70">
        <v>4.756346833891735</v>
      </c>
      <c r="I183" s="36">
        <v>9.2892093356800265E-2</v>
      </c>
      <c r="J183" s="36">
        <v>9.2892093356800279E-2</v>
      </c>
      <c r="K183" s="71">
        <v>92892093</v>
      </c>
      <c r="L183" s="36">
        <v>9.2892095043626097E-2</v>
      </c>
      <c r="M183" s="36">
        <v>6.0408932834216289</v>
      </c>
      <c r="N183" s="73"/>
      <c r="O183" s="59">
        <v>60</v>
      </c>
      <c r="P183" s="59">
        <v>70</v>
      </c>
      <c r="Q183" s="36">
        <v>9.2892095043626097E-2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133347</v>
      </c>
      <c r="C184" s="83">
        <v>1000522670</v>
      </c>
      <c r="D184" s="36">
        <v>1.9039953532044386E-2</v>
      </c>
      <c r="E184" s="69">
        <v>75.03150952027417</v>
      </c>
      <c r="F184" s="73"/>
      <c r="G184" s="14" t="str">
        <f t="shared" si="9"/>
        <v>(70, 80]</v>
      </c>
      <c r="H184" s="70">
        <v>2.3324949410190503</v>
      </c>
      <c r="I184" s="36">
        <v>4.4410595290731332E-2</v>
      </c>
      <c r="J184" s="36">
        <v>4.4410595290731339E-2</v>
      </c>
      <c r="K184" s="71">
        <v>44410595</v>
      </c>
      <c r="L184" s="36">
        <v>4.4410595977033111E-2</v>
      </c>
      <c r="M184" s="36">
        <v>3.3321940548518096</v>
      </c>
      <c r="N184" s="73"/>
      <c r="O184" s="59">
        <v>70</v>
      </c>
      <c r="P184" s="59">
        <v>80</v>
      </c>
      <c r="Q184" s="36">
        <v>4.4410595977033111E-2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129227</v>
      </c>
      <c r="C185" s="83">
        <v>1098874310</v>
      </c>
      <c r="D185" s="36">
        <v>1.8451679266016482E-2</v>
      </c>
      <c r="E185" s="69">
        <v>85.03442082536931</v>
      </c>
      <c r="F185" s="73"/>
      <c r="G185" s="14" t="str">
        <f t="shared" si="9"/>
        <v>(80, 90]</v>
      </c>
      <c r="H185" s="70">
        <v>4.6027065215133218</v>
      </c>
      <c r="I185" s="36">
        <v>8.4927664490566199E-2</v>
      </c>
      <c r="J185" s="36">
        <v>8.4927664490566213E-2</v>
      </c>
      <c r="K185" s="71">
        <v>84927664</v>
      </c>
      <c r="L185" s="36">
        <v>8.492766586840865E-2</v>
      </c>
      <c r="M185" s="36">
        <v>7.2217748791706144</v>
      </c>
      <c r="N185" s="73"/>
      <c r="O185" s="59">
        <v>80</v>
      </c>
      <c r="P185" s="59">
        <v>90</v>
      </c>
      <c r="Q185" s="36">
        <v>8.492766586840865E-2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125018</v>
      </c>
      <c r="C186" s="83">
        <v>1187983350</v>
      </c>
      <c r="D186" s="36">
        <v>1.7850697133562247E-2</v>
      </c>
      <c r="E186" s="69">
        <v>95.024984402246076</v>
      </c>
      <c r="F186" s="73"/>
      <c r="G186" s="14" t="str">
        <f t="shared" si="9"/>
        <v>(90, 100]</v>
      </c>
      <c r="H186" s="70">
        <v>1.8197189403055092</v>
      </c>
      <c r="I186" s="36">
        <v>3.2483251671600481E-2</v>
      </c>
      <c r="J186" s="36">
        <v>3.2483251671600488E-2</v>
      </c>
      <c r="K186" s="71">
        <v>32483251</v>
      </c>
      <c r="L186" s="36">
        <v>3.2483251714631539E-2</v>
      </c>
      <c r="M186" s="36">
        <v>3.0867204875170953</v>
      </c>
      <c r="N186" s="73"/>
      <c r="O186" s="59">
        <v>90</v>
      </c>
      <c r="P186" s="59">
        <v>100</v>
      </c>
      <c r="Q186" s="36">
        <v>3.2483251714631539E-2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238296</v>
      </c>
      <c r="C187" s="83">
        <v>2619871495</v>
      </c>
      <c r="D187" s="36">
        <v>3.4025098178977017E-2</v>
      </c>
      <c r="E187" s="69">
        <v>109.94189978010542</v>
      </c>
      <c r="F187" s="73"/>
      <c r="G187" s="14" t="str">
        <f t="shared" si="9"/>
        <v>(100, 120]</v>
      </c>
      <c r="H187" s="70">
        <v>2.2324179106839699</v>
      </c>
      <c r="I187" s="36">
        <v>7.5958238587528829E-2</v>
      </c>
      <c r="J187" s="36">
        <v>7.5958238587528842E-2</v>
      </c>
      <c r="K187" s="71">
        <v>75958238</v>
      </c>
      <c r="L187" s="36">
        <v>7.5958239671081271E-2</v>
      </c>
      <c r="M187" s="36">
        <v>8.3509931733912453</v>
      </c>
      <c r="N187" s="73"/>
      <c r="O187" s="59">
        <v>100</v>
      </c>
      <c r="P187" s="59">
        <v>120</v>
      </c>
      <c r="Q187" s="36">
        <v>7.5958239671081271E-2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224748</v>
      </c>
      <c r="C188" s="83">
        <v>2920951700</v>
      </c>
      <c r="D188" s="36">
        <v>3.2090646781854193E-2</v>
      </c>
      <c r="E188" s="69">
        <v>129.9656370690729</v>
      </c>
      <c r="F188" s="73"/>
      <c r="G188" s="14" t="str">
        <f t="shared" si="9"/>
        <v>(120, 140]</v>
      </c>
      <c r="H188" s="70">
        <v>0.86552661232371553</v>
      </c>
      <c r="I188" s="36">
        <v>2.7775308796375204E-2</v>
      </c>
      <c r="J188" s="36">
        <v>2.7775308796375211E-2</v>
      </c>
      <c r="K188" s="71">
        <v>27775308</v>
      </c>
      <c r="L188" s="36">
        <v>2.7775308611056791E-2</v>
      </c>
      <c r="M188" s="36">
        <v>3.6098356784261019</v>
      </c>
      <c r="N188" s="73"/>
      <c r="O188" s="59">
        <v>120</v>
      </c>
      <c r="P188" s="59">
        <v>140</v>
      </c>
      <c r="Q188" s="36">
        <v>2.7775308611056791E-2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209650</v>
      </c>
      <c r="C189" s="83">
        <v>3143246085</v>
      </c>
      <c r="D189" s="36">
        <v>2.9934878609890775E-2</v>
      </c>
      <c r="E189" s="69">
        <v>149.92826544240401</v>
      </c>
      <c r="F189" s="73"/>
      <c r="G189" s="14" t="str">
        <f t="shared" si="9"/>
        <v>(140, 160]</v>
      </c>
      <c r="H189" s="70">
        <v>1.4848178732551156</v>
      </c>
      <c r="I189" s="36">
        <v>4.4447842793688075E-2</v>
      </c>
      <c r="J189" s="36">
        <v>4.4447842793688082E-2</v>
      </c>
      <c r="K189" s="71">
        <v>44447842</v>
      </c>
      <c r="L189" s="36">
        <v>4.4447842977852543E-2</v>
      </c>
      <c r="M189" s="36">
        <v>6.6639880003257694</v>
      </c>
      <c r="N189" s="73"/>
      <c r="O189" s="59">
        <v>140</v>
      </c>
      <c r="P189" s="59">
        <v>160</v>
      </c>
      <c r="Q189" s="36">
        <v>4.4447842977852543E-2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198734</v>
      </c>
      <c r="C190" s="83">
        <v>3377478315</v>
      </c>
      <c r="D190" s="36">
        <v>2.8376237374948883E-2</v>
      </c>
      <c r="E190" s="69">
        <v>169.94969733412501</v>
      </c>
      <c r="F190" s="73"/>
      <c r="G190" s="14" t="str">
        <f t="shared" si="9"/>
        <v>(160, 180]</v>
      </c>
      <c r="H190" s="70">
        <v>0.81825399845279323</v>
      </c>
      <c r="I190" s="36">
        <v>2.3218969693097516E-2</v>
      </c>
      <c r="J190" s="36">
        <v>2.3218969693097519E-2</v>
      </c>
      <c r="K190" s="71">
        <v>23218969</v>
      </c>
      <c r="L190" s="36">
        <v>2.3218969510817328E-2</v>
      </c>
      <c r="M190" s="36">
        <v>3.9460568407736814</v>
      </c>
      <c r="N190" s="73"/>
      <c r="O190" s="59">
        <v>160</v>
      </c>
      <c r="P190" s="59">
        <v>180</v>
      </c>
      <c r="Q190" s="36">
        <v>2.3218969510817328E-2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187485</v>
      </c>
      <c r="C191" s="83">
        <v>3561092465</v>
      </c>
      <c r="D191" s="36">
        <v>2.677004872967027E-2</v>
      </c>
      <c r="E191" s="69">
        <v>189.94012667680082</v>
      </c>
      <c r="F191" s="73"/>
      <c r="G191" s="14" t="str">
        <f t="shared" si="9"/>
        <v>(180, 200]</v>
      </c>
      <c r="H191" s="70">
        <v>0.99130028940429205</v>
      </c>
      <c r="I191" s="36">
        <v>2.6537157053089139E-2</v>
      </c>
      <c r="J191" s="36">
        <v>2.6537157053089146E-2</v>
      </c>
      <c r="K191" s="71">
        <v>26537157</v>
      </c>
      <c r="L191" s="36">
        <v>2.6537157583817465E-2</v>
      </c>
      <c r="M191" s="36">
        <v>5.0404710731125144</v>
      </c>
      <c r="N191" s="73"/>
      <c r="O191" s="59">
        <v>180</v>
      </c>
      <c r="P191" s="59">
        <v>200</v>
      </c>
      <c r="Q191" s="36">
        <v>2.6537157583817465E-2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422002</v>
      </c>
      <c r="C192" s="83">
        <v>9472199210</v>
      </c>
      <c r="D192" s="36">
        <v>6.0255562333084316E-2</v>
      </c>
      <c r="E192" s="69">
        <v>224.45863313444013</v>
      </c>
      <c r="F192" s="73"/>
      <c r="G192" s="14" t="str">
        <f t="shared" si="9"/>
        <v>(200, 250]</v>
      </c>
      <c r="H192" s="70">
        <v>4.2656424858504832E-3</v>
      </c>
      <c r="I192" s="36">
        <v>2.5702868669681651E-4</v>
      </c>
      <c r="J192" s="36">
        <v>2.5702868669681656E-4</v>
      </c>
      <c r="K192" s="71">
        <v>257028</v>
      </c>
      <c r="L192" s="36">
        <v>2.5702800565461612E-4</v>
      </c>
      <c r="M192" s="36">
        <v>5.7692154826506283E-2</v>
      </c>
      <c r="N192" s="73"/>
      <c r="O192" s="59">
        <v>200</v>
      </c>
      <c r="P192" s="59">
        <v>250</v>
      </c>
      <c r="Q192" s="36">
        <v>2.5702800565461612E-4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368119</v>
      </c>
      <c r="C193" s="83">
        <v>10104365770</v>
      </c>
      <c r="D193" s="36">
        <v>5.2561877314545112E-2</v>
      </c>
      <c r="E193" s="69">
        <v>274.48639624686581</v>
      </c>
      <c r="F193" s="73"/>
      <c r="G193" s="14" t="str">
        <f t="shared" si="9"/>
        <v>(250, 300]</v>
      </c>
      <c r="H193" s="70">
        <v>3.9987680874121198E-3</v>
      </c>
      <c r="I193" s="36">
        <v>2.1018275761987404E-4</v>
      </c>
      <c r="J193" s="36">
        <v>2.1018275761987409E-4</v>
      </c>
      <c r="K193" s="71">
        <v>210182</v>
      </c>
      <c r="L193" s="36">
        <v>2.1018200462400409E-4</v>
      </c>
      <c r="M193" s="36">
        <v>5.7692101005184966E-2</v>
      </c>
      <c r="N193" s="73"/>
      <c r="O193" s="59">
        <v>250</v>
      </c>
      <c r="P193" s="59">
        <v>300</v>
      </c>
      <c r="Q193" s="36">
        <v>2.1018200462400409E-4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321405</v>
      </c>
      <c r="C194" s="83">
        <v>10428962590</v>
      </c>
      <c r="D194" s="36">
        <v>4.5891818075897664E-2</v>
      </c>
      <c r="E194" s="69">
        <v>324.48040914111482</v>
      </c>
      <c r="F194" s="73"/>
      <c r="G194" s="14" t="str">
        <f t="shared" si="9"/>
        <v>(300, 350]</v>
      </c>
      <c r="H194" s="70">
        <v>3.8743082100379245E-3</v>
      </c>
      <c r="I194" s="36">
        <v>1.7779904754501715E-4</v>
      </c>
      <c r="J194" s="36">
        <v>1.7779904754501718E-4</v>
      </c>
      <c r="K194" s="71">
        <v>177799</v>
      </c>
      <c r="L194" s="36">
        <v>1.7779900391157809E-4</v>
      </c>
      <c r="M194" s="36">
        <v>5.7692293534111531E-2</v>
      </c>
      <c r="N194" s="73"/>
      <c r="O194" s="59">
        <v>300</v>
      </c>
      <c r="P194" s="59">
        <v>350</v>
      </c>
      <c r="Q194" s="36">
        <v>1.7779900391157809E-4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283712</v>
      </c>
      <c r="C195" s="83">
        <v>10625548070</v>
      </c>
      <c r="D195" s="36">
        <v>4.050982246682247E-2</v>
      </c>
      <c r="E195" s="69">
        <v>374.51881027238886</v>
      </c>
      <c r="F195" s="73"/>
      <c r="G195" s="14" t="str">
        <f t="shared" ref="G195:G226" si="11">"("&amp;$O195&amp;", "&amp;$P195&amp;"]"</f>
        <v>(350, 400]</v>
      </c>
      <c r="H195" s="70">
        <v>3.8026288261491432E-3</v>
      </c>
      <c r="I195" s="36">
        <v>1.5404381865452332E-4</v>
      </c>
      <c r="J195" s="36">
        <v>1.5404381865452335E-4</v>
      </c>
      <c r="K195" s="71">
        <v>154043</v>
      </c>
      <c r="L195" s="36">
        <v>1.5404300338894608E-4</v>
      </c>
      <c r="M195" s="36">
        <v>5.769200236001365E-2</v>
      </c>
      <c r="N195" s="73"/>
      <c r="O195" s="59">
        <v>350</v>
      </c>
      <c r="P195" s="59">
        <v>400</v>
      </c>
      <c r="Q195" s="36">
        <v>1.5404300338894608E-4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250380</v>
      </c>
      <c r="C196" s="83">
        <v>10628587395</v>
      </c>
      <c r="D196" s="36">
        <v>3.5750512312637504E-2</v>
      </c>
      <c r="E196" s="69">
        <v>424.49825844716031</v>
      </c>
      <c r="F196" s="73"/>
      <c r="G196" s="14" t="str">
        <f t="shared" si="11"/>
        <v>(400, 450]</v>
      </c>
      <c r="H196" s="70">
        <v>3.801541435658994E-3</v>
      </c>
      <c r="I196" s="36">
        <v>1.3590705390252852E-4</v>
      </c>
      <c r="J196" s="36">
        <v>1.3590705390252854E-4</v>
      </c>
      <c r="K196" s="71">
        <v>135907</v>
      </c>
      <c r="L196" s="36">
        <v>1.3590700298995407E-4</v>
      </c>
      <c r="M196" s="36">
        <v>5.7692286080008509E-2</v>
      </c>
      <c r="N196" s="73"/>
      <c r="O196" s="59">
        <v>400</v>
      </c>
      <c r="P196" s="59">
        <v>450</v>
      </c>
      <c r="Q196" s="36">
        <v>1.3590700298995407E-4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223043</v>
      </c>
      <c r="C197" s="83">
        <v>10583930920</v>
      </c>
      <c r="D197" s="36">
        <v>3.1847198329529543E-2</v>
      </c>
      <c r="E197" s="69">
        <v>474.52423613383968</v>
      </c>
      <c r="F197" s="73"/>
      <c r="G197" s="14" t="str">
        <f t="shared" si="11"/>
        <v>(450, 500]</v>
      </c>
      <c r="H197" s="70">
        <v>3.8175811699851288E-3</v>
      </c>
      <c r="I197" s="36">
        <v>1.2157926465959384E-4</v>
      </c>
      <c r="J197" s="36">
        <v>1.2157926465959386E-4</v>
      </c>
      <c r="K197" s="71">
        <v>121579</v>
      </c>
      <c r="L197" s="36">
        <v>1.2157900267473806E-4</v>
      </c>
      <c r="M197" s="36">
        <v>5.7692183374144126E-2</v>
      </c>
      <c r="N197" s="73"/>
      <c r="O197" s="59">
        <v>450</v>
      </c>
      <c r="P197" s="59">
        <v>500</v>
      </c>
      <c r="Q197" s="36">
        <v>1.2157900267473806E-4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199354</v>
      </c>
      <c r="C198" s="83">
        <v>10457453505</v>
      </c>
      <c r="D198" s="36">
        <v>2.846476408488512E-2</v>
      </c>
      <c r="E198" s="69">
        <v>524.56702674639087</v>
      </c>
      <c r="F198" s="73"/>
      <c r="G198" s="14" t="str">
        <f t="shared" si="11"/>
        <v>(500, 550]</v>
      </c>
      <c r="H198" s="70">
        <v>3.8637528118386204E-3</v>
      </c>
      <c r="I198" s="36">
        <v>1.0998081227129786E-4</v>
      </c>
      <c r="J198" s="36">
        <v>1.0998081227129789E-4</v>
      </c>
      <c r="K198" s="71">
        <v>109980</v>
      </c>
      <c r="L198" s="36">
        <v>1.0998000241956005E-4</v>
      </c>
      <c r="M198" s="36">
        <v>5.7691882870789489E-2</v>
      </c>
      <c r="N198" s="73"/>
      <c r="O198" s="59">
        <v>500</v>
      </c>
      <c r="P198" s="59">
        <v>550</v>
      </c>
      <c r="Q198" s="36">
        <v>1.0998000241956005E-4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177640</v>
      </c>
      <c r="C199" s="83">
        <v>10206550410</v>
      </c>
      <c r="D199" s="36">
        <v>2.5364330246892428E-2</v>
      </c>
      <c r="E199" s="69">
        <v>574.56374746678671</v>
      </c>
      <c r="F199" s="73"/>
      <c r="G199" s="14" t="str">
        <f t="shared" si="11"/>
        <v>(550, 600]</v>
      </c>
      <c r="H199" s="70">
        <v>3.9587337309408719E-3</v>
      </c>
      <c r="I199" s="36">
        <v>1.0041062971109686E-4</v>
      </c>
      <c r="J199" s="36">
        <v>1.0041062971109689E-4</v>
      </c>
      <c r="K199" s="71">
        <v>100410</v>
      </c>
      <c r="L199" s="36">
        <v>1.0041000220902004E-4</v>
      </c>
      <c r="M199" s="36">
        <v>5.7691947152362887E-2</v>
      </c>
      <c r="N199" s="73"/>
      <c r="O199" s="59">
        <v>550</v>
      </c>
      <c r="P199" s="59">
        <v>600</v>
      </c>
      <c r="Q199" s="36">
        <v>1.0041000220902004E-4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160014</v>
      </c>
      <c r="C200" s="83">
        <v>9993632010</v>
      </c>
      <c r="D200" s="36">
        <v>2.2847601554414797E-2</v>
      </c>
      <c r="E200" s="69">
        <v>624.54735273163601</v>
      </c>
      <c r="F200" s="73"/>
      <c r="G200" s="14" t="str">
        <f t="shared" si="11"/>
        <v>(600, 650]</v>
      </c>
      <c r="H200" s="70">
        <v>4.0430761653205381E-3</v>
      </c>
      <c r="I200" s="36">
        <v>9.2374593279394952E-5</v>
      </c>
      <c r="J200" s="36">
        <v>9.2374593279394979E-5</v>
      </c>
      <c r="K200" s="71">
        <v>92374</v>
      </c>
      <c r="L200" s="36">
        <v>9.2374002032228044E-5</v>
      </c>
      <c r="M200" s="36">
        <v>5.7691938430454788E-2</v>
      </c>
      <c r="N200" s="73"/>
      <c r="O200" s="59">
        <v>600</v>
      </c>
      <c r="P200" s="59">
        <v>650</v>
      </c>
      <c r="Q200" s="36">
        <v>9.2374002032228044E-5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144165</v>
      </c>
      <c r="C201" s="83">
        <v>9724431615</v>
      </c>
      <c r="D201" s="36">
        <v>2.058460183541571E-2</v>
      </c>
      <c r="E201" s="69">
        <v>674.53484653001772</v>
      </c>
      <c r="F201" s="73"/>
      <c r="G201" s="14" t="str">
        <f t="shared" si="11"/>
        <v>(650, 700]</v>
      </c>
      <c r="H201" s="70">
        <v>4.1550002081654196E-3</v>
      </c>
      <c r="I201" s="36">
        <v>8.5529024911154547E-5</v>
      </c>
      <c r="J201" s="36">
        <v>8.5529024911154561E-5</v>
      </c>
      <c r="K201" s="71">
        <v>85529</v>
      </c>
      <c r="L201" s="36">
        <v>8.5529001881638048E-5</v>
      </c>
      <c r="M201" s="36">
        <v>5.769229215809632E-2</v>
      </c>
      <c r="N201" s="73"/>
      <c r="O201" s="59">
        <v>650</v>
      </c>
      <c r="P201" s="59">
        <v>700</v>
      </c>
      <c r="Q201" s="36">
        <v>8.5529001881638048E-5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130027</v>
      </c>
      <c r="C202" s="83">
        <v>9422349115</v>
      </c>
      <c r="D202" s="36">
        <v>1.8565907278837432E-2</v>
      </c>
      <c r="E202" s="69">
        <v>724.64558245595151</v>
      </c>
      <c r="F202" s="73"/>
      <c r="G202" s="14" t="str">
        <f t="shared" si="11"/>
        <v>(700, 750]</v>
      </c>
      <c r="H202" s="70">
        <v>4.2882103912167966E-3</v>
      </c>
      <c r="I202" s="36">
        <v>7.9614516515478229E-5</v>
      </c>
      <c r="J202" s="36">
        <v>7.9614516515478243E-5</v>
      </c>
      <c r="K202" s="71">
        <v>79614</v>
      </c>
      <c r="L202" s="36">
        <v>7.9614001751508037E-5</v>
      </c>
      <c r="M202" s="36">
        <v>5.7691934670870686E-2</v>
      </c>
      <c r="N202" s="73"/>
      <c r="O202" s="59">
        <v>700</v>
      </c>
      <c r="P202" s="59">
        <v>750</v>
      </c>
      <c r="Q202" s="36">
        <v>7.9614001751508037E-5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118105</v>
      </c>
      <c r="C203" s="83">
        <v>9148586635</v>
      </c>
      <c r="D203" s="36">
        <v>1.6863624317773194E-2</v>
      </c>
      <c r="E203" s="69">
        <v>774.61467634731798</v>
      </c>
      <c r="F203" s="73"/>
      <c r="G203" s="14" t="str">
        <f t="shared" si="11"/>
        <v>(750, 800]</v>
      </c>
      <c r="H203" s="70">
        <v>4.4165308803041561E-3</v>
      </c>
      <c r="I203" s="36">
        <v>7.4478717553293423E-5</v>
      </c>
      <c r="J203" s="36">
        <v>7.4478717553293436E-5</v>
      </c>
      <c r="K203" s="71">
        <v>74478</v>
      </c>
      <c r="L203" s="36">
        <v>7.4478001638516038E-5</v>
      </c>
      <c r="M203" s="36">
        <v>5.7691753134214117E-2</v>
      </c>
      <c r="N203" s="73"/>
      <c r="O203" s="59">
        <v>750</v>
      </c>
      <c r="P203" s="59">
        <v>800</v>
      </c>
      <c r="Q203" s="36">
        <v>7.4478001638516038E-5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107681</v>
      </c>
      <c r="C204" s="83">
        <v>8879504370</v>
      </c>
      <c r="D204" s="36">
        <v>1.5375233310716187E-2</v>
      </c>
      <c r="E204" s="69">
        <v>824.61199004466891</v>
      </c>
      <c r="F204" s="73"/>
      <c r="G204" s="14" t="str">
        <f t="shared" si="11"/>
        <v>(800, 850]</v>
      </c>
      <c r="H204" s="70">
        <v>4.550368320232652E-3</v>
      </c>
      <c r="I204" s="36">
        <v>6.996297457326873E-5</v>
      </c>
      <c r="J204" s="36">
        <v>6.9962974573268744E-5</v>
      </c>
      <c r="K204" s="71">
        <v>69962</v>
      </c>
      <c r="L204" s="36">
        <v>6.9962001539164038E-5</v>
      </c>
      <c r="M204" s="36">
        <v>5.7691505316718246E-2</v>
      </c>
      <c r="N204" s="73"/>
      <c r="O204" s="59">
        <v>800</v>
      </c>
      <c r="P204" s="59">
        <v>850</v>
      </c>
      <c r="Q204" s="36">
        <v>6.9962001539164038E-5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97799</v>
      </c>
      <c r="C205" s="83">
        <v>8554827365</v>
      </c>
      <c r="D205" s="36">
        <v>1.3964231782345375E-2</v>
      </c>
      <c r="E205" s="69">
        <v>874.7356685651182</v>
      </c>
      <c r="F205" s="73"/>
      <c r="G205" s="14" t="str">
        <f t="shared" si="11"/>
        <v>(850, 900]</v>
      </c>
      <c r="H205" s="70">
        <v>4.7230661310504879E-3</v>
      </c>
      <c r="I205" s="36">
        <v>6.5953990177334233E-5</v>
      </c>
      <c r="J205" s="36">
        <v>6.5953990177334247E-5</v>
      </c>
      <c r="K205" s="72">
        <v>65953</v>
      </c>
      <c r="L205" s="36">
        <v>6.5953001450966026E-5</v>
      </c>
      <c r="M205" s="36">
        <v>5.7691442818086976E-2</v>
      </c>
      <c r="N205" s="73"/>
      <c r="O205" s="59">
        <v>850</v>
      </c>
      <c r="P205" s="59">
        <v>900</v>
      </c>
      <c r="Q205" s="36">
        <v>6.5953001450966026E-5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89240</v>
      </c>
      <c r="C206" s="83">
        <v>8251438340</v>
      </c>
      <c r="D206" s="36">
        <v>1.2742134830177214E-2</v>
      </c>
      <c r="E206" s="69">
        <v>924.63450694755704</v>
      </c>
      <c r="F206" s="73"/>
      <c r="G206" s="14" t="str">
        <f t="shared" si="11"/>
        <v>(900, 950]</v>
      </c>
      <c r="H206" s="70">
        <v>4.8967239067577387E-3</v>
      </c>
      <c r="I206" s="36">
        <v>6.239471624605922E-5</v>
      </c>
      <c r="J206" s="36">
        <v>6.2394716246059234E-5</v>
      </c>
      <c r="K206" s="72">
        <v>62394</v>
      </c>
      <c r="L206" s="36">
        <v>6.2394001372668024E-5</v>
      </c>
      <c r="M206" s="36">
        <v>5.7691646695702092E-2</v>
      </c>
      <c r="N206" s="73"/>
      <c r="O206" s="59">
        <v>900</v>
      </c>
      <c r="P206" s="59">
        <v>950</v>
      </c>
      <c r="Q206" s="36">
        <v>6.2394001372668024E-5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81261</v>
      </c>
      <c r="C207" s="83">
        <v>7921331040</v>
      </c>
      <c r="D207" s="36">
        <v>1.1602853187304241E-2</v>
      </c>
      <c r="E207" s="69">
        <v>974.80107800790051</v>
      </c>
      <c r="F207" s="73"/>
      <c r="G207" s="14" t="str">
        <f t="shared" si="11"/>
        <v>(950, 1000]</v>
      </c>
      <c r="H207" s="70">
        <v>5.1007861154374109E-3</v>
      </c>
      <c r="I207" s="36">
        <v>5.9183672437260184E-5</v>
      </c>
      <c r="J207" s="36">
        <v>5.9183672437260197E-5</v>
      </c>
      <c r="K207" s="72">
        <v>59183</v>
      </c>
      <c r="L207" s="36">
        <v>5.9183001302026032E-5</v>
      </c>
      <c r="M207" s="36">
        <v>5.7691653468957958E-2</v>
      </c>
      <c r="N207" s="73"/>
      <c r="O207" s="59">
        <v>950</v>
      </c>
      <c r="P207" s="59">
        <v>1000</v>
      </c>
      <c r="Q207" s="36">
        <v>5.9183001302026032E-5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818533</v>
      </c>
      <c r="C208" s="83">
        <v>113678095185</v>
      </c>
      <c r="D208" s="36">
        <v>0.11687424752296555</v>
      </c>
      <c r="E208" s="69">
        <v>1388.8028361104562</v>
      </c>
      <c r="F208" s="73"/>
      <c r="G208" s="14" t="str">
        <f t="shared" si="11"/>
        <v>(1000, 2000]</v>
      </c>
      <c r="H208" s="70">
        <v>3.5543360678994636E-4</v>
      </c>
      <c r="I208" s="36">
        <v>4.1541035337948599E-5</v>
      </c>
      <c r="J208" s="36">
        <v>4.1541035337948606E-5</v>
      </c>
      <c r="K208" s="72">
        <v>41541</v>
      </c>
      <c r="L208" s="36">
        <v>4.1541000913902018E-5</v>
      </c>
      <c r="M208" s="36">
        <v>5.7692259884094176E-2</v>
      </c>
      <c r="N208" s="73"/>
      <c r="O208" s="59">
        <v>1000</v>
      </c>
      <c r="P208" s="59">
        <v>2000</v>
      </c>
      <c r="Q208" s="36">
        <v>4.1541000913902018E-5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259696</v>
      </c>
      <c r="C209" s="83">
        <v>62938649725</v>
      </c>
      <c r="D209" s="36">
        <v>3.7080697521937489E-2</v>
      </c>
      <c r="E209" s="69">
        <v>2423.5509875007701</v>
      </c>
      <c r="F209" s="73"/>
      <c r="G209" s="14" t="str">
        <f t="shared" si="11"/>
        <v>(2000, 3000]</v>
      </c>
      <c r="H209" s="70">
        <v>1.2839492286904281E-3</v>
      </c>
      <c r="I209" s="36">
        <v>4.7609732982594709E-5</v>
      </c>
      <c r="J209" s="36">
        <v>4.7609732982594723E-5</v>
      </c>
      <c r="K209" s="72">
        <v>47609</v>
      </c>
      <c r="L209" s="36">
        <v>4.7609001047398026E-5</v>
      </c>
      <c r="M209" s="36">
        <v>0.11538284150234669</v>
      </c>
      <c r="N209" s="73"/>
      <c r="O209" s="59">
        <v>2000</v>
      </c>
      <c r="P209" s="59">
        <v>3000</v>
      </c>
      <c r="Q209" s="36">
        <v>4.7609001047398026E-5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114482</v>
      </c>
      <c r="C210" s="83">
        <v>39386745855</v>
      </c>
      <c r="D210" s="36">
        <v>1.6346314204710305E-2</v>
      </c>
      <c r="E210" s="69">
        <v>3440.4313215177931</v>
      </c>
      <c r="F210" s="73"/>
      <c r="G210" s="14" t="str">
        <f t="shared" si="11"/>
        <v>(3000, 4000]</v>
      </c>
      <c r="H210" s="70">
        <v>1.0258531012783867E-3</v>
      </c>
      <c r="I210" s="36">
        <v>1.6768917121373012E-5</v>
      </c>
      <c r="J210" s="36">
        <v>1.6768917121373016E-5</v>
      </c>
      <c r="K210" s="72">
        <v>16768</v>
      </c>
      <c r="L210" s="36">
        <v>1.6768000368896007E-5</v>
      </c>
      <c r="M210" s="36">
        <v>5.7689153668371733E-2</v>
      </c>
      <c r="N210" s="73"/>
      <c r="O210" s="59">
        <v>3000</v>
      </c>
      <c r="P210" s="59">
        <v>4000</v>
      </c>
      <c r="Q210" s="36">
        <v>1.6768000368896007E-5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59903</v>
      </c>
      <c r="C211" s="83">
        <v>26662874075</v>
      </c>
      <c r="D211" s="36">
        <v>8.5532508150168718E-3</v>
      </c>
      <c r="E211" s="69">
        <v>4451.0081423301008</v>
      </c>
      <c r="F211" s="73"/>
      <c r="G211" s="14" t="str">
        <f t="shared" si="11"/>
        <v>(4000, 5000]</v>
      </c>
      <c r="H211" s="70">
        <v>1.5154036009381478E-3</v>
      </c>
      <c r="I211" s="36">
        <v>1.2961627084803714E-5</v>
      </c>
      <c r="J211" s="36">
        <v>1.2961627084803717E-5</v>
      </c>
      <c r="K211" s="72">
        <v>12961</v>
      </c>
      <c r="L211" s="36">
        <v>1.2961000285142007E-5</v>
      </c>
      <c r="M211" s="36">
        <v>5.7689517801909833E-2</v>
      </c>
      <c r="N211" s="73"/>
      <c r="O211" s="59">
        <v>4000</v>
      </c>
      <c r="P211" s="59">
        <v>5000</v>
      </c>
      <c r="Q211" s="36">
        <v>1.2961000285142007E-5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34360</v>
      </c>
      <c r="C212" s="83">
        <v>18752815435</v>
      </c>
      <c r="D212" s="36">
        <v>4.9060931506598954E-3</v>
      </c>
      <c r="E212" s="69">
        <v>5457.7460520954592</v>
      </c>
      <c r="F212" s="73"/>
      <c r="G212" s="14" t="str">
        <f t="shared" si="11"/>
        <v>(5000, 6000]</v>
      </c>
      <c r="H212" s="70">
        <v>2.1546106249840232E-3</v>
      </c>
      <c r="I212" s="36">
        <v>1.0570720429573152E-5</v>
      </c>
      <c r="J212" s="36">
        <v>1.0570720429573154E-5</v>
      </c>
      <c r="K212" s="72">
        <v>10570</v>
      </c>
      <c r="L212" s="36">
        <v>1.0570000232540004E-5</v>
      </c>
      <c r="M212" s="36">
        <v>5.7688377039793293E-2</v>
      </c>
      <c r="N212" s="73"/>
      <c r="O212" s="59">
        <v>5000</v>
      </c>
      <c r="P212" s="59">
        <v>6000</v>
      </c>
      <c r="Q212" s="36">
        <v>1.0570000232540004E-5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21474</v>
      </c>
      <c r="C213" s="83">
        <v>13876466240</v>
      </c>
      <c r="D213" s="36">
        <v>3.0661654341464085E-3</v>
      </c>
      <c r="E213" s="69">
        <v>6461.9848374778803</v>
      </c>
      <c r="F213" s="73"/>
      <c r="G213" s="14" t="str">
        <f t="shared" si="11"/>
        <v>(6000, 7000]</v>
      </c>
      <c r="H213" s="70">
        <v>2.9117654801872226E-3</v>
      </c>
      <c r="I213" s="36">
        <v>8.9279546676907807E-6</v>
      </c>
      <c r="J213" s="36">
        <v>8.9279546676907824E-6</v>
      </c>
      <c r="K213" s="72">
        <v>8927</v>
      </c>
      <c r="L213" s="36">
        <v>8.9270001963940038E-6</v>
      </c>
      <c r="M213" s="36">
        <v>5.7686139913260111E-2</v>
      </c>
      <c r="N213" s="73"/>
      <c r="O213" s="59">
        <v>6000</v>
      </c>
      <c r="P213" s="59">
        <v>7000</v>
      </c>
      <c r="Q213" s="36">
        <v>8.9270001963940038E-6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13856</v>
      </c>
      <c r="C214" s="83">
        <v>10342217665</v>
      </c>
      <c r="D214" s="36">
        <v>1.9784291820588913E-3</v>
      </c>
      <c r="E214" s="69">
        <v>7464.0716404445729</v>
      </c>
      <c r="F214" s="73"/>
      <c r="G214" s="14" t="str">
        <f t="shared" si="11"/>
        <v>(7000, 8000]</v>
      </c>
      <c r="H214" s="70">
        <v>3.9068038106907692E-3</v>
      </c>
      <c r="I214" s="36">
        <v>7.7293346676494976E-6</v>
      </c>
      <c r="J214" s="36">
        <v>7.7293346676494993E-6</v>
      </c>
      <c r="K214" s="72">
        <v>7729</v>
      </c>
      <c r="L214" s="36">
        <v>7.7290001700380034E-6</v>
      </c>
      <c r="M214" s="36">
        <v>5.768981097817194E-2</v>
      </c>
      <c r="N214" s="73"/>
      <c r="O214" s="59">
        <v>7000</v>
      </c>
      <c r="P214" s="59">
        <v>8000</v>
      </c>
      <c r="Q214" s="36">
        <v>7.7290001700380034E-6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9445</v>
      </c>
      <c r="C215" s="83">
        <v>7997671565</v>
      </c>
      <c r="D215" s="36">
        <v>1.3486044763673663E-3</v>
      </c>
      <c r="E215" s="69">
        <v>8467.6247379565903</v>
      </c>
      <c r="F215" s="73"/>
      <c r="G215" s="14" t="str">
        <f t="shared" si="11"/>
        <v>(8000, 9000]</v>
      </c>
      <c r="H215" s="70">
        <v>5.0520973581159295E-3</v>
      </c>
      <c r="I215" s="36">
        <v>6.8132811121988881E-6</v>
      </c>
      <c r="J215" s="36">
        <v>6.8132811121988898E-6</v>
      </c>
      <c r="K215" s="72">
        <v>6813</v>
      </c>
      <c r="L215" s="36">
        <v>6.8130001498860035E-6</v>
      </c>
      <c r="M215" s="36">
        <v>5.768992860887668E-2</v>
      </c>
      <c r="N215" s="73"/>
      <c r="O215" s="59">
        <v>8000</v>
      </c>
      <c r="P215" s="59">
        <v>9000</v>
      </c>
      <c r="Q215" s="36">
        <v>6.8130001498860035E-6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6555</v>
      </c>
      <c r="C216" s="83">
        <v>6207601600</v>
      </c>
      <c r="D216" s="36">
        <v>9.3595578005167671E-4</v>
      </c>
      <c r="E216" s="69">
        <v>9470.0253241800165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17466</v>
      </c>
      <c r="C217" s="83">
        <v>22586001445</v>
      </c>
      <c r="D217" s="36">
        <v>2.4938830899134379E-3</v>
      </c>
      <c r="E217" s="69">
        <v>12931.410423107753</v>
      </c>
      <c r="F217" s="73"/>
      <c r="G217" s="14" t="str">
        <f t="shared" si="11"/>
        <v>(10000, 20000]</v>
      </c>
      <c r="H217" s="70">
        <v>1.7889406180641189E-3</v>
      </c>
      <c r="I217" s="36">
        <v>4.4614087562494006E-6</v>
      </c>
      <c r="J217" s="36">
        <v>4.4614087562494014E-6</v>
      </c>
      <c r="K217" s="72">
        <v>4461</v>
      </c>
      <c r="L217" s="36">
        <v>4.461000098142002E-6</v>
      </c>
      <c r="M217" s="36">
        <v>5.7687023166598191E-2</v>
      </c>
      <c r="N217" s="73"/>
      <c r="O217" s="59">
        <v>10000</v>
      </c>
      <c r="P217" s="59">
        <v>20000</v>
      </c>
      <c r="Q217" s="36">
        <v>4.461000098142002E-6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1194</v>
      </c>
      <c r="C218" s="83">
        <v>2764219645</v>
      </c>
      <c r="D218" s="36">
        <v>1.704853091352711E-4</v>
      </c>
      <c r="E218" s="69">
        <v>23150.918299832498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95</v>
      </c>
      <c r="C219" s="83">
        <v>319282180</v>
      </c>
      <c r="D219" s="36">
        <v>1.3564576522488069E-5</v>
      </c>
      <c r="E219" s="69">
        <v>33608.650526315789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17</v>
      </c>
      <c r="C220" s="83">
        <v>72474480</v>
      </c>
      <c r="D220" s="36">
        <v>2.4273452724452335E-6</v>
      </c>
      <c r="E220" s="69">
        <v>42632.047058823526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3</v>
      </c>
      <c r="C221" s="83">
        <v>16049515</v>
      </c>
      <c r="D221" s="36">
        <v>4.2835504807857061E-7</v>
      </c>
      <c r="E221" s="69">
        <v>53498.383333333331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>
        <f>Overview!B11</f>
        <v>1</v>
      </c>
      <c r="C7" s="40">
        <f>SUM(M15:M79)</f>
        <v>0.72000000546341325</v>
      </c>
      <c r="D7" s="40">
        <f>SUM(_xlfn.ANCHORARRAY(M86))*F7</f>
        <v>0.21000003988691568</v>
      </c>
      <c r="E7" s="41">
        <f>SUM(C7:D7)</f>
        <v>0.93000004535032899</v>
      </c>
      <c r="F7" s="42">
        <f>L79</f>
        <v>3.5778043817413312E-3</v>
      </c>
      <c r="G7" s="43">
        <f>1/F7</f>
        <v>279.50102725104722</v>
      </c>
      <c r="H7" s="44">
        <f>D7*G7</f>
        <v>58.695226871153821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78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1.17709434433021</v>
      </c>
      <c r="I15" s="36" cm="1">
        <f t="array" ref="I15:I79">D15:D79*H15:H79</f>
        <v>0.73540708789761355</v>
      </c>
      <c r="J15" s="36" cm="1">
        <f t="array" ref="J15:J78">I15:I78/SUM(I15:I78)</f>
        <v>0.73094563139565849</v>
      </c>
      <c r="K15" s="71" cm="1">
        <f t="array" ref="K15:K79">INT(J15:J79*$B$2)</f>
        <v>730945631</v>
      </c>
      <c r="L15" s="36" cm="1">
        <f t="array" ref="L15:L79">_xlfn.LET(_xlpm.x, K15:K79, _xlpm.x/SUM(_xlpm.x))</f>
        <v>0.72833045634523719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0.72833045634523719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1.0316083686456301</v>
      </c>
      <c r="I16" s="36">
        <v>0.1477825575518793</v>
      </c>
      <c r="J16" s="36">
        <v>0.14688601268154053</v>
      </c>
      <c r="K16" s="71">
        <v>146886012</v>
      </c>
      <c r="L16" s="36">
        <v>0.14636048375353375</v>
      </c>
      <c r="M16" s="36">
        <v>6.3483483016645803E-2</v>
      </c>
      <c r="N16" s="73"/>
      <c r="O16" s="59">
        <v>0</v>
      </c>
      <c r="P16" s="59">
        <v>1</v>
      </c>
      <c r="Q16" s="36">
        <v>0.14636048375353375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0.79209432591762297</v>
      </c>
      <c r="I17" s="36">
        <v>4.3518766445404533E-2</v>
      </c>
      <c r="J17" s="36">
        <v>4.325475337467119E-2</v>
      </c>
      <c r="K17" s="71">
        <v>43254753</v>
      </c>
      <c r="L17" s="36">
        <v>4.3099996299985434E-2</v>
      </c>
      <c r="M17" s="36">
        <v>6.4886130780742665E-2</v>
      </c>
      <c r="N17" s="73"/>
      <c r="O17" s="59">
        <v>1</v>
      </c>
      <c r="P17" s="59">
        <v>2</v>
      </c>
      <c r="Q17" s="36">
        <v>4.3099996299985434E-2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0.60603823438378501</v>
      </c>
      <c r="I18" s="36">
        <v>2.00312011616934E-2</v>
      </c>
      <c r="J18" s="36">
        <v>1.9909678899893757E-2</v>
      </c>
      <c r="K18" s="71">
        <v>19909678</v>
      </c>
      <c r="L18" s="36">
        <v>1.9838445225520102E-2</v>
      </c>
      <c r="M18" s="36">
        <v>5.0221818603901465E-2</v>
      </c>
      <c r="N18" s="73"/>
      <c r="O18" s="59">
        <v>2</v>
      </c>
      <c r="P18" s="59">
        <v>3</v>
      </c>
      <c r="Q18" s="36">
        <v>1.9838445225520102E-2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0.53979496663200899</v>
      </c>
      <c r="I19" s="36">
        <v>1.2344431285011056E-2</v>
      </c>
      <c r="J19" s="36">
        <v>1.226954195619469E-2</v>
      </c>
      <c r="K19" s="71">
        <v>12269541</v>
      </c>
      <c r="L19" s="36">
        <v>1.222564308025339E-2</v>
      </c>
      <c r="M19" s="36">
        <v>4.3136143273546201E-2</v>
      </c>
      <c r="N19" s="73"/>
      <c r="O19" s="59">
        <v>3</v>
      </c>
      <c r="P19" s="59">
        <v>4</v>
      </c>
      <c r="Q19" s="36">
        <v>1.222564308025339E-2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0.47467528728318797</v>
      </c>
      <c r="I20" s="36">
        <v>8.0527153020179265E-3</v>
      </c>
      <c r="J20" s="36">
        <v>8.0038623066717857E-3</v>
      </c>
      <c r="K20" s="71">
        <v>8003862</v>
      </c>
      <c r="L20" s="36">
        <v>7.9752258112673544E-3</v>
      </c>
      <c r="M20" s="36">
        <v>3.6147824631028141E-2</v>
      </c>
      <c r="N20" s="73"/>
      <c r="O20" s="59">
        <v>4</v>
      </c>
      <c r="P20" s="59">
        <v>5</v>
      </c>
      <c r="Q20" s="36">
        <v>7.9752258112673544E-3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0.46358268685027798</v>
      </c>
      <c r="I21" s="36">
        <v>6.2431055940103284E-3</v>
      </c>
      <c r="J21" s="36">
        <v>6.2052308651653603E-3</v>
      </c>
      <c r="K21" s="71">
        <v>6205230</v>
      </c>
      <c r="L21" s="36">
        <v>6.1830289503805192E-3</v>
      </c>
      <c r="M21" s="36">
        <v>3.4329556272892796E-2</v>
      </c>
      <c r="N21" s="73"/>
      <c r="O21" s="59">
        <v>5</v>
      </c>
      <c r="P21" s="59">
        <v>6</v>
      </c>
      <c r="Q21" s="36">
        <v>6.1830289503805192E-3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0.31752103570554502</v>
      </c>
      <c r="I22" s="36">
        <v>3.3758944473365688E-3</v>
      </c>
      <c r="J22" s="36">
        <v>3.3554140814550794E-3</v>
      </c>
      <c r="K22" s="71">
        <v>3355414</v>
      </c>
      <c r="L22" s="36">
        <v>3.343409011835516E-3</v>
      </c>
      <c r="M22" s="36">
        <v>2.1814400593838473E-2</v>
      </c>
      <c r="N22" s="73"/>
      <c r="O22" s="59">
        <v>6</v>
      </c>
      <c r="P22" s="59">
        <v>7</v>
      </c>
      <c r="Q22" s="36">
        <v>3.343409011835516E-3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0.424767526413803</v>
      </c>
      <c r="I23" s="36">
        <v>3.8031501010006154E-3</v>
      </c>
      <c r="J23" s="36">
        <v>3.7800777251352597E-3</v>
      </c>
      <c r="K23" s="71">
        <v>3780077</v>
      </c>
      <c r="L23" s="36">
        <v>3.7665526540785017E-3</v>
      </c>
      <c r="M23" s="36">
        <v>2.8371484691660533E-2</v>
      </c>
      <c r="N23" s="73"/>
      <c r="O23" s="59">
        <v>7</v>
      </c>
      <c r="P23" s="59">
        <v>8</v>
      </c>
      <c r="Q23" s="36">
        <v>3.7665526540785017E-3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0.41031645188398003</v>
      </c>
      <c r="I24" s="36">
        <v>3.0913766689997469E-3</v>
      </c>
      <c r="J24" s="36">
        <v>3.0726223725469756E-3</v>
      </c>
      <c r="K24" s="71">
        <v>3072622</v>
      </c>
      <c r="L24" s="36">
        <v>3.0616287840379954E-3</v>
      </c>
      <c r="M24" s="36">
        <v>2.6184214923768545E-2</v>
      </c>
      <c r="N24" s="73"/>
      <c r="O24" s="59">
        <v>8</v>
      </c>
      <c r="P24" s="59">
        <v>9</v>
      </c>
      <c r="Q24" s="36">
        <v>3.0616287840379954E-3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0.32312748962587701</v>
      </c>
      <c r="I25" s="36">
        <v>2.0136578116632998E-3</v>
      </c>
      <c r="J25" s="36">
        <v>2.0014416569859757E-3</v>
      </c>
      <c r="K25" s="71">
        <v>2001441</v>
      </c>
      <c r="L25" s="36">
        <v>1.9942802515746454E-3</v>
      </c>
      <c r="M25" s="36">
        <v>1.9020882543857909E-2</v>
      </c>
      <c r="N25" s="73"/>
      <c r="O25" s="59">
        <v>9</v>
      </c>
      <c r="P25" s="59">
        <v>10</v>
      </c>
      <c r="Q25" s="36">
        <v>1.9942802515746454E-3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0.52074416532228684</v>
      </c>
      <c r="I26" s="36">
        <v>1.0790246636437514E-2</v>
      </c>
      <c r="J26" s="36">
        <v>1.0724786000000821E-2</v>
      </c>
      <c r="K26" s="71">
        <v>10724786</v>
      </c>
      <c r="L26" s="36">
        <v>1.0686414899147281E-2</v>
      </c>
      <c r="M26" s="36">
        <v>0.13123685269168864</v>
      </c>
      <c r="N26" s="73"/>
      <c r="O26" s="59">
        <v>10</v>
      </c>
      <c r="P26" s="59">
        <v>15</v>
      </c>
      <c r="Q26" s="36">
        <v>1.0686414899147281E-2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0.42462629772381721</v>
      </c>
      <c r="I27" s="36">
        <v>4.7358311963095721E-3</v>
      </c>
      <c r="J27" s="36">
        <v>4.7071005718287281E-3</v>
      </c>
      <c r="K27" s="71">
        <v>4707100</v>
      </c>
      <c r="L27" s="36">
        <v>4.6902589545167774E-3</v>
      </c>
      <c r="M27" s="36">
        <v>8.1317733369333137E-2</v>
      </c>
      <c r="N27" s="73"/>
      <c r="O27" s="59">
        <v>15</v>
      </c>
      <c r="P27" s="59">
        <v>20</v>
      </c>
      <c r="Q27" s="36">
        <v>4.6902589545167774E-3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0.40173208240674424</v>
      </c>
      <c r="I28" s="36">
        <v>2.7059495995916841E-3</v>
      </c>
      <c r="J28" s="36">
        <v>2.6895335537937383E-3</v>
      </c>
      <c r="K28" s="71">
        <v>2689533</v>
      </c>
      <c r="L28" s="36">
        <v>2.6799103984870452E-3</v>
      </c>
      <c r="M28" s="36">
        <v>5.9948365117328983E-2</v>
      </c>
      <c r="N28" s="73"/>
      <c r="O28" s="59">
        <v>20</v>
      </c>
      <c r="P28" s="59">
        <v>25</v>
      </c>
      <c r="Q28" s="36">
        <v>2.6799103984870452E-3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0.49273761015932521</v>
      </c>
      <c r="I29" s="36">
        <v>2.2077059349427551E-3</v>
      </c>
      <c r="J29" s="36">
        <v>2.1943125584578844E-3</v>
      </c>
      <c r="K29" s="71">
        <v>2194312</v>
      </c>
      <c r="L29" s="36">
        <v>2.1864611984031821E-3</v>
      </c>
      <c r="M29" s="36">
        <v>5.9901114953179874E-2</v>
      </c>
      <c r="N29" s="73"/>
      <c r="O29" s="59">
        <v>25</v>
      </c>
      <c r="P29" s="59">
        <v>30</v>
      </c>
      <c r="Q29" s="36">
        <v>2.1864611984031821E-3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85378410</v>
      </c>
      <c r="C79" s="75"/>
      <c r="D79" s="36">
        <f>B79/B13</f>
        <v>8.5378410000000002E-2</v>
      </c>
      <c r="E79" s="69">
        <v>0</v>
      </c>
      <c r="F79" s="77"/>
      <c r="G79" s="14" t="s">
        <v>180</v>
      </c>
      <c r="H79" s="70">
        <v>4.205572579765797E-2</v>
      </c>
      <c r="I79" s="36">
        <v>3.5906510000000193E-3</v>
      </c>
      <c r="J79" s="36">
        <f>I79</f>
        <v>3.5906510000000193E-3</v>
      </c>
      <c r="K79" s="72">
        <v>3590651</v>
      </c>
      <c r="L79" s="36">
        <v>3.5778043817413312E-3</v>
      </c>
      <c r="M79" s="36">
        <v>0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49" si="2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3"/>
        <v>(30, 35]</v>
      </c>
      <c r="H101" s="70">
        <v>37.830296205663998</v>
      </c>
      <c r="I101" s="36">
        <v>0.39711478836519237</v>
      </c>
      <c r="J101" s="36">
        <v>7.6923420117472038E-2</v>
      </c>
      <c r="K101" s="71">
        <v>76923420</v>
      </c>
      <c r="L101" s="36">
        <v>7.6923420230770256E-2</v>
      </c>
      <c r="M101" s="36">
        <v>2.5032487882737224</v>
      </c>
      <c r="N101" s="73"/>
      <c r="O101" s="59">
        <v>30</v>
      </c>
      <c r="P101" s="59">
        <v>35</v>
      </c>
      <c r="Q101" s="36">
        <v>7.6923420230770256E-2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3"/>
        <v>(35, 40]</v>
      </c>
      <c r="H102" s="70">
        <v>67.674340008959007</v>
      </c>
      <c r="I102" s="36">
        <v>0.71480201255804698</v>
      </c>
      <c r="J102" s="36">
        <v>0.13846126390602251</v>
      </c>
      <c r="K102" s="71">
        <v>138461263</v>
      </c>
      <c r="L102" s="36">
        <v>0.13846126341538378</v>
      </c>
      <c r="M102" s="36">
        <v>5.1996863212658297</v>
      </c>
      <c r="N102" s="73"/>
      <c r="O102" s="59">
        <v>35</v>
      </c>
      <c r="P102" s="59">
        <v>40</v>
      </c>
      <c r="Q102" s="36">
        <v>0.13846126341538378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3"/>
        <v>(40, 45]</v>
      </c>
      <c r="H103" s="70">
        <v>61.352946031924503</v>
      </c>
      <c r="I103" s="36">
        <v>0.63537444838570867</v>
      </c>
      <c r="J103" s="36">
        <v>0.12307568757710081</v>
      </c>
      <c r="K103" s="71">
        <v>123075687</v>
      </c>
      <c r="L103" s="36">
        <v>0.12307568736922707</v>
      </c>
      <c r="M103" s="36">
        <v>5.2388798168868664</v>
      </c>
      <c r="N103" s="73"/>
      <c r="O103" s="59">
        <v>40</v>
      </c>
      <c r="P103" s="59">
        <v>45</v>
      </c>
      <c r="Q103" s="36">
        <v>0.12307568736922707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3"/>
        <v>(45, 50]</v>
      </c>
      <c r="H104" s="70">
        <v>54.3316077881165</v>
      </c>
      <c r="I104" s="36">
        <v>0.55595840046161948</v>
      </c>
      <c r="J104" s="36">
        <v>0.10769234201174724</v>
      </c>
      <c r="K104" s="71">
        <v>107692342</v>
      </c>
      <c r="L104" s="36">
        <v>0.10769234232307703</v>
      </c>
      <c r="M104" s="36">
        <v>5.1202776100184062</v>
      </c>
      <c r="N104" s="73"/>
      <c r="O104" s="59">
        <v>45</v>
      </c>
      <c r="P104" s="59">
        <v>50</v>
      </c>
      <c r="Q104" s="36">
        <v>0.10769234232307703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3"/>
        <v>(50, 60]</v>
      </c>
      <c r="H105" s="70">
        <v>27.603163726776501</v>
      </c>
      <c r="I105" s="36">
        <v>0.55595840046161915</v>
      </c>
      <c r="J105" s="36">
        <v>0.10769234201174717</v>
      </c>
      <c r="K105" s="71">
        <v>107692342</v>
      </c>
      <c r="L105" s="36">
        <v>0.10769234232307703</v>
      </c>
      <c r="M105" s="36">
        <v>5.9266850886118441</v>
      </c>
      <c r="N105" s="73"/>
      <c r="O105" s="59">
        <v>50</v>
      </c>
      <c r="P105" s="59">
        <v>60</v>
      </c>
      <c r="Q105" s="36">
        <v>0.10769234232307703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3"/>
        <v>(60, 70]</v>
      </c>
      <c r="H106" s="70">
        <v>40.666876976867997</v>
      </c>
      <c r="I106" s="36">
        <v>0.79422957673038364</v>
      </c>
      <c r="J106" s="36">
        <v>0.15384684023494388</v>
      </c>
      <c r="K106" s="71">
        <v>153846840</v>
      </c>
      <c r="L106" s="36">
        <v>0.15384684046154051</v>
      </c>
      <c r="M106" s="36">
        <v>10.004859345494209</v>
      </c>
      <c r="N106" s="73"/>
      <c r="O106" s="59">
        <v>60</v>
      </c>
      <c r="P106" s="59">
        <v>70</v>
      </c>
      <c r="Q106" s="36">
        <v>0.15384684046154051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3"/>
        <v>(70, 80]</v>
      </c>
      <c r="H107" s="70">
        <v>20.856920039056</v>
      </c>
      <c r="I107" s="36">
        <v>0.3971147883651916</v>
      </c>
      <c r="J107" s="36">
        <v>7.69234201174719E-2</v>
      </c>
      <c r="K107" s="71">
        <v>76923420</v>
      </c>
      <c r="L107" s="36">
        <v>7.6923420230770256E-2</v>
      </c>
      <c r="M107" s="36">
        <v>5.7716803373770889</v>
      </c>
      <c r="N107" s="73"/>
      <c r="O107" s="59">
        <v>70</v>
      </c>
      <c r="P107" s="59">
        <v>80</v>
      </c>
      <c r="Q107" s="36">
        <v>7.6923420230770256E-2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3"/>
        <v>(80, 90]</v>
      </c>
      <c r="H108" s="70">
        <v>43.043755816478097</v>
      </c>
      <c r="I108" s="36">
        <v>0.79422957673038519</v>
      </c>
      <c r="J108" s="36">
        <v>0.15384684023494416</v>
      </c>
      <c r="K108" s="71">
        <v>153846840</v>
      </c>
      <c r="L108" s="36">
        <v>0.15384684046154051</v>
      </c>
      <c r="M108" s="36">
        <v>13.08227697446009</v>
      </c>
      <c r="N108" s="73"/>
      <c r="O108" s="59">
        <v>80</v>
      </c>
      <c r="P108" s="59">
        <v>90</v>
      </c>
      <c r="Q108" s="36">
        <v>0.15384684046154051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3"/>
        <v>(90, 100]</v>
      </c>
      <c r="H109" s="81">
        <v>17.796908536168601</v>
      </c>
      <c r="I109" s="79">
        <v>0.31768722419285433</v>
      </c>
      <c r="J109" s="79">
        <v>6.1537843788550407E-2</v>
      </c>
      <c r="K109" s="71">
        <v>61537843</v>
      </c>
      <c r="L109" s="79">
        <v>6.1537843184613528E-2</v>
      </c>
      <c r="M109" s="79">
        <v>5.8476325887657659</v>
      </c>
      <c r="N109" s="73"/>
      <c r="O109" s="59">
        <v>90</v>
      </c>
      <c r="P109" s="59">
        <v>100</v>
      </c>
      <c r="Q109" s="36">
        <v>6.1537843184613528E-2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143</v>
      </c>
      <c r="C2" s="34">
        <v>10000000000</v>
      </c>
    </row>
    <row r="4" spans="1:3" x14ac:dyDescent="0.3">
      <c r="B4" s="12" t="s">
        <v>6</v>
      </c>
      <c r="C4" s="12" t="s">
        <v>144</v>
      </c>
    </row>
    <row r="5" spans="1:3" x14ac:dyDescent="0.3">
      <c r="A5" s="21"/>
      <c r="B5" s="15" t="s">
        <v>145</v>
      </c>
      <c r="C5" s="22"/>
    </row>
    <row r="6" spans="1:3" x14ac:dyDescent="0.3">
      <c r="B6" s="15" t="s">
        <v>146</v>
      </c>
      <c r="C6" s="22"/>
    </row>
    <row r="7" spans="1:3" x14ac:dyDescent="0.3">
      <c r="A7" s="21"/>
      <c r="B7" s="15" t="s">
        <v>147</v>
      </c>
      <c r="C7" s="22"/>
    </row>
    <row r="8" spans="1:3" x14ac:dyDescent="0.3">
      <c r="B8" s="15" t="s">
        <v>148</v>
      </c>
      <c r="C8" s="22"/>
    </row>
    <row r="9" spans="1:3" x14ac:dyDescent="0.3">
      <c r="A9" s="21"/>
      <c r="B9" s="15" t="s">
        <v>149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2026-08-07T08:24:35Z</dcterms:modified>
</cp:coreProperties>
</file>