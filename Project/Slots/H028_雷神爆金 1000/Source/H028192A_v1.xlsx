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C9C4A2ED-565E-472D-9DE6-E9F6D2779C30}" xr6:coauthVersionLast="47" xr6:coauthVersionMax="47" xr10:uidLastSave="{00000000-0000-0000-0000-000000000000}"/>
  <bookViews>
    <workbookView xWindow="-108" yWindow="-108" windowWidth="23256" windowHeight="12456" tabRatio="858" xr2:uid="{D6D0789B-2869-4821-9004-026D2A1122D3}"/>
  </bookViews>
  <sheets>
    <sheet name="Overview" sheetId="4" r:id="rId1"/>
    <sheet name="Description" sheetId="48" r:id="rId2"/>
    <sheet name="Parameter" sheetId="63" r:id="rId3"/>
    <sheet name="Multiplier_Weight" sheetId="42" state="hidden" r:id="rId4"/>
    <sheet name="Multiplier_Weight_Newbie" sheetId="66" state="hidden" r:id="rId5"/>
    <sheet name="Multiplier_Weight_Oldhand" sheetId="64" state="hidden" r:id="rId6"/>
    <sheet name="OP Jackpot" sheetId="58" state="hidden" r:id="rId7"/>
    <sheet name="BG_Symbol" sheetId="59" r:id="rId8"/>
    <sheet name="BG_Symbol (2)" sheetId="67" r:id="rId9"/>
    <sheet name="FG_Symbol" sheetId="69" r:id="rId10"/>
    <sheet name="FG_Symbol (2)" sheetId="70" r:id="rId11"/>
    <sheet name="FG_Symbol (3)" sheetId="71" r:id="rId12"/>
    <sheet name="BF_Symbol" sheetId="72" r:id="rId13"/>
    <sheet name="BG_Performance Wheel" sheetId="60" r:id="rId14"/>
    <sheet name="FG_Performance Wheel" sheetId="74" r:id="rId15"/>
    <sheet name="BF_Performance Wheel" sheetId="7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8" i="75" l="1"/>
  <c r="E28" i="75"/>
  <c r="D28" i="75"/>
  <c r="C28" i="75"/>
  <c r="H27" i="75"/>
  <c r="G27" i="75"/>
  <c r="F27" i="75"/>
  <c r="E27" i="75"/>
  <c r="H25" i="75"/>
  <c r="G25" i="75"/>
  <c r="F25" i="75"/>
  <c r="E25" i="75"/>
  <c r="G24" i="75"/>
  <c r="F24" i="75"/>
  <c r="H22" i="75"/>
  <c r="G22" i="75"/>
  <c r="I21" i="75"/>
  <c r="H21" i="75"/>
  <c r="G21" i="75"/>
  <c r="F21" i="75"/>
  <c r="E21" i="75"/>
  <c r="D21" i="75"/>
  <c r="C21" i="75"/>
  <c r="I18" i="75"/>
  <c r="H18" i="75"/>
  <c r="G18" i="75"/>
  <c r="F18" i="75"/>
  <c r="C18" i="75"/>
  <c r="E15" i="75"/>
  <c r="I14" i="75"/>
  <c r="H14" i="75"/>
  <c r="I12" i="75"/>
  <c r="H12" i="75"/>
  <c r="G12" i="75"/>
  <c r="H8" i="75"/>
  <c r="G8" i="75"/>
  <c r="F8" i="75"/>
  <c r="I5" i="75"/>
  <c r="H5" i="75"/>
  <c r="A4" i="75" a="1"/>
  <c r="E10" i="75" s="1"/>
  <c r="I29" i="74"/>
  <c r="I28" i="74"/>
  <c r="H28" i="74"/>
  <c r="G28" i="74"/>
  <c r="F28" i="74"/>
  <c r="C28" i="74"/>
  <c r="I27" i="74"/>
  <c r="E27" i="74"/>
  <c r="D27" i="74"/>
  <c r="C27" i="74"/>
  <c r="C26" i="74"/>
  <c r="F25" i="74"/>
  <c r="E25" i="74"/>
  <c r="I24" i="74"/>
  <c r="H24" i="74"/>
  <c r="G24" i="74"/>
  <c r="F24" i="74"/>
  <c r="E24" i="74"/>
  <c r="D24" i="74"/>
  <c r="C24" i="74"/>
  <c r="E23" i="74"/>
  <c r="D23" i="74"/>
  <c r="I22" i="74"/>
  <c r="H22" i="74"/>
  <c r="G22" i="74"/>
  <c r="I21" i="74"/>
  <c r="F21" i="74"/>
  <c r="E21" i="74"/>
  <c r="G20" i="74"/>
  <c r="F20" i="74"/>
  <c r="E20" i="74"/>
  <c r="D20" i="74"/>
  <c r="C20" i="74"/>
  <c r="I18" i="74"/>
  <c r="H18" i="74"/>
  <c r="G18" i="74"/>
  <c r="F18" i="74"/>
  <c r="E18" i="74"/>
  <c r="D18" i="74"/>
  <c r="C18" i="74"/>
  <c r="I17" i="74"/>
  <c r="H17" i="74"/>
  <c r="G17" i="74"/>
  <c r="F17" i="74"/>
  <c r="E17" i="74"/>
  <c r="D17" i="74"/>
  <c r="C16" i="74"/>
  <c r="I15" i="74"/>
  <c r="H15" i="74"/>
  <c r="G15" i="74"/>
  <c r="F15" i="74"/>
  <c r="E15" i="74"/>
  <c r="I14" i="74"/>
  <c r="H14" i="74"/>
  <c r="D14" i="74"/>
  <c r="C14" i="74"/>
  <c r="E13" i="74"/>
  <c r="D13" i="74"/>
  <c r="C13" i="74"/>
  <c r="I12" i="74"/>
  <c r="I11" i="74"/>
  <c r="H11" i="74"/>
  <c r="G11" i="74"/>
  <c r="F11" i="74"/>
  <c r="E11" i="74"/>
  <c r="D11" i="74"/>
  <c r="C11" i="74"/>
  <c r="G10" i="74"/>
  <c r="D10" i="74"/>
  <c r="C10" i="74"/>
  <c r="I9" i="74"/>
  <c r="I8" i="74"/>
  <c r="H8" i="74"/>
  <c r="E8" i="74"/>
  <c r="D8" i="74"/>
  <c r="G7" i="74"/>
  <c r="F7" i="74"/>
  <c r="E7" i="74"/>
  <c r="D7" i="74"/>
  <c r="C7" i="74"/>
  <c r="C6" i="74"/>
  <c r="H5" i="74"/>
  <c r="G5" i="74"/>
  <c r="F5" i="74"/>
  <c r="E5" i="74"/>
  <c r="A4" i="74" a="1"/>
  <c r="H27" i="74" s="1"/>
  <c r="I28" i="60"/>
  <c r="H28" i="60"/>
  <c r="G28" i="60"/>
  <c r="F28" i="60"/>
  <c r="E28" i="60"/>
  <c r="D28" i="60"/>
  <c r="G27" i="60"/>
  <c r="I25" i="60"/>
  <c r="H25" i="60"/>
  <c r="G25" i="60"/>
  <c r="F25" i="60"/>
  <c r="I24" i="60"/>
  <c r="H24" i="60"/>
  <c r="G24" i="60"/>
  <c r="I22" i="60"/>
  <c r="H22" i="60"/>
  <c r="I21" i="60"/>
  <c r="G21" i="60"/>
  <c r="F21" i="60"/>
  <c r="I18" i="60"/>
  <c r="H18" i="60"/>
  <c r="G18" i="60"/>
  <c r="F18" i="60"/>
  <c r="I15" i="60"/>
  <c r="H15" i="60"/>
  <c r="G15" i="60"/>
  <c r="F15" i="60"/>
  <c r="I12" i="60"/>
  <c r="H12" i="60"/>
  <c r="I8" i="60"/>
  <c r="I5" i="60"/>
  <c r="A4" i="60" a="1"/>
  <c r="E20" i="60" s="1"/>
  <c r="I30" i="72"/>
  <c r="H30" i="72"/>
  <c r="G30" i="72"/>
  <c r="F30" i="72"/>
  <c r="E30" i="72"/>
  <c r="D30" i="72"/>
  <c r="C30" i="72"/>
  <c r="I30" i="71"/>
  <c r="H30" i="71"/>
  <c r="G30" i="71"/>
  <c r="F30" i="71"/>
  <c r="E30" i="71"/>
  <c r="D30" i="71"/>
  <c r="C30" i="71"/>
  <c r="I30" i="70"/>
  <c r="H30" i="70"/>
  <c r="G30" i="70"/>
  <c r="F30" i="70"/>
  <c r="E30" i="70"/>
  <c r="D30" i="70"/>
  <c r="C30" i="70"/>
  <c r="I30" i="69"/>
  <c r="H30" i="69"/>
  <c r="G30" i="69"/>
  <c r="F30" i="69"/>
  <c r="E30" i="69"/>
  <c r="D30" i="69"/>
  <c r="C30" i="69"/>
  <c r="I30" i="59"/>
  <c r="H30" i="59"/>
  <c r="G30" i="59"/>
  <c r="F30" i="59"/>
  <c r="E30" i="59"/>
  <c r="D30" i="59"/>
  <c r="C30" i="59"/>
  <c r="I30" i="67"/>
  <c r="H30" i="67"/>
  <c r="G30" i="67"/>
  <c r="F30" i="67"/>
  <c r="E30" i="67"/>
  <c r="D30" i="67"/>
  <c r="C30" i="67"/>
  <c r="E29" i="72"/>
  <c r="D29" i="72"/>
  <c r="C29" i="72"/>
  <c r="I28" i="72"/>
  <c r="F27" i="72"/>
  <c r="G26" i="72"/>
  <c r="F26" i="72"/>
  <c r="E26" i="72"/>
  <c r="I25" i="72"/>
  <c r="G25" i="72"/>
  <c r="F25" i="72"/>
  <c r="H24" i="72"/>
  <c r="G24" i="72"/>
  <c r="F24" i="72"/>
  <c r="E24" i="72"/>
  <c r="D24" i="72"/>
  <c r="C24" i="72"/>
  <c r="I23" i="72"/>
  <c r="H23" i="72"/>
  <c r="G23" i="72"/>
  <c r="I22" i="72"/>
  <c r="H22" i="72"/>
  <c r="G22" i="72"/>
  <c r="F22" i="72"/>
  <c r="E22" i="72"/>
  <c r="D22" i="72"/>
  <c r="C22" i="72"/>
  <c r="G21" i="72"/>
  <c r="F21" i="72"/>
  <c r="I20" i="72"/>
  <c r="H20" i="72"/>
  <c r="D20" i="72"/>
  <c r="C20" i="72"/>
  <c r="D19" i="72"/>
  <c r="C19" i="72"/>
  <c r="I18" i="72"/>
  <c r="H18" i="72"/>
  <c r="G18" i="72"/>
  <c r="E18" i="72"/>
  <c r="D18" i="72"/>
  <c r="C18" i="72"/>
  <c r="I16" i="72"/>
  <c r="H16" i="72"/>
  <c r="G16" i="72"/>
  <c r="F16" i="72"/>
  <c r="E16" i="72"/>
  <c r="D16" i="72"/>
  <c r="G14" i="72"/>
  <c r="F14" i="72"/>
  <c r="E14" i="72"/>
  <c r="D14" i="72"/>
  <c r="G12" i="72"/>
  <c r="C12" i="72"/>
  <c r="I11" i="72"/>
  <c r="H11" i="72"/>
  <c r="I9" i="72"/>
  <c r="H9" i="72"/>
  <c r="H8" i="72"/>
  <c r="G8" i="72"/>
  <c r="F7" i="72"/>
  <c r="I6" i="72"/>
  <c r="H6" i="72"/>
  <c r="G6" i="72"/>
  <c r="I5" i="72"/>
  <c r="G5" i="72"/>
  <c r="F5" i="72"/>
  <c r="A4" i="72" a="1"/>
  <c r="W64" i="71"/>
  <c r="U63" i="71"/>
  <c r="W43" i="71"/>
  <c r="V43" i="71"/>
  <c r="I29" i="71"/>
  <c r="H29" i="71"/>
  <c r="G29" i="71"/>
  <c r="F29" i="71"/>
  <c r="E29" i="71"/>
  <c r="D29" i="71"/>
  <c r="C29" i="71"/>
  <c r="I28" i="71"/>
  <c r="H28" i="71"/>
  <c r="G28" i="71"/>
  <c r="F28" i="71"/>
  <c r="D28" i="71"/>
  <c r="C28" i="71"/>
  <c r="H27" i="71"/>
  <c r="F27" i="71"/>
  <c r="E27" i="71"/>
  <c r="C27" i="71"/>
  <c r="I26" i="71"/>
  <c r="H26" i="71"/>
  <c r="G26" i="71"/>
  <c r="F26" i="71"/>
  <c r="E26" i="71"/>
  <c r="D26" i="71"/>
  <c r="I25" i="71"/>
  <c r="H25" i="71"/>
  <c r="F25" i="71"/>
  <c r="E25" i="71"/>
  <c r="D25" i="71"/>
  <c r="C25" i="71"/>
  <c r="H24" i="71"/>
  <c r="G24" i="71"/>
  <c r="E24" i="71"/>
  <c r="D24" i="71"/>
  <c r="C24" i="71"/>
  <c r="I23" i="71"/>
  <c r="H23" i="71"/>
  <c r="G23" i="71"/>
  <c r="F23" i="71"/>
  <c r="D23" i="71"/>
  <c r="H22" i="71"/>
  <c r="G22" i="71"/>
  <c r="F22" i="71"/>
  <c r="E22" i="71"/>
  <c r="D22" i="71"/>
  <c r="C22" i="71"/>
  <c r="I21" i="71"/>
  <c r="G21" i="71"/>
  <c r="F21" i="71"/>
  <c r="E21" i="71"/>
  <c r="D21" i="71"/>
  <c r="I20" i="71"/>
  <c r="H20" i="71"/>
  <c r="F20" i="71"/>
  <c r="D20" i="71"/>
  <c r="C20" i="71"/>
  <c r="I19" i="71"/>
  <c r="H19" i="71"/>
  <c r="G19" i="71"/>
  <c r="F19" i="71"/>
  <c r="E19" i="71"/>
  <c r="D19" i="71"/>
  <c r="C19" i="71"/>
  <c r="I18" i="71"/>
  <c r="H18" i="71"/>
  <c r="G18" i="71"/>
  <c r="F18" i="71"/>
  <c r="D18" i="71"/>
  <c r="C18" i="71"/>
  <c r="H17" i="71"/>
  <c r="F17" i="71"/>
  <c r="E17" i="71"/>
  <c r="C17" i="71"/>
  <c r="I16" i="71"/>
  <c r="AA97" i="71" s="1"/>
  <c r="H16" i="71"/>
  <c r="G16" i="71"/>
  <c r="F16" i="71"/>
  <c r="E16" i="71"/>
  <c r="D16" i="71"/>
  <c r="Y15" i="71"/>
  <c r="I15" i="71"/>
  <c r="U95" i="71" s="1"/>
  <c r="H15" i="71"/>
  <c r="F15" i="71"/>
  <c r="E15" i="71"/>
  <c r="D15" i="71"/>
  <c r="C15" i="71"/>
  <c r="H14" i="71"/>
  <c r="G14" i="71"/>
  <c r="E14" i="71"/>
  <c r="D14" i="71"/>
  <c r="C14" i="71"/>
  <c r="I13" i="71"/>
  <c r="U98" i="71" s="1"/>
  <c r="H13" i="71"/>
  <c r="G13" i="71"/>
  <c r="F13" i="71"/>
  <c r="D13" i="71"/>
  <c r="H12" i="71"/>
  <c r="G12" i="71"/>
  <c r="F12" i="71"/>
  <c r="E12" i="71"/>
  <c r="D12" i="71"/>
  <c r="C12" i="71"/>
  <c r="I11" i="71"/>
  <c r="Y68" i="71" s="1"/>
  <c r="G11" i="71"/>
  <c r="F11" i="71"/>
  <c r="E11" i="71"/>
  <c r="D11" i="71"/>
  <c r="I10" i="71"/>
  <c r="Y7" i="71" s="1"/>
  <c r="H10" i="71"/>
  <c r="F10" i="71"/>
  <c r="D10" i="71"/>
  <c r="C10" i="71"/>
  <c r="I9" i="71"/>
  <c r="U45" i="71" s="1"/>
  <c r="H9" i="71"/>
  <c r="G9" i="71"/>
  <c r="F9" i="71"/>
  <c r="E9" i="71"/>
  <c r="D9" i="71"/>
  <c r="C9" i="71"/>
  <c r="I8" i="71"/>
  <c r="AA76" i="71" s="1"/>
  <c r="H8" i="71"/>
  <c r="G8" i="71"/>
  <c r="F8" i="71"/>
  <c r="D8" i="71"/>
  <c r="C8" i="71"/>
  <c r="H7" i="71"/>
  <c r="F7" i="71"/>
  <c r="E7" i="71"/>
  <c r="C7" i="71"/>
  <c r="I6" i="71"/>
  <c r="H6" i="71"/>
  <c r="G6" i="71"/>
  <c r="F6" i="71"/>
  <c r="E6" i="71"/>
  <c r="D6" i="71"/>
  <c r="Y5" i="71"/>
  <c r="I5" i="71"/>
  <c r="H5" i="71"/>
  <c r="F5" i="71"/>
  <c r="E5" i="71"/>
  <c r="D5" i="71"/>
  <c r="C5" i="71"/>
  <c r="A4" i="71"/>
  <c r="A4" i="71" a="1"/>
  <c r="I27" i="71" s="1"/>
  <c r="V105" i="70"/>
  <c r="V85" i="70"/>
  <c r="V84" i="70"/>
  <c r="U84" i="70"/>
  <c r="Y76" i="70"/>
  <c r="X76" i="70"/>
  <c r="W68" i="70"/>
  <c r="U48" i="70"/>
  <c r="Y45" i="70"/>
  <c r="U44" i="70"/>
  <c r="Y43" i="70"/>
  <c r="W43" i="70"/>
  <c r="I29" i="70"/>
  <c r="H29" i="70"/>
  <c r="G29" i="70"/>
  <c r="F29" i="70"/>
  <c r="E29" i="70"/>
  <c r="D29" i="70"/>
  <c r="C29" i="70"/>
  <c r="I28" i="70"/>
  <c r="H28" i="70"/>
  <c r="G28" i="70"/>
  <c r="F28" i="70"/>
  <c r="D28" i="70"/>
  <c r="C28" i="70"/>
  <c r="E27" i="70"/>
  <c r="D27" i="70"/>
  <c r="C27" i="70"/>
  <c r="Z26" i="70"/>
  <c r="I26" i="70"/>
  <c r="Y105" i="70" s="1"/>
  <c r="H26" i="70"/>
  <c r="G26" i="70"/>
  <c r="F26" i="70"/>
  <c r="E26" i="70"/>
  <c r="D26" i="70"/>
  <c r="I25" i="70"/>
  <c r="W17" i="70" s="1"/>
  <c r="H25" i="70"/>
  <c r="F25" i="70"/>
  <c r="E25" i="70"/>
  <c r="D25" i="70"/>
  <c r="C25" i="70"/>
  <c r="G24" i="70"/>
  <c r="F24" i="70"/>
  <c r="E24" i="70"/>
  <c r="D24" i="70"/>
  <c r="C24" i="70"/>
  <c r="I23" i="70"/>
  <c r="H23" i="70"/>
  <c r="G23" i="70"/>
  <c r="F23" i="70"/>
  <c r="Z22" i="70"/>
  <c r="H22" i="70"/>
  <c r="G22" i="70"/>
  <c r="F22" i="70"/>
  <c r="E22" i="70"/>
  <c r="D22" i="70"/>
  <c r="C22" i="70"/>
  <c r="I21" i="70"/>
  <c r="Y72" i="70" s="1"/>
  <c r="H21" i="70"/>
  <c r="G21" i="70"/>
  <c r="F21" i="70"/>
  <c r="E21" i="70"/>
  <c r="D21" i="70"/>
  <c r="I20" i="70"/>
  <c r="V48" i="70" s="1"/>
  <c r="H20" i="70"/>
  <c r="C20" i="70"/>
  <c r="I19" i="70"/>
  <c r="V62" i="70" s="1"/>
  <c r="H19" i="70"/>
  <c r="G19" i="70"/>
  <c r="F19" i="70"/>
  <c r="E19" i="70"/>
  <c r="D19" i="70"/>
  <c r="C19" i="70"/>
  <c r="I18" i="70"/>
  <c r="H18" i="70"/>
  <c r="G18" i="70"/>
  <c r="F18" i="70"/>
  <c r="D18" i="70"/>
  <c r="C18" i="70"/>
  <c r="E17" i="70"/>
  <c r="D17" i="70"/>
  <c r="C17" i="70"/>
  <c r="I16" i="70"/>
  <c r="W97" i="70" s="1"/>
  <c r="H16" i="70"/>
  <c r="G16" i="70"/>
  <c r="F16" i="70"/>
  <c r="E16" i="70"/>
  <c r="D16" i="70"/>
  <c r="I15" i="70"/>
  <c r="AA113" i="70" s="1"/>
  <c r="H15" i="70"/>
  <c r="F15" i="70"/>
  <c r="E15" i="70"/>
  <c r="D15" i="70"/>
  <c r="C15" i="70"/>
  <c r="G14" i="70"/>
  <c r="F14" i="70"/>
  <c r="E14" i="70"/>
  <c r="D14" i="70"/>
  <c r="C14" i="70"/>
  <c r="I13" i="70"/>
  <c r="W80" i="70" s="1"/>
  <c r="H13" i="70"/>
  <c r="G13" i="70"/>
  <c r="F13" i="70"/>
  <c r="H12" i="70"/>
  <c r="G12" i="70"/>
  <c r="F12" i="70"/>
  <c r="E12" i="70"/>
  <c r="D12" i="70"/>
  <c r="C12" i="70"/>
  <c r="Z11" i="70"/>
  <c r="I11" i="70"/>
  <c r="Y48" i="70" s="1"/>
  <c r="H11" i="70"/>
  <c r="G11" i="70"/>
  <c r="F11" i="70"/>
  <c r="E11" i="70"/>
  <c r="D11" i="70"/>
  <c r="I10" i="70"/>
  <c r="Z63" i="70" s="1"/>
  <c r="H10" i="70"/>
  <c r="C10" i="70"/>
  <c r="I9" i="70"/>
  <c r="Z27" i="70" s="1"/>
  <c r="H9" i="70"/>
  <c r="G9" i="70"/>
  <c r="F9" i="70"/>
  <c r="E9" i="70"/>
  <c r="D9" i="70"/>
  <c r="C9" i="70"/>
  <c r="U8" i="70"/>
  <c r="I8" i="70"/>
  <c r="X109" i="70" s="1"/>
  <c r="H8" i="70"/>
  <c r="G8" i="70"/>
  <c r="F8" i="70"/>
  <c r="D8" i="70"/>
  <c r="C8" i="70"/>
  <c r="E7" i="70"/>
  <c r="D7" i="70"/>
  <c r="C7" i="70"/>
  <c r="I6" i="70"/>
  <c r="AA59" i="70" s="1"/>
  <c r="H6" i="70"/>
  <c r="G6" i="70"/>
  <c r="F6" i="70"/>
  <c r="E6" i="70"/>
  <c r="D6" i="70"/>
  <c r="W5" i="70"/>
  <c r="I5" i="70"/>
  <c r="H5" i="70"/>
  <c r="F5" i="70"/>
  <c r="E5" i="70"/>
  <c r="D5" i="70"/>
  <c r="C5" i="70"/>
  <c r="G4" i="70"/>
  <c r="F4" i="70"/>
  <c r="A4" i="70"/>
  <c r="A4" i="70" a="1"/>
  <c r="I27" i="70" s="1"/>
  <c r="G5" i="75" l="1"/>
  <c r="E8" i="75"/>
  <c r="I11" i="75"/>
  <c r="G14" i="75"/>
  <c r="D27" i="75"/>
  <c r="D7" i="75"/>
  <c r="D13" i="75"/>
  <c r="I19" i="75"/>
  <c r="D29" i="75"/>
  <c r="D19" i="75"/>
  <c r="D10" i="75"/>
  <c r="G7" i="75"/>
  <c r="H29" i="75"/>
  <c r="D25" i="75"/>
  <c r="F22" i="75"/>
  <c r="H19" i="75"/>
  <c r="D15" i="75"/>
  <c r="F12" i="75"/>
  <c r="H9" i="75"/>
  <c r="D5" i="75"/>
  <c r="I13" i="75"/>
  <c r="G29" i="75"/>
  <c r="I26" i="75"/>
  <c r="C25" i="75"/>
  <c r="E22" i="75"/>
  <c r="G19" i="75"/>
  <c r="I16" i="75"/>
  <c r="C15" i="75"/>
  <c r="E12" i="75"/>
  <c r="G9" i="75"/>
  <c r="I6" i="75"/>
  <c r="C5" i="75"/>
  <c r="G26" i="75"/>
  <c r="I23" i="75"/>
  <c r="C22" i="75"/>
  <c r="E19" i="75"/>
  <c r="G16" i="75"/>
  <c r="C12" i="75"/>
  <c r="G6" i="75"/>
  <c r="F29" i="75"/>
  <c r="H26" i="75"/>
  <c r="D22" i="75"/>
  <c r="F19" i="75"/>
  <c r="H16" i="75"/>
  <c r="D12" i="75"/>
  <c r="F9" i="75"/>
  <c r="H6" i="75"/>
  <c r="E29" i="75"/>
  <c r="E9" i="75"/>
  <c r="C29" i="75"/>
  <c r="E26" i="75"/>
  <c r="G23" i="75"/>
  <c r="I20" i="75"/>
  <c r="C19" i="75"/>
  <c r="E16" i="75"/>
  <c r="G13" i="75"/>
  <c r="I10" i="75"/>
  <c r="C9" i="75"/>
  <c r="E6" i="75"/>
  <c r="D26" i="75"/>
  <c r="F23" i="75"/>
  <c r="H20" i="75"/>
  <c r="D16" i="75"/>
  <c r="F13" i="75"/>
  <c r="D6" i="75"/>
  <c r="H10" i="75"/>
  <c r="I27" i="75"/>
  <c r="C26" i="75"/>
  <c r="E23" i="75"/>
  <c r="G20" i="75"/>
  <c r="I17" i="75"/>
  <c r="C16" i="75"/>
  <c r="E13" i="75"/>
  <c r="G10" i="75"/>
  <c r="I7" i="75"/>
  <c r="C6" i="75"/>
  <c r="I24" i="75"/>
  <c r="D20" i="75"/>
  <c r="E18" i="75"/>
  <c r="H11" i="75"/>
  <c r="I9" i="75"/>
  <c r="C7" i="75"/>
  <c r="H24" i="75"/>
  <c r="I22" i="75"/>
  <c r="C20" i="75"/>
  <c r="D18" i="75"/>
  <c r="G11" i="75"/>
  <c r="D9" i="75"/>
  <c r="E24" i="75"/>
  <c r="H17" i="75"/>
  <c r="I15" i="75"/>
  <c r="C13" i="75"/>
  <c r="D11" i="75"/>
  <c r="I28" i="75"/>
  <c r="F26" i="75"/>
  <c r="D24" i="75"/>
  <c r="G17" i="75"/>
  <c r="H15" i="75"/>
  <c r="C11" i="75"/>
  <c r="E17" i="75"/>
  <c r="H28" i="75"/>
  <c r="C24" i="75"/>
  <c r="F17" i="75"/>
  <c r="G15" i="75"/>
  <c r="G28" i="75"/>
  <c r="F15" i="75"/>
  <c r="I8" i="75"/>
  <c r="F6" i="75"/>
  <c r="F7" i="75"/>
  <c r="H7" i="75"/>
  <c r="F10" i="75"/>
  <c r="C14" i="75"/>
  <c r="E20" i="75"/>
  <c r="C23" i="75"/>
  <c r="F16" i="75"/>
  <c r="D14" i="75"/>
  <c r="F20" i="75"/>
  <c r="D23" i="75"/>
  <c r="I25" i="75"/>
  <c r="C10" i="75"/>
  <c r="A4" i="75"/>
  <c r="E5" i="75"/>
  <c r="C8" i="75"/>
  <c r="E11" i="75"/>
  <c r="E14" i="75"/>
  <c r="C17" i="75"/>
  <c r="H23" i="75"/>
  <c r="E7" i="75"/>
  <c r="H13" i="75"/>
  <c r="I29" i="75"/>
  <c r="F5" i="75"/>
  <c r="D8" i="75"/>
  <c r="F11" i="75"/>
  <c r="F14" i="75"/>
  <c r="D17" i="75"/>
  <c r="C27" i="75"/>
  <c r="E14" i="74"/>
  <c r="I5" i="74"/>
  <c r="I7" i="74"/>
  <c r="G12" i="74"/>
  <c r="C21" i="74"/>
  <c r="H25" i="74"/>
  <c r="G27" i="74"/>
  <c r="H7" i="74"/>
  <c r="G25" i="74"/>
  <c r="F27" i="74"/>
  <c r="F14" i="74"/>
  <c r="C8" i="74"/>
  <c r="H12" i="74"/>
  <c r="G14" i="74"/>
  <c r="D21" i="74"/>
  <c r="C23" i="74"/>
  <c r="I25" i="74"/>
  <c r="H29" i="74"/>
  <c r="D25" i="74"/>
  <c r="F22" i="74"/>
  <c r="H19" i="74"/>
  <c r="D15" i="74"/>
  <c r="F12" i="74"/>
  <c r="H9" i="74"/>
  <c r="D5" i="74"/>
  <c r="G26" i="74"/>
  <c r="I23" i="74"/>
  <c r="C22" i="74"/>
  <c r="E9" i="74"/>
  <c r="G6" i="74"/>
  <c r="F23" i="74"/>
  <c r="H10" i="74"/>
  <c r="D6" i="74"/>
  <c r="G29" i="74"/>
  <c r="I26" i="74"/>
  <c r="C25" i="74"/>
  <c r="E22" i="74"/>
  <c r="G19" i="74"/>
  <c r="I16" i="74"/>
  <c r="C15" i="74"/>
  <c r="E12" i="74"/>
  <c r="G9" i="74"/>
  <c r="I6" i="74"/>
  <c r="C5" i="74"/>
  <c r="E19" i="74"/>
  <c r="C12" i="74"/>
  <c r="F29" i="74"/>
  <c r="H26" i="74"/>
  <c r="D22" i="74"/>
  <c r="F19" i="74"/>
  <c r="H16" i="74"/>
  <c r="D12" i="74"/>
  <c r="F9" i="74"/>
  <c r="H6" i="74"/>
  <c r="E29" i="74"/>
  <c r="G16" i="74"/>
  <c r="I13" i="74"/>
  <c r="H20" i="74"/>
  <c r="D29" i="74"/>
  <c r="F26" i="74"/>
  <c r="H23" i="74"/>
  <c r="D19" i="74"/>
  <c r="F16" i="74"/>
  <c r="H13" i="74"/>
  <c r="D9" i="74"/>
  <c r="F6" i="74"/>
  <c r="D26" i="74"/>
  <c r="D16" i="74"/>
  <c r="C29" i="74"/>
  <c r="E26" i="74"/>
  <c r="G23" i="74"/>
  <c r="I20" i="74"/>
  <c r="C19" i="74"/>
  <c r="E16" i="74"/>
  <c r="G13" i="74"/>
  <c r="I10" i="74"/>
  <c r="C9" i="74"/>
  <c r="E6" i="74"/>
  <c r="F13" i="74"/>
  <c r="F8" i="74"/>
  <c r="E10" i="74"/>
  <c r="G21" i="74"/>
  <c r="D28" i="74"/>
  <c r="A4" i="74"/>
  <c r="G8" i="74"/>
  <c r="F10" i="74"/>
  <c r="C17" i="74"/>
  <c r="I19" i="74"/>
  <c r="H21" i="74"/>
  <c r="E28" i="74"/>
  <c r="A4" i="60"/>
  <c r="C10" i="60"/>
  <c r="C13" i="60"/>
  <c r="E10" i="60"/>
  <c r="F7" i="60"/>
  <c r="C20" i="60"/>
  <c r="C23" i="60"/>
  <c r="E7" i="60"/>
  <c r="G7" i="60"/>
  <c r="C14" i="60"/>
  <c r="C17" i="60"/>
  <c r="D20" i="60"/>
  <c r="C11" i="60"/>
  <c r="D8" i="60"/>
  <c r="D11" i="60"/>
  <c r="D14" i="60"/>
  <c r="E17" i="60"/>
  <c r="H29" i="60"/>
  <c r="D25" i="60"/>
  <c r="F22" i="60"/>
  <c r="H19" i="60"/>
  <c r="D15" i="60"/>
  <c r="F12" i="60"/>
  <c r="H9" i="60"/>
  <c r="D5" i="60"/>
  <c r="F29" i="60"/>
  <c r="D22" i="60"/>
  <c r="F19" i="60"/>
  <c r="H16" i="60"/>
  <c r="F20" i="60"/>
  <c r="G29" i="60"/>
  <c r="I26" i="60"/>
  <c r="C25" i="60"/>
  <c r="E22" i="60"/>
  <c r="G19" i="60"/>
  <c r="I16" i="60"/>
  <c r="C15" i="60"/>
  <c r="E12" i="60"/>
  <c r="G9" i="60"/>
  <c r="I6" i="60"/>
  <c r="C5" i="60"/>
  <c r="H26" i="60"/>
  <c r="F9" i="60"/>
  <c r="D23" i="60"/>
  <c r="D13" i="60"/>
  <c r="D12" i="60"/>
  <c r="H6" i="60"/>
  <c r="H17" i="60"/>
  <c r="E29" i="60"/>
  <c r="G26" i="60"/>
  <c r="I23" i="60"/>
  <c r="C22" i="60"/>
  <c r="E19" i="60"/>
  <c r="G16" i="60"/>
  <c r="I13" i="60"/>
  <c r="C12" i="60"/>
  <c r="E9" i="60"/>
  <c r="G6" i="60"/>
  <c r="G20" i="60"/>
  <c r="I17" i="60"/>
  <c r="C16" i="60"/>
  <c r="I7" i="60"/>
  <c r="D29" i="60"/>
  <c r="F26" i="60"/>
  <c r="H23" i="60"/>
  <c r="D19" i="60"/>
  <c r="F16" i="60"/>
  <c r="H13" i="60"/>
  <c r="D9" i="60"/>
  <c r="F6" i="60"/>
  <c r="I27" i="60"/>
  <c r="H7" i="60"/>
  <c r="C29" i="60"/>
  <c r="E26" i="60"/>
  <c r="G23" i="60"/>
  <c r="I20" i="60"/>
  <c r="C19" i="60"/>
  <c r="E16" i="60"/>
  <c r="G13" i="60"/>
  <c r="I10" i="60"/>
  <c r="C9" i="60"/>
  <c r="E6" i="60"/>
  <c r="D26" i="60"/>
  <c r="F23" i="60"/>
  <c r="H20" i="60"/>
  <c r="D16" i="60"/>
  <c r="F13" i="60"/>
  <c r="H10" i="60"/>
  <c r="D6" i="60"/>
  <c r="G10" i="60"/>
  <c r="F10" i="60"/>
  <c r="C26" i="60"/>
  <c r="E23" i="60"/>
  <c r="E13" i="60"/>
  <c r="C6" i="60"/>
  <c r="H27" i="60"/>
  <c r="D27" i="60"/>
  <c r="F24" i="60"/>
  <c r="H21" i="60"/>
  <c r="D17" i="60"/>
  <c r="F14" i="60"/>
  <c r="H11" i="60"/>
  <c r="D7" i="60"/>
  <c r="I29" i="60"/>
  <c r="C28" i="60"/>
  <c r="E25" i="60"/>
  <c r="G22" i="60"/>
  <c r="I19" i="60"/>
  <c r="C18" i="60"/>
  <c r="E15" i="60"/>
  <c r="G12" i="60"/>
  <c r="I9" i="60"/>
  <c r="C8" i="60"/>
  <c r="E5" i="60"/>
  <c r="C7" i="60"/>
  <c r="E8" i="60"/>
  <c r="E11" i="60"/>
  <c r="E14" i="60"/>
  <c r="F17" i="60"/>
  <c r="F5" i="60"/>
  <c r="F8" i="60"/>
  <c r="F11" i="60"/>
  <c r="G14" i="60"/>
  <c r="G17" i="60"/>
  <c r="C21" i="60"/>
  <c r="C24" i="60"/>
  <c r="C27" i="60"/>
  <c r="D10" i="60"/>
  <c r="G5" i="60"/>
  <c r="G8" i="60"/>
  <c r="G11" i="60"/>
  <c r="H14" i="60"/>
  <c r="D18" i="60"/>
  <c r="D21" i="60"/>
  <c r="D24" i="60"/>
  <c r="E27" i="60"/>
  <c r="H5" i="60"/>
  <c r="H8" i="60"/>
  <c r="I11" i="60"/>
  <c r="I14" i="60"/>
  <c r="E18" i="60"/>
  <c r="E21" i="60"/>
  <c r="E24" i="60"/>
  <c r="F27" i="60"/>
  <c r="I27" i="72"/>
  <c r="C26" i="72"/>
  <c r="E23" i="72"/>
  <c r="G20" i="72"/>
  <c r="I17" i="72"/>
  <c r="C16" i="72"/>
  <c r="E13" i="72"/>
  <c r="G10" i="72"/>
  <c r="I7" i="72"/>
  <c r="C6" i="72"/>
  <c r="H27" i="72"/>
  <c r="D23" i="72"/>
  <c r="F20" i="72"/>
  <c r="H17" i="72"/>
  <c r="D13" i="72"/>
  <c r="F10" i="72"/>
  <c r="H7" i="72"/>
  <c r="G27" i="72"/>
  <c r="I24" i="72"/>
  <c r="C23" i="72"/>
  <c r="E20" i="72"/>
  <c r="G17" i="72"/>
  <c r="I14" i="72"/>
  <c r="C13" i="72"/>
  <c r="E10" i="72"/>
  <c r="G7" i="72"/>
  <c r="F28" i="72"/>
  <c r="H25" i="72"/>
  <c r="D21" i="72"/>
  <c r="F18" i="72"/>
  <c r="H15" i="72"/>
  <c r="D11" i="72"/>
  <c r="F8" i="72"/>
  <c r="H5" i="72"/>
  <c r="A4" i="72"/>
  <c r="G28" i="72"/>
  <c r="E21" i="72"/>
  <c r="H19" i="72"/>
  <c r="C14" i="72"/>
  <c r="F12" i="72"/>
  <c r="D5" i="72"/>
  <c r="E28" i="72"/>
  <c r="I26" i="72"/>
  <c r="C21" i="72"/>
  <c r="G19" i="72"/>
  <c r="E12" i="72"/>
  <c r="I10" i="72"/>
  <c r="C5" i="72"/>
  <c r="D28" i="72"/>
  <c r="H26" i="72"/>
  <c r="F19" i="72"/>
  <c r="D12" i="72"/>
  <c r="H10" i="72"/>
  <c r="I8" i="72"/>
  <c r="G29" i="72"/>
  <c r="D6" i="72"/>
  <c r="C8" i="72"/>
  <c r="C10" i="72"/>
  <c r="H12" i="72"/>
  <c r="H14" i="72"/>
  <c r="C25" i="72"/>
  <c r="C27" i="72"/>
  <c r="F29" i="72"/>
  <c r="E6" i="72"/>
  <c r="D8" i="72"/>
  <c r="D10" i="72"/>
  <c r="I12" i="72"/>
  <c r="D25" i="72"/>
  <c r="D27" i="72"/>
  <c r="H29" i="72"/>
  <c r="F6" i="72"/>
  <c r="E8" i="72"/>
  <c r="F23" i="72"/>
  <c r="E25" i="72"/>
  <c r="E27" i="72"/>
  <c r="I29" i="72"/>
  <c r="C17" i="72"/>
  <c r="C9" i="72"/>
  <c r="D17" i="72"/>
  <c r="I21" i="72"/>
  <c r="C11" i="72"/>
  <c r="E15" i="72"/>
  <c r="C7" i="72"/>
  <c r="E9" i="72"/>
  <c r="E11" i="72"/>
  <c r="G13" i="72"/>
  <c r="F15" i="72"/>
  <c r="F17" i="72"/>
  <c r="D9" i="72"/>
  <c r="F13" i="72"/>
  <c r="E17" i="72"/>
  <c r="D7" i="72"/>
  <c r="F9" i="72"/>
  <c r="F11" i="72"/>
  <c r="H13" i="72"/>
  <c r="G15" i="72"/>
  <c r="C28" i="72"/>
  <c r="C15" i="72"/>
  <c r="E19" i="72"/>
  <c r="H21" i="72"/>
  <c r="D15" i="72"/>
  <c r="I19" i="72"/>
  <c r="E5" i="72"/>
  <c r="E7" i="72"/>
  <c r="G9" i="72"/>
  <c r="G11" i="72"/>
  <c r="I13" i="72"/>
  <c r="I15" i="72"/>
  <c r="D26" i="72"/>
  <c r="H28" i="72"/>
  <c r="Y39" i="71"/>
  <c r="W13" i="71"/>
  <c r="AA66" i="71"/>
  <c r="Y24" i="71"/>
  <c r="U10" i="71"/>
  <c r="AA93" i="71"/>
  <c r="AA40" i="71"/>
  <c r="Z66" i="71"/>
  <c r="U108" i="71"/>
  <c r="U45" i="70"/>
  <c r="X85" i="70"/>
  <c r="W88" i="70"/>
  <c r="W9" i="70"/>
  <c r="V92" i="70"/>
  <c r="Y51" i="70"/>
  <c r="Z96" i="70"/>
  <c r="X52" i="70"/>
  <c r="AA13" i="70"/>
  <c r="AA120" i="70"/>
  <c r="W60" i="70"/>
  <c r="X105" i="70"/>
  <c r="AA76" i="70"/>
  <c r="V104" i="70"/>
  <c r="AA63" i="70"/>
  <c r="Y108" i="70"/>
  <c r="W40" i="70"/>
  <c r="AA53" i="70"/>
  <c r="X55" i="70"/>
  <c r="W25" i="70"/>
  <c r="U64" i="70"/>
  <c r="W13" i="70"/>
  <c r="W105" i="70"/>
  <c r="X25" i="70"/>
  <c r="U65" i="70"/>
  <c r="W31" i="70"/>
  <c r="Y11" i="70"/>
  <c r="U68" i="70"/>
  <c r="W92" i="70"/>
  <c r="Z108" i="70"/>
  <c r="W48" i="70"/>
  <c r="X68" i="70"/>
  <c r="X92" i="70"/>
  <c r="U109" i="70"/>
  <c r="Y6" i="70"/>
  <c r="U9" i="70"/>
  <c r="U12" i="70"/>
  <c r="AA68" i="70"/>
  <c r="Y93" i="70"/>
  <c r="Z6" i="70"/>
  <c r="AA19" i="70"/>
  <c r="Z51" i="70"/>
  <c r="Z71" i="70"/>
  <c r="W94" i="70"/>
  <c r="Y109" i="70"/>
  <c r="Y9" i="70"/>
  <c r="W26" i="70"/>
  <c r="AA51" i="70"/>
  <c r="W72" i="70"/>
  <c r="X94" i="70"/>
  <c r="U111" i="70"/>
  <c r="X117" i="70"/>
  <c r="V97" i="70"/>
  <c r="W4" i="70"/>
  <c r="X56" i="70"/>
  <c r="W100" i="70"/>
  <c r="W119" i="70"/>
  <c r="Z24" i="70"/>
  <c r="Y35" i="70"/>
  <c r="W37" i="70"/>
  <c r="U101" i="70"/>
  <c r="AA121" i="70"/>
  <c r="AA39" i="70"/>
  <c r="U60" i="70"/>
  <c r="AA80" i="70"/>
  <c r="V122" i="70"/>
  <c r="Y26" i="70"/>
  <c r="Y96" i="70"/>
  <c r="U117" i="70"/>
  <c r="Y7" i="70"/>
  <c r="Z31" i="70"/>
  <c r="X118" i="70"/>
  <c r="W35" i="70"/>
  <c r="U77" i="70"/>
  <c r="Z17" i="70"/>
  <c r="Y56" i="70"/>
  <c r="U78" i="70"/>
  <c r="Z100" i="70"/>
  <c r="U27" i="70"/>
  <c r="Z36" i="70"/>
  <c r="AA56" i="70"/>
  <c r="AA100" i="70"/>
  <c r="U121" i="70"/>
  <c r="Z80" i="70"/>
  <c r="V60" i="70"/>
  <c r="AA83" i="70"/>
  <c r="Y102" i="70"/>
  <c r="V22" i="71"/>
  <c r="AA46" i="71"/>
  <c r="X72" i="71"/>
  <c r="U103" i="71"/>
  <c r="W8" i="71"/>
  <c r="U75" i="71"/>
  <c r="V105" i="71"/>
  <c r="Y45" i="71"/>
  <c r="AA102" i="71"/>
  <c r="U16" i="71"/>
  <c r="AA22" i="71"/>
  <c r="U25" i="71"/>
  <c r="X14" i="71"/>
  <c r="W16" i="71"/>
  <c r="Y48" i="71"/>
  <c r="V75" i="71"/>
  <c r="AA124" i="71"/>
  <c r="U122" i="71"/>
  <c r="V119" i="71"/>
  <c r="W116" i="71"/>
  <c r="X113" i="71"/>
  <c r="Y110" i="71"/>
  <c r="AA104" i="71"/>
  <c r="U102" i="71"/>
  <c r="V99" i="71"/>
  <c r="W96" i="71"/>
  <c r="X93" i="71"/>
  <c r="Y90" i="71"/>
  <c r="Z87" i="71"/>
  <c r="U82" i="71"/>
  <c r="V79" i="71"/>
  <c r="W76" i="71"/>
  <c r="X73" i="71"/>
  <c r="Y70" i="71"/>
  <c r="Z67" i="71"/>
  <c r="AA64" i="71"/>
  <c r="U62" i="71"/>
  <c r="V59" i="71"/>
  <c r="W56" i="71"/>
  <c r="X53" i="71"/>
  <c r="Y50" i="71"/>
  <c r="Z47" i="71"/>
  <c r="AA44" i="71"/>
  <c r="U42" i="71"/>
  <c r="V24" i="71"/>
  <c r="X21" i="71"/>
  <c r="Z18" i="71"/>
  <c r="V14" i="71"/>
  <c r="X11" i="71"/>
  <c r="Z8" i="71"/>
  <c r="V4" i="71"/>
  <c r="Z124" i="71"/>
  <c r="AA121" i="71"/>
  <c r="U119" i="71"/>
  <c r="X110" i="71"/>
  <c r="Y107" i="71"/>
  <c r="Z104" i="71"/>
  <c r="AA101" i="71"/>
  <c r="U99" i="71"/>
  <c r="V96" i="71"/>
  <c r="W93" i="71"/>
  <c r="Y87" i="71"/>
  <c r="Z84" i="71"/>
  <c r="AA81" i="71"/>
  <c r="U79" i="71"/>
  <c r="W73" i="71"/>
  <c r="X70" i="71"/>
  <c r="Y67" i="71"/>
  <c r="AA61" i="71"/>
  <c r="U59" i="71"/>
  <c r="Y124" i="71"/>
  <c r="Z121" i="71"/>
  <c r="AA118" i="71"/>
  <c r="U116" i="71"/>
  <c r="W110" i="71"/>
  <c r="X107" i="71"/>
  <c r="Y104" i="71"/>
  <c r="Z101" i="71"/>
  <c r="AA98" i="71"/>
  <c r="U96" i="71"/>
  <c r="X87" i="71"/>
  <c r="Z81" i="71"/>
  <c r="U76" i="71"/>
  <c r="X67" i="71"/>
  <c r="Y64" i="71"/>
  <c r="Z61" i="71"/>
  <c r="AA58" i="71"/>
  <c r="U56" i="71"/>
  <c r="V53" i="71"/>
  <c r="W50" i="71"/>
  <c r="X47" i="71"/>
  <c r="Y44" i="71"/>
  <c r="Z41" i="71"/>
  <c r="AA38" i="71"/>
  <c r="U36" i="71"/>
  <c r="W30" i="71"/>
  <c r="X28" i="71"/>
  <c r="Z25" i="71"/>
  <c r="V21" i="71"/>
  <c r="X18" i="71"/>
  <c r="Z15" i="71"/>
  <c r="V11" i="71"/>
  <c r="X8" i="71"/>
  <c r="Z5" i="71"/>
  <c r="I4" i="71"/>
  <c r="X124" i="71"/>
  <c r="Z118" i="71"/>
  <c r="AA115" i="71"/>
  <c r="U113" i="71"/>
  <c r="V110" i="71"/>
  <c r="W107" i="71"/>
  <c r="X104" i="71"/>
  <c r="Y101" i="71"/>
  <c r="Z98" i="71"/>
  <c r="AA95" i="71"/>
  <c r="U93" i="71"/>
  <c r="V90" i="71"/>
  <c r="X84" i="71"/>
  <c r="Y81" i="71"/>
  <c r="Z78" i="71"/>
  <c r="AA75" i="71"/>
  <c r="U73" i="71"/>
  <c r="V70" i="71"/>
  <c r="W67" i="71"/>
  <c r="Y61" i="71"/>
  <c r="AA55" i="71"/>
  <c r="U53" i="71"/>
  <c r="V50" i="71"/>
  <c r="W47" i="71"/>
  <c r="X44" i="71"/>
  <c r="Y41" i="71"/>
  <c r="Z38" i="71"/>
  <c r="AA35" i="71"/>
  <c r="V30" i="71"/>
  <c r="X64" i="71"/>
  <c r="Y118" i="71"/>
  <c r="V124" i="71"/>
  <c r="X118" i="71"/>
  <c r="Y115" i="71"/>
  <c r="Z112" i="71"/>
  <c r="AA109" i="71"/>
  <c r="U107" i="71"/>
  <c r="V104" i="71"/>
  <c r="W101" i="71"/>
  <c r="X98" i="71"/>
  <c r="Y95" i="71"/>
  <c r="Z92" i="71"/>
  <c r="AA89" i="71"/>
  <c r="U87" i="71"/>
  <c r="V84" i="71"/>
  <c r="W81" i="71"/>
  <c r="X78" i="71"/>
  <c r="Z72" i="71"/>
  <c r="AA69" i="71"/>
  <c r="U67" i="71"/>
  <c r="V64" i="71"/>
  <c r="W61" i="71"/>
  <c r="X58" i="71"/>
  <c r="AA49" i="71"/>
  <c r="U47" i="71"/>
  <c r="V44" i="71"/>
  <c r="W41" i="71"/>
  <c r="X38" i="71"/>
  <c r="Y35" i="71"/>
  <c r="Z32" i="71"/>
  <c r="AA29" i="71"/>
  <c r="U28" i="71"/>
  <c r="W25" i="71"/>
  <c r="Y22" i="71"/>
  <c r="AA19" i="71"/>
  <c r="U18" i="71"/>
  <c r="W15" i="71"/>
  <c r="Y12" i="71"/>
  <c r="U8" i="71"/>
  <c r="W5" i="71"/>
  <c r="F4" i="71"/>
  <c r="U124" i="71"/>
  <c r="V121" i="71"/>
  <c r="W118" i="71"/>
  <c r="X115" i="71"/>
  <c r="Z109" i="71"/>
  <c r="AA106" i="71"/>
  <c r="U104" i="71"/>
  <c r="V101" i="71"/>
  <c r="W98" i="71"/>
  <c r="X95" i="71"/>
  <c r="AA86" i="71"/>
  <c r="U84" i="71"/>
  <c r="V81" i="71"/>
  <c r="AA123" i="71"/>
  <c r="U121" i="71"/>
  <c r="W115" i="71"/>
  <c r="X112" i="71"/>
  <c r="Y109" i="71"/>
  <c r="Z106" i="71"/>
  <c r="AA103" i="71"/>
  <c r="U101" i="71"/>
  <c r="V98" i="71"/>
  <c r="W95" i="71"/>
  <c r="X92" i="71"/>
  <c r="Y89" i="71"/>
  <c r="AA83" i="71"/>
  <c r="X123" i="71"/>
  <c r="Y120" i="71"/>
  <c r="AA114" i="71"/>
  <c r="U112" i="71"/>
  <c r="V109" i="71"/>
  <c r="W106" i="71"/>
  <c r="Y100" i="71"/>
  <c r="Z97" i="71"/>
  <c r="AA94" i="71"/>
  <c r="U92" i="71"/>
  <c r="X83" i="71"/>
  <c r="Y80" i="71"/>
  <c r="Z77" i="71"/>
  <c r="AA74" i="71"/>
  <c r="U72" i="71"/>
  <c r="W66" i="71"/>
  <c r="X63" i="71"/>
  <c r="Z57" i="71"/>
  <c r="AA54" i="71"/>
  <c r="U52" i="71"/>
  <c r="X43" i="71"/>
  <c r="Y40" i="71"/>
  <c r="Z37" i="71"/>
  <c r="AA34" i="71"/>
  <c r="U32" i="71"/>
  <c r="V29" i="71"/>
  <c r="X26" i="71"/>
  <c r="Z23" i="71"/>
  <c r="V19" i="71"/>
  <c r="Z13" i="71"/>
  <c r="X119" i="71"/>
  <c r="V114" i="71"/>
  <c r="U109" i="71"/>
  <c r="U105" i="71"/>
  <c r="AA99" i="71"/>
  <c r="Z90" i="71"/>
  <c r="Y85" i="71"/>
  <c r="X80" i="71"/>
  <c r="Z76" i="71"/>
  <c r="W72" i="71"/>
  <c r="X68" i="71"/>
  <c r="U64" i="71"/>
  <c r="V60" i="71"/>
  <c r="X56" i="71"/>
  <c r="Z40" i="71"/>
  <c r="U37" i="71"/>
  <c r="W33" i="71"/>
  <c r="W29" i="71"/>
  <c r="Z27" i="71"/>
  <c r="U22" i="71"/>
  <c r="V13" i="71"/>
  <c r="Z11" i="71"/>
  <c r="X4" i="71"/>
  <c r="AA25" i="71"/>
  <c r="X9" i="71"/>
  <c r="W9" i="71"/>
  <c r="Y123" i="71"/>
  <c r="W119" i="71"/>
  <c r="U114" i="71"/>
  <c r="W104" i="71"/>
  <c r="Z99" i="71"/>
  <c r="Y94" i="71"/>
  <c r="U90" i="71"/>
  <c r="X85" i="71"/>
  <c r="W80" i="71"/>
  <c r="Y76" i="71"/>
  <c r="W68" i="71"/>
  <c r="AA63" i="71"/>
  <c r="U60" i="71"/>
  <c r="Z55" i="71"/>
  <c r="AA51" i="71"/>
  <c r="W48" i="71"/>
  <c r="W44" i="71"/>
  <c r="X40" i="71"/>
  <c r="AA36" i="71"/>
  <c r="AA32" i="71"/>
  <c r="U29" i="71"/>
  <c r="Y27" i="71"/>
  <c r="W20" i="71"/>
  <c r="AA18" i="71"/>
  <c r="Y11" i="71"/>
  <c r="Z9" i="71"/>
  <c r="W4" i="71"/>
  <c r="X27" i="71"/>
  <c r="W11" i="71"/>
  <c r="Y9" i="71"/>
  <c r="U4" i="71"/>
  <c r="H4" i="71"/>
  <c r="Z7" i="71"/>
  <c r="G4" i="71"/>
  <c r="AA122" i="71"/>
  <c r="X117" i="71"/>
  <c r="AA112" i="71"/>
  <c r="Y98" i="71"/>
  <c r="W84" i="71"/>
  <c r="Z79" i="71"/>
  <c r="W75" i="71"/>
  <c r="X71" i="71"/>
  <c r="V67" i="71"/>
  <c r="V63" i="71"/>
  <c r="X59" i="71"/>
  <c r="U55" i="71"/>
  <c r="Y47" i="71"/>
  <c r="Y43" i="71"/>
  <c r="AA39" i="71"/>
  <c r="V36" i="71"/>
  <c r="W123" i="71"/>
  <c r="U118" i="71"/>
  <c r="AA113" i="71"/>
  <c r="Z108" i="71"/>
  <c r="Z103" i="71"/>
  <c r="Y99" i="71"/>
  <c r="X94" i="71"/>
  <c r="V80" i="71"/>
  <c r="X76" i="71"/>
  <c r="AA71" i="71"/>
  <c r="Z63" i="71"/>
  <c r="AA59" i="71"/>
  <c r="X55" i="71"/>
  <c r="Z51" i="71"/>
  <c r="V48" i="71"/>
  <c r="U44" i="71"/>
  <c r="W40" i="71"/>
  <c r="Z36" i="71"/>
  <c r="Y32" i="71"/>
  <c r="V20" i="71"/>
  <c r="Y18" i="71"/>
  <c r="AA16" i="71"/>
  <c r="V123" i="71"/>
  <c r="Z113" i="71"/>
  <c r="Y108" i="71"/>
  <c r="Y103" i="71"/>
  <c r="X99" i="71"/>
  <c r="W94" i="71"/>
  <c r="V85" i="71"/>
  <c r="U80" i="71"/>
  <c r="Z75" i="71"/>
  <c r="Z71" i="71"/>
  <c r="U68" i="71"/>
  <c r="Y63" i="71"/>
  <c r="Z59" i="71"/>
  <c r="W55" i="71"/>
  <c r="Y51" i="71"/>
  <c r="U48" i="71"/>
  <c r="AA43" i="71"/>
  <c r="V40" i="71"/>
  <c r="Y36" i="71"/>
  <c r="X32" i="71"/>
  <c r="W27" i="71"/>
  <c r="Y25" i="71"/>
  <c r="U20" i="71"/>
  <c r="W18" i="71"/>
  <c r="Z16" i="71"/>
  <c r="U11" i="71"/>
  <c r="AA7" i="71"/>
  <c r="U27" i="71"/>
  <c r="U123" i="71"/>
  <c r="Y117" i="71"/>
  <c r="Y113" i="71"/>
  <c r="W103" i="71"/>
  <c r="W99" i="71"/>
  <c r="U89" i="71"/>
  <c r="U85" i="71"/>
  <c r="Y71" i="71"/>
  <c r="AA67" i="71"/>
  <c r="W63" i="71"/>
  <c r="V55" i="71"/>
  <c r="Z43" i="71"/>
  <c r="U40" i="71"/>
  <c r="X36" i="71"/>
  <c r="W32" i="71"/>
  <c r="V27" i="71"/>
  <c r="X25" i="71"/>
  <c r="AA23" i="71"/>
  <c r="V18" i="71"/>
  <c r="Y16" i="71"/>
  <c r="AA88" i="71"/>
  <c r="U117" i="71"/>
  <c r="AA111" i="71"/>
  <c r="Z102" i="71"/>
  <c r="Y97" i="71"/>
  <c r="Y93" i="71"/>
  <c r="X88" i="71"/>
  <c r="W83" i="71"/>
  <c r="W79" i="71"/>
  <c r="Z74" i="71"/>
  <c r="U71" i="71"/>
  <c r="Y66" i="71"/>
  <c r="Z62" i="71"/>
  <c r="W58" i="71"/>
  <c r="X54" i="71"/>
  <c r="AA50" i="71"/>
  <c r="Z46" i="71"/>
  <c r="U43" i="71"/>
  <c r="X39" i="71"/>
  <c r="W35" i="71"/>
  <c r="Z21" i="71"/>
  <c r="W122" i="71"/>
  <c r="V107" i="71"/>
  <c r="Y102" i="71"/>
  <c r="X97" i="71"/>
  <c r="AA92" i="71"/>
  <c r="W88" i="71"/>
  <c r="Y78" i="71"/>
  <c r="Y74" i="71"/>
  <c r="AA70" i="71"/>
  <c r="X66" i="71"/>
  <c r="Y62" i="71"/>
  <c r="V58" i="71"/>
  <c r="W54" i="71"/>
  <c r="Z50" i="71"/>
  <c r="AA42" i="71"/>
  <c r="W39" i="71"/>
  <c r="AA28" i="71"/>
  <c r="U23" i="71"/>
  <c r="Y21" i="71"/>
  <c r="Z19" i="71"/>
  <c r="W14" i="71"/>
  <c r="X12" i="71"/>
  <c r="U7" i="71"/>
  <c r="V5" i="71"/>
  <c r="Z120" i="71"/>
  <c r="W111" i="71"/>
  <c r="V106" i="71"/>
  <c r="V102" i="71"/>
  <c r="U97" i="71"/>
  <c r="AA91" i="71"/>
  <c r="Z82" i="71"/>
  <c r="U78" i="71"/>
  <c r="AA65" i="71"/>
  <c r="Z49" i="71"/>
  <c r="Y34" i="71"/>
  <c r="V28" i="71"/>
  <c r="W19" i="71"/>
  <c r="U12" i="71"/>
  <c r="X120" i="71"/>
  <c r="V111" i="71"/>
  <c r="U106" i="71"/>
  <c r="X101" i="71"/>
  <c r="AA96" i="71"/>
  <c r="Z91" i="71"/>
  <c r="V87" i="71"/>
  <c r="Y82" i="71"/>
  <c r="U74" i="71"/>
  <c r="Y69" i="71"/>
  <c r="X61" i="71"/>
  <c r="X57" i="71"/>
  <c r="Y49" i="71"/>
  <c r="W42" i="71"/>
  <c r="V38" i="71"/>
  <c r="X34" i="71"/>
  <c r="AA30" i="71"/>
  <c r="Y17" i="71"/>
  <c r="V26" i="71"/>
  <c r="X17" i="71"/>
  <c r="V120" i="71"/>
  <c r="Z105" i="71"/>
  <c r="Y96" i="71"/>
  <c r="X77" i="71"/>
  <c r="U61" i="71"/>
  <c r="W53" i="71"/>
  <c r="AA41" i="71"/>
  <c r="V34" i="71"/>
  <c r="V122" i="71"/>
  <c r="Y111" i="71"/>
  <c r="Y106" i="71"/>
  <c r="W97" i="71"/>
  <c r="W92" i="71"/>
  <c r="V88" i="71"/>
  <c r="U83" i="71"/>
  <c r="W78" i="71"/>
  <c r="X74" i="71"/>
  <c r="U58" i="71"/>
  <c r="V54" i="71"/>
  <c r="X46" i="71"/>
  <c r="Z42" i="71"/>
  <c r="U39" i="71"/>
  <c r="U35" i="71"/>
  <c r="W31" i="71"/>
  <c r="Y28" i="71"/>
  <c r="W21" i="71"/>
  <c r="Y19" i="71"/>
  <c r="U14" i="71"/>
  <c r="W12" i="71"/>
  <c r="Z10" i="71"/>
  <c r="U5" i="71"/>
  <c r="X116" i="71"/>
  <c r="V74" i="71"/>
  <c r="V62" i="71"/>
  <c r="AA53" i="71"/>
  <c r="U46" i="71"/>
  <c r="W38" i="71"/>
  <c r="U31" i="71"/>
  <c r="Y26" i="71"/>
  <c r="Z17" i="71"/>
  <c r="AA45" i="71"/>
  <c r="U111" i="71"/>
  <c r="AA105" i="71"/>
  <c r="AA100" i="71"/>
  <c r="Z96" i="71"/>
  <c r="Y91" i="71"/>
  <c r="Y86" i="71"/>
  <c r="X82" i="71"/>
  <c r="Y77" i="71"/>
  <c r="X69" i="71"/>
  <c r="Y65" i="71"/>
  <c r="W57" i="71"/>
  <c r="Y53" i="71"/>
  <c r="Z45" i="71"/>
  <c r="V42" i="71"/>
  <c r="U38" i="71"/>
  <c r="W34" i="71"/>
  <c r="Z30" i="71"/>
  <c r="U115" i="71"/>
  <c r="AA110" i="71"/>
  <c r="Z100" i="71"/>
  <c r="X91" i="71"/>
  <c r="W82" i="71"/>
  <c r="Z73" i="71"/>
  <c r="X65" i="71"/>
  <c r="V57" i="71"/>
  <c r="AA37" i="71"/>
  <c r="AA120" i="71"/>
  <c r="Y116" i="71"/>
  <c r="X111" i="71"/>
  <c r="V97" i="71"/>
  <c r="V92" i="71"/>
  <c r="U88" i="71"/>
  <c r="AA82" i="71"/>
  <c r="V78" i="71"/>
  <c r="W74" i="71"/>
  <c r="U70" i="71"/>
  <c r="U66" i="71"/>
  <c r="W62" i="71"/>
  <c r="AA57" i="71"/>
  <c r="U54" i="71"/>
  <c r="U50" i="71"/>
  <c r="Y42" i="71"/>
  <c r="Y38" i="71"/>
  <c r="V31" i="71"/>
  <c r="W28" i="71"/>
  <c r="Z26" i="71"/>
  <c r="U21" i="71"/>
  <c r="AA17" i="71"/>
  <c r="V12" i="71"/>
  <c r="Y10" i="71"/>
  <c r="W26" i="71"/>
  <c r="AA24" i="71"/>
  <c r="Z24" i="71"/>
  <c r="AA15" i="71"/>
  <c r="Y8" i="71"/>
  <c r="U120" i="71"/>
  <c r="Y105" i="71"/>
  <c r="X100" i="71"/>
  <c r="X96" i="71"/>
  <c r="W91" i="71"/>
  <c r="V86" i="71"/>
  <c r="V82" i="71"/>
  <c r="W77" i="71"/>
  <c r="Y73" i="71"/>
  <c r="W65" i="71"/>
  <c r="AA60" i="71"/>
  <c r="U57" i="71"/>
  <c r="AA52" i="71"/>
  <c r="U49" i="71"/>
  <c r="X45" i="71"/>
  <c r="X41" i="71"/>
  <c r="Y37" i="71"/>
  <c r="U34" i="71"/>
  <c r="U30" i="71"/>
  <c r="Z22" i="71"/>
  <c r="V17" i="71"/>
  <c r="X15" i="71"/>
  <c r="AA13" i="71"/>
  <c r="V8" i="71"/>
  <c r="Y6" i="71"/>
  <c r="AA119" i="71"/>
  <c r="Y114" i="71"/>
  <c r="U110" i="71"/>
  <c r="X105" i="71"/>
  <c r="W100" i="71"/>
  <c r="V91" i="71"/>
  <c r="U86" i="71"/>
  <c r="X81" i="71"/>
  <c r="V77" i="71"/>
  <c r="AA68" i="71"/>
  <c r="AA56" i="71"/>
  <c r="Y52" i="71"/>
  <c r="AA48" i="71"/>
  <c r="W45" i="71"/>
  <c r="V41" i="71"/>
  <c r="X37" i="71"/>
  <c r="AA33" i="71"/>
  <c r="Z29" i="71"/>
  <c r="W24" i="71"/>
  <c r="X22" i="71"/>
  <c r="U17" i="71"/>
  <c r="V15" i="71"/>
  <c r="Y13" i="71"/>
  <c r="X114" i="71"/>
  <c r="X109" i="71"/>
  <c r="W105" i="71"/>
  <c r="V100" i="71"/>
  <c r="V95" i="71"/>
  <c r="U91" i="71"/>
  <c r="AA85" i="71"/>
  <c r="AA80" i="71"/>
  <c r="U77" i="71"/>
  <c r="Y72" i="71"/>
  <c r="Z68" i="71"/>
  <c r="U65" i="71"/>
  <c r="X60" i="71"/>
  <c r="X52" i="71"/>
  <c r="Z48" i="71"/>
  <c r="U41" i="71"/>
  <c r="W37" i="71"/>
  <c r="Z33" i="71"/>
  <c r="Y29" i="71"/>
  <c r="W22" i="71"/>
  <c r="Z20" i="71"/>
  <c r="Y14" i="71"/>
  <c r="V108" i="71"/>
  <c r="C4" i="71"/>
  <c r="U6" i="71"/>
  <c r="Z14" i="71"/>
  <c r="V51" i="71"/>
  <c r="X79" i="71"/>
  <c r="W109" i="71"/>
  <c r="D4" i="71"/>
  <c r="V6" i="71"/>
  <c r="AA14" i="71"/>
  <c r="Y79" i="71"/>
  <c r="E4" i="71"/>
  <c r="Z6" i="71"/>
  <c r="X29" i="71"/>
  <c r="Z80" i="71"/>
  <c r="W112" i="71"/>
  <c r="Y4" i="71"/>
  <c r="W17" i="71"/>
  <c r="X23" i="71"/>
  <c r="U26" i="71"/>
  <c r="Z31" i="71"/>
  <c r="Z54" i="71"/>
  <c r="Y83" i="71"/>
  <c r="W114" i="71"/>
  <c r="Z4" i="71"/>
  <c r="Z12" i="71"/>
  <c r="AA31" i="71"/>
  <c r="Y56" i="71"/>
  <c r="Z83" i="71"/>
  <c r="U9" i="71"/>
  <c r="AA12" i="71"/>
  <c r="Y33" i="71"/>
  <c r="Z85" i="71"/>
  <c r="W117" i="71"/>
  <c r="W59" i="71"/>
  <c r="Y119" i="71"/>
  <c r="Z35" i="71"/>
  <c r="W60" i="71"/>
  <c r="Z88" i="71"/>
  <c r="Y122" i="71"/>
  <c r="W7" i="71"/>
  <c r="U15" i="71"/>
  <c r="AA21" i="71"/>
  <c r="AA27" i="71"/>
  <c r="AA62" i="71"/>
  <c r="AA90" i="71"/>
  <c r="G5" i="71"/>
  <c r="E8" i="71"/>
  <c r="C11" i="71"/>
  <c r="I12" i="71"/>
  <c r="W120" i="71" s="1"/>
  <c r="G15" i="71"/>
  <c r="E18" i="71"/>
  <c r="C21" i="71"/>
  <c r="I22" i="71"/>
  <c r="Y84" i="71" s="1"/>
  <c r="G25" i="71"/>
  <c r="E28" i="71"/>
  <c r="D7" i="71"/>
  <c r="H11" i="71"/>
  <c r="F14" i="71"/>
  <c r="D17" i="71"/>
  <c r="H21" i="71"/>
  <c r="F24" i="71"/>
  <c r="D27" i="71"/>
  <c r="G7" i="71"/>
  <c r="E10" i="71"/>
  <c r="C13" i="71"/>
  <c r="I14" i="71"/>
  <c r="AA78" i="71" s="1"/>
  <c r="G17" i="71"/>
  <c r="E20" i="71"/>
  <c r="C23" i="71"/>
  <c r="I24" i="71"/>
  <c r="W49" i="71" s="1"/>
  <c r="G27" i="71"/>
  <c r="C6" i="71"/>
  <c r="I7" i="71"/>
  <c r="AA108" i="71" s="1"/>
  <c r="G10" i="71"/>
  <c r="E13" i="71"/>
  <c r="C16" i="71"/>
  <c r="I17" i="71"/>
  <c r="V7" i="71" s="1"/>
  <c r="G20" i="71"/>
  <c r="E23" i="71"/>
  <c r="C26" i="71"/>
  <c r="AA43" i="70"/>
  <c r="AA60" i="70"/>
  <c r="U29" i="70"/>
  <c r="Y69" i="70"/>
  <c r="U86" i="70"/>
  <c r="AA110" i="70"/>
  <c r="X27" i="70"/>
  <c r="W29" i="70"/>
  <c r="U54" i="70"/>
  <c r="W62" i="70"/>
  <c r="Z102" i="70"/>
  <c r="Z9" i="70"/>
  <c r="W14" i="70"/>
  <c r="U17" i="70"/>
  <c r="W19" i="70"/>
  <c r="Y22" i="70"/>
  <c r="Y27" i="70"/>
  <c r="X29" i="70"/>
  <c r="Y37" i="70"/>
  <c r="AA45" i="70"/>
  <c r="V54" i="70"/>
  <c r="AA69" i="70"/>
  <c r="V78" i="70"/>
  <c r="Y94" i="70"/>
  <c r="AA102" i="70"/>
  <c r="X119" i="70"/>
  <c r="W117" i="70"/>
  <c r="W101" i="70"/>
  <c r="Z7" i="70"/>
  <c r="X112" i="70"/>
  <c r="AA71" i="70"/>
  <c r="X80" i="70"/>
  <c r="AA31" i="70"/>
  <c r="W32" i="70"/>
  <c r="X40" i="70"/>
  <c r="Z48" i="70"/>
  <c r="U57" i="70"/>
  <c r="W65" i="70"/>
  <c r="Z72" i="70"/>
  <c r="X97" i="70"/>
  <c r="Z105" i="70"/>
  <c r="U114" i="70"/>
  <c r="Y68" i="70"/>
  <c r="Y52" i="70"/>
  <c r="AA96" i="70"/>
  <c r="V12" i="70"/>
  <c r="Y17" i="70"/>
  <c r="V121" i="70"/>
  <c r="X72" i="70"/>
  <c r="U23" i="70"/>
  <c r="AA124" i="70"/>
  <c r="U122" i="70"/>
  <c r="V119" i="70"/>
  <c r="W116" i="70"/>
  <c r="X113" i="70"/>
  <c r="Y110" i="70"/>
  <c r="AA104" i="70"/>
  <c r="U102" i="70"/>
  <c r="V99" i="70"/>
  <c r="W96" i="70"/>
  <c r="X93" i="70"/>
  <c r="Y90" i="70"/>
  <c r="Z87" i="70"/>
  <c r="AA84" i="70"/>
  <c r="V79" i="70"/>
  <c r="W76" i="70"/>
  <c r="X73" i="70"/>
  <c r="Y70" i="70"/>
  <c r="Z67" i="70"/>
  <c r="AA64" i="70"/>
  <c r="U62" i="70"/>
  <c r="V59" i="70"/>
  <c r="W56" i="70"/>
  <c r="X53" i="70"/>
  <c r="Y50" i="70"/>
  <c r="AA44" i="70"/>
  <c r="U42" i="70"/>
  <c r="W36" i="70"/>
  <c r="X21" i="70"/>
  <c r="V14" i="70"/>
  <c r="X11" i="70"/>
  <c r="Z8" i="70"/>
  <c r="V4" i="70"/>
  <c r="U119" i="70"/>
  <c r="X110" i="70"/>
  <c r="Y107" i="70"/>
  <c r="Z104" i="70"/>
  <c r="AA101" i="70"/>
  <c r="U99" i="70"/>
  <c r="V96" i="70"/>
  <c r="W93" i="70"/>
  <c r="Y87" i="70"/>
  <c r="AA81" i="70"/>
  <c r="U79" i="70"/>
  <c r="W73" i="70"/>
  <c r="X70" i="70"/>
  <c r="Y67" i="70"/>
  <c r="Z64" i="70"/>
  <c r="AA61" i="70"/>
  <c r="U59" i="70"/>
  <c r="W53" i="70"/>
  <c r="Y47" i="70"/>
  <c r="AA41" i="70"/>
  <c r="U39" i="70"/>
  <c r="W33" i="70"/>
  <c r="Y28" i="70"/>
  <c r="W21" i="70"/>
  <c r="Y18" i="70"/>
  <c r="AA15" i="70"/>
  <c r="W11" i="70"/>
  <c r="Y8" i="70"/>
  <c r="U4" i="70"/>
  <c r="Y124" i="70"/>
  <c r="U116" i="70"/>
  <c r="W110" i="70"/>
  <c r="Y104" i="70"/>
  <c r="Z101" i="70"/>
  <c r="AA98" i="70"/>
  <c r="U96" i="70"/>
  <c r="W90" i="70"/>
  <c r="X87" i="70"/>
  <c r="Z81" i="70"/>
  <c r="U76" i="70"/>
  <c r="Y64" i="70"/>
  <c r="Z61" i="70"/>
  <c r="AA58" i="70"/>
  <c r="U56" i="70"/>
  <c r="V53" i="70"/>
  <c r="Y44" i="70"/>
  <c r="Z41" i="70"/>
  <c r="AA38" i="70"/>
  <c r="U36" i="70"/>
  <c r="W30" i="70"/>
  <c r="X28" i="70"/>
  <c r="Z25" i="70"/>
  <c r="V21" i="70"/>
  <c r="X18" i="70"/>
  <c r="Z15" i="70"/>
  <c r="V11" i="70"/>
  <c r="Z5" i="70"/>
  <c r="I4" i="70"/>
  <c r="X124" i="70"/>
  <c r="Z118" i="70"/>
  <c r="W107" i="70"/>
  <c r="X104" i="70"/>
  <c r="Y101" i="70"/>
  <c r="Z98" i="70"/>
  <c r="AA95" i="70"/>
  <c r="U93" i="70"/>
  <c r="V90" i="70"/>
  <c r="X84" i="70"/>
  <c r="Y81" i="70"/>
  <c r="Z78" i="70"/>
  <c r="AA75" i="70"/>
  <c r="U73" i="70"/>
  <c r="V70" i="70"/>
  <c r="W67" i="70"/>
  <c r="X64" i="70"/>
  <c r="Y61" i="70"/>
  <c r="AA55" i="70"/>
  <c r="W47" i="70"/>
  <c r="X44" i="70"/>
  <c r="Y41" i="70"/>
  <c r="Z38" i="70"/>
  <c r="AA35" i="70"/>
  <c r="V30" i="70"/>
  <c r="W28" i="70"/>
  <c r="Y25" i="70"/>
  <c r="U21" i="70"/>
  <c r="Y15" i="70"/>
  <c r="AA12" i="70"/>
  <c r="U11" i="70"/>
  <c r="W8" i="70"/>
  <c r="Y5" i="70"/>
  <c r="H4" i="70"/>
  <c r="W124" i="70"/>
  <c r="Y118" i="70"/>
  <c r="AA112" i="70"/>
  <c r="U110" i="70"/>
  <c r="V107" i="70"/>
  <c r="W104" i="70"/>
  <c r="X101" i="70"/>
  <c r="Y98" i="70"/>
  <c r="AA92" i="70"/>
  <c r="W84" i="70"/>
  <c r="X81" i="70"/>
  <c r="Y78" i="70"/>
  <c r="W64" i="70"/>
  <c r="X61" i="70"/>
  <c r="Z55" i="70"/>
  <c r="AA52" i="70"/>
  <c r="U50" i="70"/>
  <c r="W44" i="70"/>
  <c r="X41" i="70"/>
  <c r="Y38" i="70"/>
  <c r="Z35" i="70"/>
  <c r="AA32" i="70"/>
  <c r="U30" i="70"/>
  <c r="X123" i="70"/>
  <c r="AA114" i="70"/>
  <c r="V109" i="70"/>
  <c r="W106" i="70"/>
  <c r="Y100" i="70"/>
  <c r="Z97" i="70"/>
  <c r="AA94" i="70"/>
  <c r="U92" i="70"/>
  <c r="X83" i="70"/>
  <c r="Y80" i="70"/>
  <c r="Z77" i="70"/>
  <c r="AA74" i="70"/>
  <c r="U72" i="70"/>
  <c r="W66" i="70"/>
  <c r="X63" i="70"/>
  <c r="AA54" i="70"/>
  <c r="U52" i="70"/>
  <c r="X43" i="70"/>
  <c r="Y40" i="70"/>
  <c r="AA34" i="70"/>
  <c r="V29" i="70"/>
  <c r="X26" i="70"/>
  <c r="Z23" i="70"/>
  <c r="V19" i="70"/>
  <c r="Z13" i="70"/>
  <c r="V124" i="70"/>
  <c r="X120" i="70"/>
  <c r="W112" i="70"/>
  <c r="U104" i="70"/>
  <c r="V100" i="70"/>
  <c r="X96" i="70"/>
  <c r="AA91" i="70"/>
  <c r="V88" i="70"/>
  <c r="Z83" i="70"/>
  <c r="X75" i="70"/>
  <c r="Y71" i="70"/>
  <c r="AA67" i="70"/>
  <c r="Y63" i="70"/>
  <c r="Z59" i="70"/>
  <c r="W55" i="70"/>
  <c r="U47" i="70"/>
  <c r="V43" i="70"/>
  <c r="X39" i="70"/>
  <c r="U35" i="70"/>
  <c r="V26" i="70"/>
  <c r="Y24" i="70"/>
  <c r="X22" i="70"/>
  <c r="Z20" i="70"/>
  <c r="V5" i="70"/>
  <c r="Y111" i="70"/>
  <c r="Y42" i="70"/>
  <c r="Y119" i="70"/>
  <c r="Y62" i="70"/>
  <c r="AA37" i="70"/>
  <c r="X14" i="70"/>
  <c r="U124" i="70"/>
  <c r="Y116" i="70"/>
  <c r="AA103" i="70"/>
  <c r="U88" i="70"/>
  <c r="Y83" i="70"/>
  <c r="Z79" i="70"/>
  <c r="W75" i="70"/>
  <c r="X71" i="70"/>
  <c r="V67" i="70"/>
  <c r="W63" i="70"/>
  <c r="V55" i="70"/>
  <c r="AA46" i="70"/>
  <c r="U43" i="70"/>
  <c r="W39" i="70"/>
  <c r="U31" i="70"/>
  <c r="W22" i="70"/>
  <c r="AA16" i="70"/>
  <c r="U5" i="70"/>
  <c r="W103" i="70"/>
  <c r="Y99" i="70"/>
  <c r="V95" i="70"/>
  <c r="W91" i="70"/>
  <c r="AA86" i="70"/>
  <c r="U83" i="70"/>
  <c r="W79" i="70"/>
  <c r="Z74" i="70"/>
  <c r="U71" i="70"/>
  <c r="Z66" i="70"/>
  <c r="AA62" i="70"/>
  <c r="X46" i="70"/>
  <c r="W34" i="70"/>
  <c r="V20" i="70"/>
  <c r="Y12" i="70"/>
  <c r="W111" i="70"/>
  <c r="AA49" i="70"/>
  <c r="AA123" i="70"/>
  <c r="V120" i="70"/>
  <c r="X116" i="70"/>
  <c r="AA111" i="70"/>
  <c r="V108" i="70"/>
  <c r="Z103" i="70"/>
  <c r="AA99" i="70"/>
  <c r="X95" i="70"/>
  <c r="W83" i="70"/>
  <c r="Y79" i="70"/>
  <c r="V75" i="70"/>
  <c r="U67" i="70"/>
  <c r="V63" i="70"/>
  <c r="X59" i="70"/>
  <c r="U55" i="70"/>
  <c r="AA42" i="70"/>
  <c r="X38" i="70"/>
  <c r="Y34" i="70"/>
  <c r="AA30" i="70"/>
  <c r="W24" i="70"/>
  <c r="V22" i="70"/>
  <c r="AA18" i="70"/>
  <c r="Z16" i="70"/>
  <c r="U7" i="70"/>
  <c r="X115" i="70"/>
  <c r="AA50" i="70"/>
  <c r="Z14" i="70"/>
  <c r="W123" i="70"/>
  <c r="Z119" i="70"/>
  <c r="W115" i="70"/>
  <c r="X111" i="70"/>
  <c r="U95" i="70"/>
  <c r="V91" i="70"/>
  <c r="AA82" i="70"/>
  <c r="X78" i="70"/>
  <c r="Y74" i="70"/>
  <c r="AA70" i="70"/>
  <c r="Y66" i="70"/>
  <c r="W58" i="70"/>
  <c r="X54" i="70"/>
  <c r="Z50" i="70"/>
  <c r="U38" i="70"/>
  <c r="V34" i="70"/>
  <c r="Z29" i="70"/>
  <c r="U20" i="70"/>
  <c r="AA106" i="70"/>
  <c r="U103" i="70"/>
  <c r="W99" i="70"/>
  <c r="U91" i="70"/>
  <c r="Y86" i="70"/>
  <c r="Z82" i="70"/>
  <c r="W78" i="70"/>
  <c r="X74" i="70"/>
  <c r="V58" i="70"/>
  <c r="W42" i="70"/>
  <c r="U34" i="70"/>
  <c r="U16" i="70"/>
  <c r="Y10" i="70"/>
  <c r="Z123" i="70"/>
  <c r="U120" i="70"/>
  <c r="Y115" i="70"/>
  <c r="U108" i="70"/>
  <c r="Y103" i="70"/>
  <c r="Z99" i="70"/>
  <c r="W95" i="70"/>
  <c r="X91" i="70"/>
  <c r="U87" i="70"/>
  <c r="X79" i="70"/>
  <c r="U75" i="70"/>
  <c r="AA66" i="70"/>
  <c r="U63" i="70"/>
  <c r="W59" i="70"/>
  <c r="Z54" i="70"/>
  <c r="W38" i="70"/>
  <c r="X34" i="70"/>
  <c r="U22" i="70"/>
  <c r="W20" i="70"/>
  <c r="Y16" i="70"/>
  <c r="AA14" i="70"/>
  <c r="Z12" i="70"/>
  <c r="AA119" i="70"/>
  <c r="X58" i="70"/>
  <c r="V38" i="70"/>
  <c r="AA29" i="70"/>
  <c r="U18" i="70"/>
  <c r="W16" i="70"/>
  <c r="Y14" i="70"/>
  <c r="X12" i="70"/>
  <c r="Z10" i="70"/>
  <c r="W54" i="70"/>
  <c r="Y29" i="70"/>
  <c r="W12" i="70"/>
  <c r="Y122" i="70"/>
  <c r="W118" i="70"/>
  <c r="X114" i="70"/>
  <c r="V106" i="70"/>
  <c r="U98" i="70"/>
  <c r="AA85" i="70"/>
  <c r="Y77" i="70"/>
  <c r="X69" i="70"/>
  <c r="W61" i="70"/>
  <c r="X57" i="70"/>
  <c r="X45" i="70"/>
  <c r="U41" i="70"/>
  <c r="Z32" i="70"/>
  <c r="W27" i="70"/>
  <c r="X23" i="70"/>
  <c r="Z19" i="70"/>
  <c r="U10" i="70"/>
  <c r="V6" i="70"/>
  <c r="Y4" i="70"/>
  <c r="AA109" i="70"/>
  <c r="U106" i="70"/>
  <c r="AA97" i="70"/>
  <c r="Y89" i="70"/>
  <c r="W81" i="70"/>
  <c r="X77" i="70"/>
  <c r="Z73" i="70"/>
  <c r="W69" i="70"/>
  <c r="Y65" i="70"/>
  <c r="W57" i="70"/>
  <c r="U49" i="70"/>
  <c r="W45" i="70"/>
  <c r="AA40" i="70"/>
  <c r="U37" i="70"/>
  <c r="Y32" i="70"/>
  <c r="V27" i="70"/>
  <c r="Z21" i="70"/>
  <c r="Y19" i="70"/>
  <c r="AA17" i="70"/>
  <c r="U6" i="70"/>
  <c r="X4" i="70"/>
  <c r="W122" i="70"/>
  <c r="V114" i="70"/>
  <c r="Z109" i="70"/>
  <c r="AA105" i="70"/>
  <c r="V102" i="70"/>
  <c r="Y97" i="70"/>
  <c r="AA93" i="70"/>
  <c r="Y85" i="70"/>
  <c r="V81" i="70"/>
  <c r="W77" i="70"/>
  <c r="Y73" i="70"/>
  <c r="X65" i="70"/>
  <c r="U61" i="70"/>
  <c r="V45" i="70"/>
  <c r="Z40" i="70"/>
  <c r="AA36" i="70"/>
  <c r="X32" i="70"/>
  <c r="V8" i="70"/>
  <c r="U15" i="70"/>
  <c r="C4" i="70"/>
  <c r="V15" i="70"/>
  <c r="U28" i="70"/>
  <c r="Y33" i="70"/>
  <c r="V41" i="70"/>
  <c r="AA65" i="70"/>
  <c r="U74" i="70"/>
  <c r="W82" i="70"/>
  <c r="V98" i="70"/>
  <c r="X106" i="70"/>
  <c r="Y114" i="70"/>
  <c r="Y21" i="70"/>
  <c r="X60" i="70"/>
  <c r="Z68" i="70"/>
  <c r="Y39" i="70"/>
  <c r="U105" i="70"/>
  <c r="Z112" i="70"/>
  <c r="U40" i="70"/>
  <c r="V64" i="70"/>
  <c r="Z88" i="70"/>
  <c r="Y113" i="70"/>
  <c r="V40" i="70"/>
  <c r="Z113" i="70"/>
  <c r="W15" i="70"/>
  <c r="V28" i="70"/>
  <c r="W41" i="70"/>
  <c r="Y49" i="70"/>
  <c r="AA57" i="70"/>
  <c r="U66" i="70"/>
  <c r="V74" i="70"/>
  <c r="Z90" i="70"/>
  <c r="W98" i="70"/>
  <c r="Y106" i="70"/>
  <c r="AA122" i="70"/>
  <c r="X100" i="70"/>
  <c r="Y13" i="70"/>
  <c r="Y36" i="70"/>
  <c r="Y117" i="70"/>
  <c r="U80" i="70"/>
  <c r="V80" i="70"/>
  <c r="D4" i="70"/>
  <c r="E4" i="70"/>
  <c r="V13" i="70"/>
  <c r="X15" i="70"/>
  <c r="AA28" i="70"/>
  <c r="AA33" i="70"/>
  <c r="V42" i="70"/>
  <c r="Z49" i="70"/>
  <c r="U58" i="70"/>
  <c r="W74" i="70"/>
  <c r="Y82" i="70"/>
  <c r="AA90" i="70"/>
  <c r="X98" i="70"/>
  <c r="U115" i="70"/>
  <c r="U123" i="70"/>
  <c r="G5" i="70"/>
  <c r="E8" i="70"/>
  <c r="C11" i="70"/>
  <c r="I12" i="70"/>
  <c r="Z47" i="70" s="1"/>
  <c r="G15" i="70"/>
  <c r="E18" i="70"/>
  <c r="C21" i="70"/>
  <c r="I22" i="70"/>
  <c r="W89" i="70" s="1"/>
  <c r="G25" i="70"/>
  <c r="E28" i="70"/>
  <c r="F7" i="70"/>
  <c r="D10" i="70"/>
  <c r="H14" i="70"/>
  <c r="F17" i="70"/>
  <c r="D20" i="70"/>
  <c r="H24" i="70"/>
  <c r="F27" i="70"/>
  <c r="G7" i="70"/>
  <c r="E10" i="70"/>
  <c r="C13" i="70"/>
  <c r="I14" i="70"/>
  <c r="V23" i="70" s="1"/>
  <c r="G17" i="70"/>
  <c r="E20" i="70"/>
  <c r="C23" i="70"/>
  <c r="I24" i="70"/>
  <c r="X35" i="70" s="1"/>
  <c r="G27" i="70"/>
  <c r="H7" i="70"/>
  <c r="F10" i="70"/>
  <c r="D13" i="70"/>
  <c r="H17" i="70"/>
  <c r="F20" i="70"/>
  <c r="D23" i="70"/>
  <c r="H27" i="70"/>
  <c r="C6" i="70"/>
  <c r="I7" i="70"/>
  <c r="AA115" i="70" s="1"/>
  <c r="G10" i="70"/>
  <c r="E13" i="70"/>
  <c r="C16" i="70"/>
  <c r="I17" i="70"/>
  <c r="G20" i="70"/>
  <c r="E23" i="70"/>
  <c r="C26" i="70"/>
  <c r="AA124" i="75" l="1"/>
  <c r="U122" i="75"/>
  <c r="V119" i="75"/>
  <c r="W116" i="75"/>
  <c r="X113" i="75"/>
  <c r="Y110" i="75"/>
  <c r="Z107" i="75"/>
  <c r="AA104" i="75"/>
  <c r="U102" i="75"/>
  <c r="V99" i="75"/>
  <c r="W96" i="75"/>
  <c r="X93" i="75"/>
  <c r="Y90" i="75"/>
  <c r="Z87" i="75"/>
  <c r="AA84" i="75"/>
  <c r="U82" i="75"/>
  <c r="V79" i="75"/>
  <c r="W76" i="75"/>
  <c r="X73" i="75"/>
  <c r="Y70" i="75"/>
  <c r="Z67" i="75"/>
  <c r="AA64" i="75"/>
  <c r="U62" i="75"/>
  <c r="V59" i="75"/>
  <c r="W56" i="75"/>
  <c r="X53" i="75"/>
  <c r="Y50" i="75"/>
  <c r="Z47" i="75"/>
  <c r="AA44" i="75"/>
  <c r="U42" i="75"/>
  <c r="V39" i="75"/>
  <c r="W36" i="75"/>
  <c r="X33" i="75"/>
  <c r="Y30" i="75"/>
  <c r="AA27" i="75"/>
  <c r="U26" i="75"/>
  <c r="W23" i="75"/>
  <c r="Y20" i="75"/>
  <c r="AA17" i="75"/>
  <c r="U16" i="75"/>
  <c r="W13" i="75"/>
  <c r="Y10" i="75"/>
  <c r="AA7" i="75"/>
  <c r="U6" i="75"/>
  <c r="Z118" i="75"/>
  <c r="V90" i="75"/>
  <c r="Z78" i="75"/>
  <c r="V70" i="75"/>
  <c r="Y61" i="75"/>
  <c r="V50" i="75"/>
  <c r="Y41" i="75"/>
  <c r="U33" i="75"/>
  <c r="Z24" i="75"/>
  <c r="Z124" i="75"/>
  <c r="AA121" i="75"/>
  <c r="U119" i="75"/>
  <c r="V116" i="75"/>
  <c r="W113" i="75"/>
  <c r="X110" i="75"/>
  <c r="Y107" i="75"/>
  <c r="Z104" i="75"/>
  <c r="AA101" i="75"/>
  <c r="U99" i="75"/>
  <c r="V96" i="75"/>
  <c r="W93" i="75"/>
  <c r="X90" i="75"/>
  <c r="Y87" i="75"/>
  <c r="Z84" i="75"/>
  <c r="AA81" i="75"/>
  <c r="U79" i="75"/>
  <c r="V76" i="75"/>
  <c r="W73" i="75"/>
  <c r="X70" i="75"/>
  <c r="Y67" i="75"/>
  <c r="Z64" i="75"/>
  <c r="AA61" i="75"/>
  <c r="U59" i="75"/>
  <c r="V56" i="75"/>
  <c r="W53" i="75"/>
  <c r="X50" i="75"/>
  <c r="Y47" i="75"/>
  <c r="Z44" i="75"/>
  <c r="AA41" i="75"/>
  <c r="U39" i="75"/>
  <c r="V36" i="75"/>
  <c r="W33" i="75"/>
  <c r="X30" i="75"/>
  <c r="Z27" i="75"/>
  <c r="V23" i="75"/>
  <c r="X20" i="75"/>
  <c r="Z17" i="75"/>
  <c r="V13" i="75"/>
  <c r="X10" i="75"/>
  <c r="Z7" i="75"/>
  <c r="Y121" i="75"/>
  <c r="U113" i="75"/>
  <c r="V110" i="75"/>
  <c r="W107" i="75"/>
  <c r="X104" i="75"/>
  <c r="Y101" i="75"/>
  <c r="Z98" i="75"/>
  <c r="AA95" i="75"/>
  <c r="W87" i="75"/>
  <c r="Y81" i="75"/>
  <c r="AA75" i="75"/>
  <c r="W67" i="75"/>
  <c r="Z58" i="75"/>
  <c r="U53" i="75"/>
  <c r="X44" i="75"/>
  <c r="AA35" i="75"/>
  <c r="V30" i="75"/>
  <c r="X27" i="75"/>
  <c r="X17" i="75"/>
  <c r="Z14" i="75"/>
  <c r="V10" i="75"/>
  <c r="X7" i="75"/>
  <c r="Z4" i="75"/>
  <c r="W124" i="75"/>
  <c r="Z115" i="75"/>
  <c r="AA112" i="75"/>
  <c r="Y124" i="75"/>
  <c r="Z121" i="75"/>
  <c r="AA118" i="75"/>
  <c r="U116" i="75"/>
  <c r="V113" i="75"/>
  <c r="W110" i="75"/>
  <c r="X107" i="75"/>
  <c r="Y104" i="75"/>
  <c r="Z101" i="75"/>
  <c r="AA98" i="75"/>
  <c r="U96" i="75"/>
  <c r="V93" i="75"/>
  <c r="W90" i="75"/>
  <c r="X87" i="75"/>
  <c r="Y84" i="75"/>
  <c r="Z81" i="75"/>
  <c r="AA78" i="75"/>
  <c r="U76" i="75"/>
  <c r="V73" i="75"/>
  <c r="W70" i="75"/>
  <c r="X67" i="75"/>
  <c r="Y64" i="75"/>
  <c r="Z61" i="75"/>
  <c r="AA58" i="75"/>
  <c r="U56" i="75"/>
  <c r="V53" i="75"/>
  <c r="W50" i="75"/>
  <c r="X47" i="75"/>
  <c r="Y44" i="75"/>
  <c r="Z41" i="75"/>
  <c r="AA38" i="75"/>
  <c r="U36" i="75"/>
  <c r="V33" i="75"/>
  <c r="W30" i="75"/>
  <c r="Y27" i="75"/>
  <c r="AA24" i="75"/>
  <c r="U23" i="75"/>
  <c r="W20" i="75"/>
  <c r="Y17" i="75"/>
  <c r="AA14" i="75"/>
  <c r="U13" i="75"/>
  <c r="W10" i="75"/>
  <c r="Y7" i="75"/>
  <c r="AA4" i="75"/>
  <c r="AA115" i="75"/>
  <c r="U93" i="75"/>
  <c r="X84" i="75"/>
  <c r="U73" i="75"/>
  <c r="X64" i="75"/>
  <c r="AA55" i="75"/>
  <c r="W47" i="75"/>
  <c r="Z38" i="75"/>
  <c r="V20" i="75"/>
  <c r="X124" i="75"/>
  <c r="V124" i="75"/>
  <c r="W121" i="75"/>
  <c r="X118" i="75"/>
  <c r="Y115" i="75"/>
  <c r="Z112" i="75"/>
  <c r="AA109" i="75"/>
  <c r="U107" i="75"/>
  <c r="V104" i="75"/>
  <c r="W101" i="75"/>
  <c r="X98" i="75"/>
  <c r="Y95" i="75"/>
  <c r="Z92" i="75"/>
  <c r="AA89" i="75"/>
  <c r="U87" i="75"/>
  <c r="V84" i="75"/>
  <c r="W81" i="75"/>
  <c r="X78" i="75"/>
  <c r="Y75" i="75"/>
  <c r="Z72" i="75"/>
  <c r="AA69" i="75"/>
  <c r="U67" i="75"/>
  <c r="V64" i="75"/>
  <c r="W61" i="75"/>
  <c r="X58" i="75"/>
  <c r="Y55" i="75"/>
  <c r="Z52" i="75"/>
  <c r="AA49" i="75"/>
  <c r="U47" i="75"/>
  <c r="V44" i="75"/>
  <c r="W41" i="75"/>
  <c r="X38" i="75"/>
  <c r="Y35" i="75"/>
  <c r="Z32" i="75"/>
  <c r="V27" i="75"/>
  <c r="X24" i="75"/>
  <c r="Z21" i="75"/>
  <c r="V17" i="75"/>
  <c r="X14" i="75"/>
  <c r="Z11" i="75"/>
  <c r="V7" i="75"/>
  <c r="X4" i="75"/>
  <c r="W38" i="75"/>
  <c r="AA18" i="75"/>
  <c r="Y11" i="75"/>
  <c r="AA8" i="75"/>
  <c r="U124" i="75"/>
  <c r="V121" i="75"/>
  <c r="W118" i="75"/>
  <c r="X115" i="75"/>
  <c r="Y112" i="75"/>
  <c r="Z109" i="75"/>
  <c r="AA106" i="75"/>
  <c r="U104" i="75"/>
  <c r="V101" i="75"/>
  <c r="W98" i="75"/>
  <c r="X95" i="75"/>
  <c r="Y92" i="75"/>
  <c r="Z89" i="75"/>
  <c r="AA86" i="75"/>
  <c r="U84" i="75"/>
  <c r="V81" i="75"/>
  <c r="W78" i="75"/>
  <c r="X75" i="75"/>
  <c r="Y72" i="75"/>
  <c r="Z69" i="75"/>
  <c r="AA66" i="75"/>
  <c r="U64" i="75"/>
  <c r="V61" i="75"/>
  <c r="W58" i="75"/>
  <c r="X55" i="75"/>
  <c r="Y52" i="75"/>
  <c r="Z49" i="75"/>
  <c r="AA46" i="75"/>
  <c r="U44" i="75"/>
  <c r="V41" i="75"/>
  <c r="X35" i="75"/>
  <c r="Y32" i="75"/>
  <c r="AA28" i="75"/>
  <c r="U27" i="75"/>
  <c r="W24" i="75"/>
  <c r="Y21" i="75"/>
  <c r="U17" i="75"/>
  <c r="W14" i="75"/>
  <c r="U7" i="75"/>
  <c r="W4" i="75"/>
  <c r="AA123" i="75"/>
  <c r="U121" i="75"/>
  <c r="V118" i="75"/>
  <c r="W115" i="75"/>
  <c r="X112" i="75"/>
  <c r="Y109" i="75"/>
  <c r="Z106" i="75"/>
  <c r="AA103" i="75"/>
  <c r="U101" i="75"/>
  <c r="V98" i="75"/>
  <c r="W95" i="75"/>
  <c r="X92" i="75"/>
  <c r="Y89" i="75"/>
  <c r="Z86" i="75"/>
  <c r="AA83" i="75"/>
  <c r="U81" i="75"/>
  <c r="V78" i="75"/>
  <c r="W75" i="75"/>
  <c r="X72" i="75"/>
  <c r="Y69" i="75"/>
  <c r="Z66" i="75"/>
  <c r="AA63" i="75"/>
  <c r="U61" i="75"/>
  <c r="V58" i="75"/>
  <c r="W55" i="75"/>
  <c r="X52" i="75"/>
  <c r="Y49" i="75"/>
  <c r="Z46" i="75"/>
  <c r="AA43" i="75"/>
  <c r="U41" i="75"/>
  <c r="V38" i="75"/>
  <c r="W35" i="75"/>
  <c r="X32" i="75"/>
  <c r="Z28" i="75"/>
  <c r="V24" i="75"/>
  <c r="X21" i="75"/>
  <c r="Z18" i="75"/>
  <c r="V14" i="75"/>
  <c r="X11" i="75"/>
  <c r="Z8" i="75"/>
  <c r="V4" i="75"/>
  <c r="Z123" i="75"/>
  <c r="AA119" i="75"/>
  <c r="AA114" i="75"/>
  <c r="AA110" i="75"/>
  <c r="U106" i="75"/>
  <c r="V102" i="75"/>
  <c r="W97" i="75"/>
  <c r="AA92" i="75"/>
  <c r="Y88" i="75"/>
  <c r="Z83" i="75"/>
  <c r="AA79" i="75"/>
  <c r="U75" i="75"/>
  <c r="V71" i="75"/>
  <c r="W66" i="75"/>
  <c r="X62" i="75"/>
  <c r="Y57" i="75"/>
  <c r="Z53" i="75"/>
  <c r="AA48" i="75"/>
  <c r="U45" i="75"/>
  <c r="V40" i="75"/>
  <c r="Z35" i="75"/>
  <c r="X31" i="75"/>
  <c r="Y28" i="75"/>
  <c r="Z26" i="75"/>
  <c r="U22" i="75"/>
  <c r="X15" i="75"/>
  <c r="Y13" i="75"/>
  <c r="Y4" i="75"/>
  <c r="Y123" i="75"/>
  <c r="Z119" i="75"/>
  <c r="Z114" i="75"/>
  <c r="Z110" i="75"/>
  <c r="AA105" i="75"/>
  <c r="X101" i="75"/>
  <c r="V97" i="75"/>
  <c r="W92" i="75"/>
  <c r="X88" i="75"/>
  <c r="Y83" i="75"/>
  <c r="AA74" i="75"/>
  <c r="U71" i="75"/>
  <c r="V66" i="75"/>
  <c r="W62" i="75"/>
  <c r="X57" i="75"/>
  <c r="Y53" i="75"/>
  <c r="Z48" i="75"/>
  <c r="W44" i="75"/>
  <c r="U40" i="75"/>
  <c r="V35" i="75"/>
  <c r="W31" i="75"/>
  <c r="X28" i="75"/>
  <c r="Y26" i="75"/>
  <c r="W15" i="75"/>
  <c r="X13" i="75"/>
  <c r="AA6" i="75"/>
  <c r="U4" i="75"/>
  <c r="Y119" i="75"/>
  <c r="Y114" i="75"/>
  <c r="U110" i="75"/>
  <c r="Z105" i="75"/>
  <c r="AA100" i="75"/>
  <c r="U97" i="75"/>
  <c r="V92" i="75"/>
  <c r="W88" i="75"/>
  <c r="X83" i="75"/>
  <c r="Y79" i="75"/>
  <c r="Z74" i="75"/>
  <c r="AA70" i="75"/>
  <c r="V62" i="75"/>
  <c r="W57" i="75"/>
  <c r="AA52" i="75"/>
  <c r="Y48" i="75"/>
  <c r="Z43" i="75"/>
  <c r="AA39" i="75"/>
  <c r="Z79" i="75"/>
  <c r="X123" i="75"/>
  <c r="W123" i="75"/>
  <c r="V123" i="75"/>
  <c r="W119" i="75"/>
  <c r="W114" i="75"/>
  <c r="W109" i="75"/>
  <c r="X105" i="75"/>
  <c r="Y100" i="75"/>
  <c r="Z96" i="75"/>
  <c r="AA91" i="75"/>
  <c r="U88" i="75"/>
  <c r="V83" i="75"/>
  <c r="W79" i="75"/>
  <c r="X74" i="75"/>
  <c r="U70" i="75"/>
  <c r="Z65" i="75"/>
  <c r="AA60" i="75"/>
  <c r="U57" i="75"/>
  <c r="V52" i="75"/>
  <c r="W48" i="75"/>
  <c r="X43" i="75"/>
  <c r="Y39" i="75"/>
  <c r="Z34" i="75"/>
  <c r="AA30" i="75"/>
  <c r="U28" i="75"/>
  <c r="V26" i="75"/>
  <c r="AA21" i="75"/>
  <c r="Y19" i="75"/>
  <c r="W8" i="75"/>
  <c r="X6" i="75"/>
  <c r="G4" i="75"/>
  <c r="G30" i="75" s="1"/>
  <c r="V114" i="75"/>
  <c r="X69" i="75"/>
  <c r="Z60" i="75"/>
  <c r="U52" i="75"/>
  <c r="V48" i="75"/>
  <c r="X39" i="75"/>
  <c r="Y34" i="75"/>
  <c r="X19" i="75"/>
  <c r="W6" i="75"/>
  <c r="Y86" i="75"/>
  <c r="U43" i="75"/>
  <c r="U21" i="75"/>
  <c r="Y12" i="75"/>
  <c r="D4" i="75"/>
  <c r="D30" i="75" s="1"/>
  <c r="U123" i="75"/>
  <c r="Y118" i="75"/>
  <c r="V109" i="75"/>
  <c r="W105" i="75"/>
  <c r="X100" i="75"/>
  <c r="Y96" i="75"/>
  <c r="Z91" i="75"/>
  <c r="AA87" i="75"/>
  <c r="U83" i="75"/>
  <c r="Y78" i="75"/>
  <c r="W74" i="75"/>
  <c r="Y65" i="75"/>
  <c r="AA56" i="75"/>
  <c r="W43" i="75"/>
  <c r="Z30" i="75"/>
  <c r="W21" i="75"/>
  <c r="AA12" i="75"/>
  <c r="V8" i="75"/>
  <c r="F4" i="75"/>
  <c r="F30" i="75" s="1"/>
  <c r="AA77" i="75"/>
  <c r="Z10" i="75"/>
  <c r="AA122" i="75"/>
  <c r="U118" i="75"/>
  <c r="U114" i="75"/>
  <c r="U109" i="75"/>
  <c r="V105" i="75"/>
  <c r="W100" i="75"/>
  <c r="X96" i="75"/>
  <c r="Y91" i="75"/>
  <c r="V87" i="75"/>
  <c r="AA82" i="75"/>
  <c r="U78" i="75"/>
  <c r="V74" i="75"/>
  <c r="W69" i="75"/>
  <c r="X65" i="75"/>
  <c r="Y60" i="75"/>
  <c r="Z56" i="75"/>
  <c r="AA51" i="75"/>
  <c r="U48" i="75"/>
  <c r="V43" i="75"/>
  <c r="W39" i="75"/>
  <c r="X34" i="75"/>
  <c r="U30" i="75"/>
  <c r="AA25" i="75"/>
  <c r="V21" i="75"/>
  <c r="W19" i="75"/>
  <c r="Z12" i="75"/>
  <c r="AA10" i="75"/>
  <c r="U8" i="75"/>
  <c r="V6" i="75"/>
  <c r="E4" i="75"/>
  <c r="E30" i="75" s="1"/>
  <c r="AA117" i="75"/>
  <c r="W65" i="75"/>
  <c r="Z51" i="75"/>
  <c r="Y38" i="75"/>
  <c r="AA23" i="75"/>
  <c r="Z122" i="75"/>
  <c r="AA113" i="75"/>
  <c r="AA108" i="75"/>
  <c r="U105" i="75"/>
  <c r="V100" i="75"/>
  <c r="Z95" i="75"/>
  <c r="X91" i="75"/>
  <c r="Z82" i="75"/>
  <c r="U74" i="75"/>
  <c r="V69" i="75"/>
  <c r="X60" i="75"/>
  <c r="Y56" i="75"/>
  <c r="AA47" i="75"/>
  <c r="W34" i="75"/>
  <c r="Z25" i="75"/>
  <c r="V19" i="75"/>
  <c r="Y122" i="75"/>
  <c r="Z116" i="75"/>
  <c r="Y108" i="75"/>
  <c r="Z102" i="75"/>
  <c r="AA94" i="75"/>
  <c r="U89" i="75"/>
  <c r="V82" i="75"/>
  <c r="Z75" i="75"/>
  <c r="X68" i="75"/>
  <c r="Z62" i="75"/>
  <c r="AA54" i="75"/>
  <c r="U49" i="75"/>
  <c r="V42" i="75"/>
  <c r="U35" i="75"/>
  <c r="Z29" i="75"/>
  <c r="X23" i="75"/>
  <c r="Z20" i="75"/>
  <c r="I4" i="75"/>
  <c r="I30" i="75" s="1"/>
  <c r="AA107" i="75"/>
  <c r="U60" i="75"/>
  <c r="Z33" i="75"/>
  <c r="X16" i="75"/>
  <c r="Z113" i="75"/>
  <c r="AA59" i="75"/>
  <c r="U25" i="75"/>
  <c r="Y93" i="75"/>
  <c r="V28" i="75"/>
  <c r="Y9" i="75"/>
  <c r="U92" i="75"/>
  <c r="W59" i="75"/>
  <c r="V15" i="75"/>
  <c r="AA97" i="75"/>
  <c r="X71" i="75"/>
  <c r="U51" i="75"/>
  <c r="Y31" i="75"/>
  <c r="U18" i="75"/>
  <c r="U15" i="75"/>
  <c r="X117" i="75"/>
  <c r="W84" i="75"/>
  <c r="X63" i="75"/>
  <c r="Z50" i="75"/>
  <c r="U37" i="75"/>
  <c r="U24" i="75"/>
  <c r="Y14" i="75"/>
  <c r="AA11" i="75"/>
  <c r="X8" i="75"/>
  <c r="V5" i="75"/>
  <c r="W117" i="75"/>
  <c r="X97" i="75"/>
  <c r="W83" i="75"/>
  <c r="AA76" i="75"/>
  <c r="U69" i="75"/>
  <c r="X56" i="75"/>
  <c r="U50" i="75"/>
  <c r="Z42" i="75"/>
  <c r="AA36" i="75"/>
  <c r="U11" i="75"/>
  <c r="X122" i="75"/>
  <c r="Y116" i="75"/>
  <c r="X108" i="75"/>
  <c r="Y102" i="75"/>
  <c r="Z94" i="75"/>
  <c r="AA88" i="75"/>
  <c r="X81" i="75"/>
  <c r="V75" i="75"/>
  <c r="W68" i="75"/>
  <c r="Y62" i="75"/>
  <c r="Z54" i="75"/>
  <c r="X48" i="75"/>
  <c r="X41" i="75"/>
  <c r="AA34" i="75"/>
  <c r="Y29" i="75"/>
  <c r="AA26" i="75"/>
  <c r="U20" i="75"/>
  <c r="AA120" i="75"/>
  <c r="Z19" i="75"/>
  <c r="U94" i="75"/>
  <c r="W80" i="75"/>
  <c r="U54" i="75"/>
  <c r="W25" i="75"/>
  <c r="W28" i="75"/>
  <c r="W106" i="75"/>
  <c r="U72" i="75"/>
  <c r="Y51" i="75"/>
  <c r="AA15" i="75"/>
  <c r="Y6" i="75"/>
  <c r="V120" i="75"/>
  <c r="X51" i="75"/>
  <c r="X18" i="75"/>
  <c r="V12" i="75"/>
  <c r="AA5" i="75"/>
  <c r="Y105" i="75"/>
  <c r="X85" i="75"/>
  <c r="Z71" i="75"/>
  <c r="Y58" i="75"/>
  <c r="X45" i="75"/>
  <c r="U9" i="75"/>
  <c r="X111" i="75"/>
  <c r="AA90" i="75"/>
  <c r="U85" i="75"/>
  <c r="W71" i="75"/>
  <c r="Z57" i="75"/>
  <c r="V31" i="75"/>
  <c r="U90" i="75"/>
  <c r="W122" i="75"/>
  <c r="X116" i="75"/>
  <c r="W108" i="75"/>
  <c r="X102" i="75"/>
  <c r="Y94" i="75"/>
  <c r="Z88" i="75"/>
  <c r="AA80" i="75"/>
  <c r="Y74" i="75"/>
  <c r="V68" i="75"/>
  <c r="X61" i="75"/>
  <c r="Y54" i="75"/>
  <c r="V47" i="75"/>
  <c r="AA40" i="75"/>
  <c r="V34" i="75"/>
  <c r="X29" i="75"/>
  <c r="X26" i="75"/>
  <c r="AA16" i="75"/>
  <c r="U10" i="75"/>
  <c r="W7" i="75"/>
  <c r="X114" i="75"/>
  <c r="Y73" i="75"/>
  <c r="W46" i="75"/>
  <c r="U29" i="75"/>
  <c r="Z13" i="75"/>
  <c r="AA99" i="75"/>
  <c r="Y66" i="75"/>
  <c r="Y33" i="75"/>
  <c r="W16" i="75"/>
  <c r="V112" i="75"/>
  <c r="AA65" i="75"/>
  <c r="AA37" i="75"/>
  <c r="W12" i="75"/>
  <c r="W99" i="75"/>
  <c r="Y45" i="75"/>
  <c r="V18" i="75"/>
  <c r="Z103" i="75"/>
  <c r="W77" i="75"/>
  <c r="V45" i="75"/>
  <c r="V111" i="75"/>
  <c r="V122" i="75"/>
  <c r="V115" i="75"/>
  <c r="V108" i="75"/>
  <c r="W102" i="75"/>
  <c r="X94" i="75"/>
  <c r="V88" i="75"/>
  <c r="Z80" i="75"/>
  <c r="AA73" i="75"/>
  <c r="U68" i="75"/>
  <c r="W60" i="75"/>
  <c r="X54" i="75"/>
  <c r="Y46" i="75"/>
  <c r="Z40" i="75"/>
  <c r="U34" i="75"/>
  <c r="W29" i="75"/>
  <c r="W26" i="75"/>
  <c r="Z16" i="75"/>
  <c r="H4" i="75"/>
  <c r="H30" i="75" s="1"/>
  <c r="U100" i="75"/>
  <c r="X80" i="75"/>
  <c r="V54" i="75"/>
  <c r="Z22" i="75"/>
  <c r="V107" i="75"/>
  <c r="AA72" i="75"/>
  <c r="W40" i="75"/>
  <c r="U19" i="75"/>
  <c r="U120" i="75"/>
  <c r="U65" i="75"/>
  <c r="Y37" i="75"/>
  <c r="X5" i="75"/>
  <c r="Z97" i="75"/>
  <c r="V77" i="75"/>
  <c r="AA50" i="75"/>
  <c r="V37" i="75"/>
  <c r="Y24" i="75"/>
  <c r="W103" i="75"/>
  <c r="V11" i="75"/>
  <c r="X121" i="75"/>
  <c r="U115" i="75"/>
  <c r="U108" i="75"/>
  <c r="Z100" i="75"/>
  <c r="W94" i="75"/>
  <c r="X86" i="75"/>
  <c r="Y80" i="75"/>
  <c r="Z73" i="75"/>
  <c r="AA67" i="75"/>
  <c r="V60" i="75"/>
  <c r="W54" i="75"/>
  <c r="X46" i="75"/>
  <c r="Y40" i="75"/>
  <c r="AA33" i="75"/>
  <c r="V29" i="75"/>
  <c r="Y25" i="75"/>
  <c r="AA22" i="75"/>
  <c r="AA19" i="75"/>
  <c r="Y16" i="75"/>
  <c r="AA13" i="75"/>
  <c r="C4" i="75"/>
  <c r="C30" i="75" s="1"/>
  <c r="V94" i="75"/>
  <c r="W86" i="75"/>
  <c r="V67" i="75"/>
  <c r="X40" i="75"/>
  <c r="X25" i="75"/>
  <c r="Z120" i="75"/>
  <c r="V46" i="75"/>
  <c r="Y22" i="75"/>
  <c r="W120" i="75"/>
  <c r="X59" i="75"/>
  <c r="V32" i="75"/>
  <c r="Y18" i="75"/>
  <c r="V106" i="75"/>
  <c r="V65" i="75"/>
  <c r="U32" i="75"/>
  <c r="Z15" i="75"/>
  <c r="X9" i="75"/>
  <c r="AA111" i="75"/>
  <c r="Y77" i="75"/>
  <c r="W51" i="75"/>
  <c r="AA31" i="75"/>
  <c r="V9" i="75"/>
  <c r="Y111" i="75"/>
  <c r="U91" i="75"/>
  <c r="Z63" i="75"/>
  <c r="W37" i="75"/>
  <c r="W5" i="75"/>
  <c r="W111" i="75"/>
  <c r="Z70" i="75"/>
  <c r="U31" i="75"/>
  <c r="X109" i="75"/>
  <c r="W89" i="75"/>
  <c r="Y76" i="75"/>
  <c r="Z68" i="75"/>
  <c r="V55" i="75"/>
  <c r="X42" i="75"/>
  <c r="Y36" i="75"/>
  <c r="W63" i="75"/>
  <c r="V103" i="75"/>
  <c r="V86" i="75"/>
  <c r="X79" i="75"/>
  <c r="Z77" i="75"/>
  <c r="Y98" i="75"/>
  <c r="W18" i="75"/>
  <c r="U12" i="75"/>
  <c r="Z5" i="75"/>
  <c r="Z111" i="75"/>
  <c r="U98" i="75"/>
  <c r="W85" i="75"/>
  <c r="Y71" i="75"/>
  <c r="U58" i="75"/>
  <c r="W45" i="75"/>
  <c r="Z31" i="75"/>
  <c r="Y117" i="75"/>
  <c r="Y43" i="75"/>
  <c r="U14" i="75"/>
  <c r="U111" i="75"/>
  <c r="X49" i="75"/>
  <c r="Y120" i="75"/>
  <c r="Y113" i="75"/>
  <c r="Y106" i="75"/>
  <c r="Z99" i="75"/>
  <c r="AA93" i="75"/>
  <c r="U86" i="75"/>
  <c r="V80" i="75"/>
  <c r="W72" i="75"/>
  <c r="X66" i="75"/>
  <c r="Z59" i="75"/>
  <c r="AA53" i="75"/>
  <c r="U46" i="75"/>
  <c r="Z39" i="75"/>
  <c r="AA32" i="75"/>
  <c r="V25" i="75"/>
  <c r="X22" i="75"/>
  <c r="V16" i="75"/>
  <c r="AA9" i="75"/>
  <c r="X120" i="75"/>
  <c r="W112" i="75"/>
  <c r="X106" i="75"/>
  <c r="Y99" i="75"/>
  <c r="Z93" i="75"/>
  <c r="AA85" i="75"/>
  <c r="U80" i="75"/>
  <c r="V72" i="75"/>
  <c r="U66" i="75"/>
  <c r="Y59" i="75"/>
  <c r="W52" i="75"/>
  <c r="AA45" i="75"/>
  <c r="U38" i="75"/>
  <c r="W32" i="75"/>
  <c r="W22" i="75"/>
  <c r="X12" i="75"/>
  <c r="Z9" i="75"/>
  <c r="Z6" i="75"/>
  <c r="X99" i="75"/>
  <c r="Z45" i="75"/>
  <c r="V22" i="75"/>
  <c r="U112" i="75"/>
  <c r="AA71" i="75"/>
  <c r="Z37" i="75"/>
  <c r="Y5" i="75"/>
  <c r="Z117" i="75"/>
  <c r="V85" i="75"/>
  <c r="AA57" i="75"/>
  <c r="X103" i="75"/>
  <c r="Z90" i="75"/>
  <c r="U77" i="75"/>
  <c r="V57" i="75"/>
  <c r="AA42" i="75"/>
  <c r="W11" i="75"/>
  <c r="U5" i="75"/>
  <c r="V117" i="75"/>
  <c r="AA96" i="75"/>
  <c r="X89" i="75"/>
  <c r="Y82" i="75"/>
  <c r="Z76" i="75"/>
  <c r="AA68" i="75"/>
  <c r="V63" i="75"/>
  <c r="Z55" i="75"/>
  <c r="Y42" i="75"/>
  <c r="Z36" i="75"/>
  <c r="AA116" i="75"/>
  <c r="Z108" i="75"/>
  <c r="AA102" i="75"/>
  <c r="U95" i="75"/>
  <c r="V89" i="75"/>
  <c r="W82" i="75"/>
  <c r="X76" i="75"/>
  <c r="Y68" i="75"/>
  <c r="AA62" i="75"/>
  <c r="U55" i="75"/>
  <c r="V49" i="75"/>
  <c r="W42" i="75"/>
  <c r="X36" i="75"/>
  <c r="AA29" i="75"/>
  <c r="Y23" i="75"/>
  <c r="AA20" i="75"/>
  <c r="W17" i="75"/>
  <c r="Z85" i="75"/>
  <c r="Y85" i="75"/>
  <c r="W91" i="75"/>
  <c r="Y15" i="75"/>
  <c r="W9" i="75"/>
  <c r="X119" i="75"/>
  <c r="W104" i="75"/>
  <c r="V91" i="75"/>
  <c r="X77" i="75"/>
  <c r="W64" i="75"/>
  <c r="V51" i="75"/>
  <c r="X37" i="75"/>
  <c r="Y103" i="75"/>
  <c r="Y63" i="75"/>
  <c r="W27" i="75"/>
  <c r="Y8" i="75"/>
  <c r="Y97" i="75"/>
  <c r="U117" i="75"/>
  <c r="U103" i="75"/>
  <c r="V95" i="75"/>
  <c r="X82" i="75"/>
  <c r="U63" i="75"/>
  <c r="W49" i="75"/>
  <c r="Z23" i="75"/>
  <c r="AA124" i="74"/>
  <c r="U122" i="74"/>
  <c r="V119" i="74"/>
  <c r="W116" i="74"/>
  <c r="X113" i="74"/>
  <c r="Y110" i="74"/>
  <c r="Z107" i="74"/>
  <c r="AA104" i="74"/>
  <c r="U102" i="74"/>
  <c r="V99" i="74"/>
  <c r="W96" i="74"/>
  <c r="X93" i="74"/>
  <c r="Y90" i="74"/>
  <c r="Z87" i="74"/>
  <c r="AA84" i="74"/>
  <c r="U82" i="74"/>
  <c r="V79" i="74"/>
  <c r="W76" i="74"/>
  <c r="X73" i="74"/>
  <c r="Y70" i="74"/>
  <c r="Z67" i="74"/>
  <c r="AA64" i="74"/>
  <c r="U62" i="74"/>
  <c r="V59" i="74"/>
  <c r="W56" i="74"/>
  <c r="X53" i="74"/>
  <c r="Y50" i="74"/>
  <c r="Z47" i="74"/>
  <c r="AA44" i="74"/>
  <c r="U42" i="74"/>
  <c r="V39" i="74"/>
  <c r="W36" i="74"/>
  <c r="X33" i="74"/>
  <c r="Y30" i="74"/>
  <c r="AA27" i="74"/>
  <c r="U26" i="74"/>
  <c r="W23" i="74"/>
  <c r="Y20" i="74"/>
  <c r="AA17" i="74"/>
  <c r="U16" i="74"/>
  <c r="W13" i="74"/>
  <c r="Y10" i="74"/>
  <c r="AA7" i="74"/>
  <c r="U6" i="74"/>
  <c r="Z118" i="74"/>
  <c r="AA115" i="74"/>
  <c r="V110" i="74"/>
  <c r="Y101" i="74"/>
  <c r="AA95" i="74"/>
  <c r="V90" i="74"/>
  <c r="X84" i="74"/>
  <c r="AA75" i="74"/>
  <c r="V70" i="74"/>
  <c r="Y61" i="74"/>
  <c r="AA55" i="74"/>
  <c r="W47" i="74"/>
  <c r="Z38" i="74"/>
  <c r="V30" i="74"/>
  <c r="X17" i="74"/>
  <c r="Z14" i="74"/>
  <c r="Z69" i="74"/>
  <c r="Y32" i="74"/>
  <c r="AA18" i="74"/>
  <c r="U17" i="74"/>
  <c r="AA123" i="74"/>
  <c r="Y109" i="74"/>
  <c r="U101" i="74"/>
  <c r="V98" i="74"/>
  <c r="Y89" i="74"/>
  <c r="Z124" i="74"/>
  <c r="AA121" i="74"/>
  <c r="U119" i="74"/>
  <c r="V116" i="74"/>
  <c r="W113" i="74"/>
  <c r="X110" i="74"/>
  <c r="Y107" i="74"/>
  <c r="Z104" i="74"/>
  <c r="AA101" i="74"/>
  <c r="U99" i="74"/>
  <c r="V96" i="74"/>
  <c r="W93" i="74"/>
  <c r="X90" i="74"/>
  <c r="Y87" i="74"/>
  <c r="Z84" i="74"/>
  <c r="AA81" i="74"/>
  <c r="U79" i="74"/>
  <c r="V76" i="74"/>
  <c r="W73" i="74"/>
  <c r="X70" i="74"/>
  <c r="Y67" i="74"/>
  <c r="Z64" i="74"/>
  <c r="AA61" i="74"/>
  <c r="U59" i="74"/>
  <c r="V56" i="74"/>
  <c r="W53" i="74"/>
  <c r="X50" i="74"/>
  <c r="Y47" i="74"/>
  <c r="Z44" i="74"/>
  <c r="AA41" i="74"/>
  <c r="U39" i="74"/>
  <c r="V36" i="74"/>
  <c r="W33" i="74"/>
  <c r="X30" i="74"/>
  <c r="Z27" i="74"/>
  <c r="V23" i="74"/>
  <c r="X20" i="74"/>
  <c r="Z17" i="74"/>
  <c r="V13" i="74"/>
  <c r="X10" i="74"/>
  <c r="Z7" i="74"/>
  <c r="X124" i="74"/>
  <c r="Y81" i="74"/>
  <c r="X64" i="74"/>
  <c r="U53" i="74"/>
  <c r="X44" i="74"/>
  <c r="AA35" i="74"/>
  <c r="X27" i="74"/>
  <c r="Z4" i="74"/>
  <c r="Y52" i="74"/>
  <c r="Y11" i="74"/>
  <c r="Y124" i="74"/>
  <c r="Z121" i="74"/>
  <c r="AA118" i="74"/>
  <c r="U116" i="74"/>
  <c r="V113" i="74"/>
  <c r="W110" i="74"/>
  <c r="X107" i="74"/>
  <c r="Y104" i="74"/>
  <c r="Z101" i="74"/>
  <c r="AA98" i="74"/>
  <c r="U96" i="74"/>
  <c r="V93" i="74"/>
  <c r="W90" i="74"/>
  <c r="X87" i="74"/>
  <c r="Y84" i="74"/>
  <c r="Z81" i="74"/>
  <c r="AA78" i="74"/>
  <c r="U76" i="74"/>
  <c r="V73" i="74"/>
  <c r="W70" i="74"/>
  <c r="X67" i="74"/>
  <c r="Y64" i="74"/>
  <c r="Z61" i="74"/>
  <c r="AA58" i="74"/>
  <c r="U56" i="74"/>
  <c r="V53" i="74"/>
  <c r="W50" i="74"/>
  <c r="X47" i="74"/>
  <c r="Y44" i="74"/>
  <c r="Z41" i="74"/>
  <c r="AA38" i="74"/>
  <c r="U36" i="74"/>
  <c r="V33" i="74"/>
  <c r="W30" i="74"/>
  <c r="Y27" i="74"/>
  <c r="AA24" i="74"/>
  <c r="U23" i="74"/>
  <c r="W20" i="74"/>
  <c r="Y17" i="74"/>
  <c r="AA14" i="74"/>
  <c r="U13" i="74"/>
  <c r="W10" i="74"/>
  <c r="Y7" i="74"/>
  <c r="AA4" i="74"/>
  <c r="Y121" i="74"/>
  <c r="U113" i="74"/>
  <c r="W107" i="74"/>
  <c r="X104" i="74"/>
  <c r="Z98" i="74"/>
  <c r="U93" i="74"/>
  <c r="W87" i="74"/>
  <c r="Z78" i="74"/>
  <c r="U73" i="74"/>
  <c r="W67" i="74"/>
  <c r="Z58" i="74"/>
  <c r="V50" i="74"/>
  <c r="Y41" i="74"/>
  <c r="U33" i="74"/>
  <c r="Z24" i="74"/>
  <c r="V20" i="74"/>
  <c r="V10" i="74"/>
  <c r="X7" i="74"/>
  <c r="U64" i="74"/>
  <c r="W14" i="74"/>
  <c r="U7" i="74"/>
  <c r="V118" i="74"/>
  <c r="AA103" i="74"/>
  <c r="X92" i="74"/>
  <c r="Z86" i="74"/>
  <c r="W124" i="74"/>
  <c r="X121" i="74"/>
  <c r="Y118" i="74"/>
  <c r="Z115" i="74"/>
  <c r="AA112" i="74"/>
  <c r="U110" i="74"/>
  <c r="V107" i="74"/>
  <c r="W104" i="74"/>
  <c r="X101" i="74"/>
  <c r="Y98" i="74"/>
  <c r="Z95" i="74"/>
  <c r="AA92" i="74"/>
  <c r="U90" i="74"/>
  <c r="V87" i="74"/>
  <c r="W84" i="74"/>
  <c r="X81" i="74"/>
  <c r="Y78" i="74"/>
  <c r="Z75" i="74"/>
  <c r="AA72" i="74"/>
  <c r="U70" i="74"/>
  <c r="V67" i="74"/>
  <c r="W64" i="74"/>
  <c r="X61" i="74"/>
  <c r="Y58" i="74"/>
  <c r="Z55" i="74"/>
  <c r="AA52" i="74"/>
  <c r="U50" i="74"/>
  <c r="V47" i="74"/>
  <c r="W44" i="74"/>
  <c r="X41" i="74"/>
  <c r="Y38" i="74"/>
  <c r="Z35" i="74"/>
  <c r="AA32" i="74"/>
  <c r="U30" i="74"/>
  <c r="W27" i="74"/>
  <c r="Y24" i="74"/>
  <c r="AA21" i="74"/>
  <c r="U20" i="74"/>
  <c r="W17" i="74"/>
  <c r="Y14" i="74"/>
  <c r="AA11" i="74"/>
  <c r="U10" i="74"/>
  <c r="W7" i="74"/>
  <c r="Y4" i="74"/>
  <c r="V17" i="74"/>
  <c r="U124" i="74"/>
  <c r="V101" i="74"/>
  <c r="Z89" i="74"/>
  <c r="V81" i="74"/>
  <c r="Y72" i="74"/>
  <c r="W58" i="74"/>
  <c r="AA46" i="74"/>
  <c r="X35" i="74"/>
  <c r="W4" i="74"/>
  <c r="V124" i="74"/>
  <c r="W121" i="74"/>
  <c r="X118" i="74"/>
  <c r="Y115" i="74"/>
  <c r="Z112" i="74"/>
  <c r="AA109" i="74"/>
  <c r="U107" i="74"/>
  <c r="V104" i="74"/>
  <c r="W101" i="74"/>
  <c r="X98" i="74"/>
  <c r="Y95" i="74"/>
  <c r="Z92" i="74"/>
  <c r="AA89" i="74"/>
  <c r="U87" i="74"/>
  <c r="V84" i="74"/>
  <c r="W81" i="74"/>
  <c r="X78" i="74"/>
  <c r="Y75" i="74"/>
  <c r="Z72" i="74"/>
  <c r="AA69" i="74"/>
  <c r="U67" i="74"/>
  <c r="V64" i="74"/>
  <c r="W61" i="74"/>
  <c r="X58" i="74"/>
  <c r="Y55" i="74"/>
  <c r="Z52" i="74"/>
  <c r="AA49" i="74"/>
  <c r="U47" i="74"/>
  <c r="V44" i="74"/>
  <c r="W41" i="74"/>
  <c r="X38" i="74"/>
  <c r="Y35" i="74"/>
  <c r="Z32" i="74"/>
  <c r="V27" i="74"/>
  <c r="X24" i="74"/>
  <c r="Z21" i="74"/>
  <c r="X14" i="74"/>
  <c r="Z11" i="74"/>
  <c r="V7" i="74"/>
  <c r="X4" i="74"/>
  <c r="V121" i="74"/>
  <c r="W118" i="74"/>
  <c r="X115" i="74"/>
  <c r="Y112" i="74"/>
  <c r="Z109" i="74"/>
  <c r="AA106" i="74"/>
  <c r="U104" i="74"/>
  <c r="W98" i="74"/>
  <c r="X95" i="74"/>
  <c r="Y92" i="74"/>
  <c r="AA86" i="74"/>
  <c r="U84" i="74"/>
  <c r="W78" i="74"/>
  <c r="X75" i="74"/>
  <c r="AA66" i="74"/>
  <c r="V61" i="74"/>
  <c r="X55" i="74"/>
  <c r="Z49" i="74"/>
  <c r="U44" i="74"/>
  <c r="V41" i="74"/>
  <c r="W38" i="74"/>
  <c r="AA28" i="74"/>
  <c r="U27" i="74"/>
  <c r="W24" i="74"/>
  <c r="Y21" i="74"/>
  <c r="AA8" i="74"/>
  <c r="U121" i="74"/>
  <c r="Z106" i="74"/>
  <c r="W95" i="74"/>
  <c r="Z123" i="74"/>
  <c r="Z119" i="74"/>
  <c r="Z114" i="74"/>
  <c r="AA110" i="74"/>
  <c r="Z105" i="74"/>
  <c r="Y100" i="74"/>
  <c r="Y96" i="74"/>
  <c r="X91" i="74"/>
  <c r="W86" i="74"/>
  <c r="X82" i="74"/>
  <c r="Y77" i="74"/>
  <c r="Z73" i="74"/>
  <c r="AA68" i="74"/>
  <c r="U65" i="74"/>
  <c r="V60" i="74"/>
  <c r="W55" i="74"/>
  <c r="X51" i="74"/>
  <c r="Y46" i="74"/>
  <c r="Z42" i="74"/>
  <c r="AA37" i="74"/>
  <c r="U34" i="74"/>
  <c r="X25" i="74"/>
  <c r="Y23" i="74"/>
  <c r="V14" i="74"/>
  <c r="W12" i="74"/>
  <c r="Z5" i="74"/>
  <c r="Y123" i="74"/>
  <c r="Y119" i="74"/>
  <c r="Y114" i="74"/>
  <c r="Z110" i="74"/>
  <c r="Y105" i="74"/>
  <c r="X100" i="74"/>
  <c r="X96" i="74"/>
  <c r="W91" i="74"/>
  <c r="V86" i="74"/>
  <c r="W82" i="74"/>
  <c r="X77" i="74"/>
  <c r="Z68" i="74"/>
  <c r="AA63" i="74"/>
  <c r="U60" i="74"/>
  <c r="V55" i="74"/>
  <c r="W51" i="74"/>
  <c r="X46" i="74"/>
  <c r="Y42" i="74"/>
  <c r="Z37" i="74"/>
  <c r="AA33" i="74"/>
  <c r="W25" i="74"/>
  <c r="X23" i="74"/>
  <c r="Z18" i="74"/>
  <c r="AA16" i="74"/>
  <c r="U14" i="74"/>
  <c r="V12" i="74"/>
  <c r="Y5" i="74"/>
  <c r="X123" i="74"/>
  <c r="X119" i="74"/>
  <c r="X114" i="74"/>
  <c r="X109" i="74"/>
  <c r="X105" i="74"/>
  <c r="W100" i="74"/>
  <c r="V95" i="74"/>
  <c r="V91" i="74"/>
  <c r="U86" i="74"/>
  <c r="V82" i="74"/>
  <c r="X72" i="74"/>
  <c r="Y68" i="74"/>
  <c r="Z63" i="74"/>
  <c r="AA59" i="74"/>
  <c r="U55" i="74"/>
  <c r="V51" i="74"/>
  <c r="W46" i="74"/>
  <c r="X42" i="74"/>
  <c r="Z33" i="74"/>
  <c r="AA29" i="74"/>
  <c r="V25" i="74"/>
  <c r="U12" i="74"/>
  <c r="X5" i="74"/>
  <c r="U25" i="74"/>
  <c r="Y16" i="74"/>
  <c r="W5" i="74"/>
  <c r="X122" i="74"/>
  <c r="X112" i="74"/>
  <c r="W103" i="74"/>
  <c r="V94" i="74"/>
  <c r="U89" i="74"/>
  <c r="V80" i="74"/>
  <c r="X71" i="74"/>
  <c r="Z62" i="74"/>
  <c r="U54" i="74"/>
  <c r="X40" i="74"/>
  <c r="Z31" i="74"/>
  <c r="W122" i="74"/>
  <c r="W108" i="74"/>
  <c r="U94" i="74"/>
  <c r="AA83" i="74"/>
  <c r="V75" i="74"/>
  <c r="Y62" i="74"/>
  <c r="AA53" i="74"/>
  <c r="W40" i="74"/>
  <c r="Z28" i="74"/>
  <c r="V112" i="74"/>
  <c r="Z83" i="74"/>
  <c r="V71" i="74"/>
  <c r="Y57" i="74"/>
  <c r="U45" i="74"/>
  <c r="X31" i="74"/>
  <c r="U22" i="74"/>
  <c r="Y13" i="74"/>
  <c r="W15" i="74"/>
  <c r="Y8" i="74"/>
  <c r="Z6" i="74"/>
  <c r="I4" i="74"/>
  <c r="I30" i="74" s="1"/>
  <c r="Y120" i="74"/>
  <c r="H4" i="74"/>
  <c r="H30" i="74" s="1"/>
  <c r="X116" i="74"/>
  <c r="X102" i="74"/>
  <c r="V92" i="74"/>
  <c r="V83" i="74"/>
  <c r="W79" i="74"/>
  <c r="Y69" i="74"/>
  <c r="AA60" i="74"/>
  <c r="V52" i="74"/>
  <c r="Y39" i="74"/>
  <c r="Z34" i="74"/>
  <c r="V26" i="74"/>
  <c r="Y19" i="74"/>
  <c r="Y73" i="74"/>
  <c r="W77" i="74"/>
  <c r="Y37" i="74"/>
  <c r="Y18" i="74"/>
  <c r="Z16" i="74"/>
  <c r="W117" i="74"/>
  <c r="X108" i="74"/>
  <c r="W99" i="74"/>
  <c r="U85" i="74"/>
  <c r="W75" i="74"/>
  <c r="Y66" i="74"/>
  <c r="AA57" i="74"/>
  <c r="W45" i="74"/>
  <c r="Y36" i="74"/>
  <c r="V117" i="74"/>
  <c r="V103" i="74"/>
  <c r="AA88" i="74"/>
  <c r="U80" i="74"/>
  <c r="W71" i="74"/>
  <c r="Z57" i="74"/>
  <c r="V45" i="74"/>
  <c r="X36" i="74"/>
  <c r="AA26" i="74"/>
  <c r="V22" i="74"/>
  <c r="Y15" i="74"/>
  <c r="V108" i="74"/>
  <c r="Z53" i="74"/>
  <c r="Y28" i="74"/>
  <c r="Y106" i="74"/>
  <c r="W92" i="74"/>
  <c r="W88" i="74"/>
  <c r="Y74" i="74"/>
  <c r="AA65" i="74"/>
  <c r="X48" i="74"/>
  <c r="V28" i="74"/>
  <c r="W48" i="74"/>
  <c r="X19" i="74"/>
  <c r="AA12" i="74"/>
  <c r="AA87" i="74"/>
  <c r="W19" i="74"/>
  <c r="X18" i="74"/>
  <c r="AA13" i="74"/>
  <c r="V9" i="74"/>
  <c r="AA93" i="74"/>
  <c r="X13" i="74"/>
  <c r="Z8" i="74"/>
  <c r="AA6" i="74"/>
  <c r="U4" i="74"/>
  <c r="Z120" i="74"/>
  <c r="AA111" i="74"/>
  <c r="AA107" i="74"/>
  <c r="Z102" i="74"/>
  <c r="Y97" i="74"/>
  <c r="Y93" i="74"/>
  <c r="X88" i="74"/>
  <c r="X83" i="74"/>
  <c r="Y79" i="74"/>
  <c r="Z74" i="74"/>
  <c r="AA70" i="74"/>
  <c r="V62" i="74"/>
  <c r="W57" i="74"/>
  <c r="X52" i="74"/>
  <c r="Z43" i="74"/>
  <c r="AA39" i="74"/>
  <c r="V31" i="74"/>
  <c r="X26" i="74"/>
  <c r="Y102" i="74"/>
  <c r="X79" i="74"/>
  <c r="W52" i="74"/>
  <c r="U31" i="74"/>
  <c r="U28" i="74"/>
  <c r="W8" i="74"/>
  <c r="X6" i="74"/>
  <c r="G4" i="74"/>
  <c r="G30" i="74" s="1"/>
  <c r="W120" i="74"/>
  <c r="W115" i="74"/>
  <c r="X111" i="74"/>
  <c r="W106" i="74"/>
  <c r="W102" i="74"/>
  <c r="V97" i="74"/>
  <c r="U92" i="74"/>
  <c r="U88" i="74"/>
  <c r="U83" i="74"/>
  <c r="W74" i="74"/>
  <c r="X69" i="74"/>
  <c r="Y65" i="74"/>
  <c r="Z60" i="74"/>
  <c r="AA56" i="74"/>
  <c r="U52" i="74"/>
  <c r="V48" i="74"/>
  <c r="W43" i="74"/>
  <c r="X39" i="74"/>
  <c r="Y34" i="74"/>
  <c r="Z30" i="74"/>
  <c r="V115" i="74"/>
  <c r="AA91" i="74"/>
  <c r="U78" i="74"/>
  <c r="X65" i="74"/>
  <c r="Z56" i="74"/>
  <c r="U48" i="74"/>
  <c r="X34" i="74"/>
  <c r="W123" i="74"/>
  <c r="W119" i="74"/>
  <c r="W114" i="74"/>
  <c r="W109" i="74"/>
  <c r="W105" i="74"/>
  <c r="V100" i="74"/>
  <c r="U95" i="74"/>
  <c r="U91" i="74"/>
  <c r="AA85" i="74"/>
  <c r="U81" i="74"/>
  <c r="V77" i="74"/>
  <c r="W72" i="74"/>
  <c r="X68" i="74"/>
  <c r="Y63" i="74"/>
  <c r="Z59" i="74"/>
  <c r="AA54" i="74"/>
  <c r="U51" i="74"/>
  <c r="V46" i="74"/>
  <c r="W42" i="74"/>
  <c r="X37" i="74"/>
  <c r="Y33" i="74"/>
  <c r="Z29" i="74"/>
  <c r="V49" i="74"/>
  <c r="W22" i="74"/>
  <c r="W112" i="74"/>
  <c r="X66" i="74"/>
  <c r="U49" i="74"/>
  <c r="Y31" i="74"/>
  <c r="U24" i="74"/>
  <c r="U117" i="74"/>
  <c r="AA79" i="74"/>
  <c r="W66" i="74"/>
  <c r="AA48" i="74"/>
  <c r="V40" i="74"/>
  <c r="Z26" i="74"/>
  <c r="U35" i="74"/>
  <c r="X97" i="74"/>
  <c r="U61" i="74"/>
  <c r="AA34" i="74"/>
  <c r="Z65" i="74"/>
  <c r="W21" i="74"/>
  <c r="W111" i="74"/>
  <c r="V74" i="74"/>
  <c r="Y60" i="74"/>
  <c r="V43" i="74"/>
  <c r="V123" i="74"/>
  <c r="U118" i="74"/>
  <c r="V114" i="74"/>
  <c r="V109" i="74"/>
  <c r="V105" i="74"/>
  <c r="U100" i="74"/>
  <c r="AA94" i="74"/>
  <c r="AA90" i="74"/>
  <c r="Z85" i="74"/>
  <c r="AA80" i="74"/>
  <c r="U77" i="74"/>
  <c r="V72" i="74"/>
  <c r="W68" i="74"/>
  <c r="X63" i="74"/>
  <c r="Y59" i="74"/>
  <c r="Z54" i="74"/>
  <c r="AA50" i="74"/>
  <c r="U46" i="74"/>
  <c r="V42" i="74"/>
  <c r="W37" i="74"/>
  <c r="X32" i="74"/>
  <c r="Y29" i="74"/>
  <c r="W18" i="74"/>
  <c r="X16" i="74"/>
  <c r="AA9" i="74"/>
  <c r="V5" i="74"/>
  <c r="U41" i="74"/>
  <c r="V18" i="74"/>
  <c r="Z9" i="74"/>
  <c r="U5" i="74"/>
  <c r="AA122" i="74"/>
  <c r="AA108" i="74"/>
  <c r="Z99" i="74"/>
  <c r="X89" i="74"/>
  <c r="Y80" i="74"/>
  <c r="Z76" i="74"/>
  <c r="AA71" i="74"/>
  <c r="W59" i="74"/>
  <c r="X54" i="74"/>
  <c r="Y49" i="74"/>
  <c r="Z45" i="74"/>
  <c r="V32" i="74"/>
  <c r="Z22" i="74"/>
  <c r="V16" i="74"/>
  <c r="X11" i="74"/>
  <c r="Z122" i="74"/>
  <c r="Y76" i="74"/>
  <c r="V58" i="74"/>
  <c r="Z40" i="74"/>
  <c r="V29" i="74"/>
  <c r="Y113" i="74"/>
  <c r="U29" i="74"/>
  <c r="X22" i="74"/>
  <c r="V24" i="74"/>
  <c r="U98" i="74"/>
  <c r="Z13" i="74"/>
  <c r="U9" i="74"/>
  <c r="U103" i="74"/>
  <c r="V4" i="74"/>
  <c r="Y116" i="74"/>
  <c r="W83" i="74"/>
  <c r="V57" i="74"/>
  <c r="Y43" i="74"/>
  <c r="W26" i="74"/>
  <c r="U15" i="74"/>
  <c r="V106" i="74"/>
  <c r="U123" i="74"/>
  <c r="AA117" i="74"/>
  <c r="U114" i="74"/>
  <c r="U109" i="74"/>
  <c r="U105" i="74"/>
  <c r="AA99" i="74"/>
  <c r="Z94" i="74"/>
  <c r="Z90" i="74"/>
  <c r="Y85" i="74"/>
  <c r="Z80" i="74"/>
  <c r="AA76" i="74"/>
  <c r="U72" i="74"/>
  <c r="V68" i="74"/>
  <c r="W63" i="74"/>
  <c r="X59" i="74"/>
  <c r="Y54" i="74"/>
  <c r="Z50" i="74"/>
  <c r="AA45" i="74"/>
  <c r="V37" i="74"/>
  <c r="W32" i="74"/>
  <c r="X29" i="74"/>
  <c r="AA22" i="74"/>
  <c r="W16" i="74"/>
  <c r="Z117" i="74"/>
  <c r="Y94" i="74"/>
  <c r="U68" i="74"/>
  <c r="U37" i="74"/>
  <c r="U18" i="74"/>
  <c r="Y117" i="74"/>
  <c r="Y99" i="74"/>
  <c r="W85" i="74"/>
  <c r="AA67" i="74"/>
  <c r="X49" i="74"/>
  <c r="U32" i="74"/>
  <c r="Y22" i="74"/>
  <c r="Z20" i="74"/>
  <c r="W11" i="74"/>
  <c r="X9" i="74"/>
  <c r="X117" i="74"/>
  <c r="V54" i="74"/>
  <c r="AA31" i="74"/>
  <c r="V11" i="74"/>
  <c r="W9" i="74"/>
  <c r="Z15" i="74"/>
  <c r="U11" i="74"/>
  <c r="V122" i="74"/>
  <c r="AA97" i="74"/>
  <c r="Z88" i="74"/>
  <c r="U75" i="74"/>
  <c r="X62" i="74"/>
  <c r="W35" i="74"/>
  <c r="X15" i="74"/>
  <c r="Z116" i="74"/>
  <c r="U66" i="74"/>
  <c r="Y48" i="74"/>
  <c r="W28" i="74"/>
  <c r="AA19" i="74"/>
  <c r="V15" i="74"/>
  <c r="X8" i="74"/>
  <c r="Y6" i="74"/>
  <c r="X120" i="74"/>
  <c r="Y111" i="74"/>
  <c r="X106" i="74"/>
  <c r="W97" i="74"/>
  <c r="V88" i="74"/>
  <c r="X74" i="74"/>
  <c r="U57" i="74"/>
  <c r="X43" i="74"/>
  <c r="AA30" i="74"/>
  <c r="X21" i="74"/>
  <c r="V8" i="74"/>
  <c r="W6" i="74"/>
  <c r="F4" i="74"/>
  <c r="F30" i="74" s="1"/>
  <c r="V120" i="74"/>
  <c r="U97" i="74"/>
  <c r="AA82" i="74"/>
  <c r="W69" i="74"/>
  <c r="AA51" i="74"/>
  <c r="AA25" i="74"/>
  <c r="AA113" i="74"/>
  <c r="Z103" i="74"/>
  <c r="X85" i="74"/>
  <c r="V63" i="74"/>
  <c r="AA40" i="74"/>
  <c r="W29" i="74"/>
  <c r="AA20" i="74"/>
  <c r="Y9" i="74"/>
  <c r="Z113" i="74"/>
  <c r="Z108" i="74"/>
  <c r="Y103" i="74"/>
  <c r="X94" i="74"/>
  <c r="W89" i="74"/>
  <c r="X80" i="74"/>
  <c r="Z71" i="74"/>
  <c r="U63" i="74"/>
  <c r="W54" i="74"/>
  <c r="Y45" i="74"/>
  <c r="AA36" i="74"/>
  <c r="Y122" i="74"/>
  <c r="Y108" i="74"/>
  <c r="X103" i="74"/>
  <c r="X99" i="74"/>
  <c r="W94" i="74"/>
  <c r="V89" i="74"/>
  <c r="V85" i="74"/>
  <c r="W80" i="74"/>
  <c r="X76" i="74"/>
  <c r="Y71" i="74"/>
  <c r="Z66" i="74"/>
  <c r="AA62" i="74"/>
  <c r="U58" i="74"/>
  <c r="W49" i="74"/>
  <c r="X45" i="74"/>
  <c r="Y40" i="74"/>
  <c r="Z36" i="74"/>
  <c r="AA15" i="74"/>
  <c r="V102" i="74"/>
  <c r="W39" i="74"/>
  <c r="V21" i="74"/>
  <c r="Z12" i="74"/>
  <c r="U8" i="74"/>
  <c r="AA120" i="74"/>
  <c r="AA116" i="74"/>
  <c r="U112" i="74"/>
  <c r="U108" i="74"/>
  <c r="AA102" i="74"/>
  <c r="Z97" i="74"/>
  <c r="Z93" i="74"/>
  <c r="Y88" i="74"/>
  <c r="Y83" i="74"/>
  <c r="Z79" i="74"/>
  <c r="AA74" i="74"/>
  <c r="U71" i="74"/>
  <c r="V66" i="74"/>
  <c r="W62" i="74"/>
  <c r="X57" i="74"/>
  <c r="Y53" i="74"/>
  <c r="Z48" i="74"/>
  <c r="AA43" i="74"/>
  <c r="U40" i="74"/>
  <c r="V35" i="74"/>
  <c r="W31" i="74"/>
  <c r="X28" i="74"/>
  <c r="Y26" i="74"/>
  <c r="Z111" i="74"/>
  <c r="Z70" i="74"/>
  <c r="Z39" i="74"/>
  <c r="Z19" i="74"/>
  <c r="V78" i="74"/>
  <c r="U120" i="74"/>
  <c r="U74" i="74"/>
  <c r="V19" i="74"/>
  <c r="E4" i="74"/>
  <c r="E30" i="74" s="1"/>
  <c r="AA100" i="74"/>
  <c r="Z51" i="74"/>
  <c r="Y51" i="74"/>
  <c r="Z46" i="74"/>
  <c r="Y86" i="74"/>
  <c r="X86" i="74"/>
  <c r="AA5" i="74"/>
  <c r="Z82" i="74"/>
  <c r="V38" i="74"/>
  <c r="U38" i="74"/>
  <c r="AA77" i="74"/>
  <c r="V34" i="74"/>
  <c r="Z10" i="74"/>
  <c r="AA119" i="74"/>
  <c r="AA73" i="74"/>
  <c r="U19" i="74"/>
  <c r="D4" i="74"/>
  <c r="D30" i="74" s="1"/>
  <c r="AA114" i="74"/>
  <c r="W65" i="74"/>
  <c r="AA23" i="74"/>
  <c r="AA105" i="74"/>
  <c r="W60" i="74"/>
  <c r="Y56" i="74"/>
  <c r="Y12" i="74"/>
  <c r="AA96" i="74"/>
  <c r="Z96" i="74"/>
  <c r="W34" i="74"/>
  <c r="U115" i="74"/>
  <c r="V69" i="74"/>
  <c r="C4" i="74"/>
  <c r="C30" i="74" s="1"/>
  <c r="U69" i="74"/>
  <c r="U106" i="74"/>
  <c r="X60" i="74"/>
  <c r="AA47" i="74"/>
  <c r="AA10" i="74"/>
  <c r="V111" i="74"/>
  <c r="U111" i="74"/>
  <c r="AA42" i="74"/>
  <c r="Y82" i="74"/>
  <c r="Z77" i="74"/>
  <c r="V65" i="74"/>
  <c r="Z23" i="74"/>
  <c r="U21" i="74"/>
  <c r="Y91" i="74"/>
  <c r="Y25" i="74"/>
  <c r="Z100" i="74"/>
  <c r="X56" i="74"/>
  <c r="X12" i="74"/>
  <c r="Z91" i="74"/>
  <c r="Z25" i="74"/>
  <c r="V6" i="74"/>
  <c r="U43" i="74"/>
  <c r="AA124" i="60"/>
  <c r="U122" i="60"/>
  <c r="V119" i="60"/>
  <c r="W116" i="60"/>
  <c r="X113" i="60"/>
  <c r="Y110" i="60"/>
  <c r="Z107" i="60"/>
  <c r="AA104" i="60"/>
  <c r="U102" i="60"/>
  <c r="V99" i="60"/>
  <c r="W96" i="60"/>
  <c r="X93" i="60"/>
  <c r="Y90" i="60"/>
  <c r="Z87" i="60"/>
  <c r="AA84" i="60"/>
  <c r="U82" i="60"/>
  <c r="V79" i="60"/>
  <c r="W76" i="60"/>
  <c r="X73" i="60"/>
  <c r="Y70" i="60"/>
  <c r="Z67" i="60"/>
  <c r="AA64" i="60"/>
  <c r="U62" i="60"/>
  <c r="V59" i="60"/>
  <c r="W56" i="60"/>
  <c r="X53" i="60"/>
  <c r="Y50" i="60"/>
  <c r="Z47" i="60"/>
  <c r="AA44" i="60"/>
  <c r="U42" i="60"/>
  <c r="V39" i="60"/>
  <c r="W36" i="60"/>
  <c r="X33" i="60"/>
  <c r="Y30" i="60"/>
  <c r="AA27" i="60"/>
  <c r="U26" i="60"/>
  <c r="W23" i="60"/>
  <c r="Y20" i="60"/>
  <c r="AA17" i="60"/>
  <c r="U16" i="60"/>
  <c r="W13" i="60"/>
  <c r="Y10" i="60"/>
  <c r="AA7" i="60"/>
  <c r="U6" i="60"/>
  <c r="AA118" i="60"/>
  <c r="V113" i="60"/>
  <c r="X107" i="60"/>
  <c r="Z101" i="60"/>
  <c r="U96" i="60"/>
  <c r="W90" i="60"/>
  <c r="Y84" i="60"/>
  <c r="AA78" i="60"/>
  <c r="V73" i="60"/>
  <c r="Y64" i="60"/>
  <c r="AA58" i="60"/>
  <c r="V53" i="60"/>
  <c r="X47" i="60"/>
  <c r="Z41" i="60"/>
  <c r="V33" i="60"/>
  <c r="Y27" i="60"/>
  <c r="U13" i="60"/>
  <c r="W10" i="60"/>
  <c r="Y7" i="60"/>
  <c r="V55" i="60"/>
  <c r="Y8" i="60"/>
  <c r="U115" i="60"/>
  <c r="V92" i="60"/>
  <c r="Z80" i="60"/>
  <c r="Z124" i="60"/>
  <c r="AA121" i="60"/>
  <c r="U119" i="60"/>
  <c r="V116" i="60"/>
  <c r="W113" i="60"/>
  <c r="X110" i="60"/>
  <c r="Y107" i="60"/>
  <c r="Z104" i="60"/>
  <c r="AA101" i="60"/>
  <c r="U99" i="60"/>
  <c r="V96" i="60"/>
  <c r="W93" i="60"/>
  <c r="X90" i="60"/>
  <c r="Y87" i="60"/>
  <c r="Z84" i="60"/>
  <c r="AA81" i="60"/>
  <c r="U79" i="60"/>
  <c r="V76" i="60"/>
  <c r="W73" i="60"/>
  <c r="X70" i="60"/>
  <c r="Y67" i="60"/>
  <c r="Z64" i="60"/>
  <c r="AA61" i="60"/>
  <c r="U59" i="60"/>
  <c r="V56" i="60"/>
  <c r="W53" i="60"/>
  <c r="X50" i="60"/>
  <c r="Y47" i="60"/>
  <c r="Z44" i="60"/>
  <c r="AA41" i="60"/>
  <c r="U39" i="60"/>
  <c r="V36" i="60"/>
  <c r="W33" i="60"/>
  <c r="X30" i="60"/>
  <c r="Z27" i="60"/>
  <c r="V23" i="60"/>
  <c r="X20" i="60"/>
  <c r="Z17" i="60"/>
  <c r="V13" i="60"/>
  <c r="X10" i="60"/>
  <c r="Z7" i="60"/>
  <c r="Z121" i="60"/>
  <c r="U116" i="60"/>
  <c r="W110" i="60"/>
  <c r="Y104" i="60"/>
  <c r="AA98" i="60"/>
  <c r="V93" i="60"/>
  <c r="X87" i="60"/>
  <c r="Z81" i="60"/>
  <c r="U76" i="60"/>
  <c r="W70" i="60"/>
  <c r="Z61" i="60"/>
  <c r="U56" i="60"/>
  <c r="W50" i="60"/>
  <c r="Y44" i="60"/>
  <c r="U36" i="60"/>
  <c r="W30" i="60"/>
  <c r="U23" i="60"/>
  <c r="W20" i="60"/>
  <c r="AA14" i="60"/>
  <c r="AA4" i="60"/>
  <c r="U58" i="60"/>
  <c r="AA117" i="60"/>
  <c r="U95" i="60"/>
  <c r="X86" i="60"/>
  <c r="Y124" i="60"/>
  <c r="X67" i="60"/>
  <c r="AA38" i="60"/>
  <c r="AA24" i="60"/>
  <c r="Y17" i="60"/>
  <c r="W32" i="60"/>
  <c r="U4" i="60"/>
  <c r="Z120" i="60"/>
  <c r="AA97" i="60"/>
  <c r="Y83" i="60"/>
  <c r="X124" i="60"/>
  <c r="Y121" i="60"/>
  <c r="Z118" i="60"/>
  <c r="AA115" i="60"/>
  <c r="U113" i="60"/>
  <c r="V110" i="60"/>
  <c r="W107" i="60"/>
  <c r="X104" i="60"/>
  <c r="Y101" i="60"/>
  <c r="Z98" i="60"/>
  <c r="AA95" i="60"/>
  <c r="U93" i="60"/>
  <c r="V90" i="60"/>
  <c r="W87" i="60"/>
  <c r="X84" i="60"/>
  <c r="Y81" i="60"/>
  <c r="Z78" i="60"/>
  <c r="AA75" i="60"/>
  <c r="U73" i="60"/>
  <c r="V70" i="60"/>
  <c r="W67" i="60"/>
  <c r="X64" i="60"/>
  <c r="Y61" i="60"/>
  <c r="Z58" i="60"/>
  <c r="AA55" i="60"/>
  <c r="U53" i="60"/>
  <c r="V50" i="60"/>
  <c r="W47" i="60"/>
  <c r="X44" i="60"/>
  <c r="Y41" i="60"/>
  <c r="Z38" i="60"/>
  <c r="AA35" i="60"/>
  <c r="U33" i="60"/>
  <c r="V30" i="60"/>
  <c r="X27" i="60"/>
  <c r="Z24" i="60"/>
  <c r="V20" i="60"/>
  <c r="X17" i="60"/>
  <c r="Z14" i="60"/>
  <c r="V10" i="60"/>
  <c r="X7" i="60"/>
  <c r="Z4" i="60"/>
  <c r="Z28" i="60"/>
  <c r="X11" i="60"/>
  <c r="V4" i="60"/>
  <c r="Z123" i="60"/>
  <c r="X109" i="60"/>
  <c r="Y106" i="60"/>
  <c r="Z103" i="60"/>
  <c r="AA100" i="60"/>
  <c r="U98" i="60"/>
  <c r="V95" i="60"/>
  <c r="W92" i="60"/>
  <c r="X89" i="60"/>
  <c r="Y86" i="60"/>
  <c r="Z83" i="60"/>
  <c r="AA80" i="60"/>
  <c r="U78" i="60"/>
  <c r="Y66" i="60"/>
  <c r="Z63" i="60"/>
  <c r="AA60" i="60"/>
  <c r="W52" i="60"/>
  <c r="U38" i="60"/>
  <c r="V35" i="60"/>
  <c r="W21" i="60"/>
  <c r="Y18" i="60"/>
  <c r="U14" i="60"/>
  <c r="AA5" i="60"/>
  <c r="Y123" i="60"/>
  <c r="W89" i="60"/>
  <c r="W124" i="60"/>
  <c r="X121" i="60"/>
  <c r="Y118" i="60"/>
  <c r="Z115" i="60"/>
  <c r="AA112" i="60"/>
  <c r="U110" i="60"/>
  <c r="V107" i="60"/>
  <c r="W104" i="60"/>
  <c r="X101" i="60"/>
  <c r="Y98" i="60"/>
  <c r="Z95" i="60"/>
  <c r="AA92" i="60"/>
  <c r="U90" i="60"/>
  <c r="V87" i="60"/>
  <c r="W84" i="60"/>
  <c r="X81" i="60"/>
  <c r="Y78" i="60"/>
  <c r="Z75" i="60"/>
  <c r="AA72" i="60"/>
  <c r="U70" i="60"/>
  <c r="V67" i="60"/>
  <c r="W64" i="60"/>
  <c r="X61" i="60"/>
  <c r="Y58" i="60"/>
  <c r="Z55" i="60"/>
  <c r="AA52" i="60"/>
  <c r="U50" i="60"/>
  <c r="V47" i="60"/>
  <c r="W44" i="60"/>
  <c r="X41" i="60"/>
  <c r="Y38" i="60"/>
  <c r="Z35" i="60"/>
  <c r="AA32" i="60"/>
  <c r="U30" i="60"/>
  <c r="W27" i="60"/>
  <c r="Y24" i="60"/>
  <c r="AA21" i="60"/>
  <c r="U20" i="60"/>
  <c r="W17" i="60"/>
  <c r="Y14" i="60"/>
  <c r="AA11" i="60"/>
  <c r="U10" i="60"/>
  <c r="W7" i="60"/>
  <c r="Y4" i="60"/>
  <c r="V14" i="60"/>
  <c r="AA120" i="60"/>
  <c r="X69" i="60"/>
  <c r="AA40" i="60"/>
  <c r="U24" i="60"/>
  <c r="V124" i="60"/>
  <c r="W121" i="60"/>
  <c r="X118" i="60"/>
  <c r="Y115" i="60"/>
  <c r="Z112" i="60"/>
  <c r="AA109" i="60"/>
  <c r="U107" i="60"/>
  <c r="V104" i="60"/>
  <c r="W101" i="60"/>
  <c r="X98" i="60"/>
  <c r="Y95" i="60"/>
  <c r="Z92" i="60"/>
  <c r="AA89" i="60"/>
  <c r="U87" i="60"/>
  <c r="V84" i="60"/>
  <c r="W81" i="60"/>
  <c r="X78" i="60"/>
  <c r="Y75" i="60"/>
  <c r="Z72" i="60"/>
  <c r="AA69" i="60"/>
  <c r="U67" i="60"/>
  <c r="V64" i="60"/>
  <c r="W61" i="60"/>
  <c r="X58" i="60"/>
  <c r="Y55" i="60"/>
  <c r="Z52" i="60"/>
  <c r="AA49" i="60"/>
  <c r="U47" i="60"/>
  <c r="V44" i="60"/>
  <c r="W41" i="60"/>
  <c r="X38" i="60"/>
  <c r="Y35" i="60"/>
  <c r="Z32" i="60"/>
  <c r="V27" i="60"/>
  <c r="X24" i="60"/>
  <c r="Z21" i="60"/>
  <c r="V17" i="60"/>
  <c r="X14" i="60"/>
  <c r="Z11" i="60"/>
  <c r="V7" i="60"/>
  <c r="X4" i="60"/>
  <c r="Z8" i="60"/>
  <c r="V115" i="60"/>
  <c r="V75" i="60"/>
  <c r="X49" i="60"/>
  <c r="Y28" i="60"/>
  <c r="AA15" i="60"/>
  <c r="U124" i="60"/>
  <c r="V121" i="60"/>
  <c r="W118" i="60"/>
  <c r="X115" i="60"/>
  <c r="Y112" i="60"/>
  <c r="Z109" i="60"/>
  <c r="AA106" i="60"/>
  <c r="U104" i="60"/>
  <c r="V101" i="60"/>
  <c r="W98" i="60"/>
  <c r="X95" i="60"/>
  <c r="Y92" i="60"/>
  <c r="Z89" i="60"/>
  <c r="AA86" i="60"/>
  <c r="U84" i="60"/>
  <c r="V81" i="60"/>
  <c r="W78" i="60"/>
  <c r="X75" i="60"/>
  <c r="Y72" i="60"/>
  <c r="Z69" i="60"/>
  <c r="AA66" i="60"/>
  <c r="U64" i="60"/>
  <c r="V61" i="60"/>
  <c r="W58" i="60"/>
  <c r="X55" i="60"/>
  <c r="Y52" i="60"/>
  <c r="Z49" i="60"/>
  <c r="AA46" i="60"/>
  <c r="U44" i="60"/>
  <c r="V41" i="60"/>
  <c r="W38" i="60"/>
  <c r="X35" i="60"/>
  <c r="Y32" i="60"/>
  <c r="AA28" i="60"/>
  <c r="U27" i="60"/>
  <c r="W24" i="60"/>
  <c r="Y21" i="60"/>
  <c r="AA18" i="60"/>
  <c r="U17" i="60"/>
  <c r="W14" i="60"/>
  <c r="Y11" i="60"/>
  <c r="AA8" i="60"/>
  <c r="U7" i="60"/>
  <c r="W4" i="60"/>
  <c r="X32" i="60"/>
  <c r="U118" i="60"/>
  <c r="W72" i="60"/>
  <c r="Y46" i="60"/>
  <c r="AA25" i="60"/>
  <c r="AA123" i="60"/>
  <c r="U121" i="60"/>
  <c r="V118" i="60"/>
  <c r="W115" i="60"/>
  <c r="X112" i="60"/>
  <c r="Y109" i="60"/>
  <c r="Z106" i="60"/>
  <c r="AA103" i="60"/>
  <c r="U101" i="60"/>
  <c r="V98" i="60"/>
  <c r="W95" i="60"/>
  <c r="X92" i="60"/>
  <c r="Y89" i="60"/>
  <c r="Z86" i="60"/>
  <c r="AA83" i="60"/>
  <c r="U81" i="60"/>
  <c r="V78" i="60"/>
  <c r="W75" i="60"/>
  <c r="X72" i="60"/>
  <c r="Y69" i="60"/>
  <c r="Z66" i="60"/>
  <c r="AA63" i="60"/>
  <c r="U61" i="60"/>
  <c r="V58" i="60"/>
  <c r="W55" i="60"/>
  <c r="X52" i="60"/>
  <c r="Y49" i="60"/>
  <c r="Z46" i="60"/>
  <c r="AA43" i="60"/>
  <c r="U41" i="60"/>
  <c r="V38" i="60"/>
  <c r="W35" i="60"/>
  <c r="V24" i="60"/>
  <c r="X21" i="60"/>
  <c r="Z18" i="60"/>
  <c r="W112" i="60"/>
  <c r="Z43" i="60"/>
  <c r="W11" i="60"/>
  <c r="V123" i="60"/>
  <c r="W120" i="60"/>
  <c r="X117" i="60"/>
  <c r="Y114" i="60"/>
  <c r="Z111" i="60"/>
  <c r="AA108" i="60"/>
  <c r="U106" i="60"/>
  <c r="V103" i="60"/>
  <c r="W100" i="60"/>
  <c r="X97" i="60"/>
  <c r="Y94" i="60"/>
  <c r="Z91" i="60"/>
  <c r="AA88" i="60"/>
  <c r="U86" i="60"/>
  <c r="V83" i="60"/>
  <c r="W80" i="60"/>
  <c r="X77" i="60"/>
  <c r="Y74" i="60"/>
  <c r="Z71" i="60"/>
  <c r="AA68" i="60"/>
  <c r="U66" i="60"/>
  <c r="V63" i="60"/>
  <c r="W60" i="60"/>
  <c r="X57" i="60"/>
  <c r="Y54" i="60"/>
  <c r="Z51" i="60"/>
  <c r="AA48" i="60"/>
  <c r="U46" i="60"/>
  <c r="V43" i="60"/>
  <c r="W40" i="60"/>
  <c r="X37" i="60"/>
  <c r="Y34" i="60"/>
  <c r="Z31" i="60"/>
  <c r="AA29" i="60"/>
  <c r="U28" i="60"/>
  <c r="W25" i="60"/>
  <c r="Y22" i="60"/>
  <c r="AA19" i="60"/>
  <c r="U18" i="60"/>
  <c r="W15" i="60"/>
  <c r="Y12" i="60"/>
  <c r="AA9" i="60"/>
  <c r="U8" i="60"/>
  <c r="W5" i="60"/>
  <c r="F4" i="60"/>
  <c r="F30" i="60" s="1"/>
  <c r="U123" i="60"/>
  <c r="V120" i="60"/>
  <c r="W117" i="60"/>
  <c r="X114" i="60"/>
  <c r="Y111" i="60"/>
  <c r="V122" i="60"/>
  <c r="W119" i="60"/>
  <c r="X116" i="60"/>
  <c r="Y113" i="60"/>
  <c r="Z110" i="60"/>
  <c r="AA107" i="60"/>
  <c r="U105" i="60"/>
  <c r="V102" i="60"/>
  <c r="W99" i="60"/>
  <c r="X96" i="60"/>
  <c r="Y93" i="60"/>
  <c r="Z90" i="60"/>
  <c r="AA87" i="60"/>
  <c r="U85" i="60"/>
  <c r="V82" i="60"/>
  <c r="W79" i="60"/>
  <c r="X76" i="60"/>
  <c r="Y73" i="60"/>
  <c r="Z70" i="60"/>
  <c r="AA67" i="60"/>
  <c r="U65" i="60"/>
  <c r="V62" i="60"/>
  <c r="W59" i="60"/>
  <c r="X56" i="60"/>
  <c r="Y53" i="60"/>
  <c r="Z50" i="60"/>
  <c r="AA47" i="60"/>
  <c r="U45" i="60"/>
  <c r="V42" i="60"/>
  <c r="W39" i="60"/>
  <c r="X36" i="60"/>
  <c r="Y33" i="60"/>
  <c r="Z30" i="60"/>
  <c r="V26" i="60"/>
  <c r="X23" i="60"/>
  <c r="Z20" i="60"/>
  <c r="V16" i="60"/>
  <c r="X13" i="60"/>
  <c r="Z10" i="60"/>
  <c r="V6" i="60"/>
  <c r="X123" i="60"/>
  <c r="Y116" i="60"/>
  <c r="Y108" i="60"/>
  <c r="Y102" i="60"/>
  <c r="AA94" i="60"/>
  <c r="X88" i="60"/>
  <c r="Y80" i="60"/>
  <c r="X74" i="60"/>
  <c r="X68" i="60"/>
  <c r="X62" i="60"/>
  <c r="U55" i="60"/>
  <c r="U49" i="60"/>
  <c r="AA42" i="60"/>
  <c r="AA36" i="60"/>
  <c r="AA30" i="60"/>
  <c r="AA114" i="60"/>
  <c r="X108" i="60"/>
  <c r="X102" i="60"/>
  <c r="Z94" i="60"/>
  <c r="W88" i="60"/>
  <c r="X80" i="60"/>
  <c r="W74" i="60"/>
  <c r="W68" i="60"/>
  <c r="W62" i="60"/>
  <c r="AA54" i="60"/>
  <c r="Z48" i="60"/>
  <c r="Z42" i="60"/>
  <c r="Z36" i="60"/>
  <c r="V112" i="60"/>
  <c r="Z65" i="60"/>
  <c r="V29" i="60"/>
  <c r="Y91" i="60"/>
  <c r="X71" i="60"/>
  <c r="AA45" i="60"/>
  <c r="W22" i="60"/>
  <c r="Z9" i="60"/>
  <c r="X105" i="60"/>
  <c r="W71" i="60"/>
  <c r="AA51" i="60"/>
  <c r="Z45" i="60"/>
  <c r="V22" i="60"/>
  <c r="Y9" i="60"/>
  <c r="W111" i="60"/>
  <c r="V77" i="60"/>
  <c r="Y51" i="60"/>
  <c r="V32" i="60"/>
  <c r="Y15" i="60"/>
  <c r="Y97" i="60"/>
  <c r="Y57" i="60"/>
  <c r="U32" i="60"/>
  <c r="X15" i="60"/>
  <c r="Y103" i="60"/>
  <c r="AA76" i="60"/>
  <c r="X63" i="60"/>
  <c r="W57" i="60"/>
  <c r="W45" i="60"/>
  <c r="U109" i="60"/>
  <c r="Z68" i="60"/>
  <c r="V37" i="60"/>
  <c r="W123" i="60"/>
  <c r="V21" i="60"/>
  <c r="V18" i="60"/>
  <c r="U15" i="60"/>
  <c r="U12" i="60"/>
  <c r="U9" i="60"/>
  <c r="Y5" i="60"/>
  <c r="V117" i="60"/>
  <c r="W109" i="60"/>
  <c r="W103" i="60"/>
  <c r="U97" i="60"/>
  <c r="V89" i="60"/>
  <c r="Z82" i="60"/>
  <c r="Y76" i="60"/>
  <c r="V69" i="60"/>
  <c r="U63" i="60"/>
  <c r="U57" i="60"/>
  <c r="Y43" i="60"/>
  <c r="X31" i="60"/>
  <c r="U21" i="60"/>
  <c r="AA116" i="60"/>
  <c r="X82" i="60"/>
  <c r="Z62" i="60"/>
  <c r="Z56" i="60"/>
  <c r="V31" i="60"/>
  <c r="AA122" i="60"/>
  <c r="Z114" i="60"/>
  <c r="W108" i="60"/>
  <c r="W102" i="60"/>
  <c r="X94" i="60"/>
  <c r="V88" i="60"/>
  <c r="V80" i="60"/>
  <c r="V74" i="60"/>
  <c r="V68" i="60"/>
  <c r="Z60" i="60"/>
  <c r="Z54" i="60"/>
  <c r="Y48" i="60"/>
  <c r="Y42" i="60"/>
  <c r="Y36" i="60"/>
  <c r="Z122" i="60"/>
  <c r="W114" i="60"/>
  <c r="V108" i="60"/>
  <c r="Z100" i="60"/>
  <c r="W94" i="60"/>
  <c r="U88" i="60"/>
  <c r="U80" i="60"/>
  <c r="U74" i="60"/>
  <c r="U68" i="60"/>
  <c r="Y60" i="60"/>
  <c r="X54" i="60"/>
  <c r="X48" i="60"/>
  <c r="X42" i="60"/>
  <c r="U35" i="60"/>
  <c r="AA26" i="60"/>
  <c r="AA23" i="60"/>
  <c r="AA20" i="60"/>
  <c r="I4" i="60"/>
  <c r="I30" i="60" s="1"/>
  <c r="Z13" i="60"/>
  <c r="X120" i="60"/>
  <c r="AA77" i="60"/>
  <c r="AA71" i="60"/>
  <c r="Z59" i="60"/>
  <c r="V40" i="60"/>
  <c r="Z25" i="60"/>
  <c r="Z22" i="60"/>
  <c r="C4" i="60"/>
  <c r="C30" i="60" s="1"/>
  <c r="AA119" i="60"/>
  <c r="X65" i="60"/>
  <c r="X28" i="60"/>
  <c r="W16" i="60"/>
  <c r="Z117" i="60"/>
  <c r="AA70" i="60"/>
  <c r="W51" i="60"/>
  <c r="AA37" i="60"/>
  <c r="U51" i="60"/>
  <c r="X8" i="60"/>
  <c r="U117" i="60"/>
  <c r="AA96" i="60"/>
  <c r="Y82" i="60"/>
  <c r="U69" i="60"/>
  <c r="AA56" i="60"/>
  <c r="X43" i="60"/>
  <c r="W31" i="60"/>
  <c r="V8" i="60"/>
  <c r="Z15" i="60"/>
  <c r="V111" i="60"/>
  <c r="W8" i="60"/>
  <c r="Z96" i="60"/>
  <c r="W43" i="60"/>
  <c r="Y122" i="60"/>
  <c r="V114" i="60"/>
  <c r="U108" i="60"/>
  <c r="Y100" i="60"/>
  <c r="V94" i="60"/>
  <c r="W86" i="60"/>
  <c r="AA79" i="60"/>
  <c r="AA73" i="60"/>
  <c r="X66" i="60"/>
  <c r="X60" i="60"/>
  <c r="W54" i="60"/>
  <c r="W48" i="60"/>
  <c r="W42" i="60"/>
  <c r="AA34" i="60"/>
  <c r="Z29" i="60"/>
  <c r="Z26" i="60"/>
  <c r="Z23" i="60"/>
  <c r="H4" i="60"/>
  <c r="H30" i="60" s="1"/>
  <c r="Z34" i="60"/>
  <c r="G4" i="60"/>
  <c r="G30" i="60" s="1"/>
  <c r="Z113" i="60"/>
  <c r="Z85" i="60"/>
  <c r="AA65" i="60"/>
  <c r="X46" i="60"/>
  <c r="W26" i="60"/>
  <c r="Z16" i="60"/>
  <c r="D4" i="60"/>
  <c r="D30" i="60" s="1"/>
  <c r="AA105" i="60"/>
  <c r="Z53" i="60"/>
  <c r="Y16" i="60"/>
  <c r="Y105" i="60"/>
  <c r="AA39" i="60"/>
  <c r="Z6" i="60"/>
  <c r="W77" i="60"/>
  <c r="W28" i="60"/>
  <c r="Y6" i="60"/>
  <c r="X83" i="60"/>
  <c r="X6" i="60"/>
  <c r="U77" i="60"/>
  <c r="W6" i="60"/>
  <c r="U83" i="60"/>
  <c r="W18" i="60"/>
  <c r="V12" i="60"/>
  <c r="Z5" i="60"/>
  <c r="AA110" i="60"/>
  <c r="V97" i="60"/>
  <c r="AA90" i="60"/>
  <c r="Z76" i="60"/>
  <c r="W63" i="60"/>
  <c r="V51" i="60"/>
  <c r="Z37" i="60"/>
  <c r="U75" i="60"/>
  <c r="U5" i="60"/>
  <c r="U11" i="60"/>
  <c r="X122" i="60"/>
  <c r="U114" i="60"/>
  <c r="X106" i="60"/>
  <c r="X100" i="60"/>
  <c r="U94" i="60"/>
  <c r="V86" i="60"/>
  <c r="Z79" i="60"/>
  <c r="Z73" i="60"/>
  <c r="W66" i="60"/>
  <c r="V60" i="60"/>
  <c r="V54" i="60"/>
  <c r="V48" i="60"/>
  <c r="Z40" i="60"/>
  <c r="Y29" i="60"/>
  <c r="Y26" i="60"/>
  <c r="Y23" i="60"/>
  <c r="V106" i="60"/>
  <c r="X79" i="60"/>
  <c r="AA59" i="60"/>
  <c r="X40" i="60"/>
  <c r="W29" i="60"/>
  <c r="Z19" i="60"/>
  <c r="U92" i="60"/>
  <c r="W46" i="60"/>
  <c r="Y19" i="60"/>
  <c r="Y99" i="60"/>
  <c r="U52" i="60"/>
  <c r="W19" i="60"/>
  <c r="V85" i="60"/>
  <c r="Z33" i="60"/>
  <c r="W91" i="60"/>
  <c r="U19" i="60"/>
  <c r="V91" i="60"/>
  <c r="W97" i="60"/>
  <c r="V5" i="60"/>
  <c r="Z88" i="60"/>
  <c r="W122" i="60"/>
  <c r="AA113" i="60"/>
  <c r="W106" i="60"/>
  <c r="V100" i="60"/>
  <c r="AA93" i="60"/>
  <c r="AA85" i="60"/>
  <c r="Y79" i="60"/>
  <c r="V72" i="60"/>
  <c r="V66" i="60"/>
  <c r="U60" i="60"/>
  <c r="U54" i="60"/>
  <c r="U48" i="60"/>
  <c r="Y40" i="60"/>
  <c r="X34" i="60"/>
  <c r="X29" i="60"/>
  <c r="X26" i="60"/>
  <c r="AA16" i="60"/>
  <c r="AA13" i="60"/>
  <c r="AA10" i="60"/>
  <c r="E4" i="60"/>
  <c r="E30" i="60" s="1"/>
  <c r="Y120" i="60"/>
  <c r="U100" i="60"/>
  <c r="Z93" i="60"/>
  <c r="U72" i="60"/>
  <c r="AA53" i="60"/>
  <c r="W34" i="60"/>
  <c r="AA22" i="60"/>
  <c r="AA99" i="60"/>
  <c r="V34" i="60"/>
  <c r="Y13" i="60"/>
  <c r="AA111" i="60"/>
  <c r="AA33" i="60"/>
  <c r="X91" i="60"/>
  <c r="V25" i="60"/>
  <c r="Z97" i="60"/>
  <c r="X12" i="60"/>
  <c r="W83" i="60"/>
  <c r="U91" i="60"/>
  <c r="AA31" i="60"/>
  <c r="V15" i="60"/>
  <c r="V9" i="60"/>
  <c r="Y117" i="60"/>
  <c r="X103" i="60"/>
  <c r="AA82" i="60"/>
  <c r="W69" i="60"/>
  <c r="V57" i="60"/>
  <c r="V45" i="60"/>
  <c r="Y31" i="60"/>
  <c r="U103" i="60"/>
  <c r="V11" i="60"/>
  <c r="Y85" i="60"/>
  <c r="W85" i="60"/>
  <c r="Y77" i="60"/>
  <c r="X59" i="60"/>
  <c r="X25" i="60"/>
  <c r="AA12" i="60"/>
  <c r="X111" i="60"/>
  <c r="W65" i="60"/>
  <c r="AA57" i="60"/>
  <c r="Z39" i="60"/>
  <c r="Z12" i="60"/>
  <c r="Y119" i="60"/>
  <c r="V65" i="60"/>
  <c r="Y45" i="60"/>
  <c r="U25" i="60"/>
  <c r="X9" i="60"/>
  <c r="V105" i="60"/>
  <c r="X51" i="60"/>
  <c r="AA102" i="60"/>
  <c r="AA74" i="60"/>
  <c r="W49" i="60"/>
  <c r="X99" i="60"/>
  <c r="Y37" i="60"/>
  <c r="X5" i="60"/>
  <c r="V109" i="60"/>
  <c r="U89" i="60"/>
  <c r="AA62" i="60"/>
  <c r="AA50" i="60"/>
  <c r="W37" i="60"/>
  <c r="U120" i="60"/>
  <c r="U112" i="60"/>
  <c r="Z105" i="60"/>
  <c r="Z99" i="60"/>
  <c r="AA91" i="60"/>
  <c r="X85" i="60"/>
  <c r="Z77" i="60"/>
  <c r="Y71" i="60"/>
  <c r="Y65" i="60"/>
  <c r="Y59" i="60"/>
  <c r="V52" i="60"/>
  <c r="V46" i="60"/>
  <c r="U40" i="60"/>
  <c r="U34" i="60"/>
  <c r="U29" i="60"/>
  <c r="Y25" i="60"/>
  <c r="X22" i="60"/>
  <c r="X19" i="60"/>
  <c r="X16" i="60"/>
  <c r="AA6" i="60"/>
  <c r="Z119" i="60"/>
  <c r="V19" i="60"/>
  <c r="W105" i="60"/>
  <c r="V71" i="60"/>
  <c r="Z57" i="60"/>
  <c r="Y39" i="60"/>
  <c r="V28" i="60"/>
  <c r="U22" i="60"/>
  <c r="X119" i="60"/>
  <c r="U71" i="60"/>
  <c r="Y63" i="60"/>
  <c r="X45" i="60"/>
  <c r="X39" i="60"/>
  <c r="X18" i="60"/>
  <c r="W12" i="60"/>
  <c r="W9" i="60"/>
  <c r="U111" i="60"/>
  <c r="Z116" i="60"/>
  <c r="Z108" i="60"/>
  <c r="Z102" i="60"/>
  <c r="Y96" i="60"/>
  <c r="Y88" i="60"/>
  <c r="W82" i="60"/>
  <c r="Z74" i="60"/>
  <c r="Y68" i="60"/>
  <c r="Y62" i="60"/>
  <c r="Y56" i="60"/>
  <c r="V49" i="60"/>
  <c r="U43" i="60"/>
  <c r="U37" i="60"/>
  <c r="U31" i="60"/>
  <c r="AA124" i="72"/>
  <c r="U122" i="72"/>
  <c r="V119" i="72"/>
  <c r="W116" i="72"/>
  <c r="X113" i="72"/>
  <c r="Y110" i="72"/>
  <c r="Z107" i="72"/>
  <c r="AA104" i="72"/>
  <c r="U102" i="72"/>
  <c r="V99" i="72"/>
  <c r="W96" i="72"/>
  <c r="X93" i="72"/>
  <c r="Y90" i="72"/>
  <c r="Z87" i="72"/>
  <c r="AA84" i="72"/>
  <c r="U82" i="72"/>
  <c r="V79" i="72"/>
  <c r="W76" i="72"/>
  <c r="X73" i="72"/>
  <c r="Y70" i="72"/>
  <c r="Z67" i="72"/>
  <c r="AA64" i="72"/>
  <c r="U62" i="72"/>
  <c r="V59" i="72"/>
  <c r="W56" i="72"/>
  <c r="X53" i="72"/>
  <c r="Y50" i="72"/>
  <c r="Z47" i="72"/>
  <c r="AA44" i="72"/>
  <c r="U42" i="72"/>
  <c r="V39" i="72"/>
  <c r="W36" i="72"/>
  <c r="X33" i="72"/>
  <c r="Y30" i="72"/>
  <c r="Z28" i="72"/>
  <c r="V24" i="72"/>
  <c r="X21" i="72"/>
  <c r="Z18" i="72"/>
  <c r="V14" i="72"/>
  <c r="X11" i="72"/>
  <c r="Z8" i="72"/>
  <c r="V4" i="72"/>
  <c r="Z118" i="72"/>
  <c r="AA115" i="72"/>
  <c r="V110" i="72"/>
  <c r="X104" i="72"/>
  <c r="Z98" i="72"/>
  <c r="U93" i="72"/>
  <c r="V90" i="72"/>
  <c r="Y81" i="72"/>
  <c r="Z124" i="72"/>
  <c r="AA121" i="72"/>
  <c r="U119" i="72"/>
  <c r="V116" i="72"/>
  <c r="W113" i="72"/>
  <c r="X110" i="72"/>
  <c r="Y107" i="72"/>
  <c r="Z104" i="72"/>
  <c r="AA101" i="72"/>
  <c r="U99" i="72"/>
  <c r="V96" i="72"/>
  <c r="W93" i="72"/>
  <c r="X90" i="72"/>
  <c r="Y87" i="72"/>
  <c r="Z84" i="72"/>
  <c r="AA81" i="72"/>
  <c r="U79" i="72"/>
  <c r="V76" i="72"/>
  <c r="W73" i="72"/>
  <c r="X70" i="72"/>
  <c r="Y67" i="72"/>
  <c r="Z64" i="72"/>
  <c r="AA61" i="72"/>
  <c r="U59" i="72"/>
  <c r="V56" i="72"/>
  <c r="W53" i="72"/>
  <c r="X50" i="72"/>
  <c r="Y47" i="72"/>
  <c r="Z44" i="72"/>
  <c r="AA41" i="72"/>
  <c r="U39" i="72"/>
  <c r="V36" i="72"/>
  <c r="W33" i="72"/>
  <c r="X30" i="72"/>
  <c r="Y28" i="72"/>
  <c r="AA25" i="72"/>
  <c r="U24" i="72"/>
  <c r="W21" i="72"/>
  <c r="Y18" i="72"/>
  <c r="AA15" i="72"/>
  <c r="U14" i="72"/>
  <c r="W11" i="72"/>
  <c r="Y8" i="72"/>
  <c r="AA5" i="72"/>
  <c r="U4" i="72"/>
  <c r="Y124" i="72"/>
  <c r="Z121" i="72"/>
  <c r="AA118" i="72"/>
  <c r="U116" i="72"/>
  <c r="V113" i="72"/>
  <c r="W110" i="72"/>
  <c r="X107" i="72"/>
  <c r="Y104" i="72"/>
  <c r="Z101" i="72"/>
  <c r="AA98" i="72"/>
  <c r="U96" i="72"/>
  <c r="V93" i="72"/>
  <c r="W90" i="72"/>
  <c r="X87" i="72"/>
  <c r="Y84" i="72"/>
  <c r="Z81" i="72"/>
  <c r="AA78" i="72"/>
  <c r="U76" i="72"/>
  <c r="V73" i="72"/>
  <c r="W70" i="72"/>
  <c r="X67" i="72"/>
  <c r="Y64" i="72"/>
  <c r="Z61" i="72"/>
  <c r="AA58" i="72"/>
  <c r="U56" i="72"/>
  <c r="V53" i="72"/>
  <c r="W50" i="72"/>
  <c r="X47" i="72"/>
  <c r="Y44" i="72"/>
  <c r="Z41" i="72"/>
  <c r="AA38" i="72"/>
  <c r="U36" i="72"/>
  <c r="V33" i="72"/>
  <c r="W30" i="72"/>
  <c r="X28" i="72"/>
  <c r="Z25" i="72"/>
  <c r="V21" i="72"/>
  <c r="X18" i="72"/>
  <c r="Z15" i="72"/>
  <c r="V11" i="72"/>
  <c r="X8" i="72"/>
  <c r="Z5" i="72"/>
  <c r="I4" i="72"/>
  <c r="X124" i="72"/>
  <c r="U113" i="72"/>
  <c r="W107" i="72"/>
  <c r="Y101" i="72"/>
  <c r="AA95" i="72"/>
  <c r="W87" i="72"/>
  <c r="X84" i="72"/>
  <c r="Z78" i="72"/>
  <c r="Y123" i="72"/>
  <c r="Z120" i="72"/>
  <c r="AA117" i="72"/>
  <c r="U115" i="72"/>
  <c r="V112" i="72"/>
  <c r="W109" i="72"/>
  <c r="X106" i="72"/>
  <c r="Y103" i="72"/>
  <c r="Z100" i="72"/>
  <c r="AA97" i="72"/>
  <c r="U95" i="72"/>
  <c r="V92" i="72"/>
  <c r="W89" i="72"/>
  <c r="X86" i="72"/>
  <c r="Y83" i="72"/>
  <c r="Z80" i="72"/>
  <c r="AA77" i="72"/>
  <c r="U75" i="72"/>
  <c r="V72" i="72"/>
  <c r="W69" i="72"/>
  <c r="X66" i="72"/>
  <c r="Y63" i="72"/>
  <c r="Z60" i="72"/>
  <c r="AA57" i="72"/>
  <c r="U55" i="72"/>
  <c r="V52" i="72"/>
  <c r="W49" i="72"/>
  <c r="X46" i="72"/>
  <c r="Y43" i="72"/>
  <c r="Z40" i="72"/>
  <c r="AA37" i="72"/>
  <c r="U35" i="72"/>
  <c r="V32" i="72"/>
  <c r="W29" i="72"/>
  <c r="Y26" i="72"/>
  <c r="AA23" i="72"/>
  <c r="U22" i="72"/>
  <c r="W19" i="72"/>
  <c r="Y16" i="72"/>
  <c r="AA13" i="72"/>
  <c r="U12" i="72"/>
  <c r="W9" i="72"/>
  <c r="Y6" i="72"/>
  <c r="X123" i="72"/>
  <c r="Y120" i="72"/>
  <c r="Z117" i="72"/>
  <c r="AA114" i="72"/>
  <c r="U112" i="72"/>
  <c r="V109" i="72"/>
  <c r="W106" i="72"/>
  <c r="X103" i="72"/>
  <c r="Y100" i="72"/>
  <c r="Z97" i="72"/>
  <c r="AA94" i="72"/>
  <c r="U92" i="72"/>
  <c r="V89" i="72"/>
  <c r="W86" i="72"/>
  <c r="X83" i="72"/>
  <c r="Y80" i="72"/>
  <c r="Z77" i="72"/>
  <c r="AA74" i="72"/>
  <c r="U72" i="72"/>
  <c r="V69" i="72"/>
  <c r="W66" i="72"/>
  <c r="X63" i="72"/>
  <c r="Y60" i="72"/>
  <c r="Z57" i="72"/>
  <c r="AA54" i="72"/>
  <c r="U52" i="72"/>
  <c r="V49" i="72"/>
  <c r="W46" i="72"/>
  <c r="X43" i="72"/>
  <c r="Y40" i="72"/>
  <c r="Z37" i="72"/>
  <c r="AA34" i="72"/>
  <c r="U32" i="72"/>
  <c r="W124" i="72"/>
  <c r="X120" i="72"/>
  <c r="Z116" i="72"/>
  <c r="X112" i="72"/>
  <c r="X108" i="72"/>
  <c r="V104" i="72"/>
  <c r="V100" i="72"/>
  <c r="X96" i="72"/>
  <c r="AA91" i="72"/>
  <c r="V88" i="72"/>
  <c r="AA83" i="72"/>
  <c r="AA79" i="72"/>
  <c r="Z75" i="72"/>
  <c r="AA71" i="72"/>
  <c r="W68" i="72"/>
  <c r="W64" i="72"/>
  <c r="X60" i="72"/>
  <c r="AA56" i="72"/>
  <c r="AA52" i="72"/>
  <c r="U49" i="72"/>
  <c r="X45" i="72"/>
  <c r="X41" i="72"/>
  <c r="Y37" i="72"/>
  <c r="U34" i="72"/>
  <c r="U30" i="72"/>
  <c r="U26" i="72"/>
  <c r="Y24" i="72"/>
  <c r="Z22" i="72"/>
  <c r="W17" i="72"/>
  <c r="X15" i="72"/>
  <c r="U10" i="72"/>
  <c r="V8" i="72"/>
  <c r="Z6" i="72"/>
  <c r="V124" i="72"/>
  <c r="W120" i="72"/>
  <c r="Y116" i="72"/>
  <c r="W112" i="72"/>
  <c r="W108" i="72"/>
  <c r="U104" i="72"/>
  <c r="U100" i="72"/>
  <c r="Z95" i="72"/>
  <c r="Z91" i="72"/>
  <c r="Z83" i="72"/>
  <c r="Z79" i="72"/>
  <c r="Y75" i="72"/>
  <c r="Z71" i="72"/>
  <c r="V68" i="72"/>
  <c r="V64" i="72"/>
  <c r="W60" i="72"/>
  <c r="Z56" i="72"/>
  <c r="Z52" i="72"/>
  <c r="AA48" i="72"/>
  <c r="W45" i="72"/>
  <c r="W41" i="72"/>
  <c r="X37" i="72"/>
  <c r="AA33" i="72"/>
  <c r="AA29" i="72"/>
  <c r="X24" i="72"/>
  <c r="V17" i="72"/>
  <c r="W15" i="72"/>
  <c r="Z13" i="72"/>
  <c r="U8" i="72"/>
  <c r="X6" i="72"/>
  <c r="V120" i="72"/>
  <c r="W83" i="72"/>
  <c r="Y56" i="72"/>
  <c r="V41" i="72"/>
  <c r="U17" i="72"/>
  <c r="U120" i="72"/>
  <c r="W75" i="72"/>
  <c r="AA63" i="72"/>
  <c r="U88" i="72"/>
  <c r="Y22" i="72"/>
  <c r="X116" i="72"/>
  <c r="AA111" i="72"/>
  <c r="V108" i="72"/>
  <c r="AA103" i="72"/>
  <c r="AA99" i="72"/>
  <c r="Y95" i="72"/>
  <c r="Y91" i="72"/>
  <c r="AA87" i="72"/>
  <c r="Y79" i="72"/>
  <c r="X75" i="72"/>
  <c r="Y71" i="72"/>
  <c r="U68" i="72"/>
  <c r="U64" i="72"/>
  <c r="V60" i="72"/>
  <c r="Y52" i="72"/>
  <c r="Z48" i="72"/>
  <c r="V45" i="72"/>
  <c r="W37" i="72"/>
  <c r="Z33" i="72"/>
  <c r="Z29" i="72"/>
  <c r="W24" i="72"/>
  <c r="X22" i="72"/>
  <c r="AA20" i="72"/>
  <c r="V15" i="72"/>
  <c r="Y13" i="72"/>
  <c r="W6" i="72"/>
  <c r="AA4" i="72"/>
  <c r="AA123" i="72"/>
  <c r="Z115" i="72"/>
  <c r="Z111" i="72"/>
  <c r="U108" i="72"/>
  <c r="Z103" i="72"/>
  <c r="Z99" i="72"/>
  <c r="X95" i="72"/>
  <c r="X91" i="72"/>
  <c r="V87" i="72"/>
  <c r="V83" i="72"/>
  <c r="X79" i="72"/>
  <c r="X71" i="72"/>
  <c r="AA67" i="72"/>
  <c r="U60" i="72"/>
  <c r="X56" i="72"/>
  <c r="U124" i="72"/>
  <c r="Z122" i="72"/>
  <c r="Y118" i="72"/>
  <c r="Y114" i="72"/>
  <c r="AA110" i="72"/>
  <c r="Y106" i="72"/>
  <c r="Y102" i="72"/>
  <c r="W98" i="72"/>
  <c r="W94" i="72"/>
  <c r="U90" i="72"/>
  <c r="U86" i="72"/>
  <c r="W82" i="72"/>
  <c r="U78" i="72"/>
  <c r="V74" i="72"/>
  <c r="V70" i="72"/>
  <c r="Y66" i="72"/>
  <c r="Z62" i="72"/>
  <c r="Z58" i="72"/>
  <c r="V55" i="72"/>
  <c r="W51" i="72"/>
  <c r="W47" i="72"/>
  <c r="Z43" i="72"/>
  <c r="AA39" i="72"/>
  <c r="AA35" i="72"/>
  <c r="W32" i="72"/>
  <c r="V27" i="72"/>
  <c r="Y122" i="72"/>
  <c r="Z123" i="72"/>
  <c r="W118" i="72"/>
  <c r="Y113" i="72"/>
  <c r="V107" i="72"/>
  <c r="W102" i="72"/>
  <c r="U97" i="72"/>
  <c r="V91" i="72"/>
  <c r="Z85" i="72"/>
  <c r="X80" i="72"/>
  <c r="Z74" i="72"/>
  <c r="AA69" i="72"/>
  <c r="W65" i="72"/>
  <c r="Z59" i="72"/>
  <c r="Y54" i="72"/>
  <c r="U50" i="72"/>
  <c r="Y45" i="72"/>
  <c r="W40" i="72"/>
  <c r="Y35" i="72"/>
  <c r="V31" i="72"/>
  <c r="Z23" i="72"/>
  <c r="AA21" i="72"/>
  <c r="Y19" i="72"/>
  <c r="Y17" i="72"/>
  <c r="AA112" i="72"/>
  <c r="Y111" i="72"/>
  <c r="V106" i="72"/>
  <c r="V101" i="72"/>
  <c r="AA89" i="72"/>
  <c r="V85" i="72"/>
  <c r="U74" i="72"/>
  <c r="Z63" i="72"/>
  <c r="U54" i="72"/>
  <c r="V44" i="72"/>
  <c r="Z34" i="72"/>
  <c r="Y27" i="72"/>
  <c r="V23" i="72"/>
  <c r="AA10" i="72"/>
  <c r="V6" i="72"/>
  <c r="X122" i="72"/>
  <c r="U101" i="72"/>
  <c r="Z89" i="72"/>
  <c r="Y78" i="72"/>
  <c r="AA68" i="72"/>
  <c r="X58" i="72"/>
  <c r="Y48" i="72"/>
  <c r="X39" i="72"/>
  <c r="Y29" i="72"/>
  <c r="U25" i="72"/>
  <c r="Z10" i="72"/>
  <c r="U6" i="72"/>
  <c r="V117" i="72"/>
  <c r="AA105" i="72"/>
  <c r="Z94" i="72"/>
  <c r="W84" i="72"/>
  <c r="Z73" i="72"/>
  <c r="V63" i="72"/>
  <c r="Z53" i="72"/>
  <c r="AA43" i="72"/>
  <c r="X34" i="72"/>
  <c r="W27" i="72"/>
  <c r="W123" i="72"/>
  <c r="V118" i="72"/>
  <c r="U107" i="72"/>
  <c r="V102" i="72"/>
  <c r="AA96" i="72"/>
  <c r="U91" i="72"/>
  <c r="Y85" i="72"/>
  <c r="W80" i="72"/>
  <c r="Y74" i="72"/>
  <c r="Z69" i="72"/>
  <c r="V65" i="72"/>
  <c r="Y59" i="72"/>
  <c r="X54" i="72"/>
  <c r="AA49" i="72"/>
  <c r="U45" i="72"/>
  <c r="V40" i="72"/>
  <c r="X35" i="72"/>
  <c r="U31" i="72"/>
  <c r="Y25" i="72"/>
  <c r="Y23" i="72"/>
  <c r="Z21" i="72"/>
  <c r="X19" i="72"/>
  <c r="X17" i="72"/>
  <c r="Z4" i="72"/>
  <c r="AA6" i="72"/>
  <c r="X4" i="72"/>
  <c r="AA122" i="72"/>
  <c r="V123" i="72"/>
  <c r="U118" i="72"/>
  <c r="Z112" i="72"/>
  <c r="AA106" i="72"/>
  <c r="X101" i="72"/>
  <c r="Z96" i="72"/>
  <c r="AA90" i="72"/>
  <c r="X85" i="72"/>
  <c r="V80" i="72"/>
  <c r="X74" i="72"/>
  <c r="Y69" i="72"/>
  <c r="U65" i="72"/>
  <c r="X59" i="72"/>
  <c r="W54" i="72"/>
  <c r="Z49" i="72"/>
  <c r="X44" i="72"/>
  <c r="U40" i="72"/>
  <c r="W35" i="72"/>
  <c r="AA30" i="72"/>
  <c r="AA27" i="72"/>
  <c r="X25" i="72"/>
  <c r="X23" i="72"/>
  <c r="Y21" i="72"/>
  <c r="V19" i="72"/>
  <c r="Y4" i="72"/>
  <c r="U123" i="72"/>
  <c r="W74" i="72"/>
  <c r="Y49" i="72"/>
  <c r="W44" i="72"/>
  <c r="Z39" i="72"/>
  <c r="V35" i="72"/>
  <c r="Z30" i="72"/>
  <c r="Z27" i="72"/>
  <c r="W25" i="72"/>
  <c r="W23" i="72"/>
  <c r="U21" i="72"/>
  <c r="U19" i="72"/>
  <c r="X117" i="72"/>
  <c r="W95" i="72"/>
  <c r="W79" i="72"/>
  <c r="U69" i="72"/>
  <c r="Y58" i="72"/>
  <c r="X49" i="72"/>
  <c r="Y39" i="72"/>
  <c r="V30" i="72"/>
  <c r="V25" i="72"/>
  <c r="AA12" i="72"/>
  <c r="W4" i="72"/>
  <c r="W117" i="72"/>
  <c r="X111" i="72"/>
  <c r="U106" i="72"/>
  <c r="V95" i="72"/>
  <c r="U85" i="72"/>
  <c r="AA73" i="72"/>
  <c r="W63" i="72"/>
  <c r="AA53" i="72"/>
  <c r="U44" i="72"/>
  <c r="Y34" i="72"/>
  <c r="X27" i="72"/>
  <c r="U23" i="72"/>
  <c r="Z12" i="72"/>
  <c r="AA8" i="72"/>
  <c r="H4" i="72"/>
  <c r="W122" i="72"/>
  <c r="W111" i="72"/>
  <c r="AA100" i="72"/>
  <c r="Y89" i="72"/>
  <c r="X78" i="72"/>
  <c r="Z68" i="72"/>
  <c r="W58" i="72"/>
  <c r="X48" i="72"/>
  <c r="W39" i="72"/>
  <c r="X29" i="72"/>
  <c r="Y117" i="72"/>
  <c r="Y112" i="72"/>
  <c r="Z106" i="72"/>
  <c r="W101" i="72"/>
  <c r="Y96" i="72"/>
  <c r="Z90" i="72"/>
  <c r="W85" i="72"/>
  <c r="U80" i="72"/>
  <c r="X69" i="72"/>
  <c r="X64" i="72"/>
  <c r="W59" i="72"/>
  <c r="V54" i="72"/>
  <c r="X121" i="72"/>
  <c r="Y115" i="72"/>
  <c r="Z110" i="72"/>
  <c r="X105" i="72"/>
  <c r="Y99" i="72"/>
  <c r="V94" i="72"/>
  <c r="AA88" i="72"/>
  <c r="U83" i="72"/>
  <c r="Y77" i="72"/>
  <c r="AA72" i="72"/>
  <c r="W67" i="72"/>
  <c r="Y62" i="72"/>
  <c r="Y57" i="72"/>
  <c r="X52" i="72"/>
  <c r="U48" i="72"/>
  <c r="U43" i="72"/>
  <c r="X38" i="72"/>
  <c r="Y33" i="72"/>
  <c r="Y20" i="72"/>
  <c r="W18" i="72"/>
  <c r="W16" i="72"/>
  <c r="X14" i="72"/>
  <c r="V12" i="72"/>
  <c r="V10" i="72"/>
  <c r="D4" i="72"/>
  <c r="W121" i="72"/>
  <c r="X115" i="72"/>
  <c r="U110" i="72"/>
  <c r="W105" i="72"/>
  <c r="X99" i="72"/>
  <c r="U94" i="72"/>
  <c r="Z88" i="72"/>
  <c r="AA82" i="72"/>
  <c r="X77" i="72"/>
  <c r="Z72" i="72"/>
  <c r="V67" i="72"/>
  <c r="X62" i="72"/>
  <c r="X57" i="72"/>
  <c r="W52" i="72"/>
  <c r="AA47" i="72"/>
  <c r="AA42" i="72"/>
  <c r="W38" i="72"/>
  <c r="U33" i="72"/>
  <c r="AA22" i="72"/>
  <c r="X20" i="72"/>
  <c r="V18" i="72"/>
  <c r="V16" i="72"/>
  <c r="W14" i="72"/>
  <c r="C4" i="72"/>
  <c r="V121" i="72"/>
  <c r="W115" i="72"/>
  <c r="AA109" i="72"/>
  <c r="V105" i="72"/>
  <c r="W99" i="72"/>
  <c r="AA93" i="72"/>
  <c r="Y88" i="72"/>
  <c r="Z82" i="72"/>
  <c r="W77" i="72"/>
  <c r="Y72" i="72"/>
  <c r="U67" i="72"/>
  <c r="W62" i="72"/>
  <c r="W57" i="72"/>
  <c r="AA51" i="72"/>
  <c r="V47" i="72"/>
  <c r="Z42" i="72"/>
  <c r="V38" i="72"/>
  <c r="AA32" i="72"/>
  <c r="W22" i="72"/>
  <c r="W20" i="72"/>
  <c r="U18" i="72"/>
  <c r="U16" i="72"/>
  <c r="V122" i="72"/>
  <c r="V111" i="72"/>
  <c r="X100" i="72"/>
  <c r="X89" i="72"/>
  <c r="W78" i="72"/>
  <c r="Y68" i="72"/>
  <c r="V58" i="72"/>
  <c r="W48" i="72"/>
  <c r="Z38" i="72"/>
  <c r="V29" i="72"/>
  <c r="AA9" i="72"/>
  <c r="W119" i="72"/>
  <c r="Y108" i="72"/>
  <c r="W97" i="72"/>
  <c r="V86" i="72"/>
  <c r="AA75" i="72"/>
  <c r="Y65" i="72"/>
  <c r="W55" i="72"/>
  <c r="AA45" i="72"/>
  <c r="X36" i="72"/>
  <c r="U28" i="72"/>
  <c r="W12" i="72"/>
  <c r="W8" i="72"/>
  <c r="AA7" i="72"/>
  <c r="V115" i="72"/>
  <c r="Z93" i="72"/>
  <c r="Y82" i="72"/>
  <c r="V62" i="72"/>
  <c r="Y42" i="72"/>
  <c r="AA26" i="72"/>
  <c r="Z19" i="72"/>
  <c r="Z92" i="72"/>
  <c r="V71" i="72"/>
  <c r="V42" i="72"/>
  <c r="V7" i="72"/>
  <c r="AA102" i="72"/>
  <c r="AA70" i="72"/>
  <c r="Y31" i="72"/>
  <c r="X10" i="72"/>
  <c r="Z113" i="72"/>
  <c r="X102" i="72"/>
  <c r="W91" i="72"/>
  <c r="AA80" i="72"/>
  <c r="U70" i="72"/>
  <c r="V50" i="72"/>
  <c r="Y121" i="72"/>
  <c r="U111" i="72"/>
  <c r="W100" i="72"/>
  <c r="U89" i="72"/>
  <c r="V78" i="72"/>
  <c r="X68" i="72"/>
  <c r="U58" i="72"/>
  <c r="V48" i="72"/>
  <c r="Y38" i="72"/>
  <c r="U29" i="72"/>
  <c r="Z9" i="72"/>
  <c r="AA108" i="72"/>
  <c r="Y97" i="72"/>
  <c r="Y76" i="72"/>
  <c r="AA65" i="72"/>
  <c r="Y55" i="72"/>
  <c r="V46" i="72"/>
  <c r="Z36" i="72"/>
  <c r="W28" i="72"/>
  <c r="U20" i="72"/>
  <c r="X16" i="72"/>
  <c r="Y12" i="72"/>
  <c r="Z108" i="72"/>
  <c r="Y86" i="72"/>
  <c r="Z65" i="72"/>
  <c r="U46" i="72"/>
  <c r="V28" i="72"/>
  <c r="X12" i="72"/>
  <c r="Y105" i="72"/>
  <c r="U73" i="72"/>
  <c r="U53" i="72"/>
  <c r="V34" i="72"/>
  <c r="Z11" i="72"/>
  <c r="Z7" i="72"/>
  <c r="E4" i="72"/>
  <c r="Z114" i="72"/>
  <c r="W72" i="72"/>
  <c r="X42" i="72"/>
  <c r="U103" i="72"/>
  <c r="Y41" i="72"/>
  <c r="U61" i="72"/>
  <c r="U7" i="72"/>
  <c r="W92" i="72"/>
  <c r="U81" i="72"/>
  <c r="AA60" i="72"/>
  <c r="AA40" i="72"/>
  <c r="AA59" i="72"/>
  <c r="U121" i="72"/>
  <c r="Z109" i="72"/>
  <c r="Y98" i="72"/>
  <c r="X88" i="72"/>
  <c r="V77" i="72"/>
  <c r="AA66" i="72"/>
  <c r="V57" i="72"/>
  <c r="U47" i="72"/>
  <c r="U38" i="72"/>
  <c r="AA17" i="72"/>
  <c r="X13" i="72"/>
  <c r="Y9" i="72"/>
  <c r="Y5" i="72"/>
  <c r="Z24" i="72"/>
  <c r="Z20" i="72"/>
  <c r="AA16" i="72"/>
  <c r="V13" i="72"/>
  <c r="V9" i="72"/>
  <c r="W5" i="72"/>
  <c r="Z119" i="72"/>
  <c r="U109" i="72"/>
  <c r="U98" i="72"/>
  <c r="AA86" i="72"/>
  <c r="Z76" i="72"/>
  <c r="U66" i="72"/>
  <c r="Y46" i="72"/>
  <c r="AA36" i="72"/>
  <c r="AA28" i="72"/>
  <c r="Z86" i="72"/>
  <c r="U5" i="72"/>
  <c r="X119" i="72"/>
  <c r="X97" i="72"/>
  <c r="X76" i="72"/>
  <c r="X55" i="72"/>
  <c r="Y36" i="72"/>
  <c r="X94" i="72"/>
  <c r="AA19" i="72"/>
  <c r="W104" i="72"/>
  <c r="Y51" i="72"/>
  <c r="Z26" i="72"/>
  <c r="Y15" i="72"/>
  <c r="Y11" i="72"/>
  <c r="Y7" i="72"/>
  <c r="W103" i="72"/>
  <c r="AA92" i="72"/>
  <c r="V82" i="72"/>
  <c r="W71" i="72"/>
  <c r="X61" i="72"/>
  <c r="W42" i="72"/>
  <c r="X32" i="72"/>
  <c r="X26" i="72"/>
  <c r="V22" i="72"/>
  <c r="U15" i="72"/>
  <c r="U11" i="72"/>
  <c r="X7" i="72"/>
  <c r="W114" i="72"/>
  <c r="X81" i="72"/>
  <c r="V51" i="72"/>
  <c r="W26" i="72"/>
  <c r="AA18" i="72"/>
  <c r="X92" i="72"/>
  <c r="AA50" i="72"/>
  <c r="W10" i="72"/>
  <c r="AA120" i="72"/>
  <c r="Y109" i="72"/>
  <c r="X98" i="72"/>
  <c r="W88" i="72"/>
  <c r="U77" i="72"/>
  <c r="Z66" i="72"/>
  <c r="U57" i="72"/>
  <c r="AA46" i="72"/>
  <c r="V37" i="72"/>
  <c r="AA24" i="72"/>
  <c r="Z17" i="72"/>
  <c r="W13" i="72"/>
  <c r="X9" i="72"/>
  <c r="X5" i="72"/>
  <c r="AA119" i="72"/>
  <c r="X109" i="72"/>
  <c r="V98" i="72"/>
  <c r="U87" i="72"/>
  <c r="AA76" i="72"/>
  <c r="V66" i="72"/>
  <c r="AA55" i="72"/>
  <c r="Z46" i="72"/>
  <c r="U37" i="72"/>
  <c r="Z55" i="72"/>
  <c r="V20" i="72"/>
  <c r="Z16" i="72"/>
  <c r="U13" i="72"/>
  <c r="U9" i="72"/>
  <c r="V5" i="72"/>
  <c r="Y119" i="72"/>
  <c r="X114" i="72"/>
  <c r="X51" i="72"/>
  <c r="U114" i="72"/>
  <c r="V81" i="72"/>
  <c r="U41" i="72"/>
  <c r="X118" i="72"/>
  <c r="AA107" i="72"/>
  <c r="V97" i="72"/>
  <c r="AA85" i="72"/>
  <c r="V75" i="72"/>
  <c r="X65" i="72"/>
  <c r="Z54" i="72"/>
  <c r="Z45" i="72"/>
  <c r="Z35" i="72"/>
  <c r="G4" i="72"/>
  <c r="AA116" i="72"/>
  <c r="U84" i="72"/>
  <c r="AA62" i="72"/>
  <c r="V43" i="72"/>
  <c r="Y93" i="72"/>
  <c r="X82" i="72"/>
  <c r="Y61" i="72"/>
  <c r="Y32" i="72"/>
  <c r="Y92" i="72"/>
  <c r="V26" i="72"/>
  <c r="Z14" i="72"/>
  <c r="Y10" i="72"/>
  <c r="Z102" i="72"/>
  <c r="Z50" i="72"/>
  <c r="W31" i="72"/>
  <c r="U117" i="72"/>
  <c r="Z105" i="72"/>
  <c r="Y94" i="72"/>
  <c r="V84" i="72"/>
  <c r="Y73" i="72"/>
  <c r="U63" i="72"/>
  <c r="Y53" i="72"/>
  <c r="W43" i="72"/>
  <c r="W34" i="72"/>
  <c r="U27" i="72"/>
  <c r="AA11" i="72"/>
  <c r="F4" i="72"/>
  <c r="U105" i="72"/>
  <c r="X72" i="72"/>
  <c r="Z51" i="72"/>
  <c r="Z32" i="72"/>
  <c r="V103" i="72"/>
  <c r="W61" i="72"/>
  <c r="AA31" i="72"/>
  <c r="AA14" i="72"/>
  <c r="W7" i="72"/>
  <c r="V114" i="72"/>
  <c r="W81" i="72"/>
  <c r="U71" i="72"/>
  <c r="V61" i="72"/>
  <c r="U51" i="72"/>
  <c r="Z31" i="72"/>
  <c r="Y14" i="72"/>
  <c r="AA113" i="72"/>
  <c r="Z70" i="72"/>
  <c r="X31" i="72"/>
  <c r="X40" i="72"/>
  <c r="V103" i="71"/>
  <c r="W108" i="71"/>
  <c r="Y112" i="71"/>
  <c r="V76" i="71"/>
  <c r="Y58" i="71"/>
  <c r="Z119" i="71"/>
  <c r="Z65" i="71"/>
  <c r="AA73" i="71"/>
  <c r="AA84" i="71"/>
  <c r="W6" i="71"/>
  <c r="Z123" i="71"/>
  <c r="W121" i="71"/>
  <c r="V45" i="71"/>
  <c r="W102" i="71"/>
  <c r="AA87" i="71"/>
  <c r="AA79" i="71"/>
  <c r="V117" i="71"/>
  <c r="X19" i="71"/>
  <c r="X31" i="71"/>
  <c r="V23" i="71"/>
  <c r="Y23" i="71"/>
  <c r="V89" i="71"/>
  <c r="X90" i="71"/>
  <c r="W36" i="71"/>
  <c r="Y88" i="71"/>
  <c r="X49" i="71"/>
  <c r="AA72" i="71"/>
  <c r="AA4" i="71"/>
  <c r="AA8" i="71"/>
  <c r="W10" i="71"/>
  <c r="X75" i="71"/>
  <c r="W90" i="71"/>
  <c r="V112" i="71"/>
  <c r="Z95" i="71"/>
  <c r="V61" i="71"/>
  <c r="W52" i="71"/>
  <c r="V35" i="71"/>
  <c r="V25" i="71"/>
  <c r="V72" i="71"/>
  <c r="AA9" i="71"/>
  <c r="W124" i="71"/>
  <c r="V47" i="71"/>
  <c r="X50" i="71"/>
  <c r="X51" i="71"/>
  <c r="Z115" i="71"/>
  <c r="AA116" i="71"/>
  <c r="Z28" i="71"/>
  <c r="W86" i="71"/>
  <c r="V93" i="71"/>
  <c r="Y30" i="71"/>
  <c r="V37" i="71"/>
  <c r="Z56" i="71"/>
  <c r="AA20" i="71"/>
  <c r="X102" i="71"/>
  <c r="V32" i="71"/>
  <c r="V94" i="71"/>
  <c r="W51" i="71"/>
  <c r="V33" i="71"/>
  <c r="V115" i="70"/>
  <c r="V123" i="70"/>
  <c r="V7" i="70"/>
  <c r="AA87" i="70"/>
  <c r="Z124" i="70"/>
  <c r="Y123" i="70"/>
  <c r="Z110" i="70"/>
  <c r="Z58" i="70"/>
  <c r="X31" i="70"/>
  <c r="V111" i="70"/>
  <c r="Y58" i="70"/>
  <c r="V61" i="70"/>
  <c r="W51" i="70"/>
  <c r="W7" i="70"/>
  <c r="V101" i="70"/>
  <c r="Z122" i="70"/>
  <c r="V112" i="70"/>
  <c r="V89" i="70"/>
  <c r="V37" i="70"/>
  <c r="AA73" i="70"/>
  <c r="Y59" i="70"/>
  <c r="Y121" i="70"/>
  <c r="X90" i="70"/>
  <c r="AA78" i="70"/>
  <c r="X102" i="70"/>
  <c r="W86" i="70"/>
  <c r="U25" i="70"/>
  <c r="AA89" i="70"/>
  <c r="V93" i="70"/>
  <c r="V36" i="70"/>
  <c r="Z33" i="70"/>
  <c r="U69" i="70"/>
  <c r="X20" i="70"/>
  <c r="AA107" i="70"/>
  <c r="U70" i="70"/>
  <c r="W6" i="70"/>
  <c r="AA72" i="70"/>
  <c r="W87" i="70"/>
  <c r="Z85" i="70"/>
  <c r="X108" i="70"/>
  <c r="V47" i="70"/>
  <c r="AA48" i="70"/>
  <c r="U24" i="70"/>
  <c r="Z52" i="70"/>
  <c r="AA25" i="70"/>
  <c r="V57" i="70"/>
  <c r="V118" i="70"/>
  <c r="Y46" i="70"/>
  <c r="U32" i="70"/>
  <c r="X49" i="70"/>
  <c r="V25" i="70"/>
  <c r="AA8" i="70"/>
  <c r="Z70" i="70"/>
  <c r="Y20" i="70"/>
  <c r="U112" i="70"/>
  <c r="U33" i="70"/>
  <c r="X107" i="70"/>
  <c r="AA79" i="70"/>
  <c r="V49" i="70"/>
  <c r="X47" i="70"/>
  <c r="Z18" i="70"/>
  <c r="W50" i="70"/>
  <c r="Z106" i="70"/>
  <c r="V83" i="70"/>
  <c r="U107" i="70"/>
  <c r="U113" i="70"/>
  <c r="Y30" i="70"/>
  <c r="Z94" i="70"/>
  <c r="X33" i="70"/>
  <c r="U118" i="70"/>
  <c r="U14" i="70"/>
  <c r="Z69" i="71"/>
  <c r="AA26" i="71"/>
  <c r="U19" i="71"/>
  <c r="AA10" i="71"/>
  <c r="V83" i="71"/>
  <c r="X108" i="71"/>
  <c r="Z52" i="71"/>
  <c r="Z58" i="71"/>
  <c r="X33" i="71"/>
  <c r="U69" i="71"/>
  <c r="AA6" i="71"/>
  <c r="V115" i="71"/>
  <c r="X10" i="71"/>
  <c r="Z94" i="71"/>
  <c r="W46" i="71"/>
  <c r="X103" i="71"/>
  <c r="Y55" i="71"/>
  <c r="Y121" i="71"/>
  <c r="V113" i="71"/>
  <c r="W71" i="71"/>
  <c r="V10" i="71"/>
  <c r="Z116" i="71"/>
  <c r="X20" i="71"/>
  <c r="V49" i="71"/>
  <c r="V118" i="71"/>
  <c r="V39" i="71"/>
  <c r="X7" i="71"/>
  <c r="Z93" i="71"/>
  <c r="X5" i="71"/>
  <c r="Z39" i="71"/>
  <c r="AA5" i="71"/>
  <c r="X35" i="71"/>
  <c r="X106" i="71"/>
  <c r="Z53" i="71"/>
  <c r="X42" i="71"/>
  <c r="Z111" i="71"/>
  <c r="AA47" i="71"/>
  <c r="W89" i="71"/>
  <c r="V68" i="71"/>
  <c r="Y60" i="71"/>
  <c r="Z117" i="71"/>
  <c r="W70" i="71"/>
  <c r="V56" i="71"/>
  <c r="W113" i="71"/>
  <c r="Z107" i="71"/>
  <c r="V16" i="71"/>
  <c r="X121" i="71"/>
  <c r="V73" i="71"/>
  <c r="V116" i="71"/>
  <c r="AA11" i="71"/>
  <c r="W69" i="71"/>
  <c r="X6" i="71"/>
  <c r="Z89" i="71"/>
  <c r="Y54" i="71"/>
  <c r="Z34" i="71"/>
  <c r="AA107" i="71"/>
  <c r="Y59" i="71"/>
  <c r="U13" i="71"/>
  <c r="Z44" i="71"/>
  <c r="V9" i="71"/>
  <c r="V69" i="71"/>
  <c r="U81" i="71"/>
  <c r="Y92" i="71"/>
  <c r="W87" i="71"/>
  <c r="Z64" i="71"/>
  <c r="U51" i="71"/>
  <c r="U100" i="71"/>
  <c r="V71" i="71"/>
  <c r="X13" i="71"/>
  <c r="Z122" i="71"/>
  <c r="Z60" i="71"/>
  <c r="X24" i="71"/>
  <c r="Z110" i="71"/>
  <c r="X30" i="71"/>
  <c r="X62" i="71"/>
  <c r="X86" i="71"/>
  <c r="W85" i="71"/>
  <c r="X48" i="71"/>
  <c r="W23" i="71"/>
  <c r="U24" i="71"/>
  <c r="V65" i="71"/>
  <c r="Z114" i="71"/>
  <c r="V66" i="71"/>
  <c r="AA77" i="71"/>
  <c r="Y46" i="71"/>
  <c r="Y31" i="71"/>
  <c r="X89" i="71"/>
  <c r="V52" i="71"/>
  <c r="X16" i="71"/>
  <c r="Z86" i="71"/>
  <c r="U33" i="71"/>
  <c r="Y57" i="71"/>
  <c r="Y75" i="71"/>
  <c r="Y20" i="71"/>
  <c r="V46" i="71"/>
  <c r="Z70" i="71"/>
  <c r="X122" i="71"/>
  <c r="AA117" i="71"/>
  <c r="U94" i="71"/>
  <c r="V18" i="70"/>
  <c r="AA23" i="70"/>
  <c r="U94" i="70"/>
  <c r="W49" i="70"/>
  <c r="X48" i="70"/>
  <c r="V72" i="70"/>
  <c r="Z120" i="70"/>
  <c r="AA88" i="70"/>
  <c r="Y31" i="70"/>
  <c r="AA24" i="70"/>
  <c r="Y92" i="70"/>
  <c r="AA26" i="70"/>
  <c r="V35" i="70"/>
  <c r="X88" i="70"/>
  <c r="V68" i="70"/>
  <c r="X13" i="70"/>
  <c r="V17" i="70"/>
  <c r="X9" i="70"/>
  <c r="AA117" i="70"/>
  <c r="V52" i="70"/>
  <c r="V86" i="70"/>
  <c r="Z69" i="70"/>
  <c r="Z45" i="70"/>
  <c r="X37" i="70"/>
  <c r="AA77" i="70"/>
  <c r="Z53" i="70"/>
  <c r="X99" i="70"/>
  <c r="Z46" i="70"/>
  <c r="AA27" i="70"/>
  <c r="X121" i="70"/>
  <c r="V50" i="70"/>
  <c r="Z84" i="70"/>
  <c r="V24" i="70"/>
  <c r="U82" i="70"/>
  <c r="U13" i="70"/>
  <c r="W23" i="70"/>
  <c r="W102" i="70"/>
  <c r="Z30" i="70"/>
  <c r="Z111" i="70"/>
  <c r="V103" i="70"/>
  <c r="V51" i="70"/>
  <c r="W46" i="70"/>
  <c r="X103" i="70"/>
  <c r="U53" i="70"/>
  <c r="V110" i="70"/>
  <c r="X30" i="70"/>
  <c r="Z28" i="70"/>
  <c r="V33" i="70"/>
  <c r="V76" i="70"/>
  <c r="Y57" i="70"/>
  <c r="Z65" i="70"/>
  <c r="W114" i="70"/>
  <c r="Z42" i="70"/>
  <c r="Z75" i="70"/>
  <c r="Z116" i="70"/>
  <c r="Y88" i="70"/>
  <c r="AA47" i="70"/>
  <c r="W85" i="70"/>
  <c r="W109" i="70"/>
  <c r="U89" i="70"/>
  <c r="AA11" i="70"/>
  <c r="Y55" i="70"/>
  <c r="V117" i="70"/>
  <c r="AA108" i="70"/>
  <c r="V10" i="70"/>
  <c r="AA9" i="70"/>
  <c r="AA116" i="70"/>
  <c r="U51" i="70"/>
  <c r="W71" i="70"/>
  <c r="Z117" i="70"/>
  <c r="Z114" i="70"/>
  <c r="AA118" i="70"/>
  <c r="X86" i="70"/>
  <c r="Z115" i="70"/>
  <c r="V66" i="70"/>
  <c r="AA10" i="70"/>
  <c r="X6" i="70"/>
  <c r="V87" i="70"/>
  <c r="W18" i="70"/>
  <c r="Z121" i="70"/>
  <c r="X50" i="70"/>
  <c r="U81" i="70"/>
  <c r="V32" i="70"/>
  <c r="X5" i="70"/>
  <c r="X36" i="70"/>
  <c r="W10" i="70"/>
  <c r="W121" i="70"/>
  <c r="Z56" i="70"/>
  <c r="X17" i="70"/>
  <c r="Z39" i="70"/>
  <c r="Z93" i="70"/>
  <c r="X7" i="70"/>
  <c r="V65" i="70"/>
  <c r="U97" i="70"/>
  <c r="V44" i="70"/>
  <c r="Z92" i="70"/>
  <c r="Z4" i="70"/>
  <c r="Z43" i="70"/>
  <c r="AA20" i="70"/>
  <c r="W52" i="70"/>
  <c r="U85" i="70"/>
  <c r="Y75" i="70"/>
  <c r="U19" i="70"/>
  <c r="AA7" i="70"/>
  <c r="V77" i="70"/>
  <c r="Z60" i="70"/>
  <c r="AA4" i="70"/>
  <c r="Z76" i="70"/>
  <c r="Z91" i="70"/>
  <c r="Y60" i="70"/>
  <c r="X89" i="70"/>
  <c r="Y54" i="70"/>
  <c r="Y53" i="70"/>
  <c r="Z89" i="70"/>
  <c r="U46" i="70"/>
  <c r="Z34" i="70"/>
  <c r="X51" i="70"/>
  <c r="V9" i="70"/>
  <c r="V69" i="70"/>
  <c r="U90" i="70"/>
  <c r="X8" i="70"/>
  <c r="X67" i="70"/>
  <c r="Z107" i="70"/>
  <c r="Z37" i="70"/>
  <c r="Y95" i="70"/>
  <c r="V31" i="70"/>
  <c r="U100" i="70"/>
  <c r="Z57" i="70"/>
  <c r="X122" i="70"/>
  <c r="X24" i="70"/>
  <c r="V82" i="70"/>
  <c r="V46" i="70"/>
  <c r="W108" i="70"/>
  <c r="Y120" i="70"/>
  <c r="V94" i="70"/>
  <c r="W120" i="70"/>
  <c r="AA22" i="70"/>
  <c r="W70" i="70"/>
  <c r="V56" i="70"/>
  <c r="W113" i="70"/>
  <c r="X62" i="70"/>
  <c r="Y112" i="70"/>
  <c r="X19" i="70"/>
  <c r="Y84" i="70"/>
  <c r="Z86" i="70"/>
  <c r="AA6" i="70"/>
  <c r="V113" i="70"/>
  <c r="V39" i="70"/>
  <c r="V16" i="70"/>
  <c r="Z44" i="70"/>
  <c r="Y23" i="70"/>
  <c r="X42" i="70"/>
  <c r="U26" i="70"/>
  <c r="X82" i="70"/>
  <c r="X10" i="70"/>
  <c r="AA21" i="70"/>
  <c r="V71" i="70"/>
  <c r="X66" i="70"/>
  <c r="Z62" i="70"/>
  <c r="Y91" i="70"/>
  <c r="X16" i="70"/>
  <c r="Z95" i="70"/>
  <c r="V73" i="70"/>
  <c r="AA5" i="70"/>
  <c r="V116" i="70"/>
  <c r="H29" i="69" l="1"/>
  <c r="E28" i="69"/>
  <c r="D28" i="69"/>
  <c r="C28" i="69"/>
  <c r="G27" i="69"/>
  <c r="G26" i="69"/>
  <c r="F26" i="69"/>
  <c r="E26" i="69"/>
  <c r="D26" i="69"/>
  <c r="F24" i="69"/>
  <c r="E24" i="69"/>
  <c r="C24" i="69"/>
  <c r="F22" i="69"/>
  <c r="E22" i="69"/>
  <c r="I21" i="69"/>
  <c r="H21" i="69"/>
  <c r="I19" i="69"/>
  <c r="H19" i="69"/>
  <c r="I18" i="69"/>
  <c r="H17" i="69"/>
  <c r="I16" i="69"/>
  <c r="G15" i="69"/>
  <c r="F15" i="69"/>
  <c r="E15" i="69"/>
  <c r="D15" i="69"/>
  <c r="C15" i="69"/>
  <c r="I14" i="69"/>
  <c r="I13" i="69"/>
  <c r="H13" i="69"/>
  <c r="G13" i="69"/>
  <c r="F13" i="69"/>
  <c r="D13" i="69"/>
  <c r="C13" i="69"/>
  <c r="E12" i="69"/>
  <c r="D12" i="69"/>
  <c r="I11" i="69"/>
  <c r="H11" i="69"/>
  <c r="G11" i="69"/>
  <c r="E11" i="69"/>
  <c r="D11" i="69"/>
  <c r="C11" i="69"/>
  <c r="E10" i="69"/>
  <c r="D10" i="69"/>
  <c r="I9" i="69"/>
  <c r="C9" i="69"/>
  <c r="E8" i="69"/>
  <c r="D8" i="69"/>
  <c r="F7" i="69"/>
  <c r="E7" i="69"/>
  <c r="D7" i="69"/>
  <c r="C7" i="69"/>
  <c r="F5" i="69"/>
  <c r="E5" i="69"/>
  <c r="D5" i="69"/>
  <c r="C5" i="69"/>
  <c r="A4" i="69" a="1"/>
  <c r="F23" i="69" s="1"/>
  <c r="G24" i="69" l="1"/>
  <c r="H26" i="69"/>
  <c r="G7" i="69"/>
  <c r="D16" i="69"/>
  <c r="H22" i="69"/>
  <c r="I26" i="69"/>
  <c r="H5" i="69"/>
  <c r="D18" i="69"/>
  <c r="I22" i="69"/>
  <c r="D29" i="69"/>
  <c r="I5" i="69"/>
  <c r="F14" i="69"/>
  <c r="F16" i="69"/>
  <c r="E18" i="69"/>
  <c r="D27" i="69"/>
  <c r="E29" i="69"/>
  <c r="G22" i="69"/>
  <c r="G5" i="69"/>
  <c r="C18" i="69"/>
  <c r="C20" i="69"/>
  <c r="H24" i="69"/>
  <c r="C29" i="69"/>
  <c r="H7" i="69"/>
  <c r="E16" i="69"/>
  <c r="D20" i="69"/>
  <c r="I24" i="69"/>
  <c r="G14" i="69"/>
  <c r="G16" i="69"/>
  <c r="F18" i="69"/>
  <c r="E27" i="69"/>
  <c r="F29" i="69"/>
  <c r="C8" i="69"/>
  <c r="C10" i="69"/>
  <c r="C12" i="69"/>
  <c r="H14" i="69"/>
  <c r="H16" i="69"/>
  <c r="G18" i="69"/>
  <c r="F27" i="69"/>
  <c r="G29" i="69"/>
  <c r="C19" i="69"/>
  <c r="G8" i="69"/>
  <c r="C23" i="69"/>
  <c r="I6" i="69"/>
  <c r="I8" i="69"/>
  <c r="I10" i="69"/>
  <c r="E19" i="69"/>
  <c r="D21" i="69"/>
  <c r="D23" i="69"/>
  <c r="H27" i="69"/>
  <c r="I29" i="69"/>
  <c r="F8" i="69"/>
  <c r="A4" i="69"/>
  <c r="C21" i="69"/>
  <c r="F19" i="69"/>
  <c r="E21" i="69"/>
  <c r="I27" i="69"/>
  <c r="C26" i="69"/>
  <c r="E23" i="69"/>
  <c r="G20" i="69"/>
  <c r="I17" i="69"/>
  <c r="C16" i="69"/>
  <c r="E13" i="69"/>
  <c r="G10" i="69"/>
  <c r="I7" i="69"/>
  <c r="C6" i="69"/>
  <c r="H28" i="69"/>
  <c r="D24" i="69"/>
  <c r="F21" i="69"/>
  <c r="H18" i="69"/>
  <c r="D14" i="69"/>
  <c r="F11" i="69"/>
  <c r="H8" i="69"/>
  <c r="F28" i="69"/>
  <c r="H25" i="69"/>
  <c r="C27" i="69"/>
  <c r="F25" i="69"/>
  <c r="D22" i="69"/>
  <c r="G17" i="69"/>
  <c r="E14" i="69"/>
  <c r="H9" i="69"/>
  <c r="F6" i="69"/>
  <c r="E25" i="69"/>
  <c r="C22" i="69"/>
  <c r="I20" i="69"/>
  <c r="F17" i="69"/>
  <c r="C14" i="69"/>
  <c r="I12" i="69"/>
  <c r="G9" i="69"/>
  <c r="E6" i="69"/>
  <c r="I28" i="69"/>
  <c r="C25" i="69"/>
  <c r="F20" i="69"/>
  <c r="D17" i="69"/>
  <c r="I15" i="69"/>
  <c r="G12" i="69"/>
  <c r="C17" i="69"/>
  <c r="D9" i="69"/>
  <c r="D25" i="69"/>
  <c r="H20" i="69"/>
  <c r="E17" i="69"/>
  <c r="H12" i="69"/>
  <c r="F9" i="69"/>
  <c r="D6" i="69"/>
  <c r="I23" i="69"/>
  <c r="E9" i="69"/>
  <c r="G28" i="69"/>
  <c r="H23" i="69"/>
  <c r="E20" i="69"/>
  <c r="H15" i="69"/>
  <c r="F12" i="69"/>
  <c r="G6" i="69"/>
  <c r="F10" i="69"/>
  <c r="G25" i="69"/>
  <c r="H6" i="69"/>
  <c r="H10" i="69"/>
  <c r="D19" i="69"/>
  <c r="I25" i="69"/>
  <c r="G19" i="69"/>
  <c r="G21" i="69"/>
  <c r="G23" i="69"/>
  <c r="AA124" i="69" l="1"/>
  <c r="U122" i="69"/>
  <c r="V119" i="69"/>
  <c r="W116" i="69"/>
  <c r="X113" i="69"/>
  <c r="Y110" i="69"/>
  <c r="Z107" i="69"/>
  <c r="AA104" i="69"/>
  <c r="U102" i="69"/>
  <c r="V99" i="69"/>
  <c r="W96" i="69"/>
  <c r="X93" i="69"/>
  <c r="Y90" i="69"/>
  <c r="Z87" i="69"/>
  <c r="AA84" i="69"/>
  <c r="U82" i="69"/>
  <c r="V79" i="69"/>
  <c r="W76" i="69"/>
  <c r="X73" i="69"/>
  <c r="Y70" i="69"/>
  <c r="Z67" i="69"/>
  <c r="AA64" i="69"/>
  <c r="U62" i="69"/>
  <c r="V59" i="69"/>
  <c r="W56" i="69"/>
  <c r="X53" i="69"/>
  <c r="Y50" i="69"/>
  <c r="Z47" i="69"/>
  <c r="AA44" i="69"/>
  <c r="U42" i="69"/>
  <c r="V39" i="69"/>
  <c r="W36" i="69"/>
  <c r="X33" i="69"/>
  <c r="Y30" i="69"/>
  <c r="Z28" i="69"/>
  <c r="V24" i="69"/>
  <c r="X21" i="69"/>
  <c r="Z18" i="69"/>
  <c r="V14" i="69"/>
  <c r="X11" i="69"/>
  <c r="Z8" i="69"/>
  <c r="V4" i="69"/>
  <c r="AA123" i="69"/>
  <c r="U121" i="69"/>
  <c r="V118" i="69"/>
  <c r="W115" i="69"/>
  <c r="X112" i="69"/>
  <c r="Y109" i="69"/>
  <c r="Z106" i="69"/>
  <c r="AA103" i="69"/>
  <c r="U101" i="69"/>
  <c r="V98" i="69"/>
  <c r="W95" i="69"/>
  <c r="X92" i="69"/>
  <c r="Y89" i="69"/>
  <c r="Z86" i="69"/>
  <c r="AA83" i="69"/>
  <c r="U81" i="69"/>
  <c r="V78" i="69"/>
  <c r="W75" i="69"/>
  <c r="X72" i="69"/>
  <c r="Y69" i="69"/>
  <c r="Z66" i="69"/>
  <c r="AA63" i="69"/>
  <c r="U61" i="69"/>
  <c r="V58" i="69"/>
  <c r="W55" i="69"/>
  <c r="X52" i="69"/>
  <c r="Y49" i="69"/>
  <c r="Z46" i="69"/>
  <c r="AA43" i="69"/>
  <c r="U41" i="69"/>
  <c r="V38" i="69"/>
  <c r="W35" i="69"/>
  <c r="X32" i="69"/>
  <c r="Y29" i="69"/>
  <c r="AA26" i="69"/>
  <c r="U25" i="69"/>
  <c r="W22" i="69"/>
  <c r="Y19" i="69"/>
  <c r="AA16" i="69"/>
  <c r="U15" i="69"/>
  <c r="W12" i="69"/>
  <c r="Y9" i="69"/>
  <c r="AA6" i="69"/>
  <c r="U5" i="69"/>
  <c r="D4" i="69"/>
  <c r="Z123" i="69"/>
  <c r="AA120" i="69"/>
  <c r="U118" i="69"/>
  <c r="V115" i="69"/>
  <c r="W112" i="69"/>
  <c r="X109" i="69"/>
  <c r="Y106" i="69"/>
  <c r="Z103" i="69"/>
  <c r="AA100" i="69"/>
  <c r="U98" i="69"/>
  <c r="V95" i="69"/>
  <c r="W92" i="69"/>
  <c r="X89" i="69"/>
  <c r="Y86" i="69"/>
  <c r="Z83" i="69"/>
  <c r="AA80" i="69"/>
  <c r="U78" i="69"/>
  <c r="V75" i="69"/>
  <c r="W72" i="69"/>
  <c r="X69" i="69"/>
  <c r="Y66" i="69"/>
  <c r="Z63" i="69"/>
  <c r="AA60" i="69"/>
  <c r="U58" i="69"/>
  <c r="V55" i="69"/>
  <c r="W52" i="69"/>
  <c r="X49" i="69"/>
  <c r="Y46" i="69"/>
  <c r="Z43" i="69"/>
  <c r="AA40" i="69"/>
  <c r="U38" i="69"/>
  <c r="V35" i="69"/>
  <c r="W32" i="69"/>
  <c r="Y123" i="69"/>
  <c r="Z120" i="69"/>
  <c r="AA117" i="69"/>
  <c r="U115" i="69"/>
  <c r="V112" i="69"/>
  <c r="W109" i="69"/>
  <c r="X106" i="69"/>
  <c r="Y103" i="69"/>
  <c r="Z100" i="69"/>
  <c r="AA97" i="69"/>
  <c r="U95" i="69"/>
  <c r="V92" i="69"/>
  <c r="W89" i="69"/>
  <c r="X86" i="69"/>
  <c r="Y83" i="69"/>
  <c r="Z80" i="69"/>
  <c r="AA77" i="69"/>
  <c r="U75" i="69"/>
  <c r="V72" i="69"/>
  <c r="W69" i="69"/>
  <c r="X66" i="69"/>
  <c r="Y63" i="69"/>
  <c r="Z60" i="69"/>
  <c r="AA57" i="69"/>
  <c r="U55" i="69"/>
  <c r="V52" i="69"/>
  <c r="W49" i="69"/>
  <c r="X46" i="69"/>
  <c r="Y43" i="69"/>
  <c r="Z40" i="69"/>
  <c r="AA37" i="69"/>
  <c r="U35" i="69"/>
  <c r="V32" i="69"/>
  <c r="W29" i="69"/>
  <c r="Y26" i="69"/>
  <c r="W123" i="69"/>
  <c r="AA119" i="69"/>
  <c r="X116" i="69"/>
  <c r="AA112" i="69"/>
  <c r="U109" i="69"/>
  <c r="Y105" i="69"/>
  <c r="V102" i="69"/>
  <c r="Y98" i="69"/>
  <c r="Z94" i="69"/>
  <c r="W91" i="69"/>
  <c r="AA87" i="69"/>
  <c r="W84" i="69"/>
  <c r="X80" i="69"/>
  <c r="U77" i="69"/>
  <c r="Y73" i="69"/>
  <c r="U70" i="69"/>
  <c r="V66" i="69"/>
  <c r="Z62" i="69"/>
  <c r="W59" i="69"/>
  <c r="Z55" i="69"/>
  <c r="AA51" i="69"/>
  <c r="X48" i="69"/>
  <c r="U45" i="69"/>
  <c r="X41" i="69"/>
  <c r="Y37" i="69"/>
  <c r="V34" i="69"/>
  <c r="Z30" i="69"/>
  <c r="W28" i="69"/>
  <c r="W23" i="69"/>
  <c r="U20" i="69"/>
  <c r="AA18" i="69"/>
  <c r="X15" i="69"/>
  <c r="U12" i="69"/>
  <c r="AA10" i="69"/>
  <c r="Y7" i="69"/>
  <c r="W4" i="69"/>
  <c r="V123" i="69"/>
  <c r="Z119" i="69"/>
  <c r="V116" i="69"/>
  <c r="Z112" i="69"/>
  <c r="AA108" i="69"/>
  <c r="X105" i="69"/>
  <c r="AA101" i="69"/>
  <c r="X98" i="69"/>
  <c r="Y94" i="69"/>
  <c r="V91" i="69"/>
  <c r="Y87" i="69"/>
  <c r="V84" i="69"/>
  <c r="W80" i="69"/>
  <c r="AA76" i="69"/>
  <c r="W73" i="69"/>
  <c r="AA69" i="69"/>
  <c r="U66" i="69"/>
  <c r="Y62" i="69"/>
  <c r="U59" i="69"/>
  <c r="Y55" i="69"/>
  <c r="Z51" i="69"/>
  <c r="W48" i="69"/>
  <c r="Z44" i="69"/>
  <c r="W41" i="69"/>
  <c r="X37" i="69"/>
  <c r="U34" i="69"/>
  <c r="X30" i="69"/>
  <c r="V28" i="69"/>
  <c r="Z26" i="69"/>
  <c r="V23" i="69"/>
  <c r="Y18" i="69"/>
  <c r="W15" i="69"/>
  <c r="Z10" i="69"/>
  <c r="X7" i="69"/>
  <c r="U4" i="69"/>
  <c r="X119" i="69"/>
  <c r="AA115" i="69"/>
  <c r="U112" i="69"/>
  <c r="Y108" i="69"/>
  <c r="V105" i="69"/>
  <c r="Y101" i="69"/>
  <c r="Z97" i="69"/>
  <c r="W94" i="69"/>
  <c r="AA90" i="69"/>
  <c r="W87" i="69"/>
  <c r="X83" i="69"/>
  <c r="U80" i="69"/>
  <c r="Y76" i="69"/>
  <c r="U73" i="69"/>
  <c r="V69" i="69"/>
  <c r="Z65" i="69"/>
  <c r="W62" i="69"/>
  <c r="Z58" i="69"/>
  <c r="AA54" i="69"/>
  <c r="U48" i="69"/>
  <c r="X44" i="69"/>
  <c r="Y40" i="69"/>
  <c r="V37" i="69"/>
  <c r="Z33" i="69"/>
  <c r="W26" i="69"/>
  <c r="Z21" i="69"/>
  <c r="W18" i="69"/>
  <c r="Z13" i="69"/>
  <c r="X10" i="69"/>
  <c r="V7" i="69"/>
  <c r="AA5" i="69"/>
  <c r="H4" i="69"/>
  <c r="Z122" i="69"/>
  <c r="W119" i="69"/>
  <c r="Z115" i="69"/>
  <c r="AA111" i="69"/>
  <c r="X108" i="69"/>
  <c r="U105" i="69"/>
  <c r="X101" i="69"/>
  <c r="Y97" i="69"/>
  <c r="V94" i="69"/>
  <c r="Z90" i="69"/>
  <c r="V87" i="69"/>
  <c r="W83" i="69"/>
  <c r="AA79" i="69"/>
  <c r="X76" i="69"/>
  <c r="AA72" i="69"/>
  <c r="U69" i="69"/>
  <c r="V62" i="69"/>
  <c r="Y58" i="69"/>
  <c r="Z54" i="69"/>
  <c r="W51" i="69"/>
  <c r="AA47" i="69"/>
  <c r="W44" i="69"/>
  <c r="X40" i="69"/>
  <c r="U37" i="69"/>
  <c r="Y33" i="69"/>
  <c r="U30" i="69"/>
  <c r="V26" i="69"/>
  <c r="AA24" i="69"/>
  <c r="Y21" i="69"/>
  <c r="Y13" i="69"/>
  <c r="Z5" i="69"/>
  <c r="Y122" i="69"/>
  <c r="Y115" i="69"/>
  <c r="Z111" i="69"/>
  <c r="W108" i="69"/>
  <c r="Z104" i="69"/>
  <c r="W101" i="69"/>
  <c r="X97" i="69"/>
  <c r="U94" i="69"/>
  <c r="X90" i="69"/>
  <c r="U87" i="69"/>
  <c r="Z79" i="69"/>
  <c r="V76" i="69"/>
  <c r="AA68" i="69"/>
  <c r="U123" i="69"/>
  <c r="Y119" i="69"/>
  <c r="U116" i="69"/>
  <c r="Y112" i="69"/>
  <c r="Z108" i="69"/>
  <c r="W105" i="69"/>
  <c r="Z101" i="69"/>
  <c r="W98" i="69"/>
  <c r="X94" i="69"/>
  <c r="U91" i="69"/>
  <c r="X87" i="69"/>
  <c r="U84" i="69"/>
  <c r="V80" i="69"/>
  <c r="Z76" i="69"/>
  <c r="V73" i="69"/>
  <c r="Z69" i="69"/>
  <c r="AA65" i="69"/>
  <c r="X62" i="69"/>
  <c r="AA58" i="69"/>
  <c r="X55" i="69"/>
  <c r="Y51" i="69"/>
  <c r="V48" i="69"/>
  <c r="Y44" i="69"/>
  <c r="V41" i="69"/>
  <c r="W37" i="69"/>
  <c r="AA33" i="69"/>
  <c r="W30" i="69"/>
  <c r="U28" i="69"/>
  <c r="X26" i="69"/>
  <c r="U23" i="69"/>
  <c r="AA21" i="69"/>
  <c r="X18" i="69"/>
  <c r="V15" i="69"/>
  <c r="AA13" i="69"/>
  <c r="Y10" i="69"/>
  <c r="W7" i="69"/>
  <c r="I4" i="69"/>
  <c r="AA122" i="69"/>
  <c r="X51" i="69"/>
  <c r="V30" i="69"/>
  <c r="Y65" i="69"/>
  <c r="V18" i="69"/>
  <c r="W10" i="69"/>
  <c r="U7" i="69"/>
  <c r="G4" i="69"/>
  <c r="U119" i="69"/>
  <c r="V83" i="69"/>
  <c r="Z72" i="69"/>
  <c r="X65" i="69"/>
  <c r="Z124" i="69"/>
  <c r="U120" i="69"/>
  <c r="W114" i="69"/>
  <c r="AA109" i="69"/>
  <c r="V104" i="69"/>
  <c r="X99" i="69"/>
  <c r="Z93" i="69"/>
  <c r="AA88" i="69"/>
  <c r="X84" i="69"/>
  <c r="Z78" i="69"/>
  <c r="U74" i="69"/>
  <c r="W68" i="69"/>
  <c r="X63" i="69"/>
  <c r="X58" i="69"/>
  <c r="AA53" i="69"/>
  <c r="V49" i="69"/>
  <c r="V44" i="69"/>
  <c r="Y39" i="69"/>
  <c r="AA34" i="69"/>
  <c r="AA29" i="69"/>
  <c r="Y27" i="69"/>
  <c r="X25" i="69"/>
  <c r="Z16" i="69"/>
  <c r="AA14" i="69"/>
  <c r="AA12" i="69"/>
  <c r="V10" i="69"/>
  <c r="V8" i="69"/>
  <c r="V6" i="69"/>
  <c r="F4" i="69"/>
  <c r="AA118" i="69"/>
  <c r="X27" i="69"/>
  <c r="Z12" i="69"/>
  <c r="AA113" i="69"/>
  <c r="W43" i="69"/>
  <c r="X14" i="69"/>
  <c r="V124" i="69"/>
  <c r="U108" i="69"/>
  <c r="V103" i="69"/>
  <c r="Z98" i="69"/>
  <c r="U93" i="69"/>
  <c r="Y82" i="69"/>
  <c r="Z77" i="69"/>
  <c r="U72" i="69"/>
  <c r="Y67" i="69"/>
  <c r="V53" i="69"/>
  <c r="Y48" i="69"/>
  <c r="V43" i="69"/>
  <c r="AA38" i="69"/>
  <c r="W34" i="69"/>
  <c r="AA22" i="69"/>
  <c r="AA20" i="69"/>
  <c r="W14" i="69"/>
  <c r="X123" i="69"/>
  <c r="W113" i="69"/>
  <c r="Y107" i="69"/>
  <c r="AA102" i="69"/>
  <c r="V97" i="69"/>
  <c r="Z92" i="69"/>
  <c r="U88" i="69"/>
  <c r="W82" i="69"/>
  <c r="X77" i="69"/>
  <c r="Z71" i="69"/>
  <c r="Z61" i="69"/>
  <c r="V57" i="69"/>
  <c r="X47" i="69"/>
  <c r="AA42" i="69"/>
  <c r="V33" i="69"/>
  <c r="X5" i="69"/>
  <c r="Z19" i="69"/>
  <c r="Z17" i="69"/>
  <c r="U13" i="69"/>
  <c r="U11" i="69"/>
  <c r="U9" i="69"/>
  <c r="Y124" i="69"/>
  <c r="V114" i="69"/>
  <c r="Z109" i="69"/>
  <c r="U104" i="69"/>
  <c r="W99" i="69"/>
  <c r="Y93" i="69"/>
  <c r="Z88" i="69"/>
  <c r="U83" i="69"/>
  <c r="Y78" i="69"/>
  <c r="AA73" i="69"/>
  <c r="V68" i="69"/>
  <c r="W63" i="69"/>
  <c r="W58" i="69"/>
  <c r="Z53" i="69"/>
  <c r="U49" i="69"/>
  <c r="U44" i="69"/>
  <c r="X39" i="69"/>
  <c r="Z34" i="69"/>
  <c r="Z29" i="69"/>
  <c r="W25" i="69"/>
  <c r="Y16" i="69"/>
  <c r="Z14" i="69"/>
  <c r="U10" i="69"/>
  <c r="U8" i="69"/>
  <c r="U6" i="69"/>
  <c r="E4" i="69"/>
  <c r="Y118" i="69"/>
  <c r="W53" i="69"/>
  <c r="V27" i="69"/>
  <c r="X12" i="69"/>
  <c r="X118" i="69"/>
  <c r="W88" i="69"/>
  <c r="X57" i="69"/>
  <c r="U27" i="69"/>
  <c r="V16" i="69"/>
  <c r="U124" i="69"/>
  <c r="AA107" i="69"/>
  <c r="W97" i="69"/>
  <c r="X82" i="69"/>
  <c r="AA71" i="69"/>
  <c r="AA61" i="69"/>
  <c r="W57" i="69"/>
  <c r="Y47" i="69"/>
  <c r="Z38" i="69"/>
  <c r="Z22" i="69"/>
  <c r="U18" i="69"/>
  <c r="U16" i="69"/>
  <c r="Y116" i="69"/>
  <c r="AA95" i="69"/>
  <c r="AA74" i="69"/>
  <c r="Z64" i="69"/>
  <c r="AA55" i="69"/>
  <c r="Y41" i="69"/>
  <c r="X28" i="69"/>
  <c r="X115" i="69"/>
  <c r="U60" i="69"/>
  <c r="U36" i="69"/>
  <c r="X124" i="69"/>
  <c r="Z118" i="69"/>
  <c r="U114" i="69"/>
  <c r="V109" i="69"/>
  <c r="X103" i="69"/>
  <c r="U99" i="69"/>
  <c r="W93" i="69"/>
  <c r="Y88" i="69"/>
  <c r="AA82" i="69"/>
  <c r="X78" i="69"/>
  <c r="Z73" i="69"/>
  <c r="U68" i="69"/>
  <c r="V63" i="69"/>
  <c r="Z57" i="69"/>
  <c r="Y53" i="69"/>
  <c r="AA48" i="69"/>
  <c r="X43" i="69"/>
  <c r="W39" i="69"/>
  <c r="Y34" i="69"/>
  <c r="X29" i="69"/>
  <c r="W27" i="69"/>
  <c r="V25" i="69"/>
  <c r="X16" i="69"/>
  <c r="Y14" i="69"/>
  <c r="Y12" i="69"/>
  <c r="C4" i="69"/>
  <c r="W124" i="69"/>
  <c r="V108" i="69"/>
  <c r="W103" i="69"/>
  <c r="AA98" i="69"/>
  <c r="V93" i="69"/>
  <c r="X88" i="69"/>
  <c r="Z82" i="69"/>
  <c r="W78" i="69"/>
  <c r="Y72" i="69"/>
  <c r="AA67" i="69"/>
  <c r="U63" i="69"/>
  <c r="Y57" i="69"/>
  <c r="Z48" i="69"/>
  <c r="U39" i="69"/>
  <c r="X34" i="69"/>
  <c r="V29" i="69"/>
  <c r="W16" i="69"/>
  <c r="Z113" i="69"/>
  <c r="AA62" i="69"/>
  <c r="U29" i="69"/>
  <c r="V12" i="69"/>
  <c r="W118" i="69"/>
  <c r="Y113" i="69"/>
  <c r="U103" i="69"/>
  <c r="AA92" i="69"/>
  <c r="Y77" i="69"/>
  <c r="X67" i="69"/>
  <c r="U53" i="69"/>
  <c r="U43" i="69"/>
  <c r="W33" i="69"/>
  <c r="Z24" i="69"/>
  <c r="Z20" i="69"/>
  <c r="U14" i="69"/>
  <c r="Z15" i="69"/>
  <c r="W121" i="69"/>
  <c r="U106" i="69"/>
  <c r="W100" i="69"/>
  <c r="V90" i="69"/>
  <c r="Y80" i="69"/>
  <c r="X70" i="69"/>
  <c r="V60" i="69"/>
  <c r="X50" i="69"/>
  <c r="AA45" i="69"/>
  <c r="Y31" i="69"/>
  <c r="Z110" i="69"/>
  <c r="W85" i="69"/>
  <c r="W70" i="69"/>
  <c r="W50" i="69"/>
  <c r="V88" i="69"/>
  <c r="Y5" i="69"/>
  <c r="Z117" i="69"/>
  <c r="W67" i="69"/>
  <c r="AA52" i="69"/>
  <c r="Y38" i="69"/>
  <c r="V100" i="69"/>
  <c r="Y24" i="69"/>
  <c r="Y22" i="69"/>
  <c r="Y20" i="69"/>
  <c r="X122" i="69"/>
  <c r="Y117" i="69"/>
  <c r="V113" i="69"/>
  <c r="X107" i="69"/>
  <c r="Z102" i="69"/>
  <c r="U97" i="69"/>
  <c r="Y92" i="69"/>
  <c r="AA86" i="69"/>
  <c r="V82" i="69"/>
  <c r="W77" i="69"/>
  <c r="Y71" i="69"/>
  <c r="V67" i="69"/>
  <c r="Y61" i="69"/>
  <c r="U57" i="69"/>
  <c r="Z52" i="69"/>
  <c r="W47" i="69"/>
  <c r="Z42" i="69"/>
  <c r="X38" i="69"/>
  <c r="U33" i="69"/>
  <c r="X24" i="69"/>
  <c r="X22" i="69"/>
  <c r="X20" i="69"/>
  <c r="W5" i="69"/>
  <c r="W122" i="69"/>
  <c r="X117" i="69"/>
  <c r="U113" i="69"/>
  <c r="W107" i="69"/>
  <c r="Y102" i="69"/>
  <c r="AA96" i="69"/>
  <c r="U92" i="69"/>
  <c r="W86" i="69"/>
  <c r="AA81" i="69"/>
  <c r="V77" i="69"/>
  <c r="X71" i="69"/>
  <c r="U67" i="69"/>
  <c r="X61" i="69"/>
  <c r="AA56" i="69"/>
  <c r="Y52" i="69"/>
  <c r="V47" i="69"/>
  <c r="Y42" i="69"/>
  <c r="W38" i="69"/>
  <c r="AA32" i="69"/>
  <c r="W24" i="69"/>
  <c r="V22" i="69"/>
  <c r="W20" i="69"/>
  <c r="AA11" i="69"/>
  <c r="AA9" i="69"/>
  <c r="AA7" i="69"/>
  <c r="V5" i="69"/>
  <c r="AA75" i="69"/>
  <c r="AA36" i="69"/>
  <c r="X13" i="69"/>
  <c r="X9" i="69"/>
  <c r="Z121" i="69"/>
  <c r="W111" i="69"/>
  <c r="AA106" i="69"/>
  <c r="V101" i="69"/>
  <c r="X96" i="69"/>
  <c r="Y91" i="69"/>
  <c r="AA85" i="69"/>
  <c r="X81" i="69"/>
  <c r="Z75" i="69"/>
  <c r="U71" i="69"/>
  <c r="W65" i="69"/>
  <c r="Y60" i="69"/>
  <c r="U51" i="69"/>
  <c r="W46" i="69"/>
  <c r="V42" i="69"/>
  <c r="U32" i="69"/>
  <c r="W13" i="69"/>
  <c r="W9" i="69"/>
  <c r="Y121" i="69"/>
  <c r="V111" i="69"/>
  <c r="Y100" i="69"/>
  <c r="Z85" i="69"/>
  <c r="Y75" i="69"/>
  <c r="V65" i="69"/>
  <c r="V56" i="69"/>
  <c r="V46" i="69"/>
  <c r="Y36" i="69"/>
  <c r="AA28" i="69"/>
  <c r="AA17" i="69"/>
  <c r="V13" i="69"/>
  <c r="V9" i="69"/>
  <c r="X121" i="69"/>
  <c r="U111" i="69"/>
  <c r="V106" i="69"/>
  <c r="X100" i="69"/>
  <c r="U96" i="69"/>
  <c r="W90" i="69"/>
  <c r="Y85" i="69"/>
  <c r="V81" i="69"/>
  <c r="X75" i="69"/>
  <c r="U65" i="69"/>
  <c r="W60" i="69"/>
  <c r="Z50" i="69"/>
  <c r="U46" i="69"/>
  <c r="X36" i="69"/>
  <c r="Y28" i="69"/>
  <c r="AA110" i="69"/>
  <c r="V36" i="69"/>
  <c r="X19" i="69"/>
  <c r="Y15" i="69"/>
  <c r="V121" i="69"/>
  <c r="Z95" i="69"/>
  <c r="U90" i="69"/>
  <c r="Y79" i="69"/>
  <c r="Y64" i="69"/>
  <c r="Y54" i="69"/>
  <c r="Z45" i="69"/>
  <c r="V122" i="69"/>
  <c r="W117" i="69"/>
  <c r="Y111" i="69"/>
  <c r="V107" i="69"/>
  <c r="X102" i="69"/>
  <c r="Z96" i="69"/>
  <c r="AA91" i="69"/>
  <c r="V86" i="69"/>
  <c r="Z81" i="69"/>
  <c r="U76" i="69"/>
  <c r="W71" i="69"/>
  <c r="AA66" i="69"/>
  <c r="W61" i="69"/>
  <c r="Z56" i="69"/>
  <c r="U52" i="69"/>
  <c r="U47" i="69"/>
  <c r="X42" i="69"/>
  <c r="Z37" i="69"/>
  <c r="Z32" i="69"/>
  <c r="U24" i="69"/>
  <c r="U22" i="69"/>
  <c r="V20" i="69"/>
  <c r="Z11" i="69"/>
  <c r="Z9" i="69"/>
  <c r="Z7" i="69"/>
  <c r="AA121" i="69"/>
  <c r="V117" i="69"/>
  <c r="X111" i="69"/>
  <c r="U107" i="69"/>
  <c r="W102" i="69"/>
  <c r="Y96" i="69"/>
  <c r="Z91" i="69"/>
  <c r="U86" i="69"/>
  <c r="Y81" i="69"/>
  <c r="V71" i="69"/>
  <c r="W66" i="69"/>
  <c r="V61" i="69"/>
  <c r="Y56" i="69"/>
  <c r="V51" i="69"/>
  <c r="AA46" i="69"/>
  <c r="W42" i="69"/>
  <c r="Y32" i="69"/>
  <c r="U26" i="69"/>
  <c r="Y11" i="69"/>
  <c r="U117" i="69"/>
  <c r="X56" i="69"/>
  <c r="Z36" i="69"/>
  <c r="W11" i="69"/>
  <c r="AA116" i="69"/>
  <c r="W106" i="69"/>
  <c r="V96" i="69"/>
  <c r="X91" i="69"/>
  <c r="W81" i="69"/>
  <c r="AA70" i="69"/>
  <c r="X60" i="69"/>
  <c r="AA50" i="69"/>
  <c r="AA41" i="69"/>
  <c r="AA31" i="69"/>
  <c r="AA19" i="69"/>
  <c r="AA15" i="69"/>
  <c r="V11" i="69"/>
  <c r="Z116" i="69"/>
  <c r="Z70" i="69"/>
  <c r="U56" i="69"/>
  <c r="Z41" i="69"/>
  <c r="Z31" i="69"/>
  <c r="X85" i="69"/>
  <c r="Y17" i="69"/>
  <c r="AA105" i="69"/>
  <c r="Y120" i="69"/>
  <c r="Y95" i="69"/>
  <c r="V74" i="69"/>
  <c r="Z49" i="69"/>
  <c r="X120" i="69"/>
  <c r="X95" i="69"/>
  <c r="V70" i="69"/>
  <c r="Y45" i="69"/>
  <c r="AA4" i="69"/>
  <c r="W120" i="69"/>
  <c r="Z68" i="69"/>
  <c r="X45" i="69"/>
  <c r="Z4" i="69"/>
  <c r="V17" i="69"/>
  <c r="Y23" i="69"/>
  <c r="Y99" i="69"/>
  <c r="AA49" i="69"/>
  <c r="X23" i="69"/>
  <c r="Z99" i="69"/>
  <c r="AA94" i="69"/>
  <c r="W21" i="69"/>
  <c r="Z74" i="69"/>
  <c r="AA23" i="69"/>
  <c r="U17" i="69"/>
  <c r="W6" i="69"/>
  <c r="AA99" i="69"/>
  <c r="V50" i="69"/>
  <c r="U31" i="69"/>
  <c r="Z23" i="69"/>
  <c r="V120" i="69"/>
  <c r="AA93" i="69"/>
  <c r="Y68" i="69"/>
  <c r="W45" i="69"/>
  <c r="AA27" i="69"/>
  <c r="V21" i="69"/>
  <c r="AA8" i="69"/>
  <c r="Y4" i="69"/>
  <c r="AA114" i="69"/>
  <c r="AA89" i="69"/>
  <c r="X68" i="69"/>
  <c r="V45" i="69"/>
  <c r="Z27" i="69"/>
  <c r="U21" i="69"/>
  <c r="Y8" i="69"/>
  <c r="X4" i="69"/>
  <c r="Z114" i="69"/>
  <c r="Z89" i="69"/>
  <c r="X64" i="69"/>
  <c r="W40" i="69"/>
  <c r="X8" i="69"/>
  <c r="Y114" i="69"/>
  <c r="V89" i="69"/>
  <c r="W64" i="69"/>
  <c r="V40" i="69"/>
  <c r="W8" i="69"/>
  <c r="X79" i="69"/>
  <c r="W79" i="69"/>
  <c r="X54" i="69"/>
  <c r="X35" i="69"/>
  <c r="X17" i="69"/>
  <c r="X104" i="69"/>
  <c r="X31" i="69"/>
  <c r="Y74" i="69"/>
  <c r="AA30" i="69"/>
  <c r="U54" i="69"/>
  <c r="X74" i="69"/>
  <c r="W74" i="69"/>
  <c r="X114" i="69"/>
  <c r="U89" i="69"/>
  <c r="V64" i="69"/>
  <c r="U40" i="69"/>
  <c r="W19" i="69"/>
  <c r="X110" i="69"/>
  <c r="V85" i="69"/>
  <c r="U64" i="69"/>
  <c r="AA39" i="69"/>
  <c r="V19" i="69"/>
  <c r="U110" i="69"/>
  <c r="Y84" i="69"/>
  <c r="Y59" i="69"/>
  <c r="Z35" i="69"/>
  <c r="Z25" i="69"/>
  <c r="Y104" i="69"/>
  <c r="Z6" i="69"/>
  <c r="U79" i="69"/>
  <c r="W54" i="69"/>
  <c r="W17" i="69"/>
  <c r="Y6" i="69"/>
  <c r="W104" i="69"/>
  <c r="AA78" i="69"/>
  <c r="V54" i="69"/>
  <c r="W31" i="69"/>
  <c r="U50" i="69"/>
  <c r="W110" i="69"/>
  <c r="U85" i="69"/>
  <c r="AA59" i="69"/>
  <c r="Z39" i="69"/>
  <c r="U19" i="69"/>
  <c r="V110" i="69"/>
  <c r="Z84" i="69"/>
  <c r="Z59" i="69"/>
  <c r="AA35" i="69"/>
  <c r="AA25" i="69"/>
  <c r="Z105" i="69"/>
  <c r="X59" i="69"/>
  <c r="Y35" i="69"/>
  <c r="Y25" i="69"/>
  <c r="X6" i="69"/>
  <c r="U100" i="69"/>
  <c r="V31" i="69"/>
  <c r="A4" i="67" l="1" a="1"/>
  <c r="I29" i="67" s="1"/>
  <c r="C19" i="67" l="1"/>
  <c r="E6" i="67"/>
  <c r="F6" i="67"/>
  <c r="G6" i="67"/>
  <c r="D20" i="67"/>
  <c r="D7" i="67"/>
  <c r="F20" i="67"/>
  <c r="F7" i="67"/>
  <c r="C23" i="67"/>
  <c r="H7" i="67"/>
  <c r="H23" i="67"/>
  <c r="D19" i="67"/>
  <c r="E19" i="67"/>
  <c r="C20" i="67"/>
  <c r="C7" i="67"/>
  <c r="E20" i="67"/>
  <c r="E7" i="67"/>
  <c r="E22" i="67"/>
  <c r="G7" i="67"/>
  <c r="I7" i="67"/>
  <c r="I23" i="67"/>
  <c r="C8" i="67"/>
  <c r="G25" i="67"/>
  <c r="D8" i="67"/>
  <c r="H25" i="67"/>
  <c r="G8" i="67"/>
  <c r="I25" i="67"/>
  <c r="H8" i="67"/>
  <c r="I26" i="67"/>
  <c r="D11" i="67"/>
  <c r="C28" i="67"/>
  <c r="E11" i="67"/>
  <c r="D28" i="67"/>
  <c r="C12" i="67"/>
  <c r="H28" i="67"/>
  <c r="D15" i="67"/>
  <c r="H29" i="67"/>
  <c r="H16" i="67"/>
  <c r="G28" i="67"/>
  <c r="C26" i="67"/>
  <c r="G23" i="67"/>
  <c r="C21" i="67"/>
  <c r="G18" i="67"/>
  <c r="F27" i="67"/>
  <c r="F22" i="67"/>
  <c r="F17" i="67"/>
  <c r="E29" i="67"/>
  <c r="F25" i="67"/>
  <c r="G21" i="67"/>
  <c r="H17" i="67"/>
  <c r="C15" i="67"/>
  <c r="G12" i="67"/>
  <c r="D29" i="67"/>
  <c r="E25" i="67"/>
  <c r="C29" i="67"/>
  <c r="F28" i="67"/>
  <c r="D22" i="67"/>
  <c r="I21" i="67"/>
  <c r="C17" i="67"/>
  <c r="C14" i="67"/>
  <c r="C11" i="67"/>
  <c r="F8" i="67"/>
  <c r="E28" i="67"/>
  <c r="I27" i="67"/>
  <c r="C22" i="67"/>
  <c r="H21" i="67"/>
  <c r="I16" i="67"/>
  <c r="I13" i="67"/>
  <c r="I10" i="67"/>
  <c r="E8" i="67"/>
  <c r="I5" i="67"/>
  <c r="C27" i="67"/>
  <c r="E26" i="67"/>
  <c r="D25" i="67"/>
  <c r="E24" i="67"/>
  <c r="F23" i="67"/>
  <c r="I22" i="67"/>
  <c r="G14" i="67"/>
  <c r="H9" i="67"/>
  <c r="D6" i="67"/>
  <c r="H5" i="67"/>
  <c r="D26" i="67"/>
  <c r="C25" i="67"/>
  <c r="D24" i="67"/>
  <c r="E23" i="67"/>
  <c r="H22" i="67"/>
  <c r="I20" i="67"/>
  <c r="F14" i="67"/>
  <c r="G9" i="67"/>
  <c r="C6" i="67"/>
  <c r="G5" i="67"/>
  <c r="C24" i="67"/>
  <c r="D23" i="67"/>
  <c r="G22" i="67"/>
  <c r="F21" i="67"/>
  <c r="H20" i="67"/>
  <c r="E14" i="67"/>
  <c r="H13" i="67"/>
  <c r="F9" i="67"/>
  <c r="F5" i="67"/>
  <c r="G26" i="67"/>
  <c r="I17" i="67"/>
  <c r="G16" i="67"/>
  <c r="I15" i="67"/>
  <c r="G13" i="67"/>
  <c r="I12" i="67"/>
  <c r="H27" i="67"/>
  <c r="F26" i="67"/>
  <c r="I19" i="67"/>
  <c r="I18" i="67"/>
  <c r="G17" i="67"/>
  <c r="F16" i="67"/>
  <c r="H15" i="67"/>
  <c r="I14" i="67"/>
  <c r="F13" i="67"/>
  <c r="H12" i="67"/>
  <c r="I11" i="67"/>
  <c r="I28" i="67"/>
  <c r="F19" i="67"/>
  <c r="E15" i="67"/>
  <c r="C13" i="67"/>
  <c r="F11" i="67"/>
  <c r="I9" i="67"/>
  <c r="G27" i="67"/>
  <c r="H19" i="67"/>
  <c r="H18" i="67"/>
  <c r="E17" i="67"/>
  <c r="E16" i="67"/>
  <c r="G15" i="67"/>
  <c r="H14" i="67"/>
  <c r="E13" i="67"/>
  <c r="F12" i="67"/>
  <c r="H11" i="67"/>
  <c r="H10" i="67"/>
  <c r="E27" i="67"/>
  <c r="G19" i="67"/>
  <c r="F18" i="67"/>
  <c r="D17" i="67"/>
  <c r="D16" i="67"/>
  <c r="F15" i="67"/>
  <c r="D14" i="67"/>
  <c r="D13" i="67"/>
  <c r="E12" i="67"/>
  <c r="G11" i="67"/>
  <c r="G10" i="67"/>
  <c r="D27" i="67"/>
  <c r="G20" i="67"/>
  <c r="E18" i="67"/>
  <c r="C16" i="67"/>
  <c r="D12" i="67"/>
  <c r="F10" i="67"/>
  <c r="I8" i="67"/>
  <c r="I6" i="67"/>
  <c r="D5" i="67"/>
  <c r="D10" i="67"/>
  <c r="C18" i="67"/>
  <c r="G24" i="67"/>
  <c r="D21" i="67"/>
  <c r="H24" i="67"/>
  <c r="C9" i="67"/>
  <c r="E21" i="67"/>
  <c r="I24" i="67"/>
  <c r="D9" i="67"/>
  <c r="H6" i="67"/>
  <c r="E9" i="67"/>
  <c r="F29" i="67"/>
  <c r="A4" i="67"/>
  <c r="C5" i="67"/>
  <c r="C10" i="67"/>
  <c r="E5" i="67"/>
  <c r="E10" i="67"/>
  <c r="D18" i="67"/>
  <c r="F24" i="67"/>
  <c r="H26" i="67"/>
  <c r="G29" i="67"/>
  <c r="AA123" i="67" l="1"/>
  <c r="U122" i="67"/>
  <c r="W119" i="67"/>
  <c r="Y116" i="67"/>
  <c r="AA113" i="67"/>
  <c r="U112" i="67"/>
  <c r="W109" i="67"/>
  <c r="Y106" i="67"/>
  <c r="AA103" i="67"/>
  <c r="U102" i="67"/>
  <c r="W99" i="67"/>
  <c r="Y96" i="67"/>
  <c r="AA93" i="67"/>
  <c r="U92" i="67"/>
  <c r="W89" i="67"/>
  <c r="Y86" i="67"/>
  <c r="AA83" i="67"/>
  <c r="U82" i="67"/>
  <c r="W79" i="67"/>
  <c r="Y76" i="67"/>
  <c r="AA73" i="67"/>
  <c r="U72" i="67"/>
  <c r="W69" i="67"/>
  <c r="Y66" i="67"/>
  <c r="AA63" i="67"/>
  <c r="U62" i="67"/>
  <c r="W59" i="67"/>
  <c r="Y56" i="67"/>
  <c r="AA53" i="67"/>
  <c r="U52" i="67"/>
  <c r="W49" i="67"/>
  <c r="Y46" i="67"/>
  <c r="AA43" i="67"/>
  <c r="U42" i="67"/>
  <c r="W39" i="67"/>
  <c r="Y36" i="67"/>
  <c r="AA33" i="67"/>
  <c r="U32" i="67"/>
  <c r="Z27" i="67"/>
  <c r="V25" i="67"/>
  <c r="Z22" i="67"/>
  <c r="V20" i="67"/>
  <c r="Z17" i="67"/>
  <c r="AA124" i="67"/>
  <c r="Z124" i="67"/>
  <c r="Y124" i="67"/>
  <c r="X124" i="67"/>
  <c r="Z121" i="67"/>
  <c r="V117" i="67"/>
  <c r="X114" i="67"/>
  <c r="Z111" i="67"/>
  <c r="V107" i="67"/>
  <c r="X104" i="67"/>
  <c r="Z101" i="67"/>
  <c r="V97" i="67"/>
  <c r="X94" i="67"/>
  <c r="Z91" i="67"/>
  <c r="V87" i="67"/>
  <c r="X84" i="67"/>
  <c r="Z81" i="67"/>
  <c r="V77" i="67"/>
  <c r="X74" i="67"/>
  <c r="Z71" i="67"/>
  <c r="V67" i="67"/>
  <c r="X64" i="67"/>
  <c r="Z61" i="67"/>
  <c r="V57" i="67"/>
  <c r="X54" i="67"/>
  <c r="Z51" i="67"/>
  <c r="V47" i="67"/>
  <c r="X44" i="67"/>
  <c r="Z41" i="67"/>
  <c r="V37" i="67"/>
  <c r="X34" i="67"/>
  <c r="Z31" i="67"/>
  <c r="U29" i="67"/>
  <c r="Y26" i="67"/>
  <c r="U24" i="67"/>
  <c r="Y21" i="67"/>
  <c r="U19" i="67"/>
  <c r="W124" i="67"/>
  <c r="V124" i="67"/>
  <c r="U124" i="67"/>
  <c r="Z123" i="67"/>
  <c r="X120" i="67"/>
  <c r="U117" i="67"/>
  <c r="AA115" i="67"/>
  <c r="Y112" i="67"/>
  <c r="V109" i="67"/>
  <c r="Z104" i="67"/>
  <c r="W101" i="67"/>
  <c r="U98" i="67"/>
  <c r="AA96" i="67"/>
  <c r="X93" i="67"/>
  <c r="V90" i="67"/>
  <c r="AA88" i="67"/>
  <c r="Y85" i="67"/>
  <c r="W82" i="67"/>
  <c r="Z77" i="67"/>
  <c r="W74" i="67"/>
  <c r="U71" i="67"/>
  <c r="AA69" i="67"/>
  <c r="X66" i="67"/>
  <c r="V63" i="67"/>
  <c r="Y58" i="67"/>
  <c r="W55" i="67"/>
  <c r="Z50" i="67"/>
  <c r="X47" i="67"/>
  <c r="U44" i="67"/>
  <c r="AA42" i="67"/>
  <c r="Y39" i="67"/>
  <c r="V36" i="67"/>
  <c r="Y31" i="67"/>
  <c r="V28" i="67"/>
  <c r="W24" i="67"/>
  <c r="X20" i="67"/>
  <c r="Z16" i="67"/>
  <c r="V14" i="67"/>
  <c r="Z11" i="67"/>
  <c r="Y123" i="67"/>
  <c r="W120" i="67"/>
  <c r="Z115" i="67"/>
  <c r="X112" i="67"/>
  <c r="U109" i="67"/>
  <c r="AA107" i="67"/>
  <c r="Y104" i="67"/>
  <c r="V101" i="67"/>
  <c r="Z96" i="67"/>
  <c r="W93" i="67"/>
  <c r="U90" i="67"/>
  <c r="Z88" i="67"/>
  <c r="X85" i="67"/>
  <c r="V82" i="67"/>
  <c r="AA80" i="67"/>
  <c r="Y77" i="67"/>
  <c r="V74" i="67"/>
  <c r="Z69" i="67"/>
  <c r="W66" i="67"/>
  <c r="U63" i="67"/>
  <c r="AA61" i="67"/>
  <c r="X58" i="67"/>
  <c r="V55" i="67"/>
  <c r="Y50" i="67"/>
  <c r="W47" i="67"/>
  <c r="Z42" i="67"/>
  <c r="X39" i="67"/>
  <c r="U36" i="67"/>
  <c r="AA34" i="67"/>
  <c r="X31" i="67"/>
  <c r="U28" i="67"/>
  <c r="AA27" i="67"/>
  <c r="V24" i="67"/>
  <c r="AA23" i="67"/>
  <c r="V118" i="67"/>
  <c r="Z116" i="67"/>
  <c r="V111" i="67"/>
  <c r="Z109" i="67"/>
  <c r="X102" i="67"/>
  <c r="AA100" i="67"/>
  <c r="X95" i="67"/>
  <c r="V88" i="67"/>
  <c r="Z86" i="67"/>
  <c r="V81" i="67"/>
  <c r="Z79" i="67"/>
  <c r="X72" i="67"/>
  <c r="AA70" i="67"/>
  <c r="X65" i="67"/>
  <c r="U60" i="67"/>
  <c r="V58" i="67"/>
  <c r="Z56" i="67"/>
  <c r="V51" i="67"/>
  <c r="Z49" i="67"/>
  <c r="V44" i="67"/>
  <c r="X42" i="67"/>
  <c r="AA40" i="67"/>
  <c r="X35" i="67"/>
  <c r="X123" i="67"/>
  <c r="U118" i="67"/>
  <c r="X116" i="67"/>
  <c r="U111" i="67"/>
  <c r="Y109" i="67"/>
  <c r="Z107" i="67"/>
  <c r="W102" i="67"/>
  <c r="Z100" i="67"/>
  <c r="W95" i="67"/>
  <c r="Z93" i="67"/>
  <c r="U88" i="67"/>
  <c r="X86" i="67"/>
  <c r="U81" i="67"/>
  <c r="Y79" i="67"/>
  <c r="W72" i="67"/>
  <c r="Z70" i="67"/>
  <c r="W65" i="67"/>
  <c r="Z63" i="67"/>
  <c r="U58" i="67"/>
  <c r="X56" i="67"/>
  <c r="U51" i="67"/>
  <c r="Y49" i="67"/>
  <c r="W42" i="67"/>
  <c r="Z40" i="67"/>
  <c r="W35" i="67"/>
  <c r="Z33" i="67"/>
  <c r="U27" i="67"/>
  <c r="X26" i="67"/>
  <c r="Y20" i="67"/>
  <c r="U16" i="67"/>
  <c r="U13" i="67"/>
  <c r="U10" i="67"/>
  <c r="Y7" i="67"/>
  <c r="U5" i="67"/>
  <c r="W123" i="67"/>
  <c r="AA121" i="67"/>
  <c r="W116" i="67"/>
  <c r="AA114" i="67"/>
  <c r="X109" i="67"/>
  <c r="Y107" i="67"/>
  <c r="V102" i="67"/>
  <c r="Y100" i="67"/>
  <c r="V95" i="67"/>
  <c r="Y93" i="67"/>
  <c r="AA91" i="67"/>
  <c r="W86" i="67"/>
  <c r="AA84" i="67"/>
  <c r="X79" i="67"/>
  <c r="AA77" i="67"/>
  <c r="V72" i="67"/>
  <c r="Y70" i="67"/>
  <c r="V65" i="67"/>
  <c r="Y63" i="67"/>
  <c r="W56" i="67"/>
  <c r="AA54" i="67"/>
  <c r="X49" i="67"/>
  <c r="AA47" i="67"/>
  <c r="V42" i="67"/>
  <c r="Y40" i="67"/>
  <c r="V35" i="67"/>
  <c r="Y33" i="67"/>
  <c r="W26" i="67"/>
  <c r="AA25" i="67"/>
  <c r="W20" i="67"/>
  <c r="AA19" i="67"/>
  <c r="AA15" i="67"/>
  <c r="AA12" i="67"/>
  <c r="X7" i="67"/>
  <c r="V123" i="67"/>
  <c r="V121" i="67"/>
  <c r="V119" i="67"/>
  <c r="W117" i="67"/>
  <c r="U115" i="67"/>
  <c r="U113" i="67"/>
  <c r="Y98" i="67"/>
  <c r="W96" i="67"/>
  <c r="W94" i="67"/>
  <c r="X92" i="67"/>
  <c r="X90" i="67"/>
  <c r="Z75" i="67"/>
  <c r="Z73" i="67"/>
  <c r="AA71" i="67"/>
  <c r="Y69" i="67"/>
  <c r="Y67" i="67"/>
  <c r="Y65" i="67"/>
  <c r="AA48" i="67"/>
  <c r="W40" i="67"/>
  <c r="W38" i="67"/>
  <c r="W36" i="67"/>
  <c r="U34" i="67"/>
  <c r="V32" i="67"/>
  <c r="V30" i="67"/>
  <c r="V21" i="67"/>
  <c r="U20" i="67"/>
  <c r="X19" i="67"/>
  <c r="Z18" i="67"/>
  <c r="W13" i="67"/>
  <c r="Z12" i="67"/>
  <c r="Y8" i="67"/>
  <c r="Z4" i="67"/>
  <c r="Z110" i="67"/>
  <c r="Z108" i="67"/>
  <c r="AA106" i="67"/>
  <c r="AA104" i="67"/>
  <c r="Y102" i="67"/>
  <c r="V100" i="67"/>
  <c r="U123" i="67"/>
  <c r="U121" i="67"/>
  <c r="U119" i="67"/>
  <c r="AA102" i="67"/>
  <c r="X100" i="67"/>
  <c r="X98" i="67"/>
  <c r="V96" i="67"/>
  <c r="V94" i="67"/>
  <c r="W92" i="67"/>
  <c r="W90" i="67"/>
  <c r="Y75" i="67"/>
  <c r="Y73" i="67"/>
  <c r="Y71" i="67"/>
  <c r="X69" i="67"/>
  <c r="X67" i="67"/>
  <c r="U65" i="67"/>
  <c r="Z48" i="67"/>
  <c r="AA46" i="67"/>
  <c r="AA44" i="67"/>
  <c r="Y42" i="67"/>
  <c r="V40" i="67"/>
  <c r="V38" i="67"/>
  <c r="U30" i="67"/>
  <c r="U21" i="67"/>
  <c r="W19" i="67"/>
  <c r="Y18" i="67"/>
  <c r="V13" i="67"/>
  <c r="Y12" i="67"/>
  <c r="X8" i="67"/>
  <c r="Y4" i="67"/>
  <c r="AA110" i="67"/>
  <c r="AA108" i="67"/>
  <c r="Z102" i="67"/>
  <c r="W100" i="67"/>
  <c r="W98" i="67"/>
  <c r="U96" i="67"/>
  <c r="U94" i="67"/>
  <c r="V92" i="67"/>
  <c r="X77" i="67"/>
  <c r="X75" i="67"/>
  <c r="X73" i="67"/>
  <c r="X71" i="67"/>
  <c r="V69" i="67"/>
  <c r="W67" i="67"/>
  <c r="AA52" i="67"/>
  <c r="AA50" i="67"/>
  <c r="Y48" i="67"/>
  <c r="Z46" i="67"/>
  <c r="Z44" i="67"/>
  <c r="U40" i="67"/>
  <c r="U38" i="67"/>
  <c r="V19" i="67"/>
  <c r="X18" i="67"/>
  <c r="AA17" i="67"/>
  <c r="X12" i="67"/>
  <c r="W8" i="67"/>
  <c r="X4" i="67"/>
  <c r="V113" i="67"/>
  <c r="V110" i="67"/>
  <c r="V105" i="67"/>
  <c r="Z97" i="67"/>
  <c r="Y90" i="67"/>
  <c r="AA87" i="67"/>
  <c r="V85" i="67"/>
  <c r="X80" i="67"/>
  <c r="U78" i="67"/>
  <c r="W75" i="67"/>
  <c r="V68" i="67"/>
  <c r="X63" i="67"/>
  <c r="Z58" i="67"/>
  <c r="Z53" i="67"/>
  <c r="W51" i="67"/>
  <c r="V46" i="67"/>
  <c r="X41" i="67"/>
  <c r="AA36" i="67"/>
  <c r="W31" i="67"/>
  <c r="Z28" i="67"/>
  <c r="V27" i="67"/>
  <c r="Y19" i="67"/>
  <c r="U18" i="67"/>
  <c r="U14" i="67"/>
  <c r="U11" i="67"/>
  <c r="W10" i="67"/>
  <c r="X9" i="67"/>
  <c r="AA8" i="67"/>
  <c r="AA7" i="67"/>
  <c r="AA120" i="67"/>
  <c r="Y115" i="67"/>
  <c r="AA112" i="67"/>
  <c r="U110" i="67"/>
  <c r="U105" i="67"/>
  <c r="Y97" i="67"/>
  <c r="AA92" i="67"/>
  <c r="Z87" i="67"/>
  <c r="U85" i="67"/>
  <c r="W80" i="67"/>
  <c r="V75" i="67"/>
  <c r="X70" i="67"/>
  <c r="U68" i="67"/>
  <c r="W63" i="67"/>
  <c r="W58" i="67"/>
  <c r="Y53" i="67"/>
  <c r="X48" i="67"/>
  <c r="U46" i="67"/>
  <c r="Z43" i="67"/>
  <c r="W41" i="67"/>
  <c r="Z36" i="67"/>
  <c r="V31" i="67"/>
  <c r="AA29" i="67"/>
  <c r="Y28" i="67"/>
  <c r="V10" i="67"/>
  <c r="W9" i="67"/>
  <c r="Z8" i="67"/>
  <c r="Z7" i="67"/>
  <c r="AA6" i="67"/>
  <c r="Y120" i="67"/>
  <c r="V48" i="67"/>
  <c r="V120" i="67"/>
  <c r="AA72" i="67"/>
  <c r="AA55" i="67"/>
  <c r="X50" i="67"/>
  <c r="Z45" i="67"/>
  <c r="Z21" i="67"/>
  <c r="U7" i="67"/>
  <c r="AA5" i="67"/>
  <c r="U120" i="67"/>
  <c r="W104" i="67"/>
  <c r="U87" i="67"/>
  <c r="Z120" i="67"/>
  <c r="X115" i="67"/>
  <c r="Z112" i="67"/>
  <c r="X107" i="67"/>
  <c r="AA99" i="67"/>
  <c r="X97" i="67"/>
  <c r="Z92" i="67"/>
  <c r="Y87" i="67"/>
  <c r="AA82" i="67"/>
  <c r="V80" i="67"/>
  <c r="U75" i="67"/>
  <c r="W70" i="67"/>
  <c r="AA60" i="67"/>
  <c r="X53" i="67"/>
  <c r="W48" i="67"/>
  <c r="Y43" i="67"/>
  <c r="V41" i="67"/>
  <c r="AA38" i="67"/>
  <c r="X36" i="67"/>
  <c r="U31" i="67"/>
  <c r="Z29" i="67"/>
  <c r="X28" i="67"/>
  <c r="AA20" i="67"/>
  <c r="V9" i="67"/>
  <c r="V8" i="67"/>
  <c r="W7" i="67"/>
  <c r="Z6" i="67"/>
  <c r="W115" i="67"/>
  <c r="W112" i="67"/>
  <c r="W107" i="67"/>
  <c r="Z99" i="67"/>
  <c r="W97" i="67"/>
  <c r="Y92" i="67"/>
  <c r="AA89" i="67"/>
  <c r="X87" i="67"/>
  <c r="Z82" i="67"/>
  <c r="U80" i="67"/>
  <c r="W77" i="67"/>
  <c r="V70" i="67"/>
  <c r="AA65" i="67"/>
  <c r="Z60" i="67"/>
  <c r="W53" i="67"/>
  <c r="AA45" i="67"/>
  <c r="X43" i="67"/>
  <c r="U41" i="67"/>
  <c r="Z38" i="67"/>
  <c r="Y29" i="67"/>
  <c r="W28" i="67"/>
  <c r="AA21" i="67"/>
  <c r="Z20" i="67"/>
  <c r="U9" i="67"/>
  <c r="U8" i="67"/>
  <c r="V7" i="67"/>
  <c r="Y6" i="67"/>
  <c r="V115" i="67"/>
  <c r="V112" i="67"/>
  <c r="U107" i="67"/>
  <c r="Y99" i="67"/>
  <c r="U97" i="67"/>
  <c r="AA94" i="67"/>
  <c r="Z89" i="67"/>
  <c r="W87" i="67"/>
  <c r="Y82" i="67"/>
  <c r="U77" i="67"/>
  <c r="U70" i="67"/>
  <c r="Z65" i="67"/>
  <c r="Y60" i="67"/>
  <c r="V53" i="67"/>
  <c r="U48" i="67"/>
  <c r="W43" i="67"/>
  <c r="Y38" i="67"/>
  <c r="X33" i="67"/>
  <c r="X29" i="67"/>
  <c r="AA22" i="67"/>
  <c r="X6" i="67"/>
  <c r="AA122" i="67"/>
  <c r="X99" i="67"/>
  <c r="Z94" i="67"/>
  <c r="Y89" i="67"/>
  <c r="Z122" i="67"/>
  <c r="X119" i="67"/>
  <c r="W108" i="67"/>
  <c r="U104" i="67"/>
  <c r="AA97" i="67"/>
  <c r="Y83" i="67"/>
  <c r="Y80" i="67"/>
  <c r="Y57" i="67"/>
  <c r="U54" i="67"/>
  <c r="X51" i="67"/>
  <c r="Z47" i="67"/>
  <c r="Y41" i="67"/>
  <c r="AA31" i="67"/>
  <c r="Z24" i="67"/>
  <c r="U17" i="67"/>
  <c r="X13" i="67"/>
  <c r="Y9" i="67"/>
  <c r="U4" i="67"/>
  <c r="W114" i="67"/>
  <c r="U73" i="67"/>
  <c r="W37" i="67"/>
  <c r="E4" i="67"/>
  <c r="X118" i="67"/>
  <c r="Z72" i="67"/>
  <c r="AA62" i="67"/>
  <c r="AA59" i="67"/>
  <c r="U53" i="67"/>
  <c r="V43" i="67"/>
  <c r="U37" i="67"/>
  <c r="W33" i="67"/>
  <c r="Z30" i="67"/>
  <c r="Y15" i="67"/>
  <c r="W6" i="67"/>
  <c r="V76" i="67"/>
  <c r="Z59" i="67"/>
  <c r="U43" i="67"/>
  <c r="Y30" i="67"/>
  <c r="X22" i="67"/>
  <c r="AA117" i="67"/>
  <c r="U76" i="67"/>
  <c r="Y59" i="67"/>
  <c r="U33" i="67"/>
  <c r="W15" i="67"/>
  <c r="X11" i="67"/>
  <c r="U6" i="67"/>
  <c r="Y122" i="67"/>
  <c r="V108" i="67"/>
  <c r="AA90" i="67"/>
  <c r="X83" i="67"/>
  <c r="X60" i="67"/>
  <c r="X57" i="67"/>
  <c r="W50" i="67"/>
  <c r="Y47" i="67"/>
  <c r="Y44" i="67"/>
  <c r="AA37" i="67"/>
  <c r="Y24" i="67"/>
  <c r="X21" i="67"/>
  <c r="AA14" i="67"/>
  <c r="Z5" i="67"/>
  <c r="I4" i="67"/>
  <c r="AA118" i="67"/>
  <c r="Z118" i="67"/>
  <c r="W5" i="67"/>
  <c r="Y118" i="67"/>
  <c r="X111" i="67"/>
  <c r="Z103" i="67"/>
  <c r="U89" i="67"/>
  <c r="U79" i="67"/>
  <c r="X76" i="67"/>
  <c r="Z66" i="67"/>
  <c r="V34" i="67"/>
  <c r="W27" i="67"/>
  <c r="V18" i="67"/>
  <c r="Z15" i="67"/>
  <c r="W14" i="67"/>
  <c r="V5" i="67"/>
  <c r="W111" i="67"/>
  <c r="Y103" i="67"/>
  <c r="X82" i="67"/>
  <c r="W76" i="67"/>
  <c r="V66" i="67"/>
  <c r="AA56" i="67"/>
  <c r="Y22" i="67"/>
  <c r="D4" i="67"/>
  <c r="U114" i="67"/>
  <c r="U69" i="67"/>
  <c r="U56" i="67"/>
  <c r="X30" i="67"/>
  <c r="Y25" i="67"/>
  <c r="X121" i="67"/>
  <c r="W121" i="67"/>
  <c r="Y117" i="67"/>
  <c r="W110" i="67"/>
  <c r="W106" i="67"/>
  <c r="U103" i="67"/>
  <c r="Y91" i="67"/>
  <c r="W85" i="67"/>
  <c r="AA78" i="67"/>
  <c r="AA75" i="67"/>
  <c r="W62" i="67"/>
  <c r="V59" i="67"/>
  <c r="X52" i="67"/>
  <c r="AA49" i="67"/>
  <c r="W46" i="67"/>
  <c r="AA28" i="67"/>
  <c r="W25" i="67"/>
  <c r="U22" i="67"/>
  <c r="Z19" i="67"/>
  <c r="AA16" i="67"/>
  <c r="U15" i="67"/>
  <c r="V11" i="67"/>
  <c r="X117" i="67"/>
  <c r="X122" i="67"/>
  <c r="U108" i="67"/>
  <c r="V93" i="67"/>
  <c r="Z90" i="67"/>
  <c r="AA86" i="67"/>
  <c r="W83" i="67"/>
  <c r="W60" i="67"/>
  <c r="W57" i="67"/>
  <c r="V50" i="67"/>
  <c r="U47" i="67"/>
  <c r="W44" i="67"/>
  <c r="Z37" i="67"/>
  <c r="Z34" i="67"/>
  <c r="X24" i="67"/>
  <c r="W21" i="67"/>
  <c r="Z14" i="67"/>
  <c r="AA10" i="67"/>
  <c r="Y5" i="67"/>
  <c r="H4" i="67"/>
  <c r="W122" i="67"/>
  <c r="Z114" i="67"/>
  <c r="AA111" i="67"/>
  <c r="U93" i="67"/>
  <c r="X89" i="67"/>
  <c r="V86" i="67"/>
  <c r="V83" i="67"/>
  <c r="AA79" i="67"/>
  <c r="AA76" i="67"/>
  <c r="W73" i="67"/>
  <c r="V60" i="67"/>
  <c r="U57" i="67"/>
  <c r="U50" i="67"/>
  <c r="Y37" i="67"/>
  <c r="Y34" i="67"/>
  <c r="Y27" i="67"/>
  <c r="AA18" i="67"/>
  <c r="Y14" i="67"/>
  <c r="Z10" i="67"/>
  <c r="X5" i="67"/>
  <c r="G4" i="67"/>
  <c r="V122" i="67"/>
  <c r="Y114" i="67"/>
  <c r="Y111" i="67"/>
  <c r="U100" i="67"/>
  <c r="X96" i="67"/>
  <c r="V89" i="67"/>
  <c r="U86" i="67"/>
  <c r="U83" i="67"/>
  <c r="V79" i="67"/>
  <c r="Z76" i="67"/>
  <c r="V73" i="67"/>
  <c r="AA66" i="67"/>
  <c r="X40" i="67"/>
  <c r="X37" i="67"/>
  <c r="W34" i="67"/>
  <c r="X27" i="67"/>
  <c r="W18" i="67"/>
  <c r="X14" i="67"/>
  <c r="Y10" i="67"/>
  <c r="F4" i="67"/>
  <c r="AA30" i="67"/>
  <c r="X10" i="67"/>
  <c r="V114" i="67"/>
  <c r="AA11" i="67"/>
  <c r="W118" i="67"/>
  <c r="X103" i="67"/>
  <c r="V99" i="67"/>
  <c r="Y72" i="67"/>
  <c r="U66" i="67"/>
  <c r="Z62" i="67"/>
  <c r="V56" i="67"/>
  <c r="V33" i="67"/>
  <c r="Z25" i="67"/>
  <c r="X15" i="67"/>
  <c r="Y11" i="67"/>
  <c r="V6" i="67"/>
  <c r="C4" i="67"/>
  <c r="Y121" i="67"/>
  <c r="Y110" i="67"/>
  <c r="Z106" i="67"/>
  <c r="W103" i="67"/>
  <c r="U99" i="67"/>
  <c r="AA85" i="67"/>
  <c r="Y62" i="67"/>
  <c r="Z52" i="67"/>
  <c r="W22" i="67"/>
  <c r="Z117" i="67"/>
  <c r="X110" i="67"/>
  <c r="X106" i="67"/>
  <c r="V103" i="67"/>
  <c r="Z85" i="67"/>
  <c r="X62" i="67"/>
  <c r="X59" i="67"/>
  <c r="Y52" i="67"/>
  <c r="X46" i="67"/>
  <c r="W30" i="67"/>
  <c r="X25" i="67"/>
  <c r="V22" i="67"/>
  <c r="V15" i="67"/>
  <c r="W11" i="67"/>
  <c r="X113" i="67"/>
  <c r="X105" i="67"/>
  <c r="Y88" i="67"/>
  <c r="W81" i="67"/>
  <c r="Z74" i="67"/>
  <c r="Z67" i="67"/>
  <c r="U59" i="67"/>
  <c r="U45" i="67"/>
  <c r="W113" i="67"/>
  <c r="W105" i="67"/>
  <c r="AA95" i="67"/>
  <c r="X88" i="67"/>
  <c r="Y74" i="67"/>
  <c r="U67" i="67"/>
  <c r="V23" i="67"/>
  <c r="V17" i="67"/>
  <c r="U23" i="67"/>
  <c r="Y16" i="67"/>
  <c r="AA26" i="67"/>
  <c r="X16" i="67"/>
  <c r="Z26" i="67"/>
  <c r="W16" i="67"/>
  <c r="AA13" i="67"/>
  <c r="Z13" i="67"/>
  <c r="AA24" i="67"/>
  <c r="V104" i="67"/>
  <c r="Z95" i="67"/>
  <c r="W88" i="67"/>
  <c r="U74" i="67"/>
  <c r="Y95" i="67"/>
  <c r="U95" i="67"/>
  <c r="AA58" i="67"/>
  <c r="AA119" i="67"/>
  <c r="Y94" i="67"/>
  <c r="Z80" i="67"/>
  <c r="AA64" i="67"/>
  <c r="AA51" i="67"/>
  <c r="AA35" i="67"/>
  <c r="Z119" i="67"/>
  <c r="Z78" i="67"/>
  <c r="Z64" i="67"/>
  <c r="Y51" i="67"/>
  <c r="Z35" i="67"/>
  <c r="W29" i="67"/>
  <c r="U26" i="67"/>
  <c r="Y119" i="67"/>
  <c r="AA109" i="67"/>
  <c r="AA101" i="67"/>
  <c r="Y78" i="67"/>
  <c r="Y64" i="67"/>
  <c r="AA57" i="67"/>
  <c r="V49" i="67"/>
  <c r="Y35" i="67"/>
  <c r="V29" i="67"/>
  <c r="Y101" i="67"/>
  <c r="X78" i="67"/>
  <c r="W71" i="67"/>
  <c r="W64" i="67"/>
  <c r="Z57" i="67"/>
  <c r="U49" i="67"/>
  <c r="U35" i="67"/>
  <c r="X101" i="67"/>
  <c r="Z84" i="67"/>
  <c r="W78" i="67"/>
  <c r="V71" i="67"/>
  <c r="V64" i="67"/>
  <c r="Z55" i="67"/>
  <c r="AA4" i="67"/>
  <c r="W12" i="67"/>
  <c r="W4" i="67"/>
  <c r="V12" i="67"/>
  <c r="V4" i="67"/>
  <c r="U12" i="67"/>
  <c r="AA9" i="67"/>
  <c r="Z9" i="67"/>
  <c r="Z23" i="67"/>
  <c r="U101" i="67"/>
  <c r="X91" i="67"/>
  <c r="Y84" i="67"/>
  <c r="V78" i="67"/>
  <c r="U64" i="67"/>
  <c r="Y55" i="67"/>
  <c r="AA116" i="67"/>
  <c r="W91" i="67"/>
  <c r="W84" i="67"/>
  <c r="V62" i="67"/>
  <c r="X55" i="67"/>
  <c r="V116" i="67"/>
  <c r="Y108" i="67"/>
  <c r="V91" i="67"/>
  <c r="V84" i="67"/>
  <c r="U55" i="67"/>
  <c r="U116" i="67"/>
  <c r="X108" i="67"/>
  <c r="AA98" i="67"/>
  <c r="U91" i="67"/>
  <c r="U84" i="67"/>
  <c r="AA68" i="67"/>
  <c r="AA41" i="67"/>
  <c r="V106" i="67"/>
  <c r="Z98" i="67"/>
  <c r="Z68" i="67"/>
  <c r="Z54" i="67"/>
  <c r="AA39" i="67"/>
  <c r="AA32" i="67"/>
  <c r="U106" i="67"/>
  <c r="V98" i="67"/>
  <c r="Y68" i="67"/>
  <c r="Y61" i="67"/>
  <c r="Y54" i="67"/>
  <c r="Z39" i="67"/>
  <c r="Z32" i="67"/>
  <c r="Z83" i="67"/>
  <c r="X68" i="67"/>
  <c r="X61" i="67"/>
  <c r="W54" i="67"/>
  <c r="Y45" i="67"/>
  <c r="V39" i="67"/>
  <c r="Y32" i="67"/>
  <c r="AA105" i="67"/>
  <c r="AA81" i="67"/>
  <c r="W68" i="67"/>
  <c r="W61" i="67"/>
  <c r="V54" i="67"/>
  <c r="X45" i="67"/>
  <c r="U39" i="67"/>
  <c r="X32" i="67"/>
  <c r="Z113" i="67"/>
  <c r="Z105" i="67"/>
  <c r="Y81" i="67"/>
  <c r="V61" i="67"/>
  <c r="W52" i="67"/>
  <c r="W45" i="67"/>
  <c r="W32" i="67"/>
  <c r="Y23" i="67"/>
  <c r="Y17" i="67"/>
  <c r="X23" i="67"/>
  <c r="X17" i="67"/>
  <c r="W23" i="67"/>
  <c r="W17" i="67"/>
  <c r="V26" i="67"/>
  <c r="V16" i="67"/>
  <c r="U25" i="67"/>
  <c r="Y13" i="67"/>
  <c r="Y113" i="67"/>
  <c r="Y105" i="67"/>
  <c r="X81" i="67"/>
  <c r="AA74" i="67"/>
  <c r="AA67" i="67"/>
  <c r="U61" i="67"/>
  <c r="V52" i="67"/>
  <c r="V45" i="67"/>
  <c r="X38" i="67"/>
  <c r="A4" i="59" l="1" a="1"/>
  <c r="A4" i="59" s="1"/>
  <c r="B3" i="64" l="1"/>
  <c r="B3" i="66"/>
  <c r="G4" i="42" a="1"/>
  <c r="G4" i="42" s="1"/>
  <c r="E4" i="42" a="1"/>
  <c r="E4" i="42" s="1"/>
  <c r="C4" i="42" a="1"/>
  <c r="C4" i="42" s="1"/>
  <c r="B7" i="64" a="1"/>
  <c r="B7" i="64" s="1"/>
  <c r="B7" i="66" a="1"/>
  <c r="B7" i="66"/>
  <c r="H150" i="66"/>
  <c r="H149" i="66"/>
  <c r="H148" i="66"/>
  <c r="H147" i="66"/>
  <c r="H146" i="66"/>
  <c r="H145" i="66"/>
  <c r="H144" i="66"/>
  <c r="H143" i="66"/>
  <c r="H142" i="66"/>
  <c r="H141" i="66"/>
  <c r="H140" i="66"/>
  <c r="H139" i="66"/>
  <c r="H138" i="66"/>
  <c r="H137" i="66"/>
  <c r="H136" i="66"/>
  <c r="H135" i="66"/>
  <c r="H134" i="66"/>
  <c r="H133" i="66"/>
  <c r="H132" i="66"/>
  <c r="H131" i="66"/>
  <c r="H130" i="66"/>
  <c r="H129" i="66"/>
  <c r="H128" i="66"/>
  <c r="H127" i="66"/>
  <c r="H126" i="66"/>
  <c r="H125" i="66"/>
  <c r="H124" i="66"/>
  <c r="H123" i="66"/>
  <c r="H122" i="66"/>
  <c r="H121" i="66"/>
  <c r="H120" i="66"/>
  <c r="H119" i="66"/>
  <c r="H118" i="66"/>
  <c r="H117" i="66"/>
  <c r="H116" i="66"/>
  <c r="H115" i="66"/>
  <c r="H114" i="66"/>
  <c r="H113" i="66"/>
  <c r="H112" i="66"/>
  <c r="H111" i="66"/>
  <c r="H110" i="66"/>
  <c r="H109" i="66"/>
  <c r="H108" i="66"/>
  <c r="H107" i="66"/>
  <c r="H106" i="66"/>
  <c r="H105" i="66"/>
  <c r="H104" i="66"/>
  <c r="H103" i="66"/>
  <c r="H102" i="66"/>
  <c r="H101" i="66"/>
  <c r="H100" i="66"/>
  <c r="H99" i="66"/>
  <c r="H98" i="66"/>
  <c r="H97" i="66"/>
  <c r="H96" i="66"/>
  <c r="H95" i="66"/>
  <c r="H94" i="66"/>
  <c r="H93" i="66"/>
  <c r="H92" i="66"/>
  <c r="H91" i="66"/>
  <c r="H90" i="66"/>
  <c r="H89" i="66"/>
  <c r="G89" i="66"/>
  <c r="H88" i="66"/>
  <c r="H87" i="66"/>
  <c r="E87" i="66" a="1"/>
  <c r="E87" i="66" s="1"/>
  <c r="J87" i="66" s="1" a="1"/>
  <c r="J87" i="66" s="1"/>
  <c r="K87" i="66" s="1" a="1"/>
  <c r="K87" i="66" s="1"/>
  <c r="L87" i="66" s="1" a="1"/>
  <c r="L87" i="66" s="1"/>
  <c r="D4" i="42" s="1" a="1"/>
  <c r="D4" i="42" s="1"/>
  <c r="B85" i="66"/>
  <c r="M80" i="66"/>
  <c r="C79" i="66"/>
  <c r="H78" i="66"/>
  <c r="H77" i="66"/>
  <c r="H76" i="66"/>
  <c r="H75" i="66"/>
  <c r="H74" i="66"/>
  <c r="H73" i="66"/>
  <c r="H72" i="66"/>
  <c r="H71" i="66"/>
  <c r="H70" i="66"/>
  <c r="H69" i="66"/>
  <c r="H68" i="66"/>
  <c r="H67" i="66"/>
  <c r="H66" i="66"/>
  <c r="H65" i="66"/>
  <c r="H64" i="66"/>
  <c r="H63" i="66"/>
  <c r="H62" i="66"/>
  <c r="H61" i="66"/>
  <c r="H60" i="66"/>
  <c r="H59" i="66"/>
  <c r="H58" i="66"/>
  <c r="H57" i="66"/>
  <c r="H56" i="66"/>
  <c r="H55" i="66"/>
  <c r="H54" i="66"/>
  <c r="H53" i="66"/>
  <c r="H52" i="66"/>
  <c r="H51" i="66"/>
  <c r="H50" i="66"/>
  <c r="H49" i="66"/>
  <c r="H48" i="66"/>
  <c r="H47" i="66"/>
  <c r="H46" i="66"/>
  <c r="H45" i="66"/>
  <c r="H44" i="66"/>
  <c r="H43" i="66"/>
  <c r="H42" i="66"/>
  <c r="H41" i="66"/>
  <c r="H40" i="66"/>
  <c r="H39" i="66"/>
  <c r="H38" i="66"/>
  <c r="H37" i="66"/>
  <c r="H36" i="66"/>
  <c r="H35" i="66"/>
  <c r="H34" i="66"/>
  <c r="H33" i="66"/>
  <c r="H32" i="66"/>
  <c r="H31" i="66"/>
  <c r="H30" i="66"/>
  <c r="H29" i="66"/>
  <c r="H28" i="66"/>
  <c r="H27" i="66"/>
  <c r="H26" i="66"/>
  <c r="H25" i="66"/>
  <c r="H24" i="66"/>
  <c r="H23" i="66"/>
  <c r="H22" i="66"/>
  <c r="H21" i="66"/>
  <c r="H20" i="66"/>
  <c r="H19" i="66"/>
  <c r="H18" i="66"/>
  <c r="H17" i="66"/>
  <c r="G17" i="66"/>
  <c r="H16" i="66"/>
  <c r="H15" i="66"/>
  <c r="E15" i="66" a="1"/>
  <c r="E15" i="66" s="1"/>
  <c r="J15" i="66" s="1" a="1"/>
  <c r="F87" i="66" a="1"/>
  <c r="F87" i="66" s="1"/>
  <c r="J7" i="66" l="1" a="1"/>
  <c r="J7" i="66" s="1"/>
  <c r="M87" i="66" a="1"/>
  <c r="M87" i="66" s="1"/>
  <c r="J15" i="66"/>
  <c r="K15" i="66" s="1" a="1"/>
  <c r="K15" i="66" s="1"/>
  <c r="K79" i="66"/>
  <c r="K81" i="66" s="1"/>
  <c r="F15" i="66" a="1"/>
  <c r="U80" i="59"/>
  <c r="V58" i="59"/>
  <c r="I29" i="59"/>
  <c r="H29" i="59"/>
  <c r="G29" i="59"/>
  <c r="F29" i="59"/>
  <c r="E29" i="59"/>
  <c r="D29" i="59"/>
  <c r="C29" i="59"/>
  <c r="I28" i="59"/>
  <c r="H28" i="59"/>
  <c r="G28" i="59"/>
  <c r="F28" i="59"/>
  <c r="E28" i="59"/>
  <c r="D28" i="59"/>
  <c r="C28" i="59"/>
  <c r="I27" i="59"/>
  <c r="Y54" i="59" s="1"/>
  <c r="H27" i="59"/>
  <c r="G27" i="59"/>
  <c r="F27" i="59"/>
  <c r="E27" i="59"/>
  <c r="D27" i="59"/>
  <c r="C27" i="59"/>
  <c r="I26" i="59"/>
  <c r="Y95" i="59" s="1"/>
  <c r="H26" i="59"/>
  <c r="G26" i="59"/>
  <c r="F26" i="59"/>
  <c r="E26" i="59"/>
  <c r="D26" i="59"/>
  <c r="C26" i="59"/>
  <c r="I25" i="59"/>
  <c r="V48" i="59" s="1"/>
  <c r="H25" i="59"/>
  <c r="G25" i="59"/>
  <c r="F25" i="59"/>
  <c r="E25" i="59"/>
  <c r="D25" i="59"/>
  <c r="C25" i="59"/>
  <c r="I24" i="59"/>
  <c r="H24" i="59"/>
  <c r="G24" i="59"/>
  <c r="F24" i="59"/>
  <c r="E24" i="59"/>
  <c r="D24" i="59"/>
  <c r="C24" i="59"/>
  <c r="I23" i="59"/>
  <c r="X89" i="59" s="1"/>
  <c r="H23" i="59"/>
  <c r="G23" i="59"/>
  <c r="F23" i="59"/>
  <c r="E23" i="59"/>
  <c r="D23" i="59"/>
  <c r="C23" i="59"/>
  <c r="I22" i="59"/>
  <c r="V25" i="59" s="1"/>
  <c r="H22" i="59"/>
  <c r="G22" i="59"/>
  <c r="F22" i="59"/>
  <c r="E22" i="59"/>
  <c r="D22" i="59"/>
  <c r="C22" i="59"/>
  <c r="I21" i="59"/>
  <c r="H21" i="59"/>
  <c r="G21" i="59"/>
  <c r="F21" i="59"/>
  <c r="E21" i="59"/>
  <c r="D21" i="59"/>
  <c r="C21" i="59"/>
  <c r="I20" i="59"/>
  <c r="V44" i="59" s="1"/>
  <c r="H20" i="59"/>
  <c r="G20" i="59"/>
  <c r="F20" i="59"/>
  <c r="E20" i="59"/>
  <c r="D20" i="59"/>
  <c r="C20" i="59"/>
  <c r="V19" i="59"/>
  <c r="I19" i="59"/>
  <c r="H19" i="59"/>
  <c r="G19" i="59"/>
  <c r="F19" i="59"/>
  <c r="E19" i="59"/>
  <c r="D19" i="59"/>
  <c r="C19" i="59"/>
  <c r="I18" i="59"/>
  <c r="Y39" i="59" s="1"/>
  <c r="H18" i="59"/>
  <c r="G18" i="59"/>
  <c r="F18" i="59"/>
  <c r="E18" i="59"/>
  <c r="D18" i="59"/>
  <c r="C18" i="59"/>
  <c r="I17" i="59"/>
  <c r="H17" i="59"/>
  <c r="G17" i="59"/>
  <c r="F17" i="59"/>
  <c r="E17" i="59"/>
  <c r="D17" i="59"/>
  <c r="C17" i="59"/>
  <c r="I16" i="59"/>
  <c r="H16" i="59"/>
  <c r="G16" i="59"/>
  <c r="F16" i="59"/>
  <c r="E16" i="59"/>
  <c r="D16" i="59"/>
  <c r="C16" i="59"/>
  <c r="I15" i="59"/>
  <c r="X124" i="59" s="1"/>
  <c r="H15" i="59"/>
  <c r="G15" i="59"/>
  <c r="F15" i="59"/>
  <c r="E15" i="59"/>
  <c r="D15" i="59"/>
  <c r="C15" i="59"/>
  <c r="I14" i="59"/>
  <c r="Z5" i="59" s="1"/>
  <c r="H14" i="59"/>
  <c r="G14" i="59"/>
  <c r="F14" i="59"/>
  <c r="E14" i="59"/>
  <c r="D14" i="59"/>
  <c r="C14" i="59"/>
  <c r="I13" i="59"/>
  <c r="AA124" i="59" s="1"/>
  <c r="H13" i="59"/>
  <c r="G13" i="59"/>
  <c r="F13" i="59"/>
  <c r="E13" i="59"/>
  <c r="D13" i="59"/>
  <c r="C13" i="59"/>
  <c r="I12" i="59"/>
  <c r="H12" i="59"/>
  <c r="G12" i="59"/>
  <c r="F12" i="59"/>
  <c r="E12" i="59"/>
  <c r="D12" i="59"/>
  <c r="C12" i="59"/>
  <c r="I11" i="59"/>
  <c r="H11" i="59"/>
  <c r="G11" i="59"/>
  <c r="F11" i="59"/>
  <c r="E11" i="59"/>
  <c r="D11" i="59"/>
  <c r="C11" i="59"/>
  <c r="I10" i="59"/>
  <c r="H10" i="59"/>
  <c r="G10" i="59"/>
  <c r="F10" i="59"/>
  <c r="E10" i="59"/>
  <c r="D10" i="59"/>
  <c r="C10" i="59"/>
  <c r="I9" i="59"/>
  <c r="AA4" i="59" s="1"/>
  <c r="H9" i="59"/>
  <c r="G9" i="59"/>
  <c r="F9" i="59"/>
  <c r="E9" i="59"/>
  <c r="D9" i="59"/>
  <c r="C9" i="59"/>
  <c r="I8" i="59"/>
  <c r="AA23" i="59" s="1"/>
  <c r="H8" i="59"/>
  <c r="G8" i="59"/>
  <c r="F8" i="59"/>
  <c r="E8" i="59"/>
  <c r="D8" i="59"/>
  <c r="C8" i="59"/>
  <c r="I7" i="59"/>
  <c r="W55" i="59" s="1"/>
  <c r="H7" i="59"/>
  <c r="G7" i="59"/>
  <c r="F7" i="59"/>
  <c r="E7" i="59"/>
  <c r="D7" i="59"/>
  <c r="C7" i="59"/>
  <c r="I6" i="59"/>
  <c r="H6" i="59"/>
  <c r="G6" i="59"/>
  <c r="F6" i="59"/>
  <c r="E6" i="59"/>
  <c r="D6" i="59"/>
  <c r="C6" i="59"/>
  <c r="I5" i="59"/>
  <c r="H5" i="59"/>
  <c r="G5" i="59"/>
  <c r="F5" i="59"/>
  <c r="E5" i="59"/>
  <c r="D5" i="59"/>
  <c r="C5" i="59"/>
  <c r="I4" i="59"/>
  <c r="H4" i="59"/>
  <c r="G4" i="59"/>
  <c r="F4" i="59"/>
  <c r="E4" i="59"/>
  <c r="D4" i="59"/>
  <c r="C4" i="59"/>
  <c r="G9" i="58"/>
  <c r="E9" i="58"/>
  <c r="G7" i="58"/>
  <c r="G5" i="58"/>
  <c r="H220" i="64"/>
  <c r="H219" i="64"/>
  <c r="H218" i="64"/>
  <c r="H217" i="64"/>
  <c r="H216" i="64"/>
  <c r="H215" i="64"/>
  <c r="H214" i="64"/>
  <c r="H213" i="64"/>
  <c r="H212" i="64"/>
  <c r="H211" i="64"/>
  <c r="H210" i="64"/>
  <c r="H209" i="64"/>
  <c r="H208" i="64"/>
  <c r="H207" i="64"/>
  <c r="H206" i="64"/>
  <c r="H205" i="64"/>
  <c r="H204" i="64"/>
  <c r="H203" i="64"/>
  <c r="H202" i="64"/>
  <c r="H201" i="64"/>
  <c r="H200" i="64"/>
  <c r="H199" i="64"/>
  <c r="H198" i="64"/>
  <c r="H197" i="64"/>
  <c r="H196" i="64"/>
  <c r="H195" i="64"/>
  <c r="H194" i="64"/>
  <c r="H193" i="64"/>
  <c r="H192" i="64"/>
  <c r="H191" i="64"/>
  <c r="H190" i="64"/>
  <c r="H189" i="64"/>
  <c r="H188" i="64"/>
  <c r="H187" i="64"/>
  <c r="H186" i="64"/>
  <c r="H185" i="64"/>
  <c r="H184" i="64"/>
  <c r="H183" i="64"/>
  <c r="H182" i="64"/>
  <c r="H181" i="64"/>
  <c r="H180" i="64"/>
  <c r="H179" i="64"/>
  <c r="H178" i="64"/>
  <c r="H177" i="64"/>
  <c r="H176" i="64"/>
  <c r="H175" i="64"/>
  <c r="H174" i="64"/>
  <c r="H173" i="64"/>
  <c r="H172" i="64"/>
  <c r="H171" i="64"/>
  <c r="H170" i="64"/>
  <c r="H169" i="64"/>
  <c r="H168" i="64"/>
  <c r="H167" i="64"/>
  <c r="H166" i="64"/>
  <c r="H165" i="64"/>
  <c r="H164" i="64"/>
  <c r="H163" i="64"/>
  <c r="H162" i="64"/>
  <c r="H161" i="64"/>
  <c r="H160" i="64"/>
  <c r="H159" i="64"/>
  <c r="G159" i="64"/>
  <c r="H158" i="64"/>
  <c r="H157" i="64"/>
  <c r="C157" i="64" a="1"/>
  <c r="C157" i="64" s="1"/>
  <c r="E157" i="64" s="1" a="1"/>
  <c r="E157" i="64" s="1"/>
  <c r="J157" i="64" s="1" a="1"/>
  <c r="J157" i="64" s="1"/>
  <c r="K157" i="64" s="1" a="1"/>
  <c r="K157" i="64" s="1"/>
  <c r="L157" i="64" s="1" a="1"/>
  <c r="L157" i="64" s="1"/>
  <c r="H150" i="64"/>
  <c r="H149" i="64"/>
  <c r="H148" i="64"/>
  <c r="H147" i="64"/>
  <c r="H146" i="64"/>
  <c r="H145" i="64"/>
  <c r="H144" i="64"/>
  <c r="H143" i="64"/>
  <c r="H142" i="64"/>
  <c r="H141" i="64"/>
  <c r="H140" i="64"/>
  <c r="H139" i="64"/>
  <c r="H138" i="64"/>
  <c r="H137" i="64"/>
  <c r="H136" i="64"/>
  <c r="H135" i="64"/>
  <c r="H134" i="64"/>
  <c r="H133" i="64"/>
  <c r="H132" i="64"/>
  <c r="H131" i="64"/>
  <c r="H130" i="64"/>
  <c r="H129" i="64"/>
  <c r="H128" i="64"/>
  <c r="H127" i="64"/>
  <c r="H126" i="64"/>
  <c r="H125" i="64"/>
  <c r="H124" i="64"/>
  <c r="H123" i="64"/>
  <c r="H122" i="64"/>
  <c r="H121" i="64"/>
  <c r="H120" i="64"/>
  <c r="H119" i="64"/>
  <c r="H118" i="64"/>
  <c r="H117" i="64"/>
  <c r="H116" i="64"/>
  <c r="H115" i="64"/>
  <c r="H114" i="64"/>
  <c r="H113" i="64"/>
  <c r="H112" i="64"/>
  <c r="H111" i="64"/>
  <c r="H110" i="64"/>
  <c r="H109" i="64"/>
  <c r="H108" i="64"/>
  <c r="H107" i="64"/>
  <c r="H106" i="64"/>
  <c r="H105" i="64"/>
  <c r="H104" i="64"/>
  <c r="H103" i="64"/>
  <c r="H102" i="64"/>
  <c r="H101" i="64"/>
  <c r="H100" i="64"/>
  <c r="H99" i="64"/>
  <c r="H98" i="64"/>
  <c r="H97" i="64"/>
  <c r="H96" i="64"/>
  <c r="H95" i="64"/>
  <c r="H94" i="64"/>
  <c r="H93" i="64"/>
  <c r="H92" i="64"/>
  <c r="H91" i="64"/>
  <c r="H90" i="64"/>
  <c r="H89" i="64"/>
  <c r="G89" i="64"/>
  <c r="H88" i="64"/>
  <c r="H87" i="64"/>
  <c r="F87" i="64" a="1"/>
  <c r="F87" i="64" s="1"/>
  <c r="E87" i="64" a="1"/>
  <c r="E87" i="64" s="1"/>
  <c r="J87" i="64" s="1" a="1"/>
  <c r="J87" i="64" s="1"/>
  <c r="K87" i="64" s="1" a="1"/>
  <c r="K87" i="64" s="1"/>
  <c r="L87" i="64" s="1" a="1"/>
  <c r="L87" i="64" s="1"/>
  <c r="F4" i="42" s="1" a="1"/>
  <c r="F4" i="42" s="1"/>
  <c r="B85" i="64"/>
  <c r="M80" i="64"/>
  <c r="C79" i="64"/>
  <c r="H78" i="64"/>
  <c r="H77" i="64"/>
  <c r="H76" i="64"/>
  <c r="H75" i="64"/>
  <c r="H74" i="64"/>
  <c r="H73" i="64"/>
  <c r="H72" i="64"/>
  <c r="H71" i="64"/>
  <c r="H70" i="64"/>
  <c r="H69" i="64"/>
  <c r="H68" i="64"/>
  <c r="H67" i="64"/>
  <c r="H66" i="64"/>
  <c r="H65" i="64"/>
  <c r="H64" i="64"/>
  <c r="H63" i="64"/>
  <c r="H62" i="64"/>
  <c r="H61" i="64"/>
  <c r="H60" i="64"/>
  <c r="H59" i="64"/>
  <c r="H58" i="64"/>
  <c r="H57" i="64"/>
  <c r="H56" i="64"/>
  <c r="H55" i="64"/>
  <c r="H54" i="64"/>
  <c r="H53" i="64"/>
  <c r="H52" i="64"/>
  <c r="H51" i="64"/>
  <c r="H50" i="64"/>
  <c r="H49" i="64"/>
  <c r="H48" i="64"/>
  <c r="H47" i="64"/>
  <c r="H46" i="64"/>
  <c r="H45" i="64"/>
  <c r="H44" i="64"/>
  <c r="H43" i="64"/>
  <c r="H42" i="64"/>
  <c r="H41" i="64"/>
  <c r="H40" i="64"/>
  <c r="H39" i="64"/>
  <c r="H38" i="64"/>
  <c r="H37" i="64"/>
  <c r="H36" i="64"/>
  <c r="H35" i="64"/>
  <c r="H34" i="64"/>
  <c r="H33" i="64"/>
  <c r="H32" i="64"/>
  <c r="H31" i="64"/>
  <c r="H30" i="64"/>
  <c r="H29" i="64"/>
  <c r="H28" i="64"/>
  <c r="H27" i="64"/>
  <c r="H26" i="64"/>
  <c r="H25" i="64"/>
  <c r="H24" i="64"/>
  <c r="H23" i="64"/>
  <c r="H22" i="64"/>
  <c r="H21" i="64"/>
  <c r="H20" i="64"/>
  <c r="H19" i="64"/>
  <c r="H18" i="64"/>
  <c r="H17" i="64"/>
  <c r="G17" i="64"/>
  <c r="H16" i="64"/>
  <c r="J15" i="64" a="1"/>
  <c r="J15" i="64" s="1"/>
  <c r="K15" i="64" s="1" a="1"/>
  <c r="K15" i="64" s="1"/>
  <c r="H15" i="64"/>
  <c r="E15" i="64"/>
  <c r="E15" i="64" a="1"/>
  <c r="G8" i="64"/>
  <c r="F8" i="64"/>
  <c r="F15" i="64" a="1"/>
  <c r="B40" i="4"/>
  <c r="C21" i="4"/>
  <c r="A21" i="4"/>
  <c r="C17" i="4"/>
  <c r="A17" i="4"/>
  <c r="A11" i="4"/>
  <c r="A11" i="4" a="1"/>
  <c r="B7" i="4"/>
  <c r="AA66" i="59" l="1"/>
  <c r="Y73" i="59"/>
  <c r="V6" i="59"/>
  <c r="U57" i="59"/>
  <c r="Y6" i="59"/>
  <c r="Z95" i="59"/>
  <c r="X4" i="59"/>
  <c r="W6" i="59"/>
  <c r="Y4" i="59"/>
  <c r="X18" i="59"/>
  <c r="X30" i="59"/>
  <c r="U5" i="59"/>
  <c r="AA7" i="59"/>
  <c r="W7" i="59"/>
  <c r="Z47" i="59"/>
  <c r="X114" i="59"/>
  <c r="V12" i="59"/>
  <c r="W34" i="59"/>
  <c r="X41" i="59"/>
  <c r="Y41" i="59"/>
  <c r="X5" i="59"/>
  <c r="Z6" i="59"/>
  <c r="X19" i="59"/>
  <c r="Z41" i="59"/>
  <c r="X72" i="59"/>
  <c r="AA100" i="59"/>
  <c r="W4" i="59"/>
  <c r="Y5" i="59"/>
  <c r="Y19" i="59"/>
  <c r="U73" i="59"/>
  <c r="V82" i="59"/>
  <c r="U82" i="59"/>
  <c r="W56" i="59"/>
  <c r="AA86" i="59"/>
  <c r="U112" i="59"/>
  <c r="W52" i="59"/>
  <c r="Y111" i="59"/>
  <c r="Z56" i="59"/>
  <c r="AA98" i="59"/>
  <c r="Y42" i="59"/>
  <c r="U27" i="59"/>
  <c r="Y55" i="59"/>
  <c r="Z66" i="59"/>
  <c r="W94" i="59"/>
  <c r="U68" i="59"/>
  <c r="V61" i="59"/>
  <c r="U22" i="59"/>
  <c r="U26" i="59"/>
  <c r="Y61" i="59"/>
  <c r="U88" i="59"/>
  <c r="Y22" i="59"/>
  <c r="Y26" i="59"/>
  <c r="Z48" i="59"/>
  <c r="U75" i="59"/>
  <c r="W104" i="59"/>
  <c r="W117" i="59"/>
  <c r="W68" i="59"/>
  <c r="W114" i="59"/>
  <c r="Y47" i="59"/>
  <c r="U21" i="59"/>
  <c r="X34" i="59"/>
  <c r="AA48" i="59"/>
  <c r="Y75" i="59"/>
  <c r="AA104" i="59"/>
  <c r="Y117" i="59"/>
  <c r="U11" i="59"/>
  <c r="U100" i="59"/>
  <c r="U62" i="59"/>
  <c r="Z117" i="59"/>
  <c r="AA18" i="59"/>
  <c r="V68" i="59"/>
  <c r="Z21" i="59"/>
  <c r="U35" i="59"/>
  <c r="X62" i="59"/>
  <c r="Y23" i="59"/>
  <c r="U87" i="59"/>
  <c r="W21" i="59"/>
  <c r="V20" i="59"/>
  <c r="AA21" i="59"/>
  <c r="Y36" i="59"/>
  <c r="AA62" i="59"/>
  <c r="U79" i="59"/>
  <c r="Z118" i="59"/>
  <c r="W20" i="59"/>
  <c r="Z36" i="59"/>
  <c r="X51" i="59"/>
  <c r="Y79" i="59"/>
  <c r="X106" i="59"/>
  <c r="W10" i="59"/>
  <c r="U19" i="59"/>
  <c r="Y20" i="59"/>
  <c r="V94" i="59"/>
  <c r="X120" i="59"/>
  <c r="W23" i="59"/>
  <c r="AA28" i="59"/>
  <c r="AA33" i="59"/>
  <c r="X55" i="59"/>
  <c r="V72" i="59"/>
  <c r="Y92" i="59"/>
  <c r="W98" i="59"/>
  <c r="V104" i="59"/>
  <c r="W110" i="59"/>
  <c r="W18" i="59"/>
  <c r="U20" i="59"/>
  <c r="U30" i="59"/>
  <c r="W62" i="59"/>
  <c r="W75" i="59"/>
  <c r="Y106" i="59"/>
  <c r="AA20" i="59"/>
  <c r="Y51" i="59"/>
  <c r="U69" i="59"/>
  <c r="W76" i="59"/>
  <c r="W82" i="59"/>
  <c r="Y114" i="59"/>
  <c r="Y121" i="59"/>
  <c r="W44" i="59"/>
  <c r="U58" i="59"/>
  <c r="X69" i="59"/>
  <c r="X76" i="59"/>
  <c r="Y82" i="59"/>
  <c r="V97" i="59"/>
  <c r="V102" i="59"/>
  <c r="U25" i="59"/>
  <c r="Z37" i="59"/>
  <c r="X44" i="59"/>
  <c r="U63" i="59"/>
  <c r="Y76" i="59"/>
  <c r="W97" i="59"/>
  <c r="V103" i="59"/>
  <c r="Y107" i="59"/>
  <c r="W25" i="59"/>
  <c r="AA31" i="59"/>
  <c r="Y44" i="59"/>
  <c r="Z52" i="59"/>
  <c r="W58" i="59"/>
  <c r="U91" i="59"/>
  <c r="Y97" i="59"/>
  <c r="Y103" i="59"/>
  <c r="X108" i="59"/>
  <c r="U14" i="59"/>
  <c r="W15" i="59"/>
  <c r="AA44" i="59"/>
  <c r="AA52" i="59"/>
  <c r="AA58" i="59"/>
  <c r="U71" i="59"/>
  <c r="U77" i="59"/>
  <c r="Y91" i="59"/>
  <c r="Z103" i="59"/>
  <c r="AA108" i="59"/>
  <c r="W115" i="59"/>
  <c r="AA122" i="59"/>
  <c r="Y9" i="59"/>
  <c r="W11" i="59"/>
  <c r="X14" i="59"/>
  <c r="X15" i="59"/>
  <c r="X32" i="59"/>
  <c r="V65" i="59"/>
  <c r="AA71" i="59"/>
  <c r="U78" i="59"/>
  <c r="AA91" i="59"/>
  <c r="AA103" i="59"/>
  <c r="X115" i="59"/>
  <c r="U9" i="59"/>
  <c r="V10" i="59"/>
  <c r="V11" i="59"/>
  <c r="Y10" i="59"/>
  <c r="X11" i="59"/>
  <c r="Y15" i="59"/>
  <c r="U24" i="59"/>
  <c r="V29" i="59"/>
  <c r="Y32" i="59"/>
  <c r="W38" i="59"/>
  <c r="U45" i="59"/>
  <c r="W65" i="59"/>
  <c r="W78" i="59"/>
  <c r="Y84" i="59"/>
  <c r="AA116" i="59"/>
  <c r="Y8" i="59"/>
  <c r="Y11" i="59"/>
  <c r="U12" i="59"/>
  <c r="U13" i="59"/>
  <c r="W24" i="59"/>
  <c r="Y29" i="59"/>
  <c r="Y33" i="59"/>
  <c r="W45" i="59"/>
  <c r="W59" i="59"/>
  <c r="X65" i="59"/>
  <c r="Z84" i="59"/>
  <c r="U92" i="59"/>
  <c r="U110" i="59"/>
  <c r="U123" i="59"/>
  <c r="U4" i="59"/>
  <c r="U6" i="59"/>
  <c r="AA11" i="59"/>
  <c r="Z33" i="59"/>
  <c r="W39" i="59"/>
  <c r="Z45" i="59"/>
  <c r="Y65" i="59"/>
  <c r="U72" i="59"/>
  <c r="X92" i="59"/>
  <c r="U98" i="59"/>
  <c r="V110" i="59"/>
  <c r="V123" i="59"/>
  <c r="X56" i="59"/>
  <c r="Y49" i="59"/>
  <c r="AA68" i="59"/>
  <c r="AA5" i="59"/>
  <c r="V8" i="59"/>
  <c r="U31" i="59"/>
  <c r="U42" i="59"/>
  <c r="X45" i="59"/>
  <c r="Z49" i="59"/>
  <c r="U53" i="59"/>
  <c r="AA56" i="59"/>
  <c r="Y59" i="59"/>
  <c r="U83" i="59"/>
  <c r="U95" i="59"/>
  <c r="X101" i="59"/>
  <c r="AA111" i="59"/>
  <c r="X68" i="59"/>
  <c r="X25" i="59"/>
  <c r="W28" i="59"/>
  <c r="V87" i="59"/>
  <c r="AA25" i="59"/>
  <c r="Z26" i="59"/>
  <c r="AA27" i="59"/>
  <c r="X28" i="59"/>
  <c r="X8" i="59"/>
  <c r="W9" i="59"/>
  <c r="AA26" i="59"/>
  <c r="Y28" i="59"/>
  <c r="U29" i="59"/>
  <c r="X31" i="59"/>
  <c r="V42" i="59"/>
  <c r="Y45" i="59"/>
  <c r="AA49" i="59"/>
  <c r="Z53" i="59"/>
  <c r="Y66" i="59"/>
  <c r="W95" i="59"/>
  <c r="V98" i="59"/>
  <c r="AA101" i="59"/>
  <c r="X104" i="59"/>
  <c r="W107" i="59"/>
  <c r="X118" i="59"/>
  <c r="AA118" i="59"/>
  <c r="AA6" i="59"/>
  <c r="W46" i="59"/>
  <c r="Y115" i="59"/>
  <c r="Z10" i="59"/>
  <c r="W35" i="59"/>
  <c r="X46" i="59"/>
  <c r="V50" i="59"/>
  <c r="V54" i="59"/>
  <c r="V63" i="59"/>
  <c r="V77" i="59"/>
  <c r="V88" i="59"/>
  <c r="W102" i="59"/>
  <c r="Y112" i="59"/>
  <c r="Z32" i="59"/>
  <c r="Y35" i="59"/>
  <c r="Y46" i="59"/>
  <c r="W50" i="59"/>
  <c r="W54" i="59"/>
  <c r="V57" i="59"/>
  <c r="U60" i="59"/>
  <c r="W77" i="59"/>
  <c r="W96" i="59"/>
  <c r="U99" i="59"/>
  <c r="X102" i="59"/>
  <c r="Z112" i="59"/>
  <c r="AA32" i="59"/>
  <c r="U40" i="59"/>
  <c r="U43" i="59"/>
  <c r="Z46" i="59"/>
  <c r="X50" i="59"/>
  <c r="X54" i="59"/>
  <c r="W57" i="59"/>
  <c r="V60" i="59"/>
  <c r="U67" i="59"/>
  <c r="V70" i="59"/>
  <c r="U81" i="59"/>
  <c r="U93" i="59"/>
  <c r="Y96" i="59"/>
  <c r="V99" i="59"/>
  <c r="Y102" i="59"/>
  <c r="U105" i="59"/>
  <c r="U119" i="59"/>
  <c r="Y12" i="59"/>
  <c r="V13" i="59"/>
  <c r="W14" i="59"/>
  <c r="V40" i="59"/>
  <c r="Y43" i="59"/>
  <c r="AA46" i="59"/>
  <c r="Z57" i="59"/>
  <c r="W60" i="59"/>
  <c r="V67" i="59"/>
  <c r="W70" i="59"/>
  <c r="Y74" i="59"/>
  <c r="X81" i="59"/>
  <c r="V93" i="59"/>
  <c r="Z96" i="59"/>
  <c r="W99" i="59"/>
  <c r="AA102" i="59"/>
  <c r="V105" i="59"/>
  <c r="U109" i="59"/>
  <c r="Y119" i="59"/>
  <c r="W13" i="59"/>
  <c r="U17" i="59"/>
  <c r="W40" i="59"/>
  <c r="Z43" i="59"/>
  <c r="AA60" i="59"/>
  <c r="W64" i="59"/>
  <c r="W67" i="59"/>
  <c r="X70" i="59"/>
  <c r="AA81" i="59"/>
  <c r="Y85" i="59"/>
  <c r="U89" i="59"/>
  <c r="Y93" i="59"/>
  <c r="AA96" i="59"/>
  <c r="AA99" i="59"/>
  <c r="Z105" i="59"/>
  <c r="W109" i="59"/>
  <c r="Z119" i="59"/>
  <c r="V124" i="59"/>
  <c r="Y13" i="59"/>
  <c r="Y14" i="59"/>
  <c r="U15" i="59"/>
  <c r="U16" i="59"/>
  <c r="X17" i="59"/>
  <c r="W36" i="59"/>
  <c r="AA40" i="59"/>
  <c r="U47" i="59"/>
  <c r="V55" i="59"/>
  <c r="Y64" i="59"/>
  <c r="X67" i="59"/>
  <c r="AA70" i="59"/>
  <c r="W89" i="59"/>
  <c r="X109" i="59"/>
  <c r="Y113" i="59"/>
  <c r="Y116" i="59"/>
  <c r="W124" i="59"/>
  <c r="V15" i="59"/>
  <c r="Y16" i="59"/>
  <c r="Z17" i="59"/>
  <c r="X36" i="59"/>
  <c r="V47" i="59"/>
  <c r="U51" i="59"/>
  <c r="AA64" i="59"/>
  <c r="U103" i="59"/>
  <c r="Y109" i="59"/>
  <c r="Z116" i="59"/>
  <c r="U74" i="59"/>
  <c r="AA35" i="59"/>
  <c r="AA36" i="59"/>
  <c r="Z97" i="59"/>
  <c r="W87" i="59"/>
  <c r="V18" i="59"/>
  <c r="X77" i="59"/>
  <c r="Z98" i="59"/>
  <c r="AA112" i="59"/>
  <c r="W47" i="59"/>
  <c r="Y83" i="59"/>
  <c r="W71" i="59"/>
  <c r="Y71" i="59"/>
  <c r="X71" i="59"/>
  <c r="X103" i="59"/>
  <c r="W51" i="59"/>
  <c r="V74" i="59"/>
  <c r="V28" i="59"/>
  <c r="X39" i="59"/>
  <c r="U50" i="59"/>
  <c r="V107" i="59"/>
  <c r="Z44" i="59"/>
  <c r="X60" i="59"/>
  <c r="V71" i="59"/>
  <c r="X20" i="59"/>
  <c r="Y31" i="59"/>
  <c r="Z39" i="59"/>
  <c r="V53" i="59"/>
  <c r="Y63" i="59"/>
  <c r="U97" i="59"/>
  <c r="Z102" i="59"/>
  <c r="X107" i="59"/>
  <c r="Z113" i="59"/>
  <c r="AA29" i="59"/>
  <c r="AA9" i="59"/>
  <c r="AA87" i="59"/>
  <c r="AA37" i="59"/>
  <c r="AA85" i="59"/>
  <c r="W106" i="59"/>
  <c r="W32" i="59"/>
  <c r="V32" i="59"/>
  <c r="AA30" i="59"/>
  <c r="X95" i="59"/>
  <c r="AA8" i="59"/>
  <c r="Z85" i="59"/>
  <c r="X122" i="59"/>
  <c r="AA51" i="59"/>
  <c r="V120" i="59"/>
  <c r="V118" i="59"/>
  <c r="Z75" i="59"/>
  <c r="X97" i="59"/>
  <c r="Y27" i="59"/>
  <c r="X75" i="59"/>
  <c r="V33" i="59"/>
  <c r="X9" i="59"/>
  <c r="Z86" i="59"/>
  <c r="V119" i="59"/>
  <c r="AA39" i="59"/>
  <c r="AA113" i="59"/>
  <c r="U7" i="59"/>
  <c r="W42" i="59"/>
  <c r="V81" i="59"/>
  <c r="V49" i="59"/>
  <c r="Y34" i="59"/>
  <c r="AA50" i="59"/>
  <c r="AA53" i="59"/>
  <c r="Z58" i="59"/>
  <c r="W66" i="59"/>
  <c r="X74" i="59"/>
  <c r="V92" i="59"/>
  <c r="U108" i="59"/>
  <c r="AA24" i="59"/>
  <c r="W123" i="59"/>
  <c r="AA47" i="59"/>
  <c r="W81" i="59"/>
  <c r="U54" i="59"/>
  <c r="W41" i="59"/>
  <c r="Z28" i="59"/>
  <c r="AA114" i="59"/>
  <c r="Y52" i="59"/>
  <c r="X29" i="59"/>
  <c r="AA119" i="59"/>
  <c r="U59" i="59"/>
  <c r="AA22" i="59"/>
  <c r="AA78" i="59"/>
  <c r="Y53" i="59"/>
  <c r="AA41" i="59"/>
  <c r="Y24" i="59"/>
  <c r="AA120" i="59"/>
  <c r="Z122" i="59"/>
  <c r="W118" i="59"/>
  <c r="V34" i="59"/>
  <c r="U118" i="59"/>
  <c r="AA93" i="59"/>
  <c r="V14" i="59"/>
  <c r="U41" i="59"/>
  <c r="V35" i="59"/>
  <c r="U113" i="59"/>
  <c r="AA92" i="59"/>
  <c r="Y25" i="59"/>
  <c r="W119" i="59"/>
  <c r="Z76" i="59"/>
  <c r="Y72" i="59"/>
  <c r="X13" i="59"/>
  <c r="Z34" i="59"/>
  <c r="X37" i="59"/>
  <c r="Z42" i="59"/>
  <c r="U48" i="59"/>
  <c r="Y56" i="59"/>
  <c r="U61" i="59"/>
  <c r="X66" i="59"/>
  <c r="W80" i="59"/>
  <c r="W86" i="59"/>
  <c r="W92" i="59"/>
  <c r="W105" i="59"/>
  <c r="V108" i="59"/>
  <c r="Z7" i="59"/>
  <c r="U8" i="59"/>
  <c r="X22" i="59"/>
  <c r="AA34" i="59"/>
  <c r="Y37" i="59"/>
  <c r="AA42" i="59"/>
  <c r="V45" i="59"/>
  <c r="X86" i="59"/>
  <c r="W108" i="59"/>
  <c r="X23" i="59"/>
  <c r="X48" i="59"/>
  <c r="V100" i="59"/>
  <c r="Z111" i="59"/>
  <c r="V59" i="59"/>
  <c r="W84" i="59"/>
  <c r="Y77" i="59"/>
  <c r="X80" i="59"/>
  <c r="X64" i="59"/>
  <c r="X40" i="59"/>
  <c r="V51" i="59"/>
  <c r="W72" i="59"/>
  <c r="Z120" i="59"/>
  <c r="Z60" i="59"/>
  <c r="Z40" i="59"/>
  <c r="U86" i="59"/>
  <c r="Y80" i="59"/>
  <c r="U56" i="59"/>
  <c r="Z14" i="59"/>
  <c r="W31" i="59"/>
  <c r="V21" i="59"/>
  <c r="V111" i="59"/>
  <c r="V64" i="59"/>
  <c r="X94" i="59"/>
  <c r="X52" i="59"/>
  <c r="AA12" i="59"/>
  <c r="W122" i="59"/>
  <c r="Z115" i="59"/>
  <c r="V112" i="59"/>
  <c r="W90" i="59"/>
  <c r="V80" i="59"/>
  <c r="U33" i="59"/>
  <c r="U32" i="59"/>
  <c r="Z101" i="59"/>
  <c r="Y124" i="59"/>
  <c r="Z91" i="59"/>
  <c r="Y81" i="59"/>
  <c r="X99" i="59"/>
  <c r="U85" i="59"/>
  <c r="V79" i="59"/>
  <c r="AA121" i="59"/>
  <c r="AA16" i="59"/>
  <c r="AA123" i="59"/>
  <c r="X119" i="59"/>
  <c r="V39" i="59"/>
  <c r="Z16" i="59"/>
  <c r="U115" i="59"/>
  <c r="U39" i="59"/>
  <c r="Y123" i="59"/>
  <c r="X98" i="59"/>
  <c r="Z8" i="59"/>
  <c r="U38" i="59"/>
  <c r="X113" i="59"/>
  <c r="X33" i="59"/>
  <c r="Z30" i="59"/>
  <c r="W22" i="59"/>
  <c r="W113" i="59"/>
  <c r="Z19" i="59"/>
  <c r="W111" i="59"/>
  <c r="AA75" i="59"/>
  <c r="AA45" i="59"/>
  <c r="Z23" i="59"/>
  <c r="Z13" i="59"/>
  <c r="AA109" i="59"/>
  <c r="Z62" i="59"/>
  <c r="X47" i="59"/>
  <c r="W79" i="59"/>
  <c r="Z72" i="59"/>
  <c r="V69" i="59"/>
  <c r="X57" i="59"/>
  <c r="Z35" i="59"/>
  <c r="AA110" i="59"/>
  <c r="U107" i="59"/>
  <c r="Z63" i="59"/>
  <c r="X58" i="59"/>
  <c r="V38" i="59"/>
  <c r="Z31" i="59"/>
  <c r="X105" i="59"/>
  <c r="Y18" i="59"/>
  <c r="Z79" i="59"/>
  <c r="AA61" i="59"/>
  <c r="V83" i="59"/>
  <c r="Z69" i="59"/>
  <c r="Z55" i="59"/>
  <c r="Y101" i="59"/>
  <c r="V91" i="59"/>
  <c r="V73" i="59"/>
  <c r="Y122" i="59"/>
  <c r="Z27" i="59"/>
  <c r="AA10" i="59"/>
  <c r="X7" i="59"/>
  <c r="U120" i="59"/>
  <c r="Z22" i="59"/>
  <c r="V7" i="59"/>
  <c r="V95" i="59"/>
  <c r="X111" i="59"/>
  <c r="Z12" i="59"/>
  <c r="AA94" i="59"/>
  <c r="AA90" i="59"/>
  <c r="AA76" i="59"/>
  <c r="AA74" i="59"/>
  <c r="X12" i="59"/>
  <c r="U121" i="59"/>
  <c r="W88" i="59"/>
  <c r="X82" i="59"/>
  <c r="X78" i="59"/>
  <c r="X24" i="59"/>
  <c r="W49" i="59"/>
  <c r="Z54" i="59"/>
  <c r="Z59" i="59"/>
  <c r="V62" i="59"/>
  <c r="V78" i="59"/>
  <c r="V5" i="59"/>
  <c r="Y17" i="59"/>
  <c r="W30" i="59"/>
  <c r="X35" i="59"/>
  <c r="X38" i="59"/>
  <c r="X49" i="59"/>
  <c r="AA54" i="59"/>
  <c r="U90" i="59"/>
  <c r="V101" i="59"/>
  <c r="Z106" i="59"/>
  <c r="W112" i="59"/>
  <c r="W5" i="59"/>
  <c r="AA15" i="59"/>
  <c r="Z38" i="59"/>
  <c r="AA43" i="59"/>
  <c r="U52" i="59"/>
  <c r="Z87" i="59"/>
  <c r="AA106" i="59"/>
  <c r="X112" i="59"/>
  <c r="Z110" i="59"/>
  <c r="Z90" i="59"/>
  <c r="X73" i="59"/>
  <c r="Z70" i="59"/>
  <c r="X53" i="59"/>
  <c r="V36" i="59"/>
  <c r="AA107" i="59"/>
  <c r="W93" i="59"/>
  <c r="W73" i="59"/>
  <c r="U66" i="59"/>
  <c r="Z29" i="59"/>
  <c r="U114" i="59"/>
  <c r="W101" i="59"/>
  <c r="U94" i="59"/>
  <c r="X121" i="59"/>
  <c r="Z104" i="59"/>
  <c r="Z114" i="59"/>
  <c r="Z77" i="59"/>
  <c r="V37" i="59"/>
  <c r="U10" i="59"/>
  <c r="U70" i="59"/>
  <c r="U65" i="59"/>
  <c r="Z11" i="59"/>
  <c r="W100" i="59"/>
  <c r="V90" i="59"/>
  <c r="Z124" i="59"/>
  <c r="V114" i="59"/>
  <c r="V23" i="59"/>
  <c r="Z73" i="59"/>
  <c r="Z65" i="59"/>
  <c r="Z61" i="59"/>
  <c r="AA59" i="59"/>
  <c r="Y69" i="59"/>
  <c r="Z89" i="59"/>
  <c r="Z83" i="59"/>
  <c r="Z93" i="59"/>
  <c r="Z71" i="59"/>
  <c r="AA13" i="59"/>
  <c r="U122" i="59"/>
  <c r="X91" i="59"/>
  <c r="V89" i="59"/>
  <c r="V85" i="59"/>
  <c r="Z107" i="59"/>
  <c r="X117" i="59"/>
  <c r="V113" i="59"/>
  <c r="V109" i="59"/>
  <c r="X21" i="59"/>
  <c r="V115" i="59"/>
  <c r="Z88" i="59"/>
  <c r="Z82" i="59"/>
  <c r="Z20" i="59"/>
  <c r="Z123" i="59"/>
  <c r="Z92" i="59"/>
  <c r="Z78" i="59"/>
  <c r="Z94" i="59"/>
  <c r="X90" i="59"/>
  <c r="Y86" i="59"/>
  <c r="Z74" i="59"/>
  <c r="V4" i="59"/>
  <c r="X61" i="59"/>
  <c r="W8" i="59"/>
  <c r="Z108" i="59"/>
  <c r="V24" i="59"/>
  <c r="X59" i="59"/>
  <c r="Z64" i="59"/>
  <c r="Z9" i="59"/>
  <c r="V30" i="59"/>
  <c r="Z51" i="59"/>
  <c r="V84" i="59"/>
  <c r="Z15" i="59"/>
  <c r="X10" i="59"/>
  <c r="AA17" i="59"/>
  <c r="W33" i="59"/>
  <c r="V31" i="59"/>
  <c r="Y7" i="59"/>
  <c r="X6" i="59"/>
  <c r="W121" i="59"/>
  <c r="AA38" i="59"/>
  <c r="V41" i="59"/>
  <c r="V52" i="59"/>
  <c r="U55" i="59"/>
  <c r="X96" i="59"/>
  <c r="V9" i="59"/>
  <c r="AA80" i="59"/>
  <c r="X88" i="59"/>
  <c r="AA84" i="59"/>
  <c r="Z121" i="59"/>
  <c r="Z25" i="59"/>
  <c r="W103" i="59"/>
  <c r="U37" i="59"/>
  <c r="AA88" i="59"/>
  <c r="V96" i="59"/>
  <c r="X93" i="59"/>
  <c r="Z80" i="59"/>
  <c r="Z50" i="59"/>
  <c r="AA117" i="59"/>
  <c r="U106" i="59"/>
  <c r="W83" i="59"/>
  <c r="Y50" i="59"/>
  <c r="Z24" i="59"/>
  <c r="AA115" i="59"/>
  <c r="AA65" i="59"/>
  <c r="V16" i="59"/>
  <c r="X84" i="59"/>
  <c r="W69" i="59"/>
  <c r="X42" i="59"/>
  <c r="X26" i="59"/>
  <c r="X16" i="59"/>
  <c r="V121" i="59"/>
  <c r="AA82" i="59"/>
  <c r="V117" i="59"/>
  <c r="V75" i="59"/>
  <c r="U18" i="59"/>
  <c r="X110" i="59"/>
  <c r="AA63" i="59"/>
  <c r="Z4" i="59"/>
  <c r="X85" i="59"/>
  <c r="X63" i="59"/>
  <c r="V46" i="59"/>
  <c r="Y110" i="59"/>
  <c r="W53" i="59"/>
  <c r="W43" i="59"/>
  <c r="V22" i="59"/>
  <c r="AA95" i="59"/>
  <c r="Y88" i="59"/>
  <c r="W61" i="59"/>
  <c r="AA55" i="59"/>
  <c r="Y48" i="59"/>
  <c r="U44" i="59"/>
  <c r="X116" i="59"/>
  <c r="X79" i="59"/>
  <c r="U49" i="59"/>
  <c r="Y104" i="59"/>
  <c r="Y99" i="59"/>
  <c r="W19" i="59"/>
  <c r="Y21" i="59"/>
  <c r="V122" i="59"/>
  <c r="U117" i="59"/>
  <c r="U23" i="59"/>
  <c r="AA67" i="59"/>
  <c r="Y68" i="59"/>
  <c r="Z67" i="59"/>
  <c r="Y67" i="59"/>
  <c r="Z68" i="59"/>
  <c r="W48" i="59"/>
  <c r="AA79" i="59"/>
  <c r="Z81" i="59"/>
  <c r="X87" i="59"/>
  <c r="X27" i="59"/>
  <c r="AA69" i="59"/>
  <c r="AA83" i="59"/>
  <c r="Y87" i="59"/>
  <c r="AA89" i="59"/>
  <c r="W120" i="59"/>
  <c r="V76" i="59"/>
  <c r="V56" i="59"/>
  <c r="X43" i="59"/>
  <c r="AA14" i="59"/>
  <c r="W12" i="59"/>
  <c r="Y120" i="59"/>
  <c r="AA57" i="59"/>
  <c r="AA105" i="59"/>
  <c r="Y58" i="59"/>
  <c r="Y38" i="59"/>
  <c r="X123" i="59"/>
  <c r="V106" i="59"/>
  <c r="W27" i="59"/>
  <c r="W17" i="59"/>
  <c r="U116" i="59"/>
  <c r="Y100" i="59"/>
  <c r="U96" i="59"/>
  <c r="Y90" i="59"/>
  <c r="U76" i="59"/>
  <c r="Y60" i="59"/>
  <c r="U46" i="59"/>
  <c r="Y40" i="59"/>
  <c r="U124" i="59"/>
  <c r="Y118" i="59"/>
  <c r="Y108" i="59"/>
  <c r="Y98" i="59"/>
  <c r="W91" i="59"/>
  <c r="U64" i="59"/>
  <c r="U34" i="59"/>
  <c r="Z18" i="59"/>
  <c r="X83" i="59"/>
  <c r="U28" i="59"/>
  <c r="V43" i="59"/>
  <c r="AA73" i="59"/>
  <c r="W85" i="59"/>
  <c r="X100" i="59"/>
  <c r="U102" i="59"/>
  <c r="Y105" i="59"/>
  <c r="W16" i="59"/>
  <c r="W26" i="59"/>
  <c r="W29" i="59"/>
  <c r="Y62" i="59"/>
  <c r="Z109" i="59"/>
  <c r="U111" i="59"/>
  <c r="W116" i="59"/>
  <c r="V116" i="59"/>
  <c r="Z100" i="59"/>
  <c r="V86" i="59"/>
  <c r="V66" i="59"/>
  <c r="AA19" i="59"/>
  <c r="AA97" i="59"/>
  <c r="AA77" i="59"/>
  <c r="Y70" i="59"/>
  <c r="W63" i="59"/>
  <c r="U36" i="59"/>
  <c r="Y30" i="59"/>
  <c r="V27" i="59"/>
  <c r="U104" i="59"/>
  <c r="U84" i="59"/>
  <c r="Y78" i="59"/>
  <c r="V26" i="59"/>
  <c r="V17" i="59"/>
  <c r="W37" i="59"/>
  <c r="Y57" i="59"/>
  <c r="AA72" i="59"/>
  <c r="W74" i="59"/>
  <c r="Y89" i="59"/>
  <c r="Y94" i="59"/>
  <c r="Z99" i="59"/>
  <c r="U101" i="59"/>
  <c r="N80" i="66"/>
  <c r="F15" i="66"/>
  <c r="N87" i="66" a="1"/>
  <c r="N87" i="66" s="1"/>
  <c r="L15" i="66" a="1"/>
  <c r="L15" i="66" s="1"/>
  <c r="F157" i="64" a="1"/>
  <c r="F157" i="64" s="1"/>
  <c r="J7" i="64" a="1"/>
  <c r="J7" i="64" s="1"/>
  <c r="M87" i="64" a="1"/>
  <c r="M87" i="64" s="1"/>
  <c r="N87" i="64" s="1" a="1"/>
  <c r="N87" i="64" s="1"/>
  <c r="M157" i="64" a="1"/>
  <c r="M157" i="64" s="1"/>
  <c r="J8" i="64" a="1"/>
  <c r="J8" i="64" s="1"/>
  <c r="K79" i="64"/>
  <c r="F15" i="64"/>
  <c r="N80" i="64"/>
  <c r="C8" i="64" s="1"/>
  <c r="M15" i="66" l="1" a="1"/>
  <c r="I7" i="66" a="1"/>
  <c r="I7" i="66" s="1"/>
  <c r="N157" i="64" a="1"/>
  <c r="N157" i="64" s="1"/>
  <c r="D8" i="64" s="1"/>
  <c r="H8" i="64" s="1"/>
  <c r="S157" i="64" a="1"/>
  <c r="S157" i="64" s="1"/>
  <c r="P157" i="64" a="1"/>
  <c r="P157" i="64" s="1"/>
  <c r="S87" i="64" a="1"/>
  <c r="S87" i="64" s="1"/>
  <c r="P87" i="64" a="1"/>
  <c r="P87" i="64" s="1"/>
  <c r="L15" i="64" a="1"/>
  <c r="L15" i="64" s="1"/>
  <c r="M15" i="66" l="1"/>
  <c r="F7" i="66"/>
  <c r="E8" i="64"/>
  <c r="I7" i="64" a="1"/>
  <c r="I7" i="64" s="1"/>
  <c r="M15" i="64" a="1"/>
  <c r="G7" i="66" l="1"/>
  <c r="D7" i="66"/>
  <c r="N15" i="66" a="1"/>
  <c r="N15" i="66" s="1"/>
  <c r="C7" i="66" s="1"/>
  <c r="E7" i="66" s="1"/>
  <c r="M15" i="64"/>
  <c r="F7" i="64"/>
  <c r="H7" i="66" l="1"/>
  <c r="G7" i="64"/>
  <c r="D7" i="64"/>
  <c r="S15" i="64" a="1"/>
  <c r="S15" i="64" s="1"/>
  <c r="P15" i="64" a="1"/>
  <c r="P15" i="64" s="1"/>
  <c r="N15" i="64" a="1"/>
  <c r="N15" i="64" s="1"/>
  <c r="C7" i="64" s="1"/>
  <c r="H7" i="64" l="1"/>
  <c r="E7" i="6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<sst xmlns="http://schemas.openxmlformats.org/spreadsheetml/2006/main" count="21490" uniqueCount="278">
  <si>
    <t>Reel #</t>
    <phoneticPr fontId="22" type="noConversion"/>
  </si>
  <si>
    <t>Visible Window Size</t>
    <phoneticPr fontId="22" type="noConversion"/>
  </si>
  <si>
    <t>Symbol</t>
    <phoneticPr fontId="22" type="noConversion"/>
  </si>
  <si>
    <t>ID</t>
  </si>
  <si>
    <t>Description</t>
  </si>
  <si>
    <t>R1</t>
    <phoneticPr fontId="22" type="noConversion"/>
  </si>
  <si>
    <t>R2</t>
    <phoneticPr fontId="22" type="noConversion"/>
  </si>
  <si>
    <t>R3</t>
    <phoneticPr fontId="22" type="noConversion"/>
  </si>
  <si>
    <t>R4</t>
    <phoneticPr fontId="22" type="noConversion"/>
  </si>
  <si>
    <t>R5</t>
    <phoneticPr fontId="22" type="noConversion"/>
  </si>
  <si>
    <t>ID</t>
    <phoneticPr fontId="22" type="noConversion"/>
  </si>
  <si>
    <t>Line #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</si>
  <si>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</si>
  <si>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</si>
  <si>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</si>
  <si>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</si>
  <si>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</si>
  <si>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</si>
  <si>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</si>
  <si>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</si>
  <si>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</si>
  <si>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</si>
  <si>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/>
  </si>
  <si>
    <t>R6</t>
    <phoneticPr fontId="20" type="noConversion"/>
  </si>
  <si>
    <t>A</t>
  </si>
  <si>
    <t>A</t>
    <phoneticPr fontId="20" type="noConversion"/>
  </si>
  <si>
    <t>K</t>
  </si>
  <si>
    <t>Q</t>
  </si>
  <si>
    <t>J</t>
  </si>
  <si>
    <t>TE</t>
  </si>
  <si>
    <t>R6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</si>
  <si>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</si>
  <si>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</si>
  <si>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</si>
  <si>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</si>
  <si>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</si>
  <si>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</si>
  <si>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</si>
  <si>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</si>
  <si>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</si>
  <si>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</si>
  <si>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R1</t>
    <phoneticPr fontId="20" type="noConversion"/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</si>
  <si>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</si>
  <si>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</si>
  <si>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</si>
  <si>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</si>
  <si>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t>Id</t>
    <phoneticPr fontId="20" type="noConversion"/>
  </si>
  <si>
    <t>Version:</t>
    <phoneticPr fontId="22" type="noConversion"/>
  </si>
  <si>
    <t>Wild</t>
  </si>
  <si>
    <t>C1 Num</t>
    <phoneticPr fontId="20" type="noConversion"/>
  </si>
  <si>
    <t>Base Game</t>
    <phoneticPr fontId="20" type="noConversion"/>
  </si>
  <si>
    <t>Scatter</t>
  </si>
  <si>
    <t>Symbol</t>
  </si>
  <si>
    <t>Free Spins Setting</t>
    <phoneticPr fontId="22" type="noConversion"/>
  </si>
  <si>
    <t>Add Free Spin</t>
    <phoneticPr fontId="20" type="noConversion"/>
  </si>
  <si>
    <t>Normal Bet</t>
    <phoneticPr fontId="20" type="noConversion"/>
  </si>
  <si>
    <t>R6</t>
  </si>
  <si>
    <t>Lower</t>
    <phoneticPr fontId="26" type="noConversion"/>
  </si>
  <si>
    <t>Upper</t>
    <phoneticPr fontId="26" type="noConversion"/>
  </si>
  <si>
    <t>Simulator RTP</t>
    <phoneticPr fontId="26" type="noConversion"/>
  </si>
  <si>
    <t>Range</t>
    <phoneticPr fontId="26" type="noConversion"/>
  </si>
  <si>
    <t>Threshold</t>
  </si>
  <si>
    <t>Hit Rate</t>
    <phoneticPr fontId="26" type="noConversion"/>
  </si>
  <si>
    <t>Free Game</t>
    <phoneticPr fontId="26" type="noConversion"/>
  </si>
  <si>
    <t>M5</t>
  </si>
  <si>
    <t>M5</t>
    <phoneticPr fontId="20" type="noConversion"/>
  </si>
  <si>
    <t>R7</t>
  </si>
  <si>
    <t>R7</t>
    <phoneticPr fontId="20" type="noConversion"/>
  </si>
  <si>
    <t>WW</t>
  </si>
  <si>
    <t>MY</t>
  </si>
  <si>
    <t>BG Reel Weight</t>
    <phoneticPr fontId="20" type="noConversion"/>
  </si>
  <si>
    <t>…</t>
    <phoneticPr fontId="20" type="noConversion"/>
  </si>
  <si>
    <t>[4,1]</t>
    <phoneticPr fontId="20" type="noConversion"/>
  </si>
  <si>
    <t>[3,2]</t>
    <phoneticPr fontId="20" type="noConversion"/>
  </si>
  <si>
    <t>[3,1,1]</t>
    <phoneticPr fontId="20" type="noConversion"/>
  </si>
  <si>
    <t>[1,4]</t>
    <phoneticPr fontId="20" type="noConversion"/>
  </si>
  <si>
    <t>[2,3]</t>
    <phoneticPr fontId="20" type="noConversion"/>
  </si>
  <si>
    <t>[1,3,1]</t>
    <phoneticPr fontId="20" type="noConversion"/>
  </si>
  <si>
    <t>[1,1,3]</t>
    <phoneticPr fontId="20" type="noConversion"/>
  </si>
  <si>
    <t>[2,2,1]</t>
    <phoneticPr fontId="20" type="noConversion"/>
  </si>
  <si>
    <t>[2,1,2]</t>
    <phoneticPr fontId="20" type="noConversion"/>
  </si>
  <si>
    <t>[1,2,2]</t>
    <phoneticPr fontId="20" type="noConversion"/>
  </si>
  <si>
    <t>[2,1,1,1]</t>
    <phoneticPr fontId="20" type="noConversion"/>
  </si>
  <si>
    <t>[1,2,1,1]</t>
    <phoneticPr fontId="20" type="noConversion"/>
  </si>
  <si>
    <t>[1,1,2,1]</t>
    <phoneticPr fontId="20" type="noConversion"/>
  </si>
  <si>
    <t>[1,1,1,2]</t>
    <phoneticPr fontId="20" type="noConversion"/>
  </si>
  <si>
    <t>[1,1,1,1,1]</t>
    <phoneticPr fontId="20" type="noConversion"/>
  </si>
  <si>
    <t>Mega way</t>
    <phoneticPr fontId="20" type="noConversion"/>
  </si>
  <si>
    <t>Buy Feature</t>
    <phoneticPr fontId="26" type="noConversion"/>
  </si>
  <si>
    <t>M6</t>
  </si>
  <si>
    <t>M6</t>
    <phoneticPr fontId="20" type="noConversion"/>
  </si>
  <si>
    <t>Buy Feature</t>
    <phoneticPr fontId="20" type="noConversion"/>
  </si>
  <si>
    <t>M6</t>
    <phoneticPr fontId="22" type="noConversion"/>
  </si>
  <si>
    <t>A</t>
    <phoneticPr fontId="22" type="noConversion"/>
  </si>
  <si>
    <t>MY</t>
    <phoneticPr fontId="20" type="noConversion"/>
  </si>
  <si>
    <t>Post Scatter</t>
    <phoneticPr fontId="20" type="noConversion"/>
  </si>
  <si>
    <r>
      <t xml:space="preserve">2. </t>
    </r>
    <r>
      <rPr>
        <sz val="12"/>
        <color theme="1"/>
        <rFont val="新細明體"/>
        <family val="3"/>
        <charset val="136"/>
      </rPr>
      <t>使用</t>
    </r>
    <r>
      <rPr>
        <sz val="12"/>
        <color theme="1"/>
        <rFont val="Courier New"/>
        <family val="3"/>
      </rPr>
      <t>Mega way</t>
    </r>
    <r>
      <rPr>
        <sz val="12"/>
        <color theme="1"/>
        <rFont val="新細明體"/>
        <family val="3"/>
        <charset val="136"/>
      </rPr>
      <t>參數決定R</t>
    </r>
    <r>
      <rPr>
        <sz val="12"/>
        <color theme="1"/>
        <rFont val="Courier New"/>
        <family val="3"/>
      </rPr>
      <t>1-R6</t>
    </r>
    <r>
      <rPr>
        <sz val="12"/>
        <color theme="1"/>
        <rFont val="新細明體"/>
        <family val="3"/>
        <charset val="136"/>
      </rPr>
      <t>的長度形狀然後利用</t>
    </r>
    <r>
      <rPr>
        <sz val="12"/>
        <color theme="1"/>
        <rFont val="Courier New"/>
        <family val="3"/>
      </rPr>
      <t xml:space="preserve">BG Reel Weight / FG Reel Weight </t>
    </r>
    <r>
      <rPr>
        <sz val="12"/>
        <color theme="1"/>
        <rFont val="新細明體"/>
        <family val="3"/>
        <charset val="136"/>
      </rPr>
      <t>抽選輪帶表(例:Mega way[1,3,1]-&gt;[M1,A,K])</t>
    </r>
    <phoneticPr fontId="20" type="noConversion"/>
  </si>
  <si>
    <t>MY Weight</t>
    <phoneticPr fontId="20" type="noConversion"/>
  </si>
  <si>
    <r>
      <t xml:space="preserve">4. </t>
    </r>
    <r>
      <rPr>
        <sz val="12"/>
        <color theme="1"/>
        <rFont val="新細明體"/>
        <family val="3"/>
        <charset val="136"/>
      </rPr>
      <t>初始盤面抽選完後使用</t>
    </r>
    <r>
      <rPr>
        <sz val="12"/>
        <color theme="1"/>
        <rFont val="Courier New"/>
        <family val="3"/>
      </rPr>
      <t>Post Scatter</t>
    </r>
    <r>
      <rPr>
        <sz val="12"/>
        <color theme="1"/>
        <rFont val="新細明體"/>
        <family val="3"/>
        <charset val="136"/>
      </rPr>
      <t>決定要替換幾顆</t>
    </r>
    <r>
      <rPr>
        <sz val="12"/>
        <color theme="1"/>
        <rFont val="Courier New"/>
        <family val="3"/>
      </rPr>
      <t>C1</t>
    </r>
    <r>
      <rPr>
        <sz val="12"/>
        <color theme="1"/>
        <rFont val="新細明體"/>
        <family val="3"/>
        <charset val="136"/>
      </rPr>
      <t>到版面上，替後</t>
    </r>
    <r>
      <rPr>
        <sz val="12"/>
        <color theme="1"/>
        <rFont val="Courier New"/>
        <family val="3"/>
      </rPr>
      <t>N</t>
    </r>
    <r>
      <rPr>
        <sz val="12"/>
        <color theme="1"/>
        <rFont val="新細明體"/>
        <family val="3"/>
        <charset val="136"/>
      </rPr>
      <t>顆需要從</t>
    </r>
    <r>
      <rPr>
        <sz val="12"/>
        <color theme="1"/>
        <rFont val="Courier New"/>
        <family val="3"/>
      </rPr>
      <t>7</t>
    </r>
    <r>
      <rPr>
        <sz val="12"/>
        <color theme="1"/>
        <rFont val="新細明體"/>
        <family val="3"/>
        <charset val="136"/>
      </rPr>
      <t>條轉輪抽選</t>
    </r>
    <r>
      <rPr>
        <sz val="12"/>
        <color theme="1"/>
        <rFont val="Courier New"/>
        <family val="3"/>
      </rPr>
      <t>N</t>
    </r>
    <r>
      <rPr>
        <sz val="12"/>
        <color theme="1"/>
        <rFont val="新細明體"/>
        <family val="3"/>
        <charset val="136"/>
      </rPr>
      <t>條每條替換</t>
    </r>
    <r>
      <rPr>
        <sz val="12"/>
        <color theme="1"/>
        <rFont val="Courier New"/>
        <family val="3"/>
      </rPr>
      <t>1</t>
    </r>
    <r>
      <rPr>
        <sz val="12"/>
        <color theme="1"/>
        <rFont val="新細明體"/>
        <family val="3"/>
        <charset val="136"/>
      </rPr>
      <t>顆，被替換的輪帶會從最短長度的符號進行替換，若有重複的最短長度符號則隨機抽選其中一個</t>
    </r>
    <r>
      <rPr>
        <sz val="12"/>
        <color theme="1"/>
        <rFont val="Courier New"/>
        <family val="3"/>
      </rPr>
      <t>(</t>
    </r>
    <r>
      <rPr>
        <sz val="12"/>
        <color theme="1"/>
        <rFont val="新細明體"/>
        <family val="3"/>
        <charset val="136"/>
      </rPr>
      <t>例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新細明體"/>
        <family val="3"/>
        <charset val="136"/>
      </rPr>
      <t>: [1,3,1]-&gt;[M1,A,K]-&gt;[M1,A,C1])</t>
    </r>
    <phoneticPr fontId="20" type="noConversion"/>
  </si>
  <si>
    <r>
      <t>6. Buy Feature</t>
    </r>
    <r>
      <rPr>
        <sz val="12"/>
        <color theme="1"/>
        <rFont val="細明體"/>
        <family val="3"/>
        <charset val="136"/>
      </rPr>
      <t>透過</t>
    </r>
    <r>
      <rPr>
        <sz val="12"/>
        <color theme="1"/>
        <rFont val="Courier New"/>
        <family val="3"/>
      </rPr>
      <t>Base Game Symbol_FB</t>
    </r>
    <r>
      <rPr>
        <sz val="12"/>
        <color theme="1"/>
        <rFont val="新細明體"/>
        <family val="3"/>
        <charset val="136"/>
      </rPr>
      <t>抽選</t>
    </r>
    <phoneticPr fontId="20" type="noConversion"/>
  </si>
  <si>
    <t>BG Reel Height</t>
    <phoneticPr fontId="20" type="noConversion"/>
  </si>
  <si>
    <t>Hit Rate</t>
  </si>
  <si>
    <t>Model:</t>
  </si>
  <si>
    <t>Base Bet</t>
    <phoneticPr fontId="22" type="noConversion"/>
  </si>
  <si>
    <t>Multiway</t>
    <phoneticPr fontId="22" type="noConversion"/>
  </si>
  <si>
    <t>Coin in</t>
    <phoneticPr fontId="22" type="noConversion"/>
  </si>
  <si>
    <t>Price(x)</t>
    <phoneticPr fontId="22" type="noConversion"/>
  </si>
  <si>
    <t>Total RTP</t>
    <phoneticPr fontId="20" type="noConversion"/>
  </si>
  <si>
    <t>Bet Type</t>
    <phoneticPr fontId="20" type="noConversion"/>
  </si>
  <si>
    <t>Total Pay Back Percentage includes the following adjustments.</t>
    <phoneticPr fontId="22" type="noConversion"/>
  </si>
  <si>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</si>
  <si>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</si>
  <si>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</si>
  <si>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Description</t>
    <phoneticPr fontId="22" type="noConversion"/>
  </si>
  <si>
    <t>Free Game</t>
    <phoneticPr fontId="22" type="noConversion"/>
  </si>
  <si>
    <t>The maximum of free spins is 50.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</si>
  <si>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</si>
  <si>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H028192A</t>
    <phoneticPr fontId="22" type="noConversion"/>
  </si>
  <si>
    <t>Newbie</t>
    <phoneticPr fontId="20" type="noConversion"/>
  </si>
  <si>
    <t>Oldhand</t>
    <phoneticPr fontId="20" type="noConversion"/>
  </si>
  <si>
    <t>Range</t>
    <phoneticPr fontId="20" type="noConversion"/>
  </si>
  <si>
    <t>Weight_NB_BG</t>
    <phoneticPr fontId="26" type="noConversion"/>
  </si>
  <si>
    <t>Weight_NB_FG</t>
    <phoneticPr fontId="26" type="noConversion"/>
  </si>
  <si>
    <t>Weight_BF_FG</t>
    <phoneticPr fontId="26" type="noConversion"/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</si>
  <si>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</si>
  <si>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</si>
  <si>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</si>
  <si>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</si>
  <si>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</si>
  <si>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</si>
  <si>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</si>
  <si>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</si>
  <si>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</si>
  <si>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</si>
  <si>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</si>
  <si>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</si>
  <si>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</si>
  <si>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</si>
  <si>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</si>
  <si>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</si>
  <si>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</si>
  <si>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</si>
  <si>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</si>
  <si>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</si>
  <si>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</si>
  <si>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</si>
  <si>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</si>
  <si>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</si>
  <si>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</si>
  <si>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</si>
  <si>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</si>
  <si>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</si>
  <si>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</si>
  <si>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</si>
  <si>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</si>
  <si>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</si>
  <si>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</si>
  <si>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</si>
  <si>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</si>
  <si>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</si>
  <si>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</si>
  <si>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</si>
  <si>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</si>
  <si>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</si>
  <si>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</si>
  <si>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</si>
  <si>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</si>
  <si>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</si>
  <si>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</si>
  <si>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</si>
  <si>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</si>
  <si>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</si>
  <si>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</si>
  <si>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</si>
  <si>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</si>
  <si>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</si>
  <si>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</si>
  <si>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</si>
  <si>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</si>
  <si>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</si>
  <si>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</si>
  <si>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</si>
  <si>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</si>
  <si>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</si>
  <si>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</si>
  <si>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</si>
  <si>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</si>
  <si>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</si>
  <si>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Free Game</t>
  </si>
  <si>
    <t>Status</t>
    <phoneticPr fontId="20" type="noConversion"/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</si>
  <si>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</si>
  <si>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</si>
  <si>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</si>
  <si>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</si>
  <si>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>Newbie</t>
  </si>
  <si>
    <t>BG</t>
    <phoneticPr fontId="20" type="noConversion"/>
  </si>
  <si>
    <t>FG</t>
    <phoneticPr fontId="20" type="noConversion"/>
  </si>
  <si>
    <t>Oldhand</t>
  </si>
  <si>
    <t>-</t>
    <phoneticPr fontId="20" type="noConversion"/>
  </si>
  <si>
    <t>Coin in</t>
    <phoneticPr fontId="20" type="noConversion"/>
  </si>
  <si>
    <t>RTP</t>
  </si>
  <si>
    <t>Bet</t>
    <phoneticPr fontId="20" type="noConversion"/>
  </si>
  <si>
    <t>Free Game</t>
    <phoneticPr fontId="20" type="noConversion"/>
  </si>
  <si>
    <t>Total</t>
    <phoneticPr fontId="20" type="noConversion"/>
  </si>
  <si>
    <t>FG Period</t>
  </si>
  <si>
    <t>Avg Multi</t>
    <phoneticPr fontId="20" type="noConversion"/>
  </si>
  <si>
    <t>Simulator</t>
    <phoneticPr fontId="20" type="noConversion"/>
  </si>
  <si>
    <t>Calculate</t>
    <phoneticPr fontId="20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</si>
  <si>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</si>
  <si>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</si>
  <si>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</si>
  <si>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Avg. Multi.</t>
    <phoneticPr fontId="20" type="noConversion"/>
  </si>
  <si>
    <t>Fix Num</t>
    <phoneticPr fontId="26" type="noConversion"/>
  </si>
  <si>
    <t>Fix Rate</t>
    <phoneticPr fontId="26" type="noConversion"/>
  </si>
  <si>
    <t>Final Rate</t>
    <phoneticPr fontId="26" type="noConversion"/>
  </si>
  <si>
    <t>Weight</t>
    <phoneticPr fontId="26" type="noConversion"/>
  </si>
  <si>
    <t>目前</t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</si>
  <si>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</si>
  <si>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</si>
  <si>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Symbol ID</t>
  </si>
  <si>
    <t>Symbol Weight</t>
  </si>
  <si>
    <t>Golden M6</t>
    <phoneticPr fontId="20" type="noConversion"/>
  </si>
  <si>
    <t>G1</t>
  </si>
  <si>
    <t>G1</t>
    <phoneticPr fontId="20" type="noConversion"/>
  </si>
  <si>
    <t>G2</t>
  </si>
  <si>
    <t>G2</t>
    <phoneticPr fontId="20" type="noConversion"/>
  </si>
  <si>
    <t>G3</t>
  </si>
  <si>
    <t>G3</t>
    <phoneticPr fontId="20" type="noConversion"/>
  </si>
  <si>
    <t>G4</t>
  </si>
  <si>
    <t>G4</t>
    <phoneticPr fontId="20" type="noConversion"/>
  </si>
  <si>
    <t>G5</t>
  </si>
  <si>
    <t>G5</t>
    <phoneticPr fontId="20" type="noConversion"/>
  </si>
  <si>
    <t>G6</t>
  </si>
  <si>
    <t>G6</t>
    <phoneticPr fontId="20" type="noConversion"/>
  </si>
  <si>
    <t>GA</t>
  </si>
  <si>
    <t>GA</t>
    <phoneticPr fontId="20" type="noConversion"/>
  </si>
  <si>
    <t>GK</t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</si>
  <si>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</si>
  <si>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</si>
  <si>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</si>
  <si>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</si>
  <si>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</si>
  <si>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GT</t>
  </si>
  <si>
    <t>GT</t>
    <phoneticPr fontId="20" type="noConversion"/>
  </si>
  <si>
    <t>Golden M1</t>
    <phoneticPr fontId="20" type="noConversion"/>
  </si>
  <si>
    <t>Golden M2</t>
    <phoneticPr fontId="20" type="noConversion"/>
  </si>
  <si>
    <t>Golden M3</t>
    <phoneticPr fontId="20" type="noConversion"/>
  </si>
  <si>
    <t>Golden M4</t>
    <phoneticPr fontId="20" type="noConversion"/>
  </si>
  <si>
    <t>Golden M5</t>
    <phoneticPr fontId="20" type="noConversion"/>
  </si>
  <si>
    <t>Golden A</t>
    <phoneticPr fontId="20" type="noConversion"/>
  </si>
  <si>
    <t>Golden K</t>
    <phoneticPr fontId="20" type="noConversion"/>
  </si>
  <si>
    <t>Golden Q</t>
    <phoneticPr fontId="20" type="noConversion"/>
  </si>
  <si>
    <t>Golden J</t>
    <phoneticPr fontId="20" type="noConversion"/>
  </si>
  <si>
    <t>Golden TE</t>
    <phoneticPr fontId="20" type="noConversion"/>
  </si>
  <si>
    <t>Mystery</t>
    <phoneticPr fontId="20" type="noConversion"/>
  </si>
  <si>
    <t>Golden Mystery</t>
    <phoneticPr fontId="20" type="noConversion"/>
  </si>
  <si>
    <t>GM</t>
  </si>
  <si>
    <t>GM</t>
    <phoneticPr fontId="20" type="noConversion"/>
  </si>
  <si>
    <t>3. MY符號透過MY Weight決定MY,GM轉換符號，一次Spin只需抽選一次</t>
  </si>
  <si>
    <t>Weight</t>
    <phoneticPr fontId="20" type="noConversion"/>
  </si>
  <si>
    <t>Drop Weights Weight (3 Combo)</t>
    <phoneticPr fontId="20" type="noConversion"/>
  </si>
  <si>
    <t>Drop Weights Weight (4 Combo)</t>
    <phoneticPr fontId="20" type="noConversion"/>
  </si>
  <si>
    <t>Drop Weights Weight (5+ Combo)</t>
    <phoneticPr fontId="20" type="noConversion"/>
  </si>
  <si>
    <t>Drop Weights Weight (2 Combo)</t>
    <phoneticPr fontId="20" type="noConversion"/>
  </si>
  <si>
    <t>Drop Weights Weight (1 Combo)</t>
    <phoneticPr fontId="20" type="noConversion"/>
  </si>
  <si>
    <t>Symbol</t>
    <phoneticPr fontId="20" type="noConversion"/>
  </si>
  <si>
    <t>Table Selection Weight - Base Game (Weight/Total)</t>
    <phoneticPr fontId="20" type="noConversion"/>
  </si>
  <si>
    <t>Worksheet Name</t>
    <phoneticPr fontId="20" type="noConversion"/>
  </si>
  <si>
    <t>BG_Symbol</t>
    <phoneticPr fontId="20" type="noConversion"/>
  </si>
  <si>
    <t>BG_Symbol (2)</t>
    <phoneticPr fontId="20" type="noConversion"/>
  </si>
  <si>
    <t>Table Selection Weight - Free Game (Weight/Total)</t>
    <phoneticPr fontId="20" type="noConversion"/>
  </si>
  <si>
    <t>Table Selection Weight - Retrigger (Weight/Total)</t>
    <phoneticPr fontId="20" type="noConversion"/>
  </si>
  <si>
    <r>
      <t xml:space="preserve">1. </t>
    </r>
    <r>
      <rPr>
        <sz val="12"/>
        <color theme="1"/>
        <rFont val="新細明體"/>
        <family val="2"/>
      </rPr>
      <t>初始盤面</t>
    </r>
    <r>
      <rPr>
        <sz val="12"/>
        <color theme="1"/>
        <rFont val="Courier New"/>
        <family val="3"/>
      </rPr>
      <t>(Combo 0)</t>
    </r>
    <r>
      <rPr>
        <sz val="12"/>
        <color theme="1"/>
        <rFont val="新細明體"/>
        <family val="2"/>
      </rPr>
      <t>依照</t>
    </r>
    <r>
      <rPr>
        <sz val="12"/>
        <color theme="1"/>
        <rFont val="Courier New"/>
        <family val="2"/>
      </rPr>
      <t>BaseGam</t>
    </r>
    <r>
      <rPr>
        <sz val="12"/>
        <color theme="1"/>
        <rFont val="新細明體"/>
        <family val="2"/>
        <charset val="136"/>
      </rPr>
      <t>權種</t>
    </r>
    <r>
      <rPr>
        <sz val="12"/>
        <color theme="1"/>
        <rFont val="Courier New"/>
        <family val="2"/>
      </rPr>
      <t>Weights</t>
    </r>
    <r>
      <rPr>
        <sz val="12"/>
        <color theme="1"/>
        <rFont val="新細明體"/>
        <family val="2"/>
        <charset val="136"/>
      </rPr>
      <t>抽選</t>
    </r>
    <r>
      <rPr>
        <sz val="12"/>
        <color theme="1"/>
        <rFont val="Courier New"/>
        <family val="3"/>
      </rPr>
      <t xml:space="preserve">BaseGameSymbol (Free Game Symbol) </t>
    </r>
    <r>
      <rPr>
        <sz val="12"/>
        <color theme="1"/>
        <rFont val="新細明體"/>
        <family val="2"/>
      </rPr>
      <t>中的轉輪表。</t>
    </r>
    <r>
      <rPr>
        <sz val="12"/>
        <color theme="1"/>
        <rFont val="Courier New"/>
        <family val="3"/>
      </rPr>
      <t xml:space="preserve"> Table Selection Weight - Base Game / Free Game</t>
    </r>
    <phoneticPr fontId="22" type="noConversion"/>
  </si>
  <si>
    <r>
      <t>5.FreeGame</t>
    </r>
    <r>
      <rPr>
        <sz val="12"/>
        <color theme="1"/>
        <rFont val="新細明體"/>
        <family val="3"/>
        <charset val="136"/>
      </rPr>
      <t>額外產生的場次透過</t>
    </r>
    <r>
      <rPr>
        <sz val="12"/>
        <color theme="1"/>
        <rFont val="Courier New"/>
        <family val="3"/>
      </rPr>
      <t>Retrigger</t>
    </r>
    <r>
      <rPr>
        <sz val="12"/>
        <color theme="1"/>
        <rFont val="新細明體"/>
        <family val="3"/>
        <charset val="136"/>
      </rPr>
      <t>抽選</t>
    </r>
    <r>
      <rPr>
        <sz val="12"/>
        <color theme="1"/>
        <rFont val="Courier New"/>
        <family val="3"/>
      </rPr>
      <t xml:space="preserve"> Table Selection Weight - Retrigger</t>
    </r>
    <phoneticPr fontId="20" type="noConversion"/>
  </si>
  <si>
    <t>1.0.0.5</t>
    <phoneticPr fontId="20" type="noConversion"/>
  </si>
  <si>
    <t>FG_Symbol</t>
    <phoneticPr fontId="20" type="noConversion"/>
  </si>
  <si>
    <t>FG_Symbol (3)</t>
    <phoneticPr fontId="20" type="noConversion"/>
  </si>
  <si>
    <t>FG_Symbol (2)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</si>
</sst>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0.00_);[Red]\(0.00\)"/>
    <numFmt numFmtId="177" formatCode="0.0000_);[Red]\(0.0000\)"/>
    <numFmt numFmtId="178" formatCode="0.0000"/>
    <numFmt numFmtId="179" formatCode="0_);[Red]\(0\)"/>
    <numFmt numFmtId="180" formatCode="_-* #,##0_-;\-* #,##0_-;_-* &quot;-&quot;??_-;_-@_-"/>
    <numFmt numFmtId="181" formatCode="0.000"/>
    <numFmt numFmtId="182" formatCode="0.0000%"/>
    <numFmt numFmtId="183" formatCode="0.0%"/>
  </numFmts>
  <fonts count="37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1"/>
      <name val="細明體"/>
      <family val="3"/>
      <charset val="136"/>
    </font>
    <font>
      <sz val="12"/>
      <color theme="1"/>
      <name val="新細明體"/>
      <family val="2"/>
      <charset val="136"/>
    </font>
    <font>
      <sz val="12"/>
      <color theme="1"/>
      <name val="新細明體"/>
      <family val="2"/>
    </font>
    <font>
      <sz val="12"/>
      <color theme="1"/>
      <name val="Courier New"/>
      <family val="2"/>
    </font>
    <font>
      <sz val="12"/>
      <color theme="1"/>
      <name val="新細明體"/>
      <family val="3"/>
      <charset val="136"/>
    </font>
    <font>
      <sz val="12"/>
      <color theme="0"/>
      <name val="Courier New"/>
      <family val="3"/>
    </font>
    <font>
      <sz val="12"/>
      <color theme="0" tint="-0.249977111117893"/>
      <name val="Courier New"/>
      <family val="3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  <font>
      <sz val="12"/>
      <color theme="0" tint="-0.14999847407452621"/>
      <name val="Courier New"/>
      <family val="3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1101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</cellStyleXfs>
  <cellXfs count="19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176" fontId="19" fillId="0" borderId="0" xfId="0" applyNumberFormat="1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19" fillId="0" borderId="0" xfId="58215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25" fillId="0" borderId="0" xfId="0" applyFont="1"/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19" fillId="0" borderId="11" xfId="0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19" fillId="33" borderId="11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19" fillId="0" borderId="0" xfId="0" applyFont="1" applyBorder="1" applyAlignment="1">
      <alignment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177" fontId="19" fillId="0" borderId="0" xfId="1" applyNumberFormat="1" applyFont="1" applyAlignment="1">
      <alignment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0" borderId="0" xfId="0" applyFont="1"/>
    <xf numFmtId="178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0" fontId="25" fillId="0" borderId="11" xfId="0" applyFont="1" applyBorder="1" applyAlignment="1">
      <alignment horizontal="center" vertical="center"/>
    </xf>
    <xf numFmtId="0" fontId="25" fillId="37" borderId="0" xfId="0" applyFont="1" applyFill="1"/>
    <xf numFmtId="0" fontId="19" fillId="0" borderId="0" xfId="0" applyFont="1" applyFill="1" applyBorder="1" applyAlignment="1">
      <alignment vertical="center"/>
    </xf>
    <xf numFmtId="0" fontId="19" fillId="0" borderId="0" xfId="61099" applyNumberFormat="1" applyFont="1" applyAlignment="1">
      <alignment vertical="center"/>
    </xf>
    <xf numFmtId="0" fontId="19" fillId="0" borderId="0" xfId="61099" applyNumberFormat="1" applyFont="1" applyAlignment="1">
      <alignment horizontal="left" vertical="center"/>
    </xf>
    <xf numFmtId="0" fontId="19" fillId="0" borderId="0" xfId="61099" applyNumberFormat="1" applyFont="1">
      <alignment vertical="center"/>
    </xf>
    <xf numFmtId="0" fontId="19" fillId="0" borderId="0" xfId="61099" applyNumberFormat="1" applyFont="1" applyBorder="1" applyAlignment="1">
      <alignment vertical="center"/>
    </xf>
    <xf numFmtId="0" fontId="19" fillId="0" borderId="0" xfId="0" applyFont="1" applyFill="1" applyAlignment="1">
      <alignment vertical="center"/>
    </xf>
    <xf numFmtId="0" fontId="19" fillId="0" borderId="11" xfId="0" applyFont="1" applyFill="1" applyBorder="1" applyAlignment="1">
      <alignment horizontal="center" vertical="top" wrapText="1"/>
    </xf>
    <xf numFmtId="0" fontId="25" fillId="0" borderId="11" xfId="0" applyFont="1" applyFill="1" applyBorder="1" applyAlignment="1">
      <alignment horizontal="center"/>
    </xf>
    <xf numFmtId="0" fontId="25" fillId="33" borderId="11" xfId="0" applyFont="1" applyFill="1" applyBorder="1" applyAlignment="1">
      <alignment horizontal="center" vertical="center"/>
    </xf>
    <xf numFmtId="0" fontId="25" fillId="0" borderId="0" xfId="26597" applyFont="1"/>
    <xf numFmtId="0" fontId="25" fillId="0" borderId="0" xfId="0" applyFont="1" applyFill="1"/>
    <xf numFmtId="0" fontId="19" fillId="0" borderId="0" xfId="61099" applyNumberFormat="1" applyFont="1" applyAlignment="1">
      <alignment horizontal="right" vertical="center"/>
    </xf>
    <xf numFmtId="0" fontId="19" fillId="38" borderId="11" xfId="0" applyFont="1" applyFill="1" applyBorder="1"/>
    <xf numFmtId="0" fontId="19" fillId="0" borderId="11" xfId="0" applyFont="1" applyBorder="1"/>
    <xf numFmtId="0" fontId="0" fillId="0" borderId="0" xfId="0" applyAlignment="1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2" applyFont="1" applyAlignment="1">
      <alignment horizontal="left" vertical="center"/>
    </xf>
    <xf numFmtId="0" fontId="19" fillId="36" borderId="0" xfId="58215" applyFont="1" applyFill="1" applyAlignment="1">
      <alignment horizontal="center" vertical="center"/>
    </xf>
    <xf numFmtId="0" fontId="19" fillId="36" borderId="10" xfId="0" applyFont="1" applyFill="1" applyBorder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0" xfId="1" applyNumberFormat="1" applyFont="1" applyBorder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176" fontId="19" fillId="0" borderId="0" xfId="0" applyNumberFormat="1" applyFont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36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vertical="center"/>
    </xf>
    <xf numFmtId="0" fontId="19" fillId="40" borderId="11" xfId="0" applyFont="1" applyFill="1" applyBorder="1"/>
    <xf numFmtId="180" fontId="25" fillId="40" borderId="11" xfId="61099" applyNumberFormat="1" applyFont="1" applyFill="1" applyBorder="1" applyAlignment="1"/>
    <xf numFmtId="0" fontId="25" fillId="33" borderId="13" xfId="0" applyFont="1" applyFill="1" applyBorder="1" applyAlignment="1">
      <alignment horizontal="center" vertical="center"/>
    </xf>
    <xf numFmtId="0" fontId="25" fillId="36" borderId="10" xfId="0" applyFont="1" applyFill="1" applyBorder="1"/>
    <xf numFmtId="0" fontId="33" fillId="0" borderId="0" xfId="0" applyFont="1"/>
    <xf numFmtId="0" fontId="25" fillId="36" borderId="11" xfId="0" applyFont="1" applyFill="1" applyBorder="1"/>
    <xf numFmtId="0" fontId="25" fillId="0" borderId="0" xfId="0" applyFont="1" applyAlignment="1">
      <alignment horizontal="center"/>
    </xf>
    <xf numFmtId="0" fontId="19" fillId="36" borderId="10" xfId="0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180" fontId="25" fillId="0" borderId="0" xfId="61099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5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81" fontId="33" fillId="0" borderId="0" xfId="1" applyNumberFormat="1" applyFont="1" applyAlignment="1"/>
    <xf numFmtId="181" fontId="33" fillId="0" borderId="0" xfId="0" applyNumberFormat="1" applyFont="1"/>
    <xf numFmtId="0" fontId="35" fillId="0" borderId="0" xfId="0" applyFont="1"/>
    <xf numFmtId="1" fontId="25" fillId="0" borderId="0" xfId="1" applyNumberFormat="1" applyFont="1" applyAlignment="1">
      <alignment vertical="center"/>
    </xf>
    <xf numFmtId="0" fontId="25" fillId="33" borderId="11" xfId="0" applyFont="1" applyFill="1" applyBorder="1" applyAlignment="1">
      <alignment vertical="center"/>
    </xf>
    <xf numFmtId="10" fontId="33" fillId="0" borderId="0" xfId="1" applyNumberFormat="1" applyFont="1" applyAlignment="1">
      <alignment horizontal="center" vertical="center"/>
    </xf>
    <xf numFmtId="0" fontId="33" fillId="0" borderId="0" xfId="0" applyFont="1" applyAlignment="1">
      <alignment horizontal="center"/>
    </xf>
    <xf numFmtId="10" fontId="33" fillId="0" borderId="0" xfId="1" applyNumberFormat="1" applyFont="1" applyAlignment="1"/>
    <xf numFmtId="0" fontId="25" fillId="0" borderId="11" xfId="0" applyFont="1" applyBorder="1" applyAlignment="1">
      <alignment vertical="center"/>
    </xf>
    <xf numFmtId="182" fontId="25" fillId="35" borderId="11" xfId="1" applyNumberFormat="1" applyFont="1" applyFill="1" applyBorder="1" applyAlignment="1">
      <alignment vertical="center"/>
    </xf>
    <xf numFmtId="182" fontId="25" fillId="39" borderId="11" xfId="1" applyNumberFormat="1" applyFont="1" applyFill="1" applyBorder="1" applyAlignment="1">
      <alignment vertical="center"/>
    </xf>
    <xf numFmtId="10" fontId="25" fillId="35" borderId="11" xfId="1" applyNumberFormat="1" applyFont="1" applyFill="1" applyBorder="1" applyAlignment="1"/>
    <xf numFmtId="1" fontId="25" fillId="35" borderId="11" xfId="1" applyNumberFormat="1" applyFont="1" applyFill="1" applyBorder="1" applyAlignment="1"/>
    <xf numFmtId="2" fontId="25" fillId="35" borderId="11" xfId="1" applyNumberFormat="1" applyFont="1" applyFill="1" applyBorder="1" applyAlignment="1"/>
    <xf numFmtId="179" fontId="33" fillId="0" borderId="0" xfId="1" applyNumberFormat="1" applyFont="1" applyAlignment="1">
      <alignment vertical="center"/>
    </xf>
    <xf numFmtId="10" fontId="25" fillId="35" borderId="11" xfId="1" quotePrefix="1" applyNumberFormat="1" applyFont="1" applyFill="1" applyBorder="1" applyAlignment="1">
      <alignment vertical="center"/>
    </xf>
    <xf numFmtId="179" fontId="33" fillId="0" borderId="0" xfId="0" applyNumberFormat="1" applyFont="1"/>
    <xf numFmtId="10" fontId="25" fillId="0" borderId="0" xfId="0" applyNumberFormat="1" applyFont="1"/>
    <xf numFmtId="182" fontId="19" fillId="0" borderId="0" xfId="0" applyNumberFormat="1" applyFont="1" applyAlignment="1">
      <alignment vertical="center"/>
    </xf>
    <xf numFmtId="10" fontId="25" fillId="0" borderId="0" xfId="0" applyNumberFormat="1" applyFont="1" applyAlignment="1">
      <alignment vertical="center"/>
    </xf>
    <xf numFmtId="0" fontId="19" fillId="37" borderId="0" xfId="0" applyFont="1" applyFill="1" applyAlignment="1">
      <alignment vertical="center"/>
    </xf>
    <xf numFmtId="0" fontId="33" fillId="37" borderId="0" xfId="0" applyFont="1" applyFill="1"/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0" borderId="0" xfId="0" applyFont="1" applyAlignment="1">
      <alignment horizontal="left" vertical="center"/>
    </xf>
    <xf numFmtId="180" fontId="25" fillId="36" borderId="0" xfId="61099" applyNumberFormat="1" applyFont="1" applyFill="1" applyAlignment="1">
      <alignment vertical="center"/>
    </xf>
    <xf numFmtId="0" fontId="33" fillId="0" borderId="0" xfId="0" applyFont="1" applyAlignment="1">
      <alignment vertical="center"/>
    </xf>
    <xf numFmtId="0" fontId="25" fillId="0" borderId="10" xfId="0" applyFont="1" applyBorder="1" applyAlignment="1">
      <alignment vertical="center"/>
    </xf>
    <xf numFmtId="180" fontId="19" fillId="36" borderId="10" xfId="61099" applyNumberFormat="1" applyFont="1" applyFill="1" applyBorder="1" applyAlignment="1">
      <alignment vertical="center"/>
    </xf>
    <xf numFmtId="10" fontId="25" fillId="0" borderId="10" xfId="1" applyNumberFormat="1" applyFont="1" applyFill="1" applyBorder="1">
      <alignment vertical="center"/>
    </xf>
    <xf numFmtId="10" fontId="25" fillId="0" borderId="11" xfId="1" applyNumberFormat="1" applyFont="1" applyFill="1" applyBorder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5" fillId="36" borderId="11" xfId="0" applyNumberFormat="1" applyFont="1" applyFill="1" applyBorder="1" applyAlignment="1">
      <alignment vertical="center"/>
    </xf>
    <xf numFmtId="179" fontId="19" fillId="35" borderId="11" xfId="61099" applyNumberFormat="1" applyFont="1" applyFill="1" applyBorder="1">
      <alignment vertical="center"/>
    </xf>
    <xf numFmtId="179" fontId="25" fillId="35" borderId="11" xfId="61099" applyNumberFormat="1" applyFont="1" applyFill="1" applyBorder="1">
      <alignment vertical="center"/>
    </xf>
    <xf numFmtId="10" fontId="25" fillId="0" borderId="11" xfId="1" applyNumberFormat="1" applyFont="1" applyBorder="1">
      <alignment vertical="center"/>
    </xf>
    <xf numFmtId="178" fontId="33" fillId="0" borderId="0" xfId="0" applyNumberFormat="1" applyFont="1"/>
    <xf numFmtId="10" fontId="25" fillId="0" borderId="11" xfId="1" applyNumberFormat="1" applyFont="1" applyBorder="1" applyAlignment="1"/>
    <xf numFmtId="180" fontId="19" fillId="36" borderId="11" xfId="61099" applyNumberFormat="1" applyFont="1" applyFill="1" applyBorder="1" applyAlignment="1">
      <alignment vertical="center"/>
    </xf>
    <xf numFmtId="2" fontId="33" fillId="0" borderId="0" xfId="0" applyNumberFormat="1" applyFont="1"/>
    <xf numFmtId="178" fontId="33" fillId="0" borderId="0" xfId="1" applyNumberFormat="1" applyFont="1" applyAlignment="1"/>
    <xf numFmtId="0" fontId="25" fillId="39" borderId="11" xfId="0" applyFont="1" applyFill="1" applyBorder="1" applyAlignment="1">
      <alignment horizontal="center" vertical="center"/>
    </xf>
    <xf numFmtId="180" fontId="19" fillId="0" borderId="11" xfId="61099" applyNumberFormat="1" applyFont="1" applyFill="1" applyBorder="1" applyAlignment="1">
      <alignment vertical="center"/>
    </xf>
    <xf numFmtId="178" fontId="25" fillId="36" borderId="11" xfId="1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10" fontId="25" fillId="0" borderId="0" xfId="1" applyNumberFormat="1" applyFont="1">
      <alignment vertical="center"/>
    </xf>
    <xf numFmtId="43" fontId="25" fillId="0" borderId="0" xfId="0" applyNumberFormat="1" applyFont="1"/>
    <xf numFmtId="180" fontId="33" fillId="0" borderId="0" xfId="61099" applyNumberFormat="1" applyFont="1" applyFill="1" applyBorder="1" applyAlignment="1">
      <alignment vertical="center"/>
    </xf>
    <xf numFmtId="180" fontId="33" fillId="0" borderId="10" xfId="61099" applyNumberFormat="1" applyFont="1" applyFill="1" applyBorder="1" applyAlignment="1">
      <alignment vertical="center"/>
    </xf>
    <xf numFmtId="0" fontId="19" fillId="41" borderId="0" xfId="0" applyFont="1" applyFill="1" applyAlignment="1">
      <alignment vertical="center"/>
    </xf>
    <xf numFmtId="0" fontId="33" fillId="41" borderId="0" xfId="0" applyFont="1" applyFill="1"/>
    <xf numFmtId="0" fontId="25" fillId="41" borderId="0" xfId="0" applyFont="1" applyFill="1" applyAlignment="1">
      <alignment horizontal="center" vertical="center"/>
    </xf>
    <xf numFmtId="10" fontId="25" fillId="41" borderId="0" xfId="0" applyNumberFormat="1" applyFont="1" applyFill="1" applyAlignment="1">
      <alignment vertical="center"/>
    </xf>
    <xf numFmtId="0" fontId="25" fillId="41" borderId="0" xfId="0" applyFont="1" applyFill="1" applyAlignment="1">
      <alignment vertical="center"/>
    </xf>
    <xf numFmtId="0" fontId="25" fillId="41" borderId="0" xfId="0" applyFont="1" applyFill="1"/>
    <xf numFmtId="10" fontId="19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183" fontId="25" fillId="0" borderId="0" xfId="1" applyNumberFormat="1" applyFont="1" applyAlignment="1"/>
    <xf numFmtId="178" fontId="19" fillId="36" borderId="11" xfId="0" applyNumberFormat="1" applyFont="1" applyFill="1" applyBorder="1" applyAlignment="1">
      <alignment vertical="center"/>
    </xf>
    <xf numFmtId="0" fontId="19" fillId="42" borderId="0" xfId="0" applyFont="1" applyFill="1" applyAlignment="1">
      <alignment vertical="center"/>
    </xf>
    <xf numFmtId="0" fontId="33" fillId="42" borderId="0" xfId="0" applyFont="1" applyFill="1"/>
    <xf numFmtId="0" fontId="25" fillId="42" borderId="0" xfId="0" applyFont="1" applyFill="1" applyAlignment="1">
      <alignment horizontal="center" vertical="center"/>
    </xf>
    <xf numFmtId="10" fontId="25" fillId="42" borderId="0" xfId="0" applyNumberFormat="1" applyFont="1" applyFill="1" applyAlignment="1">
      <alignment vertical="center"/>
    </xf>
    <xf numFmtId="0" fontId="25" fillId="42" borderId="0" xfId="0" applyFont="1" applyFill="1" applyAlignment="1">
      <alignment vertical="center"/>
    </xf>
    <xf numFmtId="0" fontId="25" fillId="42" borderId="0" xfId="0" applyFont="1" applyFill="1"/>
    <xf numFmtId="180" fontId="33" fillId="0" borderId="11" xfId="61099" applyNumberFormat="1" applyFont="1" applyFill="1" applyBorder="1" applyAlignment="1">
      <alignment vertical="center"/>
    </xf>
    <xf numFmtId="0" fontId="25" fillId="34" borderId="11" xfId="0" applyFont="1" applyFill="1" applyBorder="1" applyAlignment="1">
      <alignment horizontal="center" vertical="center"/>
    </xf>
    <xf numFmtId="180" fontId="19" fillId="0" borderId="0" xfId="0" applyNumberFormat="1" applyFont="1" applyAlignment="1">
      <alignment vertical="center"/>
    </xf>
    <xf numFmtId="0" fontId="25" fillId="0" borderId="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43" borderId="11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left" vertical="center"/>
    </xf>
    <xf numFmtId="0" fontId="19" fillId="43" borderId="11" xfId="0" applyFont="1" applyFill="1" applyBorder="1" applyAlignment="1">
      <alignment horizontal="center" vertical="center" wrapText="1"/>
    </xf>
    <xf numFmtId="0" fontId="19" fillId="43" borderId="11" xfId="0" applyFont="1" applyFill="1" applyBorder="1" applyAlignment="1">
      <alignment horizontal="center" vertical="top" wrapText="1"/>
    </xf>
    <xf numFmtId="0" fontId="19" fillId="0" borderId="10" xfId="0" applyFont="1" applyBorder="1" applyAlignment="1">
      <alignment vertical="center"/>
    </xf>
    <xf numFmtId="0" fontId="25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top" wrapText="1"/>
    </xf>
    <xf numFmtId="0" fontId="25" fillId="35" borderId="11" xfId="6110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25" fillId="35" borderId="10" xfId="61100" applyFont="1" applyFill="1" applyBorder="1" applyAlignment="1">
      <alignment horizontal="center" vertical="center"/>
    </xf>
    <xf numFmtId="0" fontId="25" fillId="33" borderId="11" xfId="61100" applyFont="1" applyFill="1" applyBorder="1" applyAlignment="1">
      <alignment horizontal="center" vertical="center"/>
    </xf>
    <xf numFmtId="0" fontId="19" fillId="0" borderId="10" xfId="26499" applyFont="1" applyBorder="1" applyAlignment="1">
      <alignment horizontal="center" vertical="center" wrapText="1"/>
    </xf>
    <xf numFmtId="0" fontId="19" fillId="0" borderId="11" xfId="26499" applyFont="1" applyBorder="1" applyAlignment="1">
      <alignment horizontal="center" vertical="top" wrapText="1"/>
    </xf>
    <xf numFmtId="0" fontId="25" fillId="33" borderId="11" xfId="26499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/>
    </xf>
    <xf numFmtId="0" fontId="25" fillId="43" borderId="11" xfId="0" applyFont="1" applyFill="1" applyBorder="1" applyAlignment="1">
      <alignment horizontal="center"/>
    </xf>
    <xf numFmtId="0" fontId="19" fillId="43" borderId="11" xfId="0" quotePrefix="1" applyFont="1" applyFill="1" applyBorder="1" applyAlignment="1">
      <alignment horizontal="center" vertical="center"/>
    </xf>
    <xf numFmtId="0" fontId="19" fillId="43" borderId="10" xfId="0" quotePrefix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40" borderId="10" xfId="0" applyFont="1" applyFill="1" applyBorder="1"/>
    <xf numFmtId="10" fontId="33" fillId="0" borderId="0" xfId="1" applyNumberFormat="1" applyFont="1" applyFill="1" applyBorder="1" applyAlignment="1"/>
    <xf numFmtId="0" fontId="19" fillId="0" borderId="0" xfId="2" applyFont="1" applyAlignment="1">
      <alignment horizontal="left"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5" xfId="0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176" fontId="19" fillId="36" borderId="15" xfId="0" applyNumberFormat="1" applyFont="1" applyFill="1" applyBorder="1" applyAlignment="1">
      <alignment horizontal="center" vertical="center" wrapText="1"/>
    </xf>
    <xf numFmtId="176" fontId="19" fillId="36" borderId="10" xfId="0" applyNumberFormat="1" applyFont="1" applyFill="1" applyBorder="1" applyAlignment="1">
      <alignment horizontal="center" vertical="center" wrapText="1"/>
    </xf>
    <xf numFmtId="176" fontId="19" fillId="0" borderId="15" xfId="0" applyNumberFormat="1" applyFont="1" applyBorder="1" applyAlignment="1">
      <alignment horizontal="center" vertical="center" wrapText="1"/>
    </xf>
    <xf numFmtId="176" fontId="19" fillId="0" borderId="10" xfId="0" applyNumberFormat="1" applyFont="1" applyBorder="1" applyAlignment="1">
      <alignment horizontal="center" vertical="center" wrapText="1"/>
    </xf>
    <xf numFmtId="0" fontId="32" fillId="41" borderId="0" xfId="0" applyFont="1" applyFill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32" fillId="42" borderId="0" xfId="0" applyFont="1" applyFill="1" applyAlignment="1">
      <alignment horizontal="center" vertical="center"/>
    </xf>
    <xf numFmtId="0" fontId="19" fillId="0" borderId="15" xfId="0" quotePrefix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180" fontId="33" fillId="0" borderId="15" xfId="61099" applyNumberFormat="1" applyFont="1" applyFill="1" applyBorder="1" applyAlignment="1">
      <alignment horizontal="center" vertical="center"/>
    </xf>
    <xf numFmtId="180" fontId="33" fillId="0" borderId="10" xfId="61099" applyNumberFormat="1" applyFont="1" applyFill="1" applyBorder="1" applyAlignment="1">
      <alignment horizontal="center" vertical="center"/>
    </xf>
    <xf numFmtId="0" fontId="25" fillId="40" borderId="15" xfId="0" applyFont="1" applyFill="1" applyBorder="1" applyAlignment="1">
      <alignment horizontal="center"/>
    </xf>
    <xf numFmtId="0" fontId="25" fillId="40" borderId="10" xfId="0" applyFont="1" applyFill="1" applyBorder="1" applyAlignment="1">
      <alignment horizontal="center"/>
    </xf>
    <xf numFmtId="180" fontId="25" fillId="36" borderId="15" xfId="61099" applyNumberFormat="1" applyFont="1" applyFill="1" applyBorder="1" applyAlignment="1">
      <alignment horizontal="center" vertical="center"/>
    </xf>
    <xf numFmtId="180" fontId="25" fillId="36" borderId="10" xfId="61099" applyNumberFormat="1" applyFont="1" applyFill="1" applyBorder="1" applyAlignment="1">
      <alignment horizontal="center" vertical="center"/>
    </xf>
  </cellXfs>
  <cellStyles count="61101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 2 2" xfId="61100" xr:uid="{E5FB5644-8E2E-4E79-879B-40EA147D9CCF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25"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99"/>
      <color rgb="FFDCF1C7"/>
      <color rgb="FFD8BDED"/>
      <color rgb="FFBDE1FF"/>
      <color rgb="FFFFFFAB"/>
      <color rgb="FFC4E59F"/>
      <color rgb="FFFFB9B9"/>
      <color rgb="FFFF8B8B"/>
      <color rgb="FFFF8585"/>
      <color rgb="FF89E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8A1443-3FCE-4C84-ACCC-D52F012708D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991e3e1-f9cb-4ee0-b874-765503462bf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83"/>
  <sheetViews>
    <sheetView tabSelected="1" workbookViewId="0">
      <selection activeCell="G15" sqref="G15"/>
    </sheetView>
  </sheetViews>
  <sheetFormatPr defaultColWidth="8.88671875" defaultRowHeight="15.6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6384" width="8.88671875" style="1"/>
  </cols>
  <sheetData>
    <row r="2" spans="1:10">
      <c r="A2" s="6" t="s">
        <v>102</v>
      </c>
      <c r="B2" s="49" t="s">
        <v>117</v>
      </c>
    </row>
    <row r="3" spans="1:10">
      <c r="A3" s="6" t="s">
        <v>47</v>
      </c>
      <c r="B3" s="49" t="s">
        <v>274</v>
      </c>
      <c r="C3" s="7"/>
    </row>
    <row r="4" spans="1:10">
      <c r="A4" s="6"/>
      <c r="B4" s="175"/>
      <c r="C4" s="175"/>
    </row>
    <row r="5" spans="1:10">
      <c r="A5" s="6"/>
      <c r="B5" s="48"/>
      <c r="C5" s="48"/>
    </row>
    <row r="6" spans="1:10">
      <c r="A6" s="16" t="s">
        <v>103</v>
      </c>
      <c r="B6" s="16" t="s">
        <v>104</v>
      </c>
      <c r="C6" s="19"/>
      <c r="D6" s="19"/>
      <c r="E6" s="28"/>
      <c r="F6" s="28"/>
      <c r="G6" s="27"/>
      <c r="H6" s="27"/>
      <c r="I6" s="27"/>
      <c r="J6" s="28"/>
    </row>
    <row r="7" spans="1:10">
      <c r="A7" s="50">
        <v>100</v>
      </c>
      <c r="B7" s="50">
        <f>PRODUCT(B26:G26)</f>
        <v>32400</v>
      </c>
      <c r="C7" s="19"/>
      <c r="D7" s="19"/>
      <c r="E7" s="19"/>
      <c r="F7" s="19"/>
      <c r="H7" s="3"/>
      <c r="I7" s="22"/>
      <c r="J7" s="5"/>
    </row>
    <row r="8" spans="1:10">
      <c r="A8" s="19"/>
      <c r="B8" s="19"/>
      <c r="C8" s="19"/>
      <c r="D8" s="19"/>
      <c r="E8" s="19"/>
      <c r="F8" s="19"/>
      <c r="H8" s="3"/>
      <c r="I8" s="22"/>
      <c r="J8" s="5"/>
    </row>
    <row r="9" spans="1:10">
      <c r="A9" s="19"/>
      <c r="B9" s="19"/>
      <c r="C9" s="19"/>
      <c r="D9" s="19"/>
      <c r="E9" s="19"/>
      <c r="F9" s="19"/>
      <c r="H9" s="3"/>
      <c r="I9" s="22"/>
      <c r="J9" s="5"/>
    </row>
    <row r="10" spans="1:10">
      <c r="A10" s="16" t="s">
        <v>105</v>
      </c>
      <c r="B10" s="16" t="s">
        <v>106</v>
      </c>
      <c r="C10" s="51" t="s">
        <v>107</v>
      </c>
      <c r="D10" s="51" t="s">
        <v>108</v>
      </c>
      <c r="E10" s="19"/>
      <c r="F10" s="19"/>
      <c r="H10" s="3"/>
      <c r="I10" s="22"/>
      <c r="J10" s="5"/>
    </row>
    <row r="11" spans="1:10">
      <c r="A11" s="52" cm="1">
        <f t="array" ref="A11:A12">B11:B12*A7</f>
        <v>100</v>
      </c>
      <c r="B11" s="50">
        <v>1</v>
      </c>
      <c r="C11" s="53"/>
      <c r="D11" s="53" t="s">
        <v>55</v>
      </c>
      <c r="E11" s="19"/>
      <c r="F11" s="19"/>
      <c r="H11" s="3"/>
      <c r="I11" s="22"/>
      <c r="J11" s="5"/>
    </row>
    <row r="12" spans="1:10">
      <c r="A12" s="52">
        <v>7500</v>
      </c>
      <c r="B12" s="50">
        <v>75</v>
      </c>
      <c r="C12" s="53"/>
      <c r="D12" s="53" t="s">
        <v>91</v>
      </c>
      <c r="E12" s="19"/>
      <c r="F12" s="19"/>
      <c r="H12" s="3"/>
      <c r="I12" s="22"/>
      <c r="J12" s="5"/>
    </row>
    <row r="13" spans="1:10">
      <c r="A13" s="19"/>
      <c r="B13" s="19"/>
      <c r="C13" s="19"/>
      <c r="D13" s="19"/>
      <c r="E13" s="19"/>
      <c r="F13" s="19"/>
      <c r="H13" s="3"/>
      <c r="I13" s="22"/>
      <c r="J13" s="5"/>
    </row>
    <row r="14" spans="1:10">
      <c r="A14" s="19"/>
      <c r="B14" s="19"/>
      <c r="C14" s="19"/>
      <c r="D14" s="19"/>
      <c r="E14" s="19"/>
      <c r="F14" s="19"/>
      <c r="H14" s="3"/>
      <c r="I14" s="22"/>
      <c r="J14" s="5"/>
    </row>
    <row r="15" spans="1:10">
      <c r="A15" s="9" t="s">
        <v>109</v>
      </c>
      <c r="B15" s="54"/>
      <c r="C15" s="55"/>
      <c r="D15" s="56"/>
      <c r="E15" s="57"/>
      <c r="F15" s="19"/>
      <c r="H15" s="3"/>
      <c r="I15" s="22"/>
      <c r="J15" s="5"/>
    </row>
    <row r="16" spans="1:10">
      <c r="A16" s="51" t="s">
        <v>108</v>
      </c>
      <c r="B16" s="16" t="s">
        <v>110</v>
      </c>
      <c r="C16" s="16" t="s">
        <v>111</v>
      </c>
      <c r="D16" s="16" t="s">
        <v>112</v>
      </c>
      <c r="E16" s="16" t="s">
        <v>113</v>
      </c>
      <c r="F16" s="19"/>
      <c r="H16" s="3"/>
      <c r="I16" s="22"/>
      <c r="J16" s="5"/>
    </row>
    <row r="17" spans="1:10">
      <c r="A17" s="176" t="str">
        <f>D10</f>
        <v>Bet Type</v>
      </c>
      <c r="B17" s="58"/>
      <c r="C17" s="177" t="e">
        <f>1/D17</f>
        <v>#DIV/0!</v>
      </c>
      <c r="D17" s="179"/>
      <c r="E17" s="10" t="s">
        <v>50</v>
      </c>
      <c r="F17" s="19"/>
      <c r="H17" s="3"/>
      <c r="I17" s="22"/>
      <c r="J17" s="5"/>
    </row>
    <row r="18" spans="1:10">
      <c r="A18" s="176"/>
      <c r="B18" s="58"/>
      <c r="C18" s="178"/>
      <c r="D18" s="180"/>
      <c r="E18" s="10" t="s">
        <v>114</v>
      </c>
      <c r="F18" s="19"/>
      <c r="H18" s="3"/>
      <c r="I18" s="22"/>
      <c r="J18" s="5"/>
    </row>
    <row r="19" spans="1:10">
      <c r="A19" s="59"/>
      <c r="B19" s="60"/>
      <c r="C19" s="55"/>
      <c r="D19" s="56"/>
      <c r="E19" s="3"/>
      <c r="F19" s="19"/>
      <c r="H19" s="3"/>
      <c r="I19" s="22"/>
      <c r="J19" s="5"/>
    </row>
    <row r="20" spans="1:10">
      <c r="A20" s="51" t="s">
        <v>108</v>
      </c>
      <c r="B20" s="16" t="s">
        <v>110</v>
      </c>
      <c r="C20" s="16" t="s">
        <v>111</v>
      </c>
      <c r="D20" s="16" t="s">
        <v>112</v>
      </c>
      <c r="E20" s="16" t="s">
        <v>113</v>
      </c>
      <c r="F20" s="19"/>
      <c r="H20" s="3"/>
      <c r="I20" s="22"/>
      <c r="J20" s="5"/>
    </row>
    <row r="21" spans="1:10">
      <c r="A21" s="176" t="str">
        <f>D12</f>
        <v>Buy Feature</v>
      </c>
      <c r="B21" s="58"/>
      <c r="C21" s="177">
        <f>1/D21</f>
        <v>1</v>
      </c>
      <c r="D21" s="181">
        <v>1</v>
      </c>
      <c r="E21" s="10" t="s">
        <v>50</v>
      </c>
      <c r="F21" s="19"/>
      <c r="H21" s="3"/>
      <c r="I21" s="22"/>
      <c r="J21" s="5"/>
    </row>
    <row r="22" spans="1:10">
      <c r="A22" s="176"/>
      <c r="B22" s="58"/>
      <c r="C22" s="178"/>
      <c r="D22" s="182"/>
      <c r="E22" s="10" t="s">
        <v>114</v>
      </c>
      <c r="F22" s="19"/>
      <c r="H22" s="3"/>
      <c r="I22" s="22"/>
      <c r="J22" s="5"/>
    </row>
    <row r="23" spans="1:10">
      <c r="F23" s="19"/>
      <c r="H23" s="3"/>
      <c r="I23" s="22"/>
      <c r="J23" s="5"/>
    </row>
    <row r="24" spans="1:10">
      <c r="F24" s="19"/>
      <c r="H24" s="3"/>
      <c r="I24" s="22"/>
      <c r="J24" s="5"/>
    </row>
    <row r="25" spans="1:10">
      <c r="A25" s="16" t="s">
        <v>0</v>
      </c>
      <c r="B25" s="16">
        <v>1</v>
      </c>
      <c r="C25" s="16">
        <v>2</v>
      </c>
      <c r="D25" s="16">
        <v>3</v>
      </c>
      <c r="E25" s="16">
        <v>4</v>
      </c>
      <c r="F25" s="16">
        <v>5</v>
      </c>
      <c r="G25" s="16">
        <v>6</v>
      </c>
    </row>
    <row r="26" spans="1:10" ht="31.2">
      <c r="A26" s="20" t="s">
        <v>1</v>
      </c>
      <c r="B26" s="21">
        <v>5</v>
      </c>
      <c r="C26" s="21">
        <v>6</v>
      </c>
      <c r="D26" s="21">
        <v>6</v>
      </c>
      <c r="E26" s="21">
        <v>6</v>
      </c>
      <c r="F26" s="21">
        <v>6</v>
      </c>
      <c r="G26" s="21">
        <v>5</v>
      </c>
    </row>
    <row r="29" spans="1:10">
      <c r="A29" s="1" t="s">
        <v>53</v>
      </c>
    </row>
    <row r="30" spans="1:10">
      <c r="A30" s="16" t="s">
        <v>49</v>
      </c>
      <c r="B30" s="16" t="s">
        <v>54</v>
      </c>
    </row>
    <row r="31" spans="1:10">
      <c r="A31" s="21">
        <v>4</v>
      </c>
      <c r="B31" s="69">
        <v>8</v>
      </c>
    </row>
    <row r="32" spans="1:10">
      <c r="A32" s="4">
        <v>5</v>
      </c>
      <c r="B32" s="70">
        <v>10</v>
      </c>
    </row>
    <row r="33" spans="1:8">
      <c r="A33" s="4">
        <v>6</v>
      </c>
      <c r="B33" s="70">
        <v>12</v>
      </c>
    </row>
    <row r="34" spans="1:8">
      <c r="A34" s="21">
        <v>7</v>
      </c>
      <c r="B34" s="69">
        <v>14</v>
      </c>
    </row>
    <row r="35" spans="1:8">
      <c r="A35" s="4">
        <v>8</v>
      </c>
      <c r="B35" s="70">
        <v>16</v>
      </c>
    </row>
    <row r="36" spans="1:8">
      <c r="A36" s="4" t="s">
        <v>71</v>
      </c>
      <c r="B36" s="70" t="s">
        <v>71</v>
      </c>
    </row>
    <row r="37" spans="1:8">
      <c r="A37" s="152" t="s">
        <v>115</v>
      </c>
      <c r="B37" s="61"/>
    </row>
    <row r="40" spans="1:8">
      <c r="A40" s="1" t="s">
        <v>116</v>
      </c>
      <c r="B40" s="1" t="str">
        <f>"All wins show for "&amp;A7&amp;" credit bet."</f>
        <v>All wins show for 100 credit bet.</v>
      </c>
    </row>
    <row r="41" spans="1:8">
      <c r="A41" s="16" t="s">
        <v>52</v>
      </c>
      <c r="B41" s="16" t="s">
        <v>4</v>
      </c>
      <c r="C41" s="16">
        <v>3</v>
      </c>
      <c r="D41" s="16">
        <v>4</v>
      </c>
      <c r="E41" s="16">
        <v>5</v>
      </c>
      <c r="F41" s="16">
        <v>6</v>
      </c>
      <c r="G41" s="16" t="s">
        <v>46</v>
      </c>
      <c r="H41" s="11"/>
    </row>
    <row r="42" spans="1:8">
      <c r="A42" s="21" t="s">
        <v>31</v>
      </c>
      <c r="B42" s="21" t="s">
        <v>48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11"/>
    </row>
    <row r="43" spans="1:8">
      <c r="A43" s="4" t="s">
        <v>36</v>
      </c>
      <c r="B43" s="4" t="s">
        <v>51</v>
      </c>
      <c r="C43" s="24">
        <v>0</v>
      </c>
      <c r="D43" s="24">
        <v>0</v>
      </c>
      <c r="E43" s="24">
        <v>0</v>
      </c>
      <c r="F43" s="25">
        <v>0</v>
      </c>
      <c r="G43" s="25">
        <v>1</v>
      </c>
      <c r="H43" s="11"/>
    </row>
    <row r="44" spans="1:8">
      <c r="A44" s="151" t="s">
        <v>32</v>
      </c>
      <c r="B44" s="151" t="s">
        <v>32</v>
      </c>
      <c r="C44" s="167">
        <v>150</v>
      </c>
      <c r="D44" s="167">
        <v>200</v>
      </c>
      <c r="E44" s="167">
        <v>250</v>
      </c>
      <c r="F44" s="167">
        <v>400</v>
      </c>
      <c r="G44" s="168">
        <v>2</v>
      </c>
      <c r="H44" s="11"/>
    </row>
    <row r="45" spans="1:8">
      <c r="A45" s="151" t="s">
        <v>33</v>
      </c>
      <c r="B45" s="151" t="s">
        <v>33</v>
      </c>
      <c r="C45" s="167">
        <v>100</v>
      </c>
      <c r="D45" s="167">
        <v>125</v>
      </c>
      <c r="E45" s="167">
        <v>150</v>
      </c>
      <c r="F45" s="167">
        <v>250</v>
      </c>
      <c r="G45" s="151">
        <v>3</v>
      </c>
      <c r="H45" s="11"/>
    </row>
    <row r="46" spans="1:8">
      <c r="A46" s="151" t="s">
        <v>34</v>
      </c>
      <c r="B46" s="151" t="s">
        <v>34</v>
      </c>
      <c r="C46" s="167">
        <v>50</v>
      </c>
      <c r="D46" s="167">
        <v>125</v>
      </c>
      <c r="E46" s="167">
        <v>150</v>
      </c>
      <c r="F46" s="167">
        <v>200</v>
      </c>
      <c r="G46" s="151">
        <v>4</v>
      </c>
      <c r="H46" s="11"/>
    </row>
    <row r="47" spans="1:8">
      <c r="A47" s="151" t="s">
        <v>35</v>
      </c>
      <c r="B47" s="151" t="s">
        <v>35</v>
      </c>
      <c r="C47" s="167">
        <v>40</v>
      </c>
      <c r="D47" s="167">
        <v>75</v>
      </c>
      <c r="E47" s="167">
        <v>100</v>
      </c>
      <c r="F47" s="167">
        <v>150</v>
      </c>
      <c r="G47" s="151">
        <v>5</v>
      </c>
      <c r="H47" s="11"/>
    </row>
    <row r="48" spans="1:8">
      <c r="A48" s="151" t="s">
        <v>65</v>
      </c>
      <c r="B48" s="151" t="s">
        <v>65</v>
      </c>
      <c r="C48" s="167">
        <v>30</v>
      </c>
      <c r="D48" s="167">
        <v>50</v>
      </c>
      <c r="E48" s="167">
        <v>60</v>
      </c>
      <c r="F48" s="167">
        <v>75</v>
      </c>
      <c r="G48" s="151">
        <v>6</v>
      </c>
      <c r="H48" s="11"/>
    </row>
    <row r="49" spans="1:9">
      <c r="A49" s="151" t="s">
        <v>90</v>
      </c>
      <c r="B49" s="151" t="s">
        <v>90</v>
      </c>
      <c r="C49" s="167">
        <v>30</v>
      </c>
      <c r="D49" s="167">
        <v>50</v>
      </c>
      <c r="E49" s="167">
        <v>60</v>
      </c>
      <c r="F49" s="167">
        <v>75</v>
      </c>
      <c r="G49" s="151">
        <v>7</v>
      </c>
      <c r="H49" s="11"/>
    </row>
    <row r="50" spans="1:9">
      <c r="A50" s="4" t="s">
        <v>25</v>
      </c>
      <c r="B50" s="4" t="s">
        <v>25</v>
      </c>
      <c r="C50" s="18">
        <v>20</v>
      </c>
      <c r="D50" s="18">
        <v>30</v>
      </c>
      <c r="E50" s="18">
        <v>40</v>
      </c>
      <c r="F50" s="18">
        <v>50</v>
      </c>
      <c r="G50" s="24">
        <v>8</v>
      </c>
      <c r="H50" s="11"/>
    </row>
    <row r="51" spans="1:9">
      <c r="A51" s="4" t="s">
        <v>37</v>
      </c>
      <c r="B51" s="4" t="s">
        <v>37</v>
      </c>
      <c r="C51" s="18">
        <v>20</v>
      </c>
      <c r="D51" s="18">
        <v>30</v>
      </c>
      <c r="E51" s="18">
        <v>40</v>
      </c>
      <c r="F51" s="18">
        <v>50</v>
      </c>
      <c r="G51" s="24">
        <v>9</v>
      </c>
      <c r="H51" s="11"/>
    </row>
    <row r="52" spans="1:9">
      <c r="A52" s="4" t="s">
        <v>38</v>
      </c>
      <c r="B52" s="4" t="s">
        <v>38</v>
      </c>
      <c r="C52" s="18">
        <v>5</v>
      </c>
      <c r="D52" s="18">
        <v>10</v>
      </c>
      <c r="E52" s="18">
        <v>15</v>
      </c>
      <c r="F52" s="18">
        <v>20</v>
      </c>
      <c r="G52" s="24">
        <v>10</v>
      </c>
      <c r="H52" s="11"/>
    </row>
    <row r="53" spans="1:9">
      <c r="A53" s="4" t="s">
        <v>39</v>
      </c>
      <c r="B53" s="4" t="s">
        <v>39</v>
      </c>
      <c r="C53" s="18">
        <v>5</v>
      </c>
      <c r="D53" s="18">
        <v>10</v>
      </c>
      <c r="E53" s="18">
        <v>15</v>
      </c>
      <c r="F53" s="18">
        <v>20</v>
      </c>
      <c r="G53" s="24">
        <v>11</v>
      </c>
      <c r="H53" s="11"/>
    </row>
    <row r="54" spans="1:9">
      <c r="A54" s="4" t="s">
        <v>40</v>
      </c>
      <c r="B54" s="4" t="s">
        <v>40</v>
      </c>
      <c r="C54" s="18">
        <v>5</v>
      </c>
      <c r="D54" s="18">
        <v>10</v>
      </c>
      <c r="E54" s="18">
        <v>15</v>
      </c>
      <c r="F54" s="18">
        <v>20</v>
      </c>
      <c r="G54" s="24">
        <v>12</v>
      </c>
    </row>
    <row r="55" spans="1:9">
      <c r="A55" s="151" t="s">
        <v>223</v>
      </c>
      <c r="B55" s="151" t="s">
        <v>244</v>
      </c>
      <c r="C55" s="167">
        <v>150</v>
      </c>
      <c r="D55" s="167">
        <v>200</v>
      </c>
      <c r="E55" s="167">
        <v>250</v>
      </c>
      <c r="F55" s="167">
        <v>400</v>
      </c>
      <c r="G55" s="168">
        <v>13</v>
      </c>
    </row>
    <row r="56" spans="1:9">
      <c r="A56" s="151" t="s">
        <v>225</v>
      </c>
      <c r="B56" s="151" t="s">
        <v>245</v>
      </c>
      <c r="C56" s="167">
        <v>100</v>
      </c>
      <c r="D56" s="167">
        <v>125</v>
      </c>
      <c r="E56" s="167">
        <v>150</v>
      </c>
      <c r="F56" s="167">
        <v>250</v>
      </c>
      <c r="G56" s="151">
        <v>14</v>
      </c>
    </row>
    <row r="57" spans="1:9">
      <c r="A57" s="151" t="s">
        <v>227</v>
      </c>
      <c r="B57" s="151" t="s">
        <v>246</v>
      </c>
      <c r="C57" s="167">
        <v>50</v>
      </c>
      <c r="D57" s="167">
        <v>125</v>
      </c>
      <c r="E57" s="167">
        <v>150</v>
      </c>
      <c r="F57" s="167">
        <v>200</v>
      </c>
      <c r="G57" s="151">
        <v>15</v>
      </c>
    </row>
    <row r="58" spans="1:9">
      <c r="A58" s="151" t="s">
        <v>229</v>
      </c>
      <c r="B58" s="151" t="s">
        <v>247</v>
      </c>
      <c r="C58" s="167">
        <v>40</v>
      </c>
      <c r="D58" s="167">
        <v>75</v>
      </c>
      <c r="E58" s="167">
        <v>100</v>
      </c>
      <c r="F58" s="167">
        <v>150</v>
      </c>
      <c r="G58" s="151">
        <v>16</v>
      </c>
    </row>
    <row r="59" spans="1:9">
      <c r="A59" s="151" t="s">
        <v>231</v>
      </c>
      <c r="B59" s="151" t="s">
        <v>248</v>
      </c>
      <c r="C59" s="167">
        <v>30</v>
      </c>
      <c r="D59" s="167">
        <v>50</v>
      </c>
      <c r="E59" s="167">
        <v>60</v>
      </c>
      <c r="F59" s="167">
        <v>75</v>
      </c>
      <c r="G59" s="151">
        <v>17</v>
      </c>
    </row>
    <row r="60" spans="1:9">
      <c r="A60" s="151" t="s">
        <v>233</v>
      </c>
      <c r="B60" s="151" t="s">
        <v>221</v>
      </c>
      <c r="C60" s="167">
        <v>30</v>
      </c>
      <c r="D60" s="167">
        <v>50</v>
      </c>
      <c r="E60" s="167">
        <v>60</v>
      </c>
      <c r="F60" s="167">
        <v>75</v>
      </c>
      <c r="G60" s="151">
        <v>18</v>
      </c>
    </row>
    <row r="61" spans="1:9">
      <c r="A61" s="4" t="s">
        <v>235</v>
      </c>
      <c r="B61" s="4" t="s">
        <v>249</v>
      </c>
      <c r="C61" s="18">
        <v>20</v>
      </c>
      <c r="D61" s="18">
        <v>30</v>
      </c>
      <c r="E61" s="18">
        <v>40</v>
      </c>
      <c r="F61" s="18">
        <v>50</v>
      </c>
      <c r="G61" s="24">
        <v>19</v>
      </c>
      <c r="H61" s="11"/>
      <c r="I61" s="11"/>
    </row>
    <row r="62" spans="1:9">
      <c r="A62" s="4" t="s">
        <v>237</v>
      </c>
      <c r="B62" s="4" t="s">
        <v>250</v>
      </c>
      <c r="C62" s="18">
        <v>20</v>
      </c>
      <c r="D62" s="18">
        <v>30</v>
      </c>
      <c r="E62" s="18">
        <v>40</v>
      </c>
      <c r="F62" s="18">
        <v>50</v>
      </c>
      <c r="G62" s="24">
        <v>20</v>
      </c>
      <c r="H62" s="11"/>
      <c r="I62" s="11"/>
    </row>
    <row r="63" spans="1:9">
      <c r="A63" s="4" t="s">
        <v>239</v>
      </c>
      <c r="B63" s="4" t="s">
        <v>251</v>
      </c>
      <c r="C63" s="18">
        <v>5</v>
      </c>
      <c r="D63" s="18">
        <v>10</v>
      </c>
      <c r="E63" s="18">
        <v>15</v>
      </c>
      <c r="F63" s="18">
        <v>20</v>
      </c>
      <c r="G63" s="24">
        <v>21</v>
      </c>
      <c r="H63" s="11"/>
      <c r="I63" s="11"/>
    </row>
    <row r="64" spans="1:9">
      <c r="A64" s="4" t="s">
        <v>241</v>
      </c>
      <c r="B64" s="4" t="s">
        <v>252</v>
      </c>
      <c r="C64" s="18">
        <v>5</v>
      </c>
      <c r="D64" s="18">
        <v>10</v>
      </c>
      <c r="E64" s="18">
        <v>15</v>
      </c>
      <c r="F64" s="18">
        <v>20</v>
      </c>
      <c r="G64" s="24">
        <v>22</v>
      </c>
      <c r="H64" s="11"/>
      <c r="I64" s="11"/>
    </row>
    <row r="65" spans="1:9">
      <c r="A65" s="4" t="s">
        <v>243</v>
      </c>
      <c r="B65" s="4" t="s">
        <v>253</v>
      </c>
      <c r="C65" s="18">
        <v>5</v>
      </c>
      <c r="D65" s="18">
        <v>10</v>
      </c>
      <c r="E65" s="18">
        <v>15</v>
      </c>
      <c r="F65" s="18">
        <v>20</v>
      </c>
      <c r="G65" s="24">
        <v>23</v>
      </c>
      <c r="H65" s="11"/>
      <c r="I65" s="11"/>
    </row>
    <row r="66" spans="1:9">
      <c r="A66" s="154" t="s">
        <v>69</v>
      </c>
      <c r="B66" s="151" t="s">
        <v>254</v>
      </c>
      <c r="C66" s="169">
        <v>0</v>
      </c>
      <c r="D66" s="169">
        <v>0</v>
      </c>
      <c r="E66" s="169">
        <v>0</v>
      </c>
      <c r="F66" s="169">
        <v>0</v>
      </c>
      <c r="G66" s="151">
        <v>24</v>
      </c>
      <c r="H66" s="11"/>
      <c r="I66" s="11"/>
    </row>
    <row r="67" spans="1:9">
      <c r="A67" s="154" t="s">
        <v>257</v>
      </c>
      <c r="B67" s="151" t="s">
        <v>255</v>
      </c>
      <c r="C67" s="169">
        <v>0</v>
      </c>
      <c r="D67" s="169">
        <v>0</v>
      </c>
      <c r="E67" s="169">
        <v>0</v>
      </c>
      <c r="F67" s="169">
        <v>0</v>
      </c>
      <c r="G67" s="151">
        <v>25</v>
      </c>
      <c r="H67" s="11"/>
      <c r="I67" s="11"/>
    </row>
    <row r="68" spans="1:9">
      <c r="A68" s="11"/>
      <c r="B68" s="11"/>
      <c r="C68" s="11"/>
      <c r="D68" s="11"/>
      <c r="E68" s="11"/>
      <c r="F68" s="11"/>
      <c r="G68" s="11"/>
      <c r="H68" s="11"/>
      <c r="I68" s="11"/>
    </row>
    <row r="69" spans="1:9">
      <c r="A69" s="11"/>
      <c r="B69" s="11"/>
      <c r="C69" s="11"/>
      <c r="D69" s="11"/>
      <c r="E69" s="11"/>
      <c r="F69" s="11"/>
      <c r="G69" s="11"/>
      <c r="H69" s="11"/>
      <c r="I69" s="11"/>
    </row>
    <row r="70" spans="1:9">
      <c r="A70" s="11"/>
      <c r="B70" s="11"/>
      <c r="C70" s="11"/>
      <c r="D70" s="11"/>
      <c r="E70" s="11"/>
      <c r="F70" s="11"/>
      <c r="G70" s="11"/>
      <c r="H70" s="11"/>
      <c r="I70" s="11"/>
    </row>
    <row r="71" spans="1:9">
      <c r="A71" s="11"/>
      <c r="B71" s="11"/>
      <c r="C71" s="11"/>
      <c r="D71" s="11"/>
      <c r="E71" s="11"/>
      <c r="F71" s="11"/>
      <c r="G71" s="11"/>
      <c r="H71" s="11"/>
      <c r="I71" s="11"/>
    </row>
    <row r="72" spans="1:9">
      <c r="A72" s="11"/>
      <c r="B72" s="11"/>
      <c r="C72" s="11"/>
      <c r="D72" s="11"/>
      <c r="E72" s="11"/>
      <c r="F72" s="11"/>
      <c r="G72" s="11"/>
      <c r="H72" s="11"/>
      <c r="I72" s="11"/>
    </row>
    <row r="73" spans="1:9">
      <c r="A73" s="11"/>
      <c r="B73" s="11"/>
      <c r="C73" s="11"/>
      <c r="D73" s="11"/>
      <c r="E73" s="11"/>
      <c r="F73" s="11"/>
      <c r="G73" s="11"/>
      <c r="H73" s="11"/>
      <c r="I73" s="11"/>
    </row>
    <row r="74" spans="1:9">
      <c r="A74" s="11"/>
      <c r="B74" s="11"/>
      <c r="C74" s="11"/>
      <c r="D74" s="11"/>
      <c r="E74" s="11"/>
      <c r="F74" s="11"/>
      <c r="G74" s="11"/>
      <c r="H74" s="11"/>
      <c r="I74" s="11"/>
    </row>
    <row r="75" spans="1:9">
      <c r="A75" s="11"/>
      <c r="B75" s="11"/>
      <c r="C75" s="11"/>
      <c r="D75" s="11"/>
      <c r="E75" s="11"/>
      <c r="F75" s="11"/>
      <c r="G75" s="11"/>
      <c r="H75" s="11"/>
      <c r="I75" s="11"/>
    </row>
    <row r="76" spans="1:9">
      <c r="A76" s="11"/>
      <c r="B76" s="11"/>
      <c r="C76" s="11"/>
      <c r="D76" s="11"/>
      <c r="E76" s="11"/>
      <c r="F76" s="11"/>
      <c r="G76" s="11"/>
      <c r="H76" s="11"/>
      <c r="I76" s="11"/>
    </row>
    <row r="77" spans="1:9">
      <c r="A77" s="11"/>
      <c r="B77" s="11"/>
      <c r="C77" s="11"/>
      <c r="D77" s="11"/>
      <c r="E77" s="11"/>
      <c r="F77" s="11"/>
      <c r="G77" s="11"/>
      <c r="H77" s="11"/>
      <c r="I77" s="11"/>
    </row>
    <row r="78" spans="1:9">
      <c r="A78" s="11"/>
      <c r="B78" s="11"/>
      <c r="C78" s="11"/>
      <c r="D78" s="11"/>
      <c r="E78" s="11"/>
      <c r="F78" s="11"/>
      <c r="G78" s="11"/>
      <c r="H78" s="11"/>
      <c r="I78" s="11"/>
    </row>
    <row r="79" spans="1:9">
      <c r="A79" s="11"/>
      <c r="B79" s="11"/>
      <c r="C79" s="11"/>
      <c r="D79" s="11"/>
      <c r="E79" s="11"/>
      <c r="F79" s="11"/>
      <c r="G79" s="11"/>
      <c r="H79" s="11"/>
      <c r="I79" s="11"/>
    </row>
    <row r="80" spans="1:9">
      <c r="A80" s="11"/>
      <c r="B80" s="11"/>
      <c r="C80" s="11"/>
      <c r="D80" s="11"/>
      <c r="E80" s="11"/>
      <c r="F80" s="11"/>
      <c r="G80" s="11"/>
      <c r="H80" s="11"/>
      <c r="I80" s="11"/>
    </row>
    <row r="81" spans="1:9">
      <c r="A81" s="11"/>
      <c r="B81" s="11"/>
      <c r="C81" s="11"/>
      <c r="D81" s="11"/>
      <c r="E81" s="11"/>
      <c r="F81" s="11"/>
      <c r="G81" s="11"/>
      <c r="H81" s="11"/>
      <c r="I81" s="11"/>
    </row>
    <row r="82" spans="1:9">
      <c r="A82" s="11"/>
      <c r="B82" s="11"/>
      <c r="C82" s="11"/>
      <c r="D82" s="11"/>
      <c r="E82" s="11"/>
      <c r="F82" s="11"/>
      <c r="G82" s="11"/>
      <c r="H82" s="11"/>
      <c r="I82" s="11"/>
    </row>
    <row r="83" spans="1:9">
      <c r="B83" s="2"/>
      <c r="C83" s="2"/>
      <c r="D83" s="2"/>
    </row>
  </sheetData>
  <mergeCells count="7">
    <mergeCell ref="B4:C4"/>
    <mergeCell ref="A17:A18"/>
    <mergeCell ref="C17:C18"/>
    <mergeCell ref="D17:D18"/>
    <mergeCell ref="A21:A22"/>
    <mergeCell ref="C21:C22"/>
    <mergeCell ref="D21:D22"/>
  </mergeCells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BC0C-507A-4792-BD97-2191D849534C}">
  <sheetPr codeName="工作表12"/>
  <dimension ref="B1:G12"/>
  <sheetViews>
    <sheetView workbookViewId="0">
      <selection activeCell="L20" sqref="L20"/>
    </sheetView>
  </sheetViews>
  <sheetFormatPr defaultColWidth="6.77734375" defaultRowHeight="15.6"/>
  <cols>
    <col min="1" max="2" width="6.77734375" style="11"/>
    <col min="3" max="3" width="9.88671875" style="11" bestFit="1" customWidth="1"/>
    <col min="4" max="5" width="6.77734375" style="11"/>
    <col min="6" max="6" width="9.44140625" style="11" bestFit="1" customWidth="1"/>
    <col min="7" max="16384" width="6.77734375" style="11"/>
  </cols>
  <sheetData>
    <row r="1" spans="2:7" ht="16.2" customHeight="1"/>
    <row r="2" spans="2:7" ht="16.2" customHeight="1">
      <c r="B2" s="12" t="s">
        <v>272</v>
      </c>
      <c r="C2" s="45"/>
      <c r="D2" s="45"/>
      <c r="E2" s="45"/>
      <c r="F2" s="45"/>
      <c r="G2" s="45"/>
    </row>
    <row r="3" spans="2:7" s="41" customFormat="1" ht="16.2">
      <c r="B3" s="12"/>
      <c r="C3" s="45"/>
      <c r="D3" s="45"/>
      <c r="E3" s="45"/>
      <c r="F3" s="45"/>
      <c r="G3" s="45"/>
    </row>
    <row r="4" spans="2:7" ht="16.2">
      <c r="B4" s="11" t="s">
        <v>96</v>
      </c>
    </row>
    <row r="6" spans="2:7">
      <c r="B6" s="11" t="s">
        <v>258</v>
      </c>
    </row>
    <row r="8" spans="2:7" ht="16.2">
      <c r="B8" s="11" t="s">
        <v>98</v>
      </c>
    </row>
    <row r="10" spans="2:7" ht="16.2">
      <c r="B10" s="11" t="s">
        <v>273</v>
      </c>
    </row>
    <row r="12" spans="2:7" ht="16.2">
      <c r="B12" s="11" t="s">
        <v>99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AACB-6AA1-4871-BEA4-BC3F477E783F}">
  <sheetPr codeName="工作表2"/>
  <dimension ref="B3:D20"/>
  <sheetViews>
    <sheetView workbookViewId="0">
      <selection activeCell="B24" sqref="B24"/>
    </sheetView>
  </sheetViews>
  <sheetFormatPr defaultRowHeight="16.2"/>
  <cols>
    <col min="2" max="2" width="61.109375" customWidth="1"/>
    <col min="3" max="3" width="13.44140625" customWidth="1"/>
  </cols>
  <sheetData>
    <row r="3" spans="2:4">
      <c r="B3" s="26" t="s">
        <v>266</v>
      </c>
      <c r="C3" s="26"/>
      <c r="D3" s="26"/>
    </row>
    <row r="4" spans="2:4">
      <c r="B4" s="172" t="s">
        <v>267</v>
      </c>
      <c r="C4" s="16" t="s">
        <v>259</v>
      </c>
      <c r="D4" s="26"/>
    </row>
    <row r="5" spans="2:4">
      <c r="B5" s="44" t="s">
        <v>268</v>
      </c>
      <c r="C5" s="173">
        <v>1500</v>
      </c>
      <c r="D5" s="174"/>
    </row>
    <row r="6" spans="2:4">
      <c r="B6" s="44" t="s">
        <v>269</v>
      </c>
      <c r="C6" s="62">
        <v>1200</v>
      </c>
      <c r="D6" s="174"/>
    </row>
    <row r="7" spans="2:4">
      <c r="B7" s="26"/>
      <c r="C7" s="66"/>
      <c r="D7" s="66"/>
    </row>
    <row r="9" spans="2:4">
      <c r="B9" s="26" t="s">
        <v>270</v>
      </c>
      <c r="C9" s="26"/>
      <c r="D9" s="26"/>
    </row>
    <row r="10" spans="2:4">
      <c r="B10" s="172" t="s">
        <v>267</v>
      </c>
      <c r="C10" s="16" t="s">
        <v>259</v>
      </c>
      <c r="D10" s="26"/>
    </row>
    <row r="11" spans="2:4">
      <c r="B11" s="44" t="s">
        <v>275</v>
      </c>
      <c r="C11" s="173">
        <v>800</v>
      </c>
      <c r="D11" s="174"/>
    </row>
    <row r="12" spans="2:4">
      <c r="B12" s="44" t="s">
        <v>277</v>
      </c>
      <c r="C12" s="62">
        <v>300</v>
      </c>
      <c r="D12" s="174"/>
    </row>
    <row r="13" spans="2:4">
      <c r="B13" s="44" t="s">
        <v>276</v>
      </c>
      <c r="C13" s="62">
        <v>400</v>
      </c>
      <c r="D13" s="174"/>
    </row>
    <row r="14" spans="2:4">
      <c r="B14" s="26"/>
      <c r="C14" s="66"/>
      <c r="D14" s="66"/>
    </row>
    <row r="16" spans="2:4">
      <c r="B16" s="26" t="s">
        <v>271</v>
      </c>
      <c r="C16" s="26"/>
    </row>
    <row r="17" spans="2:3">
      <c r="B17" s="172" t="s">
        <v>267</v>
      </c>
      <c r="C17" s="16" t="s">
        <v>259</v>
      </c>
    </row>
    <row r="18" spans="2:3">
      <c r="B18" s="44" t="s">
        <v>275</v>
      </c>
      <c r="C18" s="173">
        <v>400</v>
      </c>
    </row>
    <row r="19" spans="2:3">
      <c r="B19" s="44" t="s">
        <v>277</v>
      </c>
      <c r="C19" s="62">
        <v>0</v>
      </c>
    </row>
    <row r="20" spans="2:3">
      <c r="B20" s="44" t="s">
        <v>276</v>
      </c>
      <c r="C20" s="62">
        <v>800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3E63-B105-4C32-9DF1-CC1A9768C13D}">
  <sheetPr codeName="工作表3"/>
  <dimension ref="A2:G68"/>
  <sheetViews>
    <sheetView workbookViewId="0"/>
  </sheetViews>
  <sheetFormatPr defaultColWidth="8.88671875" defaultRowHeight="16.2"/>
  <cols>
    <col min="1" max="1" width="8.88671875" style="11"/>
    <col min="2" max="2" width="27.109375" style="26" bestFit="1" customWidth="1"/>
    <col min="3" max="7" width="19.44140625" style="26" bestFit="1" customWidth="1"/>
  </cols>
  <sheetData>
    <row r="2" spans="2:7">
      <c r="B2" s="26" t="s">
        <v>25</v>
      </c>
      <c r="C2" s="26" t="s">
        <v>118</v>
      </c>
      <c r="D2" s="26" t="s">
        <v>118</v>
      </c>
      <c r="E2" s="26" t="s">
        <v>119</v>
      </c>
      <c r="F2" s="26" t="s">
        <v>119</v>
      </c>
      <c r="G2" s="26" t="s">
        <v>119</v>
      </c>
    </row>
    <row r="3" spans="2:7">
      <c r="B3" s="16" t="s">
        <v>120</v>
      </c>
      <c r="C3" s="16" t="s">
        <v>121</v>
      </c>
      <c r="D3" s="16" t="s">
        <v>122</v>
      </c>
      <c r="E3" s="16" t="s">
        <v>121</v>
      </c>
      <c r="F3" s="16" t="s">
        <v>122</v>
      </c>
      <c r="G3" s="16" t="s">
        <v>123</v>
      </c>
    </row>
    <row r="4" spans="2:7">
      <c r="B4" s="29" t="s">
        <v>124</v>
      </c>
      <c r="C4" s="62" cm="1">
        <f t="array" ref="C4:C68">_xlfn.ANCHORARRAY(Multiplier_Weight_Newbie!L15)</f>
        <v>691253713</v>
      </c>
      <c r="D4" s="62" cm="1">
        <f t="array" ref="D4:D67">_xlfn.ANCHORARRAY(Multiplier_Weight_Newbie!L87)</f>
        <v>0</v>
      </c>
      <c r="E4" s="43" cm="1">
        <f t="array" ref="E4:E68">_xlfn.ANCHORARRAY(Multiplier_Weight_Oldhand!L15)</f>
        <v>706833174</v>
      </c>
      <c r="F4" s="43" cm="1">
        <f t="array" ref="F4:F67">_xlfn.ANCHORARRAY(Multiplier_Weight_Oldhand!L87)</f>
        <v>0</v>
      </c>
      <c r="G4" s="43" cm="1">
        <f t="array" ref="G4:G67">_xlfn.ANCHORARRAY(Multiplier_Weight_Oldhand!L157)</f>
        <v>0</v>
      </c>
    </row>
    <row r="5" spans="2:7">
      <c r="B5" s="29" t="s">
        <v>125</v>
      </c>
      <c r="C5" s="62">
        <v>183427816</v>
      </c>
      <c r="D5" s="62">
        <v>0</v>
      </c>
      <c r="E5" s="43">
        <v>197850114</v>
      </c>
      <c r="F5" s="43">
        <v>0</v>
      </c>
      <c r="G5" s="43">
        <v>0</v>
      </c>
    </row>
    <row r="6" spans="2:7">
      <c r="B6" s="29" t="s">
        <v>126</v>
      </c>
      <c r="C6" s="62">
        <v>45729236</v>
      </c>
      <c r="D6" s="62">
        <v>0</v>
      </c>
      <c r="E6" s="43">
        <v>36993576</v>
      </c>
      <c r="F6" s="43">
        <v>0</v>
      </c>
      <c r="G6" s="43">
        <v>0</v>
      </c>
    </row>
    <row r="7" spans="2:7">
      <c r="B7" s="29" t="s">
        <v>127</v>
      </c>
      <c r="C7" s="62">
        <v>18697578</v>
      </c>
      <c r="D7" s="62">
        <v>0</v>
      </c>
      <c r="E7" s="43">
        <v>12449200</v>
      </c>
      <c r="F7" s="43">
        <v>0</v>
      </c>
      <c r="G7" s="43">
        <v>0</v>
      </c>
    </row>
    <row r="8" spans="2:7">
      <c r="B8" s="29" t="s">
        <v>128</v>
      </c>
      <c r="C8" s="62">
        <v>13283710</v>
      </c>
      <c r="D8" s="62">
        <v>0</v>
      </c>
      <c r="E8" s="43">
        <v>7164081</v>
      </c>
      <c r="F8" s="43">
        <v>0</v>
      </c>
      <c r="G8" s="43">
        <v>0</v>
      </c>
    </row>
    <row r="9" spans="2:7">
      <c r="B9" s="29" t="s">
        <v>129</v>
      </c>
      <c r="C9" s="62">
        <v>9169344</v>
      </c>
      <c r="D9" s="62">
        <v>0</v>
      </c>
      <c r="E9" s="43">
        <v>4945149</v>
      </c>
      <c r="F9" s="43">
        <v>0</v>
      </c>
      <c r="G9" s="43">
        <v>0</v>
      </c>
    </row>
    <row r="10" spans="2:7">
      <c r="B10" s="29" t="s">
        <v>130</v>
      </c>
      <c r="C10" s="62">
        <v>6408899</v>
      </c>
      <c r="D10" s="62">
        <v>0</v>
      </c>
      <c r="E10" s="43">
        <v>3456404</v>
      </c>
      <c r="F10" s="43">
        <v>0</v>
      </c>
      <c r="G10" s="43">
        <v>0</v>
      </c>
    </row>
    <row r="11" spans="2:7">
      <c r="B11" s="29" t="s">
        <v>131</v>
      </c>
      <c r="C11" s="62">
        <v>6852265</v>
      </c>
      <c r="D11" s="62">
        <v>0</v>
      </c>
      <c r="E11" s="43">
        <v>2463678</v>
      </c>
      <c r="F11" s="43">
        <v>0</v>
      </c>
      <c r="G11" s="43">
        <v>0</v>
      </c>
    </row>
    <row r="12" spans="2:7">
      <c r="B12" s="29" t="s">
        <v>132</v>
      </c>
      <c r="C12" s="62">
        <v>2551314</v>
      </c>
      <c r="D12" s="62">
        <v>0</v>
      </c>
      <c r="E12" s="43">
        <v>1289960</v>
      </c>
      <c r="F12" s="43">
        <v>0</v>
      </c>
      <c r="G12" s="43">
        <v>0</v>
      </c>
    </row>
    <row r="13" spans="2:7">
      <c r="B13" s="29" t="s">
        <v>133</v>
      </c>
      <c r="C13" s="62">
        <v>2102920</v>
      </c>
      <c r="D13" s="62">
        <v>0</v>
      </c>
      <c r="E13" s="43">
        <v>1046892</v>
      </c>
      <c r="F13" s="43">
        <v>0</v>
      </c>
      <c r="G13" s="43">
        <v>0</v>
      </c>
    </row>
    <row r="14" spans="2:7">
      <c r="B14" s="29" t="s">
        <v>134</v>
      </c>
      <c r="C14" s="62">
        <v>1719045</v>
      </c>
      <c r="D14" s="62">
        <v>0</v>
      </c>
      <c r="E14" s="43">
        <v>855788</v>
      </c>
      <c r="F14" s="43">
        <v>0</v>
      </c>
      <c r="G14" s="43">
        <v>0</v>
      </c>
    </row>
    <row r="15" spans="2:7">
      <c r="B15" s="29" t="s">
        <v>135</v>
      </c>
      <c r="C15" s="62">
        <v>1547168</v>
      </c>
      <c r="D15" s="62">
        <v>0</v>
      </c>
      <c r="E15" s="43">
        <v>2086021</v>
      </c>
      <c r="F15" s="43">
        <v>0</v>
      </c>
      <c r="G15" s="43">
        <v>0</v>
      </c>
    </row>
    <row r="16" spans="2:7">
      <c r="B16" s="29" t="s">
        <v>136</v>
      </c>
      <c r="C16" s="62">
        <v>2989200</v>
      </c>
      <c r="D16" s="62">
        <v>0</v>
      </c>
      <c r="E16" s="43">
        <v>3761602</v>
      </c>
      <c r="F16" s="43">
        <v>0</v>
      </c>
      <c r="G16" s="43">
        <v>93302689</v>
      </c>
    </row>
    <row r="17" spans="2:7">
      <c r="B17" s="29" t="s">
        <v>137</v>
      </c>
      <c r="C17" s="62">
        <v>0</v>
      </c>
      <c r="D17" s="62">
        <v>0</v>
      </c>
      <c r="E17" s="43">
        <v>952124</v>
      </c>
      <c r="F17" s="43">
        <v>0</v>
      </c>
      <c r="G17" s="43">
        <v>86051759</v>
      </c>
    </row>
    <row r="18" spans="2:7">
      <c r="B18" s="29" t="s">
        <v>138</v>
      </c>
      <c r="C18" s="62">
        <v>0</v>
      </c>
      <c r="D18" s="62">
        <v>0</v>
      </c>
      <c r="E18" s="43">
        <v>857237</v>
      </c>
      <c r="F18" s="43">
        <v>0</v>
      </c>
      <c r="G18" s="43">
        <v>79492687</v>
      </c>
    </row>
    <row r="19" spans="2:7">
      <c r="B19" s="29" t="s">
        <v>139</v>
      </c>
      <c r="C19" s="62">
        <v>0</v>
      </c>
      <c r="D19" s="62">
        <v>0</v>
      </c>
      <c r="E19" s="43">
        <v>1966528</v>
      </c>
      <c r="F19" s="43">
        <v>0</v>
      </c>
      <c r="G19" s="43">
        <v>73767608</v>
      </c>
    </row>
    <row r="20" spans="2:7">
      <c r="B20" s="29" t="s">
        <v>140</v>
      </c>
      <c r="C20" s="62">
        <v>0</v>
      </c>
      <c r="D20" s="62">
        <v>0</v>
      </c>
      <c r="E20" s="43">
        <v>664824</v>
      </c>
      <c r="F20" s="43">
        <v>0</v>
      </c>
      <c r="G20" s="43">
        <v>68036259</v>
      </c>
    </row>
    <row r="21" spans="2:7">
      <c r="B21" s="29" t="s">
        <v>141</v>
      </c>
      <c r="C21" s="62">
        <v>0</v>
      </c>
      <c r="D21" s="62">
        <v>191675100</v>
      </c>
      <c r="E21" s="43">
        <v>0</v>
      </c>
      <c r="F21" s="43">
        <v>191675100</v>
      </c>
      <c r="G21" s="43">
        <v>77729388</v>
      </c>
    </row>
    <row r="22" spans="2:7">
      <c r="B22" s="29" t="s">
        <v>142</v>
      </c>
      <c r="C22" s="62">
        <v>0</v>
      </c>
      <c r="D22" s="62">
        <v>177860539</v>
      </c>
      <c r="E22" s="43">
        <v>0</v>
      </c>
      <c r="F22" s="43">
        <v>177860539</v>
      </c>
      <c r="G22" s="43">
        <v>72127213</v>
      </c>
    </row>
    <row r="23" spans="2:7">
      <c r="B23" s="29" t="s">
        <v>143</v>
      </c>
      <c r="C23" s="62">
        <v>0</v>
      </c>
      <c r="D23" s="62">
        <v>162015699</v>
      </c>
      <c r="E23" s="43">
        <v>0</v>
      </c>
      <c r="F23" s="43">
        <v>162015699</v>
      </c>
      <c r="G23" s="43">
        <v>87602275</v>
      </c>
    </row>
    <row r="24" spans="2:7">
      <c r="B24" s="29" t="s">
        <v>144</v>
      </c>
      <c r="C24" s="62">
        <v>0</v>
      </c>
      <c r="D24" s="62">
        <v>134034744</v>
      </c>
      <c r="E24" s="43">
        <v>0</v>
      </c>
      <c r="F24" s="43">
        <v>134034744</v>
      </c>
      <c r="G24" s="43">
        <v>69884588</v>
      </c>
    </row>
    <row r="25" spans="2:7">
      <c r="B25" s="29" t="s">
        <v>145</v>
      </c>
      <c r="C25" s="62">
        <v>0</v>
      </c>
      <c r="D25" s="62">
        <v>103036152</v>
      </c>
      <c r="E25" s="43">
        <v>0</v>
      </c>
      <c r="F25" s="43">
        <v>103036152</v>
      </c>
      <c r="G25" s="43">
        <v>55711893</v>
      </c>
    </row>
    <row r="26" spans="2:7">
      <c r="B26" s="29" t="s">
        <v>146</v>
      </c>
      <c r="C26" s="62">
        <v>0</v>
      </c>
      <c r="D26" s="62">
        <v>92606730</v>
      </c>
      <c r="E26" s="43">
        <v>0</v>
      </c>
      <c r="F26" s="43">
        <v>92606730</v>
      </c>
      <c r="G26" s="43">
        <v>25036340</v>
      </c>
    </row>
    <row r="27" spans="2:7">
      <c r="B27" s="29" t="s">
        <v>147</v>
      </c>
      <c r="C27" s="62">
        <v>0</v>
      </c>
      <c r="D27" s="62">
        <v>64591468</v>
      </c>
      <c r="E27" s="43">
        <v>0</v>
      </c>
      <c r="F27" s="43">
        <v>64591468</v>
      </c>
      <c r="G27" s="43">
        <v>22532104</v>
      </c>
    </row>
    <row r="28" spans="2:7">
      <c r="B28" s="29" t="s">
        <v>148</v>
      </c>
      <c r="C28" s="62">
        <v>0</v>
      </c>
      <c r="D28" s="62">
        <v>45886114</v>
      </c>
      <c r="E28" s="43">
        <v>0</v>
      </c>
      <c r="F28" s="43">
        <v>45886114</v>
      </c>
      <c r="G28" s="43">
        <v>39174839</v>
      </c>
    </row>
    <row r="29" spans="2:7">
      <c r="B29" s="29" t="s">
        <v>149</v>
      </c>
      <c r="C29" s="62">
        <v>0</v>
      </c>
      <c r="D29" s="62">
        <v>28293449</v>
      </c>
      <c r="E29" s="43">
        <v>0</v>
      </c>
      <c r="F29" s="43">
        <v>28293449</v>
      </c>
      <c r="G29" s="43">
        <v>32782148</v>
      </c>
    </row>
    <row r="30" spans="2:7">
      <c r="B30" s="29" t="s">
        <v>150</v>
      </c>
      <c r="C30" s="62">
        <v>0</v>
      </c>
      <c r="D30" s="62">
        <v>0</v>
      </c>
      <c r="E30" s="43">
        <v>0</v>
      </c>
      <c r="F30" s="43">
        <v>0</v>
      </c>
      <c r="G30" s="43">
        <v>34727964</v>
      </c>
    </row>
    <row r="31" spans="2:7">
      <c r="B31" s="29" t="s">
        <v>151</v>
      </c>
      <c r="C31" s="62">
        <v>0</v>
      </c>
      <c r="D31" s="62">
        <v>0</v>
      </c>
      <c r="E31" s="43">
        <v>0</v>
      </c>
      <c r="F31" s="43">
        <v>0</v>
      </c>
      <c r="G31" s="43">
        <v>18459343</v>
      </c>
    </row>
    <row r="32" spans="2:7">
      <c r="B32" s="29" t="s">
        <v>152</v>
      </c>
      <c r="C32" s="62">
        <v>0</v>
      </c>
      <c r="D32" s="62">
        <v>0</v>
      </c>
      <c r="E32" s="43">
        <v>0</v>
      </c>
      <c r="F32" s="43">
        <v>0</v>
      </c>
      <c r="G32" s="43">
        <v>15513521</v>
      </c>
    </row>
    <row r="33" spans="2:7">
      <c r="B33" s="29" t="s">
        <v>153</v>
      </c>
      <c r="C33" s="62">
        <v>0</v>
      </c>
      <c r="D33" s="62">
        <v>0</v>
      </c>
      <c r="E33" s="43">
        <v>0</v>
      </c>
      <c r="F33" s="43">
        <v>0</v>
      </c>
      <c r="G33" s="43">
        <v>25815109</v>
      </c>
    </row>
    <row r="34" spans="2:7">
      <c r="B34" s="29" t="s">
        <v>154</v>
      </c>
      <c r="C34" s="62">
        <v>0</v>
      </c>
      <c r="D34" s="62">
        <v>0</v>
      </c>
      <c r="E34" s="43">
        <v>0</v>
      </c>
      <c r="F34" s="43">
        <v>0</v>
      </c>
      <c r="G34" s="43">
        <v>3430193</v>
      </c>
    </row>
    <row r="35" spans="2:7">
      <c r="B35" s="29" t="s">
        <v>155</v>
      </c>
      <c r="C35" s="62">
        <v>0</v>
      </c>
      <c r="D35" s="62">
        <v>0</v>
      </c>
      <c r="E35" s="43">
        <v>0</v>
      </c>
      <c r="F35" s="43">
        <v>0</v>
      </c>
      <c r="G35" s="43">
        <v>8226739</v>
      </c>
    </row>
    <row r="36" spans="2:7">
      <c r="B36" s="29" t="s">
        <v>156</v>
      </c>
      <c r="C36" s="62">
        <v>0</v>
      </c>
      <c r="D36" s="62">
        <v>0</v>
      </c>
      <c r="E36" s="43">
        <v>0</v>
      </c>
      <c r="F36" s="43">
        <v>0</v>
      </c>
      <c r="G36" s="43">
        <v>1812327</v>
      </c>
    </row>
    <row r="37" spans="2:7">
      <c r="B37" s="29" t="s">
        <v>157</v>
      </c>
      <c r="C37" s="62">
        <v>0</v>
      </c>
      <c r="D37" s="62">
        <v>0</v>
      </c>
      <c r="E37" s="43">
        <v>0</v>
      </c>
      <c r="F37" s="43">
        <v>0</v>
      </c>
      <c r="G37" s="43">
        <v>1448095</v>
      </c>
    </row>
    <row r="38" spans="2:7">
      <c r="B38" s="29" t="s">
        <v>158</v>
      </c>
      <c r="C38" s="62">
        <v>0</v>
      </c>
      <c r="D38" s="62">
        <v>0</v>
      </c>
      <c r="E38" s="43">
        <v>0</v>
      </c>
      <c r="F38" s="43">
        <v>0</v>
      </c>
      <c r="G38" s="43">
        <v>1172088</v>
      </c>
    </row>
    <row r="39" spans="2:7">
      <c r="B39" s="29" t="s">
        <v>159</v>
      </c>
      <c r="C39" s="62">
        <v>0</v>
      </c>
      <c r="D39" s="62">
        <v>0</v>
      </c>
      <c r="E39" s="43">
        <v>0</v>
      </c>
      <c r="F39" s="43">
        <v>0</v>
      </c>
      <c r="G39" s="43">
        <v>2942803</v>
      </c>
    </row>
    <row r="40" spans="2:7">
      <c r="B40" s="29" t="s">
        <v>160</v>
      </c>
      <c r="C40" s="62">
        <v>0</v>
      </c>
      <c r="D40" s="62">
        <v>0</v>
      </c>
      <c r="E40" s="43">
        <v>0</v>
      </c>
      <c r="F40" s="43">
        <v>0</v>
      </c>
      <c r="G40" s="43">
        <v>540525</v>
      </c>
    </row>
    <row r="41" spans="2:7">
      <c r="B41" s="29" t="s">
        <v>161</v>
      </c>
      <c r="C41" s="62">
        <v>0</v>
      </c>
      <c r="D41" s="62">
        <v>0</v>
      </c>
      <c r="E41" s="43">
        <v>0</v>
      </c>
      <c r="F41" s="43">
        <v>0</v>
      </c>
      <c r="G41" s="43">
        <v>450096</v>
      </c>
    </row>
    <row r="42" spans="2:7">
      <c r="B42" s="29" t="s">
        <v>162</v>
      </c>
      <c r="C42" s="62">
        <v>0</v>
      </c>
      <c r="D42" s="62">
        <v>0</v>
      </c>
      <c r="E42" s="43">
        <v>0</v>
      </c>
      <c r="F42" s="43">
        <v>0</v>
      </c>
      <c r="G42" s="43">
        <v>409421</v>
      </c>
    </row>
    <row r="43" spans="2:7">
      <c r="B43" s="29" t="s">
        <v>163</v>
      </c>
      <c r="C43" s="62">
        <v>0</v>
      </c>
      <c r="D43" s="62">
        <v>0</v>
      </c>
      <c r="E43" s="43">
        <v>0</v>
      </c>
      <c r="F43" s="43">
        <v>0</v>
      </c>
      <c r="G43" s="43">
        <v>350101</v>
      </c>
    </row>
    <row r="44" spans="2:7">
      <c r="B44" s="29" t="s">
        <v>164</v>
      </c>
      <c r="C44" s="62">
        <v>0</v>
      </c>
      <c r="D44" s="62">
        <v>0</v>
      </c>
      <c r="E44" s="43">
        <v>0</v>
      </c>
      <c r="F44" s="43">
        <v>0</v>
      </c>
      <c r="G44" s="43">
        <v>293239</v>
      </c>
    </row>
    <row r="45" spans="2:7">
      <c r="B45" s="29" t="s">
        <v>165</v>
      </c>
      <c r="C45" s="62">
        <v>0</v>
      </c>
      <c r="D45" s="62">
        <v>0</v>
      </c>
      <c r="E45" s="43">
        <v>0</v>
      </c>
      <c r="F45" s="43">
        <v>0</v>
      </c>
      <c r="G45" s="43">
        <v>279878</v>
      </c>
    </row>
    <row r="46" spans="2:7">
      <c r="B46" s="29" t="s">
        <v>166</v>
      </c>
      <c r="C46" s="62">
        <v>0</v>
      </c>
      <c r="D46" s="62">
        <v>0</v>
      </c>
      <c r="E46" s="43">
        <v>0</v>
      </c>
      <c r="F46" s="43">
        <v>0</v>
      </c>
      <c r="G46" s="43">
        <v>250051</v>
      </c>
    </row>
    <row r="47" spans="2:7">
      <c r="B47" s="29" t="s">
        <v>167</v>
      </c>
      <c r="C47" s="62">
        <v>0</v>
      </c>
      <c r="D47" s="62">
        <v>0</v>
      </c>
      <c r="E47" s="43">
        <v>0</v>
      </c>
      <c r="F47" s="43">
        <v>0</v>
      </c>
      <c r="G47" s="43">
        <v>236120</v>
      </c>
    </row>
    <row r="48" spans="2:7">
      <c r="B48" s="29" t="s">
        <v>168</v>
      </c>
      <c r="C48" s="62">
        <v>0</v>
      </c>
      <c r="D48" s="62">
        <v>0</v>
      </c>
      <c r="E48" s="43">
        <v>0</v>
      </c>
      <c r="F48" s="43">
        <v>0</v>
      </c>
      <c r="G48" s="43">
        <v>218117</v>
      </c>
    </row>
    <row r="49" spans="2:7">
      <c r="B49" s="29" t="s">
        <v>169</v>
      </c>
      <c r="C49" s="62">
        <v>0</v>
      </c>
      <c r="D49" s="62">
        <v>0</v>
      </c>
      <c r="E49" s="43">
        <v>0</v>
      </c>
      <c r="F49" s="43">
        <v>0</v>
      </c>
      <c r="G49" s="43">
        <v>189920</v>
      </c>
    </row>
    <row r="50" spans="2:7">
      <c r="B50" s="29" t="s">
        <v>170</v>
      </c>
      <c r="C50" s="62">
        <v>0</v>
      </c>
      <c r="D50" s="62">
        <v>0</v>
      </c>
      <c r="E50" s="43">
        <v>0</v>
      </c>
      <c r="F50" s="43">
        <v>0</v>
      </c>
      <c r="G50" s="43">
        <v>2544</v>
      </c>
    </row>
    <row r="51" spans="2:7">
      <c r="B51" s="29" t="s">
        <v>171</v>
      </c>
      <c r="C51" s="62">
        <v>0</v>
      </c>
      <c r="D51" s="62">
        <v>0</v>
      </c>
      <c r="E51" s="43">
        <v>0</v>
      </c>
      <c r="F51" s="43">
        <v>0</v>
      </c>
      <c r="G51" s="43">
        <v>0</v>
      </c>
    </row>
    <row r="52" spans="2:7">
      <c r="B52" s="29" t="s">
        <v>172</v>
      </c>
      <c r="C52" s="62">
        <v>0</v>
      </c>
      <c r="D52" s="62">
        <v>0</v>
      </c>
      <c r="E52" s="43">
        <v>0</v>
      </c>
      <c r="F52" s="43">
        <v>0</v>
      </c>
      <c r="G52" s="43">
        <v>0</v>
      </c>
    </row>
    <row r="53" spans="2:7">
      <c r="B53" s="29" t="s">
        <v>173</v>
      </c>
      <c r="C53" s="62">
        <v>0</v>
      </c>
      <c r="D53" s="62">
        <v>0</v>
      </c>
      <c r="E53" s="43">
        <v>0</v>
      </c>
      <c r="F53" s="43">
        <v>0</v>
      </c>
      <c r="G53" s="43">
        <v>0</v>
      </c>
    </row>
    <row r="54" spans="2:7">
      <c r="B54" s="29" t="s">
        <v>174</v>
      </c>
      <c r="C54" s="62">
        <v>0</v>
      </c>
      <c r="D54" s="62">
        <v>0</v>
      </c>
      <c r="E54" s="43">
        <v>0</v>
      </c>
      <c r="F54" s="43">
        <v>0</v>
      </c>
      <c r="G54" s="43">
        <v>0</v>
      </c>
    </row>
    <row r="55" spans="2:7">
      <c r="B55" s="29" t="s">
        <v>175</v>
      </c>
      <c r="C55" s="62">
        <v>0</v>
      </c>
      <c r="D55" s="62">
        <v>0</v>
      </c>
      <c r="E55" s="43">
        <v>0</v>
      </c>
      <c r="F55" s="43">
        <v>0</v>
      </c>
      <c r="G55" s="43">
        <v>0</v>
      </c>
    </row>
    <row r="56" spans="2:7">
      <c r="B56" s="29" t="s">
        <v>176</v>
      </c>
      <c r="C56" s="62">
        <v>0</v>
      </c>
      <c r="D56" s="62">
        <v>0</v>
      </c>
      <c r="E56" s="43">
        <v>0</v>
      </c>
      <c r="F56" s="43">
        <v>0</v>
      </c>
      <c r="G56" s="43">
        <v>0</v>
      </c>
    </row>
    <row r="57" spans="2:7">
      <c r="B57" s="29" t="s">
        <v>177</v>
      </c>
      <c r="C57" s="62">
        <v>0</v>
      </c>
      <c r="D57" s="62">
        <v>0</v>
      </c>
      <c r="E57" s="43">
        <v>0</v>
      </c>
      <c r="F57" s="43">
        <v>0</v>
      </c>
      <c r="G57" s="43">
        <v>0</v>
      </c>
    </row>
    <row r="58" spans="2:7">
      <c r="B58" s="29" t="s">
        <v>178</v>
      </c>
      <c r="C58" s="62">
        <v>0</v>
      </c>
      <c r="D58" s="62">
        <v>0</v>
      </c>
      <c r="E58" s="43">
        <v>0</v>
      </c>
      <c r="F58" s="43">
        <v>0</v>
      </c>
      <c r="G58" s="43">
        <v>0</v>
      </c>
    </row>
    <row r="59" spans="2:7">
      <c r="B59" s="29" t="s">
        <v>179</v>
      </c>
      <c r="C59" s="62">
        <v>0</v>
      </c>
      <c r="D59" s="62">
        <v>0</v>
      </c>
      <c r="E59" s="43">
        <v>0</v>
      </c>
      <c r="F59" s="43">
        <v>0</v>
      </c>
      <c r="G59" s="43">
        <v>0</v>
      </c>
    </row>
    <row r="60" spans="2:7">
      <c r="B60" s="29" t="s">
        <v>180</v>
      </c>
      <c r="C60" s="62">
        <v>0</v>
      </c>
      <c r="D60" s="62">
        <v>0</v>
      </c>
      <c r="E60" s="43">
        <v>0</v>
      </c>
      <c r="F60" s="43">
        <v>0</v>
      </c>
      <c r="G60" s="43">
        <v>0</v>
      </c>
    </row>
    <row r="61" spans="2:7">
      <c r="B61" s="29" t="s">
        <v>181</v>
      </c>
      <c r="C61" s="62">
        <v>0</v>
      </c>
      <c r="D61" s="62">
        <v>0</v>
      </c>
      <c r="E61" s="43">
        <v>0</v>
      </c>
      <c r="F61" s="43">
        <v>0</v>
      </c>
      <c r="G61" s="43">
        <v>0</v>
      </c>
    </row>
    <row r="62" spans="2:7">
      <c r="B62" s="29" t="s">
        <v>182</v>
      </c>
      <c r="C62" s="62">
        <v>0</v>
      </c>
      <c r="D62" s="62">
        <v>0</v>
      </c>
      <c r="E62" s="43">
        <v>0</v>
      </c>
      <c r="F62" s="43">
        <v>0</v>
      </c>
      <c r="G62" s="43">
        <v>0</v>
      </c>
    </row>
    <row r="63" spans="2:7">
      <c r="B63" s="29" t="s">
        <v>183</v>
      </c>
      <c r="C63" s="62">
        <v>0</v>
      </c>
      <c r="D63" s="62">
        <v>0</v>
      </c>
      <c r="E63" s="43">
        <v>0</v>
      </c>
      <c r="F63" s="43">
        <v>0</v>
      </c>
      <c r="G63" s="43">
        <v>0</v>
      </c>
    </row>
    <row r="64" spans="2:7">
      <c r="B64" s="29" t="s">
        <v>184</v>
      </c>
      <c r="C64" s="62">
        <v>0</v>
      </c>
      <c r="D64" s="62">
        <v>0</v>
      </c>
      <c r="E64" s="43">
        <v>0</v>
      </c>
      <c r="F64" s="43">
        <v>0</v>
      </c>
      <c r="G64" s="43">
        <v>0</v>
      </c>
    </row>
    <row r="65" spans="2:7">
      <c r="B65" s="29" t="s">
        <v>185</v>
      </c>
      <c r="C65" s="62">
        <v>0</v>
      </c>
      <c r="D65" s="62">
        <v>0</v>
      </c>
      <c r="E65" s="43">
        <v>0</v>
      </c>
      <c r="F65" s="43">
        <v>0</v>
      </c>
      <c r="G65" s="43">
        <v>0</v>
      </c>
    </row>
    <row r="66" spans="2:7">
      <c r="B66" s="29" t="s">
        <v>186</v>
      </c>
      <c r="C66" s="62">
        <v>0</v>
      </c>
      <c r="D66" s="62">
        <v>0</v>
      </c>
      <c r="E66" s="43">
        <v>0</v>
      </c>
      <c r="F66" s="43">
        <v>0</v>
      </c>
      <c r="G66" s="43">
        <v>0</v>
      </c>
    </row>
    <row r="67" spans="2:7">
      <c r="B67" s="29" t="s">
        <v>187</v>
      </c>
      <c r="C67" s="62">
        <v>0</v>
      </c>
      <c r="D67" s="62">
        <v>0</v>
      </c>
      <c r="E67" s="43">
        <v>0</v>
      </c>
      <c r="F67" s="43">
        <v>0</v>
      </c>
      <c r="G67" s="43">
        <v>0</v>
      </c>
    </row>
    <row r="68" spans="2:7">
      <c r="B68" s="29" t="s">
        <v>188</v>
      </c>
      <c r="C68" s="62">
        <v>6853371</v>
      </c>
      <c r="D68" s="44"/>
      <c r="E68" s="43">
        <v>6396479</v>
      </c>
      <c r="F68" s="44"/>
      <c r="G68" s="44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2631-D927-4F92-B2E5-99D7025C4D9B}">
  <sheetPr codeName="工作表4"/>
  <dimension ref="A1:N150"/>
  <sheetViews>
    <sheetView workbookViewId="0"/>
  </sheetViews>
  <sheetFormatPr defaultRowHeight="15.6"/>
  <cols>
    <col min="1" max="1" width="19.77734375" style="11" bestFit="1" customWidth="1"/>
    <col min="2" max="2" width="22.88671875" style="11" bestFit="1" customWidth="1"/>
    <col min="3" max="3" width="21" style="11" bestFit="1" customWidth="1"/>
    <col min="4" max="4" width="25.5546875" style="11" bestFit="1" customWidth="1"/>
    <col min="5" max="5" width="16.21875" style="11" bestFit="1" customWidth="1"/>
    <col min="6" max="6" width="16.77734375" style="11" bestFit="1" customWidth="1"/>
    <col min="7" max="7" width="15.5546875" style="66" bestFit="1" customWidth="1"/>
    <col min="8" max="8" width="25.5546875" style="11" bestFit="1" customWidth="1"/>
    <col min="9" max="9" width="14" style="11" customWidth="1"/>
    <col min="10" max="10" width="12.44140625" style="11" customWidth="1"/>
    <col min="11" max="11" width="15.5546875" style="11" customWidth="1"/>
    <col min="12" max="12" width="15.33203125" style="11" bestFit="1" customWidth="1"/>
    <col min="13" max="13" width="12.44140625" style="11" bestFit="1" customWidth="1"/>
    <col min="14" max="14" width="19.77734375" style="11" bestFit="1" customWidth="1"/>
    <col min="15" max="16384" width="8.88671875" style="11"/>
  </cols>
  <sheetData>
    <row r="1" spans="1:14">
      <c r="A1" s="12"/>
      <c r="B1" s="12"/>
      <c r="C1" s="1"/>
      <c r="F1" s="1"/>
      <c r="H1" s="13"/>
      <c r="I1" s="12"/>
      <c r="J1" s="12"/>
      <c r="K1" s="12"/>
      <c r="L1" s="12"/>
      <c r="M1" s="12"/>
      <c r="N1" s="12"/>
    </row>
    <row r="2" spans="1:14">
      <c r="A2" s="12" t="s">
        <v>61</v>
      </c>
      <c r="B2" s="71">
        <v>1000000000</v>
      </c>
      <c r="C2" s="1"/>
      <c r="F2" s="72"/>
      <c r="G2" s="72"/>
      <c r="K2" s="12"/>
      <c r="L2" s="12"/>
      <c r="M2" s="12"/>
      <c r="N2" s="12"/>
    </row>
    <row r="3" spans="1:14">
      <c r="A3" s="12" t="s">
        <v>199</v>
      </c>
      <c r="B3" s="71">
        <f>Overview!A7</f>
        <v>100</v>
      </c>
      <c r="C3" s="1"/>
      <c r="F3" s="72"/>
      <c r="G3" s="73"/>
    </row>
    <row r="4" spans="1:14">
      <c r="F4" s="72"/>
      <c r="G4" s="72"/>
      <c r="I4" s="1"/>
      <c r="L4" s="74"/>
      <c r="M4" s="75"/>
      <c r="N4" s="76"/>
    </row>
    <row r="5" spans="1:14">
      <c r="A5" s="12"/>
      <c r="B5" s="12"/>
      <c r="C5" s="1" t="s">
        <v>200</v>
      </c>
      <c r="I5" s="72"/>
      <c r="K5" s="78"/>
      <c r="L5" s="79"/>
      <c r="M5" s="75"/>
      <c r="N5" s="76"/>
    </row>
    <row r="6" spans="1:14">
      <c r="A6" s="80"/>
      <c r="B6" s="39" t="s">
        <v>201</v>
      </c>
      <c r="C6" s="39" t="s">
        <v>50</v>
      </c>
      <c r="D6" s="39" t="s">
        <v>202</v>
      </c>
      <c r="E6" s="39" t="s">
        <v>203</v>
      </c>
      <c r="F6" s="39" t="s">
        <v>101</v>
      </c>
      <c r="G6" s="39" t="s">
        <v>204</v>
      </c>
      <c r="H6" s="39" t="s">
        <v>205</v>
      </c>
      <c r="I6" s="81" t="s">
        <v>195</v>
      </c>
      <c r="J6" s="82" t="s">
        <v>196</v>
      </c>
      <c r="L6" s="73"/>
      <c r="M6" s="73"/>
      <c r="N6" s="83"/>
    </row>
    <row r="7" spans="1:14">
      <c r="A7" s="84" t="s">
        <v>55</v>
      </c>
      <c r="B7" s="84" cm="1">
        <f t="array" ref="B7">Overview!B11:B11</f>
        <v>1</v>
      </c>
      <c r="C7" s="85">
        <f>SUM(N15:N79)</f>
        <v>0.48883559255484144</v>
      </c>
      <c r="D7" s="85">
        <f>SUM(_xlfn.ANCHORARRAY(N87))*F7</f>
        <v>0.44628160213686763</v>
      </c>
      <c r="E7" s="86">
        <f>SUM(C7:D7)</f>
        <v>0.93511719469170906</v>
      </c>
      <c r="F7" s="87">
        <f>M79</f>
        <v>6.904564346889428E-3</v>
      </c>
      <c r="G7" s="88">
        <f>1/F7</f>
        <v>144.83173010770903</v>
      </c>
      <c r="H7" s="89">
        <f>D7*G7</f>
        <v>64.63573655272279</v>
      </c>
      <c r="I7" s="90" cm="1">
        <f t="array" ref="I7">LOOKUP(2,1/(L15:L78&lt;&gt;0),B15:B78)</f>
        <v>20</v>
      </c>
      <c r="J7" s="90" cm="1">
        <f t="array" ref="J7">LOOKUP(2,1/(_xlfn.ANCHORARRAY(L87)&lt;&gt;0),B15:B78)</f>
        <v>140</v>
      </c>
      <c r="L7" s="72"/>
      <c r="M7" s="73"/>
      <c r="N7" s="83"/>
    </row>
    <row r="8" spans="1:14">
      <c r="A8" s="146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72"/>
      <c r="M8" s="73"/>
      <c r="N8" s="83"/>
    </row>
    <row r="9" spans="1:14">
      <c r="A9" s="12"/>
      <c r="B9" s="12"/>
      <c r="C9" s="1"/>
      <c r="D9" s="94"/>
      <c r="E9" s="12"/>
      <c r="F9" s="1"/>
      <c r="H9" s="13"/>
      <c r="I9" s="12"/>
      <c r="J9" s="12"/>
      <c r="K9" s="12"/>
      <c r="L9" s="95"/>
      <c r="M9" s="72"/>
      <c r="N9" s="72"/>
    </row>
    <row r="10" spans="1:14">
      <c r="A10" s="12"/>
      <c r="B10" s="12"/>
      <c r="C10" s="1"/>
      <c r="D10" s="1"/>
      <c r="E10" s="94"/>
      <c r="F10" s="1"/>
      <c r="H10" s="13"/>
      <c r="I10" s="12"/>
      <c r="J10" s="12"/>
      <c r="K10" s="12"/>
      <c r="L10" s="95"/>
      <c r="M10" s="72"/>
      <c r="N10" s="72"/>
    </row>
    <row r="11" spans="1:14" s="30" customFormat="1">
      <c r="A11" s="183" t="s">
        <v>50</v>
      </c>
      <c r="B11" s="183"/>
      <c r="C11" s="183"/>
      <c r="D11" s="183"/>
      <c r="E11" s="96"/>
      <c r="F11" s="96"/>
      <c r="G11" s="97"/>
      <c r="H11" s="98"/>
      <c r="I11" s="99"/>
      <c r="J11" s="100"/>
      <c r="K11" s="100"/>
      <c r="L11" s="100"/>
      <c r="M11" s="100"/>
      <c r="N11" s="100"/>
    </row>
    <row r="12" spans="1:14">
      <c r="A12" s="12"/>
      <c r="B12" s="12"/>
      <c r="C12" s="1"/>
      <c r="D12" s="1"/>
      <c r="E12" s="1"/>
      <c r="F12" s="1"/>
      <c r="H12" s="13"/>
      <c r="I12" s="12"/>
      <c r="J12" s="12"/>
      <c r="K12" s="12"/>
      <c r="L12" s="12"/>
      <c r="M12" s="12"/>
      <c r="N12" s="12"/>
    </row>
    <row r="13" spans="1:14">
      <c r="A13" s="101" t="s">
        <v>206</v>
      </c>
      <c r="B13" s="102">
        <v>1000000000</v>
      </c>
      <c r="C13" s="103"/>
      <c r="D13" s="1"/>
      <c r="E13" s="1"/>
      <c r="F13" s="1"/>
      <c r="H13" s="101" t="s">
        <v>207</v>
      </c>
      <c r="I13" s="12"/>
      <c r="J13" s="12"/>
      <c r="K13" s="12"/>
      <c r="L13" s="12"/>
      <c r="M13" s="12"/>
      <c r="N13" s="12"/>
    </row>
    <row r="14" spans="1:14">
      <c r="A14" s="16" t="s">
        <v>57</v>
      </c>
      <c r="B14" s="16" t="s">
        <v>58</v>
      </c>
      <c r="C14" s="16" t="s">
        <v>208</v>
      </c>
      <c r="D14" s="16" t="s">
        <v>209</v>
      </c>
      <c r="E14" s="16" t="s">
        <v>210</v>
      </c>
      <c r="F14" s="16" t="s">
        <v>211</v>
      </c>
      <c r="H14" s="16" t="s">
        <v>60</v>
      </c>
      <c r="I14" s="16" t="s">
        <v>212</v>
      </c>
      <c r="J14" s="16" t="s">
        <v>213</v>
      </c>
      <c r="K14" s="16" t="s">
        <v>214</v>
      </c>
      <c r="L14" s="16" t="s">
        <v>215</v>
      </c>
      <c r="M14" s="16" t="s">
        <v>62</v>
      </c>
      <c r="N14" s="16" t="s">
        <v>59</v>
      </c>
    </row>
    <row r="15" spans="1:14">
      <c r="A15" s="104">
        <v>-1</v>
      </c>
      <c r="B15" s="104">
        <v>0</v>
      </c>
      <c r="C15" s="105">
        <v>65390071</v>
      </c>
      <c r="D15" s="105">
        <v>0</v>
      </c>
      <c r="E15" s="106" cm="1">
        <f t="array" ref="E15:E78">_xlfn.LET(_xlpm.x, C15:C78, _xlpm.x/SUM(_xlpm.x))</f>
        <v>0.66407190760638146</v>
      </c>
      <c r="F15" s="108" cm="1">
        <f t="array" ref="F15:F80">_xlfn.LET(_xlpm.x, D15:D80/C15:C80/B3, IF(ISERR(_xlpm.x), 0, _xlpm.x))</f>
        <v>0</v>
      </c>
      <c r="G15" s="66">
        <v>9.9999999999999995E-7</v>
      </c>
      <c r="H15" s="29" t="str">
        <f>"("&amp;$A15&amp;", "&amp;$B15&amp;"]"</f>
        <v>(-1, 0]</v>
      </c>
      <c r="I15" s="110">
        <v>0.5</v>
      </c>
      <c r="J15" s="107" cm="1">
        <f t="array" ref="J15:J79">E15:E79*I15:I79</f>
        <v>0.33203595380319073</v>
      </c>
      <c r="K15" s="107" cm="1">
        <f t="array" ref="K15:K78">J15:J78/SUM(_xlfn.ANCHORARRAY(J15))</f>
        <v>0.69125371304489969</v>
      </c>
      <c r="L15" s="111" cm="1">
        <f t="array" ref="L15:L79">INT(K15:K79*$B$2)</f>
        <v>691253713</v>
      </c>
      <c r="M15" s="107" cm="1">
        <f t="array" ref="M15:M79">_xlfn.LET(_xlpm.x, L15:L79, _xlpm.x/SUM(_xlpm.x))</f>
        <v>0.69641724363597668</v>
      </c>
      <c r="N15" s="107" cm="1">
        <f t="array" ref="N15:N79">M15:M79*F15:F79</f>
        <v>0</v>
      </c>
    </row>
    <row r="16" spans="1:14">
      <c r="A16" s="84">
        <v>0</v>
      </c>
      <c r="B16" s="84">
        <v>1</v>
      </c>
      <c r="C16" s="116">
        <v>17351600</v>
      </c>
      <c r="D16" s="116">
        <v>712785570</v>
      </c>
      <c r="E16" s="107">
        <v>0.17621498089553822</v>
      </c>
      <c r="F16" s="109">
        <v>0.41078953525899631</v>
      </c>
      <c r="G16" s="66">
        <v>0</v>
      </c>
      <c r="H16" s="29" t="str">
        <f t="shared" ref="H16:H78" si="0">"("&amp;$A16&amp;", "&amp;$B16&amp;"]"</f>
        <v>(0, 1]</v>
      </c>
      <c r="I16" s="110">
        <v>0.5</v>
      </c>
      <c r="J16" s="107">
        <v>8.810749044776911E-2</v>
      </c>
      <c r="K16" s="107">
        <v>0.1834278162394086</v>
      </c>
      <c r="L16" s="111">
        <v>183427816</v>
      </c>
      <c r="M16" s="107">
        <v>0.18479798606866521</v>
      </c>
      <c r="N16" s="107">
        <v>7.5913078813945462E-2</v>
      </c>
    </row>
    <row r="17" spans="1:14">
      <c r="A17" s="84">
        <v>1</v>
      </c>
      <c r="B17" s="84">
        <v>2</v>
      </c>
      <c r="C17" s="116">
        <v>5407273</v>
      </c>
      <c r="D17" s="116">
        <v>802609240</v>
      </c>
      <c r="E17" s="107">
        <v>5.4913812466398468E-2</v>
      </c>
      <c r="F17" s="109">
        <v>1.4843142560029796</v>
      </c>
      <c r="G17" s="117">
        <f>1+G16*G15</f>
        <v>1</v>
      </c>
      <c r="H17" s="29" t="str">
        <f t="shared" si="0"/>
        <v>(1, 2]</v>
      </c>
      <c r="I17" s="110">
        <v>0.4</v>
      </c>
      <c r="J17" s="107">
        <v>2.196552498655939E-2</v>
      </c>
      <c r="K17" s="107">
        <v>4.5729236644473856E-2</v>
      </c>
      <c r="L17" s="111">
        <v>45729236</v>
      </c>
      <c r="M17" s="107">
        <v>4.6070824488575406E-2</v>
      </c>
      <c r="N17" s="107">
        <v>6.8383581574203656E-2</v>
      </c>
    </row>
    <row r="18" spans="1:14">
      <c r="A18" s="84">
        <v>2</v>
      </c>
      <c r="B18" s="84">
        <v>3</v>
      </c>
      <c r="C18" s="116">
        <v>2729510</v>
      </c>
      <c r="D18" s="116">
        <v>691016145</v>
      </c>
      <c r="E18" s="107">
        <v>2.7719665765934008E-2</v>
      </c>
      <c r="F18" s="109">
        <v>2.5316490688804949</v>
      </c>
      <c r="G18" s="117"/>
      <c r="H18" s="29" t="str">
        <f t="shared" si="0"/>
        <v>(2, 3]</v>
      </c>
      <c r="I18" s="110">
        <v>0.32400000000000001</v>
      </c>
      <c r="J18" s="107">
        <v>8.9811717081626184E-3</v>
      </c>
      <c r="K18" s="107">
        <v>1.8697578438873132E-2</v>
      </c>
      <c r="L18" s="111">
        <v>18697578</v>
      </c>
      <c r="M18" s="107">
        <v>1.8837245266888972E-2</v>
      </c>
      <c r="N18" s="107">
        <v>4.7689294440192972E-2</v>
      </c>
    </row>
    <row r="19" spans="1:14">
      <c r="A19" s="84">
        <v>3</v>
      </c>
      <c r="B19" s="84">
        <v>4</v>
      </c>
      <c r="C19" s="116">
        <v>1570738</v>
      </c>
      <c r="D19" s="116">
        <v>556155520</v>
      </c>
      <c r="E19" s="107">
        <v>1.5951702820598442E-2</v>
      </c>
      <c r="F19" s="109">
        <v>3.5407274796942585</v>
      </c>
      <c r="G19" s="118"/>
      <c r="H19" s="29" t="str">
        <f t="shared" si="0"/>
        <v>(3, 4]</v>
      </c>
      <c r="I19" s="110">
        <v>0.4</v>
      </c>
      <c r="J19" s="107">
        <v>6.3806811282393766E-3</v>
      </c>
      <c r="K19" s="107">
        <v>1.3283710607633011E-2</v>
      </c>
      <c r="L19" s="111">
        <v>13283710</v>
      </c>
      <c r="M19" s="107">
        <v>1.3382936727111164E-2</v>
      </c>
      <c r="N19" s="107">
        <v>4.7385331828692041E-2</v>
      </c>
    </row>
    <row r="20" spans="1:14">
      <c r="A20" s="84">
        <v>4</v>
      </c>
      <c r="B20" s="84">
        <v>5</v>
      </c>
      <c r="C20" s="116">
        <v>1084233</v>
      </c>
      <c r="D20" s="116">
        <v>494968815</v>
      </c>
      <c r="E20" s="107">
        <v>1.1010978663714706E-2</v>
      </c>
      <c r="F20" s="109">
        <v>4.565151724767647</v>
      </c>
      <c r="G20" s="118"/>
      <c r="H20" s="29" t="str">
        <f t="shared" si="0"/>
        <v>(4, 5]</v>
      </c>
      <c r="I20" s="110">
        <v>0.4</v>
      </c>
      <c r="J20" s="107">
        <v>4.4043914654858822E-3</v>
      </c>
      <c r="K20" s="107">
        <v>9.1693442211532167E-3</v>
      </c>
      <c r="L20" s="111">
        <v>9169344</v>
      </c>
      <c r="M20" s="107">
        <v>9.2378372142358119E-3</v>
      </c>
      <c r="N20" s="107">
        <v>4.2172128491691371E-2</v>
      </c>
    </row>
    <row r="21" spans="1:14">
      <c r="A21" s="84">
        <v>5</v>
      </c>
      <c r="B21" s="84">
        <v>6</v>
      </c>
      <c r="C21" s="116">
        <v>757823</v>
      </c>
      <c r="D21" s="116">
        <v>422988420</v>
      </c>
      <c r="E21" s="107">
        <v>7.6961067260194723E-3</v>
      </c>
      <c r="F21" s="109">
        <v>5.5816255246937612</v>
      </c>
      <c r="G21" s="118">
        <v>1.79</v>
      </c>
      <c r="H21" s="29" t="str">
        <f t="shared" si="0"/>
        <v>(5, 6]</v>
      </c>
      <c r="I21" s="110">
        <v>0.4</v>
      </c>
      <c r="J21" s="107">
        <v>3.0784426904077889E-3</v>
      </c>
      <c r="K21" s="107">
        <v>6.4088991441018624E-3</v>
      </c>
      <c r="L21" s="111">
        <v>6408899</v>
      </c>
      <c r="M21" s="107">
        <v>6.456772227596508E-3</v>
      </c>
      <c r="N21" s="107">
        <v>3.6039284672686467E-2</v>
      </c>
    </row>
    <row r="22" spans="1:14">
      <c r="A22" s="84">
        <v>6</v>
      </c>
      <c r="B22" s="84">
        <v>7</v>
      </c>
      <c r="C22" s="116">
        <v>540166</v>
      </c>
      <c r="D22" s="116">
        <v>351987175</v>
      </c>
      <c r="E22" s="107">
        <v>5.4856809383814348E-3</v>
      </c>
      <c r="F22" s="109">
        <v>6.5162778664336516</v>
      </c>
      <c r="G22" s="118">
        <v>1.24</v>
      </c>
      <c r="H22" s="29" t="str">
        <f t="shared" si="0"/>
        <v>(6, 7]</v>
      </c>
      <c r="I22" s="110">
        <v>0.6</v>
      </c>
      <c r="J22" s="107">
        <v>3.291408563028861E-3</v>
      </c>
      <c r="K22" s="107">
        <v>6.8522651365944161E-3</v>
      </c>
      <c r="L22" s="111">
        <v>6852265</v>
      </c>
      <c r="M22" s="107">
        <v>6.9034500852847873E-3</v>
      </c>
      <c r="N22" s="107">
        <v>4.4984798992770761E-2</v>
      </c>
    </row>
    <row r="23" spans="1:14">
      <c r="A23" s="84">
        <v>7</v>
      </c>
      <c r="B23" s="84">
        <v>8</v>
      </c>
      <c r="C23" s="116">
        <v>471377</v>
      </c>
      <c r="D23" s="116">
        <v>355806505</v>
      </c>
      <c r="E23" s="107">
        <v>4.7870910492171402E-3</v>
      </c>
      <c r="F23" s="109">
        <v>7.5482364434412377</v>
      </c>
      <c r="G23" s="118">
        <v>1.02</v>
      </c>
      <c r="H23" s="29" t="str">
        <f t="shared" si="0"/>
        <v>(7, 8]</v>
      </c>
      <c r="I23" s="110">
        <v>0.25600000000000001</v>
      </c>
      <c r="J23" s="107">
        <v>1.225495308599588E-3</v>
      </c>
      <c r="K23" s="107">
        <v>2.5513146172438084E-3</v>
      </c>
      <c r="L23" s="111">
        <v>2551314</v>
      </c>
      <c r="M23" s="107">
        <v>2.5703718187910524E-3</v>
      </c>
      <c r="N23" s="107">
        <v>1.9401774235792958E-2</v>
      </c>
    </row>
    <row r="24" spans="1:14">
      <c r="A24" s="84">
        <v>8</v>
      </c>
      <c r="B24" s="84">
        <v>9</v>
      </c>
      <c r="C24" s="116">
        <v>382555</v>
      </c>
      <c r="D24" s="116">
        <v>329270680</v>
      </c>
      <c r="E24" s="107">
        <v>3.8850550967341703E-3</v>
      </c>
      <c r="F24" s="109">
        <v>8.60714616198978</v>
      </c>
      <c r="G24" s="118">
        <v>1.26</v>
      </c>
      <c r="H24" s="29" t="str">
        <f t="shared" si="0"/>
        <v>(8, 9]</v>
      </c>
      <c r="I24" s="110">
        <v>0.26</v>
      </c>
      <c r="J24" s="107">
        <v>1.0101143251508844E-3</v>
      </c>
      <c r="K24" s="107">
        <v>2.1029206923605212E-3</v>
      </c>
      <c r="L24" s="111">
        <v>2102920</v>
      </c>
      <c r="M24" s="107">
        <v>2.11862840292182E-3</v>
      </c>
      <c r="N24" s="107">
        <v>1.8235344326891081E-2</v>
      </c>
    </row>
    <row r="25" spans="1:14">
      <c r="A25" s="84">
        <v>9</v>
      </c>
      <c r="B25" s="84">
        <v>10</v>
      </c>
      <c r="C25" s="116">
        <v>312722</v>
      </c>
      <c r="D25" s="116">
        <v>299181170</v>
      </c>
      <c r="E25" s="107">
        <v>3.1758628170090657E-3</v>
      </c>
      <c r="F25" s="109">
        <v>9.5670010424594363</v>
      </c>
      <c r="G25" s="118">
        <v>1.21</v>
      </c>
      <c r="H25" s="29" t="str">
        <f t="shared" si="0"/>
        <v>(9, 10]</v>
      </c>
      <c r="I25" s="110">
        <v>0.26</v>
      </c>
      <c r="J25" s="107">
        <v>8.2572433242235712E-4</v>
      </c>
      <c r="K25" s="107">
        <v>1.7190457966994729E-3</v>
      </c>
      <c r="L25" s="111">
        <v>1719045</v>
      </c>
      <c r="M25" s="107">
        <v>1.7318859314195214E-3</v>
      </c>
      <c r="N25" s="107">
        <v>1.6568954511311393E-2</v>
      </c>
    </row>
    <row r="26" spans="1:14">
      <c r="A26" s="84">
        <v>10</v>
      </c>
      <c r="B26" s="84">
        <v>15</v>
      </c>
      <c r="C26" s="116">
        <v>914728</v>
      </c>
      <c r="D26" s="116">
        <v>1123098055</v>
      </c>
      <c r="E26" s="107">
        <v>9.2895627518277211E-3</v>
      </c>
      <c r="F26" s="109">
        <v>12.277945520416997</v>
      </c>
      <c r="G26" s="118">
        <v>0.48</v>
      </c>
      <c r="H26" s="29" t="str">
        <f t="shared" si="0"/>
        <v>(10, 15]</v>
      </c>
      <c r="I26" s="110">
        <v>0.08</v>
      </c>
      <c r="J26" s="107">
        <v>7.4316502014621765E-4</v>
      </c>
      <c r="K26" s="107">
        <v>1.5471685330970444E-3</v>
      </c>
      <c r="L26" s="111">
        <v>1547168</v>
      </c>
      <c r="M26" s="107">
        <v>1.5587250436972146E-3</v>
      </c>
      <c r="N26" s="107">
        <v>1.9137941167824003E-2</v>
      </c>
    </row>
    <row r="27" spans="1:14">
      <c r="A27" s="84">
        <v>15</v>
      </c>
      <c r="B27" s="84">
        <v>20</v>
      </c>
      <c r="C27" s="116">
        <v>471279</v>
      </c>
      <c r="D27" s="116">
        <v>819221540</v>
      </c>
      <c r="E27" s="107">
        <v>4.7860958056587495E-3</v>
      </c>
      <c r="F27" s="109">
        <v>17.382941739394287</v>
      </c>
      <c r="G27" s="118">
        <v>1.1299999999999999</v>
      </c>
      <c r="H27" s="119" t="str">
        <f t="shared" si="0"/>
        <v>(15, 20]</v>
      </c>
      <c r="I27" s="110">
        <v>0.3</v>
      </c>
      <c r="J27" s="107">
        <v>1.4358287416976249E-3</v>
      </c>
      <c r="K27" s="107">
        <v>2.9892002285492603E-3</v>
      </c>
      <c r="L27" s="111">
        <v>2989200</v>
      </c>
      <c r="M27" s="107">
        <v>3.0115287419463909E-3</v>
      </c>
      <c r="N27" s="107">
        <v>5.2349228667765486E-2</v>
      </c>
    </row>
    <row r="28" spans="1:14">
      <c r="A28" s="84">
        <v>20</v>
      </c>
      <c r="B28" s="84">
        <v>25</v>
      </c>
      <c r="C28" s="116">
        <v>278340</v>
      </c>
      <c r="D28" s="116">
        <v>623999005</v>
      </c>
      <c r="E28" s="107">
        <v>2.8266948167583457E-3</v>
      </c>
      <c r="F28" s="109">
        <v>22.418588955953151</v>
      </c>
      <c r="G28" s="118">
        <v>0.54</v>
      </c>
      <c r="H28" s="29" t="str">
        <f t="shared" si="0"/>
        <v>(20, 25]</v>
      </c>
      <c r="I28" s="110">
        <v>0</v>
      </c>
      <c r="J28" s="107">
        <v>0</v>
      </c>
      <c r="K28" s="107">
        <v>0</v>
      </c>
      <c r="L28" s="111">
        <v>0</v>
      </c>
      <c r="M28" s="107">
        <v>0</v>
      </c>
      <c r="N28" s="107">
        <v>0</v>
      </c>
    </row>
    <row r="29" spans="1:14">
      <c r="A29" s="84">
        <v>25</v>
      </c>
      <c r="B29" s="84">
        <v>30</v>
      </c>
      <c r="C29" s="116">
        <v>187951</v>
      </c>
      <c r="D29" s="116">
        <v>515280570</v>
      </c>
      <c r="E29" s="107">
        <v>1.9087451228876476E-3</v>
      </c>
      <c r="F29" s="109">
        <v>27.415686535320376</v>
      </c>
      <c r="G29" s="118">
        <v>0.2</v>
      </c>
      <c r="H29" s="29" t="str">
        <f t="shared" si="0"/>
        <v>(25, 30]</v>
      </c>
      <c r="I29" s="110">
        <v>0</v>
      </c>
      <c r="J29" s="107">
        <v>0</v>
      </c>
      <c r="K29" s="107">
        <v>0</v>
      </c>
      <c r="L29" s="111">
        <v>0</v>
      </c>
      <c r="M29" s="107">
        <v>0</v>
      </c>
      <c r="N29" s="107">
        <v>0</v>
      </c>
    </row>
    <row r="30" spans="1:14">
      <c r="A30" s="84">
        <v>30</v>
      </c>
      <c r="B30" s="84">
        <v>35</v>
      </c>
      <c r="C30" s="116">
        <v>123190</v>
      </c>
      <c r="D30" s="116">
        <v>399019550</v>
      </c>
      <c r="E30" s="107">
        <v>1.2510617750824912E-3</v>
      </c>
      <c r="F30" s="109">
        <v>32.390579592499392</v>
      </c>
      <c r="G30" s="118">
        <v>0.22</v>
      </c>
      <c r="H30" s="29" t="str">
        <f t="shared" si="0"/>
        <v>(30, 35]</v>
      </c>
      <c r="I30" s="110">
        <v>0</v>
      </c>
      <c r="J30" s="107">
        <v>0</v>
      </c>
      <c r="K30" s="107">
        <v>0</v>
      </c>
      <c r="L30" s="111">
        <v>0</v>
      </c>
      <c r="M30" s="107">
        <v>0</v>
      </c>
      <c r="N30" s="107">
        <v>0</v>
      </c>
    </row>
    <row r="31" spans="1:14">
      <c r="A31" s="84">
        <v>35</v>
      </c>
      <c r="B31" s="84">
        <v>40</v>
      </c>
      <c r="C31" s="116">
        <v>97176</v>
      </c>
      <c r="D31" s="116">
        <v>363839415</v>
      </c>
      <c r="E31" s="107">
        <v>9.8687538806247399E-4</v>
      </c>
      <c r="F31" s="109">
        <v>37.441283341565821</v>
      </c>
      <c r="G31" s="118">
        <v>0.33</v>
      </c>
      <c r="H31" s="119" t="str">
        <f t="shared" si="0"/>
        <v>(35, 40]</v>
      </c>
      <c r="I31" s="110">
        <v>0</v>
      </c>
      <c r="J31" s="107">
        <v>0</v>
      </c>
      <c r="K31" s="107">
        <v>0</v>
      </c>
      <c r="L31" s="111">
        <v>0</v>
      </c>
      <c r="M31" s="107">
        <v>0</v>
      </c>
      <c r="N31" s="107">
        <v>0</v>
      </c>
    </row>
    <row r="32" spans="1:14">
      <c r="A32" s="84">
        <v>40</v>
      </c>
      <c r="B32" s="84">
        <v>45</v>
      </c>
      <c r="C32" s="116">
        <v>69470</v>
      </c>
      <c r="D32" s="116">
        <v>294779905</v>
      </c>
      <c r="E32" s="107">
        <v>7.0550581634045513E-4</v>
      </c>
      <c r="F32" s="109">
        <v>42.432691089679004</v>
      </c>
      <c r="G32" s="118">
        <v>0.16</v>
      </c>
      <c r="H32" s="29" t="str">
        <f t="shared" si="0"/>
        <v>(40, 45]</v>
      </c>
      <c r="I32" s="110">
        <v>0</v>
      </c>
      <c r="J32" s="107">
        <v>0</v>
      </c>
      <c r="K32" s="107">
        <v>0</v>
      </c>
      <c r="L32" s="111">
        <v>0</v>
      </c>
      <c r="M32" s="107">
        <v>0</v>
      </c>
      <c r="N32" s="107">
        <v>0</v>
      </c>
    </row>
    <row r="33" spans="1:14">
      <c r="A33" s="84">
        <v>45</v>
      </c>
      <c r="B33" s="84">
        <v>50</v>
      </c>
      <c r="C33" s="116">
        <v>53505</v>
      </c>
      <c r="D33" s="116">
        <v>254189610</v>
      </c>
      <c r="E33" s="107">
        <v>5.4337251624148627E-4</v>
      </c>
      <c r="F33" s="109">
        <v>47.507636669470138</v>
      </c>
      <c r="G33" s="118">
        <v>0.2</v>
      </c>
      <c r="H33" s="29" t="str">
        <f t="shared" si="0"/>
        <v>(45, 50]</v>
      </c>
      <c r="I33" s="110">
        <v>0</v>
      </c>
      <c r="J33" s="107">
        <v>0</v>
      </c>
      <c r="K33" s="107">
        <v>0</v>
      </c>
      <c r="L33" s="111">
        <v>0</v>
      </c>
      <c r="M33" s="107">
        <v>0</v>
      </c>
      <c r="N33" s="107">
        <v>0</v>
      </c>
    </row>
    <row r="34" spans="1:14">
      <c r="A34" s="84">
        <v>50</v>
      </c>
      <c r="B34" s="84">
        <v>60</v>
      </c>
      <c r="C34" s="116">
        <v>77241</v>
      </c>
      <c r="D34" s="116">
        <v>422768085</v>
      </c>
      <c r="E34" s="107">
        <v>7.8442456830218931E-4</v>
      </c>
      <c r="F34" s="109">
        <v>54.733636928574207</v>
      </c>
      <c r="G34" s="118">
        <v>0.2</v>
      </c>
      <c r="H34" s="119" t="str">
        <f t="shared" si="0"/>
        <v>(50, 60]</v>
      </c>
      <c r="I34" s="110">
        <v>0</v>
      </c>
      <c r="J34" s="107">
        <v>0</v>
      </c>
      <c r="K34" s="107">
        <v>0</v>
      </c>
      <c r="L34" s="111">
        <v>0</v>
      </c>
      <c r="M34" s="107">
        <v>0</v>
      </c>
      <c r="N34" s="107">
        <v>0</v>
      </c>
    </row>
    <row r="35" spans="1:14">
      <c r="A35" s="84">
        <v>60</v>
      </c>
      <c r="B35" s="84">
        <v>70</v>
      </c>
      <c r="C35" s="116">
        <v>48985</v>
      </c>
      <c r="D35" s="116">
        <v>316803035</v>
      </c>
      <c r="E35" s="107">
        <v>4.9746944599736854E-4</v>
      </c>
      <c r="F35" s="109">
        <v>64.673478615902837</v>
      </c>
      <c r="G35" s="118">
        <v>0.11</v>
      </c>
      <c r="H35" s="29" t="str">
        <f t="shared" si="0"/>
        <v>(60, 70]</v>
      </c>
      <c r="I35" s="110">
        <v>0</v>
      </c>
      <c r="J35" s="107">
        <v>0</v>
      </c>
      <c r="K35" s="107">
        <v>0</v>
      </c>
      <c r="L35" s="111">
        <v>0</v>
      </c>
      <c r="M35" s="107">
        <v>0</v>
      </c>
      <c r="N35" s="107">
        <v>0</v>
      </c>
    </row>
    <row r="36" spans="1:14">
      <c r="A36" s="84">
        <v>70</v>
      </c>
      <c r="B36" s="84">
        <v>80</v>
      </c>
      <c r="C36" s="116">
        <v>35139</v>
      </c>
      <c r="D36" s="116">
        <v>262724345</v>
      </c>
      <c r="E36" s="107">
        <v>3.5685574896195842E-4</v>
      </c>
      <c r="F36" s="109">
        <v>74.767166111727704</v>
      </c>
      <c r="G36" s="118">
        <v>0.12</v>
      </c>
      <c r="H36" s="29" t="str">
        <f t="shared" si="0"/>
        <v>(70, 80]</v>
      </c>
      <c r="I36" s="110">
        <v>0</v>
      </c>
      <c r="J36" s="107">
        <v>0</v>
      </c>
      <c r="K36" s="107">
        <v>0</v>
      </c>
      <c r="L36" s="111">
        <v>0</v>
      </c>
      <c r="M36" s="107">
        <v>0</v>
      </c>
      <c r="N36" s="107">
        <v>0</v>
      </c>
    </row>
    <row r="37" spans="1:14">
      <c r="A37" s="84">
        <v>80</v>
      </c>
      <c r="B37" s="84">
        <v>90</v>
      </c>
      <c r="C37" s="116">
        <v>24609</v>
      </c>
      <c r="D37" s="116">
        <v>208575005</v>
      </c>
      <c r="E37" s="107">
        <v>2.4991784416758685E-4</v>
      </c>
      <c r="F37" s="109">
        <v>84.755579259620461</v>
      </c>
      <c r="G37" s="118">
        <v>0</v>
      </c>
      <c r="H37" s="29" t="str">
        <f t="shared" si="0"/>
        <v>(80, 90]</v>
      </c>
      <c r="I37" s="110">
        <v>0</v>
      </c>
      <c r="J37" s="107">
        <v>0</v>
      </c>
      <c r="K37" s="107">
        <v>0</v>
      </c>
      <c r="L37" s="111">
        <v>0</v>
      </c>
      <c r="M37" s="107">
        <v>0</v>
      </c>
      <c r="N37" s="107">
        <v>0</v>
      </c>
    </row>
    <row r="38" spans="1:14">
      <c r="A38" s="84">
        <v>90</v>
      </c>
      <c r="B38" s="84">
        <v>100</v>
      </c>
      <c r="C38" s="116">
        <v>17770</v>
      </c>
      <c r="D38" s="116">
        <v>168473080</v>
      </c>
      <c r="E38" s="107">
        <v>1.8046406155707338E-4</v>
      </c>
      <c r="F38" s="109">
        <v>94.807585818795729</v>
      </c>
      <c r="G38" s="118">
        <v>0</v>
      </c>
      <c r="H38" s="29" t="str">
        <f t="shared" si="0"/>
        <v>(90, 100]</v>
      </c>
      <c r="I38" s="110">
        <v>0</v>
      </c>
      <c r="J38" s="107">
        <v>0</v>
      </c>
      <c r="K38" s="107">
        <v>0</v>
      </c>
      <c r="L38" s="111">
        <v>0</v>
      </c>
      <c r="M38" s="107">
        <v>0</v>
      </c>
      <c r="N38" s="107">
        <v>0</v>
      </c>
    </row>
    <row r="39" spans="1:14">
      <c r="A39" s="84">
        <v>100</v>
      </c>
      <c r="B39" s="84">
        <v>120</v>
      </c>
      <c r="C39" s="116">
        <v>24292</v>
      </c>
      <c r="D39" s="116">
        <v>265655390</v>
      </c>
      <c r="E39" s="107">
        <v>2.4669853592259011E-4</v>
      </c>
      <c r="F39" s="109">
        <v>109.35920879301828</v>
      </c>
      <c r="G39" s="118">
        <v>0.08</v>
      </c>
      <c r="H39" s="29" t="str">
        <f t="shared" si="0"/>
        <v>(100, 120]</v>
      </c>
      <c r="I39" s="110">
        <v>0</v>
      </c>
      <c r="J39" s="107">
        <v>0</v>
      </c>
      <c r="K39" s="107">
        <v>0</v>
      </c>
      <c r="L39" s="111">
        <v>0</v>
      </c>
      <c r="M39" s="107">
        <v>0</v>
      </c>
      <c r="N39" s="107">
        <v>0</v>
      </c>
    </row>
    <row r="40" spans="1:14">
      <c r="A40" s="84">
        <v>120</v>
      </c>
      <c r="B40" s="84">
        <v>140</v>
      </c>
      <c r="C40" s="116">
        <v>13953</v>
      </c>
      <c r="D40" s="116">
        <v>180188385</v>
      </c>
      <c r="E40" s="107">
        <v>1.4170034051242796E-4</v>
      </c>
      <c r="F40" s="109">
        <v>129.13952913351969</v>
      </c>
      <c r="G40" s="118">
        <v>0</v>
      </c>
      <c r="H40" s="29" t="str">
        <f t="shared" si="0"/>
        <v>(120, 140]</v>
      </c>
      <c r="I40" s="110">
        <v>0</v>
      </c>
      <c r="J40" s="107">
        <v>0</v>
      </c>
      <c r="K40" s="107">
        <v>0</v>
      </c>
      <c r="L40" s="111">
        <v>0</v>
      </c>
      <c r="M40" s="107">
        <v>0</v>
      </c>
      <c r="N40" s="107">
        <v>0</v>
      </c>
    </row>
    <row r="41" spans="1:14">
      <c r="A41" s="84">
        <v>140</v>
      </c>
      <c r="B41" s="84">
        <v>160</v>
      </c>
      <c r="C41" s="116">
        <v>9263</v>
      </c>
      <c r="D41" s="116">
        <v>138471420</v>
      </c>
      <c r="E41" s="107">
        <v>9.4070827360898744E-5</v>
      </c>
      <c r="F41" s="109">
        <v>149.48874014897982</v>
      </c>
      <c r="G41" s="118">
        <v>0</v>
      </c>
      <c r="H41" s="29" t="str">
        <f t="shared" si="0"/>
        <v>(140, 160]</v>
      </c>
      <c r="I41" s="110">
        <v>0</v>
      </c>
      <c r="J41" s="107">
        <v>0</v>
      </c>
      <c r="K41" s="107">
        <v>0</v>
      </c>
      <c r="L41" s="111">
        <v>0</v>
      </c>
      <c r="M41" s="107">
        <v>0</v>
      </c>
      <c r="N41" s="107">
        <v>0</v>
      </c>
    </row>
    <row r="42" spans="1:14">
      <c r="A42" s="84">
        <v>160</v>
      </c>
      <c r="B42" s="84">
        <v>180</v>
      </c>
      <c r="C42" s="116">
        <v>6214</v>
      </c>
      <c r="D42" s="116">
        <v>105222530</v>
      </c>
      <c r="E42" s="107">
        <v>6.3106566039147657E-5</v>
      </c>
      <c r="F42" s="109">
        <v>169.33139684583199</v>
      </c>
      <c r="G42" s="118">
        <v>0</v>
      </c>
      <c r="H42" s="29" t="str">
        <f t="shared" si="0"/>
        <v>(160, 180]</v>
      </c>
      <c r="I42" s="110">
        <v>0</v>
      </c>
      <c r="J42" s="107">
        <v>0</v>
      </c>
      <c r="K42" s="107">
        <v>0</v>
      </c>
      <c r="L42" s="111">
        <v>0</v>
      </c>
      <c r="M42" s="107">
        <v>0</v>
      </c>
      <c r="N42" s="107">
        <v>0</v>
      </c>
    </row>
    <row r="43" spans="1:14">
      <c r="A43" s="84">
        <v>180</v>
      </c>
      <c r="B43" s="84">
        <v>200</v>
      </c>
      <c r="C43" s="116">
        <v>4040</v>
      </c>
      <c r="D43" s="116">
        <v>76464055</v>
      </c>
      <c r="E43" s="107">
        <v>4.1028407917308744E-5</v>
      </c>
      <c r="F43" s="109">
        <v>189.26746287128714</v>
      </c>
      <c r="G43" s="118">
        <v>0</v>
      </c>
      <c r="H43" s="29" t="str">
        <f t="shared" si="0"/>
        <v>(180, 200]</v>
      </c>
      <c r="I43" s="110">
        <v>0</v>
      </c>
      <c r="J43" s="107">
        <v>0</v>
      </c>
      <c r="K43" s="107">
        <v>0</v>
      </c>
      <c r="L43" s="111">
        <v>0</v>
      </c>
      <c r="M43" s="107">
        <v>0</v>
      </c>
      <c r="N43" s="107">
        <v>0</v>
      </c>
    </row>
    <row r="44" spans="1:14">
      <c r="A44" s="84">
        <v>200</v>
      </c>
      <c r="B44" s="84">
        <v>250</v>
      </c>
      <c r="C44" s="116">
        <v>6008</v>
      </c>
      <c r="D44" s="116">
        <v>133587440</v>
      </c>
      <c r="E44" s="107">
        <v>6.1014523457225484E-5</v>
      </c>
      <c r="F44" s="109">
        <v>222.3492676431425</v>
      </c>
      <c r="G44" s="118">
        <v>0</v>
      </c>
      <c r="H44" s="29" t="str">
        <f t="shared" si="0"/>
        <v>(200, 250]</v>
      </c>
      <c r="I44" s="110">
        <v>0</v>
      </c>
      <c r="J44" s="107">
        <v>0</v>
      </c>
      <c r="K44" s="107">
        <v>0</v>
      </c>
      <c r="L44" s="111">
        <v>0</v>
      </c>
      <c r="M44" s="107">
        <v>0</v>
      </c>
      <c r="N44" s="107">
        <v>0</v>
      </c>
    </row>
    <row r="45" spans="1:14">
      <c r="A45" s="84">
        <v>250</v>
      </c>
      <c r="B45" s="84">
        <v>300</v>
      </c>
      <c r="C45" s="116">
        <v>2761</v>
      </c>
      <c r="D45" s="116">
        <v>75293200</v>
      </c>
      <c r="E45" s="107">
        <v>2.8039463925665706E-5</v>
      </c>
      <c r="F45" s="109">
        <v>272.70264396957623</v>
      </c>
      <c r="G45" s="118">
        <v>0</v>
      </c>
      <c r="H45" s="29" t="str">
        <f t="shared" si="0"/>
        <v>(250, 300]</v>
      </c>
      <c r="I45" s="110">
        <v>0</v>
      </c>
      <c r="J45" s="107">
        <v>0</v>
      </c>
      <c r="K45" s="107">
        <v>0</v>
      </c>
      <c r="L45" s="111">
        <v>0</v>
      </c>
      <c r="M45" s="107">
        <v>0</v>
      </c>
      <c r="N45" s="107">
        <v>0</v>
      </c>
    </row>
    <row r="46" spans="1:14">
      <c r="A46" s="84">
        <v>300</v>
      </c>
      <c r="B46" s="84">
        <v>350</v>
      </c>
      <c r="C46" s="116">
        <v>1611</v>
      </c>
      <c r="D46" s="116">
        <v>52047630</v>
      </c>
      <c r="E46" s="107">
        <v>1.6360585434352572E-5</v>
      </c>
      <c r="F46" s="109">
        <v>323.07653631284916</v>
      </c>
      <c r="G46" s="118">
        <v>0</v>
      </c>
      <c r="H46" s="29" t="str">
        <f t="shared" si="0"/>
        <v>(300, 350]</v>
      </c>
      <c r="I46" s="110">
        <v>0</v>
      </c>
      <c r="J46" s="107">
        <v>0</v>
      </c>
      <c r="K46" s="107">
        <v>0</v>
      </c>
      <c r="L46" s="111">
        <v>0</v>
      </c>
      <c r="M46" s="107">
        <v>0</v>
      </c>
      <c r="N46" s="107">
        <v>0</v>
      </c>
    </row>
    <row r="47" spans="1:14">
      <c r="A47" s="84">
        <v>350</v>
      </c>
      <c r="B47" s="84">
        <v>400</v>
      </c>
      <c r="C47" s="116">
        <v>926</v>
      </c>
      <c r="D47" s="116">
        <v>34527000</v>
      </c>
      <c r="E47" s="107">
        <v>9.4040360721356181E-6</v>
      </c>
      <c r="F47" s="109">
        <v>372.86177105831536</v>
      </c>
      <c r="G47" s="118">
        <v>0</v>
      </c>
      <c r="H47" s="29" t="str">
        <f t="shared" si="0"/>
        <v>(350, 400]</v>
      </c>
      <c r="I47" s="110">
        <v>0</v>
      </c>
      <c r="J47" s="107">
        <v>0</v>
      </c>
      <c r="K47" s="107">
        <v>0</v>
      </c>
      <c r="L47" s="111">
        <v>0</v>
      </c>
      <c r="M47" s="107">
        <v>0</v>
      </c>
      <c r="N47" s="107">
        <v>0</v>
      </c>
    </row>
    <row r="48" spans="1:14">
      <c r="A48" s="84">
        <v>400</v>
      </c>
      <c r="B48" s="84">
        <v>450</v>
      </c>
      <c r="C48" s="116">
        <v>528</v>
      </c>
      <c r="D48" s="116">
        <v>22405850</v>
      </c>
      <c r="E48" s="107">
        <v>5.3621285594898559E-6</v>
      </c>
      <c r="F48" s="109">
        <v>424.35321969696969</v>
      </c>
      <c r="G48" s="118">
        <v>0</v>
      </c>
      <c r="H48" s="29" t="str">
        <f t="shared" si="0"/>
        <v>(400, 450]</v>
      </c>
      <c r="I48" s="110">
        <v>0</v>
      </c>
      <c r="J48" s="107">
        <v>0</v>
      </c>
      <c r="K48" s="107">
        <v>0</v>
      </c>
      <c r="L48" s="111">
        <v>0</v>
      </c>
      <c r="M48" s="107">
        <v>0</v>
      </c>
      <c r="N48" s="107">
        <v>0</v>
      </c>
    </row>
    <row r="49" spans="1:14">
      <c r="A49" s="84">
        <v>450</v>
      </c>
      <c r="B49" s="84">
        <v>500</v>
      </c>
      <c r="C49" s="116">
        <v>384</v>
      </c>
      <c r="D49" s="116">
        <v>18154475</v>
      </c>
      <c r="E49" s="107">
        <v>3.8997298614471681E-6</v>
      </c>
      <c r="F49" s="109">
        <v>472.77278645833337</v>
      </c>
      <c r="G49" s="118">
        <v>0</v>
      </c>
      <c r="H49" s="29" t="str">
        <f t="shared" si="0"/>
        <v>(450, 500]</v>
      </c>
      <c r="I49" s="110">
        <v>0</v>
      </c>
      <c r="J49" s="107">
        <v>0</v>
      </c>
      <c r="K49" s="107">
        <v>0</v>
      </c>
      <c r="L49" s="111">
        <v>0</v>
      </c>
      <c r="M49" s="107">
        <v>0</v>
      </c>
      <c r="N49" s="107">
        <v>0</v>
      </c>
    </row>
    <row r="50" spans="1:14">
      <c r="A50" s="84">
        <v>500</v>
      </c>
      <c r="B50" s="84">
        <v>550</v>
      </c>
      <c r="C50" s="116">
        <v>244</v>
      </c>
      <c r="D50" s="116">
        <v>12745255</v>
      </c>
      <c r="E50" s="107">
        <v>2.4779533494612212E-6</v>
      </c>
      <c r="F50" s="109">
        <v>522.3465163934427</v>
      </c>
      <c r="G50" s="118">
        <v>0</v>
      </c>
      <c r="H50" s="29" t="str">
        <f t="shared" si="0"/>
        <v>(500, 550]</v>
      </c>
      <c r="I50" s="110">
        <v>0</v>
      </c>
      <c r="J50" s="107">
        <v>0</v>
      </c>
      <c r="K50" s="107">
        <v>0</v>
      </c>
      <c r="L50" s="111">
        <v>0</v>
      </c>
      <c r="M50" s="107">
        <v>0</v>
      </c>
      <c r="N50" s="107">
        <v>0</v>
      </c>
    </row>
    <row r="51" spans="1:14">
      <c r="A51" s="84">
        <v>550</v>
      </c>
      <c r="B51" s="84">
        <v>600</v>
      </c>
      <c r="C51" s="116">
        <v>166</v>
      </c>
      <c r="D51" s="116">
        <v>9552945</v>
      </c>
      <c r="E51" s="107">
        <v>1.6858207213547653E-6</v>
      </c>
      <c r="F51" s="109">
        <v>575.47861445783133</v>
      </c>
      <c r="G51" s="118">
        <v>0</v>
      </c>
      <c r="H51" s="29" t="str">
        <f t="shared" si="0"/>
        <v>(550, 600]</v>
      </c>
      <c r="I51" s="110">
        <v>0</v>
      </c>
      <c r="J51" s="107">
        <v>0</v>
      </c>
      <c r="K51" s="107">
        <v>0</v>
      </c>
      <c r="L51" s="111">
        <v>0</v>
      </c>
      <c r="M51" s="107">
        <v>0</v>
      </c>
      <c r="N51" s="107">
        <v>0</v>
      </c>
    </row>
    <row r="52" spans="1:14">
      <c r="A52" s="84">
        <v>600</v>
      </c>
      <c r="B52" s="84">
        <v>650</v>
      </c>
      <c r="C52" s="116">
        <v>100</v>
      </c>
      <c r="D52" s="116">
        <v>6212275</v>
      </c>
      <c r="E52" s="107">
        <v>1.0155546514185334E-6</v>
      </c>
      <c r="F52" s="109">
        <v>621.22749999999996</v>
      </c>
      <c r="G52" s="118">
        <v>0</v>
      </c>
      <c r="H52" s="29" t="str">
        <f t="shared" si="0"/>
        <v>(600, 650]</v>
      </c>
      <c r="I52" s="110">
        <v>0</v>
      </c>
      <c r="J52" s="107">
        <v>0</v>
      </c>
      <c r="K52" s="107">
        <v>0</v>
      </c>
      <c r="L52" s="111">
        <v>0</v>
      </c>
      <c r="M52" s="107">
        <v>0</v>
      </c>
      <c r="N52" s="107">
        <v>0</v>
      </c>
    </row>
    <row r="53" spans="1:14">
      <c r="A53" s="84">
        <v>650</v>
      </c>
      <c r="B53" s="84">
        <v>700</v>
      </c>
      <c r="C53" s="116">
        <v>120</v>
      </c>
      <c r="D53" s="116">
        <v>8078565</v>
      </c>
      <c r="E53" s="107">
        <v>1.2186655817022399E-6</v>
      </c>
      <c r="F53" s="109">
        <v>673.21375</v>
      </c>
      <c r="G53" s="118">
        <v>0</v>
      </c>
      <c r="H53" s="29" t="str">
        <f t="shared" si="0"/>
        <v>(650, 700]</v>
      </c>
      <c r="I53" s="110">
        <v>0</v>
      </c>
      <c r="J53" s="107">
        <v>0</v>
      </c>
      <c r="K53" s="107">
        <v>0</v>
      </c>
      <c r="L53" s="111">
        <v>0</v>
      </c>
      <c r="M53" s="107">
        <v>0</v>
      </c>
      <c r="N53" s="107">
        <v>0</v>
      </c>
    </row>
    <row r="54" spans="1:14">
      <c r="A54" s="84">
        <v>700</v>
      </c>
      <c r="B54" s="84">
        <v>750</v>
      </c>
      <c r="C54" s="116">
        <v>59</v>
      </c>
      <c r="D54" s="116">
        <v>4269135</v>
      </c>
      <c r="E54" s="107">
        <v>5.9917724433693462E-7</v>
      </c>
      <c r="F54" s="109">
        <v>723.58220338983051</v>
      </c>
      <c r="G54" s="118">
        <v>0</v>
      </c>
      <c r="H54" s="29" t="str">
        <f t="shared" si="0"/>
        <v>(700, 750]</v>
      </c>
      <c r="I54" s="110">
        <v>0</v>
      </c>
      <c r="J54" s="107">
        <v>0</v>
      </c>
      <c r="K54" s="107">
        <v>0</v>
      </c>
      <c r="L54" s="111">
        <v>0</v>
      </c>
      <c r="M54" s="107">
        <v>0</v>
      </c>
      <c r="N54" s="107">
        <v>0</v>
      </c>
    </row>
    <row r="55" spans="1:14">
      <c r="A55" s="84">
        <v>750</v>
      </c>
      <c r="B55" s="84">
        <v>800</v>
      </c>
      <c r="C55" s="116">
        <v>44</v>
      </c>
      <c r="D55" s="116">
        <v>3410965</v>
      </c>
      <c r="E55" s="107">
        <v>4.4684404662415466E-7</v>
      </c>
      <c r="F55" s="109">
        <v>775.21931818181827</v>
      </c>
      <c r="G55" s="118">
        <v>0</v>
      </c>
      <c r="H55" s="29" t="str">
        <f t="shared" si="0"/>
        <v>(750, 800]</v>
      </c>
      <c r="I55" s="110">
        <v>0</v>
      </c>
      <c r="J55" s="107">
        <v>0</v>
      </c>
      <c r="K55" s="107">
        <v>0</v>
      </c>
      <c r="L55" s="111">
        <v>0</v>
      </c>
      <c r="M55" s="107">
        <v>0</v>
      </c>
      <c r="N55" s="107">
        <v>0</v>
      </c>
    </row>
    <row r="56" spans="1:14">
      <c r="A56" s="84">
        <v>800</v>
      </c>
      <c r="B56" s="84">
        <v>850</v>
      </c>
      <c r="C56" s="116">
        <v>28</v>
      </c>
      <c r="D56" s="116">
        <v>2303400</v>
      </c>
      <c r="E56" s="107">
        <v>2.8435530239718936E-7</v>
      </c>
      <c r="F56" s="109">
        <v>822.64285714285711</v>
      </c>
      <c r="G56" s="118">
        <v>0</v>
      </c>
      <c r="H56" s="29" t="str">
        <f t="shared" si="0"/>
        <v>(800, 850]</v>
      </c>
      <c r="I56" s="110">
        <v>0</v>
      </c>
      <c r="J56" s="107">
        <v>0</v>
      </c>
      <c r="K56" s="107">
        <v>0</v>
      </c>
      <c r="L56" s="111">
        <v>0</v>
      </c>
      <c r="M56" s="107">
        <v>0</v>
      </c>
      <c r="N56" s="107">
        <v>0</v>
      </c>
    </row>
    <row r="57" spans="1:14">
      <c r="A57" s="84">
        <v>850</v>
      </c>
      <c r="B57" s="84">
        <v>900</v>
      </c>
      <c r="C57" s="116">
        <v>32</v>
      </c>
      <c r="D57" s="116">
        <v>2809020</v>
      </c>
      <c r="E57" s="107">
        <v>3.2497748845393066E-7</v>
      </c>
      <c r="F57" s="109">
        <v>877.81875000000002</v>
      </c>
      <c r="G57" s="118">
        <v>0</v>
      </c>
      <c r="H57" s="29" t="str">
        <f t="shared" si="0"/>
        <v>(850, 900]</v>
      </c>
      <c r="I57" s="110">
        <v>0</v>
      </c>
      <c r="J57" s="107">
        <v>0</v>
      </c>
      <c r="K57" s="107">
        <v>0</v>
      </c>
      <c r="L57" s="112">
        <v>0</v>
      </c>
      <c r="M57" s="107">
        <v>0</v>
      </c>
      <c r="N57" s="107">
        <v>0</v>
      </c>
    </row>
    <row r="58" spans="1:14">
      <c r="A58" s="84">
        <v>900</v>
      </c>
      <c r="B58" s="84">
        <v>950</v>
      </c>
      <c r="C58" s="116">
        <v>28</v>
      </c>
      <c r="D58" s="116">
        <v>2575920</v>
      </c>
      <c r="E58" s="107">
        <v>2.8435530239718936E-7</v>
      </c>
      <c r="F58" s="109">
        <v>919.97142857142853</v>
      </c>
      <c r="G58" s="118">
        <v>0</v>
      </c>
      <c r="H58" s="29" t="str">
        <f t="shared" si="0"/>
        <v>(900, 950]</v>
      </c>
      <c r="I58" s="110">
        <v>0</v>
      </c>
      <c r="J58" s="107">
        <v>0</v>
      </c>
      <c r="K58" s="107">
        <v>0</v>
      </c>
      <c r="L58" s="112">
        <v>0</v>
      </c>
      <c r="M58" s="107">
        <v>0</v>
      </c>
      <c r="N58" s="107">
        <v>0</v>
      </c>
    </row>
    <row r="59" spans="1:14">
      <c r="A59" s="84">
        <v>950</v>
      </c>
      <c r="B59" s="84">
        <v>1000</v>
      </c>
      <c r="C59" s="116">
        <v>16</v>
      </c>
      <c r="D59" s="116">
        <v>1568845</v>
      </c>
      <c r="E59" s="107">
        <v>1.6248874422696533E-7</v>
      </c>
      <c r="F59" s="109">
        <v>980.52812500000005</v>
      </c>
      <c r="G59" s="118">
        <v>0</v>
      </c>
      <c r="H59" s="29" t="str">
        <f t="shared" si="0"/>
        <v>(950, 1000]</v>
      </c>
      <c r="I59" s="110">
        <v>0</v>
      </c>
      <c r="J59" s="107">
        <v>0</v>
      </c>
      <c r="K59" s="107">
        <v>0</v>
      </c>
      <c r="L59" s="112">
        <v>0</v>
      </c>
      <c r="M59" s="107">
        <v>0</v>
      </c>
      <c r="N59" s="107">
        <v>0</v>
      </c>
    </row>
    <row r="60" spans="1:14">
      <c r="A60" s="84">
        <v>1000</v>
      </c>
      <c r="B60" s="84">
        <v>2000</v>
      </c>
      <c r="C60" s="116">
        <v>85</v>
      </c>
      <c r="D60" s="116">
        <v>10865110</v>
      </c>
      <c r="E60" s="107">
        <v>8.632214537057533E-7</v>
      </c>
      <c r="F60" s="109">
        <v>1278.2482352941176</v>
      </c>
      <c r="G60" s="118">
        <v>0</v>
      </c>
      <c r="H60" s="29" t="str">
        <f t="shared" si="0"/>
        <v>(1000, 2000]</v>
      </c>
      <c r="I60" s="110">
        <v>0</v>
      </c>
      <c r="J60" s="107">
        <v>0</v>
      </c>
      <c r="K60" s="107">
        <v>0</v>
      </c>
      <c r="L60" s="112">
        <v>0</v>
      </c>
      <c r="M60" s="107">
        <v>0</v>
      </c>
      <c r="N60" s="107">
        <v>0</v>
      </c>
    </row>
    <row r="61" spans="1:14">
      <c r="A61" s="84">
        <v>2000</v>
      </c>
      <c r="B61" s="84">
        <v>3000</v>
      </c>
      <c r="C61" s="116">
        <v>5</v>
      </c>
      <c r="D61" s="116">
        <v>1186280</v>
      </c>
      <c r="E61" s="107">
        <v>5.077773257092667E-8</v>
      </c>
      <c r="F61" s="109">
        <v>2372.56</v>
      </c>
      <c r="G61" s="118">
        <v>0</v>
      </c>
      <c r="H61" s="29" t="str">
        <f t="shared" si="0"/>
        <v>(2000, 3000]</v>
      </c>
      <c r="I61" s="110">
        <v>0</v>
      </c>
      <c r="J61" s="107">
        <v>0</v>
      </c>
      <c r="K61" s="107">
        <v>0</v>
      </c>
      <c r="L61" s="112">
        <v>0</v>
      </c>
      <c r="M61" s="107">
        <v>0</v>
      </c>
      <c r="N61" s="107">
        <v>0</v>
      </c>
    </row>
    <row r="62" spans="1:14">
      <c r="A62" s="84">
        <v>3000</v>
      </c>
      <c r="B62" s="84">
        <v>4000</v>
      </c>
      <c r="C62" s="116">
        <v>1</v>
      </c>
      <c r="D62" s="116">
        <v>326410</v>
      </c>
      <c r="E62" s="107">
        <v>1.0155546514185333E-8</v>
      </c>
      <c r="F62" s="109">
        <v>3264.1</v>
      </c>
      <c r="G62" s="118">
        <v>0</v>
      </c>
      <c r="H62" s="29" t="str">
        <f t="shared" si="0"/>
        <v>(3000, 4000]</v>
      </c>
      <c r="I62" s="110">
        <v>0</v>
      </c>
      <c r="J62" s="107">
        <v>0</v>
      </c>
      <c r="K62" s="107">
        <v>0</v>
      </c>
      <c r="L62" s="112">
        <v>0</v>
      </c>
      <c r="M62" s="107">
        <v>0</v>
      </c>
      <c r="N62" s="107">
        <v>0</v>
      </c>
    </row>
    <row r="63" spans="1:14">
      <c r="A63" s="84">
        <v>4000</v>
      </c>
      <c r="B63" s="84">
        <v>5000</v>
      </c>
      <c r="C63" s="116">
        <v>0</v>
      </c>
      <c r="D63" s="116">
        <v>0</v>
      </c>
      <c r="E63" s="107">
        <v>0</v>
      </c>
      <c r="F63" s="109">
        <v>0</v>
      </c>
      <c r="G63" s="118">
        <v>0</v>
      </c>
      <c r="H63" s="29" t="str">
        <f t="shared" si="0"/>
        <v>(4000, 5000]</v>
      </c>
      <c r="I63" s="110">
        <v>0</v>
      </c>
      <c r="J63" s="107">
        <v>0</v>
      </c>
      <c r="K63" s="107">
        <v>0</v>
      </c>
      <c r="L63" s="112">
        <v>0</v>
      </c>
      <c r="M63" s="107">
        <v>0</v>
      </c>
      <c r="N63" s="107">
        <v>0</v>
      </c>
    </row>
    <row r="64" spans="1:14">
      <c r="A64" s="84">
        <v>5000</v>
      </c>
      <c r="B64" s="84">
        <v>6000</v>
      </c>
      <c r="C64" s="116">
        <v>0</v>
      </c>
      <c r="D64" s="116">
        <v>0</v>
      </c>
      <c r="E64" s="107">
        <v>0</v>
      </c>
      <c r="F64" s="109">
        <v>0</v>
      </c>
      <c r="G64" s="118">
        <v>0</v>
      </c>
      <c r="H64" s="29" t="str">
        <f t="shared" si="0"/>
        <v>(5000, 6000]</v>
      </c>
      <c r="I64" s="110">
        <v>0</v>
      </c>
      <c r="J64" s="107">
        <v>0</v>
      </c>
      <c r="K64" s="107">
        <v>0</v>
      </c>
      <c r="L64" s="112">
        <v>0</v>
      </c>
      <c r="M64" s="107">
        <v>0</v>
      </c>
      <c r="N64" s="107">
        <v>0</v>
      </c>
    </row>
    <row r="65" spans="1:14">
      <c r="A65" s="84">
        <v>6000</v>
      </c>
      <c r="B65" s="84">
        <v>7000</v>
      </c>
      <c r="C65" s="116">
        <v>0</v>
      </c>
      <c r="D65" s="116">
        <v>0</v>
      </c>
      <c r="E65" s="107">
        <v>0</v>
      </c>
      <c r="F65" s="109">
        <v>0</v>
      </c>
      <c r="G65" s="118">
        <v>0</v>
      </c>
      <c r="H65" s="29" t="str">
        <f t="shared" si="0"/>
        <v>(6000, 7000]</v>
      </c>
      <c r="I65" s="110">
        <v>0</v>
      </c>
      <c r="J65" s="107">
        <v>0</v>
      </c>
      <c r="K65" s="107">
        <v>0</v>
      </c>
      <c r="L65" s="112">
        <v>0</v>
      </c>
      <c r="M65" s="107">
        <v>0</v>
      </c>
      <c r="N65" s="107">
        <v>0</v>
      </c>
    </row>
    <row r="66" spans="1:14">
      <c r="A66" s="84">
        <v>7000</v>
      </c>
      <c r="B66" s="84">
        <v>8000</v>
      </c>
      <c r="C66" s="116">
        <v>0</v>
      </c>
      <c r="D66" s="116">
        <v>0</v>
      </c>
      <c r="E66" s="107">
        <v>0</v>
      </c>
      <c r="F66" s="109">
        <v>0</v>
      </c>
      <c r="G66" s="118">
        <v>0</v>
      </c>
      <c r="H66" s="29" t="str">
        <f t="shared" si="0"/>
        <v>(7000, 8000]</v>
      </c>
      <c r="I66" s="110">
        <v>0</v>
      </c>
      <c r="J66" s="107">
        <v>0</v>
      </c>
      <c r="K66" s="107">
        <v>0</v>
      </c>
      <c r="L66" s="112">
        <v>0</v>
      </c>
      <c r="M66" s="107">
        <v>0</v>
      </c>
      <c r="N66" s="107">
        <v>0</v>
      </c>
    </row>
    <row r="67" spans="1:14">
      <c r="A67" s="84">
        <v>8000</v>
      </c>
      <c r="B67" s="84">
        <v>9000</v>
      </c>
      <c r="C67" s="116">
        <v>0</v>
      </c>
      <c r="D67" s="116">
        <v>0</v>
      </c>
      <c r="E67" s="107">
        <v>0</v>
      </c>
      <c r="F67" s="109">
        <v>0</v>
      </c>
      <c r="G67" s="118">
        <v>0</v>
      </c>
      <c r="H67" s="29" t="str">
        <f t="shared" si="0"/>
        <v>(8000, 9000]</v>
      </c>
      <c r="I67" s="110">
        <v>0</v>
      </c>
      <c r="J67" s="107">
        <v>0</v>
      </c>
      <c r="K67" s="107">
        <v>0</v>
      </c>
      <c r="L67" s="112">
        <v>0</v>
      </c>
      <c r="M67" s="107">
        <v>0</v>
      </c>
      <c r="N67" s="107">
        <v>0</v>
      </c>
    </row>
    <row r="68" spans="1:14">
      <c r="A68" s="84">
        <v>9000</v>
      </c>
      <c r="B68" s="84">
        <v>10000</v>
      </c>
      <c r="C68" s="116">
        <v>0</v>
      </c>
      <c r="D68" s="116">
        <v>0</v>
      </c>
      <c r="E68" s="107">
        <v>0</v>
      </c>
      <c r="F68" s="109">
        <v>0</v>
      </c>
      <c r="G68" s="118">
        <v>0</v>
      </c>
      <c r="H68" s="29" t="str">
        <f t="shared" si="0"/>
        <v>(9000, 10000]</v>
      </c>
      <c r="I68" s="110">
        <v>0</v>
      </c>
      <c r="J68" s="107">
        <v>0</v>
      </c>
      <c r="K68" s="107">
        <v>0</v>
      </c>
      <c r="L68" s="112">
        <v>0</v>
      </c>
      <c r="M68" s="107">
        <v>0</v>
      </c>
      <c r="N68" s="107">
        <v>0</v>
      </c>
    </row>
    <row r="69" spans="1:14">
      <c r="A69" s="84">
        <v>10000</v>
      </c>
      <c r="B69" s="84">
        <v>20000</v>
      </c>
      <c r="C69" s="116">
        <v>0</v>
      </c>
      <c r="D69" s="116">
        <v>0</v>
      </c>
      <c r="E69" s="107">
        <v>0</v>
      </c>
      <c r="F69" s="109">
        <v>0</v>
      </c>
      <c r="G69" s="118">
        <v>0</v>
      </c>
      <c r="H69" s="29" t="str">
        <f t="shared" si="0"/>
        <v>(10000, 20000]</v>
      </c>
      <c r="I69" s="110">
        <v>0</v>
      </c>
      <c r="J69" s="107">
        <v>0</v>
      </c>
      <c r="K69" s="107">
        <v>0</v>
      </c>
      <c r="L69" s="112">
        <v>0</v>
      </c>
      <c r="M69" s="107">
        <v>0</v>
      </c>
      <c r="N69" s="107">
        <v>0</v>
      </c>
    </row>
    <row r="70" spans="1:14">
      <c r="A70" s="84">
        <v>20000</v>
      </c>
      <c r="B70" s="84">
        <v>30000</v>
      </c>
      <c r="C70" s="116">
        <v>0</v>
      </c>
      <c r="D70" s="116">
        <v>0</v>
      </c>
      <c r="E70" s="107">
        <v>0</v>
      </c>
      <c r="F70" s="109">
        <v>0</v>
      </c>
      <c r="G70" s="118">
        <v>0</v>
      </c>
      <c r="H70" s="29" t="str">
        <f t="shared" si="0"/>
        <v>(20000, 30000]</v>
      </c>
      <c r="I70" s="110">
        <v>0</v>
      </c>
      <c r="J70" s="107">
        <v>0</v>
      </c>
      <c r="K70" s="107">
        <v>0</v>
      </c>
      <c r="L70" s="112">
        <v>0</v>
      </c>
      <c r="M70" s="107">
        <v>0</v>
      </c>
      <c r="N70" s="107">
        <v>0</v>
      </c>
    </row>
    <row r="71" spans="1:14">
      <c r="A71" s="84">
        <v>30000</v>
      </c>
      <c r="B71" s="84">
        <v>40000</v>
      </c>
      <c r="C71" s="116">
        <v>0</v>
      </c>
      <c r="D71" s="116">
        <v>0</v>
      </c>
      <c r="E71" s="107">
        <v>0</v>
      </c>
      <c r="F71" s="109">
        <v>0</v>
      </c>
      <c r="G71" s="118">
        <v>0</v>
      </c>
      <c r="H71" s="29" t="str">
        <f t="shared" si="0"/>
        <v>(30000, 40000]</v>
      </c>
      <c r="I71" s="110">
        <v>0</v>
      </c>
      <c r="J71" s="107">
        <v>0</v>
      </c>
      <c r="K71" s="107">
        <v>0</v>
      </c>
      <c r="L71" s="112">
        <v>0</v>
      </c>
      <c r="M71" s="107">
        <v>0</v>
      </c>
      <c r="N71" s="107">
        <v>0</v>
      </c>
    </row>
    <row r="72" spans="1:14">
      <c r="A72" s="84">
        <v>40000</v>
      </c>
      <c r="B72" s="84">
        <v>50000</v>
      </c>
      <c r="C72" s="116">
        <v>0</v>
      </c>
      <c r="D72" s="116">
        <v>0</v>
      </c>
      <c r="E72" s="107">
        <v>0</v>
      </c>
      <c r="F72" s="109">
        <v>0</v>
      </c>
      <c r="G72" s="118">
        <v>0</v>
      </c>
      <c r="H72" s="29" t="str">
        <f t="shared" si="0"/>
        <v>(40000, 50000]</v>
      </c>
      <c r="I72" s="110">
        <v>0</v>
      </c>
      <c r="J72" s="107">
        <v>0</v>
      </c>
      <c r="K72" s="107">
        <v>0</v>
      </c>
      <c r="L72" s="112">
        <v>0</v>
      </c>
      <c r="M72" s="107">
        <v>0</v>
      </c>
      <c r="N72" s="107">
        <v>0</v>
      </c>
    </row>
    <row r="73" spans="1:14">
      <c r="A73" s="84">
        <v>50000</v>
      </c>
      <c r="B73" s="84">
        <v>60000</v>
      </c>
      <c r="C73" s="116">
        <v>0</v>
      </c>
      <c r="D73" s="116">
        <v>0</v>
      </c>
      <c r="E73" s="107">
        <v>0</v>
      </c>
      <c r="F73" s="109">
        <v>0</v>
      </c>
      <c r="G73" s="118">
        <v>0</v>
      </c>
      <c r="H73" s="29" t="str">
        <f t="shared" si="0"/>
        <v>(50000, 60000]</v>
      </c>
      <c r="I73" s="110">
        <v>0</v>
      </c>
      <c r="J73" s="107">
        <v>0</v>
      </c>
      <c r="K73" s="107">
        <v>0</v>
      </c>
      <c r="L73" s="112">
        <v>0</v>
      </c>
      <c r="M73" s="107">
        <v>0</v>
      </c>
      <c r="N73" s="107">
        <v>0</v>
      </c>
    </row>
    <row r="74" spans="1:14">
      <c r="A74" s="84">
        <v>60000</v>
      </c>
      <c r="B74" s="84">
        <v>70000</v>
      </c>
      <c r="C74" s="116">
        <v>0</v>
      </c>
      <c r="D74" s="116">
        <v>0</v>
      </c>
      <c r="E74" s="107">
        <v>0</v>
      </c>
      <c r="F74" s="109">
        <v>0</v>
      </c>
      <c r="G74" s="118">
        <v>0</v>
      </c>
      <c r="H74" s="29" t="str">
        <f t="shared" si="0"/>
        <v>(60000, 70000]</v>
      </c>
      <c r="I74" s="110">
        <v>0</v>
      </c>
      <c r="J74" s="107">
        <v>0</v>
      </c>
      <c r="K74" s="107">
        <v>0</v>
      </c>
      <c r="L74" s="112">
        <v>0</v>
      </c>
      <c r="M74" s="107">
        <v>0</v>
      </c>
      <c r="N74" s="107">
        <v>0</v>
      </c>
    </row>
    <row r="75" spans="1:14">
      <c r="A75" s="84">
        <v>70000</v>
      </c>
      <c r="B75" s="84">
        <v>80000</v>
      </c>
      <c r="C75" s="116">
        <v>0</v>
      </c>
      <c r="D75" s="116">
        <v>0</v>
      </c>
      <c r="E75" s="107">
        <v>0</v>
      </c>
      <c r="F75" s="109">
        <v>0</v>
      </c>
      <c r="G75" s="118">
        <v>0</v>
      </c>
      <c r="H75" s="29" t="str">
        <f t="shared" si="0"/>
        <v>(70000, 80000]</v>
      </c>
      <c r="I75" s="110">
        <v>0</v>
      </c>
      <c r="J75" s="107">
        <v>0</v>
      </c>
      <c r="K75" s="107">
        <v>0</v>
      </c>
      <c r="L75" s="112">
        <v>0</v>
      </c>
      <c r="M75" s="107">
        <v>0</v>
      </c>
      <c r="N75" s="107">
        <v>0</v>
      </c>
    </row>
    <row r="76" spans="1:14">
      <c r="A76" s="84">
        <v>80000</v>
      </c>
      <c r="B76" s="84">
        <v>90000</v>
      </c>
      <c r="C76" s="116">
        <v>0</v>
      </c>
      <c r="D76" s="116">
        <v>0</v>
      </c>
      <c r="E76" s="107">
        <v>0</v>
      </c>
      <c r="F76" s="109">
        <v>0</v>
      </c>
      <c r="G76" s="118">
        <v>0</v>
      </c>
      <c r="H76" s="29" t="str">
        <f t="shared" si="0"/>
        <v>(80000, 90000]</v>
      </c>
      <c r="I76" s="110">
        <v>0</v>
      </c>
      <c r="J76" s="107">
        <v>0</v>
      </c>
      <c r="K76" s="107">
        <v>0</v>
      </c>
      <c r="L76" s="112">
        <v>0</v>
      </c>
      <c r="M76" s="107">
        <v>0</v>
      </c>
      <c r="N76" s="107">
        <v>0</v>
      </c>
    </row>
    <row r="77" spans="1:14">
      <c r="A77" s="84">
        <v>90000</v>
      </c>
      <c r="B77" s="84">
        <v>100000</v>
      </c>
      <c r="C77" s="116">
        <v>0</v>
      </c>
      <c r="D77" s="116">
        <v>0</v>
      </c>
      <c r="E77" s="107">
        <v>0</v>
      </c>
      <c r="F77" s="109">
        <v>0</v>
      </c>
      <c r="G77" s="118">
        <v>0</v>
      </c>
      <c r="H77" s="29" t="str">
        <f t="shared" si="0"/>
        <v>(90000, 100000]</v>
      </c>
      <c r="I77" s="110">
        <v>0</v>
      </c>
      <c r="J77" s="107">
        <v>0</v>
      </c>
      <c r="K77" s="107">
        <v>0</v>
      </c>
      <c r="L77" s="112">
        <v>0</v>
      </c>
      <c r="M77" s="107">
        <v>0</v>
      </c>
      <c r="N77" s="107">
        <v>0</v>
      </c>
    </row>
    <row r="78" spans="1:14">
      <c r="A78" s="84">
        <v>100000</v>
      </c>
      <c r="B78" s="84">
        <v>9999999</v>
      </c>
      <c r="C78" s="116">
        <v>0</v>
      </c>
      <c r="D78" s="116">
        <v>0</v>
      </c>
      <c r="E78" s="107">
        <v>0</v>
      </c>
      <c r="F78" s="109">
        <v>0</v>
      </c>
      <c r="G78" s="118">
        <v>0</v>
      </c>
      <c r="H78" s="29" t="str">
        <f t="shared" si="0"/>
        <v>(100000, 9999999]</v>
      </c>
      <c r="I78" s="110">
        <v>0</v>
      </c>
      <c r="J78" s="107">
        <v>0</v>
      </c>
      <c r="K78" s="107">
        <v>0</v>
      </c>
      <c r="L78" s="112">
        <v>0</v>
      </c>
      <c r="M78" s="107">
        <v>0</v>
      </c>
      <c r="N78" s="107">
        <v>0</v>
      </c>
    </row>
    <row r="79" spans="1:14">
      <c r="A79" s="184" t="s">
        <v>63</v>
      </c>
      <c r="B79" s="185"/>
      <c r="C79" s="120">
        <f>E79*B13</f>
        <v>22844570</v>
      </c>
      <c r="D79" s="116">
        <v>190196215</v>
      </c>
      <c r="E79" s="121">
        <v>2.2844570000000002E-2</v>
      </c>
      <c r="F79" s="109">
        <v>8.3256640418270078E-2</v>
      </c>
      <c r="G79" s="118"/>
      <c r="H79" s="29" t="s">
        <v>63</v>
      </c>
      <c r="I79" s="110">
        <v>0.3</v>
      </c>
      <c r="J79" s="107">
        <v>6.8533710000000005E-3</v>
      </c>
      <c r="K79" s="107">
        <f>J79</f>
        <v>6.8533710000000005E-3</v>
      </c>
      <c r="L79" s="112">
        <v>6853371</v>
      </c>
      <c r="M79" s="113">
        <v>6.904564346889428E-3</v>
      </c>
      <c r="N79" s="107">
        <v>5.7485083107378088E-4</v>
      </c>
    </row>
    <row r="80" spans="1:14">
      <c r="A80" s="184" t="s">
        <v>88</v>
      </c>
      <c r="B80" s="185"/>
      <c r="C80" s="120">
        <v>10000000</v>
      </c>
      <c r="D80" s="116"/>
      <c r="E80" s="107">
        <v>1</v>
      </c>
      <c r="F80" s="109">
        <v>0</v>
      </c>
      <c r="G80" s="118"/>
      <c r="H80" s="29" t="s">
        <v>88</v>
      </c>
      <c r="I80" s="84"/>
      <c r="J80" s="107"/>
      <c r="K80" s="107"/>
      <c r="L80" s="122"/>
      <c r="M80" s="113">
        <f>E80</f>
        <v>1</v>
      </c>
      <c r="N80" s="107" t="e">
        <f>F80/#REF!</f>
        <v>#REF!</v>
      </c>
    </row>
    <row r="81" spans="1:14">
      <c r="A81" s="123"/>
      <c r="B81" s="12"/>
      <c r="C81" s="1"/>
      <c r="D81" s="145"/>
      <c r="E81" s="1"/>
      <c r="F81" s="1"/>
      <c r="H81" s="13"/>
      <c r="I81" s="12"/>
      <c r="J81" s="12"/>
      <c r="K81" s="12">
        <f>1/K79</f>
        <v>145.9135949301446</v>
      </c>
      <c r="L81" s="71"/>
      <c r="M81" s="12"/>
      <c r="N81" s="12"/>
    </row>
    <row r="82" spans="1:14">
      <c r="A82" s="12"/>
      <c r="D82" s="124"/>
      <c r="E82" s="1"/>
      <c r="F82" s="1"/>
      <c r="H82" s="13"/>
      <c r="I82" s="12"/>
      <c r="J82" s="12"/>
      <c r="K82" s="12"/>
      <c r="L82" s="12"/>
      <c r="M82" s="12"/>
      <c r="N82" s="12"/>
    </row>
    <row r="83" spans="1:14" s="132" customFormat="1">
      <c r="A83" s="183" t="s">
        <v>202</v>
      </c>
      <c r="B83" s="183"/>
      <c r="C83" s="183"/>
      <c r="D83" s="183"/>
      <c r="E83" s="127"/>
      <c r="F83" s="127"/>
      <c r="G83" s="128"/>
      <c r="H83" s="129"/>
      <c r="I83" s="130"/>
      <c r="J83" s="131"/>
      <c r="K83" s="131"/>
      <c r="L83" s="131"/>
      <c r="M83" s="131"/>
      <c r="N83" s="131"/>
    </row>
    <row r="84" spans="1:14">
      <c r="A84" s="12"/>
      <c r="B84" s="12"/>
      <c r="C84" s="1"/>
      <c r="D84" s="1"/>
      <c r="E84" s="1"/>
      <c r="F84" s="1"/>
      <c r="H84" s="13"/>
      <c r="I84" s="12"/>
      <c r="J84" s="12"/>
      <c r="K84" s="12"/>
      <c r="L84" s="12"/>
      <c r="M84" s="12"/>
      <c r="N84" s="12"/>
    </row>
    <row r="85" spans="1:14">
      <c r="A85" s="101" t="s">
        <v>206</v>
      </c>
      <c r="B85" s="125">
        <f>B13</f>
        <v>1000000000</v>
      </c>
      <c r="C85" s="1"/>
      <c r="D85" s="1"/>
      <c r="E85" s="1"/>
      <c r="F85" s="1"/>
      <c r="H85" s="101" t="s">
        <v>207</v>
      </c>
      <c r="I85" s="12"/>
      <c r="J85" s="12"/>
      <c r="K85" s="12"/>
      <c r="M85" s="12"/>
      <c r="N85" s="12"/>
    </row>
    <row r="86" spans="1:14">
      <c r="A86" s="16" t="s">
        <v>57</v>
      </c>
      <c r="B86" s="16" t="s">
        <v>58</v>
      </c>
      <c r="C86" s="16" t="s">
        <v>208</v>
      </c>
      <c r="D86" s="16" t="s">
        <v>209</v>
      </c>
      <c r="E86" s="16" t="s">
        <v>210</v>
      </c>
      <c r="F86" s="16" t="s">
        <v>211</v>
      </c>
      <c r="H86" s="16" t="s">
        <v>60</v>
      </c>
      <c r="I86" s="16" t="s">
        <v>212</v>
      </c>
      <c r="J86" s="16" t="s">
        <v>213</v>
      </c>
      <c r="K86" s="16" t="s">
        <v>214</v>
      </c>
      <c r="L86" s="16" t="s">
        <v>215</v>
      </c>
      <c r="M86" s="16" t="s">
        <v>62</v>
      </c>
      <c r="N86" s="16" t="s">
        <v>59</v>
      </c>
    </row>
    <row r="87" spans="1:14">
      <c r="A87" s="104">
        <v>-1</v>
      </c>
      <c r="B87" s="104">
        <v>0</v>
      </c>
      <c r="C87" s="105">
        <v>6070</v>
      </c>
      <c r="D87" s="105">
        <v>0</v>
      </c>
      <c r="E87" s="107" cm="1">
        <f t="array" ref="E87:E150">_xlfn.LET(_xlpm.x, C87:C150, _xlpm.x/SUM(_xlpm.x))</f>
        <v>2.664165481983526E-3</v>
      </c>
      <c r="F87" s="108" cm="1">
        <f t="array" ref="F87:F150">_xlfn.LET(_xlpm.x, D87:D150/C87:C150/B3, IF(ISERR(_xlpm.x), 0, _xlpm.x))</f>
        <v>0</v>
      </c>
      <c r="G87" s="66">
        <v>1.0000000000000001E-5</v>
      </c>
      <c r="H87" s="29" t="str">
        <f>"("&amp;$A87&amp;", "&amp;$B87&amp;"]"</f>
        <v>(-1, 0]</v>
      </c>
      <c r="I87" s="110">
        <v>0</v>
      </c>
      <c r="J87" s="107" cm="1">
        <f t="array" ref="J87:J150">_xlfn.ANCHORARRAY(E87)*I87:I150</f>
        <v>0</v>
      </c>
      <c r="K87" s="107" cm="1">
        <f t="array" ref="K87:K150">J87:J150/SUM(_xlfn.ANCHORARRAY(J87))</f>
        <v>0</v>
      </c>
      <c r="L87" s="111" cm="1">
        <f t="array" ref="L87:L150">INT(_xlfn.ANCHORARRAY(K87)*$B$2)</f>
        <v>0</v>
      </c>
      <c r="M87" s="107" cm="1">
        <f t="array" ref="M87:M150">_xlfn.LET(_xlpm.x, L87:L150, _xlpm.x/SUM(_xlpm.x))</f>
        <v>0</v>
      </c>
      <c r="N87" s="134" cm="1">
        <f t="array" ref="N87:N150">M87:M150*_xlfn.ANCHORARRAY(F87)</f>
        <v>0</v>
      </c>
    </row>
    <row r="88" spans="1:14">
      <c r="A88" s="84">
        <v>0</v>
      </c>
      <c r="B88" s="84">
        <v>1</v>
      </c>
      <c r="C88" s="116">
        <v>13289</v>
      </c>
      <c r="D88" s="116">
        <v>1090600</v>
      </c>
      <c r="E88" s="107">
        <v>5.8326351054496014E-3</v>
      </c>
      <c r="F88" s="109">
        <v>0.82067875686658143</v>
      </c>
      <c r="G88" s="66">
        <v>0</v>
      </c>
      <c r="H88" s="29" t="str">
        <f t="shared" ref="H88:H150" si="1">"("&amp;$A88&amp;", "&amp;$B88&amp;"]"</f>
        <v>(0, 1]</v>
      </c>
      <c r="I88" s="110">
        <v>0</v>
      </c>
      <c r="J88" s="107">
        <v>0</v>
      </c>
      <c r="K88" s="107">
        <v>0</v>
      </c>
      <c r="L88" s="111">
        <v>0</v>
      </c>
      <c r="M88" s="107">
        <v>0</v>
      </c>
      <c r="N88" s="107">
        <v>0</v>
      </c>
    </row>
    <row r="89" spans="1:14">
      <c r="A89" s="84">
        <v>1</v>
      </c>
      <c r="B89" s="84">
        <v>2</v>
      </c>
      <c r="C89" s="116">
        <v>20810</v>
      </c>
      <c r="D89" s="116">
        <v>3233730</v>
      </c>
      <c r="E89" s="107">
        <v>9.1336546425168329E-3</v>
      </c>
      <c r="F89" s="109">
        <v>1.5539308024987986</v>
      </c>
      <c r="G89" s="117">
        <f>1+G88*G87</f>
        <v>1</v>
      </c>
      <c r="H89" s="29" t="str">
        <f t="shared" si="1"/>
        <v>(1, 2]</v>
      </c>
      <c r="I89" s="110">
        <v>0</v>
      </c>
      <c r="J89" s="107">
        <v>0</v>
      </c>
      <c r="K89" s="107">
        <v>0</v>
      </c>
      <c r="L89" s="111">
        <v>0</v>
      </c>
      <c r="M89" s="107">
        <v>0</v>
      </c>
      <c r="N89" s="107">
        <v>0</v>
      </c>
    </row>
    <row r="90" spans="1:14">
      <c r="A90" s="84">
        <v>2</v>
      </c>
      <c r="B90" s="84">
        <v>3</v>
      </c>
      <c r="C90" s="116">
        <v>21254</v>
      </c>
      <c r="D90" s="116">
        <v>5431450</v>
      </c>
      <c r="E90" s="107">
        <v>9.3285293499304547E-3</v>
      </c>
      <c r="F90" s="109">
        <v>2.5554954361531945</v>
      </c>
      <c r="G90" s="114"/>
      <c r="H90" s="29" t="str">
        <f t="shared" si="1"/>
        <v>(2, 3]</v>
      </c>
      <c r="I90" s="110">
        <v>0</v>
      </c>
      <c r="J90" s="107">
        <v>0</v>
      </c>
      <c r="K90" s="107">
        <v>0</v>
      </c>
      <c r="L90" s="111">
        <v>0</v>
      </c>
      <c r="M90" s="107">
        <v>0</v>
      </c>
      <c r="N90" s="107">
        <v>0</v>
      </c>
    </row>
    <row r="91" spans="1:14">
      <c r="A91" s="84">
        <v>3</v>
      </c>
      <c r="B91" s="84">
        <v>4</v>
      </c>
      <c r="C91" s="116">
        <v>21645</v>
      </c>
      <c r="D91" s="116">
        <v>7695990</v>
      </c>
      <c r="E91" s="107">
        <v>9.5001419864140721E-3</v>
      </c>
      <c r="F91" s="109">
        <v>3.5555509355509356</v>
      </c>
      <c r="G91" s="114"/>
      <c r="H91" s="29" t="str">
        <f t="shared" si="1"/>
        <v>(3, 4]</v>
      </c>
      <c r="I91" s="110">
        <v>0</v>
      </c>
      <c r="J91" s="107">
        <v>0</v>
      </c>
      <c r="K91" s="107">
        <v>0</v>
      </c>
      <c r="L91" s="111">
        <v>0</v>
      </c>
      <c r="M91" s="107">
        <v>0</v>
      </c>
      <c r="N91" s="107">
        <v>0</v>
      </c>
    </row>
    <row r="92" spans="1:14">
      <c r="A92" s="84">
        <v>4</v>
      </c>
      <c r="B92" s="84">
        <v>5</v>
      </c>
      <c r="C92" s="116">
        <v>21438</v>
      </c>
      <c r="D92" s="116">
        <v>9764380</v>
      </c>
      <c r="E92" s="107">
        <v>9.4092882376874513E-3</v>
      </c>
      <c r="F92" s="109">
        <v>4.5547065957645305</v>
      </c>
      <c r="G92" s="114"/>
      <c r="H92" s="29" t="str">
        <f t="shared" si="1"/>
        <v>(4, 5]</v>
      </c>
      <c r="I92" s="110">
        <v>0</v>
      </c>
      <c r="J92" s="107">
        <v>0</v>
      </c>
      <c r="K92" s="107">
        <v>0</v>
      </c>
      <c r="L92" s="111">
        <v>0</v>
      </c>
      <c r="M92" s="107">
        <v>0</v>
      </c>
      <c r="N92" s="107">
        <v>0</v>
      </c>
    </row>
    <row r="93" spans="1:14">
      <c r="A93" s="84">
        <v>5</v>
      </c>
      <c r="B93" s="84">
        <v>6</v>
      </c>
      <c r="C93" s="116">
        <v>21633</v>
      </c>
      <c r="D93" s="116">
        <v>12019590</v>
      </c>
      <c r="E93" s="107">
        <v>9.4948751024299203E-3</v>
      </c>
      <c r="F93" s="109">
        <v>5.5561364581888775</v>
      </c>
      <c r="G93" s="114"/>
      <c r="H93" s="29" t="str">
        <f t="shared" si="1"/>
        <v>(5, 6]</v>
      </c>
      <c r="I93" s="110">
        <v>0</v>
      </c>
      <c r="J93" s="107">
        <v>0</v>
      </c>
      <c r="K93" s="107">
        <v>0</v>
      </c>
      <c r="L93" s="111">
        <v>0</v>
      </c>
      <c r="M93" s="107">
        <v>0</v>
      </c>
      <c r="N93" s="107">
        <v>0</v>
      </c>
    </row>
    <row r="94" spans="1:14">
      <c r="A94" s="84">
        <v>6</v>
      </c>
      <c r="B94" s="84">
        <v>7</v>
      </c>
      <c r="C94" s="116">
        <v>20646</v>
      </c>
      <c r="D94" s="116">
        <v>13512875</v>
      </c>
      <c r="E94" s="107">
        <v>9.0616738947334238E-3</v>
      </c>
      <c r="F94" s="109">
        <v>6.5450329361619684</v>
      </c>
      <c r="G94" s="114"/>
      <c r="H94" s="29" t="str">
        <f t="shared" si="1"/>
        <v>(6, 7]</v>
      </c>
      <c r="I94" s="110">
        <v>0</v>
      </c>
      <c r="J94" s="107">
        <v>0</v>
      </c>
      <c r="K94" s="107">
        <v>0</v>
      </c>
      <c r="L94" s="111">
        <v>0</v>
      </c>
      <c r="M94" s="107">
        <v>0</v>
      </c>
      <c r="N94" s="107">
        <v>0</v>
      </c>
    </row>
    <row r="95" spans="1:14">
      <c r="A95" s="84">
        <v>7</v>
      </c>
      <c r="B95" s="84">
        <v>8</v>
      </c>
      <c r="C95" s="116">
        <v>20886</v>
      </c>
      <c r="D95" s="116">
        <v>15764920</v>
      </c>
      <c r="E95" s="107">
        <v>9.1670115744164615E-3</v>
      </c>
      <c r="F95" s="109">
        <v>7.548080053624437</v>
      </c>
      <c r="G95" s="114"/>
      <c r="H95" s="29" t="str">
        <f t="shared" si="1"/>
        <v>(7, 8]</v>
      </c>
      <c r="I95" s="110">
        <v>0</v>
      </c>
      <c r="J95" s="107">
        <v>0</v>
      </c>
      <c r="K95" s="107">
        <v>0</v>
      </c>
      <c r="L95" s="111">
        <v>0</v>
      </c>
      <c r="M95" s="107">
        <v>0</v>
      </c>
      <c r="N95" s="107">
        <v>0</v>
      </c>
    </row>
    <row r="96" spans="1:14">
      <c r="A96" s="84">
        <v>8</v>
      </c>
      <c r="B96" s="84">
        <v>9</v>
      </c>
      <c r="C96" s="116">
        <v>20446</v>
      </c>
      <c r="D96" s="116">
        <v>17486945</v>
      </c>
      <c r="E96" s="107">
        <v>8.9738924949975575E-3</v>
      </c>
      <c r="F96" s="109">
        <v>8.5527462584368585</v>
      </c>
      <c r="G96" s="114"/>
      <c r="H96" s="29" t="str">
        <f t="shared" si="1"/>
        <v>(8, 9]</v>
      </c>
      <c r="I96" s="110">
        <v>0</v>
      </c>
      <c r="J96" s="107">
        <v>0</v>
      </c>
      <c r="K96" s="107">
        <v>0</v>
      </c>
      <c r="L96" s="111">
        <v>0</v>
      </c>
      <c r="M96" s="107">
        <v>0</v>
      </c>
      <c r="N96" s="107">
        <v>0</v>
      </c>
    </row>
    <row r="97" spans="1:14">
      <c r="A97" s="84">
        <v>9</v>
      </c>
      <c r="B97" s="84">
        <v>10</v>
      </c>
      <c r="C97" s="116">
        <v>19920</v>
      </c>
      <c r="D97" s="116">
        <v>19030345</v>
      </c>
      <c r="E97" s="107">
        <v>8.7430274136922302E-3</v>
      </c>
      <c r="F97" s="109">
        <v>9.5533860441767064</v>
      </c>
      <c r="G97" s="114"/>
      <c r="H97" s="29" t="str">
        <f t="shared" si="1"/>
        <v>(9, 10]</v>
      </c>
      <c r="I97" s="110">
        <v>0</v>
      </c>
      <c r="J97" s="107">
        <v>0</v>
      </c>
      <c r="K97" s="107">
        <v>0</v>
      </c>
      <c r="L97" s="111">
        <v>0</v>
      </c>
      <c r="M97" s="107">
        <v>0</v>
      </c>
      <c r="N97" s="107">
        <v>0</v>
      </c>
    </row>
    <row r="98" spans="1:14">
      <c r="A98" s="84">
        <v>10</v>
      </c>
      <c r="B98" s="84">
        <v>15</v>
      </c>
      <c r="C98" s="116">
        <v>95890</v>
      </c>
      <c r="D98" s="116">
        <v>120087185</v>
      </c>
      <c r="E98" s="107">
        <v>4.2086792103360846E-2</v>
      </c>
      <c r="F98" s="109">
        <v>12.523431536135156</v>
      </c>
      <c r="G98" s="114"/>
      <c r="H98" s="29" t="str">
        <f t="shared" si="1"/>
        <v>(10, 15]</v>
      </c>
      <c r="I98" s="110">
        <v>0</v>
      </c>
      <c r="J98" s="107">
        <v>0</v>
      </c>
      <c r="K98" s="107">
        <v>0</v>
      </c>
      <c r="L98" s="111">
        <v>0</v>
      </c>
      <c r="M98" s="107">
        <v>0</v>
      </c>
      <c r="N98" s="107">
        <v>0</v>
      </c>
    </row>
    <row r="99" spans="1:14">
      <c r="A99" s="84">
        <v>15</v>
      </c>
      <c r="B99" s="84">
        <v>20</v>
      </c>
      <c r="C99" s="116">
        <v>89276</v>
      </c>
      <c r="D99" s="116">
        <v>156417885</v>
      </c>
      <c r="E99" s="107">
        <v>3.9183861214095762E-2</v>
      </c>
      <c r="F99" s="109">
        <v>17.520709373179802</v>
      </c>
      <c r="G99" s="114"/>
      <c r="H99" s="119" t="str">
        <f t="shared" si="1"/>
        <v>(15, 20]</v>
      </c>
      <c r="I99" s="110">
        <v>0</v>
      </c>
      <c r="J99" s="107">
        <v>0</v>
      </c>
      <c r="K99" s="107">
        <v>0</v>
      </c>
      <c r="L99" s="111">
        <v>0</v>
      </c>
      <c r="M99" s="107">
        <v>0</v>
      </c>
      <c r="N99" s="107">
        <v>0</v>
      </c>
    </row>
    <row r="100" spans="1:14">
      <c r="A100" s="84">
        <v>20</v>
      </c>
      <c r="B100" s="84">
        <v>25</v>
      </c>
      <c r="C100" s="116">
        <v>82338</v>
      </c>
      <c r="D100" s="116">
        <v>185300895</v>
      </c>
      <c r="E100" s="107">
        <v>3.6138724457258575E-2</v>
      </c>
      <c r="F100" s="109">
        <v>22.504905997230924</v>
      </c>
      <c r="G100" s="114"/>
      <c r="H100" s="29" t="str">
        <f t="shared" si="1"/>
        <v>(20, 25]</v>
      </c>
      <c r="I100" s="110">
        <v>0</v>
      </c>
      <c r="J100" s="107">
        <v>0</v>
      </c>
      <c r="K100" s="107">
        <v>0</v>
      </c>
      <c r="L100" s="111">
        <v>0</v>
      </c>
      <c r="M100" s="107">
        <v>0</v>
      </c>
      <c r="N100" s="107">
        <v>0</v>
      </c>
    </row>
    <row r="101" spans="1:14">
      <c r="A101" s="84">
        <v>25</v>
      </c>
      <c r="B101" s="84">
        <v>30</v>
      </c>
      <c r="C101" s="116">
        <v>76062</v>
      </c>
      <c r="D101" s="116">
        <v>209282100</v>
      </c>
      <c r="E101" s="107">
        <v>3.3384144133547108E-2</v>
      </c>
      <c r="F101" s="109">
        <v>27.514672241066499</v>
      </c>
      <c r="G101" s="114"/>
      <c r="H101" s="29" t="str">
        <f t="shared" si="1"/>
        <v>(25, 30]</v>
      </c>
      <c r="I101" s="110">
        <v>0</v>
      </c>
      <c r="J101" s="107">
        <v>0</v>
      </c>
      <c r="K101" s="107">
        <v>0</v>
      </c>
      <c r="L101" s="111">
        <v>0</v>
      </c>
      <c r="M101" s="107">
        <v>0</v>
      </c>
      <c r="N101" s="107">
        <v>0</v>
      </c>
    </row>
    <row r="102" spans="1:14">
      <c r="A102" s="84">
        <v>30</v>
      </c>
      <c r="B102" s="84">
        <v>35</v>
      </c>
      <c r="C102" s="116">
        <v>70584</v>
      </c>
      <c r="D102" s="116">
        <v>229534305</v>
      </c>
      <c r="E102" s="107">
        <v>3.0979811594781748E-2</v>
      </c>
      <c r="F102" s="109">
        <v>32.519311033662021</v>
      </c>
      <c r="G102" s="114"/>
      <c r="H102" s="29" t="str">
        <f t="shared" si="1"/>
        <v>(30, 35]</v>
      </c>
      <c r="I102" s="110">
        <v>0</v>
      </c>
      <c r="J102" s="107">
        <v>0</v>
      </c>
      <c r="K102" s="107">
        <v>0</v>
      </c>
      <c r="L102" s="111">
        <v>0</v>
      </c>
      <c r="M102" s="107">
        <v>0</v>
      </c>
      <c r="N102" s="107">
        <v>0</v>
      </c>
    </row>
    <row r="103" spans="1:14">
      <c r="A103" s="84">
        <v>35</v>
      </c>
      <c r="B103" s="84">
        <v>40</v>
      </c>
      <c r="C103" s="116">
        <v>65100</v>
      </c>
      <c r="D103" s="116">
        <v>244284710</v>
      </c>
      <c r="E103" s="107">
        <v>2.8572845614024307E-2</v>
      </c>
      <c r="F103" s="109">
        <v>37.524533026113673</v>
      </c>
      <c r="G103" s="114"/>
      <c r="H103" s="119" t="str">
        <f t="shared" si="1"/>
        <v>(35, 40]</v>
      </c>
      <c r="I103" s="110">
        <v>0</v>
      </c>
      <c r="J103" s="107">
        <v>0</v>
      </c>
      <c r="K103" s="107">
        <v>0</v>
      </c>
      <c r="L103" s="111">
        <v>0</v>
      </c>
      <c r="M103" s="107">
        <v>0</v>
      </c>
      <c r="N103" s="107">
        <v>0</v>
      </c>
    </row>
    <row r="104" spans="1:14">
      <c r="A104" s="84">
        <v>40</v>
      </c>
      <c r="B104" s="84">
        <v>45</v>
      </c>
      <c r="C104" s="116">
        <v>61979</v>
      </c>
      <c r="D104" s="116">
        <v>263528360</v>
      </c>
      <c r="E104" s="107">
        <v>2.7203016871146121E-2</v>
      </c>
      <c r="F104" s="109">
        <v>42.518975782119753</v>
      </c>
      <c r="G104" s="114"/>
      <c r="H104" s="29" t="str">
        <f t="shared" si="1"/>
        <v>(40, 45]</v>
      </c>
      <c r="I104" s="110">
        <v>3</v>
      </c>
      <c r="J104" s="107">
        <v>8.1609050613438358E-2</v>
      </c>
      <c r="K104" s="107">
        <v>0.19167510082330699</v>
      </c>
      <c r="L104" s="111">
        <v>191675100</v>
      </c>
      <c r="M104" s="107">
        <v>0.1916751009583755</v>
      </c>
      <c r="N104" s="107">
        <v>8.1498289756845264</v>
      </c>
    </row>
    <row r="105" spans="1:14">
      <c r="A105" s="84">
        <v>45</v>
      </c>
      <c r="B105" s="84">
        <v>50</v>
      </c>
      <c r="C105" s="116">
        <v>57512</v>
      </c>
      <c r="D105" s="116">
        <v>273347815</v>
      </c>
      <c r="E105" s="107">
        <v>2.524241930804556E-2</v>
      </c>
      <c r="F105" s="109">
        <v>47.528831374321882</v>
      </c>
      <c r="G105" s="114"/>
      <c r="H105" s="29" t="str">
        <f t="shared" si="1"/>
        <v>(45, 50]</v>
      </c>
      <c r="I105" s="110">
        <v>3</v>
      </c>
      <c r="J105" s="107">
        <v>7.5727257924136676E-2</v>
      </c>
      <c r="K105" s="107">
        <v>0.17786053983688077</v>
      </c>
      <c r="L105" s="111">
        <v>177860539</v>
      </c>
      <c r="M105" s="107">
        <v>0.1778605398893027</v>
      </c>
      <c r="N105" s="107">
        <v>8.4535036085445192</v>
      </c>
    </row>
    <row r="106" spans="1:14">
      <c r="A106" s="84">
        <v>50</v>
      </c>
      <c r="B106" s="84">
        <v>60</v>
      </c>
      <c r="C106" s="116">
        <v>104777</v>
      </c>
      <c r="D106" s="116">
        <v>575637135</v>
      </c>
      <c r="E106" s="107">
        <v>4.5987358600624036E-2</v>
      </c>
      <c r="F106" s="109">
        <v>54.939264819569182</v>
      </c>
      <c r="G106" s="114">
        <v>2.12</v>
      </c>
      <c r="H106" s="119" t="str">
        <f t="shared" si="1"/>
        <v>(50, 60]</v>
      </c>
      <c r="I106" s="110">
        <v>1.5</v>
      </c>
      <c r="J106" s="107">
        <v>6.8981037900936057E-2</v>
      </c>
      <c r="K106" s="107">
        <v>0.16201569918007422</v>
      </c>
      <c r="L106" s="111">
        <v>162015699</v>
      </c>
      <c r="M106" s="107">
        <v>0.16201569981007849</v>
      </c>
      <c r="N106" s="107">
        <v>8.9010234367937269</v>
      </c>
    </row>
    <row r="107" spans="1:14">
      <c r="A107" s="84">
        <v>60</v>
      </c>
      <c r="B107" s="84">
        <v>70</v>
      </c>
      <c r="C107" s="116">
        <v>92873</v>
      </c>
      <c r="D107" s="116">
        <v>603037995</v>
      </c>
      <c r="E107" s="107">
        <v>4.076260968834531E-2</v>
      </c>
      <c r="F107" s="109">
        <v>64.931465011359592</v>
      </c>
      <c r="G107" s="114">
        <v>5.94</v>
      </c>
      <c r="H107" s="29" t="str">
        <f t="shared" si="1"/>
        <v>(60, 70]</v>
      </c>
      <c r="I107" s="110">
        <v>1.4</v>
      </c>
      <c r="J107" s="107">
        <v>5.7067653563683429E-2</v>
      </c>
      <c r="K107" s="107">
        <v>0.13403474453319236</v>
      </c>
      <c r="L107" s="111">
        <v>134034744</v>
      </c>
      <c r="M107" s="107">
        <v>0.13403474467017373</v>
      </c>
      <c r="N107" s="107">
        <v>8.7030723338579019</v>
      </c>
    </row>
    <row r="108" spans="1:14">
      <c r="A108" s="84">
        <v>70</v>
      </c>
      <c r="B108" s="84">
        <v>80</v>
      </c>
      <c r="C108" s="116">
        <v>83293</v>
      </c>
      <c r="D108" s="116">
        <v>624248335</v>
      </c>
      <c r="E108" s="107">
        <v>3.6557880640997339E-2</v>
      </c>
      <c r="F108" s="109">
        <v>74.946074099864333</v>
      </c>
      <c r="G108" s="114">
        <v>5.07</v>
      </c>
      <c r="H108" s="29" t="str">
        <f t="shared" si="1"/>
        <v>(70, 80]</v>
      </c>
      <c r="I108" s="110">
        <v>1.2</v>
      </c>
      <c r="J108" s="107">
        <v>4.3869456769196805E-2</v>
      </c>
      <c r="K108" s="107">
        <v>0.10303615207006057</v>
      </c>
      <c r="L108" s="111">
        <v>103036152</v>
      </c>
      <c r="M108" s="107">
        <v>0.10303615251518077</v>
      </c>
      <c r="N108" s="107">
        <v>7.7221551213676607</v>
      </c>
    </row>
    <row r="109" spans="1:14">
      <c r="A109" s="84">
        <v>80</v>
      </c>
      <c r="B109" s="84">
        <v>90</v>
      </c>
      <c r="C109" s="116">
        <v>74862</v>
      </c>
      <c r="D109" s="116">
        <v>635978325</v>
      </c>
      <c r="E109" s="107">
        <v>3.2857455735131914E-2</v>
      </c>
      <c r="F109" s="109">
        <v>84.953424300713309</v>
      </c>
      <c r="G109" s="114">
        <v>2.4900000000000002</v>
      </c>
      <c r="H109" s="29" t="str">
        <f t="shared" si="1"/>
        <v>(80, 90]</v>
      </c>
      <c r="I109" s="110">
        <v>1.2</v>
      </c>
      <c r="J109" s="107">
        <v>3.9428946882158297E-2</v>
      </c>
      <c r="K109" s="107">
        <v>9.2606730652862485E-2</v>
      </c>
      <c r="L109" s="111">
        <v>92606730</v>
      </c>
      <c r="M109" s="107">
        <v>9.2606730463033651E-2</v>
      </c>
      <c r="N109" s="107">
        <v>7.8672588661278908</v>
      </c>
    </row>
    <row r="110" spans="1:14">
      <c r="A110" s="84">
        <v>90</v>
      </c>
      <c r="B110" s="84">
        <v>100</v>
      </c>
      <c r="C110" s="116">
        <v>67374</v>
      </c>
      <c r="D110" s="116">
        <v>639750200</v>
      </c>
      <c r="E110" s="107">
        <v>2.95709201290211E-2</v>
      </c>
      <c r="F110" s="109">
        <v>94.955056846854873</v>
      </c>
      <c r="G110" s="114">
        <v>2.13</v>
      </c>
      <c r="H110" s="29" t="str">
        <f t="shared" si="1"/>
        <v>(90, 100]</v>
      </c>
      <c r="I110" s="136">
        <v>0.93</v>
      </c>
      <c r="J110" s="133">
        <v>2.7500955719989624E-2</v>
      </c>
      <c r="K110" s="133">
        <v>6.4591468969966301E-2</v>
      </c>
      <c r="L110" s="111">
        <v>64591468</v>
      </c>
      <c r="M110" s="133">
        <v>6.4591468322957341E-2</v>
      </c>
      <c r="N110" s="133">
        <v>6.1332865464282404</v>
      </c>
    </row>
    <row r="111" spans="1:14">
      <c r="A111" s="84">
        <v>100</v>
      </c>
      <c r="B111" s="84">
        <v>120</v>
      </c>
      <c r="C111" s="116">
        <v>117138</v>
      </c>
      <c r="D111" s="116">
        <v>1285241290</v>
      </c>
      <c r="E111" s="107">
        <v>5.1412688011299224E-2</v>
      </c>
      <c r="F111" s="109">
        <v>109.72026925506667</v>
      </c>
      <c r="G111" s="114">
        <v>1.6</v>
      </c>
      <c r="H111" s="29" t="str">
        <f t="shared" si="1"/>
        <v>(100, 120]</v>
      </c>
      <c r="I111" s="136">
        <v>0.38</v>
      </c>
      <c r="J111" s="133">
        <v>1.9536821444293705E-2</v>
      </c>
      <c r="K111" s="133">
        <v>4.5886114247790405E-2</v>
      </c>
      <c r="L111" s="111">
        <v>45886114</v>
      </c>
      <c r="M111" s="133">
        <v>4.588611422943057E-2</v>
      </c>
      <c r="N111" s="133">
        <v>5.034636808321868</v>
      </c>
    </row>
    <row r="112" spans="1:14">
      <c r="A112" s="84">
        <v>120</v>
      </c>
      <c r="B112" s="84">
        <v>140</v>
      </c>
      <c r="C112" s="116">
        <v>98023</v>
      </c>
      <c r="D112" s="116">
        <v>1271812335</v>
      </c>
      <c r="E112" s="107">
        <v>4.3022980731543849E-2</v>
      </c>
      <c r="F112" s="109">
        <v>129.7463182110321</v>
      </c>
      <c r="G112" s="114">
        <v>0.68</v>
      </c>
      <c r="H112" s="29" t="str">
        <f t="shared" si="1"/>
        <v>(120, 140]</v>
      </c>
      <c r="I112" s="136">
        <v>0.28000000000000003</v>
      </c>
      <c r="J112" s="133">
        <v>1.2046434604832278E-2</v>
      </c>
      <c r="K112" s="133">
        <v>2.8293449685865894E-2</v>
      </c>
      <c r="L112" s="111">
        <v>28293449</v>
      </c>
      <c r="M112" s="133">
        <v>2.8293449141467246E-2</v>
      </c>
      <c r="N112" s="133">
        <v>3.6709708555964622</v>
      </c>
    </row>
    <row r="113" spans="1:14">
      <c r="A113" s="84">
        <v>140</v>
      </c>
      <c r="B113" s="84">
        <v>160</v>
      </c>
      <c r="C113" s="116">
        <v>83073</v>
      </c>
      <c r="D113" s="116">
        <v>1244282160</v>
      </c>
      <c r="E113" s="107">
        <v>3.6461321101287886E-2</v>
      </c>
      <c r="F113" s="109">
        <v>149.7817774728251</v>
      </c>
      <c r="G113" s="114">
        <v>1.03</v>
      </c>
      <c r="H113" s="29" t="str">
        <f t="shared" si="1"/>
        <v>(140, 160]</v>
      </c>
      <c r="I113" s="136">
        <v>0</v>
      </c>
      <c r="J113" s="133">
        <v>0</v>
      </c>
      <c r="K113" s="133">
        <v>0</v>
      </c>
      <c r="L113" s="111">
        <v>0</v>
      </c>
      <c r="M113" s="133">
        <v>0</v>
      </c>
      <c r="N113" s="133">
        <v>0</v>
      </c>
    </row>
    <row r="114" spans="1:14">
      <c r="A114" s="84">
        <v>160</v>
      </c>
      <c r="B114" s="84">
        <v>180</v>
      </c>
      <c r="C114" s="116">
        <v>71278</v>
      </c>
      <c r="D114" s="116">
        <v>1210416050</v>
      </c>
      <c r="E114" s="107">
        <v>3.1284413051865204E-2</v>
      </c>
      <c r="F114" s="109">
        <v>169.81621959089759</v>
      </c>
      <c r="G114" s="114">
        <v>0.3</v>
      </c>
      <c r="H114" s="29" t="str">
        <f t="shared" si="1"/>
        <v>(160, 180]</v>
      </c>
      <c r="I114" s="136">
        <v>0</v>
      </c>
      <c r="J114" s="133">
        <v>0</v>
      </c>
      <c r="K114" s="133">
        <v>0</v>
      </c>
      <c r="L114" s="111">
        <v>0</v>
      </c>
      <c r="M114" s="133">
        <v>0</v>
      </c>
      <c r="N114" s="133">
        <v>0</v>
      </c>
    </row>
    <row r="115" spans="1:14">
      <c r="A115" s="84">
        <v>180</v>
      </c>
      <c r="B115" s="84">
        <v>200</v>
      </c>
      <c r="C115" s="116">
        <v>61850</v>
      </c>
      <c r="D115" s="116">
        <v>1174015420</v>
      </c>
      <c r="E115" s="107">
        <v>2.7146397868316487E-2</v>
      </c>
      <c r="F115" s="109">
        <v>189.81655941794662</v>
      </c>
      <c r="G115" s="114">
        <v>0.26</v>
      </c>
      <c r="H115" s="29" t="str">
        <f t="shared" si="1"/>
        <v>(180, 200]</v>
      </c>
      <c r="I115" s="136">
        <v>0</v>
      </c>
      <c r="J115" s="133">
        <v>0</v>
      </c>
      <c r="K115" s="133">
        <v>0</v>
      </c>
      <c r="L115" s="111">
        <v>0</v>
      </c>
      <c r="M115" s="133">
        <v>0</v>
      </c>
      <c r="N115" s="133">
        <v>0</v>
      </c>
    </row>
    <row r="116" spans="1:14">
      <c r="A116" s="84">
        <v>200</v>
      </c>
      <c r="B116" s="84">
        <v>250</v>
      </c>
      <c r="C116" s="116">
        <v>123505</v>
      </c>
      <c r="D116" s="116">
        <v>2763375860</v>
      </c>
      <c r="E116" s="107">
        <v>5.4207208871890511E-2</v>
      </c>
      <c r="F116" s="109">
        <v>223.7460718189547</v>
      </c>
      <c r="G116" s="114">
        <v>0.3</v>
      </c>
      <c r="H116" s="29" t="str">
        <f t="shared" si="1"/>
        <v>(200, 250]</v>
      </c>
      <c r="I116" s="136">
        <v>0</v>
      </c>
      <c r="J116" s="133">
        <v>0</v>
      </c>
      <c r="K116" s="133">
        <v>0</v>
      </c>
      <c r="L116" s="111">
        <v>0</v>
      </c>
      <c r="M116" s="133">
        <v>0</v>
      </c>
      <c r="N116" s="133">
        <v>0</v>
      </c>
    </row>
    <row r="117" spans="1:14">
      <c r="A117" s="84">
        <v>250</v>
      </c>
      <c r="B117" s="84">
        <v>300</v>
      </c>
      <c r="C117" s="116">
        <v>91171</v>
      </c>
      <c r="D117" s="116">
        <v>2497132705</v>
      </c>
      <c r="E117" s="107">
        <v>4.0015589976593088E-2</v>
      </c>
      <c r="F117" s="109">
        <v>273.89550460124383</v>
      </c>
      <c r="G117" s="114">
        <v>0.09</v>
      </c>
      <c r="H117" s="29" t="str">
        <f t="shared" si="1"/>
        <v>(250, 300]</v>
      </c>
      <c r="I117" s="136">
        <v>0</v>
      </c>
      <c r="J117" s="133">
        <v>0</v>
      </c>
      <c r="K117" s="133">
        <v>0</v>
      </c>
      <c r="L117" s="111">
        <v>0</v>
      </c>
      <c r="M117" s="133">
        <v>0</v>
      </c>
      <c r="N117" s="133">
        <v>0</v>
      </c>
    </row>
    <row r="118" spans="1:14">
      <c r="A118" s="84">
        <v>300</v>
      </c>
      <c r="B118" s="84">
        <v>350</v>
      </c>
      <c r="C118" s="116">
        <v>70283</v>
      </c>
      <c r="D118" s="116">
        <v>2277474765</v>
      </c>
      <c r="E118" s="107">
        <v>3.0847700588179268E-2</v>
      </c>
      <c r="F118" s="109">
        <v>324.04347637408762</v>
      </c>
      <c r="G118" s="114">
        <v>0.08</v>
      </c>
      <c r="H118" s="29" t="str">
        <f t="shared" si="1"/>
        <v>(300, 350]</v>
      </c>
      <c r="I118" s="136">
        <v>0</v>
      </c>
      <c r="J118" s="133">
        <v>0</v>
      </c>
      <c r="K118" s="133">
        <v>0</v>
      </c>
      <c r="L118" s="111">
        <v>0</v>
      </c>
      <c r="M118" s="133">
        <v>0</v>
      </c>
      <c r="N118" s="133">
        <v>0</v>
      </c>
    </row>
    <row r="119" spans="1:14">
      <c r="A119" s="84">
        <v>350</v>
      </c>
      <c r="B119" s="84">
        <v>400</v>
      </c>
      <c r="C119" s="116">
        <v>54191</v>
      </c>
      <c r="D119" s="116">
        <v>2026990150</v>
      </c>
      <c r="E119" s="107">
        <v>2.3784809165431509E-2</v>
      </c>
      <c r="F119" s="109">
        <v>374.04553339115353</v>
      </c>
      <c r="G119" s="114">
        <v>0.01</v>
      </c>
      <c r="H119" s="29" t="str">
        <f t="shared" si="1"/>
        <v>(350, 400]</v>
      </c>
      <c r="I119" s="136">
        <v>0</v>
      </c>
      <c r="J119" s="133">
        <v>0</v>
      </c>
      <c r="K119" s="133">
        <v>0</v>
      </c>
      <c r="L119" s="111">
        <v>0</v>
      </c>
      <c r="M119" s="133">
        <v>0</v>
      </c>
      <c r="N119" s="133">
        <v>0</v>
      </c>
    </row>
    <row r="120" spans="1:14">
      <c r="A120" s="84">
        <v>400</v>
      </c>
      <c r="B120" s="84">
        <v>450</v>
      </c>
      <c r="C120" s="116">
        <v>43300</v>
      </c>
      <c r="D120" s="116">
        <v>1836158150</v>
      </c>
      <c r="E120" s="107">
        <v>1.9004673042814939E-2</v>
      </c>
      <c r="F120" s="109">
        <v>424.05500000000001</v>
      </c>
      <c r="G120" s="114">
        <v>0.01</v>
      </c>
      <c r="H120" s="29" t="str">
        <f t="shared" si="1"/>
        <v>(400, 450]</v>
      </c>
      <c r="I120" s="136">
        <v>0</v>
      </c>
      <c r="J120" s="133">
        <v>0</v>
      </c>
      <c r="K120" s="133">
        <v>0</v>
      </c>
      <c r="L120" s="111">
        <v>0</v>
      </c>
      <c r="M120" s="133">
        <v>0</v>
      </c>
      <c r="N120" s="133">
        <v>0</v>
      </c>
    </row>
    <row r="121" spans="1:14">
      <c r="A121" s="84">
        <v>450</v>
      </c>
      <c r="B121" s="84">
        <v>500</v>
      </c>
      <c r="C121" s="116">
        <v>35047</v>
      </c>
      <c r="D121" s="116">
        <v>1661604835</v>
      </c>
      <c r="E121" s="107">
        <v>1.5382373582714439E-2</v>
      </c>
      <c r="F121" s="109">
        <v>474.10757982138267</v>
      </c>
      <c r="G121" s="114">
        <v>0.01</v>
      </c>
      <c r="H121" s="29" t="str">
        <f t="shared" si="1"/>
        <v>(450, 500]</v>
      </c>
      <c r="I121" s="136">
        <v>0</v>
      </c>
      <c r="J121" s="133">
        <v>0</v>
      </c>
      <c r="K121" s="133">
        <v>0</v>
      </c>
      <c r="L121" s="111">
        <v>0</v>
      </c>
      <c r="M121" s="133">
        <v>0</v>
      </c>
      <c r="N121" s="133">
        <v>0</v>
      </c>
    </row>
    <row r="122" spans="1:14">
      <c r="A122" s="84">
        <v>500</v>
      </c>
      <c r="B122" s="84">
        <v>550</v>
      </c>
      <c r="C122" s="116">
        <v>28158</v>
      </c>
      <c r="D122" s="116">
        <v>1476232245</v>
      </c>
      <c r="E122" s="107">
        <v>1.2358743268812542E-2</v>
      </c>
      <c r="F122" s="109">
        <v>524.26743554229699</v>
      </c>
      <c r="G122" s="114">
        <v>0.01</v>
      </c>
      <c r="H122" s="29" t="str">
        <f t="shared" si="1"/>
        <v>(500, 550]</v>
      </c>
      <c r="I122" s="136">
        <v>0</v>
      </c>
      <c r="J122" s="133">
        <v>0</v>
      </c>
      <c r="K122" s="133">
        <v>0</v>
      </c>
      <c r="L122" s="111">
        <v>0</v>
      </c>
      <c r="M122" s="133">
        <v>0</v>
      </c>
      <c r="N122" s="133">
        <v>0</v>
      </c>
    </row>
    <row r="123" spans="1:14">
      <c r="A123" s="84">
        <v>550</v>
      </c>
      <c r="B123" s="84">
        <v>600</v>
      </c>
      <c r="C123" s="116">
        <v>23509</v>
      </c>
      <c r="D123" s="116">
        <v>1350228635</v>
      </c>
      <c r="E123" s="107">
        <v>1.0318264631952342E-2</v>
      </c>
      <c r="F123" s="109">
        <v>574.34541452209794</v>
      </c>
      <c r="G123" s="114">
        <v>0.01</v>
      </c>
      <c r="H123" s="29" t="str">
        <f t="shared" si="1"/>
        <v>(550, 600]</v>
      </c>
      <c r="I123" s="110">
        <v>0</v>
      </c>
      <c r="J123" s="107">
        <v>0</v>
      </c>
      <c r="K123" s="107">
        <v>0</v>
      </c>
      <c r="L123" s="111">
        <v>0</v>
      </c>
      <c r="M123" s="107">
        <v>0</v>
      </c>
      <c r="N123" s="107">
        <v>0</v>
      </c>
    </row>
    <row r="124" spans="1:14">
      <c r="A124" s="84">
        <v>600</v>
      </c>
      <c r="B124" s="84">
        <v>650</v>
      </c>
      <c r="C124" s="116">
        <v>19576</v>
      </c>
      <c r="D124" s="116">
        <v>1222197930</v>
      </c>
      <c r="E124" s="107">
        <v>8.5920434061465406E-3</v>
      </c>
      <c r="F124" s="109">
        <v>624.33486411932984</v>
      </c>
      <c r="G124" s="114">
        <v>0.01</v>
      </c>
      <c r="H124" s="29" t="str">
        <f t="shared" si="1"/>
        <v>(600, 650]</v>
      </c>
      <c r="I124" s="110">
        <v>0</v>
      </c>
      <c r="J124" s="107">
        <v>0</v>
      </c>
      <c r="K124" s="107">
        <v>0</v>
      </c>
      <c r="L124" s="111">
        <v>0</v>
      </c>
      <c r="M124" s="107">
        <v>0</v>
      </c>
      <c r="N124" s="107">
        <v>0</v>
      </c>
    </row>
    <row r="125" spans="1:14">
      <c r="A125" s="84">
        <v>650</v>
      </c>
      <c r="B125" s="84">
        <v>700</v>
      </c>
      <c r="C125" s="116">
        <v>16323</v>
      </c>
      <c r="D125" s="116">
        <v>1100626695</v>
      </c>
      <c r="E125" s="107">
        <v>7.1642789394426847E-3</v>
      </c>
      <c r="F125" s="109">
        <v>674.27966366476755</v>
      </c>
      <c r="G125" s="114">
        <v>0.01</v>
      </c>
      <c r="H125" s="29" t="str">
        <f t="shared" si="1"/>
        <v>(650, 700]</v>
      </c>
      <c r="I125" s="110">
        <v>0</v>
      </c>
      <c r="J125" s="107">
        <v>0</v>
      </c>
      <c r="K125" s="107">
        <v>0</v>
      </c>
      <c r="L125" s="111">
        <v>0</v>
      </c>
      <c r="M125" s="107">
        <v>0</v>
      </c>
      <c r="N125" s="107">
        <v>0</v>
      </c>
    </row>
    <row r="126" spans="1:14">
      <c r="A126" s="84">
        <v>700</v>
      </c>
      <c r="B126" s="84">
        <v>750</v>
      </c>
      <c r="C126" s="116">
        <v>13958</v>
      </c>
      <c r="D126" s="116">
        <v>1010893865</v>
      </c>
      <c r="E126" s="107">
        <v>6.1262638875660717E-3</v>
      </c>
      <c r="F126" s="109">
        <v>724.23976572574873</v>
      </c>
      <c r="G126" s="114">
        <v>0.01</v>
      </c>
      <c r="H126" s="29" t="str">
        <f t="shared" si="1"/>
        <v>(700, 750]</v>
      </c>
      <c r="I126" s="110">
        <v>0</v>
      </c>
      <c r="J126" s="107">
        <v>0</v>
      </c>
      <c r="K126" s="107">
        <v>0</v>
      </c>
      <c r="L126" s="111">
        <v>0</v>
      </c>
      <c r="M126" s="107">
        <v>0</v>
      </c>
      <c r="N126" s="107">
        <v>0</v>
      </c>
    </row>
    <row r="127" spans="1:14">
      <c r="A127" s="84">
        <v>750</v>
      </c>
      <c r="B127" s="84">
        <v>800</v>
      </c>
      <c r="C127" s="116">
        <v>11691</v>
      </c>
      <c r="D127" s="116">
        <v>905166865</v>
      </c>
      <c r="E127" s="107">
        <v>5.1312617215600338E-3</v>
      </c>
      <c r="F127" s="109">
        <v>774.24246428876916</v>
      </c>
      <c r="G127" s="114">
        <v>0.01</v>
      </c>
      <c r="H127" s="29" t="str">
        <f t="shared" si="1"/>
        <v>(750, 800]</v>
      </c>
      <c r="I127" s="110">
        <v>0</v>
      </c>
      <c r="J127" s="107">
        <v>0</v>
      </c>
      <c r="K127" s="107">
        <v>0</v>
      </c>
      <c r="L127" s="111">
        <v>0</v>
      </c>
      <c r="M127" s="107">
        <v>0</v>
      </c>
      <c r="N127" s="107">
        <v>0</v>
      </c>
    </row>
    <row r="128" spans="1:14">
      <c r="A128" s="84">
        <v>800</v>
      </c>
      <c r="B128" s="84">
        <v>850</v>
      </c>
      <c r="C128" s="116">
        <v>10300</v>
      </c>
      <c r="D128" s="116">
        <v>849158805</v>
      </c>
      <c r="E128" s="107">
        <v>4.5207420863970869E-3</v>
      </c>
      <c r="F128" s="109">
        <v>824.42602427184465</v>
      </c>
      <c r="G128" s="114">
        <v>0.01</v>
      </c>
      <c r="H128" s="29" t="str">
        <f t="shared" si="1"/>
        <v>(800, 850]</v>
      </c>
      <c r="I128" s="110">
        <v>0</v>
      </c>
      <c r="J128" s="107">
        <v>0</v>
      </c>
      <c r="K128" s="107">
        <v>0</v>
      </c>
      <c r="L128" s="111">
        <v>0</v>
      </c>
      <c r="M128" s="107">
        <v>0</v>
      </c>
      <c r="N128" s="107">
        <v>0</v>
      </c>
    </row>
    <row r="129" spans="1:14">
      <c r="A129" s="84">
        <v>850</v>
      </c>
      <c r="B129" s="84">
        <v>900</v>
      </c>
      <c r="C129" s="116">
        <v>8545</v>
      </c>
      <c r="D129" s="116">
        <v>747239950</v>
      </c>
      <c r="E129" s="107">
        <v>3.7504603037148651E-3</v>
      </c>
      <c r="F129" s="109">
        <v>874.47624341720302</v>
      </c>
      <c r="G129" s="114">
        <v>0.01</v>
      </c>
      <c r="H129" s="29" t="str">
        <f t="shared" si="1"/>
        <v>(850, 900]</v>
      </c>
      <c r="I129" s="110">
        <v>0</v>
      </c>
      <c r="J129" s="107">
        <v>0</v>
      </c>
      <c r="K129" s="107">
        <v>0</v>
      </c>
      <c r="L129" s="112">
        <v>0</v>
      </c>
      <c r="M129" s="107">
        <v>0</v>
      </c>
      <c r="N129" s="107">
        <v>0</v>
      </c>
    </row>
    <row r="130" spans="1:14">
      <c r="A130" s="84">
        <v>900</v>
      </c>
      <c r="B130" s="84">
        <v>950</v>
      </c>
      <c r="C130" s="116">
        <v>7531</v>
      </c>
      <c r="D130" s="116">
        <v>696264460</v>
      </c>
      <c r="E130" s="107">
        <v>3.3054086070540257E-3</v>
      </c>
      <c r="F130" s="109">
        <v>924.53121763378033</v>
      </c>
      <c r="G130" s="114">
        <v>0.01</v>
      </c>
      <c r="H130" s="29" t="str">
        <f t="shared" si="1"/>
        <v>(900, 950]</v>
      </c>
      <c r="I130" s="110">
        <v>0</v>
      </c>
      <c r="J130" s="107">
        <v>0</v>
      </c>
      <c r="K130" s="107">
        <v>0</v>
      </c>
      <c r="L130" s="112">
        <v>0</v>
      </c>
      <c r="M130" s="107">
        <v>0</v>
      </c>
      <c r="N130" s="107">
        <v>0</v>
      </c>
    </row>
    <row r="131" spans="1:14">
      <c r="A131" s="84">
        <v>950</v>
      </c>
      <c r="B131" s="84">
        <v>1000</v>
      </c>
      <c r="C131" s="116">
        <v>6522</v>
      </c>
      <c r="D131" s="116">
        <v>635506350</v>
      </c>
      <c r="E131" s="107">
        <v>2.8625514453865827E-3</v>
      </c>
      <c r="F131" s="109">
        <v>974.4040938362466</v>
      </c>
      <c r="G131" s="114">
        <v>0.01</v>
      </c>
      <c r="H131" s="29" t="str">
        <f t="shared" si="1"/>
        <v>(950, 1000]</v>
      </c>
      <c r="I131" s="110">
        <v>0</v>
      </c>
      <c r="J131" s="107">
        <v>0</v>
      </c>
      <c r="K131" s="107">
        <v>0</v>
      </c>
      <c r="L131" s="112">
        <v>0</v>
      </c>
      <c r="M131" s="107">
        <v>0</v>
      </c>
      <c r="N131" s="107">
        <v>0</v>
      </c>
    </row>
    <row r="132" spans="1:14">
      <c r="A132" s="84">
        <v>1000</v>
      </c>
      <c r="B132" s="84">
        <v>2000</v>
      </c>
      <c r="C132" s="116">
        <v>45431</v>
      </c>
      <c r="D132" s="116">
        <v>6016529675</v>
      </c>
      <c r="E132" s="107">
        <v>1.993998385700059E-2</v>
      </c>
      <c r="F132" s="109">
        <v>1324.322527569281</v>
      </c>
      <c r="G132" s="114">
        <v>0.01</v>
      </c>
      <c r="H132" s="29" t="str">
        <f t="shared" si="1"/>
        <v>(1000, 2000]</v>
      </c>
      <c r="I132" s="110">
        <v>0</v>
      </c>
      <c r="J132" s="107">
        <v>0</v>
      </c>
      <c r="K132" s="107">
        <v>0</v>
      </c>
      <c r="L132" s="112">
        <v>0</v>
      </c>
      <c r="M132" s="107">
        <v>0</v>
      </c>
      <c r="N132" s="107">
        <v>0</v>
      </c>
    </row>
    <row r="133" spans="1:14">
      <c r="A133" s="84">
        <v>2000</v>
      </c>
      <c r="B133" s="84">
        <v>3000</v>
      </c>
      <c r="C133" s="116">
        <v>6086</v>
      </c>
      <c r="D133" s="116">
        <v>1439400455</v>
      </c>
      <c r="E133" s="107">
        <v>2.6711879939623952E-3</v>
      </c>
      <c r="F133" s="109">
        <v>2365.1009776536316</v>
      </c>
      <c r="G133" s="114">
        <v>0.01</v>
      </c>
      <c r="H133" s="29" t="str">
        <f t="shared" si="1"/>
        <v>(2000, 3000]</v>
      </c>
      <c r="I133" s="110">
        <v>0</v>
      </c>
      <c r="J133" s="107">
        <v>0</v>
      </c>
      <c r="K133" s="107">
        <v>0</v>
      </c>
      <c r="L133" s="112">
        <v>0</v>
      </c>
      <c r="M133" s="107">
        <v>0</v>
      </c>
      <c r="N133" s="107">
        <v>0</v>
      </c>
    </row>
    <row r="134" spans="1:14">
      <c r="A134" s="84">
        <v>3000</v>
      </c>
      <c r="B134" s="84">
        <v>4000</v>
      </c>
      <c r="C134" s="116">
        <v>1330</v>
      </c>
      <c r="D134" s="116">
        <v>451295940</v>
      </c>
      <c r="E134" s="107">
        <v>5.8374630824350733E-4</v>
      </c>
      <c r="F134" s="109">
        <v>3393.2025563909779</v>
      </c>
      <c r="G134" s="114">
        <v>0.01</v>
      </c>
      <c r="H134" s="29" t="str">
        <f t="shared" si="1"/>
        <v>(3000, 4000]</v>
      </c>
      <c r="I134" s="110">
        <v>0</v>
      </c>
      <c r="J134" s="107">
        <v>0</v>
      </c>
      <c r="K134" s="107">
        <v>0</v>
      </c>
      <c r="L134" s="112">
        <v>0</v>
      </c>
      <c r="M134" s="107">
        <v>0</v>
      </c>
      <c r="N134" s="107">
        <v>0</v>
      </c>
    </row>
    <row r="135" spans="1:14">
      <c r="A135" s="84">
        <v>4000</v>
      </c>
      <c r="B135" s="84">
        <v>5000</v>
      </c>
      <c r="C135" s="116">
        <v>361</v>
      </c>
      <c r="D135" s="116">
        <v>158982415</v>
      </c>
      <c r="E135" s="107">
        <v>1.5844542652323771E-4</v>
      </c>
      <c r="F135" s="109">
        <v>4403.9450138504153</v>
      </c>
      <c r="G135" s="114">
        <v>0.01</v>
      </c>
      <c r="H135" s="29" t="str">
        <f t="shared" si="1"/>
        <v>(4000, 5000]</v>
      </c>
      <c r="I135" s="110">
        <v>0</v>
      </c>
      <c r="J135" s="107">
        <v>0</v>
      </c>
      <c r="K135" s="107">
        <v>0</v>
      </c>
      <c r="L135" s="112">
        <v>0</v>
      </c>
      <c r="M135" s="107">
        <v>0</v>
      </c>
      <c r="N135" s="107">
        <v>0</v>
      </c>
    </row>
    <row r="136" spans="1:14">
      <c r="A136" s="84">
        <v>5000</v>
      </c>
      <c r="B136" s="84">
        <v>6000</v>
      </c>
      <c r="C136" s="116">
        <v>133</v>
      </c>
      <c r="D136" s="116">
        <v>72027630</v>
      </c>
      <c r="E136" s="107">
        <v>5.8374630824350737E-5</v>
      </c>
      <c r="F136" s="109">
        <v>5415.611278195488</v>
      </c>
      <c r="G136" s="114">
        <v>0.01</v>
      </c>
      <c r="H136" s="29" t="str">
        <f t="shared" si="1"/>
        <v>(5000, 6000]</v>
      </c>
      <c r="I136" s="110">
        <v>0</v>
      </c>
      <c r="J136" s="107">
        <v>0</v>
      </c>
      <c r="K136" s="107">
        <v>0</v>
      </c>
      <c r="L136" s="112">
        <v>0</v>
      </c>
      <c r="M136" s="107">
        <v>0</v>
      </c>
      <c r="N136" s="107">
        <v>0</v>
      </c>
    </row>
    <row r="137" spans="1:14">
      <c r="A137" s="84">
        <v>6000</v>
      </c>
      <c r="B137" s="84">
        <v>7000</v>
      </c>
      <c r="C137" s="116">
        <v>48</v>
      </c>
      <c r="D137" s="116">
        <v>30871890</v>
      </c>
      <c r="E137" s="107">
        <v>2.1067535936607783E-5</v>
      </c>
      <c r="F137" s="109">
        <v>6431.6437500000002</v>
      </c>
      <c r="G137" s="114">
        <v>0.01</v>
      </c>
      <c r="H137" s="29" t="str">
        <f t="shared" si="1"/>
        <v>(6000, 7000]</v>
      </c>
      <c r="I137" s="110">
        <v>0</v>
      </c>
      <c r="J137" s="107">
        <v>0</v>
      </c>
      <c r="K137" s="107">
        <v>0</v>
      </c>
      <c r="L137" s="112">
        <v>0</v>
      </c>
      <c r="M137" s="107">
        <v>0</v>
      </c>
      <c r="N137" s="107">
        <v>0</v>
      </c>
    </row>
    <row r="138" spans="1:14">
      <c r="A138" s="84">
        <v>7000</v>
      </c>
      <c r="B138" s="84">
        <v>8000</v>
      </c>
      <c r="C138" s="116">
        <v>27</v>
      </c>
      <c r="D138" s="116">
        <v>20035630</v>
      </c>
      <c r="E138" s="107">
        <v>1.1850488964341879E-5</v>
      </c>
      <c r="F138" s="109">
        <v>7420.6037037037031</v>
      </c>
      <c r="G138" s="114">
        <v>0.01</v>
      </c>
      <c r="H138" s="29" t="str">
        <f t="shared" si="1"/>
        <v>(7000, 8000]</v>
      </c>
      <c r="I138" s="110">
        <v>0</v>
      </c>
      <c r="J138" s="107">
        <v>0</v>
      </c>
      <c r="K138" s="107">
        <v>0</v>
      </c>
      <c r="L138" s="112">
        <v>0</v>
      </c>
      <c r="M138" s="107">
        <v>0</v>
      </c>
      <c r="N138" s="107">
        <v>0</v>
      </c>
    </row>
    <row r="139" spans="1:14">
      <c r="A139" s="84">
        <v>8000</v>
      </c>
      <c r="B139" s="84">
        <v>9000</v>
      </c>
      <c r="C139" s="116">
        <v>19</v>
      </c>
      <c r="D139" s="116">
        <v>15872480</v>
      </c>
      <c r="E139" s="107">
        <v>8.3392329749072486E-6</v>
      </c>
      <c r="F139" s="109">
        <v>8353.9368421052623</v>
      </c>
      <c r="G139" s="114">
        <v>0.01</v>
      </c>
      <c r="H139" s="29" t="str">
        <f t="shared" si="1"/>
        <v>(8000, 9000]</v>
      </c>
      <c r="I139" s="110">
        <v>0</v>
      </c>
      <c r="J139" s="107">
        <v>0</v>
      </c>
      <c r="K139" s="107">
        <v>0</v>
      </c>
      <c r="L139" s="112">
        <v>0</v>
      </c>
      <c r="M139" s="107">
        <v>0</v>
      </c>
      <c r="N139" s="107">
        <v>0</v>
      </c>
    </row>
    <row r="140" spans="1:14">
      <c r="A140" s="84">
        <v>9000</v>
      </c>
      <c r="B140" s="84">
        <v>10000</v>
      </c>
      <c r="C140" s="116">
        <v>11</v>
      </c>
      <c r="D140" s="116">
        <v>10382895</v>
      </c>
      <c r="E140" s="107">
        <v>4.8279769854726173E-6</v>
      </c>
      <c r="F140" s="109">
        <v>9438.9954545454548</v>
      </c>
      <c r="G140" s="114">
        <v>0.01</v>
      </c>
      <c r="H140" s="29" t="str">
        <f t="shared" si="1"/>
        <v>(9000, 10000]</v>
      </c>
      <c r="I140" s="110">
        <v>0</v>
      </c>
      <c r="J140" s="107">
        <v>0</v>
      </c>
      <c r="K140" s="107">
        <v>0</v>
      </c>
      <c r="L140" s="112">
        <v>0</v>
      </c>
      <c r="M140" s="107">
        <v>0</v>
      </c>
      <c r="N140" s="107">
        <v>0</v>
      </c>
    </row>
    <row r="141" spans="1:14">
      <c r="A141" s="84">
        <v>10000</v>
      </c>
      <c r="B141" s="84">
        <v>20000</v>
      </c>
      <c r="C141" s="116">
        <v>12</v>
      </c>
      <c r="D141" s="116">
        <v>14267885</v>
      </c>
      <c r="E141" s="107">
        <v>5.2668839841519457E-6</v>
      </c>
      <c r="F141" s="109">
        <v>11889.904166666667</v>
      </c>
      <c r="G141" s="114">
        <v>0.01</v>
      </c>
      <c r="H141" s="29" t="str">
        <f t="shared" si="1"/>
        <v>(10000, 20000]</v>
      </c>
      <c r="I141" s="110">
        <v>0</v>
      </c>
      <c r="J141" s="107">
        <v>0</v>
      </c>
      <c r="K141" s="107">
        <v>0</v>
      </c>
      <c r="L141" s="112">
        <v>0</v>
      </c>
      <c r="M141" s="107">
        <v>0</v>
      </c>
      <c r="N141" s="107">
        <v>0</v>
      </c>
    </row>
    <row r="142" spans="1:14">
      <c r="A142" s="84">
        <v>20000</v>
      </c>
      <c r="B142" s="84">
        <v>30000</v>
      </c>
      <c r="C142" s="116">
        <v>0</v>
      </c>
      <c r="D142" s="116">
        <v>0</v>
      </c>
      <c r="E142" s="107">
        <v>0</v>
      </c>
      <c r="F142" s="109">
        <v>0</v>
      </c>
      <c r="G142" s="114">
        <v>0</v>
      </c>
      <c r="H142" s="29" t="str">
        <f t="shared" si="1"/>
        <v>(20000, 30000]</v>
      </c>
      <c r="I142" s="110">
        <v>0</v>
      </c>
      <c r="J142" s="107">
        <v>0</v>
      </c>
      <c r="K142" s="107">
        <v>0</v>
      </c>
      <c r="L142" s="112">
        <v>0</v>
      </c>
      <c r="M142" s="107">
        <v>0</v>
      </c>
      <c r="N142" s="107">
        <v>0</v>
      </c>
    </row>
    <row r="143" spans="1:14">
      <c r="A143" s="84">
        <v>30000</v>
      </c>
      <c r="B143" s="84">
        <v>40000</v>
      </c>
      <c r="C143" s="116">
        <v>0</v>
      </c>
      <c r="D143" s="116">
        <v>0</v>
      </c>
      <c r="E143" s="107">
        <v>0</v>
      </c>
      <c r="F143" s="109">
        <v>0</v>
      </c>
      <c r="G143" s="114">
        <v>0</v>
      </c>
      <c r="H143" s="29" t="str">
        <f t="shared" si="1"/>
        <v>(30000, 40000]</v>
      </c>
      <c r="I143" s="110">
        <v>0</v>
      </c>
      <c r="J143" s="107">
        <v>0</v>
      </c>
      <c r="K143" s="107">
        <v>0</v>
      </c>
      <c r="L143" s="112">
        <v>0</v>
      </c>
      <c r="M143" s="107">
        <v>0</v>
      </c>
      <c r="N143" s="107">
        <v>0</v>
      </c>
    </row>
    <row r="144" spans="1:14">
      <c r="A144" s="84">
        <v>40000</v>
      </c>
      <c r="B144" s="84">
        <v>50000</v>
      </c>
      <c r="C144" s="116">
        <v>0</v>
      </c>
      <c r="D144" s="116">
        <v>0</v>
      </c>
      <c r="E144" s="107">
        <v>0</v>
      </c>
      <c r="F144" s="109">
        <v>0</v>
      </c>
      <c r="G144" s="114">
        <v>0</v>
      </c>
      <c r="H144" s="29" t="str">
        <f t="shared" si="1"/>
        <v>(40000, 50000]</v>
      </c>
      <c r="I144" s="110">
        <v>0</v>
      </c>
      <c r="J144" s="107">
        <v>0</v>
      </c>
      <c r="K144" s="107">
        <v>0</v>
      </c>
      <c r="L144" s="112">
        <v>0</v>
      </c>
      <c r="M144" s="107">
        <v>0</v>
      </c>
      <c r="N144" s="107">
        <v>0</v>
      </c>
    </row>
    <row r="145" spans="1:14">
      <c r="A145" s="84">
        <v>50000</v>
      </c>
      <c r="B145" s="84">
        <v>60000</v>
      </c>
      <c r="C145" s="116">
        <v>0</v>
      </c>
      <c r="D145" s="116">
        <v>0</v>
      </c>
      <c r="E145" s="107">
        <v>0</v>
      </c>
      <c r="F145" s="109">
        <v>0</v>
      </c>
      <c r="G145" s="114">
        <v>0</v>
      </c>
      <c r="H145" s="29" t="str">
        <f t="shared" si="1"/>
        <v>(50000, 60000]</v>
      </c>
      <c r="I145" s="110">
        <v>0</v>
      </c>
      <c r="J145" s="107">
        <v>0</v>
      </c>
      <c r="K145" s="107">
        <v>0</v>
      </c>
      <c r="L145" s="112">
        <v>0</v>
      </c>
      <c r="M145" s="107">
        <v>0</v>
      </c>
      <c r="N145" s="107">
        <v>0</v>
      </c>
    </row>
    <row r="146" spans="1:14">
      <c r="A146" s="84">
        <v>60000</v>
      </c>
      <c r="B146" s="84">
        <v>70000</v>
      </c>
      <c r="C146" s="116">
        <v>0</v>
      </c>
      <c r="D146" s="116">
        <v>0</v>
      </c>
      <c r="E146" s="107">
        <v>0</v>
      </c>
      <c r="F146" s="109">
        <v>0</v>
      </c>
      <c r="G146" s="114">
        <v>0</v>
      </c>
      <c r="H146" s="29" t="str">
        <f t="shared" si="1"/>
        <v>(60000, 70000]</v>
      </c>
      <c r="I146" s="110">
        <v>0</v>
      </c>
      <c r="J146" s="107">
        <v>0</v>
      </c>
      <c r="K146" s="107">
        <v>0</v>
      </c>
      <c r="L146" s="112">
        <v>0</v>
      </c>
      <c r="M146" s="107">
        <v>0</v>
      </c>
      <c r="N146" s="107">
        <v>0</v>
      </c>
    </row>
    <row r="147" spans="1:14">
      <c r="A147" s="84">
        <v>70000</v>
      </c>
      <c r="B147" s="84">
        <v>80000</v>
      </c>
      <c r="C147" s="116">
        <v>0</v>
      </c>
      <c r="D147" s="116">
        <v>0</v>
      </c>
      <c r="E147" s="107">
        <v>0</v>
      </c>
      <c r="F147" s="109">
        <v>0</v>
      </c>
      <c r="G147" s="114">
        <v>0</v>
      </c>
      <c r="H147" s="29" t="str">
        <f t="shared" si="1"/>
        <v>(70000, 80000]</v>
      </c>
      <c r="I147" s="110">
        <v>0</v>
      </c>
      <c r="J147" s="107">
        <v>0</v>
      </c>
      <c r="K147" s="107">
        <v>0</v>
      </c>
      <c r="L147" s="112">
        <v>0</v>
      </c>
      <c r="M147" s="107">
        <v>0</v>
      </c>
      <c r="N147" s="107">
        <v>0</v>
      </c>
    </row>
    <row r="148" spans="1:14">
      <c r="A148" s="84">
        <v>80000</v>
      </c>
      <c r="B148" s="84">
        <v>90000</v>
      </c>
      <c r="C148" s="116">
        <v>0</v>
      </c>
      <c r="D148" s="116">
        <v>0</v>
      </c>
      <c r="E148" s="107">
        <v>0</v>
      </c>
      <c r="F148" s="109">
        <v>0</v>
      </c>
      <c r="G148" s="114">
        <v>0</v>
      </c>
      <c r="H148" s="29" t="str">
        <f t="shared" si="1"/>
        <v>(80000, 90000]</v>
      </c>
      <c r="I148" s="110">
        <v>0</v>
      </c>
      <c r="J148" s="107">
        <v>0</v>
      </c>
      <c r="K148" s="107">
        <v>0</v>
      </c>
      <c r="L148" s="112">
        <v>0</v>
      </c>
      <c r="M148" s="107">
        <v>0</v>
      </c>
      <c r="N148" s="107">
        <v>0</v>
      </c>
    </row>
    <row r="149" spans="1:14">
      <c r="A149" s="84">
        <v>90000</v>
      </c>
      <c r="B149" s="84">
        <v>100000</v>
      </c>
      <c r="C149" s="116">
        <v>0</v>
      </c>
      <c r="D149" s="116">
        <v>0</v>
      </c>
      <c r="E149" s="107">
        <v>0</v>
      </c>
      <c r="F149" s="109">
        <v>0</v>
      </c>
      <c r="G149" s="114">
        <v>0</v>
      </c>
      <c r="H149" s="29" t="str">
        <f t="shared" si="1"/>
        <v>(90000, 100000]</v>
      </c>
      <c r="I149" s="110">
        <v>0</v>
      </c>
      <c r="J149" s="107">
        <v>0</v>
      </c>
      <c r="K149" s="107">
        <v>0</v>
      </c>
      <c r="L149" s="112">
        <v>0</v>
      </c>
      <c r="M149" s="107">
        <v>0</v>
      </c>
      <c r="N149" s="107">
        <v>0</v>
      </c>
    </row>
    <row r="150" spans="1:14">
      <c r="A150" s="84">
        <v>100000</v>
      </c>
      <c r="B150" s="84">
        <v>9999999</v>
      </c>
      <c r="C150" s="116">
        <v>0</v>
      </c>
      <c r="D150" s="116">
        <v>0</v>
      </c>
      <c r="E150" s="107">
        <v>0</v>
      </c>
      <c r="F150" s="109">
        <v>0</v>
      </c>
      <c r="G150" s="114">
        <v>0</v>
      </c>
      <c r="H150" s="29" t="str">
        <f t="shared" si="1"/>
        <v>(100000, 9999999]</v>
      </c>
      <c r="I150" s="110">
        <v>0</v>
      </c>
      <c r="J150" s="107">
        <v>0</v>
      </c>
      <c r="K150" s="107">
        <v>0</v>
      </c>
      <c r="L150" s="112">
        <v>0</v>
      </c>
      <c r="M150" s="107">
        <v>0</v>
      </c>
      <c r="N150" s="107">
        <v>0</v>
      </c>
    </row>
  </sheetData>
  <mergeCells count="4">
    <mergeCell ref="A11:D11"/>
    <mergeCell ref="A79:B79"/>
    <mergeCell ref="A80:B80"/>
    <mergeCell ref="A83:D83"/>
  </mergeCells>
  <phoneticPr fontId="20" type="noConversion"/>
  <conditionalFormatting sqref="M17:M78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{30FCFCB4-320B-438F-80F9-9AB55B9CEA50}</x14:id>
        </ext>
      </extLst>
    </cfRule>
  </conditionalFormatting>
  <conditionalFormatting sqref="M87:M150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{16B5A7DB-8FF2-44C6-A631-8B8777D5476C}</x14:id>
        </ext>
      </extLst>
    </cfRule>
  </conditionalFormatting>
  <conditionalFormatting sqref="E15:E78">
    <cfRule type="cellIs" dxfId="124" priority="12" operator="lessThan">
      <formula>0.001</formula>
    </cfRule>
  </conditionalFormatting>
  <conditionalFormatting sqref="E87:E150">
    <cfRule type="cellIs" dxfId="123" priority="11" operator="lessThan">
      <formula>0.001</formula>
    </cfRule>
  </conditionalFormatting>
  <conditionalFormatting sqref="N15:N79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{BCC397C3-FEE0-4EAE-A21F-8854597F2442}</x14:id>
        </ext>
      </extLst>
    </cfRule>
  </conditionalFormatting>
  <conditionalFormatting sqref="N87:N150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{247BECC9-D778-434B-B583-5C602FF27EB8}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FCFCB4-320B-438F-80F9-9AB55B9CEA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M17:M78</xm:sqref>
        </x14:conditionalFormatting>
        <x14:conditionalFormatting xmlns:xm="http://schemas.microsoft.com/office/excel/2006/main">
          <x14:cfRule type="dataBar" id="{16B5A7DB-8FF2-44C6-A631-8B8777D547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M87:M150</xm:sqref>
        </x14:conditionalFormatting>
        <x14:conditionalFormatting xmlns:xm="http://schemas.microsoft.com/office/excel/2006/main">
          <x14:cfRule type="dataBar" id="{BCC397C3-FEE0-4EAE-A21F-8854597F24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N15:N79</xm:sqref>
        </x14:conditionalFormatting>
        <x14:conditionalFormatting xmlns:xm="http://schemas.microsoft.com/office/excel/2006/main">
          <x14:cfRule type="dataBar" id="{247BECC9-D778-434B-B583-5C602FF27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N87:N150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DC4C-E2BC-417C-9974-051985CC9B16}">
  <sheetPr codeName="工作表5"/>
  <dimension ref="A1:T220"/>
  <sheetViews>
    <sheetView workbookViewId="0"/>
  </sheetViews>
  <sheetFormatPr defaultRowHeight="15.6"/>
  <cols>
    <col min="1" max="1" width="19.77734375" style="11" bestFit="1" customWidth="1"/>
    <col min="2" max="2" width="22.88671875" style="11" bestFit="1" customWidth="1"/>
    <col min="3" max="3" width="21" style="11" bestFit="1" customWidth="1"/>
    <col min="4" max="4" width="25.5546875" style="11" bestFit="1" customWidth="1"/>
    <col min="5" max="5" width="16.21875" style="11" bestFit="1" customWidth="1"/>
    <col min="6" max="6" width="16.77734375" style="11" bestFit="1" customWidth="1"/>
    <col min="7" max="7" width="15.5546875" style="66" bestFit="1" customWidth="1"/>
    <col min="8" max="8" width="25.5546875" style="11" bestFit="1" customWidth="1"/>
    <col min="9" max="9" width="14" style="11" customWidth="1"/>
    <col min="10" max="10" width="12.44140625" style="11" customWidth="1"/>
    <col min="11" max="11" width="15.5546875" style="11" customWidth="1"/>
    <col min="12" max="12" width="15.33203125" style="11" bestFit="1" customWidth="1"/>
    <col min="13" max="13" width="12.44140625" style="11" bestFit="1" customWidth="1"/>
    <col min="14" max="14" width="19.77734375" style="11" bestFit="1" customWidth="1"/>
    <col min="15" max="15" width="12.21875" style="66" customWidth="1"/>
    <col min="16" max="18" width="15.21875" style="11" customWidth="1"/>
    <col min="19" max="19" width="24" style="11" bestFit="1" customWidth="1"/>
    <col min="20" max="16384" width="8.88671875" style="11"/>
  </cols>
  <sheetData>
    <row r="1" spans="1:19">
      <c r="A1" s="12"/>
      <c r="B1" s="12"/>
      <c r="C1" s="1"/>
      <c r="F1" s="1"/>
      <c r="H1" s="13"/>
      <c r="I1" s="12"/>
      <c r="J1" s="12"/>
      <c r="K1" s="12"/>
      <c r="L1" s="12"/>
      <c r="M1" s="12"/>
      <c r="N1" s="12"/>
    </row>
    <row r="2" spans="1:19">
      <c r="A2" s="12" t="s">
        <v>61</v>
      </c>
      <c r="B2" s="71">
        <v>1000000000</v>
      </c>
      <c r="C2" s="1"/>
      <c r="F2" s="72"/>
      <c r="G2" s="72"/>
      <c r="K2" s="12"/>
      <c r="L2" s="12"/>
      <c r="M2" s="12"/>
      <c r="N2" s="12"/>
    </row>
    <row r="3" spans="1:19">
      <c r="A3" s="12" t="s">
        <v>199</v>
      </c>
      <c r="B3" s="71">
        <f>Overview!A7</f>
        <v>100</v>
      </c>
      <c r="C3" s="1"/>
      <c r="F3" s="72"/>
      <c r="G3" s="73"/>
    </row>
    <row r="4" spans="1:19">
      <c r="F4" s="72"/>
      <c r="G4" s="72"/>
      <c r="I4" s="1"/>
      <c r="L4" s="74"/>
      <c r="M4" s="75"/>
      <c r="N4" s="76"/>
      <c r="O4" s="77"/>
    </row>
    <row r="5" spans="1:19">
      <c r="A5" s="12"/>
      <c r="B5" s="12"/>
      <c r="C5" s="1" t="s">
        <v>200</v>
      </c>
      <c r="I5" s="72"/>
      <c r="K5" s="78"/>
      <c r="L5" s="79"/>
      <c r="M5" s="75"/>
      <c r="N5" s="76"/>
      <c r="O5" s="77"/>
    </row>
    <row r="6" spans="1:19">
      <c r="A6" s="80"/>
      <c r="B6" s="39" t="s">
        <v>201</v>
      </c>
      <c r="C6" s="39" t="s">
        <v>50</v>
      </c>
      <c r="D6" s="39" t="s">
        <v>202</v>
      </c>
      <c r="E6" s="39" t="s">
        <v>203</v>
      </c>
      <c r="F6" s="39" t="s">
        <v>101</v>
      </c>
      <c r="G6" s="39" t="s">
        <v>204</v>
      </c>
      <c r="H6" s="39" t="s">
        <v>205</v>
      </c>
      <c r="I6" s="81" t="s">
        <v>195</v>
      </c>
      <c r="J6" s="82" t="s">
        <v>196</v>
      </c>
      <c r="L6" s="73"/>
      <c r="M6" s="73"/>
      <c r="N6" s="83"/>
    </row>
    <row r="7" spans="1:19">
      <c r="A7" s="84" t="s">
        <v>55</v>
      </c>
      <c r="B7" s="84" cm="1">
        <f t="array" ref="B7:B8">Overview!B11:B12</f>
        <v>1</v>
      </c>
      <c r="C7" s="85">
        <f>SUM(N15:N79)</f>
        <v>0.50693161432948619</v>
      </c>
      <c r="D7" s="85">
        <f>SUM(_xlfn.ANCHORARRAY(N87))*F7</f>
        <v>0.41676154113998654</v>
      </c>
      <c r="E7" s="86">
        <f>SUM(C7:D7)</f>
        <v>0.92369315546947273</v>
      </c>
      <c r="F7" s="87">
        <f>M79</f>
        <v>6.4478501115251899E-3</v>
      </c>
      <c r="G7" s="88">
        <f>1/F7</f>
        <v>155.09045382623785</v>
      </c>
      <c r="H7" s="89">
        <f>D7*G7</f>
        <v>64.635736552722804</v>
      </c>
      <c r="I7" s="90" cm="1">
        <f t="array" ref="I7">LOOKUP(2,1/(L15:L78&lt;&gt;0),B15:B78)</f>
        <v>40</v>
      </c>
      <c r="J7" s="90" cm="1">
        <f t="array" ref="J7">LOOKUP(2,1/(_xlfn.ANCHORARRAY(L87)&lt;&gt;0),B15:B78)</f>
        <v>140</v>
      </c>
      <c r="L7" s="72"/>
      <c r="M7" s="73"/>
      <c r="N7" s="83"/>
    </row>
    <row r="8" spans="1:19">
      <c r="A8" s="84" t="s">
        <v>91</v>
      </c>
      <c r="B8" s="84">
        <v>75</v>
      </c>
      <c r="C8" s="85">
        <f>N80</f>
        <v>0</v>
      </c>
      <c r="D8" s="85">
        <f>SUM(_xlfn.ANCHORARRAY(N157))/B8</f>
        <v>0.93768387089677541</v>
      </c>
      <c r="E8" s="86">
        <f>SUM(C8:D8)</f>
        <v>0.93768387089677541</v>
      </c>
      <c r="F8" s="91">
        <f>E80</f>
        <v>1</v>
      </c>
      <c r="G8" s="88">
        <f>1/F8</f>
        <v>1</v>
      </c>
      <c r="H8" s="89">
        <f>D8*G8*B8</f>
        <v>70.326290317258156</v>
      </c>
      <c r="I8" s="92"/>
      <c r="J8" s="92" cm="1">
        <f t="array" ref="J8">LOOKUP(2,1/(_xlfn.ANCHORARRAY(L157)&lt;&gt;0),B15:B78)</f>
        <v>3000</v>
      </c>
      <c r="L8" s="93"/>
      <c r="M8" s="73"/>
      <c r="N8" s="83"/>
    </row>
    <row r="9" spans="1:19">
      <c r="A9" s="12"/>
      <c r="B9" s="12"/>
      <c r="C9" s="1"/>
      <c r="D9" s="94"/>
      <c r="E9" s="12"/>
      <c r="F9" s="1"/>
      <c r="H9" s="13"/>
      <c r="I9" s="12"/>
      <c r="J9" s="12"/>
      <c r="K9" s="12"/>
      <c r="L9" s="95"/>
      <c r="M9" s="72"/>
      <c r="N9" s="72"/>
    </row>
    <row r="10" spans="1:19">
      <c r="A10" s="12"/>
      <c r="B10" s="12"/>
      <c r="C10" s="1"/>
      <c r="D10" s="1"/>
      <c r="E10" s="94"/>
      <c r="F10" s="1"/>
      <c r="H10" s="13"/>
      <c r="I10" s="12"/>
      <c r="J10" s="12"/>
      <c r="K10" s="12"/>
      <c r="L10" s="95"/>
      <c r="M10" s="72"/>
      <c r="N10" s="72"/>
    </row>
    <row r="11" spans="1:19" s="30" customFormat="1">
      <c r="A11" s="183" t="s">
        <v>50</v>
      </c>
      <c r="B11" s="183"/>
      <c r="C11" s="183"/>
      <c r="D11" s="183"/>
      <c r="E11" s="96"/>
      <c r="F11" s="96"/>
      <c r="G11" s="97"/>
      <c r="H11" s="98"/>
      <c r="I11" s="99"/>
      <c r="J11" s="100"/>
      <c r="K11" s="100"/>
      <c r="L11" s="100"/>
      <c r="M11" s="100"/>
      <c r="N11" s="100"/>
      <c r="O11" s="97"/>
    </row>
    <row r="12" spans="1:19">
      <c r="A12" s="12"/>
      <c r="B12" s="12"/>
      <c r="C12" s="1"/>
      <c r="D12" s="1"/>
      <c r="E12" s="1"/>
      <c r="F12" s="1"/>
      <c r="H12" s="13"/>
      <c r="I12" s="12"/>
      <c r="J12" s="12"/>
      <c r="K12" s="12"/>
      <c r="L12" s="12"/>
      <c r="M12" s="12"/>
      <c r="N12" s="12"/>
    </row>
    <row r="13" spans="1:19">
      <c r="A13" s="101" t="s">
        <v>206</v>
      </c>
      <c r="B13" s="102">
        <v>1000000000</v>
      </c>
      <c r="C13" s="103"/>
      <c r="D13" s="1"/>
      <c r="E13" s="1"/>
      <c r="F13" s="1"/>
      <c r="H13" s="101" t="s">
        <v>207</v>
      </c>
      <c r="I13" s="12"/>
      <c r="J13" s="12"/>
      <c r="K13" s="12"/>
      <c r="L13" s="12"/>
      <c r="M13" s="12"/>
      <c r="N13" s="12"/>
    </row>
    <row r="14" spans="1:19">
      <c r="A14" s="16" t="s">
        <v>57</v>
      </c>
      <c r="B14" s="16" t="s">
        <v>58</v>
      </c>
      <c r="C14" s="16" t="s">
        <v>208</v>
      </c>
      <c r="D14" s="16" t="s">
        <v>209</v>
      </c>
      <c r="E14" s="16" t="s">
        <v>210</v>
      </c>
      <c r="F14" s="16" t="s">
        <v>211</v>
      </c>
      <c r="H14" s="16" t="s">
        <v>60</v>
      </c>
      <c r="I14" s="16" t="s">
        <v>212</v>
      </c>
      <c r="J14" s="16" t="s">
        <v>213</v>
      </c>
      <c r="K14" s="16" t="s">
        <v>214</v>
      </c>
      <c r="L14" s="16" t="s">
        <v>215</v>
      </c>
      <c r="M14" s="16" t="s">
        <v>62</v>
      </c>
      <c r="N14" s="16" t="s">
        <v>59</v>
      </c>
      <c r="P14" s="39" t="s">
        <v>216</v>
      </c>
      <c r="Q14" s="39" t="s">
        <v>216</v>
      </c>
      <c r="R14" s="39" t="s">
        <v>217</v>
      </c>
      <c r="S14" s="39" t="s">
        <v>218</v>
      </c>
    </row>
    <row r="15" spans="1:19">
      <c r="A15" s="104">
        <v>-1</v>
      </c>
      <c r="B15" s="104">
        <v>0</v>
      </c>
      <c r="C15" s="105">
        <v>65390071</v>
      </c>
      <c r="D15" s="105">
        <v>0</v>
      </c>
      <c r="E15" s="106" cm="1">
        <f t="array" ref="E15:E78">_xlfn.LET(_xlpm.x, C15:C78, _xlpm.x/SUM(_xlpm.x))</f>
        <v>0.66407190760638146</v>
      </c>
      <c r="F15" s="108" cm="1">
        <f t="array" ref="F15:F80">_xlfn.LET(_xlpm.x, D15:D80/C15:C80/B3, IF(ISERR(_xlpm.x), 0, _xlpm.x))</f>
        <v>0</v>
      </c>
      <c r="G15" s="66">
        <v>9.9999999999999995E-7</v>
      </c>
      <c r="H15" s="29" t="str">
        <f>"("&amp;$A15&amp;", "&amp;$B15&amp;"]"</f>
        <v>(-1, 0]</v>
      </c>
      <c r="I15" s="110">
        <v>0.47399999999999998</v>
      </c>
      <c r="J15" s="107" cm="1">
        <f t="array" ref="J15:J79">E15:E79*I15:I79</f>
        <v>0.31477008420542479</v>
      </c>
      <c r="K15" s="107" cm="1">
        <f t="array" ref="K15:K78">J15:J78/SUM(_xlfn.ANCHORARRAY(J15))</f>
        <v>0.70683317485213781</v>
      </c>
      <c r="L15" s="111" cm="1">
        <f t="array" ref="L15:L79">INT(K15:K79*$B$2)</f>
        <v>706833174</v>
      </c>
      <c r="M15" s="107" cm="1">
        <f t="array" ref="M15:M79">_xlfn.LET(_xlpm.x, L15:L79, _xlpm.x/SUM(_xlpm.x))</f>
        <v>0.71250986047255127</v>
      </c>
      <c r="N15" s="107" cm="1">
        <f t="array" ref="N15:N79">M15:M79*F15:F79</f>
        <v>0</v>
      </c>
      <c r="O15" s="114"/>
      <c r="P15" s="107" cm="1">
        <f t="array" ref="P15:P78">M15:M78</f>
        <v>0.71250986047255127</v>
      </c>
      <c r="Q15" s="107"/>
      <c r="R15" s="107"/>
      <c r="S15" s="115" cm="1">
        <f t="array" ref="S15:S78">_xlfn.LET(_xlpm.x, Q15:Q78/M15:M78, IF(ISERR(_xlpm.x), 0, ROUND(_xlpm.x,2)))</f>
        <v>0</v>
      </c>
    </row>
    <row r="16" spans="1:19">
      <c r="A16" s="84">
        <v>0</v>
      </c>
      <c r="B16" s="84">
        <v>1</v>
      </c>
      <c r="C16" s="116">
        <v>17351600</v>
      </c>
      <c r="D16" s="116">
        <v>712785570</v>
      </c>
      <c r="E16" s="107">
        <v>0.17621498089553822</v>
      </c>
      <c r="F16" s="109">
        <v>0.41078953525899631</v>
      </c>
      <c r="G16" s="66">
        <v>0</v>
      </c>
      <c r="H16" s="29" t="str">
        <f t="shared" ref="H16:H78" si="0">"("&amp;$A16&amp;", "&amp;$B16&amp;"]"</f>
        <v>(0, 1]</v>
      </c>
      <c r="I16" s="110">
        <v>0.5</v>
      </c>
      <c r="J16" s="107">
        <v>8.810749044776911E-2</v>
      </c>
      <c r="K16" s="107">
        <v>0.19785011450074058</v>
      </c>
      <c r="L16" s="111">
        <v>197850114</v>
      </c>
      <c r="M16" s="107">
        <v>0.19943907884637338</v>
      </c>
      <c r="N16" s="107">
        <v>8.192748651178404E-2</v>
      </c>
      <c r="O16" s="114"/>
      <c r="P16" s="107">
        <v>0.19943907884637338</v>
      </c>
      <c r="Q16" s="107"/>
      <c r="R16" s="107"/>
      <c r="S16" s="115">
        <v>0</v>
      </c>
    </row>
    <row r="17" spans="1:19">
      <c r="A17" s="84">
        <v>1</v>
      </c>
      <c r="B17" s="84">
        <v>2</v>
      </c>
      <c r="C17" s="116">
        <v>5407273</v>
      </c>
      <c r="D17" s="116">
        <v>802609240</v>
      </c>
      <c r="E17" s="107">
        <v>5.4913812466398468E-2</v>
      </c>
      <c r="F17" s="109">
        <v>1.4843142560029796</v>
      </c>
      <c r="G17" s="117">
        <f>1+G16*G15</f>
        <v>1</v>
      </c>
      <c r="H17" s="29" t="str">
        <f t="shared" si="0"/>
        <v>(1, 2]</v>
      </c>
      <c r="I17" s="110">
        <v>0.3</v>
      </c>
      <c r="J17" s="107">
        <v>1.6474143739919539E-2</v>
      </c>
      <c r="K17" s="107">
        <v>3.6993576921555228E-2</v>
      </c>
      <c r="L17" s="111">
        <v>36993576</v>
      </c>
      <c r="M17" s="107">
        <v>3.7290677126793598E-2</v>
      </c>
      <c r="N17" s="107">
        <v>5.5351083675303968E-2</v>
      </c>
      <c r="O17" s="114"/>
      <c r="P17" s="107">
        <v>3.7290677126793598E-2</v>
      </c>
      <c r="Q17" s="107"/>
      <c r="R17" s="107"/>
      <c r="S17" s="115">
        <v>0</v>
      </c>
    </row>
    <row r="18" spans="1:19">
      <c r="A18" s="84">
        <v>2</v>
      </c>
      <c r="B18" s="84">
        <v>3</v>
      </c>
      <c r="C18" s="116">
        <v>2729510</v>
      </c>
      <c r="D18" s="116">
        <v>691016145</v>
      </c>
      <c r="E18" s="107">
        <v>2.7719665765934008E-2</v>
      </c>
      <c r="F18" s="109">
        <v>2.5316490688804949</v>
      </c>
      <c r="G18" s="117"/>
      <c r="H18" s="29" t="str">
        <f t="shared" si="0"/>
        <v>(2, 3]</v>
      </c>
      <c r="I18" s="110">
        <v>0.2</v>
      </c>
      <c r="J18" s="107">
        <v>5.5439331531868018E-3</v>
      </c>
      <c r="K18" s="107">
        <v>1.2449200443323184E-2</v>
      </c>
      <c r="L18" s="111">
        <v>12449200</v>
      </c>
      <c r="M18" s="107">
        <v>1.2549181449419187E-2</v>
      </c>
      <c r="N18" s="107">
        <v>3.1770123531634463E-2</v>
      </c>
      <c r="O18" s="114"/>
      <c r="P18" s="107">
        <v>1.2549181449419187E-2</v>
      </c>
      <c r="Q18" s="107"/>
      <c r="R18" s="107"/>
      <c r="S18" s="115">
        <v>0</v>
      </c>
    </row>
    <row r="19" spans="1:19">
      <c r="A19" s="84">
        <v>3</v>
      </c>
      <c r="B19" s="84">
        <v>4</v>
      </c>
      <c r="C19" s="116">
        <v>1570738</v>
      </c>
      <c r="D19" s="116">
        <v>556155520</v>
      </c>
      <c r="E19" s="107">
        <v>1.5951702820598442E-2</v>
      </c>
      <c r="F19" s="109">
        <v>3.5407274796942585</v>
      </c>
      <c r="G19" s="118"/>
      <c r="H19" s="29" t="str">
        <f t="shared" si="0"/>
        <v>(3, 4]</v>
      </c>
      <c r="I19" s="110">
        <v>0.2</v>
      </c>
      <c r="J19" s="107">
        <v>3.1903405641196883E-3</v>
      </c>
      <c r="K19" s="107">
        <v>7.1640815406225191E-3</v>
      </c>
      <c r="L19" s="111">
        <v>7164081</v>
      </c>
      <c r="M19" s="107">
        <v>7.2216168418321224E-3</v>
      </c>
      <c r="N19" s="107">
        <v>2.5569777199697861E-2</v>
      </c>
      <c r="O19" s="114"/>
      <c r="P19" s="107">
        <v>7.2216168418321224E-3</v>
      </c>
      <c r="Q19" s="107"/>
      <c r="R19" s="107"/>
      <c r="S19" s="115">
        <v>0</v>
      </c>
    </row>
    <row r="20" spans="1:19">
      <c r="A20" s="84">
        <v>4</v>
      </c>
      <c r="B20" s="84">
        <v>5</v>
      </c>
      <c r="C20" s="116">
        <v>1084233</v>
      </c>
      <c r="D20" s="116">
        <v>494968815</v>
      </c>
      <c r="E20" s="107">
        <v>1.1010978663714706E-2</v>
      </c>
      <c r="F20" s="109">
        <v>4.565151724767647</v>
      </c>
      <c r="G20" s="118"/>
      <c r="H20" s="29" t="str">
        <f t="shared" si="0"/>
        <v>(4, 5]</v>
      </c>
      <c r="I20" s="110">
        <v>0.2</v>
      </c>
      <c r="J20" s="107">
        <v>2.2021957327429411E-3</v>
      </c>
      <c r="K20" s="107">
        <v>4.9451491089117184E-3</v>
      </c>
      <c r="L20" s="111">
        <v>4945149</v>
      </c>
      <c r="M20" s="107">
        <v>4.9848642559693675E-3</v>
      </c>
      <c r="N20" s="107">
        <v>2.275666165587115E-2</v>
      </c>
      <c r="O20" s="114"/>
      <c r="P20" s="107">
        <v>4.9848642559693675E-3</v>
      </c>
      <c r="Q20" s="107"/>
      <c r="R20" s="107"/>
      <c r="S20" s="115">
        <v>0</v>
      </c>
    </row>
    <row r="21" spans="1:19">
      <c r="A21" s="84">
        <v>5</v>
      </c>
      <c r="B21" s="84">
        <v>6</v>
      </c>
      <c r="C21" s="116">
        <v>757823</v>
      </c>
      <c r="D21" s="116">
        <v>422988420</v>
      </c>
      <c r="E21" s="107">
        <v>7.6961067260194723E-3</v>
      </c>
      <c r="F21" s="109">
        <v>5.5816255246937612</v>
      </c>
      <c r="G21" s="118">
        <v>1.79</v>
      </c>
      <c r="H21" s="29" t="str">
        <f t="shared" si="0"/>
        <v>(5, 6]</v>
      </c>
      <c r="I21" s="110">
        <v>0.2</v>
      </c>
      <c r="J21" s="107">
        <v>1.5392213452038945E-3</v>
      </c>
      <c r="K21" s="107">
        <v>3.4564044196799082E-3</v>
      </c>
      <c r="L21" s="111">
        <v>3456404</v>
      </c>
      <c r="M21" s="107">
        <v>3.484162914765469E-3</v>
      </c>
      <c r="N21" s="107">
        <v>1.9447292657246356E-2</v>
      </c>
      <c r="O21" s="114"/>
      <c r="P21" s="107">
        <v>3.484162914765469E-3</v>
      </c>
      <c r="Q21" s="107"/>
      <c r="R21" s="107"/>
      <c r="S21" s="115">
        <v>0</v>
      </c>
    </row>
    <row r="22" spans="1:19">
      <c r="A22" s="84">
        <v>6</v>
      </c>
      <c r="B22" s="84">
        <v>7</v>
      </c>
      <c r="C22" s="116">
        <v>540166</v>
      </c>
      <c r="D22" s="116">
        <v>351987175</v>
      </c>
      <c r="E22" s="107">
        <v>5.4856809383814348E-3</v>
      </c>
      <c r="F22" s="109">
        <v>6.5162778664336516</v>
      </c>
      <c r="G22" s="118">
        <v>1.24</v>
      </c>
      <c r="H22" s="29" t="str">
        <f t="shared" si="0"/>
        <v>(6, 7]</v>
      </c>
      <c r="I22" s="110">
        <v>0.2</v>
      </c>
      <c r="J22" s="107">
        <v>1.0971361876762869E-3</v>
      </c>
      <c r="K22" s="107">
        <v>2.4636783916043947E-3</v>
      </c>
      <c r="L22" s="111">
        <v>2463678</v>
      </c>
      <c r="M22" s="107">
        <v>2.48346417881809E-3</v>
      </c>
      <c r="N22" s="107">
        <v>1.6182942660513143E-2</v>
      </c>
      <c r="O22" s="114"/>
      <c r="P22" s="107">
        <v>2.48346417881809E-3</v>
      </c>
      <c r="Q22" s="107"/>
      <c r="R22" s="107"/>
      <c r="S22" s="115">
        <v>0</v>
      </c>
    </row>
    <row r="23" spans="1:19">
      <c r="A23" s="84">
        <v>7</v>
      </c>
      <c r="B23" s="84">
        <v>8</v>
      </c>
      <c r="C23" s="116">
        <v>471377</v>
      </c>
      <c r="D23" s="116">
        <v>355806505</v>
      </c>
      <c r="E23" s="107">
        <v>4.7870910492171402E-3</v>
      </c>
      <c r="F23" s="109">
        <v>7.5482364434412377</v>
      </c>
      <c r="G23" s="118">
        <v>1.02</v>
      </c>
      <c r="H23" s="29" t="str">
        <f t="shared" si="0"/>
        <v>(7, 8]</v>
      </c>
      <c r="I23" s="110">
        <v>0.12</v>
      </c>
      <c r="J23" s="107">
        <v>5.744509259060568E-4</v>
      </c>
      <c r="K23" s="107">
        <v>1.2899604890340801E-3</v>
      </c>
      <c r="L23" s="111">
        <v>1289960</v>
      </c>
      <c r="M23" s="107">
        <v>1.3003198681435573E-3</v>
      </c>
      <c r="N23" s="107">
        <v>9.8151218168519051E-3</v>
      </c>
      <c r="O23" s="114"/>
      <c r="P23" s="107">
        <v>1.3003198681435573E-3</v>
      </c>
      <c r="Q23" s="107"/>
      <c r="R23" s="107"/>
      <c r="S23" s="115">
        <v>0</v>
      </c>
    </row>
    <row r="24" spans="1:19">
      <c r="A24" s="84">
        <v>8</v>
      </c>
      <c r="B24" s="84">
        <v>9</v>
      </c>
      <c r="C24" s="116">
        <v>382555</v>
      </c>
      <c r="D24" s="116">
        <v>329270680</v>
      </c>
      <c r="E24" s="107">
        <v>3.8850550967341703E-3</v>
      </c>
      <c r="F24" s="109">
        <v>8.60714616198978</v>
      </c>
      <c r="G24" s="118">
        <v>1.26</v>
      </c>
      <c r="H24" s="29" t="str">
        <f t="shared" si="0"/>
        <v>(8, 9]</v>
      </c>
      <c r="I24" s="110">
        <v>0.12</v>
      </c>
      <c r="J24" s="107">
        <v>4.6620661160810042E-4</v>
      </c>
      <c r="K24" s="107">
        <v>1.0468920521842016E-3</v>
      </c>
      <c r="L24" s="111">
        <v>1046892</v>
      </c>
      <c r="M24" s="107">
        <v>1.0552997514655844E-3</v>
      </c>
      <c r="N24" s="107">
        <v>9.083119205575774E-3</v>
      </c>
      <c r="O24" s="114"/>
      <c r="P24" s="107">
        <v>1.0552997514655844E-3</v>
      </c>
      <c r="Q24" s="107"/>
      <c r="R24" s="107"/>
      <c r="S24" s="115">
        <v>0</v>
      </c>
    </row>
    <row r="25" spans="1:19">
      <c r="A25" s="84">
        <v>9</v>
      </c>
      <c r="B25" s="84">
        <v>10</v>
      </c>
      <c r="C25" s="116">
        <v>312722</v>
      </c>
      <c r="D25" s="116">
        <v>299181170</v>
      </c>
      <c r="E25" s="107">
        <v>3.1758628170090657E-3</v>
      </c>
      <c r="F25" s="109">
        <v>9.5670010424594363</v>
      </c>
      <c r="G25" s="118">
        <v>1.21</v>
      </c>
      <c r="H25" s="29" t="str">
        <f t="shared" si="0"/>
        <v>(9, 10]</v>
      </c>
      <c r="I25" s="110">
        <v>0.12</v>
      </c>
      <c r="J25" s="107">
        <v>3.8110353804108785E-4</v>
      </c>
      <c r="K25" s="107">
        <v>8.5578851758086522E-4</v>
      </c>
      <c r="L25" s="111">
        <v>855788</v>
      </c>
      <c r="M25" s="107">
        <v>8.6266096570346274E-4</v>
      </c>
      <c r="N25" s="107">
        <v>8.2530783581740916E-3</v>
      </c>
      <c r="O25" s="114"/>
      <c r="P25" s="107">
        <v>8.6266096570346274E-4</v>
      </c>
      <c r="Q25" s="107"/>
      <c r="R25" s="107"/>
      <c r="S25" s="115">
        <v>0</v>
      </c>
    </row>
    <row r="26" spans="1:19">
      <c r="A26" s="84">
        <v>10</v>
      </c>
      <c r="B26" s="84">
        <v>15</v>
      </c>
      <c r="C26" s="116">
        <v>914728</v>
      </c>
      <c r="D26" s="116">
        <v>1123098055</v>
      </c>
      <c r="E26" s="107">
        <v>9.2895627518277211E-3</v>
      </c>
      <c r="F26" s="109">
        <v>12.277945520416997</v>
      </c>
      <c r="G26" s="118">
        <v>0.48</v>
      </c>
      <c r="H26" s="29" t="str">
        <f t="shared" si="0"/>
        <v>(10, 15]</v>
      </c>
      <c r="I26" s="110">
        <v>0.1</v>
      </c>
      <c r="J26" s="107">
        <v>9.2895627518277217E-4</v>
      </c>
      <c r="K26" s="107">
        <v>2.0860213413982968E-3</v>
      </c>
      <c r="L26" s="111">
        <v>2086021</v>
      </c>
      <c r="M26" s="107">
        <v>2.1027741570782753E-3</v>
      </c>
      <c r="N26" s="107">
        <v>2.5817746542347836E-2</v>
      </c>
      <c r="O26" s="114"/>
      <c r="P26" s="107">
        <v>2.1027741570782753E-3</v>
      </c>
      <c r="Q26" s="107"/>
      <c r="R26" s="107"/>
      <c r="S26" s="115">
        <v>0</v>
      </c>
    </row>
    <row r="27" spans="1:19">
      <c r="A27" s="84">
        <v>15</v>
      </c>
      <c r="B27" s="84">
        <v>20</v>
      </c>
      <c r="C27" s="116">
        <v>471279</v>
      </c>
      <c r="D27" s="116">
        <v>819221540</v>
      </c>
      <c r="E27" s="107">
        <v>4.7860958056587495E-3</v>
      </c>
      <c r="F27" s="109">
        <v>17.382941739394287</v>
      </c>
      <c r="G27" s="118">
        <v>1.1299999999999999</v>
      </c>
      <c r="H27" s="119" t="str">
        <f t="shared" si="0"/>
        <v>(15, 20]</v>
      </c>
      <c r="I27" s="110">
        <v>0.35</v>
      </c>
      <c r="J27" s="107">
        <v>1.6751335319805623E-3</v>
      </c>
      <c r="K27" s="107">
        <v>3.76160255413081E-3</v>
      </c>
      <c r="L27" s="111">
        <v>3761602</v>
      </c>
      <c r="M27" s="107">
        <v>3.7918120070766087E-3</v>
      </c>
      <c r="N27" s="107">
        <v>6.5912847205748401E-2</v>
      </c>
      <c r="O27" s="114"/>
      <c r="P27" s="107">
        <v>3.7918120070766087E-3</v>
      </c>
      <c r="Q27" s="107"/>
      <c r="R27" s="107"/>
      <c r="S27" s="115">
        <v>0</v>
      </c>
    </row>
    <row r="28" spans="1:19">
      <c r="A28" s="84">
        <v>20</v>
      </c>
      <c r="B28" s="84">
        <v>25</v>
      </c>
      <c r="C28" s="116">
        <v>278340</v>
      </c>
      <c r="D28" s="116">
        <v>623999005</v>
      </c>
      <c r="E28" s="107">
        <v>2.8266948167583457E-3</v>
      </c>
      <c r="F28" s="109">
        <v>22.418588955953151</v>
      </c>
      <c r="G28" s="118">
        <v>0.54</v>
      </c>
      <c r="H28" s="29" t="str">
        <f t="shared" si="0"/>
        <v>(20, 25]</v>
      </c>
      <c r="I28" s="110">
        <v>0.15</v>
      </c>
      <c r="J28" s="107">
        <v>4.2400422251375185E-4</v>
      </c>
      <c r="K28" s="107">
        <v>9.5212431482058371E-4</v>
      </c>
      <c r="L28" s="111">
        <v>952124</v>
      </c>
      <c r="M28" s="107">
        <v>9.5977065500970303E-4</v>
      </c>
      <c r="N28" s="107">
        <v>2.1516703806648451E-2</v>
      </c>
      <c r="O28" s="114"/>
      <c r="P28" s="107">
        <v>9.5977065500970303E-4</v>
      </c>
      <c r="Q28" s="107"/>
      <c r="R28" s="107"/>
      <c r="S28" s="115">
        <v>0</v>
      </c>
    </row>
    <row r="29" spans="1:19">
      <c r="A29" s="84">
        <v>25</v>
      </c>
      <c r="B29" s="84">
        <v>30</v>
      </c>
      <c r="C29" s="116">
        <v>187951</v>
      </c>
      <c r="D29" s="116">
        <v>515280570</v>
      </c>
      <c r="E29" s="107">
        <v>1.9087451228876476E-3</v>
      </c>
      <c r="F29" s="109">
        <v>27.415686535320376</v>
      </c>
      <c r="G29" s="118">
        <v>0.2</v>
      </c>
      <c r="H29" s="29" t="str">
        <f t="shared" si="0"/>
        <v>(25, 30]</v>
      </c>
      <c r="I29" s="110">
        <v>0.2</v>
      </c>
      <c r="J29" s="107">
        <v>3.8174902457752954E-4</v>
      </c>
      <c r="K29" s="107">
        <v>8.572379923587149E-4</v>
      </c>
      <c r="L29" s="111">
        <v>857237</v>
      </c>
      <c r="M29" s="107">
        <v>8.6412160284642841E-4</v>
      </c>
      <c r="N29" s="107">
        <v>2.369048699203629E-2</v>
      </c>
      <c r="O29" s="114"/>
      <c r="P29" s="107">
        <v>8.6412160284642841E-4</v>
      </c>
      <c r="Q29" s="107"/>
      <c r="R29" s="107"/>
      <c r="S29" s="115">
        <v>0</v>
      </c>
    </row>
    <row r="30" spans="1:19">
      <c r="A30" s="84">
        <v>30</v>
      </c>
      <c r="B30" s="84">
        <v>35</v>
      </c>
      <c r="C30" s="116">
        <v>123190</v>
      </c>
      <c r="D30" s="116">
        <v>399019550</v>
      </c>
      <c r="E30" s="107">
        <v>1.2510617750824912E-3</v>
      </c>
      <c r="F30" s="109">
        <v>32.390579592499392</v>
      </c>
      <c r="G30" s="118">
        <v>0.22</v>
      </c>
      <c r="H30" s="29" t="str">
        <f t="shared" si="0"/>
        <v>(30, 35]</v>
      </c>
      <c r="I30" s="110">
        <v>0.7</v>
      </c>
      <c r="J30" s="107">
        <v>8.7574324255774375E-4</v>
      </c>
      <c r="K30" s="107">
        <v>1.9665286110493972E-3</v>
      </c>
      <c r="L30" s="111">
        <v>1966528</v>
      </c>
      <c r="M30" s="107">
        <v>1.982321490325757E-3</v>
      </c>
      <c r="N30" s="107">
        <v>6.4208542010318448E-2</v>
      </c>
      <c r="O30" s="114"/>
      <c r="P30" s="107">
        <v>1.982321490325757E-3</v>
      </c>
      <c r="Q30" s="107"/>
      <c r="R30" s="107"/>
      <c r="S30" s="115">
        <v>0</v>
      </c>
    </row>
    <row r="31" spans="1:19">
      <c r="A31" s="84">
        <v>35</v>
      </c>
      <c r="B31" s="84">
        <v>40</v>
      </c>
      <c r="C31" s="116">
        <v>97176</v>
      </c>
      <c r="D31" s="116">
        <v>363839415</v>
      </c>
      <c r="E31" s="107">
        <v>9.8687538806247399E-4</v>
      </c>
      <c r="F31" s="109">
        <v>37.441283341565821</v>
      </c>
      <c r="G31" s="118">
        <v>0.33</v>
      </c>
      <c r="H31" s="119" t="str">
        <f t="shared" si="0"/>
        <v>(35, 40]</v>
      </c>
      <c r="I31" s="110">
        <v>0.3</v>
      </c>
      <c r="J31" s="107">
        <v>2.9606261641874221E-4</v>
      </c>
      <c r="K31" s="107">
        <v>6.6482454851623943E-4</v>
      </c>
      <c r="L31" s="111">
        <v>664824</v>
      </c>
      <c r="M31" s="107">
        <v>6.7016330430298026E-4</v>
      </c>
      <c r="N31" s="107">
        <v>2.5091774161527882E-2</v>
      </c>
      <c r="O31" s="114"/>
      <c r="P31" s="107">
        <v>6.7016330430298026E-4</v>
      </c>
      <c r="Q31" s="107"/>
      <c r="R31" s="107"/>
      <c r="S31" s="115">
        <v>0</v>
      </c>
    </row>
    <row r="32" spans="1:19">
      <c r="A32" s="84">
        <v>40</v>
      </c>
      <c r="B32" s="84">
        <v>45</v>
      </c>
      <c r="C32" s="116">
        <v>69470</v>
      </c>
      <c r="D32" s="116">
        <v>294779905</v>
      </c>
      <c r="E32" s="107">
        <v>7.0550581634045513E-4</v>
      </c>
      <c r="F32" s="109">
        <v>42.432691089679004</v>
      </c>
      <c r="G32" s="118">
        <v>0.16</v>
      </c>
      <c r="H32" s="29" t="str">
        <f t="shared" si="0"/>
        <v>(40, 45]</v>
      </c>
      <c r="I32" s="110">
        <v>0</v>
      </c>
      <c r="J32" s="107">
        <v>0</v>
      </c>
      <c r="K32" s="107">
        <v>0</v>
      </c>
      <c r="L32" s="111">
        <v>0</v>
      </c>
      <c r="M32" s="107">
        <v>0</v>
      </c>
      <c r="N32" s="107">
        <v>0</v>
      </c>
      <c r="O32" s="114"/>
      <c r="P32" s="107">
        <v>0</v>
      </c>
      <c r="Q32" s="107"/>
      <c r="R32" s="107"/>
      <c r="S32" s="115">
        <v>0</v>
      </c>
    </row>
    <row r="33" spans="1:19">
      <c r="A33" s="84">
        <v>45</v>
      </c>
      <c r="B33" s="84">
        <v>50</v>
      </c>
      <c r="C33" s="116">
        <v>53505</v>
      </c>
      <c r="D33" s="116">
        <v>254189610</v>
      </c>
      <c r="E33" s="107">
        <v>5.4337251624148627E-4</v>
      </c>
      <c r="F33" s="109">
        <v>47.507636669470138</v>
      </c>
      <c r="G33" s="118">
        <v>0.2</v>
      </c>
      <c r="H33" s="29" t="str">
        <f t="shared" si="0"/>
        <v>(45, 50]</v>
      </c>
      <c r="I33" s="110">
        <v>0</v>
      </c>
      <c r="J33" s="107">
        <v>0</v>
      </c>
      <c r="K33" s="107">
        <v>0</v>
      </c>
      <c r="L33" s="111">
        <v>0</v>
      </c>
      <c r="M33" s="107">
        <v>0</v>
      </c>
      <c r="N33" s="107">
        <v>0</v>
      </c>
      <c r="O33" s="114"/>
      <c r="P33" s="107">
        <v>0</v>
      </c>
      <c r="Q33" s="107"/>
      <c r="R33" s="107"/>
      <c r="S33" s="115">
        <v>0</v>
      </c>
    </row>
    <row r="34" spans="1:19">
      <c r="A34" s="84">
        <v>50</v>
      </c>
      <c r="B34" s="84">
        <v>60</v>
      </c>
      <c r="C34" s="116">
        <v>77241</v>
      </c>
      <c r="D34" s="116">
        <v>422768085</v>
      </c>
      <c r="E34" s="107">
        <v>7.8442456830218931E-4</v>
      </c>
      <c r="F34" s="109">
        <v>54.733636928574207</v>
      </c>
      <c r="G34" s="118">
        <v>0.2</v>
      </c>
      <c r="H34" s="119" t="str">
        <f t="shared" si="0"/>
        <v>(50, 60]</v>
      </c>
      <c r="I34" s="110">
        <v>0</v>
      </c>
      <c r="J34" s="107">
        <v>0</v>
      </c>
      <c r="K34" s="107">
        <v>0</v>
      </c>
      <c r="L34" s="111">
        <v>0</v>
      </c>
      <c r="M34" s="107">
        <v>0</v>
      </c>
      <c r="N34" s="107">
        <v>0</v>
      </c>
      <c r="O34" s="114"/>
      <c r="P34" s="107">
        <v>0</v>
      </c>
      <c r="Q34" s="107"/>
      <c r="R34" s="107"/>
      <c r="S34" s="115">
        <v>0</v>
      </c>
    </row>
    <row r="35" spans="1:19">
      <c r="A35" s="84">
        <v>60</v>
      </c>
      <c r="B35" s="84">
        <v>70</v>
      </c>
      <c r="C35" s="116">
        <v>48985</v>
      </c>
      <c r="D35" s="116">
        <v>316803035</v>
      </c>
      <c r="E35" s="107">
        <v>4.9746944599736854E-4</v>
      </c>
      <c r="F35" s="109">
        <v>64.673478615902837</v>
      </c>
      <c r="G35" s="118">
        <v>0.11</v>
      </c>
      <c r="H35" s="29" t="str">
        <f t="shared" si="0"/>
        <v>(60, 70]</v>
      </c>
      <c r="I35" s="110">
        <v>0</v>
      </c>
      <c r="J35" s="107">
        <v>0</v>
      </c>
      <c r="K35" s="107">
        <v>0</v>
      </c>
      <c r="L35" s="111">
        <v>0</v>
      </c>
      <c r="M35" s="107">
        <v>0</v>
      </c>
      <c r="N35" s="107">
        <v>0</v>
      </c>
      <c r="O35" s="114"/>
      <c r="P35" s="107">
        <v>0</v>
      </c>
      <c r="Q35" s="107"/>
      <c r="R35" s="107"/>
      <c r="S35" s="115">
        <v>0</v>
      </c>
    </row>
    <row r="36" spans="1:19">
      <c r="A36" s="84">
        <v>70</v>
      </c>
      <c r="B36" s="84">
        <v>80</v>
      </c>
      <c r="C36" s="116">
        <v>35139</v>
      </c>
      <c r="D36" s="116">
        <v>262724345</v>
      </c>
      <c r="E36" s="107">
        <v>3.5685574896195842E-4</v>
      </c>
      <c r="F36" s="109">
        <v>74.767166111727704</v>
      </c>
      <c r="G36" s="118">
        <v>0.12</v>
      </c>
      <c r="H36" s="29" t="str">
        <f t="shared" si="0"/>
        <v>(70, 80]</v>
      </c>
      <c r="I36" s="110">
        <v>0</v>
      </c>
      <c r="J36" s="107">
        <v>0</v>
      </c>
      <c r="K36" s="107">
        <v>0</v>
      </c>
      <c r="L36" s="111">
        <v>0</v>
      </c>
      <c r="M36" s="107">
        <v>0</v>
      </c>
      <c r="N36" s="107">
        <v>0</v>
      </c>
      <c r="O36" s="114"/>
      <c r="P36" s="107">
        <v>0</v>
      </c>
      <c r="Q36" s="107"/>
      <c r="R36" s="107"/>
      <c r="S36" s="115">
        <v>0</v>
      </c>
    </row>
    <row r="37" spans="1:19">
      <c r="A37" s="84">
        <v>80</v>
      </c>
      <c r="B37" s="84">
        <v>90</v>
      </c>
      <c r="C37" s="116">
        <v>24609</v>
      </c>
      <c r="D37" s="116">
        <v>208575005</v>
      </c>
      <c r="E37" s="107">
        <v>2.4991784416758685E-4</v>
      </c>
      <c r="F37" s="109">
        <v>84.755579259620461</v>
      </c>
      <c r="G37" s="118">
        <v>0</v>
      </c>
      <c r="H37" s="29" t="str">
        <f t="shared" si="0"/>
        <v>(80, 90]</v>
      </c>
      <c r="I37" s="110">
        <v>0</v>
      </c>
      <c r="J37" s="107">
        <v>0</v>
      </c>
      <c r="K37" s="107">
        <v>0</v>
      </c>
      <c r="L37" s="111">
        <v>0</v>
      </c>
      <c r="M37" s="107">
        <v>0</v>
      </c>
      <c r="N37" s="107">
        <v>0</v>
      </c>
      <c r="O37" s="114"/>
      <c r="P37" s="107">
        <v>0</v>
      </c>
      <c r="Q37" s="107"/>
      <c r="R37" s="107"/>
      <c r="S37" s="115">
        <v>0</v>
      </c>
    </row>
    <row r="38" spans="1:19">
      <c r="A38" s="84">
        <v>90</v>
      </c>
      <c r="B38" s="84">
        <v>100</v>
      </c>
      <c r="C38" s="116">
        <v>17770</v>
      </c>
      <c r="D38" s="116">
        <v>168473080</v>
      </c>
      <c r="E38" s="107">
        <v>1.8046406155707338E-4</v>
      </c>
      <c r="F38" s="109">
        <v>94.807585818795729</v>
      </c>
      <c r="G38" s="118">
        <v>0</v>
      </c>
      <c r="H38" s="29" t="str">
        <f t="shared" si="0"/>
        <v>(90, 100]</v>
      </c>
      <c r="I38" s="110">
        <v>0</v>
      </c>
      <c r="J38" s="107">
        <v>0</v>
      </c>
      <c r="K38" s="107">
        <v>0</v>
      </c>
      <c r="L38" s="111">
        <v>0</v>
      </c>
      <c r="M38" s="107">
        <v>0</v>
      </c>
      <c r="N38" s="107">
        <v>0</v>
      </c>
      <c r="O38" s="114"/>
      <c r="P38" s="107">
        <v>0</v>
      </c>
      <c r="Q38" s="107"/>
      <c r="R38" s="107"/>
      <c r="S38" s="115">
        <v>0</v>
      </c>
    </row>
    <row r="39" spans="1:19">
      <c r="A39" s="84">
        <v>100</v>
      </c>
      <c r="B39" s="84">
        <v>120</v>
      </c>
      <c r="C39" s="116">
        <v>24292</v>
      </c>
      <c r="D39" s="116">
        <v>265655390</v>
      </c>
      <c r="E39" s="107">
        <v>2.4669853592259011E-4</v>
      </c>
      <c r="F39" s="109">
        <v>109.35920879301828</v>
      </c>
      <c r="G39" s="118">
        <v>0.08</v>
      </c>
      <c r="H39" s="29" t="str">
        <f t="shared" si="0"/>
        <v>(100, 120]</v>
      </c>
      <c r="I39" s="110">
        <v>0</v>
      </c>
      <c r="J39" s="107">
        <v>0</v>
      </c>
      <c r="K39" s="107">
        <v>0</v>
      </c>
      <c r="L39" s="111">
        <v>0</v>
      </c>
      <c r="M39" s="107">
        <v>0</v>
      </c>
      <c r="N39" s="107">
        <v>0</v>
      </c>
      <c r="O39" s="114"/>
      <c r="P39" s="107">
        <v>0</v>
      </c>
      <c r="Q39" s="107"/>
      <c r="R39" s="107"/>
      <c r="S39" s="115">
        <v>0</v>
      </c>
    </row>
    <row r="40" spans="1:19">
      <c r="A40" s="84">
        <v>120</v>
      </c>
      <c r="B40" s="84">
        <v>140</v>
      </c>
      <c r="C40" s="116">
        <v>13953</v>
      </c>
      <c r="D40" s="116">
        <v>180188385</v>
      </c>
      <c r="E40" s="107">
        <v>1.4170034051242796E-4</v>
      </c>
      <c r="F40" s="109">
        <v>129.13952913351969</v>
      </c>
      <c r="G40" s="118">
        <v>0</v>
      </c>
      <c r="H40" s="29" t="str">
        <f t="shared" si="0"/>
        <v>(120, 140]</v>
      </c>
      <c r="I40" s="110">
        <v>0</v>
      </c>
      <c r="J40" s="107">
        <v>0</v>
      </c>
      <c r="K40" s="107">
        <v>0</v>
      </c>
      <c r="L40" s="111">
        <v>0</v>
      </c>
      <c r="M40" s="107">
        <v>0</v>
      </c>
      <c r="N40" s="107">
        <v>0</v>
      </c>
      <c r="O40" s="114"/>
      <c r="P40" s="107">
        <v>0</v>
      </c>
      <c r="Q40" s="107"/>
      <c r="R40" s="107"/>
      <c r="S40" s="115">
        <v>0</v>
      </c>
    </row>
    <row r="41" spans="1:19">
      <c r="A41" s="84">
        <v>140</v>
      </c>
      <c r="B41" s="84">
        <v>160</v>
      </c>
      <c r="C41" s="116">
        <v>9263</v>
      </c>
      <c r="D41" s="116">
        <v>138471420</v>
      </c>
      <c r="E41" s="107">
        <v>9.4070827360898744E-5</v>
      </c>
      <c r="F41" s="109">
        <v>149.48874014897982</v>
      </c>
      <c r="G41" s="118">
        <v>0</v>
      </c>
      <c r="H41" s="29" t="str">
        <f t="shared" si="0"/>
        <v>(140, 160]</v>
      </c>
      <c r="I41" s="110">
        <v>0</v>
      </c>
      <c r="J41" s="107">
        <v>0</v>
      </c>
      <c r="K41" s="107">
        <v>0</v>
      </c>
      <c r="L41" s="111">
        <v>0</v>
      </c>
      <c r="M41" s="107">
        <v>0</v>
      </c>
      <c r="N41" s="107">
        <v>0</v>
      </c>
      <c r="O41" s="114"/>
      <c r="P41" s="107">
        <v>0</v>
      </c>
      <c r="Q41" s="107"/>
      <c r="R41" s="107"/>
      <c r="S41" s="115">
        <v>0</v>
      </c>
    </row>
    <row r="42" spans="1:19">
      <c r="A42" s="84">
        <v>160</v>
      </c>
      <c r="B42" s="84">
        <v>180</v>
      </c>
      <c r="C42" s="116">
        <v>6214</v>
      </c>
      <c r="D42" s="116">
        <v>105222530</v>
      </c>
      <c r="E42" s="107">
        <v>6.3106566039147657E-5</v>
      </c>
      <c r="F42" s="109">
        <v>169.33139684583199</v>
      </c>
      <c r="G42" s="118">
        <v>0</v>
      </c>
      <c r="H42" s="29" t="str">
        <f t="shared" si="0"/>
        <v>(160, 180]</v>
      </c>
      <c r="I42" s="110">
        <v>0</v>
      </c>
      <c r="J42" s="107">
        <v>0</v>
      </c>
      <c r="K42" s="107">
        <v>0</v>
      </c>
      <c r="L42" s="111">
        <v>0</v>
      </c>
      <c r="M42" s="107">
        <v>0</v>
      </c>
      <c r="N42" s="107">
        <v>0</v>
      </c>
      <c r="O42" s="114"/>
      <c r="P42" s="107">
        <v>0</v>
      </c>
      <c r="Q42" s="107"/>
      <c r="R42" s="107"/>
      <c r="S42" s="115">
        <v>0</v>
      </c>
    </row>
    <row r="43" spans="1:19">
      <c r="A43" s="84">
        <v>180</v>
      </c>
      <c r="B43" s="84">
        <v>200</v>
      </c>
      <c r="C43" s="116">
        <v>4040</v>
      </c>
      <c r="D43" s="116">
        <v>76464055</v>
      </c>
      <c r="E43" s="107">
        <v>4.1028407917308744E-5</v>
      </c>
      <c r="F43" s="109">
        <v>189.26746287128714</v>
      </c>
      <c r="G43" s="118">
        <v>0</v>
      </c>
      <c r="H43" s="29" t="str">
        <f t="shared" si="0"/>
        <v>(180, 200]</v>
      </c>
      <c r="I43" s="110">
        <v>0</v>
      </c>
      <c r="J43" s="107">
        <v>0</v>
      </c>
      <c r="K43" s="107">
        <v>0</v>
      </c>
      <c r="L43" s="111">
        <v>0</v>
      </c>
      <c r="M43" s="107">
        <v>0</v>
      </c>
      <c r="N43" s="107">
        <v>0</v>
      </c>
      <c r="O43" s="114"/>
      <c r="P43" s="107">
        <v>0</v>
      </c>
      <c r="Q43" s="107"/>
      <c r="R43" s="107"/>
      <c r="S43" s="115">
        <v>0</v>
      </c>
    </row>
    <row r="44" spans="1:19">
      <c r="A44" s="84">
        <v>200</v>
      </c>
      <c r="B44" s="84">
        <v>250</v>
      </c>
      <c r="C44" s="116">
        <v>6008</v>
      </c>
      <c r="D44" s="116">
        <v>133587440</v>
      </c>
      <c r="E44" s="107">
        <v>6.1014523457225484E-5</v>
      </c>
      <c r="F44" s="109">
        <v>222.3492676431425</v>
      </c>
      <c r="G44" s="118">
        <v>0</v>
      </c>
      <c r="H44" s="29" t="str">
        <f t="shared" si="0"/>
        <v>(200, 250]</v>
      </c>
      <c r="I44" s="110">
        <v>0</v>
      </c>
      <c r="J44" s="107">
        <v>0</v>
      </c>
      <c r="K44" s="107">
        <v>0</v>
      </c>
      <c r="L44" s="111">
        <v>0</v>
      </c>
      <c r="M44" s="107">
        <v>0</v>
      </c>
      <c r="N44" s="107">
        <v>0</v>
      </c>
      <c r="O44" s="114"/>
      <c r="P44" s="107">
        <v>0</v>
      </c>
      <c r="Q44" s="107"/>
      <c r="R44" s="107"/>
      <c r="S44" s="115">
        <v>0</v>
      </c>
    </row>
    <row r="45" spans="1:19">
      <c r="A45" s="84">
        <v>250</v>
      </c>
      <c r="B45" s="84">
        <v>300</v>
      </c>
      <c r="C45" s="116">
        <v>2761</v>
      </c>
      <c r="D45" s="116">
        <v>75293200</v>
      </c>
      <c r="E45" s="107">
        <v>2.8039463925665706E-5</v>
      </c>
      <c r="F45" s="109">
        <v>272.70264396957623</v>
      </c>
      <c r="G45" s="118">
        <v>0</v>
      </c>
      <c r="H45" s="29" t="str">
        <f t="shared" si="0"/>
        <v>(250, 300]</v>
      </c>
      <c r="I45" s="110">
        <v>0</v>
      </c>
      <c r="J45" s="107">
        <v>0</v>
      </c>
      <c r="K45" s="107">
        <v>0</v>
      </c>
      <c r="L45" s="111">
        <v>0</v>
      </c>
      <c r="M45" s="107">
        <v>0</v>
      </c>
      <c r="N45" s="107">
        <v>0</v>
      </c>
      <c r="O45" s="114"/>
      <c r="P45" s="107">
        <v>0</v>
      </c>
      <c r="Q45" s="107"/>
      <c r="R45" s="107"/>
      <c r="S45" s="115">
        <v>0</v>
      </c>
    </row>
    <row r="46" spans="1:19">
      <c r="A46" s="84">
        <v>300</v>
      </c>
      <c r="B46" s="84">
        <v>350</v>
      </c>
      <c r="C46" s="116">
        <v>1611</v>
      </c>
      <c r="D46" s="116">
        <v>52047630</v>
      </c>
      <c r="E46" s="107">
        <v>1.6360585434352572E-5</v>
      </c>
      <c r="F46" s="109">
        <v>323.07653631284916</v>
      </c>
      <c r="G46" s="118">
        <v>0</v>
      </c>
      <c r="H46" s="29" t="str">
        <f t="shared" si="0"/>
        <v>(300, 350]</v>
      </c>
      <c r="I46" s="110">
        <v>0</v>
      </c>
      <c r="J46" s="107">
        <v>0</v>
      </c>
      <c r="K46" s="107">
        <v>0</v>
      </c>
      <c r="L46" s="111">
        <v>0</v>
      </c>
      <c r="M46" s="107">
        <v>0</v>
      </c>
      <c r="N46" s="107">
        <v>0</v>
      </c>
      <c r="O46" s="114"/>
      <c r="P46" s="107">
        <v>0</v>
      </c>
      <c r="Q46" s="107"/>
      <c r="R46" s="107"/>
      <c r="S46" s="115">
        <v>0</v>
      </c>
    </row>
    <row r="47" spans="1:19">
      <c r="A47" s="84">
        <v>350</v>
      </c>
      <c r="B47" s="84">
        <v>400</v>
      </c>
      <c r="C47" s="116">
        <v>926</v>
      </c>
      <c r="D47" s="116">
        <v>34527000</v>
      </c>
      <c r="E47" s="107">
        <v>9.4040360721356181E-6</v>
      </c>
      <c r="F47" s="109">
        <v>372.86177105831536</v>
      </c>
      <c r="G47" s="118">
        <v>0</v>
      </c>
      <c r="H47" s="29" t="str">
        <f t="shared" si="0"/>
        <v>(350, 400]</v>
      </c>
      <c r="I47" s="110">
        <v>0</v>
      </c>
      <c r="J47" s="107">
        <v>0</v>
      </c>
      <c r="K47" s="107">
        <v>0</v>
      </c>
      <c r="L47" s="111">
        <v>0</v>
      </c>
      <c r="M47" s="107">
        <v>0</v>
      </c>
      <c r="N47" s="107">
        <v>0</v>
      </c>
      <c r="O47" s="114"/>
      <c r="P47" s="107">
        <v>0</v>
      </c>
      <c r="Q47" s="107"/>
      <c r="R47" s="107"/>
      <c r="S47" s="115">
        <v>0</v>
      </c>
    </row>
    <row r="48" spans="1:19">
      <c r="A48" s="84">
        <v>400</v>
      </c>
      <c r="B48" s="84">
        <v>450</v>
      </c>
      <c r="C48" s="116">
        <v>528</v>
      </c>
      <c r="D48" s="116">
        <v>22405850</v>
      </c>
      <c r="E48" s="107">
        <v>5.3621285594898559E-6</v>
      </c>
      <c r="F48" s="109">
        <v>424.35321969696969</v>
      </c>
      <c r="G48" s="118">
        <v>0</v>
      </c>
      <c r="H48" s="29" t="str">
        <f t="shared" si="0"/>
        <v>(400, 450]</v>
      </c>
      <c r="I48" s="110">
        <v>0</v>
      </c>
      <c r="J48" s="107">
        <v>0</v>
      </c>
      <c r="K48" s="107">
        <v>0</v>
      </c>
      <c r="L48" s="111">
        <v>0</v>
      </c>
      <c r="M48" s="107">
        <v>0</v>
      </c>
      <c r="N48" s="107">
        <v>0</v>
      </c>
      <c r="O48" s="114"/>
      <c r="P48" s="107">
        <v>0</v>
      </c>
      <c r="Q48" s="107"/>
      <c r="R48" s="107"/>
      <c r="S48" s="115">
        <v>0</v>
      </c>
    </row>
    <row r="49" spans="1:19">
      <c r="A49" s="84">
        <v>450</v>
      </c>
      <c r="B49" s="84">
        <v>500</v>
      </c>
      <c r="C49" s="116">
        <v>384</v>
      </c>
      <c r="D49" s="116">
        <v>18154475</v>
      </c>
      <c r="E49" s="107">
        <v>3.8997298614471681E-6</v>
      </c>
      <c r="F49" s="109">
        <v>472.77278645833337</v>
      </c>
      <c r="G49" s="118">
        <v>0</v>
      </c>
      <c r="H49" s="29" t="str">
        <f t="shared" si="0"/>
        <v>(450, 500]</v>
      </c>
      <c r="I49" s="110">
        <v>0</v>
      </c>
      <c r="J49" s="107">
        <v>0</v>
      </c>
      <c r="K49" s="107">
        <v>0</v>
      </c>
      <c r="L49" s="111">
        <v>0</v>
      </c>
      <c r="M49" s="107">
        <v>0</v>
      </c>
      <c r="N49" s="107">
        <v>0</v>
      </c>
      <c r="O49" s="114"/>
      <c r="P49" s="107">
        <v>0</v>
      </c>
      <c r="Q49" s="107"/>
      <c r="R49" s="107"/>
      <c r="S49" s="115">
        <v>0</v>
      </c>
    </row>
    <row r="50" spans="1:19">
      <c r="A50" s="84">
        <v>500</v>
      </c>
      <c r="B50" s="84">
        <v>550</v>
      </c>
      <c r="C50" s="116">
        <v>244</v>
      </c>
      <c r="D50" s="116">
        <v>12745255</v>
      </c>
      <c r="E50" s="107">
        <v>2.4779533494612212E-6</v>
      </c>
      <c r="F50" s="109">
        <v>522.3465163934427</v>
      </c>
      <c r="G50" s="118">
        <v>0</v>
      </c>
      <c r="H50" s="29" t="str">
        <f t="shared" si="0"/>
        <v>(500, 550]</v>
      </c>
      <c r="I50" s="110">
        <v>0</v>
      </c>
      <c r="J50" s="107">
        <v>0</v>
      </c>
      <c r="K50" s="107">
        <v>0</v>
      </c>
      <c r="L50" s="111">
        <v>0</v>
      </c>
      <c r="M50" s="107">
        <v>0</v>
      </c>
      <c r="N50" s="107">
        <v>0</v>
      </c>
      <c r="O50" s="114"/>
      <c r="P50" s="107">
        <v>0</v>
      </c>
      <c r="Q50" s="107"/>
      <c r="R50" s="107"/>
      <c r="S50" s="115">
        <v>0</v>
      </c>
    </row>
    <row r="51" spans="1:19">
      <c r="A51" s="84">
        <v>550</v>
      </c>
      <c r="B51" s="84">
        <v>600</v>
      </c>
      <c r="C51" s="116">
        <v>166</v>
      </c>
      <c r="D51" s="116">
        <v>9552945</v>
      </c>
      <c r="E51" s="107">
        <v>1.6858207213547653E-6</v>
      </c>
      <c r="F51" s="109">
        <v>575.47861445783133</v>
      </c>
      <c r="G51" s="118">
        <v>0</v>
      </c>
      <c r="H51" s="29" t="str">
        <f t="shared" si="0"/>
        <v>(550, 600]</v>
      </c>
      <c r="I51" s="110">
        <v>0</v>
      </c>
      <c r="J51" s="107">
        <v>0</v>
      </c>
      <c r="K51" s="107">
        <v>0</v>
      </c>
      <c r="L51" s="111">
        <v>0</v>
      </c>
      <c r="M51" s="107">
        <v>0</v>
      </c>
      <c r="N51" s="107">
        <v>0</v>
      </c>
      <c r="O51" s="114"/>
      <c r="P51" s="107">
        <v>0</v>
      </c>
      <c r="Q51" s="107"/>
      <c r="R51" s="107"/>
      <c r="S51" s="115">
        <v>0</v>
      </c>
    </row>
    <row r="52" spans="1:19">
      <c r="A52" s="84">
        <v>600</v>
      </c>
      <c r="B52" s="84">
        <v>650</v>
      </c>
      <c r="C52" s="116">
        <v>100</v>
      </c>
      <c r="D52" s="116">
        <v>6212275</v>
      </c>
      <c r="E52" s="107">
        <v>1.0155546514185334E-6</v>
      </c>
      <c r="F52" s="109">
        <v>621.22749999999996</v>
      </c>
      <c r="G52" s="118">
        <v>0</v>
      </c>
      <c r="H52" s="29" t="str">
        <f t="shared" si="0"/>
        <v>(600, 650]</v>
      </c>
      <c r="I52" s="110">
        <v>0</v>
      </c>
      <c r="J52" s="107">
        <v>0</v>
      </c>
      <c r="K52" s="107">
        <v>0</v>
      </c>
      <c r="L52" s="111">
        <v>0</v>
      </c>
      <c r="M52" s="107">
        <v>0</v>
      </c>
      <c r="N52" s="107">
        <v>0</v>
      </c>
      <c r="O52" s="114"/>
      <c r="P52" s="107">
        <v>0</v>
      </c>
      <c r="Q52" s="107"/>
      <c r="R52" s="107"/>
      <c r="S52" s="115">
        <v>0</v>
      </c>
    </row>
    <row r="53" spans="1:19">
      <c r="A53" s="84">
        <v>650</v>
      </c>
      <c r="B53" s="84">
        <v>700</v>
      </c>
      <c r="C53" s="116">
        <v>120</v>
      </c>
      <c r="D53" s="116">
        <v>8078565</v>
      </c>
      <c r="E53" s="107">
        <v>1.2186655817022399E-6</v>
      </c>
      <c r="F53" s="109">
        <v>673.21375</v>
      </c>
      <c r="G53" s="118">
        <v>0</v>
      </c>
      <c r="H53" s="29" t="str">
        <f t="shared" si="0"/>
        <v>(650, 700]</v>
      </c>
      <c r="I53" s="110">
        <v>0</v>
      </c>
      <c r="J53" s="107">
        <v>0</v>
      </c>
      <c r="K53" s="107">
        <v>0</v>
      </c>
      <c r="L53" s="111">
        <v>0</v>
      </c>
      <c r="M53" s="107">
        <v>0</v>
      </c>
      <c r="N53" s="107">
        <v>0</v>
      </c>
      <c r="O53" s="114"/>
      <c r="P53" s="107">
        <v>0</v>
      </c>
      <c r="Q53" s="107"/>
      <c r="R53" s="107"/>
      <c r="S53" s="115">
        <v>0</v>
      </c>
    </row>
    <row r="54" spans="1:19">
      <c r="A54" s="84">
        <v>700</v>
      </c>
      <c r="B54" s="84">
        <v>750</v>
      </c>
      <c r="C54" s="116">
        <v>59</v>
      </c>
      <c r="D54" s="116">
        <v>4269135</v>
      </c>
      <c r="E54" s="107">
        <v>5.9917724433693462E-7</v>
      </c>
      <c r="F54" s="109">
        <v>723.58220338983051</v>
      </c>
      <c r="G54" s="118">
        <v>0</v>
      </c>
      <c r="H54" s="29" t="str">
        <f t="shared" si="0"/>
        <v>(700, 750]</v>
      </c>
      <c r="I54" s="110">
        <v>0</v>
      </c>
      <c r="J54" s="107">
        <v>0</v>
      </c>
      <c r="K54" s="107">
        <v>0</v>
      </c>
      <c r="L54" s="111">
        <v>0</v>
      </c>
      <c r="M54" s="107">
        <v>0</v>
      </c>
      <c r="N54" s="107">
        <v>0</v>
      </c>
      <c r="O54" s="114"/>
      <c r="P54" s="107">
        <v>0</v>
      </c>
      <c r="Q54" s="107"/>
      <c r="R54" s="107"/>
      <c r="S54" s="115">
        <v>0</v>
      </c>
    </row>
    <row r="55" spans="1:19">
      <c r="A55" s="84">
        <v>750</v>
      </c>
      <c r="B55" s="84">
        <v>800</v>
      </c>
      <c r="C55" s="116">
        <v>44</v>
      </c>
      <c r="D55" s="116">
        <v>3410965</v>
      </c>
      <c r="E55" s="107">
        <v>4.4684404662415466E-7</v>
      </c>
      <c r="F55" s="109">
        <v>775.21931818181827</v>
      </c>
      <c r="G55" s="118">
        <v>0</v>
      </c>
      <c r="H55" s="29" t="str">
        <f t="shared" si="0"/>
        <v>(750, 800]</v>
      </c>
      <c r="I55" s="110">
        <v>0</v>
      </c>
      <c r="J55" s="107">
        <v>0</v>
      </c>
      <c r="K55" s="107">
        <v>0</v>
      </c>
      <c r="L55" s="111">
        <v>0</v>
      </c>
      <c r="M55" s="107">
        <v>0</v>
      </c>
      <c r="N55" s="107">
        <v>0</v>
      </c>
      <c r="O55" s="114"/>
      <c r="P55" s="107">
        <v>0</v>
      </c>
      <c r="Q55" s="107"/>
      <c r="R55" s="107"/>
      <c r="S55" s="115">
        <v>0</v>
      </c>
    </row>
    <row r="56" spans="1:19">
      <c r="A56" s="84">
        <v>800</v>
      </c>
      <c r="B56" s="84">
        <v>850</v>
      </c>
      <c r="C56" s="116">
        <v>28</v>
      </c>
      <c r="D56" s="116">
        <v>2303400</v>
      </c>
      <c r="E56" s="107">
        <v>2.8435530239718936E-7</v>
      </c>
      <c r="F56" s="109">
        <v>822.64285714285711</v>
      </c>
      <c r="G56" s="118">
        <v>0</v>
      </c>
      <c r="H56" s="29" t="str">
        <f t="shared" si="0"/>
        <v>(800, 850]</v>
      </c>
      <c r="I56" s="110">
        <v>0</v>
      </c>
      <c r="J56" s="107">
        <v>0</v>
      </c>
      <c r="K56" s="107">
        <v>0</v>
      </c>
      <c r="L56" s="111">
        <v>0</v>
      </c>
      <c r="M56" s="107">
        <v>0</v>
      </c>
      <c r="N56" s="107">
        <v>0</v>
      </c>
      <c r="O56" s="114"/>
      <c r="P56" s="107">
        <v>0</v>
      </c>
      <c r="Q56" s="107"/>
      <c r="R56" s="107"/>
      <c r="S56" s="115">
        <v>0</v>
      </c>
    </row>
    <row r="57" spans="1:19">
      <c r="A57" s="84">
        <v>850</v>
      </c>
      <c r="B57" s="84">
        <v>900</v>
      </c>
      <c r="C57" s="116">
        <v>32</v>
      </c>
      <c r="D57" s="116">
        <v>2809020</v>
      </c>
      <c r="E57" s="107">
        <v>3.2497748845393066E-7</v>
      </c>
      <c r="F57" s="109">
        <v>877.81875000000002</v>
      </c>
      <c r="G57" s="118">
        <v>0</v>
      </c>
      <c r="H57" s="29" t="str">
        <f t="shared" si="0"/>
        <v>(850, 900]</v>
      </c>
      <c r="I57" s="110">
        <v>0</v>
      </c>
      <c r="J57" s="107">
        <v>0</v>
      </c>
      <c r="K57" s="107">
        <v>0</v>
      </c>
      <c r="L57" s="112">
        <v>0</v>
      </c>
      <c r="M57" s="107">
        <v>0</v>
      </c>
      <c r="N57" s="107">
        <v>0</v>
      </c>
      <c r="O57" s="114"/>
      <c r="P57" s="107">
        <v>0</v>
      </c>
      <c r="Q57" s="107"/>
      <c r="R57" s="107"/>
      <c r="S57" s="115">
        <v>0</v>
      </c>
    </row>
    <row r="58" spans="1:19">
      <c r="A58" s="84">
        <v>900</v>
      </c>
      <c r="B58" s="84">
        <v>950</v>
      </c>
      <c r="C58" s="116">
        <v>28</v>
      </c>
      <c r="D58" s="116">
        <v>2575920</v>
      </c>
      <c r="E58" s="107">
        <v>2.8435530239718936E-7</v>
      </c>
      <c r="F58" s="109">
        <v>919.97142857142853</v>
      </c>
      <c r="G58" s="118">
        <v>0</v>
      </c>
      <c r="H58" s="29" t="str">
        <f t="shared" si="0"/>
        <v>(900, 950]</v>
      </c>
      <c r="I58" s="110">
        <v>0</v>
      </c>
      <c r="J58" s="107">
        <v>0</v>
      </c>
      <c r="K58" s="107">
        <v>0</v>
      </c>
      <c r="L58" s="112">
        <v>0</v>
      </c>
      <c r="M58" s="107">
        <v>0</v>
      </c>
      <c r="N58" s="107">
        <v>0</v>
      </c>
      <c r="O58" s="114"/>
      <c r="P58" s="107">
        <v>0</v>
      </c>
      <c r="Q58" s="107"/>
      <c r="R58" s="107"/>
      <c r="S58" s="115">
        <v>0</v>
      </c>
    </row>
    <row r="59" spans="1:19">
      <c r="A59" s="84">
        <v>950</v>
      </c>
      <c r="B59" s="84">
        <v>1000</v>
      </c>
      <c r="C59" s="116">
        <v>16</v>
      </c>
      <c r="D59" s="116">
        <v>1568845</v>
      </c>
      <c r="E59" s="107">
        <v>1.6248874422696533E-7</v>
      </c>
      <c r="F59" s="109">
        <v>980.52812500000005</v>
      </c>
      <c r="G59" s="118">
        <v>0</v>
      </c>
      <c r="H59" s="29" t="str">
        <f t="shared" si="0"/>
        <v>(950, 1000]</v>
      </c>
      <c r="I59" s="110">
        <v>0</v>
      </c>
      <c r="J59" s="107">
        <v>0</v>
      </c>
      <c r="K59" s="107">
        <v>0</v>
      </c>
      <c r="L59" s="112">
        <v>0</v>
      </c>
      <c r="M59" s="107">
        <v>0</v>
      </c>
      <c r="N59" s="107">
        <v>0</v>
      </c>
      <c r="O59" s="114"/>
      <c r="P59" s="107">
        <v>0</v>
      </c>
      <c r="Q59" s="107"/>
      <c r="R59" s="107"/>
      <c r="S59" s="115">
        <v>0</v>
      </c>
    </row>
    <row r="60" spans="1:19">
      <c r="A60" s="84">
        <v>1000</v>
      </c>
      <c r="B60" s="84">
        <v>2000</v>
      </c>
      <c r="C60" s="116">
        <v>85</v>
      </c>
      <c r="D60" s="116">
        <v>10865110</v>
      </c>
      <c r="E60" s="107">
        <v>8.632214537057533E-7</v>
      </c>
      <c r="F60" s="109">
        <v>1278.2482352941176</v>
      </c>
      <c r="G60" s="118">
        <v>0</v>
      </c>
      <c r="H60" s="29" t="str">
        <f t="shared" si="0"/>
        <v>(1000, 2000]</v>
      </c>
      <c r="I60" s="110">
        <v>0</v>
      </c>
      <c r="J60" s="107">
        <v>0</v>
      </c>
      <c r="K60" s="107">
        <v>0</v>
      </c>
      <c r="L60" s="112">
        <v>0</v>
      </c>
      <c r="M60" s="107">
        <v>0</v>
      </c>
      <c r="N60" s="107">
        <v>0</v>
      </c>
      <c r="O60" s="114"/>
      <c r="P60" s="107">
        <v>0</v>
      </c>
      <c r="Q60" s="107"/>
      <c r="R60" s="107"/>
      <c r="S60" s="115">
        <v>0</v>
      </c>
    </row>
    <row r="61" spans="1:19">
      <c r="A61" s="84">
        <v>2000</v>
      </c>
      <c r="B61" s="84">
        <v>3000</v>
      </c>
      <c r="C61" s="116">
        <v>5</v>
      </c>
      <c r="D61" s="116">
        <v>1186280</v>
      </c>
      <c r="E61" s="107">
        <v>5.077773257092667E-8</v>
      </c>
      <c r="F61" s="109">
        <v>2372.56</v>
      </c>
      <c r="G61" s="118">
        <v>0</v>
      </c>
      <c r="H61" s="29" t="str">
        <f t="shared" si="0"/>
        <v>(2000, 3000]</v>
      </c>
      <c r="I61" s="110">
        <v>0</v>
      </c>
      <c r="J61" s="107">
        <v>0</v>
      </c>
      <c r="K61" s="107">
        <v>0</v>
      </c>
      <c r="L61" s="112">
        <v>0</v>
      </c>
      <c r="M61" s="107">
        <v>0</v>
      </c>
      <c r="N61" s="107">
        <v>0</v>
      </c>
      <c r="O61" s="114"/>
      <c r="P61" s="107">
        <v>0</v>
      </c>
      <c r="Q61" s="107"/>
      <c r="R61" s="107"/>
      <c r="S61" s="115">
        <v>0</v>
      </c>
    </row>
    <row r="62" spans="1:19">
      <c r="A62" s="84">
        <v>3000</v>
      </c>
      <c r="B62" s="84">
        <v>4000</v>
      </c>
      <c r="C62" s="116">
        <v>1</v>
      </c>
      <c r="D62" s="116">
        <v>326410</v>
      </c>
      <c r="E62" s="107">
        <v>1.0155546514185333E-8</v>
      </c>
      <c r="F62" s="109">
        <v>3264.1</v>
      </c>
      <c r="G62" s="118">
        <v>0</v>
      </c>
      <c r="H62" s="29" t="str">
        <f t="shared" si="0"/>
        <v>(3000, 4000]</v>
      </c>
      <c r="I62" s="110">
        <v>0</v>
      </c>
      <c r="J62" s="107">
        <v>0</v>
      </c>
      <c r="K62" s="107">
        <v>0</v>
      </c>
      <c r="L62" s="112">
        <v>0</v>
      </c>
      <c r="M62" s="107">
        <v>0</v>
      </c>
      <c r="N62" s="107">
        <v>0</v>
      </c>
      <c r="O62" s="114"/>
      <c r="P62" s="107">
        <v>0</v>
      </c>
      <c r="Q62" s="107"/>
      <c r="R62" s="107"/>
      <c r="S62" s="115">
        <v>0</v>
      </c>
    </row>
    <row r="63" spans="1:19">
      <c r="A63" s="84">
        <v>4000</v>
      </c>
      <c r="B63" s="84">
        <v>5000</v>
      </c>
      <c r="C63" s="116">
        <v>0</v>
      </c>
      <c r="D63" s="116">
        <v>0</v>
      </c>
      <c r="E63" s="107">
        <v>0</v>
      </c>
      <c r="F63" s="109">
        <v>0</v>
      </c>
      <c r="G63" s="118">
        <v>0</v>
      </c>
      <c r="H63" s="29" t="str">
        <f t="shared" si="0"/>
        <v>(4000, 5000]</v>
      </c>
      <c r="I63" s="110">
        <v>0</v>
      </c>
      <c r="J63" s="107">
        <v>0</v>
      </c>
      <c r="K63" s="107">
        <v>0</v>
      </c>
      <c r="L63" s="112">
        <v>0</v>
      </c>
      <c r="M63" s="107">
        <v>0</v>
      </c>
      <c r="N63" s="107">
        <v>0</v>
      </c>
      <c r="O63" s="114"/>
      <c r="P63" s="107">
        <v>0</v>
      </c>
      <c r="Q63" s="107"/>
      <c r="R63" s="107"/>
      <c r="S63" s="115">
        <v>0</v>
      </c>
    </row>
    <row r="64" spans="1:19">
      <c r="A64" s="84">
        <v>5000</v>
      </c>
      <c r="B64" s="84">
        <v>6000</v>
      </c>
      <c r="C64" s="116">
        <v>0</v>
      </c>
      <c r="D64" s="116">
        <v>0</v>
      </c>
      <c r="E64" s="107">
        <v>0</v>
      </c>
      <c r="F64" s="109">
        <v>0</v>
      </c>
      <c r="G64" s="118">
        <v>0</v>
      </c>
      <c r="H64" s="29" t="str">
        <f t="shared" si="0"/>
        <v>(5000, 6000]</v>
      </c>
      <c r="I64" s="110">
        <v>0</v>
      </c>
      <c r="J64" s="107">
        <v>0</v>
      </c>
      <c r="K64" s="107">
        <v>0</v>
      </c>
      <c r="L64" s="112">
        <v>0</v>
      </c>
      <c r="M64" s="107">
        <v>0</v>
      </c>
      <c r="N64" s="107">
        <v>0</v>
      </c>
      <c r="O64" s="114"/>
      <c r="P64" s="107">
        <v>0</v>
      </c>
      <c r="Q64" s="107"/>
      <c r="R64" s="107"/>
      <c r="S64" s="115">
        <v>0</v>
      </c>
    </row>
    <row r="65" spans="1:20">
      <c r="A65" s="84">
        <v>6000</v>
      </c>
      <c r="B65" s="84">
        <v>7000</v>
      </c>
      <c r="C65" s="116">
        <v>0</v>
      </c>
      <c r="D65" s="116">
        <v>0</v>
      </c>
      <c r="E65" s="107">
        <v>0</v>
      </c>
      <c r="F65" s="109">
        <v>0</v>
      </c>
      <c r="G65" s="118">
        <v>0</v>
      </c>
      <c r="H65" s="29" t="str">
        <f t="shared" si="0"/>
        <v>(6000, 7000]</v>
      </c>
      <c r="I65" s="110">
        <v>0</v>
      </c>
      <c r="J65" s="107">
        <v>0</v>
      </c>
      <c r="K65" s="107">
        <v>0</v>
      </c>
      <c r="L65" s="112">
        <v>0</v>
      </c>
      <c r="M65" s="107">
        <v>0</v>
      </c>
      <c r="N65" s="107">
        <v>0</v>
      </c>
      <c r="O65" s="114"/>
      <c r="P65" s="107">
        <v>0</v>
      </c>
      <c r="Q65" s="107"/>
      <c r="R65" s="107"/>
      <c r="S65" s="115">
        <v>0</v>
      </c>
    </row>
    <row r="66" spans="1:20">
      <c r="A66" s="84">
        <v>7000</v>
      </c>
      <c r="B66" s="84">
        <v>8000</v>
      </c>
      <c r="C66" s="116">
        <v>0</v>
      </c>
      <c r="D66" s="116">
        <v>0</v>
      </c>
      <c r="E66" s="107">
        <v>0</v>
      </c>
      <c r="F66" s="109">
        <v>0</v>
      </c>
      <c r="G66" s="118">
        <v>0</v>
      </c>
      <c r="H66" s="29" t="str">
        <f t="shared" si="0"/>
        <v>(7000, 8000]</v>
      </c>
      <c r="I66" s="110">
        <v>0</v>
      </c>
      <c r="J66" s="107">
        <v>0</v>
      </c>
      <c r="K66" s="107">
        <v>0</v>
      </c>
      <c r="L66" s="112">
        <v>0</v>
      </c>
      <c r="M66" s="107">
        <v>0</v>
      </c>
      <c r="N66" s="107">
        <v>0</v>
      </c>
      <c r="O66" s="114"/>
      <c r="P66" s="107">
        <v>0</v>
      </c>
      <c r="Q66" s="107"/>
      <c r="R66" s="107"/>
      <c r="S66" s="115">
        <v>0</v>
      </c>
    </row>
    <row r="67" spans="1:20">
      <c r="A67" s="84">
        <v>8000</v>
      </c>
      <c r="B67" s="84">
        <v>9000</v>
      </c>
      <c r="C67" s="116">
        <v>0</v>
      </c>
      <c r="D67" s="116">
        <v>0</v>
      </c>
      <c r="E67" s="107">
        <v>0</v>
      </c>
      <c r="F67" s="109">
        <v>0</v>
      </c>
      <c r="G67" s="118">
        <v>0</v>
      </c>
      <c r="H67" s="29" t="str">
        <f t="shared" si="0"/>
        <v>(8000, 9000]</v>
      </c>
      <c r="I67" s="110">
        <v>0</v>
      </c>
      <c r="J67" s="107">
        <v>0</v>
      </c>
      <c r="K67" s="107">
        <v>0</v>
      </c>
      <c r="L67" s="112">
        <v>0</v>
      </c>
      <c r="M67" s="107">
        <v>0</v>
      </c>
      <c r="N67" s="107">
        <v>0</v>
      </c>
      <c r="O67" s="114"/>
      <c r="P67" s="107">
        <v>0</v>
      </c>
      <c r="Q67" s="107"/>
      <c r="R67" s="107"/>
      <c r="S67" s="115">
        <v>0</v>
      </c>
    </row>
    <row r="68" spans="1:20">
      <c r="A68" s="84">
        <v>9000</v>
      </c>
      <c r="B68" s="84">
        <v>10000</v>
      </c>
      <c r="C68" s="116">
        <v>0</v>
      </c>
      <c r="D68" s="116">
        <v>0</v>
      </c>
      <c r="E68" s="107">
        <v>0</v>
      </c>
      <c r="F68" s="109">
        <v>0</v>
      </c>
      <c r="G68" s="118">
        <v>0</v>
      </c>
      <c r="H68" s="29" t="str">
        <f t="shared" si="0"/>
        <v>(9000, 10000]</v>
      </c>
      <c r="I68" s="110">
        <v>0</v>
      </c>
      <c r="J68" s="107">
        <v>0</v>
      </c>
      <c r="K68" s="107">
        <v>0</v>
      </c>
      <c r="L68" s="112">
        <v>0</v>
      </c>
      <c r="M68" s="107">
        <v>0</v>
      </c>
      <c r="N68" s="107">
        <v>0</v>
      </c>
      <c r="O68" s="114"/>
      <c r="P68" s="107">
        <v>0</v>
      </c>
      <c r="Q68" s="107"/>
      <c r="R68" s="107"/>
      <c r="S68" s="115">
        <v>0</v>
      </c>
    </row>
    <row r="69" spans="1:20">
      <c r="A69" s="84">
        <v>10000</v>
      </c>
      <c r="B69" s="84">
        <v>20000</v>
      </c>
      <c r="C69" s="116">
        <v>0</v>
      </c>
      <c r="D69" s="116">
        <v>0</v>
      </c>
      <c r="E69" s="107">
        <v>0</v>
      </c>
      <c r="F69" s="109">
        <v>0</v>
      </c>
      <c r="G69" s="118">
        <v>0</v>
      </c>
      <c r="H69" s="29" t="str">
        <f t="shared" si="0"/>
        <v>(10000, 20000]</v>
      </c>
      <c r="I69" s="110">
        <v>0</v>
      </c>
      <c r="J69" s="107">
        <v>0</v>
      </c>
      <c r="K69" s="107">
        <v>0</v>
      </c>
      <c r="L69" s="112">
        <v>0</v>
      </c>
      <c r="M69" s="107">
        <v>0</v>
      </c>
      <c r="N69" s="107">
        <v>0</v>
      </c>
      <c r="O69" s="114"/>
      <c r="P69" s="107">
        <v>0</v>
      </c>
      <c r="Q69" s="107"/>
      <c r="R69" s="107"/>
      <c r="S69" s="115">
        <v>0</v>
      </c>
    </row>
    <row r="70" spans="1:20">
      <c r="A70" s="84">
        <v>20000</v>
      </c>
      <c r="B70" s="84">
        <v>30000</v>
      </c>
      <c r="C70" s="116">
        <v>0</v>
      </c>
      <c r="D70" s="116">
        <v>0</v>
      </c>
      <c r="E70" s="107">
        <v>0</v>
      </c>
      <c r="F70" s="109">
        <v>0</v>
      </c>
      <c r="G70" s="118">
        <v>0</v>
      </c>
      <c r="H70" s="29" t="str">
        <f t="shared" si="0"/>
        <v>(20000, 30000]</v>
      </c>
      <c r="I70" s="110">
        <v>0</v>
      </c>
      <c r="J70" s="107">
        <v>0</v>
      </c>
      <c r="K70" s="107">
        <v>0</v>
      </c>
      <c r="L70" s="112">
        <v>0</v>
      </c>
      <c r="M70" s="107">
        <v>0</v>
      </c>
      <c r="N70" s="107">
        <v>0</v>
      </c>
      <c r="O70" s="114"/>
      <c r="P70" s="107">
        <v>0</v>
      </c>
      <c r="Q70" s="107"/>
      <c r="R70" s="107"/>
      <c r="S70" s="115">
        <v>0</v>
      </c>
    </row>
    <row r="71" spans="1:20">
      <c r="A71" s="84">
        <v>30000</v>
      </c>
      <c r="B71" s="84">
        <v>40000</v>
      </c>
      <c r="C71" s="116">
        <v>0</v>
      </c>
      <c r="D71" s="116">
        <v>0</v>
      </c>
      <c r="E71" s="107">
        <v>0</v>
      </c>
      <c r="F71" s="109">
        <v>0</v>
      </c>
      <c r="G71" s="118">
        <v>0</v>
      </c>
      <c r="H71" s="29" t="str">
        <f t="shared" si="0"/>
        <v>(30000, 40000]</v>
      </c>
      <c r="I71" s="110">
        <v>0</v>
      </c>
      <c r="J71" s="107">
        <v>0</v>
      </c>
      <c r="K71" s="107">
        <v>0</v>
      </c>
      <c r="L71" s="112">
        <v>0</v>
      </c>
      <c r="M71" s="107">
        <v>0</v>
      </c>
      <c r="N71" s="107">
        <v>0</v>
      </c>
      <c r="O71" s="114"/>
      <c r="P71" s="107">
        <v>0</v>
      </c>
      <c r="Q71" s="107"/>
      <c r="R71" s="107"/>
      <c r="S71" s="115">
        <v>0</v>
      </c>
    </row>
    <row r="72" spans="1:20">
      <c r="A72" s="84">
        <v>40000</v>
      </c>
      <c r="B72" s="84">
        <v>50000</v>
      </c>
      <c r="C72" s="116">
        <v>0</v>
      </c>
      <c r="D72" s="116">
        <v>0</v>
      </c>
      <c r="E72" s="107">
        <v>0</v>
      </c>
      <c r="F72" s="109">
        <v>0</v>
      </c>
      <c r="G72" s="118">
        <v>0</v>
      </c>
      <c r="H72" s="29" t="str">
        <f t="shared" si="0"/>
        <v>(40000, 50000]</v>
      </c>
      <c r="I72" s="110">
        <v>0</v>
      </c>
      <c r="J72" s="107">
        <v>0</v>
      </c>
      <c r="K72" s="107">
        <v>0</v>
      </c>
      <c r="L72" s="112">
        <v>0</v>
      </c>
      <c r="M72" s="107">
        <v>0</v>
      </c>
      <c r="N72" s="107">
        <v>0</v>
      </c>
      <c r="O72" s="114"/>
      <c r="P72" s="107">
        <v>0</v>
      </c>
      <c r="Q72" s="107"/>
      <c r="R72" s="107"/>
      <c r="S72" s="115">
        <v>0</v>
      </c>
    </row>
    <row r="73" spans="1:20">
      <c r="A73" s="84">
        <v>50000</v>
      </c>
      <c r="B73" s="84">
        <v>60000</v>
      </c>
      <c r="C73" s="116">
        <v>0</v>
      </c>
      <c r="D73" s="116">
        <v>0</v>
      </c>
      <c r="E73" s="107">
        <v>0</v>
      </c>
      <c r="F73" s="109">
        <v>0</v>
      </c>
      <c r="G73" s="118">
        <v>0</v>
      </c>
      <c r="H73" s="29" t="str">
        <f t="shared" si="0"/>
        <v>(50000, 60000]</v>
      </c>
      <c r="I73" s="110">
        <v>0</v>
      </c>
      <c r="J73" s="107">
        <v>0</v>
      </c>
      <c r="K73" s="107">
        <v>0</v>
      </c>
      <c r="L73" s="112">
        <v>0</v>
      </c>
      <c r="M73" s="107">
        <v>0</v>
      </c>
      <c r="N73" s="107">
        <v>0</v>
      </c>
      <c r="O73" s="114"/>
      <c r="P73" s="107">
        <v>0</v>
      </c>
      <c r="Q73" s="107"/>
      <c r="R73" s="107"/>
      <c r="S73" s="115">
        <v>0</v>
      </c>
    </row>
    <row r="74" spans="1:20">
      <c r="A74" s="84">
        <v>60000</v>
      </c>
      <c r="B74" s="84">
        <v>70000</v>
      </c>
      <c r="C74" s="116">
        <v>0</v>
      </c>
      <c r="D74" s="116">
        <v>0</v>
      </c>
      <c r="E74" s="107">
        <v>0</v>
      </c>
      <c r="F74" s="109">
        <v>0</v>
      </c>
      <c r="G74" s="118">
        <v>0</v>
      </c>
      <c r="H74" s="29" t="str">
        <f t="shared" si="0"/>
        <v>(60000, 70000]</v>
      </c>
      <c r="I74" s="110">
        <v>0</v>
      </c>
      <c r="J74" s="107">
        <v>0</v>
      </c>
      <c r="K74" s="107">
        <v>0</v>
      </c>
      <c r="L74" s="112">
        <v>0</v>
      </c>
      <c r="M74" s="107">
        <v>0</v>
      </c>
      <c r="N74" s="107">
        <v>0</v>
      </c>
      <c r="O74" s="114"/>
      <c r="P74" s="107">
        <v>0</v>
      </c>
      <c r="Q74" s="107"/>
      <c r="R74" s="107"/>
      <c r="S74" s="115">
        <v>0</v>
      </c>
    </row>
    <row r="75" spans="1:20">
      <c r="A75" s="84">
        <v>70000</v>
      </c>
      <c r="B75" s="84">
        <v>80000</v>
      </c>
      <c r="C75" s="116">
        <v>0</v>
      </c>
      <c r="D75" s="116">
        <v>0</v>
      </c>
      <c r="E75" s="107">
        <v>0</v>
      </c>
      <c r="F75" s="109">
        <v>0</v>
      </c>
      <c r="G75" s="118">
        <v>0</v>
      </c>
      <c r="H75" s="29" t="str">
        <f t="shared" si="0"/>
        <v>(70000, 80000]</v>
      </c>
      <c r="I75" s="110">
        <v>0</v>
      </c>
      <c r="J75" s="107">
        <v>0</v>
      </c>
      <c r="K75" s="107">
        <v>0</v>
      </c>
      <c r="L75" s="112">
        <v>0</v>
      </c>
      <c r="M75" s="107">
        <v>0</v>
      </c>
      <c r="N75" s="107">
        <v>0</v>
      </c>
      <c r="O75" s="114"/>
      <c r="P75" s="107">
        <v>0</v>
      </c>
      <c r="Q75" s="107"/>
      <c r="R75" s="107"/>
      <c r="S75" s="115">
        <v>0</v>
      </c>
    </row>
    <row r="76" spans="1:20">
      <c r="A76" s="84">
        <v>80000</v>
      </c>
      <c r="B76" s="84">
        <v>90000</v>
      </c>
      <c r="C76" s="116">
        <v>0</v>
      </c>
      <c r="D76" s="116">
        <v>0</v>
      </c>
      <c r="E76" s="107">
        <v>0</v>
      </c>
      <c r="F76" s="109">
        <v>0</v>
      </c>
      <c r="G76" s="118">
        <v>0</v>
      </c>
      <c r="H76" s="29" t="str">
        <f t="shared" si="0"/>
        <v>(80000, 90000]</v>
      </c>
      <c r="I76" s="110">
        <v>0</v>
      </c>
      <c r="J76" s="107">
        <v>0</v>
      </c>
      <c r="K76" s="107">
        <v>0</v>
      </c>
      <c r="L76" s="112">
        <v>0</v>
      </c>
      <c r="M76" s="107">
        <v>0</v>
      </c>
      <c r="N76" s="107">
        <v>0</v>
      </c>
      <c r="O76" s="114"/>
      <c r="P76" s="107">
        <v>0</v>
      </c>
      <c r="Q76" s="107"/>
      <c r="R76" s="107"/>
      <c r="S76" s="115">
        <v>0</v>
      </c>
    </row>
    <row r="77" spans="1:20">
      <c r="A77" s="84">
        <v>90000</v>
      </c>
      <c r="B77" s="84">
        <v>100000</v>
      </c>
      <c r="C77" s="116">
        <v>0</v>
      </c>
      <c r="D77" s="116">
        <v>0</v>
      </c>
      <c r="E77" s="107">
        <v>0</v>
      </c>
      <c r="F77" s="109">
        <v>0</v>
      </c>
      <c r="G77" s="118">
        <v>0</v>
      </c>
      <c r="H77" s="29" t="str">
        <f t="shared" si="0"/>
        <v>(90000, 100000]</v>
      </c>
      <c r="I77" s="110">
        <v>0</v>
      </c>
      <c r="J77" s="107">
        <v>0</v>
      </c>
      <c r="K77" s="107">
        <v>0</v>
      </c>
      <c r="L77" s="112">
        <v>0</v>
      </c>
      <c r="M77" s="107">
        <v>0</v>
      </c>
      <c r="N77" s="107">
        <v>0</v>
      </c>
      <c r="O77" s="114"/>
      <c r="P77" s="107">
        <v>0</v>
      </c>
      <c r="Q77" s="107"/>
      <c r="R77" s="107"/>
      <c r="S77" s="115">
        <v>0</v>
      </c>
    </row>
    <row r="78" spans="1:20">
      <c r="A78" s="84">
        <v>100000</v>
      </c>
      <c r="B78" s="84">
        <v>9999999</v>
      </c>
      <c r="C78" s="116">
        <v>0</v>
      </c>
      <c r="D78" s="116">
        <v>0</v>
      </c>
      <c r="E78" s="107">
        <v>0</v>
      </c>
      <c r="F78" s="109">
        <v>0</v>
      </c>
      <c r="G78" s="118">
        <v>0</v>
      </c>
      <c r="H78" s="29" t="str">
        <f t="shared" si="0"/>
        <v>(100000, 9999999]</v>
      </c>
      <c r="I78" s="110">
        <v>0</v>
      </c>
      <c r="J78" s="107">
        <v>0</v>
      </c>
      <c r="K78" s="107">
        <v>0</v>
      </c>
      <c r="L78" s="112">
        <v>0</v>
      </c>
      <c r="M78" s="107">
        <v>0</v>
      </c>
      <c r="N78" s="107">
        <v>0</v>
      </c>
      <c r="O78" s="114"/>
      <c r="P78" s="107">
        <v>0</v>
      </c>
      <c r="Q78" s="107"/>
      <c r="R78" s="107"/>
      <c r="S78" s="115">
        <v>0</v>
      </c>
    </row>
    <row r="79" spans="1:20">
      <c r="A79" s="184" t="s">
        <v>63</v>
      </c>
      <c r="B79" s="185"/>
      <c r="C79" s="120">
        <f>E79*B13</f>
        <v>22844570</v>
      </c>
      <c r="D79" s="116">
        <v>190196215</v>
      </c>
      <c r="E79" s="121">
        <v>2.2844570000000002E-2</v>
      </c>
      <c r="F79" s="109">
        <v>8.3256640418270078E-2</v>
      </c>
      <c r="G79" s="118"/>
      <c r="H79" s="29" t="s">
        <v>63</v>
      </c>
      <c r="I79" s="110">
        <v>0.28000000000000003</v>
      </c>
      <c r="J79" s="107">
        <v>6.3964796000000011E-3</v>
      </c>
      <c r="K79" s="107">
        <f>J79</f>
        <v>6.3964796000000011E-3</v>
      </c>
      <c r="L79" s="112">
        <v>6396479</v>
      </c>
      <c r="M79" s="113">
        <v>6.4478501115251899E-3</v>
      </c>
      <c r="N79" s="107">
        <v>5.3682633820615537E-4</v>
      </c>
      <c r="P79" s="66"/>
      <c r="Q79" s="66"/>
      <c r="R79" s="66"/>
      <c r="S79" s="66"/>
      <c r="T79" s="66"/>
    </row>
    <row r="80" spans="1:20">
      <c r="A80" s="184" t="s">
        <v>88</v>
      </c>
      <c r="B80" s="185"/>
      <c r="C80" s="120">
        <v>10000000</v>
      </c>
      <c r="D80" s="116"/>
      <c r="E80" s="107">
        <v>1</v>
      </c>
      <c r="F80" s="109">
        <v>0</v>
      </c>
      <c r="G80" s="118"/>
      <c r="H80" s="29" t="s">
        <v>88</v>
      </c>
      <c r="I80" s="84"/>
      <c r="J80" s="107"/>
      <c r="K80" s="107"/>
      <c r="L80" s="122"/>
      <c r="M80" s="113">
        <f>E80</f>
        <v>1</v>
      </c>
      <c r="N80" s="107">
        <f>F80/B8</f>
        <v>0</v>
      </c>
      <c r="P80" s="66"/>
      <c r="Q80" s="66"/>
      <c r="R80" s="66"/>
      <c r="S80" s="66"/>
      <c r="T80" s="66"/>
    </row>
    <row r="81" spans="1:19">
      <c r="A81" s="123"/>
      <c r="B81" s="12"/>
      <c r="C81" s="1"/>
      <c r="D81" s="145"/>
      <c r="E81" s="1"/>
      <c r="F81" s="1"/>
      <c r="H81" s="13"/>
      <c r="I81" s="12"/>
      <c r="J81" s="12"/>
      <c r="K81" s="12"/>
      <c r="L81" s="71"/>
      <c r="M81" s="12"/>
      <c r="N81" s="12"/>
    </row>
    <row r="82" spans="1:19">
      <c r="A82" s="12"/>
      <c r="D82" s="124"/>
      <c r="E82" s="1"/>
      <c r="F82" s="1"/>
      <c r="H82" s="13"/>
      <c r="I82" s="12"/>
      <c r="J82" s="12"/>
      <c r="K82" s="12"/>
      <c r="L82" s="12"/>
      <c r="M82" s="12"/>
      <c r="N82" s="12"/>
    </row>
    <row r="83" spans="1:19" s="132" customFormat="1">
      <c r="A83" s="183" t="s">
        <v>202</v>
      </c>
      <c r="B83" s="183"/>
      <c r="C83" s="183"/>
      <c r="D83" s="183"/>
      <c r="E83" s="127"/>
      <c r="F83" s="127"/>
      <c r="G83" s="128"/>
      <c r="H83" s="129"/>
      <c r="I83" s="130"/>
      <c r="J83" s="131"/>
      <c r="K83" s="131"/>
      <c r="L83" s="131"/>
      <c r="M83" s="131"/>
      <c r="N83" s="131"/>
      <c r="O83" s="128"/>
    </row>
    <row r="84" spans="1:19">
      <c r="A84" s="12"/>
      <c r="B84" s="12"/>
      <c r="C84" s="1"/>
      <c r="D84" s="1"/>
      <c r="E84" s="1"/>
      <c r="F84" s="1"/>
      <c r="H84" s="13"/>
      <c r="I84" s="12"/>
      <c r="J84" s="12"/>
      <c r="K84" s="12"/>
      <c r="L84" s="12"/>
      <c r="M84" s="12"/>
      <c r="N84" s="12"/>
    </row>
    <row r="85" spans="1:19">
      <c r="A85" s="101" t="s">
        <v>206</v>
      </c>
      <c r="B85" s="125">
        <f>B13</f>
        <v>1000000000</v>
      </c>
      <c r="C85" s="1"/>
      <c r="D85" s="1"/>
      <c r="E85" s="1"/>
      <c r="F85" s="1"/>
      <c r="H85" s="101" t="s">
        <v>207</v>
      </c>
      <c r="I85" s="12"/>
      <c r="J85" s="12"/>
      <c r="K85" s="12"/>
      <c r="M85" s="12"/>
      <c r="N85" s="12"/>
    </row>
    <row r="86" spans="1:19">
      <c r="A86" s="16" t="s">
        <v>57</v>
      </c>
      <c r="B86" s="16" t="s">
        <v>58</v>
      </c>
      <c r="C86" s="16" t="s">
        <v>208</v>
      </c>
      <c r="D86" s="16" t="s">
        <v>209</v>
      </c>
      <c r="E86" s="16" t="s">
        <v>210</v>
      </c>
      <c r="F86" s="16" t="s">
        <v>211</v>
      </c>
      <c r="H86" s="16" t="s">
        <v>60</v>
      </c>
      <c r="I86" s="16" t="s">
        <v>212</v>
      </c>
      <c r="J86" s="16" t="s">
        <v>213</v>
      </c>
      <c r="K86" s="16" t="s">
        <v>214</v>
      </c>
      <c r="L86" s="16" t="s">
        <v>215</v>
      </c>
      <c r="M86" s="16" t="s">
        <v>62</v>
      </c>
      <c r="N86" s="16" t="s">
        <v>59</v>
      </c>
      <c r="P86" s="39" t="s">
        <v>216</v>
      </c>
      <c r="Q86" s="39" t="s">
        <v>216</v>
      </c>
      <c r="R86" s="39" t="s">
        <v>217</v>
      </c>
      <c r="S86" s="39" t="s">
        <v>218</v>
      </c>
    </row>
    <row r="87" spans="1:19">
      <c r="A87" s="104">
        <v>-1</v>
      </c>
      <c r="B87" s="104">
        <v>0</v>
      </c>
      <c r="C87" s="105">
        <v>6070</v>
      </c>
      <c r="D87" s="105">
        <v>0</v>
      </c>
      <c r="E87" s="107" cm="1">
        <f t="array" ref="E87:E150">_xlfn.LET(_xlpm.x, C87:C150, _xlpm.x/SUM(_xlpm.x))</f>
        <v>2.664165481983526E-3</v>
      </c>
      <c r="F87" s="108" cm="1">
        <f t="array" ref="F87:F150">_xlfn.LET(_xlpm.x, D87:D150/C87:C150/B3, IF(ISERR(_xlpm.x), 0, _xlpm.x))</f>
        <v>0</v>
      </c>
      <c r="G87" s="66">
        <v>1.0000000000000001E-5</v>
      </c>
      <c r="H87" s="29" t="str">
        <f>"("&amp;$A87&amp;", "&amp;$B87&amp;"]"</f>
        <v>(-1, 0]</v>
      </c>
      <c r="I87" s="110">
        <v>0</v>
      </c>
      <c r="J87" s="107" cm="1">
        <f t="array" ref="J87:J150">_xlfn.ANCHORARRAY(E87)*I87:I150</f>
        <v>0</v>
      </c>
      <c r="K87" s="107" cm="1">
        <f t="array" ref="K87:K150">J87:J150/SUM(_xlfn.ANCHORARRAY(J87))</f>
        <v>0</v>
      </c>
      <c r="L87" s="111" cm="1">
        <f t="array" ref="L87:L150">INT(_xlfn.ANCHORARRAY(K87)*$B$2)</f>
        <v>0</v>
      </c>
      <c r="M87" s="107" cm="1">
        <f t="array" ref="M87:M150">_xlfn.LET(_xlpm.x, L87:L150, _xlpm.x/SUM(_xlpm.x))</f>
        <v>0</v>
      </c>
      <c r="N87" s="134" cm="1">
        <f t="array" ref="N87:N150">M87:M150*_xlfn.ANCHORARRAY(F87)</f>
        <v>0</v>
      </c>
      <c r="O87" s="114"/>
      <c r="P87" s="107" cm="1">
        <f t="array" ref="P87:P150">_xlfn.ANCHORARRAY(M87)</f>
        <v>0</v>
      </c>
      <c r="Q87" s="107"/>
      <c r="R87" s="107"/>
      <c r="S87" s="115" cm="1">
        <f t="array" ref="S87:S150">_xlfn.LET(_xlpm.x, Q87:Q150/M87:M150, IF(ISERR(_xlpm.x), 0, ROUND(_xlpm.x,2)))</f>
        <v>0</v>
      </c>
    </row>
    <row r="88" spans="1:19">
      <c r="A88" s="84">
        <v>0</v>
      </c>
      <c r="B88" s="84">
        <v>1</v>
      </c>
      <c r="C88" s="116">
        <v>13289</v>
      </c>
      <c r="D88" s="116">
        <v>1090600</v>
      </c>
      <c r="E88" s="107">
        <v>5.8326351054496014E-3</v>
      </c>
      <c r="F88" s="109">
        <v>0.82067875686658143</v>
      </c>
      <c r="G88" s="66">
        <v>0</v>
      </c>
      <c r="H88" s="29" t="str">
        <f t="shared" ref="H88:H150" si="1">"("&amp;$A88&amp;", "&amp;$B88&amp;"]"</f>
        <v>(0, 1]</v>
      </c>
      <c r="I88" s="110">
        <v>0</v>
      </c>
      <c r="J88" s="107">
        <v>0</v>
      </c>
      <c r="K88" s="107">
        <v>0</v>
      </c>
      <c r="L88" s="111">
        <v>0</v>
      </c>
      <c r="M88" s="107">
        <v>0</v>
      </c>
      <c r="N88" s="107">
        <v>0</v>
      </c>
      <c r="O88" s="114"/>
      <c r="P88" s="107">
        <v>0</v>
      </c>
      <c r="Q88" s="107"/>
      <c r="R88" s="107"/>
      <c r="S88" s="115">
        <v>0</v>
      </c>
    </row>
    <row r="89" spans="1:19">
      <c r="A89" s="84">
        <v>1</v>
      </c>
      <c r="B89" s="84">
        <v>2</v>
      </c>
      <c r="C89" s="116">
        <v>20810</v>
      </c>
      <c r="D89" s="116">
        <v>3233730</v>
      </c>
      <c r="E89" s="107">
        <v>9.1336546425168329E-3</v>
      </c>
      <c r="F89" s="109">
        <v>1.5539308024987986</v>
      </c>
      <c r="G89" s="117">
        <f>1+G88*G87</f>
        <v>1</v>
      </c>
      <c r="H89" s="29" t="str">
        <f t="shared" si="1"/>
        <v>(1, 2]</v>
      </c>
      <c r="I89" s="110">
        <v>0</v>
      </c>
      <c r="J89" s="107">
        <v>0</v>
      </c>
      <c r="K89" s="107">
        <v>0</v>
      </c>
      <c r="L89" s="111">
        <v>0</v>
      </c>
      <c r="M89" s="107">
        <v>0</v>
      </c>
      <c r="N89" s="107">
        <v>0</v>
      </c>
      <c r="O89" s="114"/>
      <c r="P89" s="107">
        <v>0</v>
      </c>
      <c r="Q89" s="107"/>
      <c r="R89" s="107"/>
      <c r="S89" s="115">
        <v>0</v>
      </c>
    </row>
    <row r="90" spans="1:19">
      <c r="A90" s="84">
        <v>2</v>
      </c>
      <c r="B90" s="84">
        <v>3</v>
      </c>
      <c r="C90" s="116">
        <v>21254</v>
      </c>
      <c r="D90" s="116">
        <v>5431450</v>
      </c>
      <c r="E90" s="107">
        <v>9.3285293499304547E-3</v>
      </c>
      <c r="F90" s="109">
        <v>2.5554954361531945</v>
      </c>
      <c r="G90" s="114"/>
      <c r="H90" s="29" t="str">
        <f t="shared" si="1"/>
        <v>(2, 3]</v>
      </c>
      <c r="I90" s="110">
        <v>0</v>
      </c>
      <c r="J90" s="107">
        <v>0</v>
      </c>
      <c r="K90" s="107">
        <v>0</v>
      </c>
      <c r="L90" s="111">
        <v>0</v>
      </c>
      <c r="M90" s="107">
        <v>0</v>
      </c>
      <c r="N90" s="107">
        <v>0</v>
      </c>
      <c r="O90" s="114"/>
      <c r="P90" s="107">
        <v>0</v>
      </c>
      <c r="Q90" s="107"/>
      <c r="R90" s="107"/>
      <c r="S90" s="115">
        <v>0</v>
      </c>
    </row>
    <row r="91" spans="1:19">
      <c r="A91" s="84">
        <v>3</v>
      </c>
      <c r="B91" s="84">
        <v>4</v>
      </c>
      <c r="C91" s="116">
        <v>21645</v>
      </c>
      <c r="D91" s="116">
        <v>7695990</v>
      </c>
      <c r="E91" s="107">
        <v>9.5001419864140721E-3</v>
      </c>
      <c r="F91" s="109">
        <v>3.5555509355509356</v>
      </c>
      <c r="G91" s="114"/>
      <c r="H91" s="29" t="str">
        <f t="shared" si="1"/>
        <v>(3, 4]</v>
      </c>
      <c r="I91" s="110">
        <v>0</v>
      </c>
      <c r="J91" s="107">
        <v>0</v>
      </c>
      <c r="K91" s="107">
        <v>0</v>
      </c>
      <c r="L91" s="111">
        <v>0</v>
      </c>
      <c r="M91" s="107">
        <v>0</v>
      </c>
      <c r="N91" s="107">
        <v>0</v>
      </c>
      <c r="O91" s="114"/>
      <c r="P91" s="107">
        <v>0</v>
      </c>
      <c r="Q91" s="107"/>
      <c r="R91" s="107"/>
      <c r="S91" s="115">
        <v>0</v>
      </c>
    </row>
    <row r="92" spans="1:19">
      <c r="A92" s="84">
        <v>4</v>
      </c>
      <c r="B92" s="84">
        <v>5</v>
      </c>
      <c r="C92" s="116">
        <v>21438</v>
      </c>
      <c r="D92" s="116">
        <v>9764380</v>
      </c>
      <c r="E92" s="107">
        <v>9.4092882376874513E-3</v>
      </c>
      <c r="F92" s="109">
        <v>4.5547065957645305</v>
      </c>
      <c r="G92" s="114"/>
      <c r="H92" s="29" t="str">
        <f t="shared" si="1"/>
        <v>(4, 5]</v>
      </c>
      <c r="I92" s="110">
        <v>0</v>
      </c>
      <c r="J92" s="107">
        <v>0</v>
      </c>
      <c r="K92" s="107">
        <v>0</v>
      </c>
      <c r="L92" s="111">
        <v>0</v>
      </c>
      <c r="M92" s="107">
        <v>0</v>
      </c>
      <c r="N92" s="107">
        <v>0</v>
      </c>
      <c r="O92" s="114"/>
      <c r="P92" s="107">
        <v>0</v>
      </c>
      <c r="Q92" s="107"/>
      <c r="R92" s="107"/>
      <c r="S92" s="115">
        <v>0</v>
      </c>
    </row>
    <row r="93" spans="1:19">
      <c r="A93" s="84">
        <v>5</v>
      </c>
      <c r="B93" s="84">
        <v>6</v>
      </c>
      <c r="C93" s="116">
        <v>21633</v>
      </c>
      <c r="D93" s="116">
        <v>12019590</v>
      </c>
      <c r="E93" s="107">
        <v>9.4948751024299203E-3</v>
      </c>
      <c r="F93" s="109">
        <v>5.5561364581888775</v>
      </c>
      <c r="G93" s="114"/>
      <c r="H93" s="29" t="str">
        <f t="shared" si="1"/>
        <v>(5, 6]</v>
      </c>
      <c r="I93" s="110">
        <v>0</v>
      </c>
      <c r="J93" s="107">
        <v>0</v>
      </c>
      <c r="K93" s="107">
        <v>0</v>
      </c>
      <c r="L93" s="111">
        <v>0</v>
      </c>
      <c r="M93" s="107">
        <v>0</v>
      </c>
      <c r="N93" s="107">
        <v>0</v>
      </c>
      <c r="O93" s="114"/>
      <c r="P93" s="107">
        <v>0</v>
      </c>
      <c r="Q93" s="107"/>
      <c r="R93" s="107"/>
      <c r="S93" s="115">
        <v>0</v>
      </c>
    </row>
    <row r="94" spans="1:19">
      <c r="A94" s="84">
        <v>6</v>
      </c>
      <c r="B94" s="84">
        <v>7</v>
      </c>
      <c r="C94" s="116">
        <v>20646</v>
      </c>
      <c r="D94" s="116">
        <v>13512875</v>
      </c>
      <c r="E94" s="107">
        <v>9.0616738947334238E-3</v>
      </c>
      <c r="F94" s="109">
        <v>6.5450329361619684</v>
      </c>
      <c r="G94" s="114"/>
      <c r="H94" s="29" t="str">
        <f t="shared" si="1"/>
        <v>(6, 7]</v>
      </c>
      <c r="I94" s="110">
        <v>0</v>
      </c>
      <c r="J94" s="107">
        <v>0</v>
      </c>
      <c r="K94" s="107">
        <v>0</v>
      </c>
      <c r="L94" s="111">
        <v>0</v>
      </c>
      <c r="M94" s="107">
        <v>0</v>
      </c>
      <c r="N94" s="107">
        <v>0</v>
      </c>
      <c r="O94" s="114"/>
      <c r="P94" s="107">
        <v>0</v>
      </c>
      <c r="Q94" s="107"/>
      <c r="R94" s="107"/>
      <c r="S94" s="115">
        <v>0</v>
      </c>
    </row>
    <row r="95" spans="1:19">
      <c r="A95" s="84">
        <v>7</v>
      </c>
      <c r="B95" s="84">
        <v>8</v>
      </c>
      <c r="C95" s="116">
        <v>20886</v>
      </c>
      <c r="D95" s="116">
        <v>15764920</v>
      </c>
      <c r="E95" s="107">
        <v>9.1670115744164615E-3</v>
      </c>
      <c r="F95" s="109">
        <v>7.548080053624437</v>
      </c>
      <c r="G95" s="114"/>
      <c r="H95" s="29" t="str">
        <f t="shared" si="1"/>
        <v>(7, 8]</v>
      </c>
      <c r="I95" s="110">
        <v>0</v>
      </c>
      <c r="J95" s="107">
        <v>0</v>
      </c>
      <c r="K95" s="107">
        <v>0</v>
      </c>
      <c r="L95" s="111">
        <v>0</v>
      </c>
      <c r="M95" s="107">
        <v>0</v>
      </c>
      <c r="N95" s="107">
        <v>0</v>
      </c>
      <c r="O95" s="114"/>
      <c r="P95" s="107">
        <v>0</v>
      </c>
      <c r="Q95" s="107"/>
      <c r="R95" s="107"/>
      <c r="S95" s="115">
        <v>0</v>
      </c>
    </row>
    <row r="96" spans="1:19">
      <c r="A96" s="84">
        <v>8</v>
      </c>
      <c r="B96" s="84">
        <v>9</v>
      </c>
      <c r="C96" s="116">
        <v>20446</v>
      </c>
      <c r="D96" s="116">
        <v>17486945</v>
      </c>
      <c r="E96" s="107">
        <v>8.9738924949975575E-3</v>
      </c>
      <c r="F96" s="109">
        <v>8.5527462584368585</v>
      </c>
      <c r="G96" s="114"/>
      <c r="H96" s="29" t="str">
        <f t="shared" si="1"/>
        <v>(8, 9]</v>
      </c>
      <c r="I96" s="110">
        <v>0</v>
      </c>
      <c r="J96" s="107">
        <v>0</v>
      </c>
      <c r="K96" s="107">
        <v>0</v>
      </c>
      <c r="L96" s="111">
        <v>0</v>
      </c>
      <c r="M96" s="107">
        <v>0</v>
      </c>
      <c r="N96" s="107">
        <v>0</v>
      </c>
      <c r="O96" s="114"/>
      <c r="P96" s="107">
        <v>0</v>
      </c>
      <c r="Q96" s="107"/>
      <c r="R96" s="107"/>
      <c r="S96" s="115">
        <v>0</v>
      </c>
    </row>
    <row r="97" spans="1:20">
      <c r="A97" s="84">
        <v>9</v>
      </c>
      <c r="B97" s="84">
        <v>10</v>
      </c>
      <c r="C97" s="116">
        <v>19920</v>
      </c>
      <c r="D97" s="116">
        <v>19030345</v>
      </c>
      <c r="E97" s="107">
        <v>8.7430274136922302E-3</v>
      </c>
      <c r="F97" s="109">
        <v>9.5533860441767064</v>
      </c>
      <c r="G97" s="114"/>
      <c r="H97" s="29" t="str">
        <f t="shared" si="1"/>
        <v>(9, 10]</v>
      </c>
      <c r="I97" s="110">
        <v>0</v>
      </c>
      <c r="J97" s="107">
        <v>0</v>
      </c>
      <c r="K97" s="107">
        <v>0</v>
      </c>
      <c r="L97" s="111">
        <v>0</v>
      </c>
      <c r="M97" s="107">
        <v>0</v>
      </c>
      <c r="N97" s="107">
        <v>0</v>
      </c>
      <c r="O97" s="114"/>
      <c r="P97" s="107">
        <v>0</v>
      </c>
      <c r="Q97" s="107"/>
      <c r="R97" s="107"/>
      <c r="S97" s="115">
        <v>0</v>
      </c>
    </row>
    <row r="98" spans="1:20">
      <c r="A98" s="84">
        <v>10</v>
      </c>
      <c r="B98" s="84">
        <v>15</v>
      </c>
      <c r="C98" s="116">
        <v>95890</v>
      </c>
      <c r="D98" s="116">
        <v>120087185</v>
      </c>
      <c r="E98" s="107">
        <v>4.2086792103360846E-2</v>
      </c>
      <c r="F98" s="109">
        <v>12.523431536135156</v>
      </c>
      <c r="G98" s="114"/>
      <c r="H98" s="29" t="str">
        <f t="shared" si="1"/>
        <v>(10, 15]</v>
      </c>
      <c r="I98" s="110">
        <v>0</v>
      </c>
      <c r="J98" s="107">
        <v>0</v>
      </c>
      <c r="K98" s="107">
        <v>0</v>
      </c>
      <c r="L98" s="111">
        <v>0</v>
      </c>
      <c r="M98" s="107">
        <v>0</v>
      </c>
      <c r="N98" s="107">
        <v>0</v>
      </c>
      <c r="O98" s="114"/>
      <c r="P98" s="107">
        <v>0</v>
      </c>
      <c r="Q98" s="107"/>
      <c r="R98" s="107"/>
      <c r="S98" s="115">
        <v>0</v>
      </c>
      <c r="T98" s="135"/>
    </row>
    <row r="99" spans="1:20">
      <c r="A99" s="84">
        <v>15</v>
      </c>
      <c r="B99" s="84">
        <v>20</v>
      </c>
      <c r="C99" s="116">
        <v>89276</v>
      </c>
      <c r="D99" s="116">
        <v>156417885</v>
      </c>
      <c r="E99" s="107">
        <v>3.9183861214095762E-2</v>
      </c>
      <c r="F99" s="109">
        <v>17.520709373179802</v>
      </c>
      <c r="G99" s="114"/>
      <c r="H99" s="119" t="str">
        <f t="shared" si="1"/>
        <v>(15, 20]</v>
      </c>
      <c r="I99" s="110">
        <v>0</v>
      </c>
      <c r="J99" s="107">
        <v>0</v>
      </c>
      <c r="K99" s="107">
        <v>0</v>
      </c>
      <c r="L99" s="111">
        <v>0</v>
      </c>
      <c r="M99" s="107">
        <v>0</v>
      </c>
      <c r="N99" s="107">
        <v>0</v>
      </c>
      <c r="O99" s="114"/>
      <c r="P99" s="107">
        <v>0</v>
      </c>
      <c r="Q99" s="107"/>
      <c r="R99" s="107"/>
      <c r="S99" s="115">
        <v>0</v>
      </c>
      <c r="T99" s="135"/>
    </row>
    <row r="100" spans="1:20">
      <c r="A100" s="84">
        <v>20</v>
      </c>
      <c r="B100" s="84">
        <v>25</v>
      </c>
      <c r="C100" s="116">
        <v>82338</v>
      </c>
      <c r="D100" s="116">
        <v>185300895</v>
      </c>
      <c r="E100" s="107">
        <v>3.6138724457258575E-2</v>
      </c>
      <c r="F100" s="109">
        <v>22.504905997230924</v>
      </c>
      <c r="G100" s="114"/>
      <c r="H100" s="29" t="str">
        <f t="shared" si="1"/>
        <v>(20, 25]</v>
      </c>
      <c r="I100" s="110">
        <v>0</v>
      </c>
      <c r="J100" s="107">
        <v>0</v>
      </c>
      <c r="K100" s="107">
        <v>0</v>
      </c>
      <c r="L100" s="111">
        <v>0</v>
      </c>
      <c r="M100" s="107">
        <v>0</v>
      </c>
      <c r="N100" s="107">
        <v>0</v>
      </c>
      <c r="O100" s="114"/>
      <c r="P100" s="107">
        <v>0</v>
      </c>
      <c r="Q100" s="107"/>
      <c r="R100" s="107"/>
      <c r="S100" s="115">
        <v>0</v>
      </c>
      <c r="T100" s="135"/>
    </row>
    <row r="101" spans="1:20">
      <c r="A101" s="84">
        <v>25</v>
      </c>
      <c r="B101" s="84">
        <v>30</v>
      </c>
      <c r="C101" s="116">
        <v>76062</v>
      </c>
      <c r="D101" s="116">
        <v>209282100</v>
      </c>
      <c r="E101" s="107">
        <v>3.3384144133547108E-2</v>
      </c>
      <c r="F101" s="109">
        <v>27.514672241066499</v>
      </c>
      <c r="G101" s="114"/>
      <c r="H101" s="29" t="str">
        <f t="shared" si="1"/>
        <v>(25, 30]</v>
      </c>
      <c r="I101" s="110">
        <v>0</v>
      </c>
      <c r="J101" s="107">
        <v>0</v>
      </c>
      <c r="K101" s="107">
        <v>0</v>
      </c>
      <c r="L101" s="111">
        <v>0</v>
      </c>
      <c r="M101" s="107">
        <v>0</v>
      </c>
      <c r="N101" s="107">
        <v>0</v>
      </c>
      <c r="O101" s="114"/>
      <c r="P101" s="107">
        <v>0</v>
      </c>
      <c r="Q101" s="107"/>
      <c r="R101" s="107"/>
      <c r="S101" s="115">
        <v>0</v>
      </c>
      <c r="T101" s="135"/>
    </row>
    <row r="102" spans="1:20">
      <c r="A102" s="84">
        <v>30</v>
      </c>
      <c r="B102" s="84">
        <v>35</v>
      </c>
      <c r="C102" s="116">
        <v>70584</v>
      </c>
      <c r="D102" s="116">
        <v>229534305</v>
      </c>
      <c r="E102" s="107">
        <v>3.0979811594781748E-2</v>
      </c>
      <c r="F102" s="109">
        <v>32.519311033662021</v>
      </c>
      <c r="G102" s="114"/>
      <c r="H102" s="29" t="str">
        <f t="shared" si="1"/>
        <v>(30, 35]</v>
      </c>
      <c r="I102" s="110">
        <v>0</v>
      </c>
      <c r="J102" s="107">
        <v>0</v>
      </c>
      <c r="K102" s="107">
        <v>0</v>
      </c>
      <c r="L102" s="111">
        <v>0</v>
      </c>
      <c r="M102" s="107">
        <v>0</v>
      </c>
      <c r="N102" s="107">
        <v>0</v>
      </c>
      <c r="O102" s="114"/>
      <c r="P102" s="107">
        <v>0</v>
      </c>
      <c r="Q102" s="107"/>
      <c r="R102" s="107"/>
      <c r="S102" s="115">
        <v>0</v>
      </c>
      <c r="T102" s="135"/>
    </row>
    <row r="103" spans="1:20">
      <c r="A103" s="84">
        <v>35</v>
      </c>
      <c r="B103" s="84">
        <v>40</v>
      </c>
      <c r="C103" s="116">
        <v>65100</v>
      </c>
      <c r="D103" s="116">
        <v>244284710</v>
      </c>
      <c r="E103" s="107">
        <v>2.8572845614024307E-2</v>
      </c>
      <c r="F103" s="109">
        <v>37.524533026113673</v>
      </c>
      <c r="G103" s="114"/>
      <c r="H103" s="119" t="str">
        <f t="shared" si="1"/>
        <v>(35, 40]</v>
      </c>
      <c r="I103" s="110">
        <v>0</v>
      </c>
      <c r="J103" s="107">
        <v>0</v>
      </c>
      <c r="K103" s="107">
        <v>0</v>
      </c>
      <c r="L103" s="111">
        <v>0</v>
      </c>
      <c r="M103" s="107">
        <v>0</v>
      </c>
      <c r="N103" s="107">
        <v>0</v>
      </c>
      <c r="O103" s="114"/>
      <c r="P103" s="107">
        <v>0</v>
      </c>
      <c r="Q103" s="107"/>
      <c r="R103" s="107"/>
      <c r="S103" s="115">
        <v>0</v>
      </c>
      <c r="T103" s="135"/>
    </row>
    <row r="104" spans="1:20">
      <c r="A104" s="84">
        <v>40</v>
      </c>
      <c r="B104" s="84">
        <v>45</v>
      </c>
      <c r="C104" s="116">
        <v>61979</v>
      </c>
      <c r="D104" s="116">
        <v>263528360</v>
      </c>
      <c r="E104" s="107">
        <v>2.7203016871146121E-2</v>
      </c>
      <c r="F104" s="109">
        <v>42.518975782119753</v>
      </c>
      <c r="G104" s="114"/>
      <c r="H104" s="29" t="str">
        <f t="shared" si="1"/>
        <v>(40, 45]</v>
      </c>
      <c r="I104" s="110">
        <v>3</v>
      </c>
      <c r="J104" s="107">
        <v>8.1609050613438358E-2</v>
      </c>
      <c r="K104" s="107">
        <v>0.19167510082330699</v>
      </c>
      <c r="L104" s="111">
        <v>191675100</v>
      </c>
      <c r="M104" s="107">
        <v>0.1916751009583755</v>
      </c>
      <c r="N104" s="107">
        <v>8.1498289756845264</v>
      </c>
      <c r="O104" s="114"/>
      <c r="P104" s="107">
        <v>0.1916751009583755</v>
      </c>
      <c r="Q104" s="107"/>
      <c r="R104" s="107"/>
      <c r="S104" s="115">
        <v>0</v>
      </c>
      <c r="T104" s="135"/>
    </row>
    <row r="105" spans="1:20">
      <c r="A105" s="84">
        <v>45</v>
      </c>
      <c r="B105" s="84">
        <v>50</v>
      </c>
      <c r="C105" s="116">
        <v>57512</v>
      </c>
      <c r="D105" s="116">
        <v>273347815</v>
      </c>
      <c r="E105" s="107">
        <v>2.524241930804556E-2</v>
      </c>
      <c r="F105" s="109">
        <v>47.528831374321882</v>
      </c>
      <c r="G105" s="114"/>
      <c r="H105" s="29" t="str">
        <f t="shared" si="1"/>
        <v>(45, 50]</v>
      </c>
      <c r="I105" s="110">
        <v>3</v>
      </c>
      <c r="J105" s="107">
        <v>7.5727257924136676E-2</v>
      </c>
      <c r="K105" s="107">
        <v>0.17786053983688077</v>
      </c>
      <c r="L105" s="111">
        <v>177860539</v>
      </c>
      <c r="M105" s="107">
        <v>0.1778605398893027</v>
      </c>
      <c r="N105" s="107">
        <v>8.4535036085445192</v>
      </c>
      <c r="O105" s="114"/>
      <c r="P105" s="107">
        <v>0.1778605398893027</v>
      </c>
      <c r="Q105" s="107"/>
      <c r="R105" s="107"/>
      <c r="S105" s="115">
        <v>0</v>
      </c>
      <c r="T105" s="135"/>
    </row>
    <row r="106" spans="1:20">
      <c r="A106" s="84">
        <v>50</v>
      </c>
      <c r="B106" s="84">
        <v>60</v>
      </c>
      <c r="C106" s="116">
        <v>104777</v>
      </c>
      <c r="D106" s="116">
        <v>575637135</v>
      </c>
      <c r="E106" s="107">
        <v>4.5987358600624036E-2</v>
      </c>
      <c r="F106" s="109">
        <v>54.939264819569182</v>
      </c>
      <c r="G106" s="114">
        <v>2.12</v>
      </c>
      <c r="H106" s="119" t="str">
        <f t="shared" si="1"/>
        <v>(50, 60]</v>
      </c>
      <c r="I106" s="110">
        <v>1.5</v>
      </c>
      <c r="J106" s="107">
        <v>6.8981037900936057E-2</v>
      </c>
      <c r="K106" s="107">
        <v>0.16201569918007422</v>
      </c>
      <c r="L106" s="111">
        <v>162015699</v>
      </c>
      <c r="M106" s="107">
        <v>0.16201569981007849</v>
      </c>
      <c r="N106" s="107">
        <v>8.9010234367937269</v>
      </c>
      <c r="O106" s="114"/>
      <c r="P106" s="107">
        <v>0.16201569981007849</v>
      </c>
      <c r="Q106" s="107"/>
      <c r="R106" s="107"/>
      <c r="S106" s="115">
        <v>0</v>
      </c>
      <c r="T106" s="135"/>
    </row>
    <row r="107" spans="1:20">
      <c r="A107" s="84">
        <v>60</v>
      </c>
      <c r="B107" s="84">
        <v>70</v>
      </c>
      <c r="C107" s="116">
        <v>92873</v>
      </c>
      <c r="D107" s="116">
        <v>603037995</v>
      </c>
      <c r="E107" s="107">
        <v>4.076260968834531E-2</v>
      </c>
      <c r="F107" s="109">
        <v>64.931465011359592</v>
      </c>
      <c r="G107" s="114">
        <v>5.94</v>
      </c>
      <c r="H107" s="29" t="str">
        <f t="shared" si="1"/>
        <v>(60, 70]</v>
      </c>
      <c r="I107" s="110">
        <v>1.4</v>
      </c>
      <c r="J107" s="107">
        <v>5.7067653563683429E-2</v>
      </c>
      <c r="K107" s="107">
        <v>0.13403474453319236</v>
      </c>
      <c r="L107" s="111">
        <v>134034744</v>
      </c>
      <c r="M107" s="107">
        <v>0.13403474467017373</v>
      </c>
      <c r="N107" s="107">
        <v>8.7030723338579019</v>
      </c>
      <c r="O107" s="114"/>
      <c r="P107" s="107">
        <v>0.13403474467017373</v>
      </c>
      <c r="Q107" s="107"/>
      <c r="R107" s="107"/>
      <c r="S107" s="115">
        <v>0</v>
      </c>
      <c r="T107" s="135"/>
    </row>
    <row r="108" spans="1:20">
      <c r="A108" s="84">
        <v>70</v>
      </c>
      <c r="B108" s="84">
        <v>80</v>
      </c>
      <c r="C108" s="116">
        <v>83293</v>
      </c>
      <c r="D108" s="116">
        <v>624248335</v>
      </c>
      <c r="E108" s="107">
        <v>3.6557880640997339E-2</v>
      </c>
      <c r="F108" s="109">
        <v>74.946074099864333</v>
      </c>
      <c r="G108" s="114">
        <v>5.07</v>
      </c>
      <c r="H108" s="29" t="str">
        <f t="shared" si="1"/>
        <v>(70, 80]</v>
      </c>
      <c r="I108" s="110">
        <v>1.2</v>
      </c>
      <c r="J108" s="107">
        <v>4.3869456769196805E-2</v>
      </c>
      <c r="K108" s="107">
        <v>0.10303615207006057</v>
      </c>
      <c r="L108" s="111">
        <v>103036152</v>
      </c>
      <c r="M108" s="107">
        <v>0.10303615251518077</v>
      </c>
      <c r="N108" s="107">
        <v>7.7221551213676607</v>
      </c>
      <c r="O108" s="114"/>
      <c r="P108" s="107">
        <v>0.10303615251518077</v>
      </c>
      <c r="Q108" s="107"/>
      <c r="R108" s="107"/>
      <c r="S108" s="115">
        <v>0</v>
      </c>
      <c r="T108" s="135"/>
    </row>
    <row r="109" spans="1:20">
      <c r="A109" s="84">
        <v>80</v>
      </c>
      <c r="B109" s="84">
        <v>90</v>
      </c>
      <c r="C109" s="116">
        <v>74862</v>
      </c>
      <c r="D109" s="116">
        <v>635978325</v>
      </c>
      <c r="E109" s="107">
        <v>3.2857455735131914E-2</v>
      </c>
      <c r="F109" s="109">
        <v>84.953424300713309</v>
      </c>
      <c r="G109" s="114">
        <v>2.4900000000000002</v>
      </c>
      <c r="H109" s="29" t="str">
        <f t="shared" si="1"/>
        <v>(80, 90]</v>
      </c>
      <c r="I109" s="110">
        <v>1.2</v>
      </c>
      <c r="J109" s="107">
        <v>3.9428946882158297E-2</v>
      </c>
      <c r="K109" s="107">
        <v>9.2606730652862485E-2</v>
      </c>
      <c r="L109" s="111">
        <v>92606730</v>
      </c>
      <c r="M109" s="107">
        <v>9.2606730463033651E-2</v>
      </c>
      <c r="N109" s="107">
        <v>7.8672588661278908</v>
      </c>
      <c r="O109" s="114"/>
      <c r="P109" s="107">
        <v>9.2606730463033651E-2</v>
      </c>
      <c r="Q109" s="107"/>
      <c r="R109" s="107"/>
      <c r="S109" s="115">
        <v>0</v>
      </c>
      <c r="T109" s="135"/>
    </row>
    <row r="110" spans="1:20">
      <c r="A110" s="84">
        <v>90</v>
      </c>
      <c r="B110" s="84">
        <v>100</v>
      </c>
      <c r="C110" s="116">
        <v>67374</v>
      </c>
      <c r="D110" s="116">
        <v>639750200</v>
      </c>
      <c r="E110" s="107">
        <v>2.95709201290211E-2</v>
      </c>
      <c r="F110" s="109">
        <v>94.955056846854873</v>
      </c>
      <c r="G110" s="114">
        <v>2.13</v>
      </c>
      <c r="H110" s="29" t="str">
        <f t="shared" si="1"/>
        <v>(90, 100]</v>
      </c>
      <c r="I110" s="136">
        <v>0.93</v>
      </c>
      <c r="J110" s="133">
        <v>2.7500955719989624E-2</v>
      </c>
      <c r="K110" s="133">
        <v>6.4591468969966301E-2</v>
      </c>
      <c r="L110" s="111">
        <v>64591468</v>
      </c>
      <c r="M110" s="133">
        <v>6.4591468322957341E-2</v>
      </c>
      <c r="N110" s="133">
        <v>6.1332865464282404</v>
      </c>
      <c r="O110" s="114"/>
      <c r="P110" s="107">
        <v>6.4591468322957341E-2</v>
      </c>
      <c r="Q110" s="107"/>
      <c r="R110" s="107"/>
      <c r="S110" s="115">
        <v>0</v>
      </c>
      <c r="T110" s="135"/>
    </row>
    <row r="111" spans="1:20">
      <c r="A111" s="84">
        <v>100</v>
      </c>
      <c r="B111" s="84">
        <v>120</v>
      </c>
      <c r="C111" s="116">
        <v>117138</v>
      </c>
      <c r="D111" s="116">
        <v>1285241290</v>
      </c>
      <c r="E111" s="107">
        <v>5.1412688011299224E-2</v>
      </c>
      <c r="F111" s="109">
        <v>109.72026925506667</v>
      </c>
      <c r="G111" s="114">
        <v>1.6</v>
      </c>
      <c r="H111" s="29" t="str">
        <f t="shared" si="1"/>
        <v>(100, 120]</v>
      </c>
      <c r="I111" s="136">
        <v>0.38</v>
      </c>
      <c r="J111" s="133">
        <v>1.9536821444293705E-2</v>
      </c>
      <c r="K111" s="133">
        <v>4.5886114247790405E-2</v>
      </c>
      <c r="L111" s="111">
        <v>45886114</v>
      </c>
      <c r="M111" s="133">
        <v>4.588611422943057E-2</v>
      </c>
      <c r="N111" s="133">
        <v>5.034636808321868</v>
      </c>
      <c r="O111" s="114"/>
      <c r="P111" s="107">
        <v>4.588611422943057E-2</v>
      </c>
      <c r="Q111" s="107"/>
      <c r="R111" s="107"/>
      <c r="S111" s="115">
        <v>0</v>
      </c>
      <c r="T111" s="135"/>
    </row>
    <row r="112" spans="1:20">
      <c r="A112" s="84">
        <v>120</v>
      </c>
      <c r="B112" s="84">
        <v>140</v>
      </c>
      <c r="C112" s="116">
        <v>98023</v>
      </c>
      <c r="D112" s="116">
        <v>1271812335</v>
      </c>
      <c r="E112" s="107">
        <v>4.3022980731543849E-2</v>
      </c>
      <c r="F112" s="109">
        <v>129.7463182110321</v>
      </c>
      <c r="G112" s="114">
        <v>0.68</v>
      </c>
      <c r="H112" s="29" t="str">
        <f t="shared" si="1"/>
        <v>(120, 140]</v>
      </c>
      <c r="I112" s="136">
        <v>0.28000000000000003</v>
      </c>
      <c r="J112" s="133">
        <v>1.2046434604832278E-2</v>
      </c>
      <c r="K112" s="133">
        <v>2.8293449685865894E-2</v>
      </c>
      <c r="L112" s="111">
        <v>28293449</v>
      </c>
      <c r="M112" s="133">
        <v>2.8293449141467246E-2</v>
      </c>
      <c r="N112" s="133">
        <v>3.6709708555964622</v>
      </c>
      <c r="O112" s="114"/>
      <c r="P112" s="107">
        <v>2.8293449141467246E-2</v>
      </c>
      <c r="Q112" s="107"/>
      <c r="R112" s="107"/>
      <c r="S112" s="115">
        <v>0</v>
      </c>
      <c r="T112" s="135"/>
    </row>
    <row r="113" spans="1:20">
      <c r="A113" s="84">
        <v>140</v>
      </c>
      <c r="B113" s="84">
        <v>160</v>
      </c>
      <c r="C113" s="116">
        <v>83073</v>
      </c>
      <c r="D113" s="116">
        <v>1244282160</v>
      </c>
      <c r="E113" s="107">
        <v>3.6461321101287886E-2</v>
      </c>
      <c r="F113" s="109">
        <v>149.7817774728251</v>
      </c>
      <c r="G113" s="114">
        <v>1.03</v>
      </c>
      <c r="H113" s="29" t="str">
        <f t="shared" si="1"/>
        <v>(140, 160]</v>
      </c>
      <c r="I113" s="136">
        <v>0</v>
      </c>
      <c r="J113" s="133">
        <v>0</v>
      </c>
      <c r="K113" s="133">
        <v>0</v>
      </c>
      <c r="L113" s="111">
        <v>0</v>
      </c>
      <c r="M113" s="133">
        <v>0</v>
      </c>
      <c r="N113" s="133">
        <v>0</v>
      </c>
      <c r="O113" s="114"/>
      <c r="P113" s="107">
        <v>0</v>
      </c>
      <c r="Q113" s="107"/>
      <c r="R113" s="107"/>
      <c r="S113" s="115">
        <v>0</v>
      </c>
      <c r="T113" s="135"/>
    </row>
    <row r="114" spans="1:20">
      <c r="A114" s="84">
        <v>160</v>
      </c>
      <c r="B114" s="84">
        <v>180</v>
      </c>
      <c r="C114" s="116">
        <v>71278</v>
      </c>
      <c r="D114" s="116">
        <v>1210416050</v>
      </c>
      <c r="E114" s="107">
        <v>3.1284413051865204E-2</v>
      </c>
      <c r="F114" s="109">
        <v>169.81621959089759</v>
      </c>
      <c r="G114" s="114">
        <v>0.3</v>
      </c>
      <c r="H114" s="29" t="str">
        <f t="shared" si="1"/>
        <v>(160, 180]</v>
      </c>
      <c r="I114" s="136">
        <v>0</v>
      </c>
      <c r="J114" s="133">
        <v>0</v>
      </c>
      <c r="K114" s="133">
        <v>0</v>
      </c>
      <c r="L114" s="111">
        <v>0</v>
      </c>
      <c r="M114" s="133">
        <v>0</v>
      </c>
      <c r="N114" s="133">
        <v>0</v>
      </c>
      <c r="O114" s="114"/>
      <c r="P114" s="107">
        <v>0</v>
      </c>
      <c r="Q114" s="107"/>
      <c r="R114" s="107"/>
      <c r="S114" s="115">
        <v>0</v>
      </c>
      <c r="T114" s="135"/>
    </row>
    <row r="115" spans="1:20">
      <c r="A115" s="84">
        <v>180</v>
      </c>
      <c r="B115" s="84">
        <v>200</v>
      </c>
      <c r="C115" s="116">
        <v>61850</v>
      </c>
      <c r="D115" s="116">
        <v>1174015420</v>
      </c>
      <c r="E115" s="107">
        <v>2.7146397868316487E-2</v>
      </c>
      <c r="F115" s="109">
        <v>189.81655941794662</v>
      </c>
      <c r="G115" s="114">
        <v>0.26</v>
      </c>
      <c r="H115" s="29" t="str">
        <f t="shared" si="1"/>
        <v>(180, 200]</v>
      </c>
      <c r="I115" s="136">
        <v>0</v>
      </c>
      <c r="J115" s="133">
        <v>0</v>
      </c>
      <c r="K115" s="133">
        <v>0</v>
      </c>
      <c r="L115" s="111">
        <v>0</v>
      </c>
      <c r="M115" s="133">
        <v>0</v>
      </c>
      <c r="N115" s="133">
        <v>0</v>
      </c>
      <c r="O115" s="114"/>
      <c r="P115" s="107">
        <v>0</v>
      </c>
      <c r="Q115" s="107"/>
      <c r="R115" s="107"/>
      <c r="S115" s="115">
        <v>0</v>
      </c>
      <c r="T115" s="135"/>
    </row>
    <row r="116" spans="1:20">
      <c r="A116" s="84">
        <v>200</v>
      </c>
      <c r="B116" s="84">
        <v>250</v>
      </c>
      <c r="C116" s="116">
        <v>123505</v>
      </c>
      <c r="D116" s="116">
        <v>2763375860</v>
      </c>
      <c r="E116" s="107">
        <v>5.4207208871890511E-2</v>
      </c>
      <c r="F116" s="109">
        <v>223.7460718189547</v>
      </c>
      <c r="G116" s="114">
        <v>0.3</v>
      </c>
      <c r="H116" s="29" t="str">
        <f t="shared" si="1"/>
        <v>(200, 250]</v>
      </c>
      <c r="I116" s="136">
        <v>0</v>
      </c>
      <c r="J116" s="133">
        <v>0</v>
      </c>
      <c r="K116" s="133">
        <v>0</v>
      </c>
      <c r="L116" s="111">
        <v>0</v>
      </c>
      <c r="M116" s="133">
        <v>0</v>
      </c>
      <c r="N116" s="133">
        <v>0</v>
      </c>
      <c r="O116" s="114"/>
      <c r="P116" s="107">
        <v>0</v>
      </c>
      <c r="Q116" s="107"/>
      <c r="R116" s="107"/>
      <c r="S116" s="115">
        <v>0</v>
      </c>
      <c r="T116" s="135"/>
    </row>
    <row r="117" spans="1:20">
      <c r="A117" s="84">
        <v>250</v>
      </c>
      <c r="B117" s="84">
        <v>300</v>
      </c>
      <c r="C117" s="116">
        <v>91171</v>
      </c>
      <c r="D117" s="116">
        <v>2497132705</v>
      </c>
      <c r="E117" s="107">
        <v>4.0015589976593088E-2</v>
      </c>
      <c r="F117" s="109">
        <v>273.89550460124383</v>
      </c>
      <c r="G117" s="114">
        <v>0.09</v>
      </c>
      <c r="H117" s="29" t="str">
        <f t="shared" si="1"/>
        <v>(250, 300]</v>
      </c>
      <c r="I117" s="136">
        <v>0</v>
      </c>
      <c r="J117" s="133">
        <v>0</v>
      </c>
      <c r="K117" s="133">
        <v>0</v>
      </c>
      <c r="L117" s="111">
        <v>0</v>
      </c>
      <c r="M117" s="133">
        <v>0</v>
      </c>
      <c r="N117" s="133">
        <v>0</v>
      </c>
      <c r="O117" s="114"/>
      <c r="P117" s="107">
        <v>0</v>
      </c>
      <c r="Q117" s="107"/>
      <c r="R117" s="107"/>
      <c r="S117" s="115">
        <v>0</v>
      </c>
      <c r="T117" s="135"/>
    </row>
    <row r="118" spans="1:20">
      <c r="A118" s="84">
        <v>300</v>
      </c>
      <c r="B118" s="84">
        <v>350</v>
      </c>
      <c r="C118" s="116">
        <v>70283</v>
      </c>
      <c r="D118" s="116">
        <v>2277474765</v>
      </c>
      <c r="E118" s="107">
        <v>3.0847700588179268E-2</v>
      </c>
      <c r="F118" s="109">
        <v>324.04347637408762</v>
      </c>
      <c r="G118" s="114">
        <v>0.08</v>
      </c>
      <c r="H118" s="29" t="str">
        <f t="shared" si="1"/>
        <v>(300, 350]</v>
      </c>
      <c r="I118" s="136">
        <v>0</v>
      </c>
      <c r="J118" s="133">
        <v>0</v>
      </c>
      <c r="K118" s="133">
        <v>0</v>
      </c>
      <c r="L118" s="111">
        <v>0</v>
      </c>
      <c r="M118" s="133">
        <v>0</v>
      </c>
      <c r="N118" s="133">
        <v>0</v>
      </c>
      <c r="O118" s="114"/>
      <c r="P118" s="107">
        <v>0</v>
      </c>
      <c r="Q118" s="107"/>
      <c r="R118" s="107"/>
      <c r="S118" s="115">
        <v>0</v>
      </c>
      <c r="T118" s="135"/>
    </row>
    <row r="119" spans="1:20">
      <c r="A119" s="84">
        <v>350</v>
      </c>
      <c r="B119" s="84">
        <v>400</v>
      </c>
      <c r="C119" s="116">
        <v>54191</v>
      </c>
      <c r="D119" s="116">
        <v>2026990150</v>
      </c>
      <c r="E119" s="107">
        <v>2.3784809165431509E-2</v>
      </c>
      <c r="F119" s="109">
        <v>374.04553339115353</v>
      </c>
      <c r="G119" s="114">
        <v>0.01</v>
      </c>
      <c r="H119" s="29" t="str">
        <f t="shared" si="1"/>
        <v>(350, 400]</v>
      </c>
      <c r="I119" s="136">
        <v>0</v>
      </c>
      <c r="J119" s="133">
        <v>0</v>
      </c>
      <c r="K119" s="133">
        <v>0</v>
      </c>
      <c r="L119" s="111">
        <v>0</v>
      </c>
      <c r="M119" s="133">
        <v>0</v>
      </c>
      <c r="N119" s="133">
        <v>0</v>
      </c>
      <c r="O119" s="114"/>
      <c r="P119" s="107">
        <v>0</v>
      </c>
      <c r="Q119" s="107"/>
      <c r="R119" s="107"/>
      <c r="S119" s="115">
        <v>0</v>
      </c>
      <c r="T119" s="135"/>
    </row>
    <row r="120" spans="1:20">
      <c r="A120" s="84">
        <v>400</v>
      </c>
      <c r="B120" s="84">
        <v>450</v>
      </c>
      <c r="C120" s="116">
        <v>43300</v>
      </c>
      <c r="D120" s="116">
        <v>1836158150</v>
      </c>
      <c r="E120" s="107">
        <v>1.9004673042814939E-2</v>
      </c>
      <c r="F120" s="109">
        <v>424.05500000000001</v>
      </c>
      <c r="G120" s="114">
        <v>0.01</v>
      </c>
      <c r="H120" s="29" t="str">
        <f t="shared" si="1"/>
        <v>(400, 450]</v>
      </c>
      <c r="I120" s="136">
        <v>0</v>
      </c>
      <c r="J120" s="133">
        <v>0</v>
      </c>
      <c r="K120" s="133">
        <v>0</v>
      </c>
      <c r="L120" s="111">
        <v>0</v>
      </c>
      <c r="M120" s="133">
        <v>0</v>
      </c>
      <c r="N120" s="133">
        <v>0</v>
      </c>
      <c r="O120" s="114"/>
      <c r="P120" s="107">
        <v>0</v>
      </c>
      <c r="Q120" s="107"/>
      <c r="R120" s="107"/>
      <c r="S120" s="115">
        <v>0</v>
      </c>
      <c r="T120" s="135"/>
    </row>
    <row r="121" spans="1:20">
      <c r="A121" s="84">
        <v>450</v>
      </c>
      <c r="B121" s="84">
        <v>500</v>
      </c>
      <c r="C121" s="116">
        <v>35047</v>
      </c>
      <c r="D121" s="116">
        <v>1661604835</v>
      </c>
      <c r="E121" s="107">
        <v>1.5382373582714439E-2</v>
      </c>
      <c r="F121" s="109">
        <v>474.10757982138267</v>
      </c>
      <c r="G121" s="114">
        <v>0.01</v>
      </c>
      <c r="H121" s="29" t="str">
        <f t="shared" si="1"/>
        <v>(450, 500]</v>
      </c>
      <c r="I121" s="136">
        <v>0</v>
      </c>
      <c r="J121" s="133">
        <v>0</v>
      </c>
      <c r="K121" s="133">
        <v>0</v>
      </c>
      <c r="L121" s="111">
        <v>0</v>
      </c>
      <c r="M121" s="133">
        <v>0</v>
      </c>
      <c r="N121" s="133">
        <v>0</v>
      </c>
      <c r="O121" s="114"/>
      <c r="P121" s="107">
        <v>0</v>
      </c>
      <c r="Q121" s="107"/>
      <c r="R121" s="107"/>
      <c r="S121" s="115">
        <v>0</v>
      </c>
      <c r="T121" s="135"/>
    </row>
    <row r="122" spans="1:20">
      <c r="A122" s="84">
        <v>500</v>
      </c>
      <c r="B122" s="84">
        <v>550</v>
      </c>
      <c r="C122" s="116">
        <v>28158</v>
      </c>
      <c r="D122" s="116">
        <v>1476232245</v>
      </c>
      <c r="E122" s="107">
        <v>1.2358743268812542E-2</v>
      </c>
      <c r="F122" s="109">
        <v>524.26743554229699</v>
      </c>
      <c r="G122" s="114">
        <v>0.01</v>
      </c>
      <c r="H122" s="29" t="str">
        <f t="shared" si="1"/>
        <v>(500, 550]</v>
      </c>
      <c r="I122" s="136">
        <v>0</v>
      </c>
      <c r="J122" s="133">
        <v>0</v>
      </c>
      <c r="K122" s="133">
        <v>0</v>
      </c>
      <c r="L122" s="111">
        <v>0</v>
      </c>
      <c r="M122" s="133">
        <v>0</v>
      </c>
      <c r="N122" s="133">
        <v>0</v>
      </c>
      <c r="O122" s="114"/>
      <c r="P122" s="107">
        <v>0</v>
      </c>
      <c r="Q122" s="107"/>
      <c r="R122" s="107"/>
      <c r="S122" s="115">
        <v>0</v>
      </c>
      <c r="T122" s="135"/>
    </row>
    <row r="123" spans="1:20">
      <c r="A123" s="84">
        <v>550</v>
      </c>
      <c r="B123" s="84">
        <v>600</v>
      </c>
      <c r="C123" s="116">
        <v>23509</v>
      </c>
      <c r="D123" s="116">
        <v>1350228635</v>
      </c>
      <c r="E123" s="107">
        <v>1.0318264631952342E-2</v>
      </c>
      <c r="F123" s="109">
        <v>574.34541452209794</v>
      </c>
      <c r="G123" s="114">
        <v>0.01</v>
      </c>
      <c r="H123" s="29" t="str">
        <f t="shared" si="1"/>
        <v>(550, 600]</v>
      </c>
      <c r="I123" s="110">
        <v>0</v>
      </c>
      <c r="J123" s="107">
        <v>0</v>
      </c>
      <c r="K123" s="107">
        <v>0</v>
      </c>
      <c r="L123" s="111">
        <v>0</v>
      </c>
      <c r="M123" s="107">
        <v>0</v>
      </c>
      <c r="N123" s="107">
        <v>0</v>
      </c>
      <c r="O123" s="114"/>
      <c r="P123" s="107">
        <v>0</v>
      </c>
      <c r="Q123" s="107"/>
      <c r="R123" s="107"/>
      <c r="S123" s="115">
        <v>0</v>
      </c>
      <c r="T123" s="135"/>
    </row>
    <row r="124" spans="1:20">
      <c r="A124" s="84">
        <v>600</v>
      </c>
      <c r="B124" s="84">
        <v>650</v>
      </c>
      <c r="C124" s="116">
        <v>19576</v>
      </c>
      <c r="D124" s="116">
        <v>1222197930</v>
      </c>
      <c r="E124" s="107">
        <v>8.5920434061465406E-3</v>
      </c>
      <c r="F124" s="109">
        <v>624.33486411932984</v>
      </c>
      <c r="G124" s="114">
        <v>0.01</v>
      </c>
      <c r="H124" s="29" t="str">
        <f t="shared" si="1"/>
        <v>(600, 650]</v>
      </c>
      <c r="I124" s="110">
        <v>0</v>
      </c>
      <c r="J124" s="107">
        <v>0</v>
      </c>
      <c r="K124" s="107">
        <v>0</v>
      </c>
      <c r="L124" s="111">
        <v>0</v>
      </c>
      <c r="M124" s="107">
        <v>0</v>
      </c>
      <c r="N124" s="107">
        <v>0</v>
      </c>
      <c r="O124" s="114"/>
      <c r="P124" s="107">
        <v>0</v>
      </c>
      <c r="Q124" s="107"/>
      <c r="R124" s="107"/>
      <c r="S124" s="115">
        <v>0</v>
      </c>
      <c r="T124" s="135"/>
    </row>
    <row r="125" spans="1:20">
      <c r="A125" s="84">
        <v>650</v>
      </c>
      <c r="B125" s="84">
        <v>700</v>
      </c>
      <c r="C125" s="116">
        <v>16323</v>
      </c>
      <c r="D125" s="116">
        <v>1100626695</v>
      </c>
      <c r="E125" s="107">
        <v>7.1642789394426847E-3</v>
      </c>
      <c r="F125" s="109">
        <v>674.27966366476755</v>
      </c>
      <c r="G125" s="114">
        <v>0.01</v>
      </c>
      <c r="H125" s="29" t="str">
        <f t="shared" si="1"/>
        <v>(650, 700]</v>
      </c>
      <c r="I125" s="110">
        <v>0</v>
      </c>
      <c r="J125" s="107">
        <v>0</v>
      </c>
      <c r="K125" s="107">
        <v>0</v>
      </c>
      <c r="L125" s="111">
        <v>0</v>
      </c>
      <c r="M125" s="107">
        <v>0</v>
      </c>
      <c r="N125" s="107">
        <v>0</v>
      </c>
      <c r="O125" s="114"/>
      <c r="P125" s="107">
        <v>0</v>
      </c>
      <c r="Q125" s="107"/>
      <c r="R125" s="107"/>
      <c r="S125" s="115">
        <v>0</v>
      </c>
      <c r="T125" s="135"/>
    </row>
    <row r="126" spans="1:20">
      <c r="A126" s="84">
        <v>700</v>
      </c>
      <c r="B126" s="84">
        <v>750</v>
      </c>
      <c r="C126" s="116">
        <v>13958</v>
      </c>
      <c r="D126" s="116">
        <v>1010893865</v>
      </c>
      <c r="E126" s="107">
        <v>6.1262638875660717E-3</v>
      </c>
      <c r="F126" s="109">
        <v>724.23976572574873</v>
      </c>
      <c r="G126" s="114">
        <v>0.01</v>
      </c>
      <c r="H126" s="29" t="str">
        <f t="shared" si="1"/>
        <v>(700, 750]</v>
      </c>
      <c r="I126" s="110">
        <v>0</v>
      </c>
      <c r="J126" s="107">
        <v>0</v>
      </c>
      <c r="K126" s="107">
        <v>0</v>
      </c>
      <c r="L126" s="111">
        <v>0</v>
      </c>
      <c r="M126" s="107">
        <v>0</v>
      </c>
      <c r="N126" s="107">
        <v>0</v>
      </c>
      <c r="O126" s="114"/>
      <c r="P126" s="107">
        <v>0</v>
      </c>
      <c r="Q126" s="107"/>
      <c r="R126" s="107"/>
      <c r="S126" s="115">
        <v>0</v>
      </c>
      <c r="T126" s="135"/>
    </row>
    <row r="127" spans="1:20">
      <c r="A127" s="84">
        <v>750</v>
      </c>
      <c r="B127" s="84">
        <v>800</v>
      </c>
      <c r="C127" s="116">
        <v>11691</v>
      </c>
      <c r="D127" s="116">
        <v>905166865</v>
      </c>
      <c r="E127" s="107">
        <v>5.1312617215600338E-3</v>
      </c>
      <c r="F127" s="109">
        <v>774.24246428876916</v>
      </c>
      <c r="G127" s="114">
        <v>0.01</v>
      </c>
      <c r="H127" s="29" t="str">
        <f t="shared" si="1"/>
        <v>(750, 800]</v>
      </c>
      <c r="I127" s="110">
        <v>0</v>
      </c>
      <c r="J127" s="107">
        <v>0</v>
      </c>
      <c r="K127" s="107">
        <v>0</v>
      </c>
      <c r="L127" s="111">
        <v>0</v>
      </c>
      <c r="M127" s="107">
        <v>0</v>
      </c>
      <c r="N127" s="107">
        <v>0</v>
      </c>
      <c r="O127" s="114"/>
      <c r="P127" s="107">
        <v>0</v>
      </c>
      <c r="Q127" s="107"/>
      <c r="R127" s="107"/>
      <c r="S127" s="115">
        <v>0</v>
      </c>
      <c r="T127" s="135"/>
    </row>
    <row r="128" spans="1:20">
      <c r="A128" s="84">
        <v>800</v>
      </c>
      <c r="B128" s="84">
        <v>850</v>
      </c>
      <c r="C128" s="116">
        <v>10300</v>
      </c>
      <c r="D128" s="116">
        <v>849158805</v>
      </c>
      <c r="E128" s="107">
        <v>4.5207420863970869E-3</v>
      </c>
      <c r="F128" s="109">
        <v>824.42602427184465</v>
      </c>
      <c r="G128" s="114">
        <v>0.01</v>
      </c>
      <c r="H128" s="29" t="str">
        <f t="shared" si="1"/>
        <v>(800, 850]</v>
      </c>
      <c r="I128" s="110">
        <v>0</v>
      </c>
      <c r="J128" s="107">
        <v>0</v>
      </c>
      <c r="K128" s="107">
        <v>0</v>
      </c>
      <c r="L128" s="111">
        <v>0</v>
      </c>
      <c r="M128" s="107">
        <v>0</v>
      </c>
      <c r="N128" s="107">
        <v>0</v>
      </c>
      <c r="O128" s="114"/>
      <c r="P128" s="107">
        <v>0</v>
      </c>
      <c r="Q128" s="107"/>
      <c r="R128" s="107"/>
      <c r="S128" s="115">
        <v>0</v>
      </c>
      <c r="T128" s="135"/>
    </row>
    <row r="129" spans="1:20">
      <c r="A129" s="84">
        <v>850</v>
      </c>
      <c r="B129" s="84">
        <v>900</v>
      </c>
      <c r="C129" s="116">
        <v>8545</v>
      </c>
      <c r="D129" s="116">
        <v>747239950</v>
      </c>
      <c r="E129" s="107">
        <v>3.7504603037148651E-3</v>
      </c>
      <c r="F129" s="109">
        <v>874.47624341720302</v>
      </c>
      <c r="G129" s="114">
        <v>0.01</v>
      </c>
      <c r="H129" s="29" t="str">
        <f t="shared" si="1"/>
        <v>(850, 900]</v>
      </c>
      <c r="I129" s="110">
        <v>0</v>
      </c>
      <c r="J129" s="107">
        <v>0</v>
      </c>
      <c r="K129" s="107">
        <v>0</v>
      </c>
      <c r="L129" s="112">
        <v>0</v>
      </c>
      <c r="M129" s="107">
        <v>0</v>
      </c>
      <c r="N129" s="107">
        <v>0</v>
      </c>
      <c r="O129" s="114"/>
      <c r="P129" s="107">
        <v>0</v>
      </c>
      <c r="Q129" s="107"/>
      <c r="R129" s="107"/>
      <c r="S129" s="115">
        <v>0</v>
      </c>
      <c r="T129" s="135"/>
    </row>
    <row r="130" spans="1:20">
      <c r="A130" s="84">
        <v>900</v>
      </c>
      <c r="B130" s="84">
        <v>950</v>
      </c>
      <c r="C130" s="116">
        <v>7531</v>
      </c>
      <c r="D130" s="116">
        <v>696264460</v>
      </c>
      <c r="E130" s="107">
        <v>3.3054086070540257E-3</v>
      </c>
      <c r="F130" s="109">
        <v>924.53121763378033</v>
      </c>
      <c r="G130" s="114">
        <v>0.01</v>
      </c>
      <c r="H130" s="29" t="str">
        <f t="shared" si="1"/>
        <v>(900, 950]</v>
      </c>
      <c r="I130" s="110">
        <v>0</v>
      </c>
      <c r="J130" s="107">
        <v>0</v>
      </c>
      <c r="K130" s="107">
        <v>0</v>
      </c>
      <c r="L130" s="112">
        <v>0</v>
      </c>
      <c r="M130" s="107">
        <v>0</v>
      </c>
      <c r="N130" s="107">
        <v>0</v>
      </c>
      <c r="O130" s="114"/>
      <c r="P130" s="107">
        <v>0</v>
      </c>
      <c r="Q130" s="107"/>
      <c r="R130" s="107"/>
      <c r="S130" s="115">
        <v>0</v>
      </c>
      <c r="T130" s="135"/>
    </row>
    <row r="131" spans="1:20">
      <c r="A131" s="84">
        <v>950</v>
      </c>
      <c r="B131" s="84">
        <v>1000</v>
      </c>
      <c r="C131" s="116">
        <v>6522</v>
      </c>
      <c r="D131" s="116">
        <v>635506350</v>
      </c>
      <c r="E131" s="107">
        <v>2.8625514453865827E-3</v>
      </c>
      <c r="F131" s="109">
        <v>974.4040938362466</v>
      </c>
      <c r="G131" s="114">
        <v>0.01</v>
      </c>
      <c r="H131" s="29" t="str">
        <f t="shared" si="1"/>
        <v>(950, 1000]</v>
      </c>
      <c r="I131" s="110">
        <v>0</v>
      </c>
      <c r="J131" s="107">
        <v>0</v>
      </c>
      <c r="K131" s="107">
        <v>0</v>
      </c>
      <c r="L131" s="112">
        <v>0</v>
      </c>
      <c r="M131" s="107">
        <v>0</v>
      </c>
      <c r="N131" s="107">
        <v>0</v>
      </c>
      <c r="O131" s="114"/>
      <c r="P131" s="107">
        <v>0</v>
      </c>
      <c r="Q131" s="107"/>
      <c r="R131" s="107"/>
      <c r="S131" s="115">
        <v>0</v>
      </c>
      <c r="T131" s="135"/>
    </row>
    <row r="132" spans="1:20">
      <c r="A132" s="84">
        <v>1000</v>
      </c>
      <c r="B132" s="84">
        <v>2000</v>
      </c>
      <c r="C132" s="116">
        <v>45431</v>
      </c>
      <c r="D132" s="116">
        <v>6016529675</v>
      </c>
      <c r="E132" s="107">
        <v>1.993998385700059E-2</v>
      </c>
      <c r="F132" s="109">
        <v>1324.322527569281</v>
      </c>
      <c r="G132" s="114">
        <v>0.01</v>
      </c>
      <c r="H132" s="29" t="str">
        <f t="shared" si="1"/>
        <v>(1000, 2000]</v>
      </c>
      <c r="I132" s="110">
        <v>0</v>
      </c>
      <c r="J132" s="107">
        <v>0</v>
      </c>
      <c r="K132" s="107">
        <v>0</v>
      </c>
      <c r="L132" s="112">
        <v>0</v>
      </c>
      <c r="M132" s="107">
        <v>0</v>
      </c>
      <c r="N132" s="107">
        <v>0</v>
      </c>
      <c r="O132" s="114"/>
      <c r="P132" s="107">
        <v>0</v>
      </c>
      <c r="Q132" s="107"/>
      <c r="R132" s="107"/>
      <c r="S132" s="115">
        <v>0</v>
      </c>
      <c r="T132" s="135"/>
    </row>
    <row r="133" spans="1:20">
      <c r="A133" s="84">
        <v>2000</v>
      </c>
      <c r="B133" s="84">
        <v>3000</v>
      </c>
      <c r="C133" s="116">
        <v>6086</v>
      </c>
      <c r="D133" s="116">
        <v>1439400455</v>
      </c>
      <c r="E133" s="107">
        <v>2.6711879939623952E-3</v>
      </c>
      <c r="F133" s="109">
        <v>2365.1009776536316</v>
      </c>
      <c r="G133" s="114">
        <v>0.01</v>
      </c>
      <c r="H133" s="29" t="str">
        <f t="shared" si="1"/>
        <v>(2000, 3000]</v>
      </c>
      <c r="I133" s="110">
        <v>0</v>
      </c>
      <c r="J133" s="107">
        <v>0</v>
      </c>
      <c r="K133" s="107">
        <v>0</v>
      </c>
      <c r="L133" s="112">
        <v>0</v>
      </c>
      <c r="M133" s="107">
        <v>0</v>
      </c>
      <c r="N133" s="107">
        <v>0</v>
      </c>
      <c r="O133" s="114"/>
      <c r="P133" s="107">
        <v>0</v>
      </c>
      <c r="Q133" s="107"/>
      <c r="R133" s="107"/>
      <c r="S133" s="115">
        <v>0</v>
      </c>
      <c r="T133" s="135"/>
    </row>
    <row r="134" spans="1:20">
      <c r="A134" s="84">
        <v>3000</v>
      </c>
      <c r="B134" s="84">
        <v>4000</v>
      </c>
      <c r="C134" s="116">
        <v>1330</v>
      </c>
      <c r="D134" s="116">
        <v>451295940</v>
      </c>
      <c r="E134" s="107">
        <v>5.8374630824350733E-4</v>
      </c>
      <c r="F134" s="109">
        <v>3393.2025563909779</v>
      </c>
      <c r="G134" s="114">
        <v>0.01</v>
      </c>
      <c r="H134" s="29" t="str">
        <f t="shared" si="1"/>
        <v>(3000, 4000]</v>
      </c>
      <c r="I134" s="110">
        <v>0</v>
      </c>
      <c r="J134" s="107">
        <v>0</v>
      </c>
      <c r="K134" s="107">
        <v>0</v>
      </c>
      <c r="L134" s="112">
        <v>0</v>
      </c>
      <c r="M134" s="107">
        <v>0</v>
      </c>
      <c r="N134" s="107">
        <v>0</v>
      </c>
      <c r="O134" s="114"/>
      <c r="P134" s="107">
        <v>0</v>
      </c>
      <c r="Q134" s="107"/>
      <c r="R134" s="107"/>
      <c r="S134" s="115">
        <v>0</v>
      </c>
    </row>
    <row r="135" spans="1:20">
      <c r="A135" s="84">
        <v>4000</v>
      </c>
      <c r="B135" s="84">
        <v>5000</v>
      </c>
      <c r="C135" s="116">
        <v>361</v>
      </c>
      <c r="D135" s="116">
        <v>158982415</v>
      </c>
      <c r="E135" s="107">
        <v>1.5844542652323771E-4</v>
      </c>
      <c r="F135" s="109">
        <v>4403.9450138504153</v>
      </c>
      <c r="G135" s="114">
        <v>0.01</v>
      </c>
      <c r="H135" s="29" t="str">
        <f t="shared" si="1"/>
        <v>(4000, 5000]</v>
      </c>
      <c r="I135" s="110">
        <v>0</v>
      </c>
      <c r="J135" s="107">
        <v>0</v>
      </c>
      <c r="K135" s="107">
        <v>0</v>
      </c>
      <c r="L135" s="112">
        <v>0</v>
      </c>
      <c r="M135" s="107">
        <v>0</v>
      </c>
      <c r="N135" s="107">
        <v>0</v>
      </c>
      <c r="O135" s="114"/>
      <c r="P135" s="107">
        <v>0</v>
      </c>
      <c r="Q135" s="107"/>
      <c r="R135" s="107"/>
      <c r="S135" s="115">
        <v>0</v>
      </c>
    </row>
    <row r="136" spans="1:20">
      <c r="A136" s="84">
        <v>5000</v>
      </c>
      <c r="B136" s="84">
        <v>6000</v>
      </c>
      <c r="C136" s="116">
        <v>133</v>
      </c>
      <c r="D136" s="116">
        <v>72027630</v>
      </c>
      <c r="E136" s="107">
        <v>5.8374630824350737E-5</v>
      </c>
      <c r="F136" s="109">
        <v>5415.611278195488</v>
      </c>
      <c r="G136" s="114">
        <v>0.01</v>
      </c>
      <c r="H136" s="29" t="str">
        <f t="shared" si="1"/>
        <v>(5000, 6000]</v>
      </c>
      <c r="I136" s="110">
        <v>0</v>
      </c>
      <c r="J136" s="107">
        <v>0</v>
      </c>
      <c r="K136" s="107">
        <v>0</v>
      </c>
      <c r="L136" s="112">
        <v>0</v>
      </c>
      <c r="M136" s="107">
        <v>0</v>
      </c>
      <c r="N136" s="107">
        <v>0</v>
      </c>
      <c r="O136" s="114"/>
      <c r="P136" s="107">
        <v>0</v>
      </c>
      <c r="Q136" s="107"/>
      <c r="R136" s="107"/>
      <c r="S136" s="115">
        <v>0</v>
      </c>
    </row>
    <row r="137" spans="1:20">
      <c r="A137" s="84">
        <v>6000</v>
      </c>
      <c r="B137" s="84">
        <v>7000</v>
      </c>
      <c r="C137" s="116">
        <v>48</v>
      </c>
      <c r="D137" s="116">
        <v>30871890</v>
      </c>
      <c r="E137" s="107">
        <v>2.1067535936607783E-5</v>
      </c>
      <c r="F137" s="109">
        <v>6431.6437500000002</v>
      </c>
      <c r="G137" s="114">
        <v>0.01</v>
      </c>
      <c r="H137" s="29" t="str">
        <f t="shared" si="1"/>
        <v>(6000, 7000]</v>
      </c>
      <c r="I137" s="110">
        <v>0</v>
      </c>
      <c r="J137" s="107">
        <v>0</v>
      </c>
      <c r="K137" s="107">
        <v>0</v>
      </c>
      <c r="L137" s="112">
        <v>0</v>
      </c>
      <c r="M137" s="107">
        <v>0</v>
      </c>
      <c r="N137" s="107">
        <v>0</v>
      </c>
      <c r="O137" s="114"/>
      <c r="P137" s="107">
        <v>0</v>
      </c>
      <c r="Q137" s="107"/>
      <c r="R137" s="107"/>
      <c r="S137" s="115">
        <v>0</v>
      </c>
    </row>
    <row r="138" spans="1:20">
      <c r="A138" s="84">
        <v>7000</v>
      </c>
      <c r="B138" s="84">
        <v>8000</v>
      </c>
      <c r="C138" s="116">
        <v>27</v>
      </c>
      <c r="D138" s="116">
        <v>20035630</v>
      </c>
      <c r="E138" s="107">
        <v>1.1850488964341879E-5</v>
      </c>
      <c r="F138" s="109">
        <v>7420.6037037037031</v>
      </c>
      <c r="G138" s="114">
        <v>0.01</v>
      </c>
      <c r="H138" s="29" t="str">
        <f t="shared" si="1"/>
        <v>(7000, 8000]</v>
      </c>
      <c r="I138" s="110">
        <v>0</v>
      </c>
      <c r="J138" s="107">
        <v>0</v>
      </c>
      <c r="K138" s="107">
        <v>0</v>
      </c>
      <c r="L138" s="112">
        <v>0</v>
      </c>
      <c r="M138" s="107">
        <v>0</v>
      </c>
      <c r="N138" s="107">
        <v>0</v>
      </c>
      <c r="O138" s="114"/>
      <c r="P138" s="107">
        <v>0</v>
      </c>
      <c r="Q138" s="107"/>
      <c r="R138" s="107"/>
      <c r="S138" s="115">
        <v>0</v>
      </c>
    </row>
    <row r="139" spans="1:20">
      <c r="A139" s="84">
        <v>8000</v>
      </c>
      <c r="B139" s="84">
        <v>9000</v>
      </c>
      <c r="C139" s="116">
        <v>19</v>
      </c>
      <c r="D139" s="116">
        <v>15872480</v>
      </c>
      <c r="E139" s="107">
        <v>8.3392329749072486E-6</v>
      </c>
      <c r="F139" s="109">
        <v>8353.9368421052623</v>
      </c>
      <c r="G139" s="114">
        <v>0.01</v>
      </c>
      <c r="H139" s="29" t="str">
        <f t="shared" si="1"/>
        <v>(8000, 9000]</v>
      </c>
      <c r="I139" s="110">
        <v>0</v>
      </c>
      <c r="J139" s="107">
        <v>0</v>
      </c>
      <c r="K139" s="107">
        <v>0</v>
      </c>
      <c r="L139" s="112">
        <v>0</v>
      </c>
      <c r="M139" s="107">
        <v>0</v>
      </c>
      <c r="N139" s="107">
        <v>0</v>
      </c>
      <c r="O139" s="114"/>
      <c r="P139" s="107">
        <v>0</v>
      </c>
      <c r="Q139" s="107"/>
      <c r="R139" s="107"/>
      <c r="S139" s="115">
        <v>0</v>
      </c>
    </row>
    <row r="140" spans="1:20">
      <c r="A140" s="84">
        <v>9000</v>
      </c>
      <c r="B140" s="84">
        <v>10000</v>
      </c>
      <c r="C140" s="116">
        <v>11</v>
      </c>
      <c r="D140" s="116">
        <v>10382895</v>
      </c>
      <c r="E140" s="107">
        <v>4.8279769854726173E-6</v>
      </c>
      <c r="F140" s="109">
        <v>9438.9954545454548</v>
      </c>
      <c r="G140" s="114">
        <v>0.01</v>
      </c>
      <c r="H140" s="29" t="str">
        <f t="shared" si="1"/>
        <v>(9000, 10000]</v>
      </c>
      <c r="I140" s="110">
        <v>0</v>
      </c>
      <c r="J140" s="107">
        <v>0</v>
      </c>
      <c r="K140" s="107">
        <v>0</v>
      </c>
      <c r="L140" s="112">
        <v>0</v>
      </c>
      <c r="M140" s="107">
        <v>0</v>
      </c>
      <c r="N140" s="107">
        <v>0</v>
      </c>
      <c r="O140" s="114"/>
      <c r="P140" s="107">
        <v>0</v>
      </c>
      <c r="Q140" s="107"/>
      <c r="R140" s="107"/>
      <c r="S140" s="115">
        <v>0</v>
      </c>
    </row>
    <row r="141" spans="1:20">
      <c r="A141" s="84">
        <v>10000</v>
      </c>
      <c r="B141" s="84">
        <v>20000</v>
      </c>
      <c r="C141" s="116">
        <v>12</v>
      </c>
      <c r="D141" s="116">
        <v>14267885</v>
      </c>
      <c r="E141" s="107">
        <v>5.2668839841519457E-6</v>
      </c>
      <c r="F141" s="109">
        <v>11889.904166666667</v>
      </c>
      <c r="G141" s="114">
        <v>0.01</v>
      </c>
      <c r="H141" s="29" t="str">
        <f t="shared" si="1"/>
        <v>(10000, 20000]</v>
      </c>
      <c r="I141" s="110">
        <v>0</v>
      </c>
      <c r="J141" s="107">
        <v>0</v>
      </c>
      <c r="K141" s="107">
        <v>0</v>
      </c>
      <c r="L141" s="112">
        <v>0</v>
      </c>
      <c r="M141" s="107">
        <v>0</v>
      </c>
      <c r="N141" s="107">
        <v>0</v>
      </c>
      <c r="O141" s="114"/>
      <c r="P141" s="107">
        <v>0</v>
      </c>
      <c r="Q141" s="107"/>
      <c r="R141" s="107"/>
      <c r="S141" s="115">
        <v>0</v>
      </c>
    </row>
    <row r="142" spans="1:20">
      <c r="A142" s="84">
        <v>20000</v>
      </c>
      <c r="B142" s="84">
        <v>30000</v>
      </c>
      <c r="C142" s="116">
        <v>0</v>
      </c>
      <c r="D142" s="116">
        <v>0</v>
      </c>
      <c r="E142" s="107">
        <v>0</v>
      </c>
      <c r="F142" s="109">
        <v>0</v>
      </c>
      <c r="G142" s="114">
        <v>0</v>
      </c>
      <c r="H142" s="29" t="str">
        <f t="shared" si="1"/>
        <v>(20000, 30000]</v>
      </c>
      <c r="I142" s="110">
        <v>0</v>
      </c>
      <c r="J142" s="107">
        <v>0</v>
      </c>
      <c r="K142" s="107">
        <v>0</v>
      </c>
      <c r="L142" s="112">
        <v>0</v>
      </c>
      <c r="M142" s="107">
        <v>0</v>
      </c>
      <c r="N142" s="107">
        <v>0</v>
      </c>
      <c r="O142" s="114"/>
      <c r="P142" s="107">
        <v>0</v>
      </c>
      <c r="Q142" s="107"/>
      <c r="R142" s="107"/>
      <c r="S142" s="115">
        <v>0</v>
      </c>
    </row>
    <row r="143" spans="1:20">
      <c r="A143" s="84">
        <v>30000</v>
      </c>
      <c r="B143" s="84">
        <v>40000</v>
      </c>
      <c r="C143" s="116">
        <v>0</v>
      </c>
      <c r="D143" s="116">
        <v>0</v>
      </c>
      <c r="E143" s="107">
        <v>0</v>
      </c>
      <c r="F143" s="109">
        <v>0</v>
      </c>
      <c r="G143" s="114">
        <v>0</v>
      </c>
      <c r="H143" s="29" t="str">
        <f t="shared" si="1"/>
        <v>(30000, 40000]</v>
      </c>
      <c r="I143" s="110">
        <v>0</v>
      </c>
      <c r="J143" s="107">
        <v>0</v>
      </c>
      <c r="K143" s="107">
        <v>0</v>
      </c>
      <c r="L143" s="112">
        <v>0</v>
      </c>
      <c r="M143" s="107">
        <v>0</v>
      </c>
      <c r="N143" s="107">
        <v>0</v>
      </c>
      <c r="O143" s="114"/>
      <c r="P143" s="107">
        <v>0</v>
      </c>
      <c r="Q143" s="107"/>
      <c r="R143" s="107"/>
      <c r="S143" s="115">
        <v>0</v>
      </c>
    </row>
    <row r="144" spans="1:20">
      <c r="A144" s="84">
        <v>40000</v>
      </c>
      <c r="B144" s="84">
        <v>50000</v>
      </c>
      <c r="C144" s="116">
        <v>0</v>
      </c>
      <c r="D144" s="116">
        <v>0</v>
      </c>
      <c r="E144" s="107">
        <v>0</v>
      </c>
      <c r="F144" s="109">
        <v>0</v>
      </c>
      <c r="G144" s="114">
        <v>0</v>
      </c>
      <c r="H144" s="29" t="str">
        <f t="shared" si="1"/>
        <v>(40000, 50000]</v>
      </c>
      <c r="I144" s="110">
        <v>0</v>
      </c>
      <c r="J144" s="107">
        <v>0</v>
      </c>
      <c r="K144" s="107">
        <v>0</v>
      </c>
      <c r="L144" s="112">
        <v>0</v>
      </c>
      <c r="M144" s="107">
        <v>0</v>
      </c>
      <c r="N144" s="107">
        <v>0</v>
      </c>
      <c r="O144" s="114"/>
      <c r="P144" s="107">
        <v>0</v>
      </c>
      <c r="Q144" s="107"/>
      <c r="R144" s="107"/>
      <c r="S144" s="115">
        <v>0</v>
      </c>
    </row>
    <row r="145" spans="1:19">
      <c r="A145" s="84">
        <v>50000</v>
      </c>
      <c r="B145" s="84">
        <v>60000</v>
      </c>
      <c r="C145" s="116">
        <v>0</v>
      </c>
      <c r="D145" s="116">
        <v>0</v>
      </c>
      <c r="E145" s="107">
        <v>0</v>
      </c>
      <c r="F145" s="109">
        <v>0</v>
      </c>
      <c r="G145" s="114">
        <v>0</v>
      </c>
      <c r="H145" s="29" t="str">
        <f t="shared" si="1"/>
        <v>(50000, 60000]</v>
      </c>
      <c r="I145" s="110">
        <v>0</v>
      </c>
      <c r="J145" s="107">
        <v>0</v>
      </c>
      <c r="K145" s="107">
        <v>0</v>
      </c>
      <c r="L145" s="112">
        <v>0</v>
      </c>
      <c r="M145" s="107">
        <v>0</v>
      </c>
      <c r="N145" s="107">
        <v>0</v>
      </c>
      <c r="O145" s="114"/>
      <c r="P145" s="107">
        <v>0</v>
      </c>
      <c r="Q145" s="107"/>
      <c r="R145" s="107"/>
      <c r="S145" s="115">
        <v>0</v>
      </c>
    </row>
    <row r="146" spans="1:19">
      <c r="A146" s="84">
        <v>60000</v>
      </c>
      <c r="B146" s="84">
        <v>70000</v>
      </c>
      <c r="C146" s="116">
        <v>0</v>
      </c>
      <c r="D146" s="116">
        <v>0</v>
      </c>
      <c r="E146" s="107">
        <v>0</v>
      </c>
      <c r="F146" s="109">
        <v>0</v>
      </c>
      <c r="G146" s="114">
        <v>0</v>
      </c>
      <c r="H146" s="29" t="str">
        <f t="shared" si="1"/>
        <v>(60000, 70000]</v>
      </c>
      <c r="I146" s="110">
        <v>0</v>
      </c>
      <c r="J146" s="107">
        <v>0</v>
      </c>
      <c r="K146" s="107">
        <v>0</v>
      </c>
      <c r="L146" s="112">
        <v>0</v>
      </c>
      <c r="M146" s="107">
        <v>0</v>
      </c>
      <c r="N146" s="107">
        <v>0</v>
      </c>
      <c r="O146" s="114"/>
      <c r="P146" s="107">
        <v>0</v>
      </c>
      <c r="Q146" s="107"/>
      <c r="R146" s="107"/>
      <c r="S146" s="115">
        <v>0</v>
      </c>
    </row>
    <row r="147" spans="1:19">
      <c r="A147" s="84">
        <v>70000</v>
      </c>
      <c r="B147" s="84">
        <v>80000</v>
      </c>
      <c r="C147" s="116">
        <v>0</v>
      </c>
      <c r="D147" s="116">
        <v>0</v>
      </c>
      <c r="E147" s="107">
        <v>0</v>
      </c>
      <c r="F147" s="109">
        <v>0</v>
      </c>
      <c r="G147" s="114">
        <v>0</v>
      </c>
      <c r="H147" s="29" t="str">
        <f t="shared" si="1"/>
        <v>(70000, 80000]</v>
      </c>
      <c r="I147" s="110">
        <v>0</v>
      </c>
      <c r="J147" s="107">
        <v>0</v>
      </c>
      <c r="K147" s="107">
        <v>0</v>
      </c>
      <c r="L147" s="112">
        <v>0</v>
      </c>
      <c r="M147" s="107">
        <v>0</v>
      </c>
      <c r="N147" s="107">
        <v>0</v>
      </c>
      <c r="O147" s="114"/>
      <c r="P147" s="107">
        <v>0</v>
      </c>
      <c r="Q147" s="107"/>
      <c r="R147" s="107"/>
      <c r="S147" s="115">
        <v>0</v>
      </c>
    </row>
    <row r="148" spans="1:19">
      <c r="A148" s="84">
        <v>80000</v>
      </c>
      <c r="B148" s="84">
        <v>90000</v>
      </c>
      <c r="C148" s="116">
        <v>0</v>
      </c>
      <c r="D148" s="116">
        <v>0</v>
      </c>
      <c r="E148" s="107">
        <v>0</v>
      </c>
      <c r="F148" s="109">
        <v>0</v>
      </c>
      <c r="G148" s="114">
        <v>0</v>
      </c>
      <c r="H148" s="29" t="str">
        <f t="shared" si="1"/>
        <v>(80000, 90000]</v>
      </c>
      <c r="I148" s="110">
        <v>0</v>
      </c>
      <c r="J148" s="107">
        <v>0</v>
      </c>
      <c r="K148" s="107">
        <v>0</v>
      </c>
      <c r="L148" s="112">
        <v>0</v>
      </c>
      <c r="M148" s="107">
        <v>0</v>
      </c>
      <c r="N148" s="107">
        <v>0</v>
      </c>
      <c r="O148" s="114"/>
      <c r="P148" s="107">
        <v>0</v>
      </c>
      <c r="Q148" s="107"/>
      <c r="R148" s="107"/>
      <c r="S148" s="115">
        <v>0</v>
      </c>
    </row>
    <row r="149" spans="1:19">
      <c r="A149" s="84">
        <v>90000</v>
      </c>
      <c r="B149" s="84">
        <v>100000</v>
      </c>
      <c r="C149" s="116">
        <v>0</v>
      </c>
      <c r="D149" s="116">
        <v>0</v>
      </c>
      <c r="E149" s="107">
        <v>0</v>
      </c>
      <c r="F149" s="109">
        <v>0</v>
      </c>
      <c r="G149" s="114">
        <v>0</v>
      </c>
      <c r="H149" s="29" t="str">
        <f t="shared" si="1"/>
        <v>(90000, 100000]</v>
      </c>
      <c r="I149" s="110">
        <v>0</v>
      </c>
      <c r="J149" s="107">
        <v>0</v>
      </c>
      <c r="K149" s="107">
        <v>0</v>
      </c>
      <c r="L149" s="112">
        <v>0</v>
      </c>
      <c r="M149" s="107">
        <v>0</v>
      </c>
      <c r="N149" s="107">
        <v>0</v>
      </c>
      <c r="O149" s="114"/>
      <c r="P149" s="107">
        <v>0</v>
      </c>
      <c r="Q149" s="107"/>
      <c r="R149" s="107"/>
      <c r="S149" s="115">
        <v>0</v>
      </c>
    </row>
    <row r="150" spans="1:19">
      <c r="A150" s="84">
        <v>100000</v>
      </c>
      <c r="B150" s="84">
        <v>9999999</v>
      </c>
      <c r="C150" s="116">
        <v>0</v>
      </c>
      <c r="D150" s="116">
        <v>0</v>
      </c>
      <c r="E150" s="107">
        <v>0</v>
      </c>
      <c r="F150" s="109">
        <v>0</v>
      </c>
      <c r="G150" s="114">
        <v>0</v>
      </c>
      <c r="H150" s="29" t="str">
        <f t="shared" si="1"/>
        <v>(100000, 9999999]</v>
      </c>
      <c r="I150" s="110">
        <v>0</v>
      </c>
      <c r="J150" s="107">
        <v>0</v>
      </c>
      <c r="K150" s="107">
        <v>0</v>
      </c>
      <c r="L150" s="112">
        <v>0</v>
      </c>
      <c r="M150" s="107">
        <v>0</v>
      </c>
      <c r="N150" s="107">
        <v>0</v>
      </c>
      <c r="O150" s="114"/>
      <c r="P150" s="107">
        <v>0</v>
      </c>
      <c r="Q150" s="107"/>
      <c r="R150" s="107"/>
      <c r="S150" s="115">
        <v>0</v>
      </c>
    </row>
    <row r="153" spans="1:19" s="142" customFormat="1">
      <c r="A153" s="186" t="s">
        <v>91</v>
      </c>
      <c r="B153" s="186"/>
      <c r="C153" s="186"/>
      <c r="D153" s="186"/>
      <c r="E153" s="137"/>
      <c r="F153" s="137"/>
      <c r="G153" s="138"/>
      <c r="H153" s="139"/>
      <c r="I153" s="140"/>
      <c r="J153" s="141"/>
      <c r="K153" s="141"/>
      <c r="L153" s="141"/>
      <c r="M153" s="141"/>
      <c r="N153" s="141"/>
      <c r="O153" s="138"/>
    </row>
    <row r="154" spans="1:19">
      <c r="A154" s="12"/>
      <c r="B154" s="12"/>
      <c r="C154" s="1"/>
      <c r="D154" s="1"/>
      <c r="E154" s="1"/>
      <c r="F154" s="1"/>
      <c r="H154" s="13"/>
      <c r="I154" s="12"/>
      <c r="J154" s="12"/>
      <c r="K154" s="12"/>
      <c r="L154" s="12"/>
      <c r="M154" s="12"/>
      <c r="N154" s="12"/>
    </row>
    <row r="155" spans="1:19">
      <c r="A155" s="101" t="s">
        <v>206</v>
      </c>
      <c r="B155" s="125">
        <v>10000000</v>
      </c>
      <c r="C155" s="1"/>
      <c r="D155" s="1"/>
      <c r="E155" s="1"/>
      <c r="F155" s="1"/>
      <c r="H155" s="101" t="s">
        <v>207</v>
      </c>
      <c r="I155" s="12"/>
      <c r="J155" s="12"/>
      <c r="K155" s="12"/>
      <c r="M155" s="12"/>
      <c r="N155" s="12"/>
    </row>
    <row r="156" spans="1:19">
      <c r="A156" s="16" t="s">
        <v>57</v>
      </c>
      <c r="B156" s="16" t="s">
        <v>58</v>
      </c>
      <c r="C156" s="16" t="s">
        <v>208</v>
      </c>
      <c r="D156" s="16" t="s">
        <v>209</v>
      </c>
      <c r="E156" s="16" t="s">
        <v>210</v>
      </c>
      <c r="F156" s="16" t="s">
        <v>211</v>
      </c>
      <c r="H156" s="16" t="s">
        <v>60</v>
      </c>
      <c r="I156" s="16" t="s">
        <v>212</v>
      </c>
      <c r="J156" s="16" t="s">
        <v>213</v>
      </c>
      <c r="K156" s="16" t="s">
        <v>214</v>
      </c>
      <c r="L156" s="16" t="s">
        <v>215</v>
      </c>
      <c r="M156" s="16" t="s">
        <v>62</v>
      </c>
      <c r="N156" s="16" t="s">
        <v>59</v>
      </c>
      <c r="P156" s="39" t="s">
        <v>216</v>
      </c>
      <c r="Q156" s="39" t="s">
        <v>216</v>
      </c>
      <c r="R156" s="39" t="s">
        <v>217</v>
      </c>
      <c r="S156" s="39" t="s">
        <v>218</v>
      </c>
    </row>
    <row r="157" spans="1:19">
      <c r="A157" s="104">
        <v>-1</v>
      </c>
      <c r="B157" s="104">
        <v>0</v>
      </c>
      <c r="C157" s="126" cm="1">
        <f t="array" ref="C157:D220">C87:D150</f>
        <v>6070</v>
      </c>
      <c r="D157" s="126">
        <v>0</v>
      </c>
      <c r="E157" s="107" cm="1">
        <f t="array" ref="E157:E220">_xlfn.LET(_xlpm.x, C157:C220, _xlpm.x/SUM(_xlpm.x))</f>
        <v>2.664165481983526E-3</v>
      </c>
      <c r="F157" s="108" cm="1">
        <f t="array" ref="F157:F220">_xlfn.LET(_xlpm.x, D157:D220/C157:C220/B3, IF(ISERR(_xlpm.x), 0, _xlpm.x))</f>
        <v>0</v>
      </c>
      <c r="G157" s="66">
        <v>9.9999999999999995E-7</v>
      </c>
      <c r="H157" s="29" t="str">
        <f>"("&amp;$A157&amp;", "&amp;$B157&amp;"]"</f>
        <v>(-1, 0]</v>
      </c>
      <c r="I157" s="110">
        <v>0</v>
      </c>
      <c r="J157" s="107" cm="1">
        <f t="array" ref="J157:J220">_xlfn.ANCHORARRAY(E157)*I157:I220</f>
        <v>0</v>
      </c>
      <c r="K157" s="107" cm="1">
        <f t="array" ref="K157:K220">J157:J220/SUM(_xlfn.ANCHORARRAY(J157))</f>
        <v>0</v>
      </c>
      <c r="L157" s="111" cm="1">
        <f t="array" ref="L157:L220">INT(_xlfn.ANCHORARRAY(K157)*$B$2)</f>
        <v>0</v>
      </c>
      <c r="M157" s="107" cm="1">
        <f t="array" ref="M157:M220">_xlfn.LET(_xlpm.x, L157:L220, _xlpm.x/SUM(_xlpm.x))</f>
        <v>0</v>
      </c>
      <c r="N157" s="134" cm="1">
        <f t="array" ref="N157:N220">M157:M220*_xlfn.ANCHORARRAY(F157)</f>
        <v>0</v>
      </c>
      <c r="O157" s="114"/>
      <c r="P157" s="107" cm="1">
        <f t="array" ref="P157:P220">_xlfn.ANCHORARRAY(M157)</f>
        <v>0</v>
      </c>
      <c r="Q157" s="107"/>
      <c r="R157" s="107"/>
      <c r="S157" s="115" cm="1">
        <f t="array" ref="S157:S220">_xlfn.LET(_xlpm.x, Q157:Q220/M157:M220, IF(ISERR(_xlpm.x), 0, ROUND(_xlpm.x,2)))</f>
        <v>0</v>
      </c>
    </row>
    <row r="158" spans="1:19">
      <c r="A158" s="84">
        <v>0</v>
      </c>
      <c r="B158" s="84">
        <v>1</v>
      </c>
      <c r="C158" s="143">
        <v>13289</v>
      </c>
      <c r="D158" s="143">
        <v>1090600</v>
      </c>
      <c r="E158" s="107">
        <v>5.8326351054496014E-3</v>
      </c>
      <c r="F158" s="109">
        <v>0.82067875686658143</v>
      </c>
      <c r="G158" s="66">
        <v>0</v>
      </c>
      <c r="H158" s="29" t="str">
        <f t="shared" ref="H158:H220" si="2">"("&amp;$A158&amp;", "&amp;$B158&amp;"]"</f>
        <v>(0, 1]</v>
      </c>
      <c r="I158" s="110">
        <v>0</v>
      </c>
      <c r="J158" s="107">
        <v>0</v>
      </c>
      <c r="K158" s="107">
        <v>0</v>
      </c>
      <c r="L158" s="111">
        <v>0</v>
      </c>
      <c r="M158" s="107">
        <v>0</v>
      </c>
      <c r="N158" s="107">
        <v>0</v>
      </c>
      <c r="O158" s="114"/>
      <c r="P158" s="107">
        <v>0</v>
      </c>
      <c r="Q158" s="107"/>
      <c r="R158" s="107"/>
      <c r="S158" s="115">
        <v>0</v>
      </c>
    </row>
    <row r="159" spans="1:19">
      <c r="A159" s="84">
        <v>1</v>
      </c>
      <c r="B159" s="84">
        <v>2</v>
      </c>
      <c r="C159" s="143">
        <v>20810</v>
      </c>
      <c r="D159" s="143">
        <v>3233730</v>
      </c>
      <c r="E159" s="107">
        <v>9.1336546425168329E-3</v>
      </c>
      <c r="F159" s="109">
        <v>1.5539308024987986</v>
      </c>
      <c r="G159" s="117">
        <f>1+G158*G157</f>
        <v>1</v>
      </c>
      <c r="H159" s="29" t="str">
        <f t="shared" si="2"/>
        <v>(1, 2]</v>
      </c>
      <c r="I159" s="110">
        <v>0</v>
      </c>
      <c r="J159" s="107">
        <v>0</v>
      </c>
      <c r="K159" s="107">
        <v>0</v>
      </c>
      <c r="L159" s="111">
        <v>0</v>
      </c>
      <c r="M159" s="107">
        <v>0</v>
      </c>
      <c r="N159" s="107">
        <v>0</v>
      </c>
      <c r="O159" s="114"/>
      <c r="P159" s="107">
        <v>0</v>
      </c>
      <c r="Q159" s="107"/>
      <c r="R159" s="107"/>
      <c r="S159" s="115">
        <v>0</v>
      </c>
    </row>
    <row r="160" spans="1:19" ht="16.2" customHeight="1">
      <c r="A160" s="84">
        <v>2</v>
      </c>
      <c r="B160" s="84">
        <v>3</v>
      </c>
      <c r="C160" s="143">
        <v>21254</v>
      </c>
      <c r="D160" s="143">
        <v>5431450</v>
      </c>
      <c r="E160" s="107">
        <v>9.3285293499304547E-3</v>
      </c>
      <c r="F160" s="109">
        <v>2.5554954361531945</v>
      </c>
      <c r="G160" s="114"/>
      <c r="H160" s="29" t="str">
        <f t="shared" si="2"/>
        <v>(2, 3]</v>
      </c>
      <c r="I160" s="110">
        <v>0</v>
      </c>
      <c r="J160" s="107">
        <v>0</v>
      </c>
      <c r="K160" s="107">
        <v>0</v>
      </c>
      <c r="L160" s="111">
        <v>0</v>
      </c>
      <c r="M160" s="107">
        <v>0</v>
      </c>
      <c r="N160" s="107">
        <v>0</v>
      </c>
      <c r="O160" s="114"/>
      <c r="P160" s="107">
        <v>0</v>
      </c>
      <c r="Q160" s="107"/>
      <c r="R160" s="107"/>
      <c r="S160" s="115">
        <v>0</v>
      </c>
    </row>
    <row r="161" spans="1:20">
      <c r="A161" s="84">
        <v>3</v>
      </c>
      <c r="B161" s="84">
        <v>4</v>
      </c>
      <c r="C161" s="143">
        <v>21645</v>
      </c>
      <c r="D161" s="143">
        <v>7695990</v>
      </c>
      <c r="E161" s="107">
        <v>9.5001419864140721E-3</v>
      </c>
      <c r="F161" s="109">
        <v>3.5555509355509356</v>
      </c>
      <c r="G161" s="114"/>
      <c r="H161" s="29" t="str">
        <f t="shared" si="2"/>
        <v>(3, 4]</v>
      </c>
      <c r="I161" s="110">
        <v>0</v>
      </c>
      <c r="J161" s="107">
        <v>0</v>
      </c>
      <c r="K161" s="107">
        <v>0</v>
      </c>
      <c r="L161" s="111">
        <v>0</v>
      </c>
      <c r="M161" s="107">
        <v>0</v>
      </c>
      <c r="N161" s="107">
        <v>0</v>
      </c>
      <c r="O161" s="114"/>
      <c r="P161" s="107">
        <v>0</v>
      </c>
      <c r="Q161" s="107"/>
      <c r="R161" s="107"/>
      <c r="S161" s="115">
        <v>0</v>
      </c>
    </row>
    <row r="162" spans="1:20">
      <c r="A162" s="84">
        <v>4</v>
      </c>
      <c r="B162" s="84">
        <v>5</v>
      </c>
      <c r="C162" s="143">
        <v>21438</v>
      </c>
      <c r="D162" s="143">
        <v>9764380</v>
      </c>
      <c r="E162" s="107">
        <v>9.4092882376874513E-3</v>
      </c>
      <c r="F162" s="109">
        <v>4.5547065957645305</v>
      </c>
      <c r="G162" s="114"/>
      <c r="H162" s="29" t="str">
        <f t="shared" si="2"/>
        <v>(4, 5]</v>
      </c>
      <c r="I162" s="110">
        <v>0</v>
      </c>
      <c r="J162" s="107">
        <v>0</v>
      </c>
      <c r="K162" s="107">
        <v>0</v>
      </c>
      <c r="L162" s="111">
        <v>0</v>
      </c>
      <c r="M162" s="107">
        <v>0</v>
      </c>
      <c r="N162" s="107">
        <v>0</v>
      </c>
      <c r="O162" s="114"/>
      <c r="P162" s="107">
        <v>0</v>
      </c>
      <c r="Q162" s="107"/>
      <c r="R162" s="107"/>
      <c r="S162" s="115">
        <v>0</v>
      </c>
    </row>
    <row r="163" spans="1:20">
      <c r="A163" s="84">
        <v>5</v>
      </c>
      <c r="B163" s="84">
        <v>6</v>
      </c>
      <c r="C163" s="143">
        <v>21633</v>
      </c>
      <c r="D163" s="143">
        <v>12019590</v>
      </c>
      <c r="E163" s="107">
        <v>9.4948751024299203E-3</v>
      </c>
      <c r="F163" s="109">
        <v>5.5561364581888775</v>
      </c>
      <c r="G163" s="114"/>
      <c r="H163" s="29" t="str">
        <f t="shared" si="2"/>
        <v>(5, 6]</v>
      </c>
      <c r="I163" s="110">
        <v>0</v>
      </c>
      <c r="J163" s="107">
        <v>0</v>
      </c>
      <c r="K163" s="107">
        <v>0</v>
      </c>
      <c r="L163" s="111">
        <v>0</v>
      </c>
      <c r="M163" s="107">
        <v>0</v>
      </c>
      <c r="N163" s="107">
        <v>0</v>
      </c>
      <c r="O163" s="114"/>
      <c r="P163" s="107">
        <v>0</v>
      </c>
      <c r="Q163" s="107"/>
      <c r="R163" s="107"/>
      <c r="S163" s="115">
        <v>0</v>
      </c>
    </row>
    <row r="164" spans="1:20">
      <c r="A164" s="84">
        <v>6</v>
      </c>
      <c r="B164" s="84">
        <v>7</v>
      </c>
      <c r="C164" s="143">
        <v>20646</v>
      </c>
      <c r="D164" s="143">
        <v>13512875</v>
      </c>
      <c r="E164" s="107">
        <v>9.0616738947334238E-3</v>
      </c>
      <c r="F164" s="109">
        <v>6.5450329361619684</v>
      </c>
      <c r="G164" s="114"/>
      <c r="H164" s="29" t="str">
        <f t="shared" si="2"/>
        <v>(6, 7]</v>
      </c>
      <c r="I164" s="110">
        <v>0</v>
      </c>
      <c r="J164" s="107">
        <v>0</v>
      </c>
      <c r="K164" s="107">
        <v>0</v>
      </c>
      <c r="L164" s="111">
        <v>0</v>
      </c>
      <c r="M164" s="107">
        <v>0</v>
      </c>
      <c r="N164" s="107">
        <v>0</v>
      </c>
      <c r="O164" s="114"/>
      <c r="P164" s="107">
        <v>0</v>
      </c>
      <c r="Q164" s="107"/>
      <c r="R164" s="107"/>
      <c r="S164" s="115">
        <v>0</v>
      </c>
    </row>
    <row r="165" spans="1:20">
      <c r="A165" s="84">
        <v>7</v>
      </c>
      <c r="B165" s="84">
        <v>8</v>
      </c>
      <c r="C165" s="143">
        <v>20886</v>
      </c>
      <c r="D165" s="143">
        <v>15764920</v>
      </c>
      <c r="E165" s="107">
        <v>9.1670115744164615E-3</v>
      </c>
      <c r="F165" s="109">
        <v>7.548080053624437</v>
      </c>
      <c r="G165" s="114"/>
      <c r="H165" s="29" t="str">
        <f t="shared" si="2"/>
        <v>(7, 8]</v>
      </c>
      <c r="I165" s="110">
        <v>0</v>
      </c>
      <c r="J165" s="107">
        <v>0</v>
      </c>
      <c r="K165" s="107">
        <v>0</v>
      </c>
      <c r="L165" s="111">
        <v>0</v>
      </c>
      <c r="M165" s="107">
        <v>0</v>
      </c>
      <c r="N165" s="107">
        <v>0</v>
      </c>
      <c r="O165" s="114"/>
      <c r="P165" s="107">
        <v>0</v>
      </c>
      <c r="Q165" s="107"/>
      <c r="R165" s="107"/>
      <c r="S165" s="115">
        <v>0</v>
      </c>
    </row>
    <row r="166" spans="1:20">
      <c r="A166" s="84">
        <v>8</v>
      </c>
      <c r="B166" s="84">
        <v>9</v>
      </c>
      <c r="C166" s="143">
        <v>20446</v>
      </c>
      <c r="D166" s="143">
        <v>17486945</v>
      </c>
      <c r="E166" s="107">
        <v>8.9738924949975575E-3</v>
      </c>
      <c r="F166" s="109">
        <v>8.5527462584368585</v>
      </c>
      <c r="G166" s="114"/>
      <c r="H166" s="29" t="str">
        <f t="shared" si="2"/>
        <v>(8, 9]</v>
      </c>
      <c r="I166" s="110">
        <v>0</v>
      </c>
      <c r="J166" s="107">
        <v>0</v>
      </c>
      <c r="K166" s="107">
        <v>0</v>
      </c>
      <c r="L166" s="111">
        <v>0</v>
      </c>
      <c r="M166" s="107">
        <v>0</v>
      </c>
      <c r="N166" s="107">
        <v>0</v>
      </c>
      <c r="O166" s="114"/>
      <c r="P166" s="107">
        <v>0</v>
      </c>
      <c r="Q166" s="107"/>
      <c r="R166" s="107"/>
      <c r="S166" s="115">
        <v>0</v>
      </c>
    </row>
    <row r="167" spans="1:20">
      <c r="A167" s="84">
        <v>9</v>
      </c>
      <c r="B167" s="84">
        <v>10</v>
      </c>
      <c r="C167" s="143">
        <v>19920</v>
      </c>
      <c r="D167" s="143">
        <v>19030345</v>
      </c>
      <c r="E167" s="107">
        <v>8.7430274136922302E-3</v>
      </c>
      <c r="F167" s="109">
        <v>9.5533860441767064</v>
      </c>
      <c r="G167" s="114"/>
      <c r="H167" s="29" t="str">
        <f t="shared" si="2"/>
        <v>(9, 10]</v>
      </c>
      <c r="I167" s="110">
        <v>0</v>
      </c>
      <c r="J167" s="107">
        <v>0</v>
      </c>
      <c r="K167" s="107">
        <v>0</v>
      </c>
      <c r="L167" s="111">
        <v>0</v>
      </c>
      <c r="M167" s="107">
        <v>0</v>
      </c>
      <c r="N167" s="107">
        <v>0</v>
      </c>
      <c r="O167" s="114"/>
      <c r="P167" s="107">
        <v>0</v>
      </c>
      <c r="Q167" s="107"/>
      <c r="R167" s="107"/>
      <c r="S167" s="115">
        <v>0</v>
      </c>
    </row>
    <row r="168" spans="1:20">
      <c r="A168" s="84">
        <v>10</v>
      </c>
      <c r="B168" s="84">
        <v>15</v>
      </c>
      <c r="C168" s="143">
        <v>95890</v>
      </c>
      <c r="D168" s="143">
        <v>120087185</v>
      </c>
      <c r="E168" s="107">
        <v>4.2086792103360846E-2</v>
      </c>
      <c r="F168" s="109">
        <v>12.523431536135156</v>
      </c>
      <c r="G168" s="114"/>
      <c r="H168" s="29" t="str">
        <f t="shared" si="2"/>
        <v>(10, 15]</v>
      </c>
      <c r="I168" s="110">
        <v>0</v>
      </c>
      <c r="J168" s="107">
        <v>0</v>
      </c>
      <c r="K168" s="107">
        <v>0</v>
      </c>
      <c r="L168" s="111">
        <v>0</v>
      </c>
      <c r="M168" s="107">
        <v>0</v>
      </c>
      <c r="N168" s="107">
        <v>0</v>
      </c>
      <c r="O168" s="114"/>
      <c r="P168" s="107">
        <v>0</v>
      </c>
      <c r="Q168" s="107"/>
      <c r="R168" s="107"/>
      <c r="S168" s="115">
        <v>0</v>
      </c>
      <c r="T168" s="73"/>
    </row>
    <row r="169" spans="1:20">
      <c r="A169" s="84">
        <v>15</v>
      </c>
      <c r="B169" s="84">
        <v>20</v>
      </c>
      <c r="C169" s="143">
        <v>89276</v>
      </c>
      <c r="D169" s="143">
        <v>156417885</v>
      </c>
      <c r="E169" s="107">
        <v>3.9183861214095762E-2</v>
      </c>
      <c r="F169" s="109">
        <v>17.520709373179802</v>
      </c>
      <c r="G169" s="114"/>
      <c r="H169" s="119" t="str">
        <f t="shared" si="2"/>
        <v>(15, 20]</v>
      </c>
      <c r="I169" s="110">
        <v>2.5</v>
      </c>
      <c r="J169" s="107">
        <v>9.7959653035239402E-2</v>
      </c>
      <c r="K169" s="107">
        <v>9.3302689545836273E-2</v>
      </c>
      <c r="L169" s="111">
        <v>93302689</v>
      </c>
      <c r="M169" s="107">
        <v>9.3302690492843052E-2</v>
      </c>
      <c r="N169" s="107">
        <v>1.6347293238608493</v>
      </c>
      <c r="O169" s="114"/>
      <c r="P169" s="107">
        <v>9.3302690492843052E-2</v>
      </c>
      <c r="Q169" s="107"/>
      <c r="R169" s="107"/>
      <c r="S169" s="115">
        <v>0</v>
      </c>
      <c r="T169" s="73"/>
    </row>
    <row r="170" spans="1:20">
      <c r="A170" s="84">
        <v>20</v>
      </c>
      <c r="B170" s="84">
        <v>25</v>
      </c>
      <c r="C170" s="143">
        <v>82338</v>
      </c>
      <c r="D170" s="143">
        <v>185300895</v>
      </c>
      <c r="E170" s="107">
        <v>3.6138724457258575E-2</v>
      </c>
      <c r="F170" s="109">
        <v>22.504905997230924</v>
      </c>
      <c r="G170" s="114"/>
      <c r="H170" s="29" t="str">
        <f t="shared" si="2"/>
        <v>(20, 25]</v>
      </c>
      <c r="I170" s="110">
        <v>2.5</v>
      </c>
      <c r="J170" s="107">
        <v>9.0346811143146438E-2</v>
      </c>
      <c r="K170" s="107">
        <v>8.6051759171838646E-2</v>
      </c>
      <c r="L170" s="111">
        <v>86051759</v>
      </c>
      <c r="M170" s="107">
        <v>8.6051760376828171E-2</v>
      </c>
      <c r="N170" s="107">
        <v>1.9365867781767587</v>
      </c>
      <c r="O170" s="114"/>
      <c r="P170" s="107">
        <v>8.6051760376828171E-2</v>
      </c>
      <c r="Q170" s="107"/>
      <c r="R170" s="107"/>
      <c r="S170" s="115">
        <v>0</v>
      </c>
      <c r="T170" s="73"/>
    </row>
    <row r="171" spans="1:20">
      <c r="A171" s="84">
        <v>25</v>
      </c>
      <c r="B171" s="84">
        <v>30</v>
      </c>
      <c r="C171" s="143">
        <v>76062</v>
      </c>
      <c r="D171" s="143">
        <v>209282100</v>
      </c>
      <c r="E171" s="107">
        <v>3.3384144133547108E-2</v>
      </c>
      <c r="F171" s="109">
        <v>27.514672241066499</v>
      </c>
      <c r="G171" s="114"/>
      <c r="H171" s="29" t="str">
        <f t="shared" si="2"/>
        <v>(25, 30]</v>
      </c>
      <c r="I171" s="110">
        <v>2.5</v>
      </c>
      <c r="J171" s="107">
        <v>8.3460360333867778E-2</v>
      </c>
      <c r="K171" s="107">
        <v>7.9492687533440104E-2</v>
      </c>
      <c r="L171" s="111">
        <v>79492687</v>
      </c>
      <c r="M171" s="107">
        <v>7.9492688271883008E-2</v>
      </c>
      <c r="N171" s="107">
        <v>2.1872152633621318</v>
      </c>
      <c r="O171" s="114"/>
      <c r="P171" s="107">
        <v>7.9492688271883008E-2</v>
      </c>
      <c r="Q171" s="107"/>
      <c r="R171" s="107"/>
      <c r="S171" s="115">
        <v>0</v>
      </c>
      <c r="T171" s="73"/>
    </row>
    <row r="172" spans="1:20">
      <c r="A172" s="84">
        <v>30</v>
      </c>
      <c r="B172" s="84">
        <v>35</v>
      </c>
      <c r="C172" s="143">
        <v>70584</v>
      </c>
      <c r="D172" s="143">
        <v>229534305</v>
      </c>
      <c r="E172" s="107">
        <v>3.0979811594781748E-2</v>
      </c>
      <c r="F172" s="109">
        <v>32.519311033662021</v>
      </c>
      <c r="G172" s="114"/>
      <c r="H172" s="29" t="str">
        <f t="shared" si="2"/>
        <v>(30, 35]</v>
      </c>
      <c r="I172" s="110">
        <v>2.5</v>
      </c>
      <c r="J172" s="107">
        <v>7.7449528986954369E-2</v>
      </c>
      <c r="K172" s="107">
        <v>7.3767608751549224E-2</v>
      </c>
      <c r="L172" s="111">
        <v>73767608</v>
      </c>
      <c r="M172" s="107">
        <v>7.3767609180281746E-2</v>
      </c>
      <c r="N172" s="107">
        <v>2.3988718271432039</v>
      </c>
      <c r="O172" s="114"/>
      <c r="P172" s="107">
        <v>7.3767609180281746E-2</v>
      </c>
      <c r="Q172" s="107"/>
      <c r="R172" s="107"/>
      <c r="S172" s="115">
        <v>0</v>
      </c>
      <c r="T172" s="73"/>
    </row>
    <row r="173" spans="1:20">
      <c r="A173" s="84">
        <v>35</v>
      </c>
      <c r="B173" s="84">
        <v>40</v>
      </c>
      <c r="C173" s="143">
        <v>65100</v>
      </c>
      <c r="D173" s="143">
        <v>244284710</v>
      </c>
      <c r="E173" s="107">
        <v>2.8572845614024307E-2</v>
      </c>
      <c r="F173" s="109">
        <v>37.524533026113673</v>
      </c>
      <c r="G173" s="114"/>
      <c r="H173" s="119" t="str">
        <f t="shared" si="2"/>
        <v>(35, 40]</v>
      </c>
      <c r="I173" s="110">
        <v>2.5</v>
      </c>
      <c r="J173" s="107">
        <v>7.1432114035060765E-2</v>
      </c>
      <c r="K173" s="107">
        <v>6.8036259346677064E-2</v>
      </c>
      <c r="L173" s="111">
        <v>68036259</v>
      </c>
      <c r="M173" s="107">
        <v>6.8036260088580158E-2</v>
      </c>
      <c r="N173" s="107">
        <v>2.5530288886671859</v>
      </c>
      <c r="O173" s="114"/>
      <c r="P173" s="107">
        <v>6.8036260088580158E-2</v>
      </c>
      <c r="Q173" s="107"/>
      <c r="R173" s="107"/>
      <c r="S173" s="115">
        <v>0</v>
      </c>
      <c r="T173" s="73"/>
    </row>
    <row r="174" spans="1:20">
      <c r="A174" s="84">
        <v>40</v>
      </c>
      <c r="B174" s="84">
        <v>45</v>
      </c>
      <c r="C174" s="143">
        <v>61979</v>
      </c>
      <c r="D174" s="143">
        <v>263528360</v>
      </c>
      <c r="E174" s="107">
        <v>2.7203016871146121E-2</v>
      </c>
      <c r="F174" s="109">
        <v>42.518975782119753</v>
      </c>
      <c r="G174" s="114"/>
      <c r="H174" s="29" t="str">
        <f t="shared" si="2"/>
        <v>(40, 45]</v>
      </c>
      <c r="I174" s="110">
        <v>3</v>
      </c>
      <c r="J174" s="107">
        <v>8.1609050613438358E-2</v>
      </c>
      <c r="K174" s="107">
        <v>7.7729388351109624E-2</v>
      </c>
      <c r="L174" s="111">
        <v>77729388</v>
      </c>
      <c r="M174" s="107">
        <v>7.7729389243670233E-2</v>
      </c>
      <c r="N174" s="107">
        <v>3.3049740188105741</v>
      </c>
      <c r="O174" s="114"/>
      <c r="P174" s="107">
        <v>7.7729389243670233E-2</v>
      </c>
      <c r="Q174" s="107"/>
      <c r="R174" s="107"/>
      <c r="S174" s="115">
        <v>0</v>
      </c>
      <c r="T174" s="73"/>
    </row>
    <row r="175" spans="1:20">
      <c r="A175" s="84">
        <v>45</v>
      </c>
      <c r="B175" s="84">
        <v>50</v>
      </c>
      <c r="C175" s="143">
        <v>57512</v>
      </c>
      <c r="D175" s="143">
        <v>273347815</v>
      </c>
      <c r="E175" s="107">
        <v>2.524241930804556E-2</v>
      </c>
      <c r="F175" s="109">
        <v>47.528831374321882</v>
      </c>
      <c r="G175" s="114"/>
      <c r="H175" s="29" t="str">
        <f t="shared" si="2"/>
        <v>(45, 50]</v>
      </c>
      <c r="I175" s="110">
        <v>3</v>
      </c>
      <c r="J175" s="107">
        <v>7.5727257924136676E-2</v>
      </c>
      <c r="K175" s="107">
        <v>7.212721377965145E-2</v>
      </c>
      <c r="L175" s="111">
        <v>72127213</v>
      </c>
      <c r="M175" s="107">
        <v>7.2127214154035432E-2</v>
      </c>
      <c r="N175" s="107">
        <v>3.4281221990267525</v>
      </c>
      <c r="O175" s="114"/>
      <c r="P175" s="107">
        <v>7.2127214154035432E-2</v>
      </c>
      <c r="Q175" s="107"/>
      <c r="R175" s="107"/>
      <c r="S175" s="115">
        <v>0</v>
      </c>
      <c r="T175" s="73"/>
    </row>
    <row r="176" spans="1:20">
      <c r="A176" s="84">
        <v>50</v>
      </c>
      <c r="B176" s="84">
        <v>60</v>
      </c>
      <c r="C176" s="143">
        <v>104777</v>
      </c>
      <c r="D176" s="143">
        <v>575637135</v>
      </c>
      <c r="E176" s="107">
        <v>4.5987358600624036E-2</v>
      </c>
      <c r="F176" s="109">
        <v>54.939264819569182</v>
      </c>
      <c r="G176" s="114">
        <v>1.91</v>
      </c>
      <c r="H176" s="119" t="str">
        <f t="shared" si="2"/>
        <v>(50, 60]</v>
      </c>
      <c r="I176" s="110">
        <v>2</v>
      </c>
      <c r="J176" s="107">
        <v>9.1974717201248071E-2</v>
      </c>
      <c r="K176" s="107">
        <v>8.7602275214338346E-2</v>
      </c>
      <c r="L176" s="111">
        <v>87602275</v>
      </c>
      <c r="M176" s="107">
        <v>8.7602276401636425E-2</v>
      </c>
      <c r="N176" s="107">
        <v>4.8128046620265996</v>
      </c>
      <c r="O176" s="114"/>
      <c r="P176" s="107">
        <v>8.7602276401636425E-2</v>
      </c>
      <c r="Q176" s="107"/>
      <c r="R176" s="107"/>
      <c r="S176" s="115">
        <v>0</v>
      </c>
      <c r="T176" s="73"/>
    </row>
    <row r="177" spans="1:20">
      <c r="A177" s="84">
        <v>60</v>
      </c>
      <c r="B177" s="84">
        <v>70</v>
      </c>
      <c r="C177" s="143">
        <v>92873</v>
      </c>
      <c r="D177" s="143">
        <v>603037995</v>
      </c>
      <c r="E177" s="107">
        <v>4.076260968834531E-2</v>
      </c>
      <c r="F177" s="109">
        <v>64.931465011359592</v>
      </c>
      <c r="G177" s="114">
        <v>5.94</v>
      </c>
      <c r="H177" s="29" t="str">
        <f t="shared" si="2"/>
        <v>(60, 70]</v>
      </c>
      <c r="I177" s="110">
        <v>1.8</v>
      </c>
      <c r="J177" s="107">
        <v>7.3372697439021556E-2</v>
      </c>
      <c r="K177" s="107">
        <v>6.9884588176633428E-2</v>
      </c>
      <c r="L177" s="111">
        <v>69884588</v>
      </c>
      <c r="M177" s="107">
        <v>6.9884589118153428E-2</v>
      </c>
      <c r="N177" s="107">
        <v>4.5377087531586202</v>
      </c>
      <c r="O177" s="114"/>
      <c r="P177" s="107">
        <v>6.9884589118153428E-2</v>
      </c>
      <c r="Q177" s="107"/>
      <c r="R177" s="107"/>
      <c r="S177" s="115">
        <v>0</v>
      </c>
      <c r="T177" s="73"/>
    </row>
    <row r="178" spans="1:20">
      <c r="A178" s="84">
        <v>70</v>
      </c>
      <c r="B178" s="84">
        <v>80</v>
      </c>
      <c r="C178" s="143">
        <v>83293</v>
      </c>
      <c r="D178" s="143">
        <v>624248335</v>
      </c>
      <c r="E178" s="107">
        <v>3.6557880640997339E-2</v>
      </c>
      <c r="F178" s="109">
        <v>74.946074099864333</v>
      </c>
      <c r="G178" s="114">
        <v>5.07</v>
      </c>
      <c r="H178" s="29" t="str">
        <f t="shared" si="2"/>
        <v>(70, 80]</v>
      </c>
      <c r="I178" s="110">
        <v>1.6</v>
      </c>
      <c r="J178" s="107">
        <v>5.8492609025595749E-2</v>
      </c>
      <c r="K178" s="107">
        <v>5.5711893331001155E-2</v>
      </c>
      <c r="L178" s="111">
        <v>55711893</v>
      </c>
      <c r="M178" s="107">
        <v>5.57118938913903E-2</v>
      </c>
      <c r="N178" s="107">
        <v>4.1753877278279168</v>
      </c>
      <c r="O178" s="114"/>
      <c r="P178" s="107">
        <v>5.57118938913903E-2</v>
      </c>
      <c r="Q178" s="107"/>
      <c r="R178" s="107"/>
      <c r="S178" s="115">
        <v>0</v>
      </c>
      <c r="T178" s="73"/>
    </row>
    <row r="179" spans="1:20">
      <c r="A179" s="84">
        <v>80</v>
      </c>
      <c r="B179" s="84">
        <v>90</v>
      </c>
      <c r="C179" s="143">
        <v>74862</v>
      </c>
      <c r="D179" s="143">
        <v>635978325</v>
      </c>
      <c r="E179" s="107">
        <v>3.2857455735131914E-2</v>
      </c>
      <c r="F179" s="109">
        <v>84.953424300713309</v>
      </c>
      <c r="G179" s="114">
        <v>2.2400000000000002</v>
      </c>
      <c r="H179" s="29" t="str">
        <f t="shared" si="2"/>
        <v>(80, 90]</v>
      </c>
      <c r="I179" s="110">
        <v>0.8</v>
      </c>
      <c r="J179" s="107">
        <v>2.6285964588105531E-2</v>
      </c>
      <c r="K179" s="107">
        <v>2.5036340139900158E-2</v>
      </c>
      <c r="L179" s="111">
        <v>25036340</v>
      </c>
      <c r="M179" s="107">
        <v>2.5036340400581447E-2</v>
      </c>
      <c r="N179" s="107">
        <v>2.1269228489876864</v>
      </c>
      <c r="O179" s="114"/>
      <c r="P179" s="107">
        <v>2.5036340400581447E-2</v>
      </c>
      <c r="Q179" s="107"/>
      <c r="R179" s="107"/>
      <c r="S179" s="115">
        <v>0</v>
      </c>
      <c r="T179" s="73"/>
    </row>
    <row r="180" spans="1:20">
      <c r="A180" s="84">
        <v>90</v>
      </c>
      <c r="B180" s="84">
        <v>100</v>
      </c>
      <c r="C180" s="143">
        <v>67374</v>
      </c>
      <c r="D180" s="143">
        <v>639750200</v>
      </c>
      <c r="E180" s="107">
        <v>2.95709201290211E-2</v>
      </c>
      <c r="F180" s="109">
        <v>94.955056846854873</v>
      </c>
      <c r="G180" s="114">
        <v>1.91</v>
      </c>
      <c r="H180" s="29" t="str">
        <f t="shared" si="2"/>
        <v>(90, 100]</v>
      </c>
      <c r="I180" s="110">
        <v>0.8</v>
      </c>
      <c r="J180" s="107">
        <v>2.3656736103216881E-2</v>
      </c>
      <c r="K180" s="107">
        <v>2.2532104146103942E-2</v>
      </c>
      <c r="L180" s="111">
        <v>22532104</v>
      </c>
      <c r="M180" s="107">
        <v>2.2532104360513668E-2</v>
      </c>
      <c r="N180" s="107">
        <v>2.1395372504318417</v>
      </c>
      <c r="O180" s="114"/>
      <c r="P180" s="107">
        <v>2.2532104360513668E-2</v>
      </c>
      <c r="Q180" s="107"/>
      <c r="R180" s="107"/>
      <c r="S180" s="115">
        <v>0</v>
      </c>
      <c r="T180" s="73"/>
    </row>
    <row r="181" spans="1:20">
      <c r="A181" s="84">
        <v>100</v>
      </c>
      <c r="B181" s="84">
        <v>120</v>
      </c>
      <c r="C181" s="143">
        <v>117138</v>
      </c>
      <c r="D181" s="143">
        <v>1285241290</v>
      </c>
      <c r="E181" s="107">
        <v>5.1412688011299224E-2</v>
      </c>
      <c r="F181" s="109">
        <v>109.72026925506667</v>
      </c>
      <c r="G181" s="114">
        <v>2.04</v>
      </c>
      <c r="H181" s="144" t="str">
        <f t="shared" si="2"/>
        <v>(100, 120]</v>
      </c>
      <c r="I181" s="110">
        <v>0.8</v>
      </c>
      <c r="J181" s="107">
        <v>4.1130150409039383E-2</v>
      </c>
      <c r="K181" s="107">
        <v>3.9174839188207973E-2</v>
      </c>
      <c r="L181" s="111">
        <v>39174839</v>
      </c>
      <c r="M181" s="107">
        <v>3.9174839626797436E-2</v>
      </c>
      <c r="N181" s="107">
        <v>4.2982739518762703</v>
      </c>
      <c r="O181" s="114"/>
      <c r="P181" s="107">
        <v>3.9174839626797436E-2</v>
      </c>
      <c r="Q181" s="107"/>
      <c r="R181" s="107"/>
      <c r="S181" s="115">
        <v>0</v>
      </c>
      <c r="T181" s="73"/>
    </row>
    <row r="182" spans="1:20">
      <c r="A182" s="84">
        <v>120</v>
      </c>
      <c r="B182" s="84">
        <v>140</v>
      </c>
      <c r="C182" s="143">
        <v>98023</v>
      </c>
      <c r="D182" s="143">
        <v>1271812335</v>
      </c>
      <c r="E182" s="107">
        <v>4.3022980731543849E-2</v>
      </c>
      <c r="F182" s="109">
        <v>129.7463182110321</v>
      </c>
      <c r="G182" s="114">
        <v>0.94</v>
      </c>
      <c r="H182" s="29" t="str">
        <f t="shared" si="2"/>
        <v>(120, 140]</v>
      </c>
      <c r="I182" s="110">
        <v>0.8</v>
      </c>
      <c r="J182" s="107">
        <v>3.4418384585235079E-2</v>
      </c>
      <c r="K182" s="107">
        <v>3.2782148079578868E-2</v>
      </c>
      <c r="L182" s="111">
        <v>32782148</v>
      </c>
      <c r="M182" s="107">
        <v>3.2782148524514373E-2</v>
      </c>
      <c r="N182" s="107">
        <v>4.2533630741029587</v>
      </c>
      <c r="O182" s="114"/>
      <c r="P182" s="107">
        <v>3.2782148524514373E-2</v>
      </c>
      <c r="Q182" s="107"/>
      <c r="R182" s="107"/>
      <c r="S182" s="115">
        <v>0</v>
      </c>
      <c r="T182" s="73"/>
    </row>
    <row r="183" spans="1:20">
      <c r="A183" s="84">
        <v>140</v>
      </c>
      <c r="B183" s="84">
        <v>160</v>
      </c>
      <c r="C183" s="143">
        <v>83073</v>
      </c>
      <c r="D183" s="143">
        <v>1244282160</v>
      </c>
      <c r="E183" s="107">
        <v>3.6461321101287886E-2</v>
      </c>
      <c r="F183" s="109">
        <v>149.7817774728251</v>
      </c>
      <c r="G183" s="114">
        <v>1.45</v>
      </c>
      <c r="H183" s="144" t="str">
        <f t="shared" si="2"/>
        <v>(140, 160]</v>
      </c>
      <c r="I183" s="110">
        <v>1</v>
      </c>
      <c r="J183" s="107">
        <v>3.6461321101287886E-2</v>
      </c>
      <c r="K183" s="107">
        <v>3.4727964194817232E-2</v>
      </c>
      <c r="L183" s="111">
        <v>34727964</v>
      </c>
      <c r="M183" s="107">
        <v>3.4727964555647431E-2</v>
      </c>
      <c r="N183" s="107">
        <v>5.2016162591581407</v>
      </c>
      <c r="O183" s="114"/>
      <c r="P183" s="107">
        <v>3.4727964555647431E-2</v>
      </c>
      <c r="Q183" s="107"/>
      <c r="R183" s="107"/>
      <c r="S183" s="115">
        <v>0</v>
      </c>
      <c r="T183" s="73"/>
    </row>
    <row r="184" spans="1:20">
      <c r="A184" s="84">
        <v>160</v>
      </c>
      <c r="B184" s="84">
        <v>180</v>
      </c>
      <c r="C184" s="143">
        <v>71278</v>
      </c>
      <c r="D184" s="143">
        <v>1210416050</v>
      </c>
      <c r="E184" s="107">
        <v>3.1284413051865204E-2</v>
      </c>
      <c r="F184" s="109">
        <v>169.81621959089759</v>
      </c>
      <c r="G184" s="114">
        <v>0.71</v>
      </c>
      <c r="H184" s="29" t="str">
        <f t="shared" si="2"/>
        <v>(160, 180]</v>
      </c>
      <c r="I184" s="110">
        <v>0.61950000000000005</v>
      </c>
      <c r="J184" s="107">
        <v>1.9380693885630497E-2</v>
      </c>
      <c r="K184" s="107">
        <v>1.8459343298647388E-2</v>
      </c>
      <c r="L184" s="111">
        <v>18459343</v>
      </c>
      <c r="M184" s="107">
        <v>1.8459343295349494E-2</v>
      </c>
      <c r="N184" s="107">
        <v>3.1346958945468328</v>
      </c>
      <c r="O184" s="114"/>
      <c r="P184" s="107">
        <v>1.8459343295349494E-2</v>
      </c>
      <c r="Q184" s="107"/>
      <c r="R184" s="107"/>
      <c r="S184" s="115">
        <v>0</v>
      </c>
      <c r="T184" s="73"/>
    </row>
    <row r="185" spans="1:20">
      <c r="A185" s="84">
        <v>180</v>
      </c>
      <c r="B185" s="84">
        <v>200</v>
      </c>
      <c r="C185" s="143">
        <v>61850</v>
      </c>
      <c r="D185" s="143">
        <v>1174015420</v>
      </c>
      <c r="E185" s="107">
        <v>2.7146397868316487E-2</v>
      </c>
      <c r="F185" s="109">
        <v>189.81655941794662</v>
      </c>
      <c r="G185" s="114">
        <v>0.62</v>
      </c>
      <c r="H185" s="29" t="str">
        <f t="shared" si="2"/>
        <v>(180, 200]</v>
      </c>
      <c r="I185" s="110">
        <v>0.6</v>
      </c>
      <c r="J185" s="107">
        <v>1.6287838720989892E-2</v>
      </c>
      <c r="K185" s="107">
        <v>1.5513521255638622E-2</v>
      </c>
      <c r="L185" s="111">
        <v>15513521</v>
      </c>
      <c r="M185" s="107">
        <v>1.551352124821634E-2</v>
      </c>
      <c r="N185" s="107">
        <v>2.9447232277936344</v>
      </c>
      <c r="O185" s="114"/>
      <c r="P185" s="107">
        <v>1.551352124821634E-2</v>
      </c>
      <c r="Q185" s="107"/>
      <c r="R185" s="107"/>
      <c r="S185" s="115">
        <v>0</v>
      </c>
      <c r="T185" s="73"/>
    </row>
    <row r="186" spans="1:20">
      <c r="A186" s="84">
        <v>200</v>
      </c>
      <c r="B186" s="84">
        <v>250</v>
      </c>
      <c r="C186" s="143">
        <v>123505</v>
      </c>
      <c r="D186" s="143">
        <v>2763375860</v>
      </c>
      <c r="E186" s="107">
        <v>5.4207208871890511E-2</v>
      </c>
      <c r="F186" s="109">
        <v>223.7460718189547</v>
      </c>
      <c r="G186" s="114">
        <v>0.5</v>
      </c>
      <c r="H186" s="29" t="str">
        <f t="shared" si="2"/>
        <v>(200, 250]</v>
      </c>
      <c r="I186" s="110">
        <v>0.5</v>
      </c>
      <c r="J186" s="107">
        <v>2.7103604435945255E-2</v>
      </c>
      <c r="K186" s="107">
        <v>2.5815109710019511E-2</v>
      </c>
      <c r="L186" s="111">
        <v>25815109</v>
      </c>
      <c r="M186" s="107">
        <v>2.5815109413041749E-2</v>
      </c>
      <c r="N186" s="107">
        <v>5.7760293247446128</v>
      </c>
      <c r="O186" s="114"/>
      <c r="P186" s="107">
        <v>2.5815109413041749E-2</v>
      </c>
      <c r="Q186" s="107"/>
      <c r="R186" s="107"/>
      <c r="S186" s="115">
        <v>0</v>
      </c>
      <c r="T186" s="73"/>
    </row>
    <row r="187" spans="1:20">
      <c r="A187" s="84">
        <v>250</v>
      </c>
      <c r="B187" s="84">
        <v>300</v>
      </c>
      <c r="C187" s="143">
        <v>91171</v>
      </c>
      <c r="D187" s="143">
        <v>2497132705</v>
      </c>
      <c r="E187" s="107">
        <v>4.0015589976593088E-2</v>
      </c>
      <c r="F187" s="109">
        <v>273.89550460124383</v>
      </c>
      <c r="G187" s="114">
        <v>0.21</v>
      </c>
      <c r="H187" s="29" t="str">
        <f t="shared" si="2"/>
        <v>(250, 300]</v>
      </c>
      <c r="I187" s="110">
        <v>0.09</v>
      </c>
      <c r="J187" s="107">
        <v>3.6014030978933778E-3</v>
      </c>
      <c r="K187" s="107">
        <v>3.4301938069470385E-3</v>
      </c>
      <c r="L187" s="111">
        <v>3430193</v>
      </c>
      <c r="M187" s="107">
        <v>3.4301930548830887E-3</v>
      </c>
      <c r="N187" s="107">
        <v>0.93951445764688568</v>
      </c>
      <c r="O187" s="114"/>
      <c r="P187" s="107">
        <v>3.4301930548830887E-3</v>
      </c>
      <c r="Q187" s="107"/>
      <c r="R187" s="107"/>
      <c r="S187" s="115">
        <v>0</v>
      </c>
      <c r="T187" s="73"/>
    </row>
    <row r="188" spans="1:20">
      <c r="A188" s="84">
        <v>300</v>
      </c>
      <c r="B188" s="84">
        <v>350</v>
      </c>
      <c r="C188" s="143">
        <v>70283</v>
      </c>
      <c r="D188" s="143">
        <v>2277474765</v>
      </c>
      <c r="E188" s="107">
        <v>3.0847700588179268E-2</v>
      </c>
      <c r="F188" s="109">
        <v>324.04347637408762</v>
      </c>
      <c r="G188" s="114">
        <v>0.19</v>
      </c>
      <c r="H188" s="29" t="str">
        <f t="shared" si="2"/>
        <v>(300, 350]</v>
      </c>
      <c r="I188" s="110">
        <v>0.28000000000000003</v>
      </c>
      <c r="J188" s="107">
        <v>8.6373561646901961E-3</v>
      </c>
      <c r="K188" s="107">
        <v>8.2267396398494706E-3</v>
      </c>
      <c r="L188" s="111">
        <v>8226739</v>
      </c>
      <c r="M188" s="107">
        <v>8.226739131627827E-3</v>
      </c>
      <c r="N188" s="107">
        <v>2.6658211474354236</v>
      </c>
      <c r="O188" s="114"/>
      <c r="P188" s="107">
        <v>8.226739131627827E-3</v>
      </c>
      <c r="Q188" s="107"/>
      <c r="R188" s="107"/>
      <c r="S188" s="115">
        <v>0</v>
      </c>
      <c r="T188" s="73"/>
    </row>
    <row r="189" spans="1:20">
      <c r="A189" s="84">
        <v>350</v>
      </c>
      <c r="B189" s="84">
        <v>400</v>
      </c>
      <c r="C189" s="143">
        <v>54191</v>
      </c>
      <c r="D189" s="143">
        <v>2026990150</v>
      </c>
      <c r="E189" s="107">
        <v>2.3784809165431509E-2</v>
      </c>
      <c r="F189" s="109">
        <v>374.04553339115353</v>
      </c>
      <c r="G189" s="114">
        <v>0.01</v>
      </c>
      <c r="H189" s="29" t="str">
        <f t="shared" si="2"/>
        <v>(350, 400]</v>
      </c>
      <c r="I189" s="110">
        <v>0.08</v>
      </c>
      <c r="J189" s="107">
        <v>1.9027847332345209E-3</v>
      </c>
      <c r="K189" s="107">
        <v>1.8123270932132853E-3</v>
      </c>
      <c r="L189" s="111">
        <v>1812327</v>
      </c>
      <c r="M189" s="107">
        <v>1.8123270289972324E-3</v>
      </c>
      <c r="N189" s="107">
        <v>0.67789283024047442</v>
      </c>
      <c r="O189" s="114"/>
      <c r="P189" s="107">
        <v>1.8123270289972324E-3</v>
      </c>
      <c r="Q189" s="107"/>
      <c r="R189" s="107"/>
      <c r="S189" s="115">
        <v>0</v>
      </c>
      <c r="T189" s="73"/>
    </row>
    <row r="190" spans="1:20">
      <c r="A190" s="84">
        <v>400</v>
      </c>
      <c r="B190" s="84">
        <v>450</v>
      </c>
      <c r="C190" s="143">
        <v>43300</v>
      </c>
      <c r="D190" s="143">
        <v>1836158150</v>
      </c>
      <c r="E190" s="107">
        <v>1.9004673042814939E-2</v>
      </c>
      <c r="F190" s="109">
        <v>424.05500000000001</v>
      </c>
      <c r="G190" s="114">
        <v>0.01</v>
      </c>
      <c r="H190" s="29" t="str">
        <f t="shared" si="2"/>
        <v>(400, 450]</v>
      </c>
      <c r="I190" s="110">
        <v>0.08</v>
      </c>
      <c r="J190" s="107">
        <v>1.5203738434251951E-3</v>
      </c>
      <c r="K190" s="107">
        <v>1.448095867139105E-3</v>
      </c>
      <c r="L190" s="111">
        <v>1448095</v>
      </c>
      <c r="M190" s="107">
        <v>1.4480950231695203E-3</v>
      </c>
      <c r="N190" s="107">
        <v>0.6140719350501509</v>
      </c>
      <c r="O190" s="114"/>
      <c r="P190" s="107">
        <v>1.4480950231695203E-3</v>
      </c>
      <c r="Q190" s="107"/>
      <c r="R190" s="107"/>
      <c r="S190" s="115">
        <v>0</v>
      </c>
      <c r="T190" s="73"/>
    </row>
    <row r="191" spans="1:20">
      <c r="A191" s="84">
        <v>450</v>
      </c>
      <c r="B191" s="84">
        <v>500</v>
      </c>
      <c r="C191" s="143">
        <v>35047</v>
      </c>
      <c r="D191" s="143">
        <v>1661604835</v>
      </c>
      <c r="E191" s="107">
        <v>1.5382373582714439E-2</v>
      </c>
      <c r="F191" s="109">
        <v>474.10757982138267</v>
      </c>
      <c r="G191" s="114">
        <v>0.01</v>
      </c>
      <c r="H191" s="29" t="str">
        <f t="shared" si="2"/>
        <v>(450, 500]</v>
      </c>
      <c r="I191" s="110">
        <v>0.08</v>
      </c>
      <c r="J191" s="107">
        <v>1.2305898866171552E-3</v>
      </c>
      <c r="K191" s="107">
        <v>1.1720881259959404E-3</v>
      </c>
      <c r="L191" s="111">
        <v>1172088</v>
      </c>
      <c r="M191" s="107">
        <v>1.1720880187534083E-3</v>
      </c>
      <c r="N191" s="107">
        <v>0.55569581390881784</v>
      </c>
      <c r="O191" s="114"/>
      <c r="P191" s="107">
        <v>1.1720880187534083E-3</v>
      </c>
      <c r="Q191" s="107"/>
      <c r="R191" s="107"/>
      <c r="S191" s="115">
        <v>0</v>
      </c>
      <c r="T191" s="73"/>
    </row>
    <row r="192" spans="1:20">
      <c r="A192" s="84">
        <v>500</v>
      </c>
      <c r="B192" s="84">
        <v>550</v>
      </c>
      <c r="C192" s="143">
        <v>28158</v>
      </c>
      <c r="D192" s="143">
        <v>1476232245</v>
      </c>
      <c r="E192" s="107">
        <v>1.2358743268812542E-2</v>
      </c>
      <c r="F192" s="109">
        <v>524.26743554229699</v>
      </c>
      <c r="G192" s="114">
        <v>0.01</v>
      </c>
      <c r="H192" s="29" t="str">
        <f t="shared" si="2"/>
        <v>(500, 550]</v>
      </c>
      <c r="I192" s="110">
        <v>0.25</v>
      </c>
      <c r="J192" s="107">
        <v>3.0896858172031355E-3</v>
      </c>
      <c r="K192" s="107">
        <v>2.9428033651055807E-3</v>
      </c>
      <c r="L192" s="111">
        <v>2942803</v>
      </c>
      <c r="M192" s="107">
        <v>2.942803047084849E-3</v>
      </c>
      <c r="N192" s="107">
        <v>1.5428158068012312</v>
      </c>
      <c r="O192" s="114"/>
      <c r="P192" s="107">
        <v>2.942803047084849E-3</v>
      </c>
      <c r="Q192" s="107"/>
      <c r="R192" s="107"/>
      <c r="S192" s="115">
        <v>0</v>
      </c>
      <c r="T192" s="73"/>
    </row>
    <row r="193" spans="1:20">
      <c r="A193" s="84">
        <v>550</v>
      </c>
      <c r="B193" s="84">
        <v>600</v>
      </c>
      <c r="C193" s="143">
        <v>23509</v>
      </c>
      <c r="D193" s="143">
        <v>1350228635</v>
      </c>
      <c r="E193" s="107">
        <v>1.0318264631952342E-2</v>
      </c>
      <c r="F193" s="109">
        <v>574.34541452209794</v>
      </c>
      <c r="G193" s="114">
        <v>0.01</v>
      </c>
      <c r="H193" s="29" t="str">
        <f t="shared" si="2"/>
        <v>(550, 600]</v>
      </c>
      <c r="I193" s="110">
        <v>5.5E-2</v>
      </c>
      <c r="J193" s="107">
        <v>5.6750455475737885E-4</v>
      </c>
      <c r="K193" s="107">
        <v>5.4052561077699986E-4</v>
      </c>
      <c r="L193" s="111">
        <v>540525</v>
      </c>
      <c r="M193" s="107">
        <v>5.4052500864840017E-4</v>
      </c>
      <c r="N193" s="107">
        <v>0.31044806015172599</v>
      </c>
      <c r="O193" s="114"/>
      <c r="P193" s="107">
        <v>5.4052500864840017E-4</v>
      </c>
      <c r="Q193" s="107"/>
      <c r="R193" s="107"/>
      <c r="S193" s="115">
        <v>0</v>
      </c>
      <c r="T193" s="73"/>
    </row>
    <row r="194" spans="1:20">
      <c r="A194" s="84">
        <v>600</v>
      </c>
      <c r="B194" s="84">
        <v>650</v>
      </c>
      <c r="C194" s="143">
        <v>19576</v>
      </c>
      <c r="D194" s="143">
        <v>1222197930</v>
      </c>
      <c r="E194" s="107">
        <v>8.5920434061465406E-3</v>
      </c>
      <c r="F194" s="109">
        <v>624.33486411932984</v>
      </c>
      <c r="G194" s="114">
        <v>0.01</v>
      </c>
      <c r="H194" s="29" t="str">
        <f t="shared" si="2"/>
        <v>(600, 650]</v>
      </c>
      <c r="I194" s="110">
        <v>5.5E-2</v>
      </c>
      <c r="J194" s="107">
        <v>4.7256238733805973E-4</v>
      </c>
      <c r="K194" s="107">
        <v>4.5009695676424122E-4</v>
      </c>
      <c r="L194" s="111">
        <v>450096</v>
      </c>
      <c r="M194" s="107">
        <v>4.5009600720153612E-4</v>
      </c>
      <c r="N194" s="107">
        <v>0.28101062949682393</v>
      </c>
      <c r="O194" s="114"/>
      <c r="P194" s="107">
        <v>4.5009600720153612E-4</v>
      </c>
      <c r="Q194" s="107"/>
      <c r="R194" s="107"/>
      <c r="S194" s="115">
        <v>0</v>
      </c>
      <c r="T194" s="73"/>
    </row>
    <row r="195" spans="1:20">
      <c r="A195" s="84">
        <v>650</v>
      </c>
      <c r="B195" s="84">
        <v>700</v>
      </c>
      <c r="C195" s="143">
        <v>16323</v>
      </c>
      <c r="D195" s="143">
        <v>1100626695</v>
      </c>
      <c r="E195" s="107">
        <v>7.1642789394426847E-3</v>
      </c>
      <c r="F195" s="109">
        <v>674.27966366476755</v>
      </c>
      <c r="G195" s="114">
        <v>0.01</v>
      </c>
      <c r="H195" s="29" t="str">
        <f t="shared" si="2"/>
        <v>(650, 700]</v>
      </c>
      <c r="I195" s="110">
        <v>0.06</v>
      </c>
      <c r="J195" s="107">
        <v>4.2985673636656104E-4</v>
      </c>
      <c r="K195" s="107">
        <v>4.0942151569246441E-4</v>
      </c>
      <c r="L195" s="111">
        <v>409421</v>
      </c>
      <c r="M195" s="107">
        <v>4.0942100655073612E-4</v>
      </c>
      <c r="N195" s="107">
        <v>0.27606425859432093</v>
      </c>
      <c r="O195" s="114"/>
      <c r="P195" s="107">
        <v>4.0942100655073612E-4</v>
      </c>
      <c r="Q195" s="107"/>
      <c r="R195" s="107"/>
      <c r="S195" s="115">
        <v>0</v>
      </c>
      <c r="T195" s="73"/>
    </row>
    <row r="196" spans="1:20">
      <c r="A196" s="84">
        <v>700</v>
      </c>
      <c r="B196" s="84">
        <v>750</v>
      </c>
      <c r="C196" s="143">
        <v>13958</v>
      </c>
      <c r="D196" s="143">
        <v>1010893865</v>
      </c>
      <c r="E196" s="107">
        <v>6.1262638875660717E-3</v>
      </c>
      <c r="F196" s="109">
        <v>724.23976572574873</v>
      </c>
      <c r="G196" s="114">
        <v>0.01</v>
      </c>
      <c r="H196" s="29" t="str">
        <f t="shared" si="2"/>
        <v>(700, 750]</v>
      </c>
      <c r="I196" s="110">
        <v>0.06</v>
      </c>
      <c r="J196" s="107">
        <v>3.6757583325396428E-4</v>
      </c>
      <c r="K196" s="107">
        <v>3.5010142228973949E-4</v>
      </c>
      <c r="L196" s="111">
        <v>350101</v>
      </c>
      <c r="M196" s="107">
        <v>3.5010100560161608E-4</v>
      </c>
      <c r="N196" s="107">
        <v>0.25355707027726349</v>
      </c>
      <c r="O196" s="114"/>
      <c r="P196" s="107">
        <v>3.5010100560161608E-4</v>
      </c>
      <c r="Q196" s="107"/>
      <c r="R196" s="107"/>
      <c r="S196" s="115">
        <v>0</v>
      </c>
      <c r="T196" s="73"/>
    </row>
    <row r="197" spans="1:20">
      <c r="A197" s="84">
        <v>750</v>
      </c>
      <c r="B197" s="84">
        <v>800</v>
      </c>
      <c r="C197" s="143">
        <v>11691</v>
      </c>
      <c r="D197" s="143">
        <v>905166865</v>
      </c>
      <c r="E197" s="107">
        <v>5.1312617215600338E-3</v>
      </c>
      <c r="F197" s="109">
        <v>774.24246428876916</v>
      </c>
      <c r="G197" s="114">
        <v>0.01</v>
      </c>
      <c r="H197" s="29" t="str">
        <f t="shared" si="2"/>
        <v>(750, 800]</v>
      </c>
      <c r="I197" s="110">
        <v>0.06</v>
      </c>
      <c r="J197" s="107">
        <v>3.07875703293602E-4</v>
      </c>
      <c r="K197" s="107">
        <v>2.9323941309566877E-4</v>
      </c>
      <c r="L197" s="111">
        <v>293239</v>
      </c>
      <c r="M197" s="107">
        <v>2.9323900469182407E-4</v>
      </c>
      <c r="N197" s="107">
        <v>0.22703808961818381</v>
      </c>
      <c r="O197" s="114"/>
      <c r="P197" s="107">
        <v>2.9323900469182407E-4</v>
      </c>
      <c r="Q197" s="107"/>
      <c r="R197" s="107"/>
      <c r="S197" s="115">
        <v>0</v>
      </c>
      <c r="T197" s="73"/>
    </row>
    <row r="198" spans="1:20">
      <c r="A198" s="84">
        <v>800</v>
      </c>
      <c r="B198" s="84">
        <v>850</v>
      </c>
      <c r="C198" s="143">
        <v>10300</v>
      </c>
      <c r="D198" s="143">
        <v>849158805</v>
      </c>
      <c r="E198" s="107">
        <v>4.5207420863970869E-3</v>
      </c>
      <c r="F198" s="109">
        <v>824.42602427184465</v>
      </c>
      <c r="G198" s="114">
        <v>0.01</v>
      </c>
      <c r="H198" s="29" t="str">
        <f t="shared" si="2"/>
        <v>(800, 850]</v>
      </c>
      <c r="I198" s="110">
        <v>6.5000000000000002E-2</v>
      </c>
      <c r="J198" s="107">
        <v>2.9384823561581064E-4</v>
      </c>
      <c r="K198" s="107">
        <v>2.7987880573026295E-4</v>
      </c>
      <c r="L198" s="111">
        <v>279878</v>
      </c>
      <c r="M198" s="107">
        <v>2.7987800447804809E-4</v>
      </c>
      <c r="N198" s="107">
        <v>0.23073871051297473</v>
      </c>
      <c r="O198" s="114"/>
      <c r="P198" s="107">
        <v>2.7987800447804809E-4</v>
      </c>
      <c r="Q198" s="107"/>
      <c r="R198" s="107"/>
      <c r="S198" s="115">
        <v>0</v>
      </c>
      <c r="T198" s="73"/>
    </row>
    <row r="199" spans="1:20">
      <c r="A199" s="84">
        <v>850</v>
      </c>
      <c r="B199" s="84">
        <v>900</v>
      </c>
      <c r="C199" s="143">
        <v>8545</v>
      </c>
      <c r="D199" s="143">
        <v>747239950</v>
      </c>
      <c r="E199" s="107">
        <v>3.7504603037148651E-3</v>
      </c>
      <c r="F199" s="109">
        <v>874.47624341720302</v>
      </c>
      <c r="G199" s="114">
        <v>0.01</v>
      </c>
      <c r="H199" s="29" t="str">
        <f t="shared" si="2"/>
        <v>(850, 900]</v>
      </c>
      <c r="I199" s="110">
        <v>7.0000000000000007E-2</v>
      </c>
      <c r="J199" s="107">
        <v>2.6253222126004056E-4</v>
      </c>
      <c r="K199" s="107">
        <v>2.5005154241606692E-4</v>
      </c>
      <c r="L199" s="112">
        <v>250051</v>
      </c>
      <c r="M199" s="107">
        <v>2.5005100400081606E-4</v>
      </c>
      <c r="N199" s="107">
        <v>0.21866366264133363</v>
      </c>
      <c r="O199" s="114"/>
      <c r="P199" s="107">
        <v>2.5005100400081606E-4</v>
      </c>
      <c r="Q199" s="107"/>
      <c r="R199" s="107"/>
      <c r="S199" s="115">
        <v>0</v>
      </c>
      <c r="T199" s="73"/>
    </row>
    <row r="200" spans="1:20">
      <c r="A200" s="84">
        <v>900</v>
      </c>
      <c r="B200" s="84">
        <v>950</v>
      </c>
      <c r="C200" s="143">
        <v>7531</v>
      </c>
      <c r="D200" s="143">
        <v>696264460</v>
      </c>
      <c r="E200" s="107">
        <v>3.3054086070540257E-3</v>
      </c>
      <c r="F200" s="109">
        <v>924.53121763378033</v>
      </c>
      <c r="G200" s="114">
        <v>0.01</v>
      </c>
      <c r="H200" s="29" t="str">
        <f t="shared" si="2"/>
        <v>(900, 950]</v>
      </c>
      <c r="I200" s="110">
        <v>7.4999999999999997E-2</v>
      </c>
      <c r="J200" s="107">
        <v>2.479056455290519E-4</v>
      </c>
      <c r="K200" s="107">
        <v>2.3612030835936634E-4</v>
      </c>
      <c r="L200" s="112">
        <v>236120</v>
      </c>
      <c r="M200" s="107">
        <v>2.3612000377792007E-4</v>
      </c>
      <c r="N200" s="107">
        <v>0.21830031460049326</v>
      </c>
      <c r="O200" s="114"/>
      <c r="P200" s="107">
        <v>2.3612000377792007E-4</v>
      </c>
      <c r="Q200" s="107"/>
      <c r="R200" s="107"/>
      <c r="S200" s="115">
        <v>0</v>
      </c>
      <c r="T200" s="73"/>
    </row>
    <row r="201" spans="1:20">
      <c r="A201" s="84">
        <v>950</v>
      </c>
      <c r="B201" s="84">
        <v>1000</v>
      </c>
      <c r="C201" s="143">
        <v>6522</v>
      </c>
      <c r="D201" s="143">
        <v>635506350</v>
      </c>
      <c r="E201" s="107">
        <v>2.8625514453865827E-3</v>
      </c>
      <c r="F201" s="109">
        <v>974.4040938362466</v>
      </c>
      <c r="G201" s="114">
        <v>0.01</v>
      </c>
      <c r="H201" s="29" t="str">
        <f t="shared" si="2"/>
        <v>(950, 1000]</v>
      </c>
      <c r="I201" s="110">
        <v>0.08</v>
      </c>
      <c r="J201" s="107">
        <v>2.2900411563092662E-4</v>
      </c>
      <c r="K201" s="107">
        <v>2.181173497801673E-4</v>
      </c>
      <c r="L201" s="112">
        <v>218117</v>
      </c>
      <c r="M201" s="107">
        <v>2.1811700348987206E-4</v>
      </c>
      <c r="N201" s="107">
        <v>0.21253410113582621</v>
      </c>
      <c r="O201" s="114"/>
      <c r="P201" s="107">
        <v>2.1811700348987206E-4</v>
      </c>
      <c r="Q201" s="107"/>
      <c r="R201" s="107"/>
      <c r="S201" s="115">
        <v>0</v>
      </c>
      <c r="T201" s="73"/>
    </row>
    <row r="202" spans="1:20">
      <c r="A202" s="84">
        <v>1000</v>
      </c>
      <c r="B202" s="84">
        <v>2000</v>
      </c>
      <c r="C202" s="143">
        <v>45431</v>
      </c>
      <c r="D202" s="143">
        <v>6016529675</v>
      </c>
      <c r="E202" s="107">
        <v>1.993998385700059E-2</v>
      </c>
      <c r="F202" s="109">
        <v>1324.322527569281</v>
      </c>
      <c r="G202" s="114">
        <v>0.01</v>
      </c>
      <c r="H202" s="29" t="str">
        <f t="shared" si="2"/>
        <v>(1000, 2000]</v>
      </c>
      <c r="I202" s="110">
        <v>0.01</v>
      </c>
      <c r="J202" s="107">
        <v>1.9939983857000589E-4</v>
      </c>
      <c r="K202" s="107">
        <v>1.8992044844109898E-4</v>
      </c>
      <c r="L202" s="112">
        <v>189920</v>
      </c>
      <c r="M202" s="107">
        <v>1.8992000303872004E-4</v>
      </c>
      <c r="N202" s="107">
        <v>0.25151533846020324</v>
      </c>
      <c r="O202" s="114"/>
      <c r="P202" s="107">
        <v>1.8992000303872004E-4</v>
      </c>
      <c r="Q202" s="107"/>
      <c r="R202" s="107"/>
      <c r="S202" s="115">
        <v>0</v>
      </c>
      <c r="T202" s="73"/>
    </row>
    <row r="203" spans="1:20">
      <c r="A203" s="84">
        <v>2000</v>
      </c>
      <c r="B203" s="84">
        <v>3000</v>
      </c>
      <c r="C203" s="143">
        <v>6086</v>
      </c>
      <c r="D203" s="143">
        <v>1439400455</v>
      </c>
      <c r="E203" s="107">
        <v>2.6711879939623952E-3</v>
      </c>
      <c r="F203" s="109">
        <v>2365.1009776536316</v>
      </c>
      <c r="G203" s="114">
        <v>0</v>
      </c>
      <c r="H203" s="29" t="str">
        <f t="shared" si="2"/>
        <v>(2000, 3000]</v>
      </c>
      <c r="I203" s="110">
        <v>1E-3</v>
      </c>
      <c r="J203" s="107">
        <v>2.6711879939623953E-6</v>
      </c>
      <c r="K203" s="107">
        <v>2.5442007642634509E-6</v>
      </c>
      <c r="L203" s="112">
        <v>2544</v>
      </c>
      <c r="M203" s="107">
        <v>2.5440000407040007E-6</v>
      </c>
      <c r="N203" s="107">
        <v>6.016816983419911E-3</v>
      </c>
      <c r="O203" s="114"/>
      <c r="P203" s="107">
        <v>2.5440000407040007E-6</v>
      </c>
      <c r="Q203" s="107"/>
      <c r="R203" s="107"/>
      <c r="S203" s="115">
        <v>0</v>
      </c>
    </row>
    <row r="204" spans="1:20">
      <c r="A204" s="84">
        <v>3000</v>
      </c>
      <c r="B204" s="84">
        <v>4000</v>
      </c>
      <c r="C204" s="143">
        <v>1330</v>
      </c>
      <c r="D204" s="143">
        <v>451295940</v>
      </c>
      <c r="E204" s="107">
        <v>5.8374630824350733E-4</v>
      </c>
      <c r="F204" s="109">
        <v>3393.2025563909779</v>
      </c>
      <c r="G204" s="114">
        <v>0</v>
      </c>
      <c r="H204" s="29" t="str">
        <f t="shared" si="2"/>
        <v>(3000, 4000]</v>
      </c>
      <c r="I204" s="110">
        <v>0</v>
      </c>
      <c r="J204" s="107">
        <v>0</v>
      </c>
      <c r="K204" s="107">
        <v>0</v>
      </c>
      <c r="L204" s="112">
        <v>0</v>
      </c>
      <c r="M204" s="107">
        <v>0</v>
      </c>
      <c r="N204" s="107">
        <v>0</v>
      </c>
      <c r="O204" s="114"/>
      <c r="P204" s="107">
        <v>0</v>
      </c>
      <c r="Q204" s="107"/>
      <c r="R204" s="107"/>
      <c r="S204" s="115">
        <v>0</v>
      </c>
    </row>
    <row r="205" spans="1:20">
      <c r="A205" s="84">
        <v>4000</v>
      </c>
      <c r="B205" s="84">
        <v>5000</v>
      </c>
      <c r="C205" s="143">
        <v>361</v>
      </c>
      <c r="D205" s="143">
        <v>158982415</v>
      </c>
      <c r="E205" s="107">
        <v>1.5844542652323771E-4</v>
      </c>
      <c r="F205" s="109">
        <v>4403.9450138504153</v>
      </c>
      <c r="G205" s="114">
        <v>0.01</v>
      </c>
      <c r="H205" s="29" t="str">
        <f t="shared" si="2"/>
        <v>(4000, 5000]</v>
      </c>
      <c r="I205" s="110">
        <v>0</v>
      </c>
      <c r="J205" s="107">
        <v>0</v>
      </c>
      <c r="K205" s="107">
        <v>0</v>
      </c>
      <c r="L205" s="112">
        <v>0</v>
      </c>
      <c r="M205" s="107">
        <v>0</v>
      </c>
      <c r="N205" s="107">
        <v>0</v>
      </c>
      <c r="O205" s="114"/>
      <c r="P205" s="107">
        <v>0</v>
      </c>
      <c r="Q205" s="107"/>
      <c r="R205" s="107"/>
      <c r="S205" s="115">
        <v>0</v>
      </c>
    </row>
    <row r="206" spans="1:20">
      <c r="A206" s="84">
        <v>5000</v>
      </c>
      <c r="B206" s="84">
        <v>6000</v>
      </c>
      <c r="C206" s="143">
        <v>133</v>
      </c>
      <c r="D206" s="143">
        <v>72027630</v>
      </c>
      <c r="E206" s="107">
        <v>5.8374630824350737E-5</v>
      </c>
      <c r="F206" s="109">
        <v>5415.611278195488</v>
      </c>
      <c r="G206" s="114">
        <v>0.01</v>
      </c>
      <c r="H206" s="29" t="str">
        <f t="shared" si="2"/>
        <v>(5000, 6000]</v>
      </c>
      <c r="I206" s="110">
        <v>0</v>
      </c>
      <c r="J206" s="107">
        <v>0</v>
      </c>
      <c r="K206" s="107">
        <v>0</v>
      </c>
      <c r="L206" s="112">
        <v>0</v>
      </c>
      <c r="M206" s="107">
        <v>0</v>
      </c>
      <c r="N206" s="107">
        <v>0</v>
      </c>
      <c r="O206" s="114"/>
      <c r="P206" s="107">
        <v>0</v>
      </c>
      <c r="Q206" s="107"/>
      <c r="R206" s="107"/>
      <c r="S206" s="115">
        <v>0</v>
      </c>
    </row>
    <row r="207" spans="1:20">
      <c r="A207" s="84">
        <v>6000</v>
      </c>
      <c r="B207" s="84">
        <v>7000</v>
      </c>
      <c r="C207" s="143">
        <v>48</v>
      </c>
      <c r="D207" s="143">
        <v>30871890</v>
      </c>
      <c r="E207" s="107">
        <v>2.1067535936607783E-5</v>
      </c>
      <c r="F207" s="109">
        <v>6431.6437500000002</v>
      </c>
      <c r="G207" s="114">
        <v>0.01</v>
      </c>
      <c r="H207" s="29" t="str">
        <f t="shared" si="2"/>
        <v>(6000, 7000]</v>
      </c>
      <c r="I207" s="110">
        <v>0</v>
      </c>
      <c r="J207" s="107">
        <v>0</v>
      </c>
      <c r="K207" s="107">
        <v>0</v>
      </c>
      <c r="L207" s="112">
        <v>0</v>
      </c>
      <c r="M207" s="107">
        <v>0</v>
      </c>
      <c r="N207" s="107">
        <v>0</v>
      </c>
      <c r="O207" s="114"/>
      <c r="P207" s="107">
        <v>0</v>
      </c>
      <c r="Q207" s="107"/>
      <c r="R207" s="107"/>
      <c r="S207" s="115">
        <v>0</v>
      </c>
    </row>
    <row r="208" spans="1:20">
      <c r="A208" s="84">
        <v>7000</v>
      </c>
      <c r="B208" s="84">
        <v>8000</v>
      </c>
      <c r="C208" s="143">
        <v>27</v>
      </c>
      <c r="D208" s="143">
        <v>20035630</v>
      </c>
      <c r="E208" s="107">
        <v>1.1850488964341879E-5</v>
      </c>
      <c r="F208" s="109">
        <v>7420.6037037037031</v>
      </c>
      <c r="G208" s="114">
        <v>0.01</v>
      </c>
      <c r="H208" s="29" t="str">
        <f t="shared" si="2"/>
        <v>(7000, 8000]</v>
      </c>
      <c r="I208" s="110">
        <v>2.0000000000000002E-5</v>
      </c>
      <c r="J208" s="107">
        <v>2.3700977928683759E-10</v>
      </c>
      <c r="K208" s="107">
        <v>2.2574242732538015E-10</v>
      </c>
      <c r="L208" s="112">
        <v>0</v>
      </c>
      <c r="M208" s="107">
        <v>0</v>
      </c>
      <c r="N208" s="107">
        <v>0</v>
      </c>
      <c r="O208" s="114"/>
      <c r="P208" s="107">
        <v>0</v>
      </c>
      <c r="Q208" s="107"/>
      <c r="R208" s="107"/>
      <c r="S208" s="115">
        <v>0</v>
      </c>
    </row>
    <row r="209" spans="1:19">
      <c r="A209" s="84">
        <v>8000</v>
      </c>
      <c r="B209" s="84">
        <v>9000</v>
      </c>
      <c r="C209" s="143">
        <v>19</v>
      </c>
      <c r="D209" s="143">
        <v>15872480</v>
      </c>
      <c r="E209" s="107">
        <v>8.3392329749072486E-6</v>
      </c>
      <c r="F209" s="109">
        <v>8353.9368421052623</v>
      </c>
      <c r="G209" s="114">
        <v>0.01</v>
      </c>
      <c r="H209" s="29" t="str">
        <f t="shared" si="2"/>
        <v>(8000, 9000]</v>
      </c>
      <c r="I209" s="110">
        <v>4.0000000000000003E-5</v>
      </c>
      <c r="J209" s="107">
        <v>3.3356931899628998E-10</v>
      </c>
      <c r="K209" s="107">
        <v>3.1771156438386839E-10</v>
      </c>
      <c r="L209" s="112">
        <v>0</v>
      </c>
      <c r="M209" s="107">
        <v>0</v>
      </c>
      <c r="N209" s="107">
        <v>0</v>
      </c>
      <c r="O209" s="114"/>
      <c r="P209" s="107">
        <v>0</v>
      </c>
      <c r="Q209" s="107"/>
      <c r="R209" s="107"/>
      <c r="S209" s="115">
        <v>0</v>
      </c>
    </row>
    <row r="210" spans="1:19">
      <c r="A210" s="84">
        <v>9000</v>
      </c>
      <c r="B210" s="84">
        <v>10000</v>
      </c>
      <c r="C210" s="143">
        <v>11</v>
      </c>
      <c r="D210" s="143">
        <v>10382895</v>
      </c>
      <c r="E210" s="107">
        <v>4.8279769854726173E-6</v>
      </c>
      <c r="F210" s="109">
        <v>9438.9954545454548</v>
      </c>
      <c r="G210" s="114">
        <v>0.01</v>
      </c>
      <c r="H210" s="29" t="str">
        <f t="shared" si="2"/>
        <v>(9000, 10000]</v>
      </c>
      <c r="I210" s="110">
        <v>8.0000000000000007E-5</v>
      </c>
      <c r="J210" s="107">
        <v>3.862381588378094E-10</v>
      </c>
      <c r="K210" s="107">
        <v>3.6787654823395281E-10</v>
      </c>
      <c r="L210" s="112">
        <v>0</v>
      </c>
      <c r="M210" s="107">
        <v>0</v>
      </c>
      <c r="N210" s="107">
        <v>0</v>
      </c>
      <c r="O210" s="114"/>
      <c r="P210" s="107">
        <v>0</v>
      </c>
      <c r="Q210" s="107"/>
      <c r="R210" s="107"/>
      <c r="S210" s="115">
        <v>0</v>
      </c>
    </row>
    <row r="211" spans="1:19">
      <c r="A211" s="84">
        <v>10000</v>
      </c>
      <c r="B211" s="84">
        <v>20000</v>
      </c>
      <c r="C211" s="143">
        <v>12</v>
      </c>
      <c r="D211" s="143">
        <v>14267885</v>
      </c>
      <c r="E211" s="107">
        <v>5.2668839841519457E-6</v>
      </c>
      <c r="F211" s="109">
        <v>11889.904166666667</v>
      </c>
      <c r="G211" s="114">
        <v>0.01</v>
      </c>
      <c r="H211" s="29" t="str">
        <f t="shared" si="2"/>
        <v>(10000, 20000]</v>
      </c>
      <c r="I211" s="110">
        <v>8.0000000000000007E-5</v>
      </c>
      <c r="J211" s="107">
        <v>4.2135071873215567E-10</v>
      </c>
      <c r="K211" s="107">
        <v>4.0131987080067574E-10</v>
      </c>
      <c r="L211" s="112">
        <v>0</v>
      </c>
      <c r="M211" s="107">
        <v>0</v>
      </c>
      <c r="N211" s="107">
        <v>0</v>
      </c>
      <c r="O211" s="114"/>
      <c r="P211" s="107">
        <v>0</v>
      </c>
      <c r="Q211" s="107"/>
      <c r="R211" s="107"/>
      <c r="S211" s="115">
        <v>0</v>
      </c>
    </row>
    <row r="212" spans="1:19">
      <c r="A212" s="84">
        <v>20000</v>
      </c>
      <c r="B212" s="84">
        <v>30000</v>
      </c>
      <c r="C212" s="143">
        <v>0</v>
      </c>
      <c r="D212" s="143">
        <v>0</v>
      </c>
      <c r="E212" s="107">
        <v>0</v>
      </c>
      <c r="F212" s="109">
        <v>0</v>
      </c>
      <c r="G212" s="114">
        <v>0</v>
      </c>
      <c r="H212" s="29" t="str">
        <f t="shared" si="2"/>
        <v>(20000, 30000]</v>
      </c>
      <c r="I212" s="110">
        <v>0</v>
      </c>
      <c r="J212" s="107">
        <v>0</v>
      </c>
      <c r="K212" s="107">
        <v>0</v>
      </c>
      <c r="L212" s="112">
        <v>0</v>
      </c>
      <c r="M212" s="107">
        <v>0</v>
      </c>
      <c r="N212" s="107">
        <v>0</v>
      </c>
      <c r="O212" s="114"/>
      <c r="P212" s="107">
        <v>0</v>
      </c>
      <c r="Q212" s="107"/>
      <c r="R212" s="107"/>
      <c r="S212" s="115">
        <v>0</v>
      </c>
    </row>
    <row r="213" spans="1:19">
      <c r="A213" s="84">
        <v>30000</v>
      </c>
      <c r="B213" s="84">
        <v>40000</v>
      </c>
      <c r="C213" s="143">
        <v>0</v>
      </c>
      <c r="D213" s="143">
        <v>0</v>
      </c>
      <c r="E213" s="107">
        <v>0</v>
      </c>
      <c r="F213" s="109">
        <v>0</v>
      </c>
      <c r="G213" s="114">
        <v>0</v>
      </c>
      <c r="H213" s="29" t="str">
        <f t="shared" si="2"/>
        <v>(30000, 40000]</v>
      </c>
      <c r="I213" s="110">
        <v>0</v>
      </c>
      <c r="J213" s="107">
        <v>0</v>
      </c>
      <c r="K213" s="107">
        <v>0</v>
      </c>
      <c r="L213" s="112">
        <v>0</v>
      </c>
      <c r="M213" s="107">
        <v>0</v>
      </c>
      <c r="N213" s="107">
        <v>0</v>
      </c>
      <c r="O213" s="114"/>
      <c r="P213" s="107">
        <v>0</v>
      </c>
      <c r="Q213" s="107"/>
      <c r="R213" s="107"/>
      <c r="S213" s="115">
        <v>0</v>
      </c>
    </row>
    <row r="214" spans="1:19">
      <c r="A214" s="84">
        <v>40000</v>
      </c>
      <c r="B214" s="84">
        <v>50000</v>
      </c>
      <c r="C214" s="143">
        <v>0</v>
      </c>
      <c r="D214" s="143">
        <v>0</v>
      </c>
      <c r="E214" s="107">
        <v>0</v>
      </c>
      <c r="F214" s="109">
        <v>0</v>
      </c>
      <c r="G214" s="114">
        <v>0</v>
      </c>
      <c r="H214" s="29" t="str">
        <f t="shared" si="2"/>
        <v>(40000, 50000]</v>
      </c>
      <c r="I214" s="110">
        <v>0</v>
      </c>
      <c r="J214" s="107">
        <v>0</v>
      </c>
      <c r="K214" s="107">
        <v>0</v>
      </c>
      <c r="L214" s="112">
        <v>0</v>
      </c>
      <c r="M214" s="107">
        <v>0</v>
      </c>
      <c r="N214" s="107">
        <v>0</v>
      </c>
      <c r="O214" s="114"/>
      <c r="P214" s="107">
        <v>0</v>
      </c>
      <c r="Q214" s="107"/>
      <c r="R214" s="107"/>
      <c r="S214" s="115">
        <v>0</v>
      </c>
    </row>
    <row r="215" spans="1:19">
      <c r="A215" s="84">
        <v>50000</v>
      </c>
      <c r="B215" s="84">
        <v>60000</v>
      </c>
      <c r="C215" s="143">
        <v>0</v>
      </c>
      <c r="D215" s="143">
        <v>0</v>
      </c>
      <c r="E215" s="107">
        <v>0</v>
      </c>
      <c r="F215" s="109">
        <v>0</v>
      </c>
      <c r="G215" s="114">
        <v>0</v>
      </c>
      <c r="H215" s="29" t="str">
        <f t="shared" si="2"/>
        <v>(50000, 60000]</v>
      </c>
      <c r="I215" s="110">
        <v>0</v>
      </c>
      <c r="J215" s="107">
        <v>0</v>
      </c>
      <c r="K215" s="107">
        <v>0</v>
      </c>
      <c r="L215" s="112">
        <v>0</v>
      </c>
      <c r="M215" s="107">
        <v>0</v>
      </c>
      <c r="N215" s="107">
        <v>0</v>
      </c>
      <c r="O215" s="114"/>
      <c r="P215" s="107">
        <v>0</v>
      </c>
      <c r="Q215" s="107"/>
      <c r="R215" s="107"/>
      <c r="S215" s="115">
        <v>0</v>
      </c>
    </row>
    <row r="216" spans="1:19">
      <c r="A216" s="84">
        <v>60000</v>
      </c>
      <c r="B216" s="84">
        <v>70000</v>
      </c>
      <c r="C216" s="143">
        <v>0</v>
      </c>
      <c r="D216" s="143">
        <v>0</v>
      </c>
      <c r="E216" s="107">
        <v>0</v>
      </c>
      <c r="F216" s="109">
        <v>0</v>
      </c>
      <c r="G216" s="114">
        <v>0</v>
      </c>
      <c r="H216" s="29" t="str">
        <f t="shared" si="2"/>
        <v>(60000, 70000]</v>
      </c>
      <c r="I216" s="110">
        <v>0</v>
      </c>
      <c r="J216" s="107">
        <v>0</v>
      </c>
      <c r="K216" s="107">
        <v>0</v>
      </c>
      <c r="L216" s="112">
        <v>0</v>
      </c>
      <c r="M216" s="107">
        <v>0</v>
      </c>
      <c r="N216" s="107">
        <v>0</v>
      </c>
      <c r="O216" s="114"/>
      <c r="P216" s="107">
        <v>0</v>
      </c>
      <c r="Q216" s="107"/>
      <c r="R216" s="107"/>
      <c r="S216" s="115">
        <v>0</v>
      </c>
    </row>
    <row r="217" spans="1:19">
      <c r="A217" s="84">
        <v>70000</v>
      </c>
      <c r="B217" s="84">
        <v>80000</v>
      </c>
      <c r="C217" s="143">
        <v>0</v>
      </c>
      <c r="D217" s="143">
        <v>0</v>
      </c>
      <c r="E217" s="107">
        <v>0</v>
      </c>
      <c r="F217" s="109">
        <v>0</v>
      </c>
      <c r="G217" s="114">
        <v>0</v>
      </c>
      <c r="H217" s="29" t="str">
        <f t="shared" si="2"/>
        <v>(70000, 80000]</v>
      </c>
      <c r="I217" s="110">
        <v>0</v>
      </c>
      <c r="J217" s="107">
        <v>0</v>
      </c>
      <c r="K217" s="107">
        <v>0</v>
      </c>
      <c r="L217" s="112">
        <v>0</v>
      </c>
      <c r="M217" s="107">
        <v>0</v>
      </c>
      <c r="N217" s="107">
        <v>0</v>
      </c>
      <c r="O217" s="114"/>
      <c r="P217" s="107">
        <v>0</v>
      </c>
      <c r="Q217" s="107"/>
      <c r="R217" s="107"/>
      <c r="S217" s="115">
        <v>0</v>
      </c>
    </row>
    <row r="218" spans="1:19">
      <c r="A218" s="84">
        <v>80000</v>
      </c>
      <c r="B218" s="84">
        <v>90000</v>
      </c>
      <c r="C218" s="143">
        <v>0</v>
      </c>
      <c r="D218" s="143">
        <v>0</v>
      </c>
      <c r="E218" s="107">
        <v>0</v>
      </c>
      <c r="F218" s="109">
        <v>0</v>
      </c>
      <c r="G218" s="114">
        <v>0</v>
      </c>
      <c r="H218" s="29" t="str">
        <f t="shared" si="2"/>
        <v>(80000, 90000]</v>
      </c>
      <c r="I218" s="110">
        <v>0</v>
      </c>
      <c r="J218" s="107">
        <v>0</v>
      </c>
      <c r="K218" s="107">
        <v>0</v>
      </c>
      <c r="L218" s="112">
        <v>0</v>
      </c>
      <c r="M218" s="107">
        <v>0</v>
      </c>
      <c r="N218" s="107">
        <v>0</v>
      </c>
      <c r="O218" s="114"/>
      <c r="P218" s="107">
        <v>0</v>
      </c>
      <c r="Q218" s="107"/>
      <c r="R218" s="107"/>
      <c r="S218" s="115">
        <v>0</v>
      </c>
    </row>
    <row r="219" spans="1:19">
      <c r="A219" s="84">
        <v>90000</v>
      </c>
      <c r="B219" s="84">
        <v>100000</v>
      </c>
      <c r="C219" s="143">
        <v>0</v>
      </c>
      <c r="D219" s="143">
        <v>0</v>
      </c>
      <c r="E219" s="107">
        <v>0</v>
      </c>
      <c r="F219" s="109">
        <v>0</v>
      </c>
      <c r="G219" s="114">
        <v>0</v>
      </c>
      <c r="H219" s="29" t="str">
        <f t="shared" si="2"/>
        <v>(90000, 100000]</v>
      </c>
      <c r="I219" s="110">
        <v>0</v>
      </c>
      <c r="J219" s="107">
        <v>0</v>
      </c>
      <c r="K219" s="107">
        <v>0</v>
      </c>
      <c r="L219" s="112">
        <v>0</v>
      </c>
      <c r="M219" s="107">
        <v>0</v>
      </c>
      <c r="N219" s="107">
        <v>0</v>
      </c>
      <c r="O219" s="114"/>
      <c r="P219" s="107">
        <v>0</v>
      </c>
      <c r="Q219" s="107"/>
      <c r="R219" s="107"/>
      <c r="S219" s="115">
        <v>0</v>
      </c>
    </row>
    <row r="220" spans="1:19">
      <c r="A220" s="84">
        <v>100000</v>
      </c>
      <c r="B220" s="84">
        <v>9999999</v>
      </c>
      <c r="C220" s="143">
        <v>0</v>
      </c>
      <c r="D220" s="143">
        <v>0</v>
      </c>
      <c r="E220" s="107">
        <v>0</v>
      </c>
      <c r="F220" s="109">
        <v>0</v>
      </c>
      <c r="G220" s="114">
        <v>0</v>
      </c>
      <c r="H220" s="29" t="str">
        <f t="shared" si="2"/>
        <v>(100000, 9999999]</v>
      </c>
      <c r="I220" s="110">
        <v>0</v>
      </c>
      <c r="J220" s="107">
        <v>0</v>
      </c>
      <c r="K220" s="107">
        <v>0</v>
      </c>
      <c r="L220" s="112">
        <v>0</v>
      </c>
      <c r="M220" s="107">
        <v>0</v>
      </c>
      <c r="N220" s="107">
        <v>0</v>
      </c>
      <c r="O220" s="114"/>
      <c r="P220" s="107">
        <v>0</v>
      </c>
      <c r="Q220" s="107"/>
      <c r="R220" s="107"/>
      <c r="S220" s="115">
        <v>0</v>
      </c>
    </row>
  </sheetData>
  <mergeCells count="5">
    <mergeCell ref="A153:D153"/>
    <mergeCell ref="A11:D11"/>
    <mergeCell ref="A79:B79"/>
    <mergeCell ref="A80:B80"/>
    <mergeCell ref="A83:D83"/>
  </mergeCells>
  <phoneticPr fontId="20" type="noConversion"/>
  <conditionalFormatting sqref="M17:M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{440CE7CE-028B-45A6-A9E0-0AACF9FBA26F}</x14:id>
        </ext>
      </extLst>
    </cfRule>
  </conditionalFormatting>
  <conditionalFormatting sqref="M87:M150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{B303DE09-A260-410E-B5D2-1220C87FEA8E}</x14:id>
        </ext>
      </extLst>
    </cfRule>
  </conditionalFormatting>
  <conditionalFormatting sqref="P19:P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{0858A6C6-F86E-4F7F-99C3-1445A4E47F4E}</x14:id>
        </ext>
      </extLst>
    </cfRule>
  </conditionalFormatting>
  <conditionalFormatting sqref="P89:P150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{94E864D5-E8B6-4B1C-BB62-91353142117B}</x14:id>
        </ext>
      </extLst>
    </cfRule>
  </conditionalFormatting>
  <conditionalFormatting sqref="E15:E78">
    <cfRule type="cellIs" dxfId="122" priority="18" operator="lessThan">
      <formula>0.001</formula>
    </cfRule>
  </conditionalFormatting>
  <conditionalFormatting sqref="E87:E150">
    <cfRule type="cellIs" dxfId="121" priority="17" operator="lessThan">
      <formula>0.001</formula>
    </cfRule>
  </conditionalFormatting>
  <conditionalFormatting sqref="M157:M220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{E6F8F760-F7CE-4061-9B43-F87E4C42D09B}</x14:id>
        </ext>
      </extLst>
    </cfRule>
  </conditionalFormatting>
  <conditionalFormatting sqref="N157:N220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{29732E1D-74B2-4711-9454-5144185F7B3D}</x14:id>
        </ext>
      </extLst>
    </cfRule>
  </conditionalFormatting>
  <conditionalFormatting sqref="P159:P220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{73E3DF9D-3DA2-4140-ADFD-B97379B10FF6}</x14:id>
        </ext>
      </extLst>
    </cfRule>
  </conditionalFormatting>
  <conditionalFormatting sqref="E157:E220">
    <cfRule type="cellIs" dxfId="120" priority="13" operator="lessThan">
      <formula>0.001</formula>
    </cfRule>
  </conditionalFormatting>
  <conditionalFormatting sqref="N15:N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{7ABA90D9-3A7D-4159-9532-2FAF04EB1935}</x14:id>
        </ext>
      </extLst>
    </cfRule>
  </conditionalFormatting>
  <conditionalFormatting sqref="N87:N150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{61558BB9-3617-49FD-A5B1-1D51B9322AD0}</x14:id>
        </ext>
      </extLst>
    </cfRule>
  </conditionalFormatting>
  <conditionalFormatting sqref="R89:R150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{8FD360BA-56BA-4345-BEC7-256E51D92B36}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{7B4E4DB4-852D-4A00-B83D-0FD7FE5EA4A8}</x14:id>
        </ext>
      </extLst>
    </cfRule>
  </conditionalFormatting>
  <conditionalFormatting sqref="R159:R220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{27AE6A91-F2AE-49EA-9B73-411D3DC3E0FB}</x14:id>
        </ext>
      </extLst>
    </cfRule>
  </conditionalFormatting>
  <conditionalFormatting sqref="Q89:Q150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{78078B32-22FA-46BB-9504-CECE69AEA33A}</x14:id>
        </ext>
      </extLst>
    </cfRule>
  </conditionalFormatting>
  <conditionalFormatting sqref="Q19:Q78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{756D18A7-3352-46C7-8C53-17E8CE4910AB}</x14:id>
        </ext>
      </extLst>
    </cfRule>
  </conditionalFormatting>
  <conditionalFormatting sqref="Q159:Q220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{DE62B8CC-46AE-44CD-A298-D1360066E875}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0CE7CE-028B-45A6-A9E0-0AACF9FBA2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M17:M78</xm:sqref>
        </x14:conditionalFormatting>
        <x14:conditionalFormatting xmlns:xm="http://schemas.microsoft.com/office/excel/2006/main">
          <x14:cfRule type="dataBar" id="{B303DE09-A260-410E-B5D2-1220C87FEA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M87:M150</xm:sqref>
        </x14:conditionalFormatting>
        <x14:conditionalFormatting xmlns:xm="http://schemas.microsoft.com/office/excel/2006/main">
          <x14:cfRule type="dataBar" id="{0858A6C6-F86E-4F7F-99C3-1445A4E47F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P19:P78</xm:sqref>
        </x14:conditionalFormatting>
        <x14:conditionalFormatting xmlns:xm="http://schemas.microsoft.com/office/excel/2006/main">
          <x14:cfRule type="dataBar" id="{94E864D5-E8B6-4B1C-BB62-9135314211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P89:P150</xm:sqref>
        </x14:conditionalFormatting>
        <x14:conditionalFormatting xmlns:xm="http://schemas.microsoft.com/office/excel/2006/main">
          <x14:cfRule type="dataBar" id="{E6F8F760-F7CE-4061-9B43-F87E4C42D0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M157:M220</xm:sqref>
        </x14:conditionalFormatting>
        <x14:conditionalFormatting xmlns:xm="http://schemas.microsoft.com/office/excel/2006/main">
          <x14:cfRule type="dataBar" id="{29732E1D-74B2-4711-9454-5144185F7B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N157:N220</xm:sqref>
        </x14:conditionalFormatting>
        <x14:conditionalFormatting xmlns:xm="http://schemas.microsoft.com/office/excel/2006/main">
          <x14:cfRule type="dataBar" id="{73E3DF9D-3DA2-4140-ADFD-B97379B10F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P159:P220</xm:sqref>
        </x14:conditionalFormatting>
        <x14:conditionalFormatting xmlns:xm="http://schemas.microsoft.com/office/excel/2006/main">
          <x14:cfRule type="dataBar" id="{7ABA90D9-3A7D-4159-9532-2FAF04EB19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N15:N79</xm:sqref>
        </x14:conditionalFormatting>
        <x14:conditionalFormatting xmlns:xm="http://schemas.microsoft.com/office/excel/2006/main">
          <x14:cfRule type="dataBar" id="{61558BB9-3617-49FD-A5B1-1D51B9322A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N87:N150</xm:sqref>
        </x14:conditionalFormatting>
        <x14:conditionalFormatting xmlns:xm="http://schemas.microsoft.com/office/excel/2006/main">
          <x14:cfRule type="dataBar" id="{8FD360BA-56BA-4345-BEC7-256E51D92B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R89:R150</xm:sqref>
        </x14:conditionalFormatting>
        <x14:conditionalFormatting xmlns:xm="http://schemas.microsoft.com/office/excel/2006/main">
          <x14:cfRule type="dataBar" id="{7B4E4DB4-852D-4A00-B83D-0FD7FE5EA4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27AE6A91-F2AE-49EA-9B73-411D3DC3E0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R159:R220</xm:sqref>
        </x14:conditionalFormatting>
        <x14:conditionalFormatting xmlns:xm="http://schemas.microsoft.com/office/excel/2006/main">
          <x14:cfRule type="dataBar" id="{78078B32-22FA-46BB-9504-CECE69AEA3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Q89:Q150</xm:sqref>
        </x14:conditionalFormatting>
        <x14:conditionalFormatting xmlns:xm="http://schemas.microsoft.com/office/excel/2006/main">
          <x14:cfRule type="dataBar" id="{756D18A7-3352-46C7-8C53-17E8CE491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DE62B8CC-46AE-44CD-A298-D1360066E8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Q159:Q220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7DE9-7C18-40B4-AFE7-5366750E3EE8}">
  <sheetPr codeName="工作表6"/>
  <dimension ref="A2:H39"/>
  <sheetViews>
    <sheetView workbookViewId="0"/>
  </sheetViews>
  <sheetFormatPr defaultColWidth="8.88671875" defaultRowHeight="15.6"/>
  <cols>
    <col min="1" max="1" width="8.88671875" style="11" customWidth="1"/>
    <col min="2" max="2" width="18.33203125" style="11" bestFit="1" customWidth="1"/>
    <col min="3" max="3" width="24.21875" style="11" bestFit="1" customWidth="1"/>
    <col min="4" max="4" width="20.33203125" style="26" customWidth="1"/>
    <col min="5" max="5" width="19.88671875" style="11" bestFit="1" customWidth="1"/>
    <col min="6" max="6" width="16.77734375" style="11" customWidth="1"/>
    <col min="7" max="7" width="20.5546875" style="11" customWidth="1"/>
    <col min="8" max="8" width="16.5546875" style="11" customWidth="1"/>
    <col min="9" max="16384" width="8.88671875" style="11"/>
  </cols>
  <sheetData>
    <row r="2" spans="1:8">
      <c r="B2" s="44" t="s">
        <v>61</v>
      </c>
      <c r="C2" s="63">
        <v>10000000000</v>
      </c>
    </row>
    <row r="4" spans="1:8">
      <c r="B4" s="39" t="s">
        <v>189</v>
      </c>
      <c r="C4" s="39" t="s">
        <v>108</v>
      </c>
      <c r="D4" s="16" t="s">
        <v>190</v>
      </c>
      <c r="E4" s="39" t="s">
        <v>191</v>
      </c>
      <c r="F4" s="64" t="s">
        <v>192</v>
      </c>
      <c r="G4" s="39" t="s">
        <v>193</v>
      </c>
    </row>
    <row r="5" spans="1:8">
      <c r="A5" s="26"/>
      <c r="B5" s="189" t="s">
        <v>194</v>
      </c>
      <c r="C5" s="189" t="s">
        <v>55</v>
      </c>
      <c r="D5" s="21" t="s">
        <v>195</v>
      </c>
      <c r="E5" s="194"/>
      <c r="F5" s="65"/>
      <c r="G5" s="192" t="e">
        <f>SUM(F5:F6)/E5*$C$2</f>
        <v>#DIV/0!</v>
      </c>
      <c r="H5" s="66"/>
    </row>
    <row r="6" spans="1:8">
      <c r="B6" s="188"/>
      <c r="C6" s="188"/>
      <c r="D6" s="4" t="s">
        <v>196</v>
      </c>
      <c r="E6" s="195"/>
      <c r="F6" s="67"/>
      <c r="G6" s="193"/>
      <c r="H6" s="66"/>
    </row>
    <row r="7" spans="1:8">
      <c r="A7" s="26"/>
      <c r="B7" s="189" t="s">
        <v>197</v>
      </c>
      <c r="C7" s="189" t="s">
        <v>55</v>
      </c>
      <c r="D7" s="21" t="s">
        <v>195</v>
      </c>
      <c r="E7" s="194"/>
      <c r="F7" s="67"/>
      <c r="G7" s="192" t="e">
        <f>SUM(F7:F8)/E7*$C$2</f>
        <v>#DIV/0!</v>
      </c>
      <c r="H7" s="66"/>
    </row>
    <row r="8" spans="1:8">
      <c r="B8" s="188"/>
      <c r="C8" s="188"/>
      <c r="D8" s="4" t="s">
        <v>196</v>
      </c>
      <c r="E8" s="195"/>
      <c r="F8" s="67"/>
      <c r="G8" s="193"/>
      <c r="H8" s="66"/>
    </row>
    <row r="9" spans="1:8">
      <c r="A9" s="26"/>
      <c r="B9" s="187" t="s">
        <v>198</v>
      </c>
      <c r="C9" s="189" t="s">
        <v>91</v>
      </c>
      <c r="D9" s="21" t="s">
        <v>195</v>
      </c>
      <c r="E9" s="190">
        <f>F9</f>
        <v>0</v>
      </c>
      <c r="F9" s="67"/>
      <c r="G9" s="192" t="e">
        <f>SUM(F9:F10)/E9*$C$2</f>
        <v>#DIV/0!</v>
      </c>
      <c r="H9" s="66"/>
    </row>
    <row r="10" spans="1:8">
      <c r="B10" s="188"/>
      <c r="C10" s="188"/>
      <c r="D10" s="4" t="s">
        <v>196</v>
      </c>
      <c r="E10" s="191"/>
      <c r="F10" s="67"/>
      <c r="G10" s="193"/>
      <c r="H10" s="66"/>
    </row>
    <row r="11" spans="1:8">
      <c r="B11" s="68"/>
      <c r="C11" s="68"/>
      <c r="E11" s="12"/>
    </row>
    <row r="12" spans="1:8">
      <c r="D12" s="11"/>
    </row>
    <row r="13" spans="1:8">
      <c r="D13" s="11"/>
    </row>
    <row r="14" spans="1:8">
      <c r="D14" s="11"/>
    </row>
    <row r="15" spans="1:8">
      <c r="D15" s="11"/>
    </row>
    <row r="16" spans="1:8">
      <c r="D16" s="11"/>
    </row>
    <row r="39" spans="4:4">
      <c r="D39" s="11"/>
    </row>
  </sheetData>
  <mergeCells count="12">
    <mergeCell ref="B5:B6"/>
    <mergeCell ref="C5:C6"/>
    <mergeCell ref="E5:E6"/>
    <mergeCell ref="G5:G6"/>
    <mergeCell ref="B7:B8"/>
    <mergeCell ref="C7:C8"/>
    <mergeCell ref="B9:B10"/>
    <mergeCell ref="C9:C10"/>
    <mergeCell ref="E9:E10"/>
    <mergeCell ref="G9:G10"/>
    <mergeCell ref="E7:E8"/>
    <mergeCell ref="G7:G8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DE67-47F0-47C8-9720-65EFE7745F3A}">
  <sheetPr codeName="工作表7">
    <tabColor theme="3" tint="0.59999389629810485"/>
  </sheetPr>
  <dimension ref="A2:AT405"/>
  <sheetViews>
    <sheetView zoomScaleNormal="100" workbookViewId="0">
      <selection sqref="A1:AA1048576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48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>
      <c r="K2" s="33"/>
      <c r="L2" s="9" t="s">
        <v>52</v>
      </c>
      <c r="U2" s="9" t="s">
        <v>219</v>
      </c>
      <c r="AC2" s="9" t="s">
        <v>220</v>
      </c>
      <c r="AD2" s="166"/>
      <c r="AE2" s="166"/>
      <c r="AF2" s="166"/>
      <c r="AG2" s="166"/>
      <c r="AH2" s="166"/>
      <c r="AI2" s="166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48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265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>
      <c r="A4" s="147" t="str" cm="1">
        <f t="array" ref="A4:B29">Overview!$A$42:$B$67</f>
        <v>WW</v>
      </c>
      <c r="B4" s="147" t="str">
        <v>Wild</v>
      </c>
      <c r="C4" s="52">
        <f>COUNTIF(M$4:M$304,$A4)</f>
        <v>0</v>
      </c>
      <c r="D4" s="52">
        <f t="shared" ref="D4:I4" si="0">COUNTIF(N$4:N$304,$A4)</f>
        <v>0</v>
      </c>
      <c r="E4" s="52">
        <f t="shared" si="0"/>
        <v>0</v>
      </c>
      <c r="F4" s="52">
        <f t="shared" si="0"/>
        <v>0</v>
      </c>
      <c r="G4" s="52">
        <f t="shared" si="0"/>
        <v>0</v>
      </c>
      <c r="H4" s="52">
        <f t="shared" si="0"/>
        <v>0</v>
      </c>
      <c r="I4" s="52">
        <f t="shared" si="0"/>
        <v>0</v>
      </c>
      <c r="J4" s="147">
        <v>0</v>
      </c>
      <c r="K4" s="34"/>
      <c r="L4" s="15">
        <v>0</v>
      </c>
      <c r="M4" s="156" t="s">
        <v>90</v>
      </c>
      <c r="N4" s="156" t="s">
        <v>25</v>
      </c>
      <c r="O4" s="156" t="s">
        <v>35</v>
      </c>
      <c r="P4" s="156" t="s">
        <v>34</v>
      </c>
      <c r="Q4" s="156" t="s">
        <v>39</v>
      </c>
      <c r="R4" s="156" t="s">
        <v>38</v>
      </c>
      <c r="S4" s="157" t="s">
        <v>35</v>
      </c>
      <c r="U4" s="158">
        <f t="shared" ref="U4:AA4" si="1">VLOOKUP(M4, $A$4:$J$29, 9, 0)</f>
        <v>6</v>
      </c>
      <c r="V4" s="158">
        <f t="shared" si="1"/>
        <v>5</v>
      </c>
      <c r="W4" s="158">
        <f t="shared" si="1"/>
        <v>15</v>
      </c>
      <c r="X4" s="158">
        <f t="shared" si="1"/>
        <v>16</v>
      </c>
      <c r="Y4" s="158">
        <f t="shared" si="1"/>
        <v>5</v>
      </c>
      <c r="Z4" s="158">
        <f t="shared" si="1"/>
        <v>15</v>
      </c>
      <c r="AA4" s="158">
        <f t="shared" si="1"/>
        <v>15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47">
        <v>3</v>
      </c>
      <c r="AK4" s="10" t="s">
        <v>68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ref="C5:C29" si="2">COUNTIF(M$4:M$304,$A5)</f>
        <v>0</v>
      </c>
      <c r="D5" s="10">
        <f t="shared" ref="D5:D29" si="3">COUNTIF(N$4:N$304,$A5)</f>
        <v>0</v>
      </c>
      <c r="E5" s="10">
        <f t="shared" ref="E5:E29" si="4">COUNTIF(O$4:O$304,$A5)</f>
        <v>0</v>
      </c>
      <c r="F5" s="10">
        <f t="shared" ref="F5:F29" si="5">COUNTIF(P$4:P$304,$A5)</f>
        <v>0</v>
      </c>
      <c r="G5" s="10">
        <f t="shared" ref="G5:G29" si="6">COUNTIF(Q$4:Q$304,$A5)</f>
        <v>0</v>
      </c>
      <c r="H5" s="10">
        <f t="shared" ref="H5:H29" si="7">COUNTIF(R$4:R$304,$A5)</f>
        <v>0</v>
      </c>
      <c r="I5" s="10">
        <f t="shared" ref="I5:I29" si="8">COUNTIF(S$4:S$304,$A5)</f>
        <v>0</v>
      </c>
      <c r="J5" s="4">
        <v>1</v>
      </c>
      <c r="K5" s="34"/>
      <c r="L5" s="14">
        <v>1</v>
      </c>
      <c r="M5" s="38" t="s">
        <v>39</v>
      </c>
      <c r="N5" s="38" t="s">
        <v>65</v>
      </c>
      <c r="O5" s="38" t="s">
        <v>25</v>
      </c>
      <c r="P5" s="38" t="s">
        <v>34</v>
      </c>
      <c r="Q5" s="38" t="s">
        <v>39</v>
      </c>
      <c r="R5" s="38" t="s">
        <v>38</v>
      </c>
      <c r="S5" s="24" t="s">
        <v>35</v>
      </c>
      <c r="U5" s="37">
        <f t="shared" ref="U5:U68" si="9">VLOOKUP(M5, $A$4:$J$29, 9, 0)</f>
        <v>5</v>
      </c>
      <c r="V5" s="37">
        <f t="shared" ref="V5:V68" si="10">VLOOKUP(N5, $A$4:$J$29, 9, 0)</f>
        <v>17</v>
      </c>
      <c r="W5" s="37">
        <f t="shared" ref="W5:W68" si="11">VLOOKUP(O5, $A$4:$J$29, 9, 0)</f>
        <v>5</v>
      </c>
      <c r="X5" s="37">
        <f t="shared" ref="X5:X68" si="12">VLOOKUP(P5, $A$4:$J$29, 9, 0)</f>
        <v>16</v>
      </c>
      <c r="Y5" s="37">
        <f t="shared" ref="Y5:Y68" si="13">VLOOKUP(Q5, $A$4:$J$29, 9, 0)</f>
        <v>5</v>
      </c>
      <c r="Z5" s="37">
        <f t="shared" ref="Z5:Z68" si="14">VLOOKUP(R5, $A$4:$J$29, 9, 0)</f>
        <v>15</v>
      </c>
      <c r="AA5" s="37">
        <f t="shared" ref="AA5:AA68" si="15">VLOOKUP(S5, $A$4:$J$29, 9, 0)</f>
        <v>15</v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4">
        <v>1</v>
      </c>
      <c r="AK5" s="37" t="s">
        <v>19</v>
      </c>
      <c r="AL5" s="37">
        <v>10</v>
      </c>
      <c r="AM5" s="37">
        <v>10</v>
      </c>
      <c r="AN5" s="37">
        <v>10</v>
      </c>
      <c r="AO5" s="37">
        <v>10</v>
      </c>
      <c r="AP5" s="37">
        <v>10</v>
      </c>
      <c r="AQ5" s="37">
        <v>10</v>
      </c>
      <c r="AR5" s="37">
        <v>5</v>
      </c>
      <c r="AS5" s="4">
        <v>1</v>
      </c>
    </row>
    <row r="6" spans="1:45" ht="15.9" customHeight="1">
      <c r="A6" s="151" t="str">
        <v>M1</v>
      </c>
      <c r="B6" s="151" t="str">
        <v>M1</v>
      </c>
      <c r="C6" s="153">
        <f t="shared" si="2"/>
        <v>1</v>
      </c>
      <c r="D6" s="153">
        <f t="shared" si="3"/>
        <v>1</v>
      </c>
      <c r="E6" s="153">
        <f t="shared" si="4"/>
        <v>2</v>
      </c>
      <c r="F6" s="153">
        <f t="shared" si="5"/>
        <v>1</v>
      </c>
      <c r="G6" s="153">
        <f t="shared" si="6"/>
        <v>1</v>
      </c>
      <c r="H6" s="153">
        <f t="shared" si="7"/>
        <v>2</v>
      </c>
      <c r="I6" s="153">
        <f t="shared" si="8"/>
        <v>4</v>
      </c>
      <c r="J6" s="151">
        <v>2</v>
      </c>
      <c r="L6" s="15">
        <v>2</v>
      </c>
      <c r="M6" s="38" t="s">
        <v>39</v>
      </c>
      <c r="N6" s="38" t="s">
        <v>38</v>
      </c>
      <c r="O6" s="38" t="s">
        <v>39</v>
      </c>
      <c r="P6" s="38" t="s">
        <v>226</v>
      </c>
      <c r="Q6" s="38" t="s">
        <v>37</v>
      </c>
      <c r="R6" s="38" t="s">
        <v>38</v>
      </c>
      <c r="S6" s="24" t="s">
        <v>35</v>
      </c>
      <c r="U6" s="37">
        <f t="shared" si="9"/>
        <v>5</v>
      </c>
      <c r="V6" s="37">
        <f t="shared" si="10"/>
        <v>15</v>
      </c>
      <c r="W6" s="37">
        <f t="shared" si="11"/>
        <v>5</v>
      </c>
      <c r="X6" s="37">
        <f t="shared" si="12"/>
        <v>0</v>
      </c>
      <c r="Y6" s="37">
        <f t="shared" si="13"/>
        <v>13</v>
      </c>
      <c r="Z6" s="37">
        <f t="shared" si="14"/>
        <v>15</v>
      </c>
      <c r="AA6" s="37">
        <f t="shared" si="15"/>
        <v>15</v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4" t="s">
        <v>20</v>
      </c>
      <c r="AL6" s="154">
        <v>8</v>
      </c>
      <c r="AM6" s="154">
        <v>8</v>
      </c>
      <c r="AN6" s="154">
        <v>8</v>
      </c>
      <c r="AO6" s="154">
        <v>8</v>
      </c>
      <c r="AP6" s="154">
        <v>8</v>
      </c>
      <c r="AQ6" s="154">
        <v>8</v>
      </c>
      <c r="AR6" s="154">
        <v>8</v>
      </c>
      <c r="AS6" s="151">
        <v>2</v>
      </c>
    </row>
    <row r="7" spans="1:45" ht="15.9" customHeight="1">
      <c r="A7" s="151" t="str">
        <v>M2</v>
      </c>
      <c r="B7" s="151" t="str">
        <v>M2</v>
      </c>
      <c r="C7" s="153">
        <f t="shared" si="2"/>
        <v>1</v>
      </c>
      <c r="D7" s="153">
        <f t="shared" si="3"/>
        <v>5</v>
      </c>
      <c r="E7" s="153">
        <f t="shared" si="4"/>
        <v>6</v>
      </c>
      <c r="F7" s="153">
        <f t="shared" si="5"/>
        <v>10</v>
      </c>
      <c r="G7" s="153">
        <f t="shared" si="6"/>
        <v>2</v>
      </c>
      <c r="H7" s="153">
        <f t="shared" si="7"/>
        <v>5</v>
      </c>
      <c r="I7" s="153">
        <f t="shared" si="8"/>
        <v>11</v>
      </c>
      <c r="J7" s="151">
        <v>3</v>
      </c>
      <c r="L7" s="14">
        <v>3</v>
      </c>
      <c r="M7" s="38" t="s">
        <v>40</v>
      </c>
      <c r="N7" s="38" t="s">
        <v>65</v>
      </c>
      <c r="O7" s="38" t="s">
        <v>39</v>
      </c>
      <c r="P7" s="38" t="s">
        <v>65</v>
      </c>
      <c r="Q7" s="38" t="s">
        <v>226</v>
      </c>
      <c r="R7" s="38" t="s">
        <v>40</v>
      </c>
      <c r="S7" s="24" t="s">
        <v>33</v>
      </c>
      <c r="U7" s="37">
        <f t="shared" si="9"/>
        <v>12</v>
      </c>
      <c r="V7" s="37">
        <f t="shared" si="10"/>
        <v>17</v>
      </c>
      <c r="W7" s="37">
        <f t="shared" si="11"/>
        <v>5</v>
      </c>
      <c r="X7" s="37">
        <f t="shared" si="12"/>
        <v>17</v>
      </c>
      <c r="Y7" s="37">
        <f t="shared" si="13"/>
        <v>0</v>
      </c>
      <c r="Z7" s="37">
        <f t="shared" si="14"/>
        <v>12</v>
      </c>
      <c r="AA7" s="37">
        <f t="shared" si="15"/>
        <v>11</v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4" t="s">
        <v>21</v>
      </c>
      <c r="AL7" s="154">
        <v>10</v>
      </c>
      <c r="AM7" s="154">
        <v>13</v>
      </c>
      <c r="AN7" s="154">
        <v>10</v>
      </c>
      <c r="AO7" s="154">
        <v>5</v>
      </c>
      <c r="AP7" s="154">
        <v>20</v>
      </c>
      <c r="AQ7" s="154">
        <v>5</v>
      </c>
      <c r="AR7" s="154">
        <v>10</v>
      </c>
      <c r="AS7" s="151">
        <v>3</v>
      </c>
    </row>
    <row r="8" spans="1:45" ht="15.9" customHeight="1">
      <c r="A8" s="151" t="str">
        <v>M3</v>
      </c>
      <c r="B8" s="151" t="str">
        <v>M3</v>
      </c>
      <c r="C8" s="153">
        <f t="shared" si="2"/>
        <v>11</v>
      </c>
      <c r="D8" s="153">
        <f t="shared" si="3"/>
        <v>4</v>
      </c>
      <c r="E8" s="153">
        <f t="shared" si="4"/>
        <v>8</v>
      </c>
      <c r="F8" s="153">
        <f t="shared" si="5"/>
        <v>5</v>
      </c>
      <c r="G8" s="153">
        <f t="shared" si="6"/>
        <v>7</v>
      </c>
      <c r="H8" s="153">
        <f t="shared" si="7"/>
        <v>4</v>
      </c>
      <c r="I8" s="153">
        <f t="shared" si="8"/>
        <v>16</v>
      </c>
      <c r="J8" s="151">
        <v>4</v>
      </c>
      <c r="L8" s="15">
        <v>4</v>
      </c>
      <c r="M8" s="38" t="s">
        <v>40</v>
      </c>
      <c r="N8" s="38" t="s">
        <v>35</v>
      </c>
      <c r="O8" s="38" t="s">
        <v>25</v>
      </c>
      <c r="P8" s="38" t="s">
        <v>33</v>
      </c>
      <c r="Q8" s="38" t="s">
        <v>35</v>
      </c>
      <c r="R8" s="38" t="s">
        <v>40</v>
      </c>
      <c r="S8" s="24" t="s">
        <v>33</v>
      </c>
      <c r="U8" s="37">
        <f t="shared" si="9"/>
        <v>12</v>
      </c>
      <c r="V8" s="37">
        <f t="shared" si="10"/>
        <v>15</v>
      </c>
      <c r="W8" s="37">
        <f t="shared" si="11"/>
        <v>5</v>
      </c>
      <c r="X8" s="37">
        <f t="shared" si="12"/>
        <v>11</v>
      </c>
      <c r="Y8" s="37">
        <f t="shared" si="13"/>
        <v>15</v>
      </c>
      <c r="Z8" s="37">
        <f t="shared" si="14"/>
        <v>12</v>
      </c>
      <c r="AA8" s="37">
        <f t="shared" si="15"/>
        <v>11</v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4">
        <v>3</v>
      </c>
      <c r="AK8" s="154" t="s">
        <v>17</v>
      </c>
      <c r="AL8" s="154">
        <v>15</v>
      </c>
      <c r="AM8" s="154">
        <v>10</v>
      </c>
      <c r="AN8" s="154">
        <v>15</v>
      </c>
      <c r="AO8" s="154">
        <v>5</v>
      </c>
      <c r="AP8" s="154">
        <v>18</v>
      </c>
      <c r="AQ8" s="154">
        <v>20</v>
      </c>
      <c r="AR8" s="154">
        <v>10</v>
      </c>
      <c r="AS8" s="151">
        <v>4</v>
      </c>
    </row>
    <row r="9" spans="1:45" ht="15.9" customHeight="1">
      <c r="A9" s="151" t="str">
        <v>M4</v>
      </c>
      <c r="B9" s="151" t="str">
        <v>M4</v>
      </c>
      <c r="C9" s="153">
        <f t="shared" si="2"/>
        <v>10</v>
      </c>
      <c r="D9" s="153">
        <f t="shared" si="3"/>
        <v>6</v>
      </c>
      <c r="E9" s="153">
        <f t="shared" si="4"/>
        <v>16</v>
      </c>
      <c r="F9" s="153">
        <f t="shared" si="5"/>
        <v>6</v>
      </c>
      <c r="G9" s="153">
        <f t="shared" si="6"/>
        <v>17</v>
      </c>
      <c r="H9" s="153">
        <f t="shared" si="7"/>
        <v>2</v>
      </c>
      <c r="I9" s="153">
        <f t="shared" si="8"/>
        <v>15</v>
      </c>
      <c r="J9" s="151">
        <v>5</v>
      </c>
      <c r="L9" s="14">
        <v>5</v>
      </c>
      <c r="M9" s="38" t="s">
        <v>39</v>
      </c>
      <c r="N9" s="38" t="s">
        <v>38</v>
      </c>
      <c r="O9" s="38" t="s">
        <v>37</v>
      </c>
      <c r="P9" s="38" t="s">
        <v>33</v>
      </c>
      <c r="Q9" s="38" t="s">
        <v>39</v>
      </c>
      <c r="R9" s="38" t="s">
        <v>40</v>
      </c>
      <c r="S9" s="24" t="s">
        <v>33</v>
      </c>
      <c r="U9" s="37">
        <f t="shared" si="9"/>
        <v>5</v>
      </c>
      <c r="V9" s="37">
        <f t="shared" si="10"/>
        <v>15</v>
      </c>
      <c r="W9" s="37">
        <f t="shared" si="11"/>
        <v>13</v>
      </c>
      <c r="X9" s="37">
        <f t="shared" si="12"/>
        <v>11</v>
      </c>
      <c r="Y9" s="37">
        <f t="shared" si="13"/>
        <v>5</v>
      </c>
      <c r="Z9" s="37">
        <f t="shared" si="14"/>
        <v>12</v>
      </c>
      <c r="AA9" s="37">
        <f t="shared" si="15"/>
        <v>11</v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4" t="s">
        <v>18</v>
      </c>
      <c r="AL9" s="154">
        <v>10</v>
      </c>
      <c r="AM9" s="154">
        <v>20</v>
      </c>
      <c r="AN9" s="154">
        <v>20</v>
      </c>
      <c r="AO9" s="154">
        <v>20</v>
      </c>
      <c r="AP9" s="154">
        <v>10</v>
      </c>
      <c r="AQ9" s="154">
        <v>20</v>
      </c>
      <c r="AR9" s="154">
        <v>10</v>
      </c>
      <c r="AS9" s="151">
        <v>5</v>
      </c>
    </row>
    <row r="10" spans="1:45" ht="15.9" customHeight="1">
      <c r="A10" s="151" t="str">
        <v>M5</v>
      </c>
      <c r="B10" s="151" t="str">
        <v>M5</v>
      </c>
      <c r="C10" s="153">
        <f t="shared" si="2"/>
        <v>7</v>
      </c>
      <c r="D10" s="153">
        <f t="shared" si="3"/>
        <v>16</v>
      </c>
      <c r="E10" s="153">
        <f t="shared" si="4"/>
        <v>10</v>
      </c>
      <c r="F10" s="153">
        <f t="shared" si="5"/>
        <v>19</v>
      </c>
      <c r="G10" s="153">
        <f t="shared" si="6"/>
        <v>5</v>
      </c>
      <c r="H10" s="153">
        <f t="shared" si="7"/>
        <v>25</v>
      </c>
      <c r="I10" s="153">
        <f t="shared" si="8"/>
        <v>17</v>
      </c>
      <c r="J10" s="151">
        <v>6</v>
      </c>
      <c r="L10" s="15">
        <v>6</v>
      </c>
      <c r="M10" s="38" t="s">
        <v>25</v>
      </c>
      <c r="N10" s="38" t="s">
        <v>38</v>
      </c>
      <c r="O10" s="38" t="s">
        <v>37</v>
      </c>
      <c r="P10" s="38" t="s">
        <v>34</v>
      </c>
      <c r="Q10" s="38" t="s">
        <v>39</v>
      </c>
      <c r="R10" s="38" t="s">
        <v>35</v>
      </c>
      <c r="S10" s="24" t="s">
        <v>65</v>
      </c>
      <c r="U10" s="37">
        <f t="shared" si="9"/>
        <v>5</v>
      </c>
      <c r="V10" s="37">
        <f t="shared" si="10"/>
        <v>15</v>
      </c>
      <c r="W10" s="37">
        <f t="shared" si="11"/>
        <v>13</v>
      </c>
      <c r="X10" s="37">
        <f t="shared" si="12"/>
        <v>16</v>
      </c>
      <c r="Y10" s="37">
        <f t="shared" si="13"/>
        <v>5</v>
      </c>
      <c r="Z10" s="37">
        <f t="shared" si="14"/>
        <v>15</v>
      </c>
      <c r="AA10" s="37">
        <f t="shared" si="15"/>
        <v>17</v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4">
        <v>1</v>
      </c>
      <c r="AK10" s="154" t="s">
        <v>64</v>
      </c>
      <c r="AL10" s="154">
        <v>50</v>
      </c>
      <c r="AM10" s="154">
        <v>50</v>
      </c>
      <c r="AN10" s="154">
        <v>50</v>
      </c>
      <c r="AO10" s="154">
        <v>50</v>
      </c>
      <c r="AP10" s="154">
        <v>50</v>
      </c>
      <c r="AQ10" s="154">
        <v>50</v>
      </c>
      <c r="AR10" s="154">
        <v>10</v>
      </c>
      <c r="AS10" s="151">
        <v>6</v>
      </c>
    </row>
    <row r="11" spans="1:45" ht="15.9" customHeight="1">
      <c r="A11" s="151" t="str">
        <v>M6</v>
      </c>
      <c r="B11" s="151" t="str">
        <v>M6</v>
      </c>
      <c r="C11" s="153">
        <f t="shared" si="2"/>
        <v>15</v>
      </c>
      <c r="D11" s="153">
        <f t="shared" si="3"/>
        <v>9</v>
      </c>
      <c r="E11" s="153">
        <f t="shared" si="4"/>
        <v>12</v>
      </c>
      <c r="F11" s="153">
        <f t="shared" si="5"/>
        <v>6</v>
      </c>
      <c r="G11" s="153">
        <f t="shared" si="6"/>
        <v>21</v>
      </c>
      <c r="H11" s="153">
        <f t="shared" si="7"/>
        <v>1</v>
      </c>
      <c r="I11" s="153">
        <f t="shared" si="8"/>
        <v>6</v>
      </c>
      <c r="J11" s="151">
        <v>7</v>
      </c>
      <c r="L11" s="14">
        <v>7</v>
      </c>
      <c r="M11" s="38" t="s">
        <v>37</v>
      </c>
      <c r="N11" s="38" t="s">
        <v>65</v>
      </c>
      <c r="O11" s="38" t="s">
        <v>65</v>
      </c>
      <c r="P11" s="38" t="s">
        <v>38</v>
      </c>
      <c r="Q11" s="38" t="s">
        <v>40</v>
      </c>
      <c r="R11" s="38" t="s">
        <v>25</v>
      </c>
      <c r="S11" s="24" t="s">
        <v>40</v>
      </c>
      <c r="U11" s="37">
        <f t="shared" si="9"/>
        <v>13</v>
      </c>
      <c r="V11" s="37">
        <f t="shared" si="10"/>
        <v>17</v>
      </c>
      <c r="W11" s="37">
        <f t="shared" si="11"/>
        <v>17</v>
      </c>
      <c r="X11" s="37">
        <f t="shared" si="12"/>
        <v>15</v>
      </c>
      <c r="Y11" s="37">
        <f t="shared" si="13"/>
        <v>12</v>
      </c>
      <c r="Z11" s="37">
        <f t="shared" si="14"/>
        <v>5</v>
      </c>
      <c r="AA11" s="37">
        <f t="shared" si="15"/>
        <v>12</v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4" t="s">
        <v>89</v>
      </c>
      <c r="AL11" s="154">
        <v>50</v>
      </c>
      <c r="AM11" s="154">
        <v>50</v>
      </c>
      <c r="AN11" s="154">
        <v>50</v>
      </c>
      <c r="AO11" s="154">
        <v>50</v>
      </c>
      <c r="AP11" s="154">
        <v>50</v>
      </c>
      <c r="AQ11" s="154">
        <v>50</v>
      </c>
      <c r="AR11" s="154">
        <v>10</v>
      </c>
      <c r="AS11" s="151">
        <v>7</v>
      </c>
    </row>
    <row r="12" spans="1:45" ht="15.9" customHeight="1">
      <c r="A12" s="24" t="str">
        <v>A</v>
      </c>
      <c r="B12" s="37" t="str">
        <v>A</v>
      </c>
      <c r="C12" s="10">
        <f t="shared" si="2"/>
        <v>11</v>
      </c>
      <c r="D12" s="10">
        <f t="shared" si="3"/>
        <v>16</v>
      </c>
      <c r="E12" s="10">
        <f t="shared" si="4"/>
        <v>10</v>
      </c>
      <c r="F12" s="10">
        <f t="shared" si="5"/>
        <v>20</v>
      </c>
      <c r="G12" s="10">
        <f t="shared" si="6"/>
        <v>2</v>
      </c>
      <c r="H12" s="10">
        <f t="shared" si="7"/>
        <v>31</v>
      </c>
      <c r="I12" s="10">
        <f t="shared" si="8"/>
        <v>5</v>
      </c>
      <c r="J12" s="4">
        <v>8</v>
      </c>
      <c r="L12" s="15">
        <v>8</v>
      </c>
      <c r="M12" s="38" t="s">
        <v>90</v>
      </c>
      <c r="N12" s="38" t="s">
        <v>226</v>
      </c>
      <c r="O12" s="38" t="s">
        <v>35</v>
      </c>
      <c r="P12" s="38" t="s">
        <v>65</v>
      </c>
      <c r="Q12" s="38" t="s">
        <v>35</v>
      </c>
      <c r="R12" s="38" t="s">
        <v>65</v>
      </c>
      <c r="S12" s="24" t="s">
        <v>40</v>
      </c>
      <c r="U12" s="37">
        <f t="shared" si="9"/>
        <v>6</v>
      </c>
      <c r="V12" s="37">
        <f t="shared" si="10"/>
        <v>0</v>
      </c>
      <c r="W12" s="37">
        <f t="shared" si="11"/>
        <v>15</v>
      </c>
      <c r="X12" s="37">
        <f t="shared" si="12"/>
        <v>17</v>
      </c>
      <c r="Y12" s="37">
        <f t="shared" si="13"/>
        <v>15</v>
      </c>
      <c r="Z12" s="37">
        <f t="shared" si="14"/>
        <v>17</v>
      </c>
      <c r="AA12" s="37">
        <f t="shared" si="15"/>
        <v>12</v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4">
        <v>3</v>
      </c>
      <c r="AK12" s="37" t="s">
        <v>24</v>
      </c>
      <c r="AL12" s="37">
        <v>10</v>
      </c>
      <c r="AM12" s="37">
        <v>10</v>
      </c>
      <c r="AN12" s="37">
        <v>40</v>
      </c>
      <c r="AO12" s="37">
        <v>1</v>
      </c>
      <c r="AP12" s="37">
        <v>40</v>
      </c>
      <c r="AQ12" s="37">
        <v>1</v>
      </c>
      <c r="AR12" s="37">
        <v>10</v>
      </c>
      <c r="AS12" s="4">
        <v>8</v>
      </c>
    </row>
    <row r="13" spans="1:45" ht="15.9" customHeight="1">
      <c r="A13" s="24" t="str">
        <v>K</v>
      </c>
      <c r="B13" s="37" t="str">
        <v>K</v>
      </c>
      <c r="C13" s="10">
        <f t="shared" si="2"/>
        <v>16</v>
      </c>
      <c r="D13" s="10">
        <f t="shared" si="3"/>
        <v>9</v>
      </c>
      <c r="E13" s="10">
        <f t="shared" si="4"/>
        <v>12</v>
      </c>
      <c r="F13" s="10">
        <f t="shared" si="5"/>
        <v>5</v>
      </c>
      <c r="G13" s="10">
        <f t="shared" si="6"/>
        <v>16</v>
      </c>
      <c r="H13" s="10">
        <f t="shared" si="7"/>
        <v>4</v>
      </c>
      <c r="I13" s="10">
        <f t="shared" si="8"/>
        <v>13</v>
      </c>
      <c r="J13" s="4">
        <v>9</v>
      </c>
      <c r="L13" s="14">
        <v>9</v>
      </c>
      <c r="M13" s="38" t="s">
        <v>39</v>
      </c>
      <c r="N13" s="38" t="s">
        <v>34</v>
      </c>
      <c r="O13" s="38" t="s">
        <v>35</v>
      </c>
      <c r="P13" s="38" t="s">
        <v>40</v>
      </c>
      <c r="Q13" s="38" t="s">
        <v>35</v>
      </c>
      <c r="R13" s="38" t="s">
        <v>65</v>
      </c>
      <c r="S13" s="24" t="s">
        <v>25</v>
      </c>
      <c r="U13" s="37">
        <f t="shared" si="9"/>
        <v>5</v>
      </c>
      <c r="V13" s="37">
        <f t="shared" si="10"/>
        <v>16</v>
      </c>
      <c r="W13" s="37">
        <f t="shared" si="11"/>
        <v>15</v>
      </c>
      <c r="X13" s="37">
        <f t="shared" si="12"/>
        <v>12</v>
      </c>
      <c r="Y13" s="37">
        <f t="shared" si="13"/>
        <v>15</v>
      </c>
      <c r="Z13" s="37">
        <f t="shared" si="14"/>
        <v>17</v>
      </c>
      <c r="AA13" s="37">
        <f t="shared" si="15"/>
        <v>5</v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4">
        <v>1</v>
      </c>
      <c r="AK13" s="37" t="s">
        <v>26</v>
      </c>
      <c r="AL13" s="37">
        <v>40</v>
      </c>
      <c r="AM13" s="37">
        <v>8</v>
      </c>
      <c r="AN13" s="37">
        <v>25</v>
      </c>
      <c r="AO13" s="37">
        <v>10</v>
      </c>
      <c r="AP13" s="37">
        <v>1</v>
      </c>
      <c r="AQ13" s="37">
        <v>40</v>
      </c>
      <c r="AR13" s="37">
        <v>10</v>
      </c>
      <c r="AS13" s="4">
        <v>9</v>
      </c>
    </row>
    <row r="14" spans="1:45" ht="15.9" customHeight="1">
      <c r="A14" s="24" t="str">
        <v>Q</v>
      </c>
      <c r="B14" s="37" t="str">
        <v>Q</v>
      </c>
      <c r="C14" s="10">
        <f t="shared" si="2"/>
        <v>3</v>
      </c>
      <c r="D14" s="10">
        <f t="shared" si="3"/>
        <v>17</v>
      </c>
      <c r="E14" s="10">
        <f t="shared" si="4"/>
        <v>4</v>
      </c>
      <c r="F14" s="10">
        <f t="shared" si="5"/>
        <v>19</v>
      </c>
      <c r="G14" s="10">
        <f t="shared" si="6"/>
        <v>2</v>
      </c>
      <c r="H14" s="10">
        <f t="shared" si="7"/>
        <v>22</v>
      </c>
      <c r="I14" s="10">
        <f t="shared" si="8"/>
        <v>15</v>
      </c>
      <c r="J14" s="4">
        <v>10</v>
      </c>
      <c r="L14" s="15">
        <v>10</v>
      </c>
      <c r="M14" s="38" t="s">
        <v>39</v>
      </c>
      <c r="N14" s="38" t="s">
        <v>34</v>
      </c>
      <c r="O14" s="38" t="s">
        <v>35</v>
      </c>
      <c r="P14" s="38" t="s">
        <v>40</v>
      </c>
      <c r="Q14" s="38" t="s">
        <v>39</v>
      </c>
      <c r="R14" s="38" t="s">
        <v>40</v>
      </c>
      <c r="S14" s="24" t="s">
        <v>35</v>
      </c>
      <c r="U14" s="37">
        <f t="shared" si="9"/>
        <v>5</v>
      </c>
      <c r="V14" s="37">
        <f t="shared" si="10"/>
        <v>16</v>
      </c>
      <c r="W14" s="37">
        <f t="shared" si="11"/>
        <v>15</v>
      </c>
      <c r="X14" s="37">
        <f t="shared" si="12"/>
        <v>12</v>
      </c>
      <c r="Y14" s="37">
        <f t="shared" si="13"/>
        <v>5</v>
      </c>
      <c r="Z14" s="37">
        <f t="shared" si="14"/>
        <v>12</v>
      </c>
      <c r="AA14" s="37">
        <f t="shared" si="15"/>
        <v>15</v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10</v>
      </c>
      <c r="AM14" s="37">
        <v>40</v>
      </c>
      <c r="AN14" s="37">
        <v>40</v>
      </c>
      <c r="AO14" s="37">
        <v>10</v>
      </c>
      <c r="AP14" s="37">
        <v>40</v>
      </c>
      <c r="AQ14" s="37">
        <v>1</v>
      </c>
      <c r="AR14" s="37">
        <v>10</v>
      </c>
      <c r="AS14" s="4">
        <v>10</v>
      </c>
    </row>
    <row r="15" spans="1:45" ht="15.9" customHeight="1">
      <c r="A15" s="24" t="str">
        <v>J</v>
      </c>
      <c r="B15" s="37" t="str">
        <v>J</v>
      </c>
      <c r="C15" s="10">
        <f t="shared" si="2"/>
        <v>25</v>
      </c>
      <c r="D15" s="10">
        <f t="shared" si="3"/>
        <v>1</v>
      </c>
      <c r="E15" s="10">
        <f t="shared" si="4"/>
        <v>20</v>
      </c>
      <c r="F15" s="10">
        <f t="shared" si="5"/>
        <v>6</v>
      </c>
      <c r="G15" s="10">
        <f t="shared" si="6"/>
        <v>27</v>
      </c>
      <c r="H15" s="10">
        <f t="shared" si="7"/>
        <v>5</v>
      </c>
      <c r="I15" s="10">
        <f t="shared" si="8"/>
        <v>5</v>
      </c>
      <c r="J15" s="4">
        <v>11</v>
      </c>
      <c r="L15" s="14">
        <v>11</v>
      </c>
      <c r="M15" s="38" t="s">
        <v>34</v>
      </c>
      <c r="N15" s="38" t="s">
        <v>38</v>
      </c>
      <c r="O15" s="38" t="s">
        <v>90</v>
      </c>
      <c r="P15" s="38" t="s">
        <v>90</v>
      </c>
      <c r="Q15" s="38" t="s">
        <v>90</v>
      </c>
      <c r="R15" s="38" t="s">
        <v>40</v>
      </c>
      <c r="S15" s="24" t="s">
        <v>40</v>
      </c>
      <c r="U15" s="37">
        <f t="shared" si="9"/>
        <v>16</v>
      </c>
      <c r="V15" s="37">
        <f t="shared" si="10"/>
        <v>15</v>
      </c>
      <c r="W15" s="37">
        <f t="shared" si="11"/>
        <v>6</v>
      </c>
      <c r="X15" s="37">
        <f t="shared" si="12"/>
        <v>6</v>
      </c>
      <c r="Y15" s="37">
        <f t="shared" si="13"/>
        <v>6</v>
      </c>
      <c r="Z15" s="37">
        <f t="shared" si="14"/>
        <v>12</v>
      </c>
      <c r="AA15" s="37">
        <f t="shared" si="15"/>
        <v>12</v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4">
        <v>1</v>
      </c>
      <c r="AK15" s="37" t="s">
        <v>28</v>
      </c>
      <c r="AL15" s="37">
        <v>40</v>
      </c>
      <c r="AM15" s="37">
        <v>40</v>
      </c>
      <c r="AN15" s="37">
        <v>40</v>
      </c>
      <c r="AO15" s="37">
        <v>1</v>
      </c>
      <c r="AP15" s="37">
        <v>1</v>
      </c>
      <c r="AQ15" s="37">
        <v>1</v>
      </c>
      <c r="AR15" s="37">
        <v>10</v>
      </c>
      <c r="AS15" s="4">
        <v>11</v>
      </c>
    </row>
    <row r="16" spans="1:45" ht="15.9" customHeight="1">
      <c r="A16" s="37" t="str">
        <v>TE</v>
      </c>
      <c r="B16" s="37" t="str">
        <v>TE</v>
      </c>
      <c r="C16" s="10">
        <f t="shared" si="2"/>
        <v>19</v>
      </c>
      <c r="D16" s="10">
        <f t="shared" si="3"/>
        <v>15</v>
      </c>
      <c r="E16" s="10">
        <f t="shared" si="4"/>
        <v>6</v>
      </c>
      <c r="F16" s="10">
        <f t="shared" si="5"/>
        <v>13</v>
      </c>
      <c r="G16" s="10">
        <f t="shared" si="6"/>
        <v>10</v>
      </c>
      <c r="H16" s="10">
        <f t="shared" si="7"/>
        <v>18</v>
      </c>
      <c r="I16" s="10">
        <f t="shared" si="8"/>
        <v>12</v>
      </c>
      <c r="J16" s="4">
        <v>12</v>
      </c>
      <c r="L16" s="15">
        <v>12</v>
      </c>
      <c r="M16" s="38" t="s">
        <v>90</v>
      </c>
      <c r="N16" s="38" t="s">
        <v>38</v>
      </c>
      <c r="O16" s="38" t="s">
        <v>39</v>
      </c>
      <c r="P16" s="38" t="s">
        <v>38</v>
      </c>
      <c r="Q16" s="38" t="s">
        <v>90</v>
      </c>
      <c r="R16" s="38" t="s">
        <v>40</v>
      </c>
      <c r="S16" s="24" t="s">
        <v>40</v>
      </c>
      <c r="U16" s="37">
        <f t="shared" si="9"/>
        <v>6</v>
      </c>
      <c r="V16" s="37">
        <f t="shared" si="10"/>
        <v>15</v>
      </c>
      <c r="W16" s="37">
        <f t="shared" si="11"/>
        <v>5</v>
      </c>
      <c r="X16" s="37">
        <f t="shared" si="12"/>
        <v>15</v>
      </c>
      <c r="Y16" s="37">
        <f t="shared" si="13"/>
        <v>6</v>
      </c>
      <c r="Z16" s="37">
        <f t="shared" si="14"/>
        <v>12</v>
      </c>
      <c r="AA16" s="37">
        <f t="shared" si="15"/>
        <v>12</v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4">
        <v>3</v>
      </c>
      <c r="AK16" s="37" t="s">
        <v>29</v>
      </c>
      <c r="AL16" s="37">
        <v>5</v>
      </c>
      <c r="AM16" s="37">
        <v>40</v>
      </c>
      <c r="AN16" s="37">
        <v>20</v>
      </c>
      <c r="AO16" s="37">
        <v>1</v>
      </c>
      <c r="AP16" s="37">
        <v>1</v>
      </c>
      <c r="AQ16" s="37">
        <v>1</v>
      </c>
      <c r="AR16" s="37">
        <v>10</v>
      </c>
      <c r="AS16" s="4">
        <v>12</v>
      </c>
    </row>
    <row r="17" spans="1:45" ht="15.9" customHeight="1">
      <c r="A17" s="154" t="str">
        <v>G1</v>
      </c>
      <c r="B17" s="151" t="str">
        <v>Golden M1</v>
      </c>
      <c r="C17" s="153">
        <f t="shared" si="2"/>
        <v>0</v>
      </c>
      <c r="D17" s="153">
        <f t="shared" si="3"/>
        <v>1</v>
      </c>
      <c r="E17" s="153">
        <f t="shared" si="4"/>
        <v>0</v>
      </c>
      <c r="F17" s="153">
        <f t="shared" si="5"/>
        <v>0</v>
      </c>
      <c r="G17" s="153">
        <f t="shared" si="6"/>
        <v>0</v>
      </c>
      <c r="H17" s="153">
        <f t="shared" si="7"/>
        <v>0</v>
      </c>
      <c r="I17" s="153">
        <f t="shared" si="8"/>
        <v>0</v>
      </c>
      <c r="J17" s="151">
        <v>13</v>
      </c>
      <c r="L17" s="14">
        <v>13</v>
      </c>
      <c r="M17" s="38" t="s">
        <v>90</v>
      </c>
      <c r="N17" s="38" t="s">
        <v>234</v>
      </c>
      <c r="O17" s="38" t="s">
        <v>39</v>
      </c>
      <c r="P17" s="38" t="s">
        <v>38</v>
      </c>
      <c r="Q17" s="38" t="s">
        <v>230</v>
      </c>
      <c r="R17" s="38" t="s">
        <v>38</v>
      </c>
      <c r="S17" s="24" t="s">
        <v>40</v>
      </c>
      <c r="U17" s="37">
        <f t="shared" si="9"/>
        <v>6</v>
      </c>
      <c r="V17" s="37">
        <f t="shared" si="10"/>
        <v>0</v>
      </c>
      <c r="W17" s="37">
        <f t="shared" si="11"/>
        <v>5</v>
      </c>
      <c r="X17" s="37">
        <f t="shared" si="12"/>
        <v>15</v>
      </c>
      <c r="Y17" s="37">
        <f t="shared" si="13"/>
        <v>0</v>
      </c>
      <c r="Z17" s="37">
        <f t="shared" si="14"/>
        <v>15</v>
      </c>
      <c r="AA17" s="37">
        <f t="shared" si="15"/>
        <v>12</v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4" t="s">
        <v>222</v>
      </c>
      <c r="AL17" s="154">
        <v>0</v>
      </c>
      <c r="AM17" s="154">
        <v>3</v>
      </c>
      <c r="AN17" s="154">
        <v>3</v>
      </c>
      <c r="AO17" s="154">
        <v>3</v>
      </c>
      <c r="AP17" s="154">
        <v>3</v>
      </c>
      <c r="AQ17" s="154">
        <v>0</v>
      </c>
      <c r="AR17" s="154">
        <v>0</v>
      </c>
      <c r="AS17" s="151">
        <v>13</v>
      </c>
    </row>
    <row r="18" spans="1:45" s="148" customFormat="1" ht="15.9" customHeight="1">
      <c r="A18" s="154" t="str">
        <v>G2</v>
      </c>
      <c r="B18" s="151" t="str">
        <v>Golden M2</v>
      </c>
      <c r="C18" s="153">
        <f t="shared" si="2"/>
        <v>0</v>
      </c>
      <c r="D18" s="153">
        <f t="shared" si="3"/>
        <v>1</v>
      </c>
      <c r="E18" s="153">
        <f t="shared" si="4"/>
        <v>1</v>
      </c>
      <c r="F18" s="153">
        <f t="shared" si="5"/>
        <v>0</v>
      </c>
      <c r="G18" s="153">
        <f t="shared" si="6"/>
        <v>1</v>
      </c>
      <c r="H18" s="153">
        <f t="shared" si="7"/>
        <v>0</v>
      </c>
      <c r="I18" s="153">
        <f t="shared" si="8"/>
        <v>0</v>
      </c>
      <c r="J18" s="151">
        <v>14</v>
      </c>
      <c r="K18" s="32"/>
      <c r="L18" s="15">
        <v>14</v>
      </c>
      <c r="M18" s="38" t="s">
        <v>38</v>
      </c>
      <c r="N18" s="38" t="s">
        <v>32</v>
      </c>
      <c r="O18" s="38" t="s">
        <v>39</v>
      </c>
      <c r="P18" s="38" t="s">
        <v>39</v>
      </c>
      <c r="Q18" s="38" t="s">
        <v>65</v>
      </c>
      <c r="R18" s="38" t="s">
        <v>39</v>
      </c>
      <c r="S18" s="24" t="s">
        <v>37</v>
      </c>
      <c r="U18" s="37">
        <f t="shared" si="9"/>
        <v>15</v>
      </c>
      <c r="V18" s="37">
        <f t="shared" si="10"/>
        <v>4</v>
      </c>
      <c r="W18" s="37">
        <f t="shared" si="11"/>
        <v>5</v>
      </c>
      <c r="X18" s="37">
        <f t="shared" si="12"/>
        <v>5</v>
      </c>
      <c r="Y18" s="37">
        <f t="shared" si="13"/>
        <v>17</v>
      </c>
      <c r="Z18" s="37">
        <f t="shared" si="14"/>
        <v>5</v>
      </c>
      <c r="AA18" s="37">
        <f t="shared" si="15"/>
        <v>13</v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4">
        <v>1</v>
      </c>
      <c r="AK18" s="154" t="s">
        <v>224</v>
      </c>
      <c r="AL18" s="154">
        <v>0</v>
      </c>
      <c r="AM18" s="154">
        <v>4</v>
      </c>
      <c r="AN18" s="154">
        <v>4</v>
      </c>
      <c r="AO18" s="154">
        <v>2</v>
      </c>
      <c r="AP18" s="154">
        <v>2</v>
      </c>
      <c r="AQ18" s="154">
        <v>0</v>
      </c>
      <c r="AR18" s="154">
        <v>0</v>
      </c>
      <c r="AS18" s="151">
        <v>14</v>
      </c>
    </row>
    <row r="19" spans="1:45" ht="15.9" customHeight="1">
      <c r="A19" s="154" t="str">
        <v>G3</v>
      </c>
      <c r="B19" s="151" t="str">
        <v>Golden M3</v>
      </c>
      <c r="C19" s="153">
        <f t="shared" si="2"/>
        <v>0</v>
      </c>
      <c r="D19" s="153">
        <f t="shared" si="3"/>
        <v>1</v>
      </c>
      <c r="E19" s="153">
        <f t="shared" si="4"/>
        <v>1</v>
      </c>
      <c r="F19" s="153">
        <f t="shared" si="5"/>
        <v>1</v>
      </c>
      <c r="G19" s="153">
        <f t="shared" si="6"/>
        <v>1</v>
      </c>
      <c r="H19" s="153">
        <f t="shared" si="7"/>
        <v>0</v>
      </c>
      <c r="I19" s="153">
        <f t="shared" si="8"/>
        <v>0</v>
      </c>
      <c r="J19" s="151">
        <v>15</v>
      </c>
      <c r="K19" s="42"/>
      <c r="L19" s="14">
        <v>15</v>
      </c>
      <c r="M19" s="38" t="s">
        <v>40</v>
      </c>
      <c r="N19" s="38" t="s">
        <v>222</v>
      </c>
      <c r="O19" s="38" t="s">
        <v>90</v>
      </c>
      <c r="P19" s="38" t="s">
        <v>39</v>
      </c>
      <c r="Q19" s="38" t="s">
        <v>232</v>
      </c>
      <c r="R19" s="38" t="s">
        <v>65</v>
      </c>
      <c r="S19" s="24" t="s">
        <v>37</v>
      </c>
      <c r="U19" s="37">
        <f t="shared" si="9"/>
        <v>12</v>
      </c>
      <c r="V19" s="37">
        <f t="shared" si="10"/>
        <v>0</v>
      </c>
      <c r="W19" s="37">
        <f t="shared" si="11"/>
        <v>6</v>
      </c>
      <c r="X19" s="37">
        <f t="shared" si="12"/>
        <v>5</v>
      </c>
      <c r="Y19" s="37">
        <f t="shared" si="13"/>
        <v>0</v>
      </c>
      <c r="Z19" s="37">
        <f t="shared" si="14"/>
        <v>17</v>
      </c>
      <c r="AA19" s="37">
        <f t="shared" si="15"/>
        <v>13</v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4">
        <v>1</v>
      </c>
      <c r="AK19" s="154" t="s">
        <v>226</v>
      </c>
      <c r="AL19" s="154">
        <v>0</v>
      </c>
      <c r="AM19" s="154">
        <v>5</v>
      </c>
      <c r="AN19" s="154">
        <v>5</v>
      </c>
      <c r="AO19" s="154">
        <v>2</v>
      </c>
      <c r="AP19" s="154">
        <v>2</v>
      </c>
      <c r="AQ19" s="154">
        <v>0</v>
      </c>
      <c r="AR19" s="154">
        <v>0</v>
      </c>
      <c r="AS19" s="151">
        <v>15</v>
      </c>
    </row>
    <row r="20" spans="1:45" ht="15.9" customHeight="1">
      <c r="A20" s="154" t="str">
        <v>G4</v>
      </c>
      <c r="B20" s="151" t="str">
        <v>Golden M4</v>
      </c>
      <c r="C20" s="153">
        <f t="shared" si="2"/>
        <v>0</v>
      </c>
      <c r="D20" s="153">
        <f t="shared" si="3"/>
        <v>1</v>
      </c>
      <c r="E20" s="153">
        <f t="shared" si="4"/>
        <v>1</v>
      </c>
      <c r="F20" s="153">
        <f t="shared" si="5"/>
        <v>0</v>
      </c>
      <c r="G20" s="153">
        <f t="shared" si="6"/>
        <v>1</v>
      </c>
      <c r="H20" s="153">
        <f t="shared" si="7"/>
        <v>0</v>
      </c>
      <c r="I20" s="153">
        <f t="shared" si="8"/>
        <v>0</v>
      </c>
      <c r="J20" s="151">
        <v>16</v>
      </c>
      <c r="L20" s="15">
        <v>16</v>
      </c>
      <c r="M20" s="38" t="s">
        <v>40</v>
      </c>
      <c r="N20" s="38" t="s">
        <v>40</v>
      </c>
      <c r="O20" s="38" t="s">
        <v>90</v>
      </c>
      <c r="P20" s="38" t="s">
        <v>25</v>
      </c>
      <c r="Q20" s="38" t="s">
        <v>90</v>
      </c>
      <c r="R20" s="38" t="s">
        <v>25</v>
      </c>
      <c r="S20" s="24" t="s">
        <v>37</v>
      </c>
      <c r="U20" s="37">
        <f t="shared" si="9"/>
        <v>12</v>
      </c>
      <c r="V20" s="37">
        <f t="shared" si="10"/>
        <v>12</v>
      </c>
      <c r="W20" s="37">
        <f t="shared" si="11"/>
        <v>6</v>
      </c>
      <c r="X20" s="37">
        <f t="shared" si="12"/>
        <v>5</v>
      </c>
      <c r="Y20" s="37">
        <f t="shared" si="13"/>
        <v>6</v>
      </c>
      <c r="Z20" s="37">
        <f t="shared" si="14"/>
        <v>5</v>
      </c>
      <c r="AA20" s="37">
        <f t="shared" si="15"/>
        <v>13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4">
        <v>3</v>
      </c>
      <c r="AK20" s="154" t="s">
        <v>228</v>
      </c>
      <c r="AL20" s="154">
        <v>0</v>
      </c>
      <c r="AM20" s="154">
        <v>5</v>
      </c>
      <c r="AN20" s="154">
        <v>5</v>
      </c>
      <c r="AO20" s="154">
        <v>5</v>
      </c>
      <c r="AP20" s="154">
        <v>8</v>
      </c>
      <c r="AQ20" s="154">
        <v>0</v>
      </c>
      <c r="AR20" s="154">
        <v>0</v>
      </c>
      <c r="AS20" s="151">
        <v>16</v>
      </c>
    </row>
    <row r="21" spans="1:45" ht="15.9" customHeight="1">
      <c r="A21" s="154" t="str">
        <v>G5</v>
      </c>
      <c r="B21" s="151" t="str">
        <v>Golden M5</v>
      </c>
      <c r="C21" s="153">
        <f t="shared" si="2"/>
        <v>0</v>
      </c>
      <c r="D21" s="153">
        <f t="shared" si="3"/>
        <v>4</v>
      </c>
      <c r="E21" s="153">
        <f t="shared" si="4"/>
        <v>1</v>
      </c>
      <c r="F21" s="153">
        <f t="shared" si="5"/>
        <v>1</v>
      </c>
      <c r="G21" s="153">
        <f t="shared" si="6"/>
        <v>1</v>
      </c>
      <c r="H21" s="153">
        <f t="shared" si="7"/>
        <v>0</v>
      </c>
      <c r="I21" s="153">
        <f t="shared" si="8"/>
        <v>0</v>
      </c>
      <c r="J21" s="151">
        <v>17</v>
      </c>
      <c r="L21" s="14">
        <v>17</v>
      </c>
      <c r="M21" s="38" t="s">
        <v>39</v>
      </c>
      <c r="N21" s="38" t="s">
        <v>40</v>
      </c>
      <c r="O21" s="38" t="s">
        <v>37</v>
      </c>
      <c r="P21" s="38" t="s">
        <v>25</v>
      </c>
      <c r="Q21" s="38" t="s">
        <v>90</v>
      </c>
      <c r="R21" s="38" t="s">
        <v>65</v>
      </c>
      <c r="S21" s="24" t="s">
        <v>65</v>
      </c>
      <c r="U21" s="37">
        <f t="shared" si="9"/>
        <v>5</v>
      </c>
      <c r="V21" s="37">
        <f t="shared" si="10"/>
        <v>12</v>
      </c>
      <c r="W21" s="37">
        <f t="shared" si="11"/>
        <v>13</v>
      </c>
      <c r="X21" s="37">
        <f t="shared" si="12"/>
        <v>5</v>
      </c>
      <c r="Y21" s="37">
        <f t="shared" si="13"/>
        <v>6</v>
      </c>
      <c r="Z21" s="37">
        <f t="shared" si="14"/>
        <v>17</v>
      </c>
      <c r="AA21" s="37">
        <f t="shared" si="15"/>
        <v>17</v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4" t="s">
        <v>230</v>
      </c>
      <c r="AL21" s="154">
        <v>0</v>
      </c>
      <c r="AM21" s="154">
        <v>15</v>
      </c>
      <c r="AN21" s="154">
        <v>15</v>
      </c>
      <c r="AO21" s="154">
        <v>10</v>
      </c>
      <c r="AP21" s="154">
        <v>15</v>
      </c>
      <c r="AQ21" s="154">
        <v>0</v>
      </c>
      <c r="AR21" s="154">
        <v>0</v>
      </c>
      <c r="AS21" s="151">
        <v>17</v>
      </c>
    </row>
    <row r="22" spans="1:45" ht="15.9" customHeight="1">
      <c r="A22" s="154" t="str">
        <v>G6</v>
      </c>
      <c r="B22" s="151" t="str">
        <v>Golden M6</v>
      </c>
      <c r="C22" s="153">
        <f t="shared" si="2"/>
        <v>0</v>
      </c>
      <c r="D22" s="153">
        <f t="shared" si="3"/>
        <v>4</v>
      </c>
      <c r="E22" s="153">
        <f t="shared" si="4"/>
        <v>2</v>
      </c>
      <c r="F22" s="153">
        <f t="shared" si="5"/>
        <v>1</v>
      </c>
      <c r="G22" s="153">
        <f t="shared" si="6"/>
        <v>1</v>
      </c>
      <c r="H22" s="153">
        <f t="shared" si="7"/>
        <v>0</v>
      </c>
      <c r="I22" s="153">
        <f t="shared" si="8"/>
        <v>0</v>
      </c>
      <c r="J22" s="151">
        <v>18</v>
      </c>
      <c r="L22" s="15">
        <v>18</v>
      </c>
      <c r="M22" s="38" t="s">
        <v>39</v>
      </c>
      <c r="N22" s="38" t="s">
        <v>90</v>
      </c>
      <c r="O22" s="38" t="s">
        <v>65</v>
      </c>
      <c r="P22" s="38" t="s">
        <v>34</v>
      </c>
      <c r="Q22" s="38" t="s">
        <v>37</v>
      </c>
      <c r="R22" s="38" t="s">
        <v>65</v>
      </c>
      <c r="S22" s="38" t="s">
        <v>34</v>
      </c>
      <c r="U22" s="37">
        <f t="shared" si="9"/>
        <v>5</v>
      </c>
      <c r="V22" s="37">
        <f t="shared" si="10"/>
        <v>6</v>
      </c>
      <c r="W22" s="37">
        <f t="shared" si="11"/>
        <v>17</v>
      </c>
      <c r="X22" s="37">
        <f t="shared" si="12"/>
        <v>16</v>
      </c>
      <c r="Y22" s="37">
        <f t="shared" si="13"/>
        <v>13</v>
      </c>
      <c r="Z22" s="37">
        <f t="shared" si="14"/>
        <v>17</v>
      </c>
      <c r="AA22" s="37">
        <f t="shared" si="15"/>
        <v>16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4">
        <v>1</v>
      </c>
      <c r="AK22" s="154" t="s">
        <v>232</v>
      </c>
      <c r="AL22" s="154">
        <v>0</v>
      </c>
      <c r="AM22" s="154">
        <v>10</v>
      </c>
      <c r="AN22" s="154">
        <v>15</v>
      </c>
      <c r="AO22" s="154">
        <v>15</v>
      </c>
      <c r="AP22" s="154">
        <v>10</v>
      </c>
      <c r="AQ22" s="154">
        <v>0</v>
      </c>
      <c r="AR22" s="154">
        <v>0</v>
      </c>
      <c r="AS22" s="151">
        <v>18</v>
      </c>
    </row>
    <row r="23" spans="1:45" ht="15.9" customHeight="1">
      <c r="A23" s="37" t="str">
        <v>GA</v>
      </c>
      <c r="B23" s="4" t="str">
        <v>Golden A</v>
      </c>
      <c r="C23" s="10">
        <f t="shared" si="2"/>
        <v>0</v>
      </c>
      <c r="D23" s="10">
        <f t="shared" si="3"/>
        <v>2</v>
      </c>
      <c r="E23" s="10">
        <f t="shared" si="4"/>
        <v>1</v>
      </c>
      <c r="F23" s="10">
        <f t="shared" si="5"/>
        <v>1</v>
      </c>
      <c r="G23" s="10">
        <f t="shared" si="6"/>
        <v>0</v>
      </c>
      <c r="H23" s="10">
        <f t="shared" si="7"/>
        <v>0</v>
      </c>
      <c r="I23" s="10">
        <f t="shared" si="8"/>
        <v>0</v>
      </c>
      <c r="J23" s="4">
        <v>19</v>
      </c>
      <c r="L23" s="14">
        <v>19</v>
      </c>
      <c r="M23" s="38" t="s">
        <v>90</v>
      </c>
      <c r="N23" s="38" t="s">
        <v>25</v>
      </c>
      <c r="O23" s="38" t="s">
        <v>37</v>
      </c>
      <c r="P23" s="38" t="s">
        <v>25</v>
      </c>
      <c r="Q23" s="38" t="s">
        <v>90</v>
      </c>
      <c r="R23" s="38" t="s">
        <v>65</v>
      </c>
      <c r="S23" s="24" t="s">
        <v>34</v>
      </c>
      <c r="U23" s="37">
        <f t="shared" si="9"/>
        <v>6</v>
      </c>
      <c r="V23" s="37">
        <f t="shared" si="10"/>
        <v>5</v>
      </c>
      <c r="W23" s="37">
        <f t="shared" si="11"/>
        <v>13</v>
      </c>
      <c r="X23" s="37">
        <f t="shared" si="12"/>
        <v>5</v>
      </c>
      <c r="Y23" s="37">
        <f t="shared" si="13"/>
        <v>6</v>
      </c>
      <c r="Z23" s="37">
        <f t="shared" si="14"/>
        <v>17</v>
      </c>
      <c r="AA23" s="37">
        <f t="shared" si="15"/>
        <v>16</v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0</v>
      </c>
      <c r="AM23" s="37">
        <v>12</v>
      </c>
      <c r="AN23" s="37">
        <v>12</v>
      </c>
      <c r="AO23" s="37">
        <v>4</v>
      </c>
      <c r="AP23" s="37">
        <v>6</v>
      </c>
      <c r="AQ23" s="37">
        <v>0</v>
      </c>
      <c r="AR23" s="37">
        <v>0</v>
      </c>
      <c r="AS23" s="4">
        <v>19</v>
      </c>
    </row>
    <row r="24" spans="1:45" ht="15.9" customHeight="1">
      <c r="A24" s="37" t="str">
        <v>GK</v>
      </c>
      <c r="B24" s="4" t="str">
        <v>Golden K</v>
      </c>
      <c r="C24" s="10">
        <f t="shared" si="2"/>
        <v>0</v>
      </c>
      <c r="D24" s="10">
        <f t="shared" si="3"/>
        <v>1</v>
      </c>
      <c r="E24" s="10">
        <f t="shared" si="4"/>
        <v>1</v>
      </c>
      <c r="F24" s="10">
        <f t="shared" si="5"/>
        <v>1</v>
      </c>
      <c r="G24" s="10">
        <f t="shared" si="6"/>
        <v>1</v>
      </c>
      <c r="H24" s="10">
        <f t="shared" si="7"/>
        <v>0</v>
      </c>
      <c r="I24" s="10">
        <f t="shared" si="8"/>
        <v>0</v>
      </c>
      <c r="J24" s="4">
        <v>20</v>
      </c>
      <c r="L24" s="15">
        <v>20</v>
      </c>
      <c r="M24" s="38" t="s">
        <v>39</v>
      </c>
      <c r="N24" s="38" t="s">
        <v>40</v>
      </c>
      <c r="O24" s="38" t="s">
        <v>37</v>
      </c>
      <c r="P24" s="38" t="s">
        <v>25</v>
      </c>
      <c r="Q24" s="38" t="s">
        <v>34</v>
      </c>
      <c r="R24" s="38" t="s">
        <v>38</v>
      </c>
      <c r="S24" s="24" t="s">
        <v>34</v>
      </c>
      <c r="U24" s="37">
        <f t="shared" si="9"/>
        <v>5</v>
      </c>
      <c r="V24" s="37">
        <f t="shared" si="10"/>
        <v>12</v>
      </c>
      <c r="W24" s="37">
        <f t="shared" si="11"/>
        <v>13</v>
      </c>
      <c r="X24" s="37">
        <f t="shared" si="12"/>
        <v>5</v>
      </c>
      <c r="Y24" s="37">
        <f t="shared" si="13"/>
        <v>16</v>
      </c>
      <c r="Z24" s="37">
        <f t="shared" si="14"/>
        <v>15</v>
      </c>
      <c r="AA24" s="37">
        <f t="shared" si="15"/>
        <v>16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4">
        <v>3</v>
      </c>
      <c r="AK24" s="37" t="s">
        <v>236</v>
      </c>
      <c r="AL24" s="37">
        <v>0</v>
      </c>
      <c r="AM24" s="37">
        <v>8</v>
      </c>
      <c r="AN24" s="37">
        <v>12</v>
      </c>
      <c r="AO24" s="37">
        <v>4</v>
      </c>
      <c r="AP24" s="37">
        <v>4</v>
      </c>
      <c r="AQ24" s="37">
        <v>0</v>
      </c>
      <c r="AR24" s="37">
        <v>0</v>
      </c>
      <c r="AS24" s="4">
        <v>20</v>
      </c>
    </row>
    <row r="25" spans="1:45" ht="16.5" customHeight="1">
      <c r="A25" s="37" t="str">
        <v>GQ</v>
      </c>
      <c r="B25" s="4" t="str">
        <v>Golden Q</v>
      </c>
      <c r="C25" s="10">
        <f t="shared" si="2"/>
        <v>0</v>
      </c>
      <c r="D25" s="10">
        <f t="shared" si="3"/>
        <v>1</v>
      </c>
      <c r="E25" s="10">
        <f t="shared" si="4"/>
        <v>1</v>
      </c>
      <c r="F25" s="10">
        <f t="shared" si="5"/>
        <v>3</v>
      </c>
      <c r="G25" s="10">
        <f t="shared" si="6"/>
        <v>0</v>
      </c>
      <c r="H25" s="10">
        <f t="shared" si="7"/>
        <v>0</v>
      </c>
      <c r="I25" s="10">
        <f t="shared" si="8"/>
        <v>0</v>
      </c>
      <c r="J25" s="4">
        <v>21</v>
      </c>
      <c r="L25" s="14">
        <v>21</v>
      </c>
      <c r="M25" s="38" t="s">
        <v>40</v>
      </c>
      <c r="N25" s="38" t="s">
        <v>232</v>
      </c>
      <c r="O25" s="38" t="s">
        <v>37</v>
      </c>
      <c r="P25" s="38" t="s">
        <v>238</v>
      </c>
      <c r="Q25" s="38" t="s">
        <v>34</v>
      </c>
      <c r="R25" s="38" t="s">
        <v>38</v>
      </c>
      <c r="S25" s="24" t="s">
        <v>38</v>
      </c>
      <c r="U25" s="37">
        <f t="shared" si="9"/>
        <v>12</v>
      </c>
      <c r="V25" s="37">
        <f t="shared" si="10"/>
        <v>0</v>
      </c>
      <c r="W25" s="37">
        <f t="shared" si="11"/>
        <v>13</v>
      </c>
      <c r="X25" s="37">
        <f t="shared" si="12"/>
        <v>0</v>
      </c>
      <c r="Y25" s="37">
        <f t="shared" si="13"/>
        <v>16</v>
      </c>
      <c r="Z25" s="37">
        <f t="shared" si="14"/>
        <v>15</v>
      </c>
      <c r="AA25" s="37">
        <f t="shared" si="15"/>
        <v>15</v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4">
        <v>1</v>
      </c>
      <c r="AK25" s="37" t="s">
        <v>238</v>
      </c>
      <c r="AL25" s="37">
        <v>0</v>
      </c>
      <c r="AM25" s="37">
        <v>10</v>
      </c>
      <c r="AN25" s="37">
        <v>6</v>
      </c>
      <c r="AO25" s="37">
        <v>2</v>
      </c>
      <c r="AP25" s="37">
        <v>8</v>
      </c>
      <c r="AQ25" s="37">
        <v>0</v>
      </c>
      <c r="AR25" s="37">
        <v>0</v>
      </c>
      <c r="AS25" s="4">
        <v>21</v>
      </c>
    </row>
    <row r="26" spans="1:45" ht="16.5" customHeight="1">
      <c r="A26" s="37" t="str">
        <v>GJ</v>
      </c>
      <c r="B26" s="4" t="str">
        <v>Golden J</v>
      </c>
      <c r="C26" s="10">
        <f t="shared" si="2"/>
        <v>0</v>
      </c>
      <c r="D26" s="10">
        <f t="shared" si="3"/>
        <v>1</v>
      </c>
      <c r="E26" s="10">
        <f t="shared" si="4"/>
        <v>1</v>
      </c>
      <c r="F26" s="10">
        <f t="shared" si="5"/>
        <v>0</v>
      </c>
      <c r="G26" s="10">
        <f t="shared" si="6"/>
        <v>1</v>
      </c>
      <c r="H26" s="10">
        <f t="shared" si="7"/>
        <v>0</v>
      </c>
      <c r="I26" s="10">
        <f t="shared" si="8"/>
        <v>0</v>
      </c>
      <c r="J26" s="4">
        <v>22</v>
      </c>
      <c r="L26" s="15">
        <v>22</v>
      </c>
      <c r="M26" s="38" t="s">
        <v>90</v>
      </c>
      <c r="N26" s="38" t="s">
        <v>37</v>
      </c>
      <c r="O26" s="38" t="s">
        <v>39</v>
      </c>
      <c r="P26" s="38" t="s">
        <v>38</v>
      </c>
      <c r="Q26" s="38" t="s">
        <v>37</v>
      </c>
      <c r="R26" s="38" t="s">
        <v>38</v>
      </c>
      <c r="S26" s="24" t="s">
        <v>37</v>
      </c>
      <c r="U26" s="37">
        <f t="shared" si="9"/>
        <v>6</v>
      </c>
      <c r="V26" s="37">
        <f t="shared" si="10"/>
        <v>13</v>
      </c>
      <c r="W26" s="37">
        <f t="shared" si="11"/>
        <v>5</v>
      </c>
      <c r="X26" s="37">
        <f t="shared" si="12"/>
        <v>15</v>
      </c>
      <c r="Y26" s="37">
        <f t="shared" si="13"/>
        <v>13</v>
      </c>
      <c r="Z26" s="37">
        <f t="shared" si="14"/>
        <v>15</v>
      </c>
      <c r="AA26" s="37">
        <f t="shared" si="15"/>
        <v>13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0</v>
      </c>
      <c r="AM26" s="37">
        <v>5</v>
      </c>
      <c r="AN26" s="37">
        <v>6</v>
      </c>
      <c r="AO26" s="37">
        <v>2</v>
      </c>
      <c r="AP26" s="37">
        <v>4</v>
      </c>
      <c r="AQ26" s="37">
        <v>0</v>
      </c>
      <c r="AR26" s="37">
        <v>0</v>
      </c>
      <c r="AS26" s="4">
        <v>22</v>
      </c>
    </row>
    <row r="27" spans="1:45" ht="16.5" customHeight="1">
      <c r="A27" s="37" t="str">
        <v>GT</v>
      </c>
      <c r="B27" s="37" t="str">
        <v>Golden TE</v>
      </c>
      <c r="C27" s="10">
        <f t="shared" si="2"/>
        <v>0</v>
      </c>
      <c r="D27" s="10">
        <f t="shared" si="3"/>
        <v>2</v>
      </c>
      <c r="E27" s="10">
        <f t="shared" si="4"/>
        <v>1</v>
      </c>
      <c r="F27" s="10">
        <f t="shared" si="5"/>
        <v>0</v>
      </c>
      <c r="G27" s="10">
        <f t="shared" si="6"/>
        <v>1</v>
      </c>
      <c r="H27" s="10">
        <f t="shared" si="7"/>
        <v>0</v>
      </c>
      <c r="I27" s="10">
        <f t="shared" si="8"/>
        <v>0</v>
      </c>
      <c r="J27" s="4">
        <v>23</v>
      </c>
      <c r="L27" s="14">
        <v>23</v>
      </c>
      <c r="M27" s="38" t="s">
        <v>37</v>
      </c>
      <c r="N27" s="38" t="s">
        <v>37</v>
      </c>
      <c r="O27" s="38" t="s">
        <v>39</v>
      </c>
      <c r="P27" s="38" t="s">
        <v>38</v>
      </c>
      <c r="Q27" s="38" t="s">
        <v>33</v>
      </c>
      <c r="R27" s="38" t="s">
        <v>65</v>
      </c>
      <c r="S27" s="24" t="s">
        <v>37</v>
      </c>
      <c r="U27" s="37">
        <f t="shared" si="9"/>
        <v>13</v>
      </c>
      <c r="V27" s="37">
        <f t="shared" si="10"/>
        <v>13</v>
      </c>
      <c r="W27" s="37">
        <f t="shared" si="11"/>
        <v>5</v>
      </c>
      <c r="X27" s="37">
        <f t="shared" si="12"/>
        <v>15</v>
      </c>
      <c r="Y27" s="37">
        <f t="shared" si="13"/>
        <v>11</v>
      </c>
      <c r="Z27" s="37">
        <f t="shared" si="14"/>
        <v>17</v>
      </c>
      <c r="AA27" s="37">
        <f t="shared" si="15"/>
        <v>13</v>
      </c>
      <c r="AC27" s="18">
        <v>1</v>
      </c>
      <c r="AD27" s="18">
        <v>1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0</v>
      </c>
      <c r="AM27" s="37">
        <v>4</v>
      </c>
      <c r="AN27" s="37">
        <v>6</v>
      </c>
      <c r="AO27" s="37">
        <v>2</v>
      </c>
      <c r="AP27" s="37">
        <v>4</v>
      </c>
      <c r="AQ27" s="37">
        <v>0</v>
      </c>
      <c r="AR27" s="37">
        <v>0</v>
      </c>
      <c r="AS27" s="4">
        <v>23</v>
      </c>
    </row>
    <row r="28" spans="1:45" ht="16.5" customHeight="1">
      <c r="A28" s="154" t="str">
        <v>MY</v>
      </c>
      <c r="B28" s="154" t="str">
        <v>Mystery</v>
      </c>
      <c r="C28" s="153">
        <f t="shared" si="2"/>
        <v>2</v>
      </c>
      <c r="D28" s="153">
        <f t="shared" si="3"/>
        <v>2</v>
      </c>
      <c r="E28" s="153">
        <f t="shared" si="4"/>
        <v>3</v>
      </c>
      <c r="F28" s="153">
        <f t="shared" si="5"/>
        <v>2</v>
      </c>
      <c r="G28" s="153">
        <f t="shared" si="6"/>
        <v>2</v>
      </c>
      <c r="H28" s="153">
        <f t="shared" si="7"/>
        <v>2</v>
      </c>
      <c r="I28" s="153">
        <f t="shared" si="8"/>
        <v>2</v>
      </c>
      <c r="J28" s="151">
        <v>24</v>
      </c>
      <c r="L28" s="15">
        <v>24</v>
      </c>
      <c r="M28" s="38" t="s">
        <v>37</v>
      </c>
      <c r="N28" s="38" t="s">
        <v>230</v>
      </c>
      <c r="O28" s="38" t="s">
        <v>35</v>
      </c>
      <c r="P28" s="38" t="s">
        <v>25</v>
      </c>
      <c r="Q28" s="38" t="s">
        <v>37</v>
      </c>
      <c r="R28" s="38" t="s">
        <v>34</v>
      </c>
      <c r="S28" s="24" t="s">
        <v>33</v>
      </c>
      <c r="U28" s="37">
        <f t="shared" si="9"/>
        <v>13</v>
      </c>
      <c r="V28" s="37">
        <f t="shared" si="10"/>
        <v>0</v>
      </c>
      <c r="W28" s="37">
        <f t="shared" si="11"/>
        <v>15</v>
      </c>
      <c r="X28" s="37">
        <f t="shared" si="12"/>
        <v>5</v>
      </c>
      <c r="Y28" s="37">
        <f t="shared" si="13"/>
        <v>13</v>
      </c>
      <c r="Z28" s="37">
        <f t="shared" si="14"/>
        <v>16</v>
      </c>
      <c r="AA28" s="37">
        <f t="shared" si="15"/>
        <v>11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4">
        <v>3</v>
      </c>
      <c r="AK28" s="154" t="s">
        <v>94</v>
      </c>
      <c r="AL28" s="154">
        <v>0</v>
      </c>
      <c r="AM28" s="154">
        <v>10</v>
      </c>
      <c r="AN28" s="154">
        <v>10</v>
      </c>
      <c r="AO28" s="154">
        <v>10</v>
      </c>
      <c r="AP28" s="154">
        <v>10</v>
      </c>
      <c r="AQ28" s="154">
        <v>0</v>
      </c>
      <c r="AR28" s="154">
        <v>0</v>
      </c>
      <c r="AS28" s="151">
        <v>24</v>
      </c>
    </row>
    <row r="29" spans="1:45" ht="16.5" customHeight="1">
      <c r="A29" s="154" t="str">
        <v>GM</v>
      </c>
      <c r="B29" s="154" t="str">
        <v>Golden Mystery</v>
      </c>
      <c r="C29" s="153">
        <f t="shared" si="2"/>
        <v>0</v>
      </c>
      <c r="D29" s="153">
        <f t="shared" si="3"/>
        <v>1</v>
      </c>
      <c r="E29" s="153">
        <f t="shared" si="4"/>
        <v>1</v>
      </c>
      <c r="F29" s="153">
        <f t="shared" si="5"/>
        <v>1</v>
      </c>
      <c r="G29" s="153">
        <f t="shared" si="6"/>
        <v>1</v>
      </c>
      <c r="H29" s="153">
        <f t="shared" si="7"/>
        <v>0</v>
      </c>
      <c r="I29" s="153">
        <f t="shared" si="8"/>
        <v>0</v>
      </c>
      <c r="J29" s="151">
        <v>25</v>
      </c>
      <c r="L29" s="14">
        <v>25</v>
      </c>
      <c r="M29" s="38" t="s">
        <v>39</v>
      </c>
      <c r="N29" s="38" t="s">
        <v>65</v>
      </c>
      <c r="O29" s="38" t="s">
        <v>35</v>
      </c>
      <c r="P29" s="38" t="s">
        <v>34</v>
      </c>
      <c r="Q29" s="38" t="s">
        <v>38</v>
      </c>
      <c r="R29" s="38" t="s">
        <v>25</v>
      </c>
      <c r="S29" s="24" t="s">
        <v>33</v>
      </c>
      <c r="U29" s="37">
        <f t="shared" si="9"/>
        <v>5</v>
      </c>
      <c r="V29" s="37">
        <f t="shared" si="10"/>
        <v>17</v>
      </c>
      <c r="W29" s="37">
        <f t="shared" si="11"/>
        <v>15</v>
      </c>
      <c r="X29" s="37">
        <f t="shared" si="12"/>
        <v>16</v>
      </c>
      <c r="Y29" s="37">
        <f t="shared" si="13"/>
        <v>15</v>
      </c>
      <c r="Z29" s="37">
        <f t="shared" si="14"/>
        <v>5</v>
      </c>
      <c r="AA29" s="37">
        <f t="shared" si="15"/>
        <v>11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4" t="s">
        <v>257</v>
      </c>
      <c r="AL29" s="154">
        <v>0</v>
      </c>
      <c r="AM29" s="154">
        <v>1</v>
      </c>
      <c r="AN29" s="154">
        <v>1</v>
      </c>
      <c r="AO29" s="154">
        <v>1</v>
      </c>
      <c r="AP29" s="154">
        <v>1</v>
      </c>
      <c r="AQ29" s="154">
        <v>0</v>
      </c>
      <c r="AR29" s="154">
        <v>0</v>
      </c>
      <c r="AS29" s="151">
        <v>25</v>
      </c>
    </row>
    <row r="30" spans="1:45" ht="16.5" customHeight="1">
      <c r="A30" s="148"/>
      <c r="B30" s="148"/>
      <c r="C30" s="170">
        <f>SUM(C4:C29)</f>
        <v>121</v>
      </c>
      <c r="D30" s="170">
        <f t="shared" ref="D30:I30" si="16">SUM(D4:D29)</f>
        <v>121</v>
      </c>
      <c r="E30" s="170">
        <f t="shared" si="16"/>
        <v>121</v>
      </c>
      <c r="F30" s="170">
        <f t="shared" si="16"/>
        <v>121</v>
      </c>
      <c r="G30" s="170">
        <f t="shared" si="16"/>
        <v>121</v>
      </c>
      <c r="H30" s="170">
        <f t="shared" si="16"/>
        <v>121</v>
      </c>
      <c r="I30" s="170">
        <f t="shared" si="16"/>
        <v>121</v>
      </c>
      <c r="J30" s="13"/>
      <c r="L30" s="15">
        <v>26</v>
      </c>
      <c r="M30" s="38" t="s">
        <v>37</v>
      </c>
      <c r="N30" s="38" t="s">
        <v>65</v>
      </c>
      <c r="O30" s="38" t="s">
        <v>40</v>
      </c>
      <c r="P30" s="38" t="s">
        <v>38</v>
      </c>
      <c r="Q30" s="38" t="s">
        <v>37</v>
      </c>
      <c r="R30" s="38" t="s">
        <v>65</v>
      </c>
      <c r="S30" s="24" t="s">
        <v>33</v>
      </c>
      <c r="U30" s="37">
        <f t="shared" si="9"/>
        <v>13</v>
      </c>
      <c r="V30" s="37">
        <f t="shared" si="10"/>
        <v>17</v>
      </c>
      <c r="W30" s="37">
        <f t="shared" si="11"/>
        <v>12</v>
      </c>
      <c r="X30" s="37">
        <f t="shared" si="12"/>
        <v>15</v>
      </c>
      <c r="Y30" s="37">
        <f t="shared" si="13"/>
        <v>13</v>
      </c>
      <c r="Z30" s="37">
        <f t="shared" si="14"/>
        <v>17</v>
      </c>
      <c r="AA30" s="37">
        <f t="shared" si="15"/>
        <v>11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4">
        <v>1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35</v>
      </c>
      <c r="N31" s="38" t="s">
        <v>224</v>
      </c>
      <c r="O31" s="38" t="s">
        <v>40</v>
      </c>
      <c r="P31" s="38" t="s">
        <v>38</v>
      </c>
      <c r="Q31" s="38" t="s">
        <v>32</v>
      </c>
      <c r="R31" s="38" t="s">
        <v>65</v>
      </c>
      <c r="S31" s="24" t="s">
        <v>37</v>
      </c>
      <c r="U31" s="37">
        <f t="shared" si="9"/>
        <v>15</v>
      </c>
      <c r="V31" s="37">
        <f t="shared" si="10"/>
        <v>0</v>
      </c>
      <c r="W31" s="37">
        <f t="shared" si="11"/>
        <v>12</v>
      </c>
      <c r="X31" s="37">
        <f t="shared" si="12"/>
        <v>15</v>
      </c>
      <c r="Y31" s="37">
        <f t="shared" si="13"/>
        <v>4</v>
      </c>
      <c r="Z31" s="37">
        <f t="shared" si="14"/>
        <v>17</v>
      </c>
      <c r="AA31" s="37">
        <f t="shared" si="15"/>
        <v>13</v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40</v>
      </c>
      <c r="N32" s="38" t="s">
        <v>33</v>
      </c>
      <c r="O32" s="38" t="s">
        <v>33</v>
      </c>
      <c r="P32" s="38" t="s">
        <v>38</v>
      </c>
      <c r="Q32" s="38" t="s">
        <v>39</v>
      </c>
      <c r="R32" s="38" t="s">
        <v>65</v>
      </c>
      <c r="S32" s="24" t="s">
        <v>37</v>
      </c>
      <c r="U32" s="37">
        <f t="shared" si="9"/>
        <v>12</v>
      </c>
      <c r="V32" s="37">
        <f t="shared" si="10"/>
        <v>11</v>
      </c>
      <c r="W32" s="37">
        <f t="shared" si="11"/>
        <v>11</v>
      </c>
      <c r="X32" s="37">
        <f t="shared" si="12"/>
        <v>15</v>
      </c>
      <c r="Y32" s="37">
        <f t="shared" si="13"/>
        <v>5</v>
      </c>
      <c r="Z32" s="37">
        <f t="shared" si="14"/>
        <v>17</v>
      </c>
      <c r="AA32" s="37">
        <f t="shared" si="15"/>
        <v>13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4">
        <v>3</v>
      </c>
      <c r="AK32" s="16" t="s">
        <v>265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>
      <c r="B33" s="147" t="s">
        <v>72</v>
      </c>
      <c r="C33" s="155">
        <v>0</v>
      </c>
      <c r="D33" s="155">
        <v>390</v>
      </c>
      <c r="E33" s="155">
        <v>390</v>
      </c>
      <c r="F33" s="155">
        <v>185</v>
      </c>
      <c r="G33" s="155">
        <v>120</v>
      </c>
      <c r="H33" s="155">
        <v>0</v>
      </c>
      <c r="J33" s="13"/>
      <c r="L33" s="14">
        <v>29</v>
      </c>
      <c r="M33" s="38" t="s">
        <v>40</v>
      </c>
      <c r="N33" s="38" t="s">
        <v>33</v>
      </c>
      <c r="O33" s="38" t="s">
        <v>224</v>
      </c>
      <c r="P33" s="38" t="s">
        <v>65</v>
      </c>
      <c r="Q33" s="38" t="s">
        <v>39</v>
      </c>
      <c r="R33" s="38" t="s">
        <v>40</v>
      </c>
      <c r="S33" s="24" t="s">
        <v>25</v>
      </c>
      <c r="U33" s="37">
        <f t="shared" si="9"/>
        <v>12</v>
      </c>
      <c r="V33" s="37">
        <f t="shared" si="10"/>
        <v>11</v>
      </c>
      <c r="W33" s="37">
        <f t="shared" si="11"/>
        <v>0</v>
      </c>
      <c r="X33" s="37">
        <f t="shared" si="12"/>
        <v>17</v>
      </c>
      <c r="Y33" s="37">
        <f t="shared" si="13"/>
        <v>5</v>
      </c>
      <c r="Z33" s="37">
        <f t="shared" si="14"/>
        <v>12</v>
      </c>
      <c r="AA33" s="37">
        <f t="shared" si="15"/>
        <v>5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75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5">
        <v>30</v>
      </c>
      <c r="M34" s="38" t="s">
        <v>39</v>
      </c>
      <c r="N34" s="38" t="s">
        <v>34</v>
      </c>
      <c r="O34" s="38" t="s">
        <v>226</v>
      </c>
      <c r="P34" s="38" t="s">
        <v>65</v>
      </c>
      <c r="Q34" s="38" t="s">
        <v>33</v>
      </c>
      <c r="R34" s="38" t="s">
        <v>65</v>
      </c>
      <c r="S34" s="38" t="s">
        <v>25</v>
      </c>
      <c r="U34" s="37">
        <f t="shared" si="9"/>
        <v>5</v>
      </c>
      <c r="V34" s="37">
        <f t="shared" si="10"/>
        <v>16</v>
      </c>
      <c r="W34" s="37">
        <f t="shared" si="11"/>
        <v>0</v>
      </c>
      <c r="X34" s="37">
        <f t="shared" si="12"/>
        <v>17</v>
      </c>
      <c r="Y34" s="37">
        <f t="shared" si="13"/>
        <v>11</v>
      </c>
      <c r="Z34" s="37">
        <f t="shared" si="14"/>
        <v>17</v>
      </c>
      <c r="AA34" s="37">
        <f t="shared" si="15"/>
        <v>5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0</v>
      </c>
      <c r="AM34" s="37">
        <v>0</v>
      </c>
      <c r="AN34" s="37">
        <v>0</v>
      </c>
      <c r="AO34" s="37">
        <v>0</v>
      </c>
      <c r="AP34" s="37">
        <v>0</v>
      </c>
      <c r="AQ34" s="37">
        <v>0</v>
      </c>
      <c r="AR34" s="37">
        <v>0</v>
      </c>
      <c r="AS34" s="4">
        <v>1</v>
      </c>
    </row>
    <row r="35" spans="1:45" ht="16.5" customHeight="1">
      <c r="B35" s="4" t="s">
        <v>73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4">
        <v>31</v>
      </c>
      <c r="M35" s="38" t="s">
        <v>37</v>
      </c>
      <c r="N35" s="38" t="s">
        <v>34</v>
      </c>
      <c r="O35" s="38" t="s">
        <v>34</v>
      </c>
      <c r="P35" s="38" t="s">
        <v>25</v>
      </c>
      <c r="Q35" s="38" t="s">
        <v>90</v>
      </c>
      <c r="R35" s="38" t="s">
        <v>65</v>
      </c>
      <c r="S35" s="24" t="s">
        <v>32</v>
      </c>
      <c r="U35" s="37">
        <f t="shared" si="9"/>
        <v>13</v>
      </c>
      <c r="V35" s="37">
        <f t="shared" si="10"/>
        <v>16</v>
      </c>
      <c r="W35" s="37">
        <f t="shared" si="11"/>
        <v>16</v>
      </c>
      <c r="X35" s="37">
        <f t="shared" si="12"/>
        <v>5</v>
      </c>
      <c r="Y35" s="37">
        <f t="shared" si="13"/>
        <v>6</v>
      </c>
      <c r="Z35" s="37">
        <f t="shared" si="14"/>
        <v>17</v>
      </c>
      <c r="AA35" s="37">
        <f t="shared" si="15"/>
        <v>4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4" t="s">
        <v>20</v>
      </c>
      <c r="AL35" s="154">
        <v>8</v>
      </c>
      <c r="AM35" s="154">
        <v>8</v>
      </c>
      <c r="AN35" s="154">
        <v>8</v>
      </c>
      <c r="AO35" s="154">
        <v>8</v>
      </c>
      <c r="AP35" s="154">
        <v>8</v>
      </c>
      <c r="AQ35" s="154">
        <v>8</v>
      </c>
      <c r="AR35" s="154">
        <v>8</v>
      </c>
      <c r="AS35" s="151">
        <v>2</v>
      </c>
    </row>
    <row r="36" spans="1:45" ht="16.5" customHeight="1">
      <c r="B36" s="4" t="s">
        <v>76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5">
        <v>32</v>
      </c>
      <c r="M36" s="38" t="s">
        <v>37</v>
      </c>
      <c r="N36" s="38" t="s">
        <v>25</v>
      </c>
      <c r="O36" s="38" t="s">
        <v>25</v>
      </c>
      <c r="P36" s="38" t="s">
        <v>33</v>
      </c>
      <c r="Q36" s="38" t="s">
        <v>90</v>
      </c>
      <c r="R36" s="38" t="s">
        <v>38</v>
      </c>
      <c r="S36" s="24" t="s">
        <v>32</v>
      </c>
      <c r="U36" s="37">
        <f t="shared" si="9"/>
        <v>13</v>
      </c>
      <c r="V36" s="37">
        <f t="shared" si="10"/>
        <v>5</v>
      </c>
      <c r="W36" s="37">
        <f t="shared" si="11"/>
        <v>5</v>
      </c>
      <c r="X36" s="37">
        <f t="shared" si="12"/>
        <v>11</v>
      </c>
      <c r="Y36" s="37">
        <f t="shared" si="13"/>
        <v>6</v>
      </c>
      <c r="Z36" s="37">
        <f t="shared" si="14"/>
        <v>15</v>
      </c>
      <c r="AA36" s="37">
        <f t="shared" si="15"/>
        <v>4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4">
        <v>3</v>
      </c>
      <c r="AK36" s="154" t="s">
        <v>21</v>
      </c>
      <c r="AL36" s="154">
        <v>10</v>
      </c>
      <c r="AM36" s="154">
        <v>13</v>
      </c>
      <c r="AN36" s="154">
        <v>10</v>
      </c>
      <c r="AO36" s="154">
        <v>5</v>
      </c>
      <c r="AP36" s="154">
        <v>20</v>
      </c>
      <c r="AQ36" s="154">
        <v>5</v>
      </c>
      <c r="AR36" s="154">
        <v>10</v>
      </c>
      <c r="AS36" s="151">
        <v>3</v>
      </c>
    </row>
    <row r="37" spans="1:45" ht="16.5" customHeight="1">
      <c r="B37" s="4" t="s">
        <v>74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4">
        <v>33</v>
      </c>
      <c r="M37" s="38" t="s">
        <v>90</v>
      </c>
      <c r="N37" s="38" t="s">
        <v>25</v>
      </c>
      <c r="O37" s="38" t="s">
        <v>39</v>
      </c>
      <c r="P37" s="38" t="s">
        <v>33</v>
      </c>
      <c r="Q37" s="38" t="s">
        <v>65</v>
      </c>
      <c r="R37" s="38" t="s">
        <v>90</v>
      </c>
      <c r="S37" s="24" t="s">
        <v>33</v>
      </c>
      <c r="U37" s="37">
        <f t="shared" si="9"/>
        <v>6</v>
      </c>
      <c r="V37" s="37">
        <f t="shared" si="10"/>
        <v>5</v>
      </c>
      <c r="W37" s="37">
        <f t="shared" si="11"/>
        <v>5</v>
      </c>
      <c r="X37" s="37">
        <f t="shared" si="12"/>
        <v>11</v>
      </c>
      <c r="Y37" s="37">
        <f t="shared" si="13"/>
        <v>17</v>
      </c>
      <c r="Z37" s="37">
        <f t="shared" si="14"/>
        <v>6</v>
      </c>
      <c r="AA37" s="37">
        <f t="shared" si="15"/>
        <v>11</v>
      </c>
      <c r="AC37" s="18">
        <v>1</v>
      </c>
      <c r="AD37" s="18">
        <v>1</v>
      </c>
      <c r="AE37" s="18">
        <v>1</v>
      </c>
      <c r="AF37" s="18">
        <v>1</v>
      </c>
      <c r="AG37" s="18">
        <v>1</v>
      </c>
      <c r="AH37" s="18">
        <v>1</v>
      </c>
      <c r="AI37" s="4">
        <v>1</v>
      </c>
      <c r="AK37" s="154" t="s">
        <v>17</v>
      </c>
      <c r="AL37" s="154">
        <v>15</v>
      </c>
      <c r="AM37" s="154">
        <v>10</v>
      </c>
      <c r="AN37" s="154">
        <v>15</v>
      </c>
      <c r="AO37" s="154">
        <v>5</v>
      </c>
      <c r="AP37" s="154">
        <v>18</v>
      </c>
      <c r="AQ37" s="154">
        <v>20</v>
      </c>
      <c r="AR37" s="154">
        <v>10</v>
      </c>
      <c r="AS37" s="151">
        <v>4</v>
      </c>
    </row>
    <row r="38" spans="1:45" ht="16.5" customHeight="1">
      <c r="B38" s="4" t="s">
        <v>77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5">
        <v>34</v>
      </c>
      <c r="M38" s="38" t="s">
        <v>40</v>
      </c>
      <c r="N38" s="38" t="s">
        <v>65</v>
      </c>
      <c r="O38" s="38" t="s">
        <v>90</v>
      </c>
      <c r="P38" s="38" t="s">
        <v>65</v>
      </c>
      <c r="Q38" s="38" t="s">
        <v>35</v>
      </c>
      <c r="R38" s="38" t="s">
        <v>40</v>
      </c>
      <c r="S38" s="24" t="s">
        <v>33</v>
      </c>
      <c r="U38" s="37">
        <f t="shared" si="9"/>
        <v>12</v>
      </c>
      <c r="V38" s="37">
        <f t="shared" si="10"/>
        <v>17</v>
      </c>
      <c r="W38" s="37">
        <f t="shared" si="11"/>
        <v>6</v>
      </c>
      <c r="X38" s="37">
        <f t="shared" si="12"/>
        <v>17</v>
      </c>
      <c r="Y38" s="37">
        <f t="shared" si="13"/>
        <v>15</v>
      </c>
      <c r="Z38" s="37">
        <f t="shared" si="14"/>
        <v>12</v>
      </c>
      <c r="AA38" s="37">
        <f t="shared" si="15"/>
        <v>11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4">
        <v>1</v>
      </c>
      <c r="AK38" s="154" t="s">
        <v>18</v>
      </c>
      <c r="AL38" s="154">
        <v>10</v>
      </c>
      <c r="AM38" s="154">
        <v>20</v>
      </c>
      <c r="AN38" s="154">
        <v>20</v>
      </c>
      <c r="AO38" s="154">
        <v>20</v>
      </c>
      <c r="AP38" s="154">
        <v>10</v>
      </c>
      <c r="AQ38" s="154">
        <v>20</v>
      </c>
      <c r="AR38" s="154">
        <v>10</v>
      </c>
      <c r="AS38" s="151">
        <v>5</v>
      </c>
    </row>
    <row r="39" spans="1:45" ht="16.5" customHeight="1">
      <c r="B39" s="4" t="s">
        <v>78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4">
        <v>35</v>
      </c>
      <c r="M39" s="38" t="s">
        <v>40</v>
      </c>
      <c r="N39" s="38" t="s">
        <v>40</v>
      </c>
      <c r="O39" s="38" t="s">
        <v>37</v>
      </c>
      <c r="P39" s="38" t="s">
        <v>25</v>
      </c>
      <c r="Q39" s="38" t="s">
        <v>224</v>
      </c>
      <c r="R39" s="38" t="s">
        <v>40</v>
      </c>
      <c r="S39" s="24" t="s">
        <v>40</v>
      </c>
      <c r="U39" s="37">
        <f t="shared" si="9"/>
        <v>12</v>
      </c>
      <c r="V39" s="37">
        <f t="shared" si="10"/>
        <v>12</v>
      </c>
      <c r="W39" s="37">
        <f t="shared" si="11"/>
        <v>13</v>
      </c>
      <c r="X39" s="37">
        <f t="shared" si="12"/>
        <v>5</v>
      </c>
      <c r="Y39" s="37">
        <f t="shared" si="13"/>
        <v>0</v>
      </c>
      <c r="Z39" s="37">
        <f t="shared" si="14"/>
        <v>12</v>
      </c>
      <c r="AA39" s="37">
        <f t="shared" si="15"/>
        <v>12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4" t="s">
        <v>64</v>
      </c>
      <c r="AL39" s="154">
        <v>50</v>
      </c>
      <c r="AM39" s="154">
        <v>50</v>
      </c>
      <c r="AN39" s="154">
        <v>50</v>
      </c>
      <c r="AO39" s="154">
        <v>50</v>
      </c>
      <c r="AP39" s="154">
        <v>50</v>
      </c>
      <c r="AQ39" s="154">
        <v>50</v>
      </c>
      <c r="AR39" s="154">
        <v>10</v>
      </c>
      <c r="AS39" s="151">
        <v>6</v>
      </c>
    </row>
    <row r="40" spans="1:45" ht="16.5" customHeight="1">
      <c r="B40" s="4" t="s">
        <v>79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5">
        <v>36</v>
      </c>
      <c r="M40" s="37" t="s">
        <v>35</v>
      </c>
      <c r="N40" s="37" t="s">
        <v>40</v>
      </c>
      <c r="O40" s="37" t="s">
        <v>34</v>
      </c>
      <c r="P40" s="37" t="s">
        <v>25</v>
      </c>
      <c r="Q40" s="37" t="s">
        <v>39</v>
      </c>
      <c r="R40" s="37" t="s">
        <v>40</v>
      </c>
      <c r="S40" s="37" t="s">
        <v>34</v>
      </c>
      <c r="U40" s="37">
        <f t="shared" si="9"/>
        <v>15</v>
      </c>
      <c r="V40" s="37">
        <f t="shared" si="10"/>
        <v>12</v>
      </c>
      <c r="W40" s="37">
        <f t="shared" si="11"/>
        <v>16</v>
      </c>
      <c r="X40" s="37">
        <f t="shared" si="12"/>
        <v>5</v>
      </c>
      <c r="Y40" s="37">
        <f t="shared" si="13"/>
        <v>5</v>
      </c>
      <c r="Z40" s="37">
        <f t="shared" si="14"/>
        <v>12</v>
      </c>
      <c r="AA40" s="37">
        <f t="shared" si="15"/>
        <v>16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4">
        <v>3</v>
      </c>
      <c r="AK40" s="154" t="s">
        <v>89</v>
      </c>
      <c r="AL40" s="154">
        <v>50</v>
      </c>
      <c r="AM40" s="154">
        <v>50</v>
      </c>
      <c r="AN40" s="154">
        <v>50</v>
      </c>
      <c r="AO40" s="154">
        <v>50</v>
      </c>
      <c r="AP40" s="154">
        <v>50</v>
      </c>
      <c r="AQ40" s="154">
        <v>50</v>
      </c>
      <c r="AR40" s="154">
        <v>10</v>
      </c>
      <c r="AS40" s="151">
        <v>7</v>
      </c>
    </row>
    <row r="41" spans="1:45" ht="16.5" customHeight="1">
      <c r="B41" s="4" t="s">
        <v>80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4">
        <v>37</v>
      </c>
      <c r="M41" s="38" t="s">
        <v>34</v>
      </c>
      <c r="N41" s="38" t="s">
        <v>242</v>
      </c>
      <c r="O41" s="38" t="s">
        <v>34</v>
      </c>
      <c r="P41" s="38" t="s">
        <v>38</v>
      </c>
      <c r="Q41" s="38" t="s">
        <v>39</v>
      </c>
      <c r="R41" s="38" t="s">
        <v>65</v>
      </c>
      <c r="S41" s="24" t="s">
        <v>34</v>
      </c>
      <c r="U41" s="37">
        <f t="shared" si="9"/>
        <v>16</v>
      </c>
      <c r="V41" s="37">
        <f t="shared" si="10"/>
        <v>0</v>
      </c>
      <c r="W41" s="37">
        <f t="shared" si="11"/>
        <v>16</v>
      </c>
      <c r="X41" s="37">
        <f t="shared" si="12"/>
        <v>15</v>
      </c>
      <c r="Y41" s="37">
        <f t="shared" si="13"/>
        <v>5</v>
      </c>
      <c r="Z41" s="37">
        <f t="shared" si="14"/>
        <v>17</v>
      </c>
      <c r="AA41" s="37">
        <f t="shared" si="15"/>
        <v>16</v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1</v>
      </c>
      <c r="AK41" s="37" t="s">
        <v>24</v>
      </c>
      <c r="AL41" s="37">
        <v>10</v>
      </c>
      <c r="AM41" s="37">
        <v>10</v>
      </c>
      <c r="AN41" s="37">
        <v>40</v>
      </c>
      <c r="AO41" s="37">
        <v>1</v>
      </c>
      <c r="AP41" s="37">
        <v>40</v>
      </c>
      <c r="AQ41" s="37">
        <v>1</v>
      </c>
      <c r="AR41" s="37">
        <v>10</v>
      </c>
      <c r="AS41" s="4">
        <v>7</v>
      </c>
    </row>
    <row r="42" spans="1:45" ht="16.5" customHeight="1">
      <c r="B42" s="4" t="s">
        <v>81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5">
        <v>38</v>
      </c>
      <c r="M42" s="38" t="s">
        <v>34</v>
      </c>
      <c r="N42" s="38" t="s">
        <v>90</v>
      </c>
      <c r="O42" s="38" t="s">
        <v>232</v>
      </c>
      <c r="P42" s="38" t="s">
        <v>38</v>
      </c>
      <c r="Q42" s="38" t="s">
        <v>37</v>
      </c>
      <c r="R42" s="38" t="s">
        <v>65</v>
      </c>
      <c r="S42" s="24" t="s">
        <v>34</v>
      </c>
      <c r="U42" s="37">
        <f t="shared" si="9"/>
        <v>16</v>
      </c>
      <c r="V42" s="37">
        <f t="shared" si="10"/>
        <v>6</v>
      </c>
      <c r="W42" s="37">
        <f t="shared" si="11"/>
        <v>0</v>
      </c>
      <c r="X42" s="37">
        <f t="shared" si="12"/>
        <v>15</v>
      </c>
      <c r="Y42" s="37">
        <f t="shared" si="13"/>
        <v>13</v>
      </c>
      <c r="Z42" s="37">
        <f t="shared" si="14"/>
        <v>17</v>
      </c>
      <c r="AA42" s="37">
        <f t="shared" si="15"/>
        <v>16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40</v>
      </c>
      <c r="AM42" s="37">
        <v>8</v>
      </c>
      <c r="AN42" s="37">
        <v>25</v>
      </c>
      <c r="AO42" s="37">
        <v>10</v>
      </c>
      <c r="AP42" s="37">
        <v>1</v>
      </c>
      <c r="AQ42" s="37">
        <v>40</v>
      </c>
      <c r="AR42" s="37">
        <v>10</v>
      </c>
      <c r="AS42" s="4">
        <v>8</v>
      </c>
    </row>
    <row r="43" spans="1:45" ht="16.5" customHeight="1">
      <c r="B43" s="4" t="s">
        <v>82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4">
        <v>39</v>
      </c>
      <c r="M43" s="38" t="s">
        <v>65</v>
      </c>
      <c r="N43" s="38" t="s">
        <v>35</v>
      </c>
      <c r="O43" s="38" t="s">
        <v>90</v>
      </c>
      <c r="P43" s="38" t="s">
        <v>35</v>
      </c>
      <c r="Q43" s="38" t="s">
        <v>37</v>
      </c>
      <c r="R43" s="38" t="s">
        <v>38</v>
      </c>
      <c r="S43" s="24" t="s">
        <v>65</v>
      </c>
      <c r="U43" s="37">
        <f t="shared" si="9"/>
        <v>17</v>
      </c>
      <c r="V43" s="37">
        <f t="shared" si="10"/>
        <v>15</v>
      </c>
      <c r="W43" s="37">
        <f t="shared" si="11"/>
        <v>6</v>
      </c>
      <c r="X43" s="37">
        <f t="shared" si="12"/>
        <v>15</v>
      </c>
      <c r="Y43" s="37">
        <f t="shared" si="13"/>
        <v>13</v>
      </c>
      <c r="Z43" s="37">
        <f t="shared" si="14"/>
        <v>15</v>
      </c>
      <c r="AA43" s="37">
        <f t="shared" si="15"/>
        <v>17</v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10</v>
      </c>
      <c r="AM43" s="37">
        <v>40</v>
      </c>
      <c r="AN43" s="37">
        <v>40</v>
      </c>
      <c r="AO43" s="37">
        <v>10</v>
      </c>
      <c r="AP43" s="37">
        <v>40</v>
      </c>
      <c r="AQ43" s="37">
        <v>1</v>
      </c>
      <c r="AR43" s="37">
        <v>10</v>
      </c>
      <c r="AS43" s="4">
        <v>9</v>
      </c>
    </row>
    <row r="44" spans="1:45" ht="16.5" customHeight="1">
      <c r="B44" s="4" t="s">
        <v>83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5">
        <v>40</v>
      </c>
      <c r="M44" s="38" t="s">
        <v>90</v>
      </c>
      <c r="N44" s="38" t="s">
        <v>228</v>
      </c>
      <c r="O44" s="38" t="s">
        <v>40</v>
      </c>
      <c r="P44" s="38" t="s">
        <v>35</v>
      </c>
      <c r="Q44" s="38" t="s">
        <v>34</v>
      </c>
      <c r="R44" s="38" t="s">
        <v>25</v>
      </c>
      <c r="S44" s="24" t="s">
        <v>65</v>
      </c>
      <c r="U44" s="37">
        <f t="shared" si="9"/>
        <v>6</v>
      </c>
      <c r="V44" s="37">
        <f t="shared" si="10"/>
        <v>0</v>
      </c>
      <c r="W44" s="37">
        <f t="shared" si="11"/>
        <v>12</v>
      </c>
      <c r="X44" s="37">
        <f t="shared" si="12"/>
        <v>15</v>
      </c>
      <c r="Y44" s="37">
        <f t="shared" si="13"/>
        <v>16</v>
      </c>
      <c r="Z44" s="37">
        <f t="shared" si="14"/>
        <v>5</v>
      </c>
      <c r="AA44" s="37">
        <f t="shared" si="15"/>
        <v>17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4">
        <v>3</v>
      </c>
      <c r="AK44" s="37" t="s">
        <v>28</v>
      </c>
      <c r="AL44" s="37">
        <v>40</v>
      </c>
      <c r="AM44" s="37">
        <v>40</v>
      </c>
      <c r="AN44" s="37">
        <v>40</v>
      </c>
      <c r="AO44" s="37">
        <v>1</v>
      </c>
      <c r="AP44" s="37">
        <v>1</v>
      </c>
      <c r="AQ44" s="37">
        <v>1</v>
      </c>
      <c r="AR44" s="37">
        <v>10</v>
      </c>
      <c r="AS44" s="4">
        <v>10</v>
      </c>
    </row>
    <row r="45" spans="1:45" ht="16.5" customHeight="1">
      <c r="B45" s="4" t="s">
        <v>84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4">
        <v>41</v>
      </c>
      <c r="M45" s="38" t="s">
        <v>39</v>
      </c>
      <c r="N45" s="38" t="s">
        <v>65</v>
      </c>
      <c r="O45" s="38" t="s">
        <v>65</v>
      </c>
      <c r="P45" s="38" t="s">
        <v>37</v>
      </c>
      <c r="Q45" s="38" t="s">
        <v>34</v>
      </c>
      <c r="R45" s="38" t="s">
        <v>65</v>
      </c>
      <c r="S45" s="24" t="s">
        <v>65</v>
      </c>
      <c r="U45" s="37">
        <f t="shared" si="9"/>
        <v>5</v>
      </c>
      <c r="V45" s="37">
        <f t="shared" si="10"/>
        <v>17</v>
      </c>
      <c r="W45" s="37">
        <f t="shared" si="11"/>
        <v>17</v>
      </c>
      <c r="X45" s="37">
        <f t="shared" si="12"/>
        <v>13</v>
      </c>
      <c r="Y45" s="37">
        <f t="shared" si="13"/>
        <v>16</v>
      </c>
      <c r="Z45" s="37">
        <f t="shared" si="14"/>
        <v>17</v>
      </c>
      <c r="AA45" s="37">
        <f t="shared" si="15"/>
        <v>17</v>
      </c>
      <c r="AC45" s="18">
        <v>1</v>
      </c>
      <c r="AD45" s="18">
        <v>1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5</v>
      </c>
      <c r="AM45" s="37">
        <v>40</v>
      </c>
      <c r="AN45" s="37">
        <v>20</v>
      </c>
      <c r="AO45" s="37">
        <v>1</v>
      </c>
      <c r="AP45" s="37">
        <v>1</v>
      </c>
      <c r="AQ45" s="37">
        <v>1</v>
      </c>
      <c r="AR45" s="37">
        <v>10</v>
      </c>
      <c r="AS45" s="4">
        <v>11</v>
      </c>
    </row>
    <row r="46" spans="1:45" ht="16.5" customHeight="1">
      <c r="B46" s="4" t="s">
        <v>85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5">
        <v>42</v>
      </c>
      <c r="M46" s="38" t="s">
        <v>39</v>
      </c>
      <c r="N46" s="38" t="s">
        <v>90</v>
      </c>
      <c r="O46" s="38" t="s">
        <v>35</v>
      </c>
      <c r="P46" s="38" t="s">
        <v>37</v>
      </c>
      <c r="Q46" s="38" t="s">
        <v>90</v>
      </c>
      <c r="R46" s="38" t="s">
        <v>33</v>
      </c>
      <c r="S46" s="24" t="s">
        <v>34</v>
      </c>
      <c r="U46" s="37">
        <f t="shared" si="9"/>
        <v>5</v>
      </c>
      <c r="V46" s="37">
        <f t="shared" si="10"/>
        <v>6</v>
      </c>
      <c r="W46" s="37">
        <f t="shared" si="11"/>
        <v>15</v>
      </c>
      <c r="X46" s="37">
        <f t="shared" si="12"/>
        <v>13</v>
      </c>
      <c r="Y46" s="37">
        <f t="shared" si="13"/>
        <v>6</v>
      </c>
      <c r="Z46" s="37">
        <f t="shared" si="14"/>
        <v>11</v>
      </c>
      <c r="AA46" s="37">
        <f t="shared" si="15"/>
        <v>16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4">
        <v>1</v>
      </c>
      <c r="AK46" s="154" t="s">
        <v>222</v>
      </c>
      <c r="AL46" s="154">
        <v>0</v>
      </c>
      <c r="AM46" s="154">
        <v>3</v>
      </c>
      <c r="AN46" s="154">
        <v>3</v>
      </c>
      <c r="AO46" s="154">
        <v>3</v>
      </c>
      <c r="AP46" s="154">
        <v>3</v>
      </c>
      <c r="AQ46" s="154">
        <v>0</v>
      </c>
      <c r="AR46" s="154">
        <v>0</v>
      </c>
      <c r="AS46" s="151">
        <v>12</v>
      </c>
    </row>
    <row r="47" spans="1:45" ht="16.5" customHeight="1">
      <c r="B47" s="4" t="s">
        <v>86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4">
        <v>43</v>
      </c>
      <c r="M47" s="38" t="s">
        <v>34</v>
      </c>
      <c r="N47" s="38" t="s">
        <v>38</v>
      </c>
      <c r="O47" s="38" t="s">
        <v>228</v>
      </c>
      <c r="P47" s="38" t="s">
        <v>65</v>
      </c>
      <c r="Q47" s="38" t="s">
        <v>90</v>
      </c>
      <c r="R47" s="38" t="s">
        <v>33</v>
      </c>
      <c r="S47" s="24" t="s">
        <v>34</v>
      </c>
      <c r="U47" s="37">
        <f t="shared" si="9"/>
        <v>16</v>
      </c>
      <c r="V47" s="37">
        <f t="shared" si="10"/>
        <v>15</v>
      </c>
      <c r="W47" s="37">
        <f t="shared" si="11"/>
        <v>0</v>
      </c>
      <c r="X47" s="37">
        <f t="shared" si="12"/>
        <v>17</v>
      </c>
      <c r="Y47" s="37">
        <f t="shared" si="13"/>
        <v>6</v>
      </c>
      <c r="Z47" s="37">
        <f t="shared" si="14"/>
        <v>11</v>
      </c>
      <c r="AA47" s="37">
        <f t="shared" si="15"/>
        <v>16</v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4">
        <v>3</v>
      </c>
      <c r="AK47" s="154" t="s">
        <v>224</v>
      </c>
      <c r="AL47" s="154">
        <v>0</v>
      </c>
      <c r="AM47" s="154">
        <v>4</v>
      </c>
      <c r="AN47" s="154">
        <v>4</v>
      </c>
      <c r="AO47" s="154">
        <v>2</v>
      </c>
      <c r="AP47" s="154">
        <v>2</v>
      </c>
      <c r="AQ47" s="154">
        <v>0</v>
      </c>
      <c r="AR47" s="154">
        <v>0</v>
      </c>
      <c r="AS47" s="151">
        <v>13</v>
      </c>
    </row>
    <row r="48" spans="1:45" ht="16.5" customHeight="1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34</v>
      </c>
      <c r="N48" s="38" t="s">
        <v>238</v>
      </c>
      <c r="O48" s="38" t="s">
        <v>94</v>
      </c>
      <c r="P48" s="38" t="s">
        <v>25</v>
      </c>
      <c r="Q48" s="38" t="s">
        <v>90</v>
      </c>
      <c r="R48" s="38" t="s">
        <v>38</v>
      </c>
      <c r="S48" s="24" t="s">
        <v>34</v>
      </c>
      <c r="U48" s="37">
        <f t="shared" si="9"/>
        <v>16</v>
      </c>
      <c r="V48" s="37">
        <f t="shared" si="10"/>
        <v>0</v>
      </c>
      <c r="W48" s="37">
        <f t="shared" si="11"/>
        <v>2</v>
      </c>
      <c r="X48" s="37">
        <f t="shared" si="12"/>
        <v>5</v>
      </c>
      <c r="Y48" s="37">
        <f t="shared" si="13"/>
        <v>6</v>
      </c>
      <c r="Z48" s="37">
        <f t="shared" si="14"/>
        <v>15</v>
      </c>
      <c r="AA48" s="37">
        <f t="shared" si="15"/>
        <v>16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4" t="s">
        <v>226</v>
      </c>
      <c r="AL48" s="154">
        <v>0</v>
      </c>
      <c r="AM48" s="154">
        <v>5</v>
      </c>
      <c r="AN48" s="154">
        <v>5</v>
      </c>
      <c r="AO48" s="154">
        <v>2</v>
      </c>
      <c r="AP48" s="154">
        <v>2</v>
      </c>
      <c r="AQ48" s="154">
        <v>0</v>
      </c>
      <c r="AR48" s="154">
        <v>0</v>
      </c>
      <c r="AS48" s="151">
        <v>14</v>
      </c>
    </row>
    <row r="49" spans="2:45" ht="16.5" customHeight="1">
      <c r="L49" s="14">
        <v>45</v>
      </c>
      <c r="M49" s="38" t="s">
        <v>90</v>
      </c>
      <c r="N49" s="38" t="s">
        <v>232</v>
      </c>
      <c r="O49" s="38" t="s">
        <v>33</v>
      </c>
      <c r="P49" s="38" t="s">
        <v>40</v>
      </c>
      <c r="Q49" s="38" t="s">
        <v>35</v>
      </c>
      <c r="R49" s="38" t="s">
        <v>38</v>
      </c>
      <c r="S49" s="24" t="s">
        <v>90</v>
      </c>
      <c r="U49" s="37">
        <f t="shared" si="9"/>
        <v>6</v>
      </c>
      <c r="V49" s="37">
        <f t="shared" si="10"/>
        <v>0</v>
      </c>
      <c r="W49" s="37">
        <f t="shared" si="11"/>
        <v>11</v>
      </c>
      <c r="X49" s="37">
        <f t="shared" si="12"/>
        <v>12</v>
      </c>
      <c r="Y49" s="37">
        <f t="shared" si="13"/>
        <v>15</v>
      </c>
      <c r="Z49" s="37">
        <f t="shared" si="14"/>
        <v>15</v>
      </c>
      <c r="AA49" s="37">
        <f t="shared" si="15"/>
        <v>6</v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4">
        <v>3</v>
      </c>
      <c r="AK49" s="154" t="s">
        <v>228</v>
      </c>
      <c r="AL49" s="154">
        <v>0</v>
      </c>
      <c r="AM49" s="154">
        <v>5</v>
      </c>
      <c r="AN49" s="154">
        <v>5</v>
      </c>
      <c r="AO49" s="154">
        <v>5</v>
      </c>
      <c r="AP49" s="154">
        <v>8</v>
      </c>
      <c r="AQ49" s="154">
        <v>0</v>
      </c>
      <c r="AR49" s="154">
        <v>0</v>
      </c>
      <c r="AS49" s="151">
        <v>15</v>
      </c>
    </row>
    <row r="50" spans="2:45" ht="16.5" customHeight="1">
      <c r="B50" s="165" t="s">
        <v>97</v>
      </c>
      <c r="C50" s="162" t="s">
        <v>259</v>
      </c>
      <c r="L50" s="15">
        <v>46</v>
      </c>
      <c r="M50" s="38" t="s">
        <v>25</v>
      </c>
      <c r="N50" s="38" t="s">
        <v>90</v>
      </c>
      <c r="O50" s="38" t="s">
        <v>90</v>
      </c>
      <c r="P50" s="38" t="s">
        <v>35</v>
      </c>
      <c r="Q50" s="38" t="s">
        <v>38</v>
      </c>
      <c r="R50" s="38" t="s">
        <v>38</v>
      </c>
      <c r="S50" s="24" t="s">
        <v>65</v>
      </c>
      <c r="U50" s="37">
        <f t="shared" si="9"/>
        <v>5</v>
      </c>
      <c r="V50" s="37">
        <f t="shared" si="10"/>
        <v>6</v>
      </c>
      <c r="W50" s="37">
        <f t="shared" si="11"/>
        <v>6</v>
      </c>
      <c r="X50" s="37">
        <f t="shared" si="12"/>
        <v>15</v>
      </c>
      <c r="Y50" s="37">
        <f t="shared" si="13"/>
        <v>15</v>
      </c>
      <c r="Z50" s="37">
        <f t="shared" si="14"/>
        <v>15</v>
      </c>
      <c r="AA50" s="37">
        <f t="shared" si="15"/>
        <v>17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4" t="s">
        <v>230</v>
      </c>
      <c r="AL50" s="154">
        <v>0</v>
      </c>
      <c r="AM50" s="154">
        <v>15</v>
      </c>
      <c r="AN50" s="154">
        <v>15</v>
      </c>
      <c r="AO50" s="154">
        <v>10</v>
      </c>
      <c r="AP50" s="154">
        <v>15</v>
      </c>
      <c r="AQ50" s="154">
        <v>0</v>
      </c>
      <c r="AR50" s="154">
        <v>0</v>
      </c>
      <c r="AS50" s="151">
        <v>16</v>
      </c>
    </row>
    <row r="51" spans="2:45" ht="16.5" customHeight="1">
      <c r="B51" s="163" t="s">
        <v>68</v>
      </c>
      <c r="C51" s="161">
        <v>0</v>
      </c>
      <c r="L51" s="14">
        <v>47</v>
      </c>
      <c r="M51" s="38" t="s">
        <v>65</v>
      </c>
      <c r="N51" s="38" t="s">
        <v>25</v>
      </c>
      <c r="O51" s="38" t="s">
        <v>230</v>
      </c>
      <c r="P51" s="38" t="s">
        <v>35</v>
      </c>
      <c r="Q51" s="38" t="s">
        <v>35</v>
      </c>
      <c r="R51" s="38" t="s">
        <v>65</v>
      </c>
      <c r="S51" s="24" t="s">
        <v>33</v>
      </c>
      <c r="U51" s="37">
        <f t="shared" si="9"/>
        <v>17</v>
      </c>
      <c r="V51" s="37">
        <f t="shared" si="10"/>
        <v>5</v>
      </c>
      <c r="W51" s="37">
        <f t="shared" si="11"/>
        <v>0</v>
      </c>
      <c r="X51" s="37">
        <f t="shared" si="12"/>
        <v>15</v>
      </c>
      <c r="Y51" s="37">
        <f t="shared" si="13"/>
        <v>15</v>
      </c>
      <c r="Z51" s="37">
        <f t="shared" si="14"/>
        <v>17</v>
      </c>
      <c r="AA51" s="37">
        <f t="shared" si="15"/>
        <v>11</v>
      </c>
      <c r="AC51" s="18">
        <v>1</v>
      </c>
      <c r="AD51" s="18">
        <v>1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4" t="s">
        <v>232</v>
      </c>
      <c r="AL51" s="154">
        <v>0</v>
      </c>
      <c r="AM51" s="154">
        <v>10</v>
      </c>
      <c r="AN51" s="154">
        <v>15</v>
      </c>
      <c r="AO51" s="154">
        <v>15</v>
      </c>
      <c r="AP51" s="154">
        <v>10</v>
      </c>
      <c r="AQ51" s="154">
        <v>0</v>
      </c>
      <c r="AR51" s="154">
        <v>0</v>
      </c>
      <c r="AS51" s="151">
        <v>17</v>
      </c>
    </row>
    <row r="52" spans="2:45" ht="16.5" customHeight="1">
      <c r="B52" s="164" t="s">
        <v>19</v>
      </c>
      <c r="C52" s="159">
        <v>0</v>
      </c>
      <c r="L52" s="15">
        <v>48</v>
      </c>
      <c r="M52" s="38" t="s">
        <v>40</v>
      </c>
      <c r="N52" s="38" t="s">
        <v>40</v>
      </c>
      <c r="O52" s="38" t="s">
        <v>232</v>
      </c>
      <c r="P52" s="38" t="s">
        <v>40</v>
      </c>
      <c r="Q52" s="38" t="s">
        <v>34</v>
      </c>
      <c r="R52" s="38" t="s">
        <v>38</v>
      </c>
      <c r="S52" s="24" t="s">
        <v>40</v>
      </c>
      <c r="U52" s="37">
        <f t="shared" si="9"/>
        <v>12</v>
      </c>
      <c r="V52" s="37">
        <f t="shared" si="10"/>
        <v>12</v>
      </c>
      <c r="W52" s="37">
        <f t="shared" si="11"/>
        <v>0</v>
      </c>
      <c r="X52" s="37">
        <f t="shared" si="12"/>
        <v>12</v>
      </c>
      <c r="Y52" s="37">
        <f t="shared" si="13"/>
        <v>16</v>
      </c>
      <c r="Z52" s="37">
        <f t="shared" si="14"/>
        <v>15</v>
      </c>
      <c r="AA52" s="37">
        <f t="shared" si="15"/>
        <v>12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4">
        <v>3</v>
      </c>
      <c r="AK52" s="37" t="s">
        <v>234</v>
      </c>
      <c r="AL52" s="37">
        <v>0</v>
      </c>
      <c r="AM52" s="37">
        <v>12</v>
      </c>
      <c r="AN52" s="37">
        <v>12</v>
      </c>
      <c r="AO52" s="37">
        <v>4</v>
      </c>
      <c r="AP52" s="37">
        <v>6</v>
      </c>
      <c r="AQ52" s="37">
        <v>0</v>
      </c>
      <c r="AR52" s="37">
        <v>0</v>
      </c>
      <c r="AS52" s="4">
        <v>17</v>
      </c>
    </row>
    <row r="53" spans="2:45" ht="16.5" customHeight="1">
      <c r="B53" s="164" t="s">
        <v>20</v>
      </c>
      <c r="C53" s="159">
        <v>2</v>
      </c>
      <c r="L53" s="14">
        <v>49</v>
      </c>
      <c r="M53" s="38" t="s">
        <v>34</v>
      </c>
      <c r="N53" s="38" t="s">
        <v>40</v>
      </c>
      <c r="O53" s="38" t="s">
        <v>90</v>
      </c>
      <c r="P53" s="38" t="s">
        <v>25</v>
      </c>
      <c r="Q53" s="38" t="s">
        <v>34</v>
      </c>
      <c r="R53" s="38" t="s">
        <v>38</v>
      </c>
      <c r="S53" s="24" t="s">
        <v>40</v>
      </c>
      <c r="U53" s="37">
        <f t="shared" si="9"/>
        <v>16</v>
      </c>
      <c r="V53" s="37">
        <f t="shared" si="10"/>
        <v>12</v>
      </c>
      <c r="W53" s="37">
        <f t="shared" si="11"/>
        <v>6</v>
      </c>
      <c r="X53" s="37">
        <f t="shared" si="12"/>
        <v>5</v>
      </c>
      <c r="Y53" s="37">
        <f t="shared" si="13"/>
        <v>16</v>
      </c>
      <c r="Z53" s="37">
        <f t="shared" si="14"/>
        <v>15</v>
      </c>
      <c r="AA53" s="37">
        <f t="shared" si="15"/>
        <v>12</v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1</v>
      </c>
      <c r="AI53" s="4">
        <v>1</v>
      </c>
      <c r="AK53" s="37" t="s">
        <v>236</v>
      </c>
      <c r="AL53" s="37">
        <v>0</v>
      </c>
      <c r="AM53" s="37">
        <v>8</v>
      </c>
      <c r="AN53" s="37">
        <v>12</v>
      </c>
      <c r="AO53" s="37">
        <v>4</v>
      </c>
      <c r="AP53" s="37">
        <v>4</v>
      </c>
      <c r="AQ53" s="37">
        <v>0</v>
      </c>
      <c r="AR53" s="37">
        <v>0</v>
      </c>
      <c r="AS53" s="4">
        <v>18</v>
      </c>
    </row>
    <row r="54" spans="2:45" ht="16.5" customHeight="1">
      <c r="B54" s="164" t="s">
        <v>21</v>
      </c>
      <c r="C54" s="159">
        <v>3</v>
      </c>
      <c r="L54" s="15">
        <v>50</v>
      </c>
      <c r="M54" s="38" t="s">
        <v>34</v>
      </c>
      <c r="N54" s="38" t="s">
        <v>38</v>
      </c>
      <c r="O54" s="38" t="s">
        <v>39</v>
      </c>
      <c r="P54" s="38" t="s">
        <v>65</v>
      </c>
      <c r="Q54" s="38" t="s">
        <v>242</v>
      </c>
      <c r="R54" s="38" t="s">
        <v>65</v>
      </c>
      <c r="S54" s="24" t="s">
        <v>40</v>
      </c>
      <c r="U54" s="37">
        <f t="shared" si="9"/>
        <v>16</v>
      </c>
      <c r="V54" s="37">
        <f t="shared" si="10"/>
        <v>15</v>
      </c>
      <c r="W54" s="37">
        <f t="shared" si="11"/>
        <v>5</v>
      </c>
      <c r="X54" s="37">
        <f t="shared" si="12"/>
        <v>17</v>
      </c>
      <c r="Y54" s="37">
        <f t="shared" si="13"/>
        <v>0</v>
      </c>
      <c r="Z54" s="37">
        <f t="shared" si="14"/>
        <v>17</v>
      </c>
      <c r="AA54" s="37">
        <f t="shared" si="15"/>
        <v>12</v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4">
        <v>1</v>
      </c>
      <c r="AK54" s="37" t="s">
        <v>238</v>
      </c>
      <c r="AL54" s="37">
        <v>0</v>
      </c>
      <c r="AM54" s="37">
        <v>10</v>
      </c>
      <c r="AN54" s="37">
        <v>6</v>
      </c>
      <c r="AO54" s="37">
        <v>2</v>
      </c>
      <c r="AP54" s="37">
        <v>8</v>
      </c>
      <c r="AQ54" s="37">
        <v>0</v>
      </c>
      <c r="AR54" s="37">
        <v>0</v>
      </c>
      <c r="AS54" s="4">
        <v>19</v>
      </c>
    </row>
    <row r="55" spans="2:45" ht="16.5" customHeight="1">
      <c r="B55" s="164" t="s">
        <v>17</v>
      </c>
      <c r="C55" s="159">
        <v>5</v>
      </c>
      <c r="L55" s="14">
        <v>51</v>
      </c>
      <c r="M55" s="38" t="s">
        <v>33</v>
      </c>
      <c r="N55" s="38" t="s">
        <v>25</v>
      </c>
      <c r="O55" s="38" t="s">
        <v>33</v>
      </c>
      <c r="P55" s="38" t="s">
        <v>33</v>
      </c>
      <c r="Q55" s="38" t="s">
        <v>40</v>
      </c>
      <c r="R55" s="38" t="s">
        <v>65</v>
      </c>
      <c r="S55" s="24" t="s">
        <v>90</v>
      </c>
      <c r="U55" s="37">
        <f t="shared" si="9"/>
        <v>11</v>
      </c>
      <c r="V55" s="37">
        <f t="shared" si="10"/>
        <v>5</v>
      </c>
      <c r="W55" s="37">
        <f t="shared" si="11"/>
        <v>11</v>
      </c>
      <c r="X55" s="37">
        <f t="shared" si="12"/>
        <v>11</v>
      </c>
      <c r="Y55" s="37">
        <f t="shared" si="13"/>
        <v>12</v>
      </c>
      <c r="Z55" s="37">
        <f t="shared" si="14"/>
        <v>17</v>
      </c>
      <c r="AA55" s="37">
        <f t="shared" si="15"/>
        <v>6</v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4">
        <v>3</v>
      </c>
      <c r="AK55" s="37" t="s">
        <v>240</v>
      </c>
      <c r="AL55" s="37">
        <v>0</v>
      </c>
      <c r="AM55" s="37">
        <v>5</v>
      </c>
      <c r="AN55" s="37">
        <v>6</v>
      </c>
      <c r="AO55" s="37">
        <v>2</v>
      </c>
      <c r="AP55" s="37">
        <v>4</v>
      </c>
      <c r="AQ55" s="37">
        <v>0</v>
      </c>
      <c r="AR55" s="37">
        <v>0</v>
      </c>
      <c r="AS55" s="4">
        <v>20</v>
      </c>
    </row>
    <row r="56" spans="2:45" ht="16.5" customHeight="1">
      <c r="B56" s="164" t="s">
        <v>18</v>
      </c>
      <c r="C56" s="159">
        <v>8</v>
      </c>
      <c r="L56" s="15">
        <v>52</v>
      </c>
      <c r="M56" s="38" t="s">
        <v>40</v>
      </c>
      <c r="N56" s="38" t="s">
        <v>35</v>
      </c>
      <c r="O56" s="38" t="s">
        <v>38</v>
      </c>
      <c r="P56" s="38" t="s">
        <v>238</v>
      </c>
      <c r="Q56" s="38" t="s">
        <v>40</v>
      </c>
      <c r="R56" s="38" t="s">
        <v>38</v>
      </c>
      <c r="S56" s="24" t="s">
        <v>35</v>
      </c>
      <c r="U56" s="37">
        <f t="shared" si="9"/>
        <v>12</v>
      </c>
      <c r="V56" s="37">
        <f t="shared" si="10"/>
        <v>15</v>
      </c>
      <c r="W56" s="37">
        <f t="shared" si="11"/>
        <v>15</v>
      </c>
      <c r="X56" s="37">
        <f t="shared" si="12"/>
        <v>0</v>
      </c>
      <c r="Y56" s="37">
        <f t="shared" si="13"/>
        <v>12</v>
      </c>
      <c r="Z56" s="37">
        <f t="shared" si="14"/>
        <v>15</v>
      </c>
      <c r="AA56" s="37">
        <f t="shared" si="15"/>
        <v>15</v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0</v>
      </c>
      <c r="AM56" s="37">
        <v>4</v>
      </c>
      <c r="AN56" s="37">
        <v>6</v>
      </c>
      <c r="AO56" s="37">
        <v>2</v>
      </c>
      <c r="AP56" s="37">
        <v>4</v>
      </c>
      <c r="AQ56" s="37">
        <v>0</v>
      </c>
      <c r="AR56" s="37">
        <v>0</v>
      </c>
      <c r="AS56" s="4">
        <v>21</v>
      </c>
    </row>
    <row r="57" spans="2:45" ht="16.5" customHeight="1">
      <c r="B57" s="164" t="s">
        <v>64</v>
      </c>
      <c r="C57" s="159">
        <v>12</v>
      </c>
      <c r="L57" s="14">
        <v>53</v>
      </c>
      <c r="M57" s="38" t="s">
        <v>39</v>
      </c>
      <c r="N57" s="38" t="s">
        <v>35</v>
      </c>
      <c r="O57" s="38" t="s">
        <v>238</v>
      </c>
      <c r="P57" s="38" t="s">
        <v>65</v>
      </c>
      <c r="Q57" s="38" t="s">
        <v>39</v>
      </c>
      <c r="R57" s="38" t="s">
        <v>65</v>
      </c>
      <c r="S57" s="24" t="s">
        <v>35</v>
      </c>
      <c r="U57" s="37">
        <f t="shared" si="9"/>
        <v>5</v>
      </c>
      <c r="V57" s="37">
        <f t="shared" si="10"/>
        <v>15</v>
      </c>
      <c r="W57" s="37">
        <f t="shared" si="11"/>
        <v>0</v>
      </c>
      <c r="X57" s="37">
        <f t="shared" si="12"/>
        <v>17</v>
      </c>
      <c r="Y57" s="37">
        <f t="shared" si="13"/>
        <v>5</v>
      </c>
      <c r="Z57" s="37">
        <f t="shared" si="14"/>
        <v>17</v>
      </c>
      <c r="AA57" s="37">
        <f t="shared" si="15"/>
        <v>15</v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4" t="s">
        <v>94</v>
      </c>
      <c r="AL57" s="154">
        <v>0</v>
      </c>
      <c r="AM57" s="154">
        <v>10</v>
      </c>
      <c r="AN57" s="154">
        <v>10</v>
      </c>
      <c r="AO57" s="154">
        <v>10</v>
      </c>
      <c r="AP57" s="154">
        <v>10</v>
      </c>
      <c r="AQ57" s="154">
        <v>0</v>
      </c>
      <c r="AR57" s="154">
        <v>0</v>
      </c>
      <c r="AS57" s="151">
        <v>24</v>
      </c>
    </row>
    <row r="58" spans="2:45" ht="16.5" customHeight="1">
      <c r="B58" s="164" t="s">
        <v>92</v>
      </c>
      <c r="C58" s="159">
        <v>10</v>
      </c>
      <c r="L58" s="15">
        <v>54</v>
      </c>
      <c r="M58" s="38" t="s">
        <v>34</v>
      </c>
      <c r="N58" s="38" t="s">
        <v>240</v>
      </c>
      <c r="O58" s="38" t="s">
        <v>39</v>
      </c>
      <c r="P58" s="38" t="s">
        <v>65</v>
      </c>
      <c r="Q58" s="38" t="s">
        <v>35</v>
      </c>
      <c r="R58" s="38" t="s">
        <v>40</v>
      </c>
      <c r="S58" s="24" t="s">
        <v>35</v>
      </c>
      <c r="U58" s="37">
        <f t="shared" si="9"/>
        <v>16</v>
      </c>
      <c r="V58" s="37">
        <f t="shared" si="10"/>
        <v>0</v>
      </c>
      <c r="W58" s="37">
        <f t="shared" si="11"/>
        <v>5</v>
      </c>
      <c r="X58" s="37">
        <f t="shared" si="12"/>
        <v>17</v>
      </c>
      <c r="Y58" s="37">
        <f t="shared" si="13"/>
        <v>15</v>
      </c>
      <c r="Z58" s="37">
        <f t="shared" si="14"/>
        <v>12</v>
      </c>
      <c r="AA58" s="37">
        <f t="shared" si="15"/>
        <v>15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2</v>
      </c>
      <c r="AK58" s="154" t="s">
        <v>257</v>
      </c>
      <c r="AL58" s="154">
        <v>0</v>
      </c>
      <c r="AM58" s="154">
        <v>1</v>
      </c>
      <c r="AN58" s="154">
        <v>1</v>
      </c>
      <c r="AO58" s="154">
        <v>1</v>
      </c>
      <c r="AP58" s="154">
        <v>1</v>
      </c>
      <c r="AQ58" s="154">
        <v>0</v>
      </c>
      <c r="AR58" s="154">
        <v>0</v>
      </c>
      <c r="AS58" s="151">
        <v>25</v>
      </c>
    </row>
    <row r="59" spans="2:45" ht="16.5" customHeight="1">
      <c r="B59" s="164" t="s">
        <v>93</v>
      </c>
      <c r="C59" s="159">
        <v>10</v>
      </c>
      <c r="L59" s="14">
        <v>55</v>
      </c>
      <c r="M59" s="38" t="s">
        <v>34</v>
      </c>
      <c r="N59" s="38" t="s">
        <v>236</v>
      </c>
      <c r="O59" s="38" t="s">
        <v>39</v>
      </c>
      <c r="P59" s="38" t="s">
        <v>25</v>
      </c>
      <c r="Q59" s="38" t="s">
        <v>35</v>
      </c>
      <c r="R59" s="38" t="s">
        <v>40</v>
      </c>
      <c r="S59" s="24" t="s">
        <v>25</v>
      </c>
      <c r="U59" s="37">
        <f t="shared" si="9"/>
        <v>16</v>
      </c>
      <c r="V59" s="37">
        <f t="shared" si="10"/>
        <v>0</v>
      </c>
      <c r="W59" s="37">
        <f t="shared" si="11"/>
        <v>5</v>
      </c>
      <c r="X59" s="37">
        <f t="shared" si="12"/>
        <v>5</v>
      </c>
      <c r="Y59" s="37">
        <f t="shared" si="13"/>
        <v>15</v>
      </c>
      <c r="Z59" s="37">
        <f t="shared" si="14"/>
        <v>12</v>
      </c>
      <c r="AA59" s="37">
        <f t="shared" si="15"/>
        <v>5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1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>
      <c r="B60" s="4" t="s">
        <v>37</v>
      </c>
      <c r="C60" s="160">
        <v>10</v>
      </c>
      <c r="L60" s="15">
        <v>56</v>
      </c>
      <c r="M60" s="38" t="s">
        <v>38</v>
      </c>
      <c r="N60" s="38" t="s">
        <v>37</v>
      </c>
      <c r="O60" s="38" t="s">
        <v>39</v>
      </c>
      <c r="P60" s="38" t="s">
        <v>25</v>
      </c>
      <c r="Q60" s="38" t="s">
        <v>39</v>
      </c>
      <c r="R60" s="38" t="s">
        <v>40</v>
      </c>
      <c r="S60" s="24" t="s">
        <v>65</v>
      </c>
      <c r="U60" s="37">
        <f t="shared" si="9"/>
        <v>15</v>
      </c>
      <c r="V60" s="37">
        <f t="shared" si="10"/>
        <v>13</v>
      </c>
      <c r="W60" s="37">
        <f t="shared" si="11"/>
        <v>5</v>
      </c>
      <c r="X60" s="37">
        <f t="shared" si="12"/>
        <v>5</v>
      </c>
      <c r="Y60" s="37">
        <f t="shared" si="13"/>
        <v>5</v>
      </c>
      <c r="Z60" s="37">
        <f t="shared" si="14"/>
        <v>12</v>
      </c>
      <c r="AA60" s="37">
        <f t="shared" si="15"/>
        <v>17</v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4">
        <v>1</v>
      </c>
      <c r="AK60" s="40" t="s">
        <v>260</v>
      </c>
    </row>
    <row r="61" spans="2:45">
      <c r="B61" s="4" t="s">
        <v>38</v>
      </c>
      <c r="C61" s="160">
        <v>10</v>
      </c>
      <c r="L61" s="14">
        <v>57</v>
      </c>
      <c r="M61" s="38" t="s">
        <v>40</v>
      </c>
      <c r="N61" s="38" t="s">
        <v>37</v>
      </c>
      <c r="O61" s="38" t="s">
        <v>90</v>
      </c>
      <c r="P61" s="38" t="s">
        <v>25</v>
      </c>
      <c r="Q61" s="38" t="s">
        <v>35</v>
      </c>
      <c r="R61" s="38" t="s">
        <v>25</v>
      </c>
      <c r="S61" s="24" t="s">
        <v>65</v>
      </c>
      <c r="U61" s="37">
        <f t="shared" si="9"/>
        <v>12</v>
      </c>
      <c r="V61" s="37">
        <f t="shared" si="10"/>
        <v>13</v>
      </c>
      <c r="W61" s="37">
        <f t="shared" si="11"/>
        <v>6</v>
      </c>
      <c r="X61" s="37">
        <f t="shared" si="12"/>
        <v>5</v>
      </c>
      <c r="Y61" s="37">
        <f t="shared" si="13"/>
        <v>15</v>
      </c>
      <c r="Z61" s="37">
        <f t="shared" si="14"/>
        <v>5</v>
      </c>
      <c r="AA61" s="37">
        <f t="shared" si="15"/>
        <v>17</v>
      </c>
      <c r="AC61" s="18">
        <v>1</v>
      </c>
      <c r="AD61" s="18">
        <v>1</v>
      </c>
      <c r="AE61" s="18">
        <v>1</v>
      </c>
      <c r="AF61" s="18">
        <v>1</v>
      </c>
      <c r="AG61" s="18">
        <v>1</v>
      </c>
      <c r="AH61" s="18">
        <v>1</v>
      </c>
      <c r="AI61" s="4">
        <v>1</v>
      </c>
      <c r="AK61" s="16" t="s">
        <v>265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>
      <c r="B62" s="4" t="s">
        <v>39</v>
      </c>
      <c r="C62" s="160">
        <v>10</v>
      </c>
      <c r="L62" s="15">
        <v>58</v>
      </c>
      <c r="M62" s="38" t="s">
        <v>90</v>
      </c>
      <c r="N62" s="38" t="s">
        <v>65</v>
      </c>
      <c r="O62" s="38" t="s">
        <v>90</v>
      </c>
      <c r="P62" s="38" t="s">
        <v>90</v>
      </c>
      <c r="Q62" s="38" t="s">
        <v>39</v>
      </c>
      <c r="R62" s="38" t="s">
        <v>65</v>
      </c>
      <c r="S62" s="24" t="s">
        <v>39</v>
      </c>
      <c r="U62" s="37">
        <f t="shared" si="9"/>
        <v>6</v>
      </c>
      <c r="V62" s="37">
        <f t="shared" si="10"/>
        <v>17</v>
      </c>
      <c r="W62" s="37">
        <f t="shared" si="11"/>
        <v>6</v>
      </c>
      <c r="X62" s="37">
        <f t="shared" si="12"/>
        <v>6</v>
      </c>
      <c r="Y62" s="37">
        <f t="shared" si="13"/>
        <v>5</v>
      </c>
      <c r="Z62" s="37">
        <f t="shared" si="14"/>
        <v>17</v>
      </c>
      <c r="AA62" s="37">
        <f t="shared" si="15"/>
        <v>5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4">
        <v>1</v>
      </c>
      <c r="AK62" s="10" t="s">
        <v>68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160">
        <v>10</v>
      </c>
      <c r="L63" s="14">
        <v>59</v>
      </c>
      <c r="M63" s="38" t="s">
        <v>90</v>
      </c>
      <c r="N63" s="38" t="s">
        <v>242</v>
      </c>
      <c r="O63" s="38" t="s">
        <v>37</v>
      </c>
      <c r="P63" s="38" t="s">
        <v>90</v>
      </c>
      <c r="Q63" s="38" t="s">
        <v>40</v>
      </c>
      <c r="R63" s="38" t="s">
        <v>65</v>
      </c>
      <c r="S63" s="38" t="s">
        <v>38</v>
      </c>
      <c r="U63" s="37">
        <f t="shared" si="9"/>
        <v>6</v>
      </c>
      <c r="V63" s="37">
        <f t="shared" si="10"/>
        <v>0</v>
      </c>
      <c r="W63" s="37">
        <f t="shared" si="11"/>
        <v>13</v>
      </c>
      <c r="X63" s="37">
        <f t="shared" si="12"/>
        <v>6</v>
      </c>
      <c r="Y63" s="37">
        <f t="shared" si="13"/>
        <v>12</v>
      </c>
      <c r="Z63" s="37">
        <f t="shared" si="14"/>
        <v>17</v>
      </c>
      <c r="AA63" s="37">
        <f t="shared" si="15"/>
        <v>15</v>
      </c>
      <c r="AC63" s="18">
        <v>1</v>
      </c>
      <c r="AD63" s="18">
        <v>1</v>
      </c>
      <c r="AE63" s="18">
        <v>1</v>
      </c>
      <c r="AF63" s="18">
        <v>1</v>
      </c>
      <c r="AG63" s="18">
        <v>1</v>
      </c>
      <c r="AH63" s="18">
        <v>1</v>
      </c>
      <c r="AI63" s="4">
        <v>3</v>
      </c>
      <c r="AK63" s="37" t="s">
        <v>19</v>
      </c>
      <c r="AL63" s="37">
        <v>0</v>
      </c>
      <c r="AM63" s="37">
        <v>0</v>
      </c>
      <c r="AN63" s="37">
        <v>0</v>
      </c>
      <c r="AO63" s="37">
        <v>0</v>
      </c>
      <c r="AP63" s="37">
        <v>0</v>
      </c>
      <c r="AQ63" s="37">
        <v>0</v>
      </c>
      <c r="AR63" s="37">
        <v>0</v>
      </c>
      <c r="AS63" s="4">
        <v>1</v>
      </c>
    </row>
    <row r="64" spans="2:45" ht="16.5" customHeight="1">
      <c r="L64" s="15">
        <v>60</v>
      </c>
      <c r="M64" s="38" t="s">
        <v>39</v>
      </c>
      <c r="N64" s="38" t="s">
        <v>40</v>
      </c>
      <c r="O64" s="38" t="s">
        <v>65</v>
      </c>
      <c r="P64" s="38" t="s">
        <v>25</v>
      </c>
      <c r="Q64" s="38" t="s">
        <v>40</v>
      </c>
      <c r="R64" s="38" t="s">
        <v>25</v>
      </c>
      <c r="S64" s="24" t="s">
        <v>38</v>
      </c>
      <c r="U64" s="37">
        <f t="shared" si="9"/>
        <v>5</v>
      </c>
      <c r="V64" s="37">
        <f t="shared" si="10"/>
        <v>12</v>
      </c>
      <c r="W64" s="37">
        <f t="shared" si="11"/>
        <v>17</v>
      </c>
      <c r="X64" s="37">
        <f t="shared" si="12"/>
        <v>5</v>
      </c>
      <c r="Y64" s="37">
        <f t="shared" si="13"/>
        <v>12</v>
      </c>
      <c r="Z64" s="37">
        <f t="shared" si="14"/>
        <v>5</v>
      </c>
      <c r="AA64" s="37">
        <f t="shared" si="15"/>
        <v>15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4">
        <v>1</v>
      </c>
      <c r="AK64" s="154" t="s">
        <v>20</v>
      </c>
      <c r="AL64" s="154">
        <v>6</v>
      </c>
      <c r="AM64" s="154">
        <v>6</v>
      </c>
      <c r="AN64" s="154">
        <v>6</v>
      </c>
      <c r="AO64" s="154">
        <v>6</v>
      </c>
      <c r="AP64" s="154">
        <v>6</v>
      </c>
      <c r="AQ64" s="154">
        <v>6</v>
      </c>
      <c r="AR64" s="154">
        <v>4</v>
      </c>
      <c r="AS64" s="151">
        <v>2</v>
      </c>
    </row>
    <row r="65" spans="2:45" ht="16.5" customHeight="1">
      <c r="L65" s="14">
        <v>61</v>
      </c>
      <c r="M65" s="38" t="s">
        <v>25</v>
      </c>
      <c r="N65" s="38" t="s">
        <v>40</v>
      </c>
      <c r="O65" s="38" t="s">
        <v>65</v>
      </c>
      <c r="P65" s="38" t="s">
        <v>38</v>
      </c>
      <c r="Q65" s="38" t="s">
        <v>90</v>
      </c>
      <c r="R65" s="38" t="s">
        <v>25</v>
      </c>
      <c r="S65" s="24" t="s">
        <v>38</v>
      </c>
      <c r="U65" s="37">
        <f t="shared" si="9"/>
        <v>5</v>
      </c>
      <c r="V65" s="37">
        <f t="shared" si="10"/>
        <v>12</v>
      </c>
      <c r="W65" s="37">
        <f t="shared" si="11"/>
        <v>17</v>
      </c>
      <c r="X65" s="37">
        <f t="shared" si="12"/>
        <v>15</v>
      </c>
      <c r="Y65" s="37">
        <f t="shared" si="13"/>
        <v>6</v>
      </c>
      <c r="Z65" s="37">
        <f t="shared" si="14"/>
        <v>5</v>
      </c>
      <c r="AA65" s="37">
        <f t="shared" si="15"/>
        <v>15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1</v>
      </c>
      <c r="AK65" s="154" t="s">
        <v>21</v>
      </c>
      <c r="AL65" s="154">
        <v>10</v>
      </c>
      <c r="AM65" s="154">
        <v>13</v>
      </c>
      <c r="AN65" s="154">
        <v>10</v>
      </c>
      <c r="AO65" s="154">
        <v>5</v>
      </c>
      <c r="AP65" s="154">
        <v>20</v>
      </c>
      <c r="AQ65" s="154">
        <v>5</v>
      </c>
      <c r="AR65" s="154">
        <v>10</v>
      </c>
      <c r="AS65" s="151">
        <v>3</v>
      </c>
    </row>
    <row r="66" spans="2:45" ht="16.5" customHeight="1">
      <c r="B66" s="165" t="s">
        <v>95</v>
      </c>
      <c r="C66" s="162" t="s">
        <v>259</v>
      </c>
      <c r="L66" s="15">
        <v>62</v>
      </c>
      <c r="M66" s="38" t="s">
        <v>25</v>
      </c>
      <c r="N66" s="38" t="s">
        <v>37</v>
      </c>
      <c r="O66" s="38" t="s">
        <v>40</v>
      </c>
      <c r="P66" s="38" t="s">
        <v>40</v>
      </c>
      <c r="Q66" s="38" t="s">
        <v>90</v>
      </c>
      <c r="R66" s="38" t="s">
        <v>38</v>
      </c>
      <c r="S66" s="24" t="s">
        <v>39</v>
      </c>
      <c r="U66" s="37">
        <f t="shared" si="9"/>
        <v>5</v>
      </c>
      <c r="V66" s="37">
        <f t="shared" si="10"/>
        <v>13</v>
      </c>
      <c r="W66" s="37">
        <f t="shared" si="11"/>
        <v>12</v>
      </c>
      <c r="X66" s="37">
        <f t="shared" si="12"/>
        <v>12</v>
      </c>
      <c r="Y66" s="37">
        <f t="shared" si="13"/>
        <v>6</v>
      </c>
      <c r="Z66" s="37">
        <f t="shared" si="14"/>
        <v>15</v>
      </c>
      <c r="AA66" s="37">
        <f t="shared" si="15"/>
        <v>5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4" t="s">
        <v>17</v>
      </c>
      <c r="AL66" s="154">
        <v>12</v>
      </c>
      <c r="AM66" s="154">
        <v>10</v>
      </c>
      <c r="AN66" s="154">
        <v>15</v>
      </c>
      <c r="AO66" s="154">
        <v>5</v>
      </c>
      <c r="AP66" s="154">
        <v>18</v>
      </c>
      <c r="AQ66" s="154">
        <v>20</v>
      </c>
      <c r="AR66" s="154">
        <v>10</v>
      </c>
      <c r="AS66" s="151">
        <v>4</v>
      </c>
    </row>
    <row r="67" spans="2:45" ht="16.5" customHeight="1">
      <c r="B67" s="163">
        <v>0</v>
      </c>
      <c r="C67" s="161">
        <v>1000</v>
      </c>
      <c r="L67" s="14">
        <v>63</v>
      </c>
      <c r="M67" s="38" t="s">
        <v>94</v>
      </c>
      <c r="N67" s="38" t="s">
        <v>94</v>
      </c>
      <c r="O67" s="38" t="s">
        <v>94</v>
      </c>
      <c r="P67" s="38" t="s">
        <v>94</v>
      </c>
      <c r="Q67" s="38" t="s">
        <v>94</v>
      </c>
      <c r="R67" s="38" t="s">
        <v>94</v>
      </c>
      <c r="S67" s="24" t="s">
        <v>94</v>
      </c>
      <c r="U67" s="37">
        <f t="shared" si="9"/>
        <v>2</v>
      </c>
      <c r="V67" s="37">
        <f t="shared" si="10"/>
        <v>2</v>
      </c>
      <c r="W67" s="37">
        <f t="shared" si="11"/>
        <v>2</v>
      </c>
      <c r="X67" s="37">
        <f t="shared" si="12"/>
        <v>2</v>
      </c>
      <c r="Y67" s="37">
        <f t="shared" si="13"/>
        <v>2</v>
      </c>
      <c r="Z67" s="37">
        <f t="shared" si="14"/>
        <v>2</v>
      </c>
      <c r="AA67" s="37">
        <f t="shared" si="15"/>
        <v>2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4" t="s">
        <v>18</v>
      </c>
      <c r="AL67" s="154">
        <v>10</v>
      </c>
      <c r="AM67" s="154">
        <v>20</v>
      </c>
      <c r="AN67" s="154">
        <v>20</v>
      </c>
      <c r="AO67" s="154">
        <v>20</v>
      </c>
      <c r="AP67" s="154">
        <v>10</v>
      </c>
      <c r="AQ67" s="154">
        <v>20</v>
      </c>
      <c r="AR67" s="154">
        <v>10</v>
      </c>
      <c r="AS67" s="151">
        <v>5</v>
      </c>
    </row>
    <row r="68" spans="2:45" ht="16.5" customHeight="1">
      <c r="B68" s="164">
        <v>1</v>
      </c>
      <c r="C68" s="159">
        <v>50</v>
      </c>
      <c r="L68" s="15">
        <v>64</v>
      </c>
      <c r="M68" s="38" t="s">
        <v>94</v>
      </c>
      <c r="N68" s="38" t="s">
        <v>94</v>
      </c>
      <c r="O68" s="38" t="s">
        <v>94</v>
      </c>
      <c r="P68" s="38" t="s">
        <v>94</v>
      </c>
      <c r="Q68" s="38" t="s">
        <v>94</v>
      </c>
      <c r="R68" s="38" t="s">
        <v>94</v>
      </c>
      <c r="S68" s="24" t="s">
        <v>94</v>
      </c>
      <c r="U68" s="37">
        <f t="shared" si="9"/>
        <v>2</v>
      </c>
      <c r="V68" s="37">
        <f t="shared" si="10"/>
        <v>2</v>
      </c>
      <c r="W68" s="37">
        <f t="shared" si="11"/>
        <v>2</v>
      </c>
      <c r="X68" s="37">
        <f t="shared" si="12"/>
        <v>2</v>
      </c>
      <c r="Y68" s="37">
        <f t="shared" si="13"/>
        <v>2</v>
      </c>
      <c r="Z68" s="37">
        <f t="shared" si="14"/>
        <v>2</v>
      </c>
      <c r="AA68" s="37">
        <f t="shared" si="15"/>
        <v>2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3</v>
      </c>
      <c r="AK68" s="154" t="s">
        <v>64</v>
      </c>
      <c r="AL68" s="154">
        <v>50</v>
      </c>
      <c r="AM68" s="154">
        <v>50</v>
      </c>
      <c r="AN68" s="154">
        <v>50</v>
      </c>
      <c r="AO68" s="154">
        <v>50</v>
      </c>
      <c r="AP68" s="154">
        <v>50</v>
      </c>
      <c r="AQ68" s="154">
        <v>50</v>
      </c>
      <c r="AR68" s="154">
        <v>10</v>
      </c>
      <c r="AS68" s="151">
        <v>6</v>
      </c>
    </row>
    <row r="69" spans="2:45" ht="16.5" customHeight="1">
      <c r="B69" s="164">
        <v>2</v>
      </c>
      <c r="C69" s="159">
        <v>20</v>
      </c>
      <c r="L69" s="14">
        <v>65</v>
      </c>
      <c r="M69" s="38" t="s">
        <v>90</v>
      </c>
      <c r="N69" s="38" t="s">
        <v>65</v>
      </c>
      <c r="O69" s="38" t="s">
        <v>38</v>
      </c>
      <c r="P69" s="38" t="s">
        <v>65</v>
      </c>
      <c r="Q69" s="38" t="s">
        <v>25</v>
      </c>
      <c r="R69" s="38" t="s">
        <v>65</v>
      </c>
      <c r="S69" s="24" t="s">
        <v>38</v>
      </c>
      <c r="U69" s="37">
        <f t="shared" ref="U69:U124" si="17">VLOOKUP(M69, $A$4:$J$29, 9, 0)</f>
        <v>6</v>
      </c>
      <c r="V69" s="37">
        <f t="shared" ref="V69:V124" si="18">VLOOKUP(N69, $A$4:$J$29, 9, 0)</f>
        <v>17</v>
      </c>
      <c r="W69" s="37">
        <f t="shared" ref="W69:W124" si="19">VLOOKUP(O69, $A$4:$J$29, 9, 0)</f>
        <v>15</v>
      </c>
      <c r="X69" s="37">
        <f t="shared" ref="X69:X124" si="20">VLOOKUP(P69, $A$4:$J$29, 9, 0)</f>
        <v>17</v>
      </c>
      <c r="Y69" s="37">
        <f t="shared" ref="Y69:Y124" si="21">VLOOKUP(Q69, $A$4:$J$29, 9, 0)</f>
        <v>5</v>
      </c>
      <c r="Z69" s="37">
        <f t="shared" ref="Z69:Z124" si="22">VLOOKUP(R69, $A$4:$J$29, 9, 0)</f>
        <v>17</v>
      </c>
      <c r="AA69" s="37">
        <f t="shared" ref="AA69:AA124" si="23">VLOOKUP(S69, $A$4:$J$29, 9, 0)</f>
        <v>15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4" t="s">
        <v>89</v>
      </c>
      <c r="AL69" s="154">
        <v>50</v>
      </c>
      <c r="AM69" s="154">
        <v>50</v>
      </c>
      <c r="AN69" s="154">
        <v>50</v>
      </c>
      <c r="AO69" s="154">
        <v>50</v>
      </c>
      <c r="AP69" s="154">
        <v>50</v>
      </c>
      <c r="AQ69" s="154">
        <v>50</v>
      </c>
      <c r="AR69" s="154">
        <v>10</v>
      </c>
      <c r="AS69" s="151">
        <v>7</v>
      </c>
    </row>
    <row r="70" spans="2:45" ht="16.5" customHeight="1">
      <c r="B70" s="164">
        <v>3</v>
      </c>
      <c r="C70" s="159">
        <v>10</v>
      </c>
      <c r="L70" s="15">
        <v>66</v>
      </c>
      <c r="M70" s="38" t="s">
        <v>25</v>
      </c>
      <c r="N70" s="38" t="s">
        <v>38</v>
      </c>
      <c r="O70" s="38" t="s">
        <v>39</v>
      </c>
      <c r="P70" s="38" t="s">
        <v>65</v>
      </c>
      <c r="Q70" s="38" t="s">
        <v>37</v>
      </c>
      <c r="R70" s="38" t="s">
        <v>25</v>
      </c>
      <c r="S70" s="24" t="s">
        <v>38</v>
      </c>
      <c r="U70" s="37">
        <f t="shared" si="17"/>
        <v>5</v>
      </c>
      <c r="V70" s="37">
        <f t="shared" si="18"/>
        <v>15</v>
      </c>
      <c r="W70" s="37">
        <f t="shared" si="19"/>
        <v>5</v>
      </c>
      <c r="X70" s="37">
        <f t="shared" si="20"/>
        <v>17</v>
      </c>
      <c r="Y70" s="37">
        <f t="shared" si="21"/>
        <v>13</v>
      </c>
      <c r="Z70" s="37">
        <f t="shared" si="22"/>
        <v>5</v>
      </c>
      <c r="AA70" s="37">
        <f t="shared" si="23"/>
        <v>15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10</v>
      </c>
      <c r="AM70" s="37">
        <v>10</v>
      </c>
      <c r="AN70" s="37">
        <v>40</v>
      </c>
      <c r="AO70" s="37">
        <v>1</v>
      </c>
      <c r="AP70" s="37">
        <v>40</v>
      </c>
      <c r="AQ70" s="37">
        <v>1</v>
      </c>
      <c r="AR70" s="37">
        <v>10</v>
      </c>
      <c r="AS70" s="4">
        <v>8</v>
      </c>
    </row>
    <row r="71" spans="2:45" ht="16.5" customHeight="1">
      <c r="B71" s="164">
        <v>4</v>
      </c>
      <c r="C71" s="159">
        <v>1</v>
      </c>
      <c r="L71" s="14">
        <v>67</v>
      </c>
      <c r="M71" s="38" t="s">
        <v>37</v>
      </c>
      <c r="N71" s="38" t="s">
        <v>256</v>
      </c>
      <c r="O71" s="38" t="s">
        <v>256</v>
      </c>
      <c r="P71" s="38" t="s">
        <v>256</v>
      </c>
      <c r="Q71" s="38" t="s">
        <v>256</v>
      </c>
      <c r="R71" s="38" t="s">
        <v>25</v>
      </c>
      <c r="S71" s="24" t="s">
        <v>35</v>
      </c>
      <c r="U71" s="37">
        <f t="shared" si="17"/>
        <v>13</v>
      </c>
      <c r="V71" s="37">
        <f t="shared" si="18"/>
        <v>0</v>
      </c>
      <c r="W71" s="37">
        <f t="shared" si="19"/>
        <v>0</v>
      </c>
      <c r="X71" s="37">
        <f t="shared" si="20"/>
        <v>0</v>
      </c>
      <c r="Y71" s="37">
        <f t="shared" si="21"/>
        <v>0</v>
      </c>
      <c r="Z71" s="37">
        <f t="shared" si="22"/>
        <v>5</v>
      </c>
      <c r="AA71" s="37">
        <f t="shared" si="23"/>
        <v>15</v>
      </c>
      <c r="AC71" s="18">
        <v>1</v>
      </c>
      <c r="AD71" s="18">
        <v>1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40</v>
      </c>
      <c r="AM71" s="37">
        <v>8</v>
      </c>
      <c r="AN71" s="37">
        <v>25</v>
      </c>
      <c r="AO71" s="37">
        <v>10</v>
      </c>
      <c r="AP71" s="37">
        <v>1</v>
      </c>
      <c r="AQ71" s="37">
        <v>40</v>
      </c>
      <c r="AR71" s="37">
        <v>10</v>
      </c>
      <c r="AS71" s="4">
        <v>9</v>
      </c>
    </row>
    <row r="72" spans="2:45" ht="16.5" customHeight="1">
      <c r="B72" s="164">
        <v>5</v>
      </c>
      <c r="C72" s="159">
        <v>0</v>
      </c>
      <c r="L72" s="15">
        <v>68</v>
      </c>
      <c r="M72" s="38" t="s">
        <v>37</v>
      </c>
      <c r="N72" s="38" t="s">
        <v>40</v>
      </c>
      <c r="O72" s="38" t="s">
        <v>25</v>
      </c>
      <c r="P72" s="38" t="s">
        <v>39</v>
      </c>
      <c r="Q72" s="38" t="s">
        <v>34</v>
      </c>
      <c r="R72" s="38" t="s">
        <v>65</v>
      </c>
      <c r="S72" s="24" t="s">
        <v>35</v>
      </c>
      <c r="U72" s="37">
        <f t="shared" si="17"/>
        <v>13</v>
      </c>
      <c r="V72" s="37">
        <f t="shared" si="18"/>
        <v>12</v>
      </c>
      <c r="W72" s="37">
        <f t="shared" si="19"/>
        <v>5</v>
      </c>
      <c r="X72" s="37">
        <f t="shared" si="20"/>
        <v>5</v>
      </c>
      <c r="Y72" s="37">
        <f t="shared" si="21"/>
        <v>16</v>
      </c>
      <c r="Z72" s="37">
        <f t="shared" si="22"/>
        <v>17</v>
      </c>
      <c r="AA72" s="37">
        <f t="shared" si="23"/>
        <v>15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4">
        <v>1</v>
      </c>
      <c r="AK72" s="37" t="s">
        <v>27</v>
      </c>
      <c r="AL72" s="37">
        <v>10</v>
      </c>
      <c r="AM72" s="37">
        <v>30</v>
      </c>
      <c r="AN72" s="37">
        <v>30</v>
      </c>
      <c r="AO72" s="37">
        <v>10</v>
      </c>
      <c r="AP72" s="37">
        <v>40</v>
      </c>
      <c r="AQ72" s="37">
        <v>1</v>
      </c>
      <c r="AR72" s="37">
        <v>10</v>
      </c>
      <c r="AS72" s="4">
        <v>10</v>
      </c>
    </row>
    <row r="73" spans="2:45" ht="16.5" customHeight="1">
      <c r="B73" s="164">
        <v>6</v>
      </c>
      <c r="C73" s="159">
        <v>0</v>
      </c>
      <c r="L73" s="14">
        <v>69</v>
      </c>
      <c r="M73" s="38" t="s">
        <v>40</v>
      </c>
      <c r="N73" s="38" t="s">
        <v>65</v>
      </c>
      <c r="O73" s="38" t="s">
        <v>25</v>
      </c>
      <c r="P73" s="38" t="s">
        <v>25</v>
      </c>
      <c r="Q73" s="38" t="s">
        <v>39</v>
      </c>
      <c r="R73" s="38" t="s">
        <v>25</v>
      </c>
      <c r="S73" s="24" t="s">
        <v>35</v>
      </c>
      <c r="U73" s="37">
        <f t="shared" si="17"/>
        <v>12</v>
      </c>
      <c r="V73" s="37">
        <f t="shared" si="18"/>
        <v>17</v>
      </c>
      <c r="W73" s="37">
        <f t="shared" si="19"/>
        <v>5</v>
      </c>
      <c r="X73" s="37">
        <f t="shared" si="20"/>
        <v>5</v>
      </c>
      <c r="Y73" s="37">
        <f t="shared" si="21"/>
        <v>5</v>
      </c>
      <c r="Z73" s="37">
        <f t="shared" si="22"/>
        <v>5</v>
      </c>
      <c r="AA73" s="37">
        <f t="shared" si="23"/>
        <v>15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4">
        <v>1</v>
      </c>
      <c r="AK73" s="37" t="s">
        <v>28</v>
      </c>
      <c r="AL73" s="37">
        <v>40</v>
      </c>
      <c r="AM73" s="37">
        <v>30</v>
      </c>
      <c r="AN73" s="37">
        <v>30</v>
      </c>
      <c r="AO73" s="37">
        <v>1</v>
      </c>
      <c r="AP73" s="37">
        <v>1</v>
      </c>
      <c r="AQ73" s="37">
        <v>1</v>
      </c>
      <c r="AR73" s="37">
        <v>10</v>
      </c>
      <c r="AS73" s="4">
        <v>11</v>
      </c>
    </row>
    <row r="74" spans="2:45" ht="16.5" customHeight="1">
      <c r="B74" s="164">
        <v>7</v>
      </c>
      <c r="C74" s="159">
        <v>0</v>
      </c>
      <c r="L74" s="15">
        <v>70</v>
      </c>
      <c r="M74" s="38" t="s">
        <v>32</v>
      </c>
      <c r="N74" s="38" t="s">
        <v>230</v>
      </c>
      <c r="O74" s="38" t="s">
        <v>35</v>
      </c>
      <c r="P74" s="38" t="s">
        <v>65</v>
      </c>
      <c r="Q74" s="38" t="s">
        <v>35</v>
      </c>
      <c r="R74" s="38" t="s">
        <v>25</v>
      </c>
      <c r="S74" s="24" t="s">
        <v>65</v>
      </c>
      <c r="U74" s="37">
        <f t="shared" si="17"/>
        <v>4</v>
      </c>
      <c r="V74" s="37">
        <f t="shared" si="18"/>
        <v>0</v>
      </c>
      <c r="W74" s="37">
        <f t="shared" si="19"/>
        <v>15</v>
      </c>
      <c r="X74" s="37">
        <f t="shared" si="20"/>
        <v>17</v>
      </c>
      <c r="Y74" s="37">
        <f t="shared" si="21"/>
        <v>15</v>
      </c>
      <c r="Z74" s="37">
        <f t="shared" si="22"/>
        <v>5</v>
      </c>
      <c r="AA74" s="37">
        <f t="shared" si="23"/>
        <v>17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4">
        <v>3</v>
      </c>
      <c r="AK74" s="37" t="s">
        <v>29</v>
      </c>
      <c r="AL74" s="37">
        <v>5</v>
      </c>
      <c r="AM74" s="37">
        <v>40</v>
      </c>
      <c r="AN74" s="37">
        <v>20</v>
      </c>
      <c r="AO74" s="37">
        <v>1</v>
      </c>
      <c r="AP74" s="37">
        <v>1</v>
      </c>
      <c r="AQ74" s="37">
        <v>1</v>
      </c>
      <c r="AR74" s="37">
        <v>10</v>
      </c>
      <c r="AS74" s="4">
        <v>12</v>
      </c>
    </row>
    <row r="75" spans="2:45" ht="16.5" customHeight="1">
      <c r="L75" s="14">
        <v>71</v>
      </c>
      <c r="M75" s="38" t="s">
        <v>35</v>
      </c>
      <c r="N75" s="38" t="s">
        <v>38</v>
      </c>
      <c r="O75" s="38" t="s">
        <v>90</v>
      </c>
      <c r="P75" s="38" t="s">
        <v>33</v>
      </c>
      <c r="Q75" s="38" t="s">
        <v>39</v>
      </c>
      <c r="R75" s="38" t="s">
        <v>33</v>
      </c>
      <c r="S75" s="24" t="s">
        <v>65</v>
      </c>
      <c r="U75" s="37">
        <f t="shared" si="17"/>
        <v>15</v>
      </c>
      <c r="V75" s="37">
        <f t="shared" si="18"/>
        <v>15</v>
      </c>
      <c r="W75" s="37">
        <f t="shared" si="19"/>
        <v>6</v>
      </c>
      <c r="X75" s="37">
        <f t="shared" si="20"/>
        <v>11</v>
      </c>
      <c r="Y75" s="37">
        <f t="shared" si="21"/>
        <v>5</v>
      </c>
      <c r="Z75" s="37">
        <f t="shared" si="22"/>
        <v>11</v>
      </c>
      <c r="AA75" s="37">
        <f t="shared" si="23"/>
        <v>17</v>
      </c>
      <c r="AC75" s="18">
        <v>1</v>
      </c>
      <c r="AD75" s="18">
        <v>1</v>
      </c>
      <c r="AE75" s="18">
        <v>1</v>
      </c>
      <c r="AF75" s="18">
        <v>1</v>
      </c>
      <c r="AG75" s="18">
        <v>1</v>
      </c>
      <c r="AH75" s="18">
        <v>1</v>
      </c>
      <c r="AI75" s="4">
        <v>1</v>
      </c>
      <c r="AK75" s="154" t="s">
        <v>222</v>
      </c>
      <c r="AL75" s="154">
        <v>0</v>
      </c>
      <c r="AM75" s="154">
        <v>1</v>
      </c>
      <c r="AN75" s="154">
        <v>1</v>
      </c>
      <c r="AO75" s="154">
        <v>1</v>
      </c>
      <c r="AP75" s="154">
        <v>1</v>
      </c>
      <c r="AQ75" s="154">
        <v>0</v>
      </c>
      <c r="AR75" s="154">
        <v>0</v>
      </c>
      <c r="AS75" s="151">
        <v>13</v>
      </c>
    </row>
    <row r="76" spans="2:45" ht="16.5" customHeight="1">
      <c r="L76" s="15">
        <v>72</v>
      </c>
      <c r="M76" s="38" t="s">
        <v>39</v>
      </c>
      <c r="N76" s="38" t="s">
        <v>35</v>
      </c>
      <c r="O76" s="38" t="s">
        <v>90</v>
      </c>
      <c r="P76" s="38" t="s">
        <v>35</v>
      </c>
      <c r="Q76" s="38" t="s">
        <v>39</v>
      </c>
      <c r="R76" s="38" t="s">
        <v>34</v>
      </c>
      <c r="S76" s="24" t="s">
        <v>65</v>
      </c>
      <c r="U76" s="37">
        <f t="shared" si="17"/>
        <v>5</v>
      </c>
      <c r="V76" s="37">
        <f t="shared" si="18"/>
        <v>15</v>
      </c>
      <c r="W76" s="37">
        <f t="shared" si="19"/>
        <v>6</v>
      </c>
      <c r="X76" s="37">
        <f t="shared" si="20"/>
        <v>15</v>
      </c>
      <c r="Y76" s="37">
        <f t="shared" si="21"/>
        <v>5</v>
      </c>
      <c r="Z76" s="37">
        <f t="shared" si="22"/>
        <v>16</v>
      </c>
      <c r="AA76" s="37">
        <f t="shared" si="23"/>
        <v>17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4">
        <v>1</v>
      </c>
      <c r="AK76" s="154" t="s">
        <v>224</v>
      </c>
      <c r="AL76" s="154">
        <v>0</v>
      </c>
      <c r="AM76" s="154">
        <v>4</v>
      </c>
      <c r="AN76" s="154">
        <v>4</v>
      </c>
      <c r="AO76" s="154">
        <v>2</v>
      </c>
      <c r="AP76" s="154">
        <v>2</v>
      </c>
      <c r="AQ76" s="154">
        <v>0</v>
      </c>
      <c r="AR76" s="154">
        <v>0</v>
      </c>
      <c r="AS76" s="151">
        <v>14</v>
      </c>
    </row>
    <row r="77" spans="2:45" ht="16.5" customHeight="1">
      <c r="L77" s="14">
        <v>73</v>
      </c>
      <c r="M77" s="38" t="s">
        <v>39</v>
      </c>
      <c r="N77" s="38" t="s">
        <v>90</v>
      </c>
      <c r="O77" s="38" t="s">
        <v>90</v>
      </c>
      <c r="P77" s="38" t="s">
        <v>32</v>
      </c>
      <c r="Q77" s="38" t="s">
        <v>236</v>
      </c>
      <c r="R77" s="38" t="s">
        <v>25</v>
      </c>
      <c r="S77" s="24" t="s">
        <v>37</v>
      </c>
      <c r="U77" s="37">
        <f t="shared" si="17"/>
        <v>5</v>
      </c>
      <c r="V77" s="37">
        <f t="shared" si="18"/>
        <v>6</v>
      </c>
      <c r="W77" s="37">
        <f t="shared" si="19"/>
        <v>6</v>
      </c>
      <c r="X77" s="37">
        <f t="shared" si="20"/>
        <v>4</v>
      </c>
      <c r="Y77" s="37">
        <f t="shared" si="21"/>
        <v>0</v>
      </c>
      <c r="Z77" s="37">
        <f t="shared" si="22"/>
        <v>5</v>
      </c>
      <c r="AA77" s="37">
        <f t="shared" si="23"/>
        <v>13</v>
      </c>
      <c r="AC77" s="18">
        <v>1</v>
      </c>
      <c r="AD77" s="18">
        <v>1</v>
      </c>
      <c r="AE77" s="18">
        <v>1</v>
      </c>
      <c r="AF77" s="18">
        <v>1</v>
      </c>
      <c r="AG77" s="18">
        <v>1</v>
      </c>
      <c r="AH77" s="18">
        <v>1</v>
      </c>
      <c r="AI77" s="4">
        <v>2</v>
      </c>
      <c r="AK77" s="154" t="s">
        <v>226</v>
      </c>
      <c r="AL77" s="154">
        <v>0</v>
      </c>
      <c r="AM77" s="154">
        <v>5</v>
      </c>
      <c r="AN77" s="154">
        <v>5</v>
      </c>
      <c r="AO77" s="154">
        <v>2</v>
      </c>
      <c r="AP77" s="154">
        <v>2</v>
      </c>
      <c r="AQ77" s="154">
        <v>0</v>
      </c>
      <c r="AR77" s="154">
        <v>0</v>
      </c>
      <c r="AS77" s="151">
        <v>15</v>
      </c>
    </row>
    <row r="78" spans="2:45" ht="16.5" customHeight="1">
      <c r="L78" s="15">
        <v>74</v>
      </c>
      <c r="M78" s="38" t="s">
        <v>65</v>
      </c>
      <c r="N78" s="38" t="s">
        <v>25</v>
      </c>
      <c r="O78" s="38" t="s">
        <v>39</v>
      </c>
      <c r="P78" s="38" t="s">
        <v>65</v>
      </c>
      <c r="Q78" s="38" t="s">
        <v>37</v>
      </c>
      <c r="R78" s="38" t="s">
        <v>25</v>
      </c>
      <c r="S78" s="24" t="s">
        <v>34</v>
      </c>
      <c r="U78" s="37">
        <f t="shared" si="17"/>
        <v>17</v>
      </c>
      <c r="V78" s="37">
        <f t="shared" si="18"/>
        <v>5</v>
      </c>
      <c r="W78" s="37">
        <f t="shared" si="19"/>
        <v>5</v>
      </c>
      <c r="X78" s="37">
        <f t="shared" si="20"/>
        <v>17</v>
      </c>
      <c r="Y78" s="37">
        <f t="shared" si="21"/>
        <v>13</v>
      </c>
      <c r="Z78" s="37">
        <f t="shared" si="22"/>
        <v>5</v>
      </c>
      <c r="AA78" s="37">
        <f t="shared" si="23"/>
        <v>16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4">
        <v>1</v>
      </c>
      <c r="AK78" s="154" t="s">
        <v>228</v>
      </c>
      <c r="AL78" s="154">
        <v>0</v>
      </c>
      <c r="AM78" s="154">
        <v>5</v>
      </c>
      <c r="AN78" s="154">
        <v>5</v>
      </c>
      <c r="AO78" s="154">
        <v>5</v>
      </c>
      <c r="AP78" s="154">
        <v>8</v>
      </c>
      <c r="AQ78" s="154">
        <v>0</v>
      </c>
      <c r="AR78" s="154">
        <v>0</v>
      </c>
      <c r="AS78" s="151">
        <v>16</v>
      </c>
    </row>
    <row r="79" spans="2:45" ht="16.5" customHeight="1">
      <c r="L79" s="14">
        <v>75</v>
      </c>
      <c r="M79" s="38" t="s">
        <v>25</v>
      </c>
      <c r="N79" s="38" t="s">
        <v>40</v>
      </c>
      <c r="O79" s="38" t="s">
        <v>65</v>
      </c>
      <c r="P79" s="38" t="s">
        <v>90</v>
      </c>
      <c r="Q79" s="38" t="s">
        <v>37</v>
      </c>
      <c r="R79" s="38" t="s">
        <v>65</v>
      </c>
      <c r="S79" s="24" t="s">
        <v>38</v>
      </c>
      <c r="U79" s="37">
        <f t="shared" si="17"/>
        <v>5</v>
      </c>
      <c r="V79" s="37">
        <f t="shared" si="18"/>
        <v>12</v>
      </c>
      <c r="W79" s="37">
        <f t="shared" si="19"/>
        <v>17</v>
      </c>
      <c r="X79" s="37">
        <f t="shared" si="20"/>
        <v>6</v>
      </c>
      <c r="Y79" s="37">
        <f t="shared" si="21"/>
        <v>13</v>
      </c>
      <c r="Z79" s="37">
        <f t="shared" si="22"/>
        <v>17</v>
      </c>
      <c r="AA79" s="37">
        <f t="shared" si="23"/>
        <v>15</v>
      </c>
      <c r="AC79" s="18">
        <v>1</v>
      </c>
      <c r="AD79" s="18">
        <v>1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4" t="s">
        <v>230</v>
      </c>
      <c r="AL79" s="154">
        <v>0</v>
      </c>
      <c r="AM79" s="154">
        <v>8</v>
      </c>
      <c r="AN79" s="154">
        <v>8</v>
      </c>
      <c r="AO79" s="154">
        <v>5</v>
      </c>
      <c r="AP79" s="154">
        <v>8</v>
      </c>
      <c r="AQ79" s="154">
        <v>0</v>
      </c>
      <c r="AR79" s="154">
        <v>0</v>
      </c>
      <c r="AS79" s="151">
        <v>17</v>
      </c>
    </row>
    <row r="80" spans="2:45">
      <c r="L80" s="15">
        <v>76</v>
      </c>
      <c r="M80" s="38" t="s">
        <v>90</v>
      </c>
      <c r="N80" s="38" t="s">
        <v>40</v>
      </c>
      <c r="O80" s="38" t="s">
        <v>34</v>
      </c>
      <c r="P80" s="38" t="s">
        <v>236</v>
      </c>
      <c r="Q80" s="38" t="s">
        <v>40</v>
      </c>
      <c r="R80" s="38" t="s">
        <v>38</v>
      </c>
      <c r="S80" s="38" t="s">
        <v>38</v>
      </c>
      <c r="U80" s="37">
        <f t="shared" si="17"/>
        <v>6</v>
      </c>
      <c r="V80" s="37">
        <f t="shared" si="18"/>
        <v>12</v>
      </c>
      <c r="W80" s="37">
        <f t="shared" si="19"/>
        <v>16</v>
      </c>
      <c r="X80" s="37">
        <f t="shared" si="20"/>
        <v>0</v>
      </c>
      <c r="Y80" s="37">
        <f t="shared" si="21"/>
        <v>12</v>
      </c>
      <c r="Z80" s="37">
        <f t="shared" si="22"/>
        <v>15</v>
      </c>
      <c r="AA80" s="37">
        <f t="shared" si="23"/>
        <v>15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4">
        <v>1</v>
      </c>
      <c r="AK80" s="154" t="s">
        <v>232</v>
      </c>
      <c r="AL80" s="154">
        <v>0</v>
      </c>
      <c r="AM80" s="154">
        <v>5</v>
      </c>
      <c r="AN80" s="154">
        <v>12</v>
      </c>
      <c r="AO80" s="154">
        <v>12</v>
      </c>
      <c r="AP80" s="154">
        <v>5</v>
      </c>
      <c r="AQ80" s="154">
        <v>0</v>
      </c>
      <c r="AR80" s="154">
        <v>0</v>
      </c>
      <c r="AS80" s="151">
        <v>18</v>
      </c>
    </row>
    <row r="81" spans="12:45">
      <c r="L81" s="14">
        <v>77</v>
      </c>
      <c r="M81" s="38" t="s">
        <v>65</v>
      </c>
      <c r="N81" s="38" t="s">
        <v>232</v>
      </c>
      <c r="O81" s="38" t="s">
        <v>34</v>
      </c>
      <c r="P81" s="38" t="s">
        <v>37</v>
      </c>
      <c r="Q81" s="38" t="s">
        <v>40</v>
      </c>
      <c r="R81" s="38" t="s">
        <v>38</v>
      </c>
      <c r="S81" s="24" t="s">
        <v>35</v>
      </c>
      <c r="U81" s="37">
        <f t="shared" si="17"/>
        <v>17</v>
      </c>
      <c r="V81" s="37">
        <f t="shared" si="18"/>
        <v>0</v>
      </c>
      <c r="W81" s="37">
        <f t="shared" si="19"/>
        <v>16</v>
      </c>
      <c r="X81" s="37">
        <f t="shared" si="20"/>
        <v>13</v>
      </c>
      <c r="Y81" s="37">
        <f t="shared" si="21"/>
        <v>12</v>
      </c>
      <c r="Z81" s="37">
        <f t="shared" si="22"/>
        <v>15</v>
      </c>
      <c r="AA81" s="37">
        <f t="shared" si="23"/>
        <v>15</v>
      </c>
      <c r="AC81" s="18">
        <v>1</v>
      </c>
      <c r="AD81" s="18">
        <v>1</v>
      </c>
      <c r="AE81" s="18">
        <v>1</v>
      </c>
      <c r="AF81" s="18">
        <v>1</v>
      </c>
      <c r="AG81" s="18">
        <v>1</v>
      </c>
      <c r="AH81" s="18">
        <v>1</v>
      </c>
      <c r="AI81" s="4">
        <v>3</v>
      </c>
      <c r="AK81" s="37" t="s">
        <v>234</v>
      </c>
      <c r="AL81" s="37">
        <v>0</v>
      </c>
      <c r="AM81" s="37">
        <v>6</v>
      </c>
      <c r="AN81" s="37">
        <v>6</v>
      </c>
      <c r="AO81" s="37">
        <v>4</v>
      </c>
      <c r="AP81" s="37">
        <v>6</v>
      </c>
      <c r="AQ81" s="37">
        <v>0</v>
      </c>
      <c r="AR81" s="37">
        <v>0</v>
      </c>
      <c r="AS81" s="4">
        <v>19</v>
      </c>
    </row>
    <row r="82" spans="12:45">
      <c r="L82" s="15">
        <v>78</v>
      </c>
      <c r="M82" s="38" t="s">
        <v>35</v>
      </c>
      <c r="N82" s="38" t="s">
        <v>65</v>
      </c>
      <c r="O82" s="38" t="s">
        <v>37</v>
      </c>
      <c r="P82" s="38" t="s">
        <v>65</v>
      </c>
      <c r="Q82" s="38" t="s">
        <v>35</v>
      </c>
      <c r="R82" s="38" t="s">
        <v>25</v>
      </c>
      <c r="S82" s="24" t="s">
        <v>38</v>
      </c>
      <c r="U82" s="37">
        <f t="shared" si="17"/>
        <v>15</v>
      </c>
      <c r="V82" s="37">
        <f t="shared" si="18"/>
        <v>17</v>
      </c>
      <c r="W82" s="37">
        <f t="shared" si="19"/>
        <v>13</v>
      </c>
      <c r="X82" s="37">
        <f t="shared" si="20"/>
        <v>17</v>
      </c>
      <c r="Y82" s="37">
        <f t="shared" si="21"/>
        <v>15</v>
      </c>
      <c r="Z82" s="37">
        <f t="shared" si="22"/>
        <v>5</v>
      </c>
      <c r="AA82" s="37">
        <f t="shared" si="23"/>
        <v>15</v>
      </c>
      <c r="AC82" s="18">
        <v>1</v>
      </c>
      <c r="AD82" s="18">
        <v>1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0</v>
      </c>
      <c r="AM82" s="37">
        <v>8</v>
      </c>
      <c r="AN82" s="37">
        <v>6</v>
      </c>
      <c r="AO82" s="37">
        <v>4</v>
      </c>
      <c r="AP82" s="37">
        <v>4</v>
      </c>
      <c r="AQ82" s="37">
        <v>0</v>
      </c>
      <c r="AR82" s="37">
        <v>0</v>
      </c>
      <c r="AS82" s="4">
        <v>20</v>
      </c>
    </row>
    <row r="83" spans="12:45">
      <c r="L83" s="14">
        <v>79</v>
      </c>
      <c r="M83" s="38" t="s">
        <v>37</v>
      </c>
      <c r="N83" s="38" t="s">
        <v>65</v>
      </c>
      <c r="O83" s="38" t="s">
        <v>38</v>
      </c>
      <c r="P83" s="38" t="s">
        <v>238</v>
      </c>
      <c r="Q83" s="38" t="s">
        <v>228</v>
      </c>
      <c r="R83" s="38" t="s">
        <v>25</v>
      </c>
      <c r="S83" s="24" t="s">
        <v>38</v>
      </c>
      <c r="U83" s="37">
        <f t="shared" si="17"/>
        <v>13</v>
      </c>
      <c r="V83" s="37">
        <f t="shared" si="18"/>
        <v>17</v>
      </c>
      <c r="W83" s="37">
        <f t="shared" si="19"/>
        <v>15</v>
      </c>
      <c r="X83" s="37">
        <f t="shared" si="20"/>
        <v>0</v>
      </c>
      <c r="Y83" s="37">
        <f t="shared" si="21"/>
        <v>0</v>
      </c>
      <c r="Z83" s="37">
        <f t="shared" si="22"/>
        <v>5</v>
      </c>
      <c r="AA83" s="37">
        <f t="shared" si="23"/>
        <v>15</v>
      </c>
      <c r="AC83" s="18">
        <v>1</v>
      </c>
      <c r="AD83" s="18">
        <v>1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0</v>
      </c>
      <c r="AM83" s="37">
        <v>10</v>
      </c>
      <c r="AN83" s="37">
        <v>6</v>
      </c>
      <c r="AO83" s="37">
        <v>2</v>
      </c>
      <c r="AP83" s="37">
        <v>8</v>
      </c>
      <c r="AQ83" s="37">
        <v>0</v>
      </c>
      <c r="AR83" s="37">
        <v>0</v>
      </c>
      <c r="AS83" s="4">
        <v>21</v>
      </c>
    </row>
    <row r="84" spans="12:45">
      <c r="L84" s="15">
        <v>80</v>
      </c>
      <c r="M84" s="38" t="s">
        <v>37</v>
      </c>
      <c r="N84" s="38" t="s">
        <v>230</v>
      </c>
      <c r="O84" s="38" t="s">
        <v>236</v>
      </c>
      <c r="P84" s="38" t="s">
        <v>38</v>
      </c>
      <c r="Q84" s="38" t="s">
        <v>37</v>
      </c>
      <c r="R84" s="38" t="s">
        <v>37</v>
      </c>
      <c r="S84" s="24" t="s">
        <v>38</v>
      </c>
      <c r="U84" s="37">
        <f t="shared" si="17"/>
        <v>13</v>
      </c>
      <c r="V84" s="37">
        <f t="shared" si="18"/>
        <v>0</v>
      </c>
      <c r="W84" s="37">
        <f t="shared" si="19"/>
        <v>0</v>
      </c>
      <c r="X84" s="37">
        <f t="shared" si="20"/>
        <v>15</v>
      </c>
      <c r="Y84" s="37">
        <f t="shared" si="21"/>
        <v>13</v>
      </c>
      <c r="Z84" s="37">
        <f t="shared" si="22"/>
        <v>13</v>
      </c>
      <c r="AA84" s="37">
        <f t="shared" si="23"/>
        <v>15</v>
      </c>
      <c r="AC84" s="18">
        <v>1</v>
      </c>
      <c r="AD84" s="18">
        <v>1</v>
      </c>
      <c r="AE84" s="18">
        <v>1</v>
      </c>
      <c r="AF84" s="18">
        <v>1</v>
      </c>
      <c r="AG84" s="18">
        <v>1</v>
      </c>
      <c r="AH84" s="18">
        <v>1</v>
      </c>
      <c r="AI84" s="4">
        <v>3</v>
      </c>
      <c r="AK84" s="37" t="s">
        <v>240</v>
      </c>
      <c r="AL84" s="37">
        <v>0</v>
      </c>
      <c r="AM84" s="37">
        <v>5</v>
      </c>
      <c r="AN84" s="37">
        <v>6</v>
      </c>
      <c r="AO84" s="37">
        <v>2</v>
      </c>
      <c r="AP84" s="37">
        <v>4</v>
      </c>
      <c r="AQ84" s="37">
        <v>0</v>
      </c>
      <c r="AR84" s="37">
        <v>0</v>
      </c>
      <c r="AS84" s="4">
        <v>22</v>
      </c>
    </row>
    <row r="85" spans="12:45">
      <c r="L85" s="14">
        <v>81</v>
      </c>
      <c r="M85" s="38" t="s">
        <v>40</v>
      </c>
      <c r="N85" s="38" t="s">
        <v>25</v>
      </c>
      <c r="O85" s="38" t="s">
        <v>39</v>
      </c>
      <c r="P85" s="38" t="s">
        <v>38</v>
      </c>
      <c r="Q85" s="38" t="s">
        <v>37</v>
      </c>
      <c r="R85" s="38" t="s">
        <v>33</v>
      </c>
      <c r="S85" s="24" t="s">
        <v>33</v>
      </c>
      <c r="U85" s="37">
        <f t="shared" si="17"/>
        <v>12</v>
      </c>
      <c r="V85" s="37">
        <f t="shared" si="18"/>
        <v>5</v>
      </c>
      <c r="W85" s="37">
        <f t="shared" si="19"/>
        <v>5</v>
      </c>
      <c r="X85" s="37">
        <f t="shared" si="20"/>
        <v>15</v>
      </c>
      <c r="Y85" s="37">
        <f t="shared" si="21"/>
        <v>13</v>
      </c>
      <c r="Z85" s="37">
        <f t="shared" si="22"/>
        <v>11</v>
      </c>
      <c r="AA85" s="37">
        <f t="shared" si="23"/>
        <v>11</v>
      </c>
      <c r="AC85" s="18">
        <v>1</v>
      </c>
      <c r="AD85" s="18">
        <v>1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0</v>
      </c>
      <c r="AM85" s="37">
        <v>4</v>
      </c>
      <c r="AN85" s="37">
        <v>6</v>
      </c>
      <c r="AO85" s="37">
        <v>2</v>
      </c>
      <c r="AP85" s="37">
        <v>4</v>
      </c>
      <c r="AQ85" s="37">
        <v>0</v>
      </c>
      <c r="AR85" s="37">
        <v>0</v>
      </c>
      <c r="AS85" s="4">
        <v>23</v>
      </c>
    </row>
    <row r="86" spans="12:45">
      <c r="L86" s="15">
        <v>82</v>
      </c>
      <c r="M86" s="38" t="s">
        <v>40</v>
      </c>
      <c r="N86" s="38" t="s">
        <v>37</v>
      </c>
      <c r="O86" s="38" t="s">
        <v>32</v>
      </c>
      <c r="P86" s="38" t="s">
        <v>25</v>
      </c>
      <c r="Q86" s="38" t="s">
        <v>25</v>
      </c>
      <c r="R86" s="38" t="s">
        <v>33</v>
      </c>
      <c r="S86" s="24" t="s">
        <v>35</v>
      </c>
      <c r="U86" s="37">
        <f t="shared" si="17"/>
        <v>12</v>
      </c>
      <c r="V86" s="37">
        <f t="shared" si="18"/>
        <v>13</v>
      </c>
      <c r="W86" s="37">
        <f t="shared" si="19"/>
        <v>4</v>
      </c>
      <c r="X86" s="37">
        <f t="shared" si="20"/>
        <v>5</v>
      </c>
      <c r="Y86" s="37">
        <f t="shared" si="21"/>
        <v>5</v>
      </c>
      <c r="Z86" s="37">
        <f t="shared" si="22"/>
        <v>11</v>
      </c>
      <c r="AA86" s="37">
        <f t="shared" si="23"/>
        <v>15</v>
      </c>
      <c r="AC86" s="18">
        <v>1</v>
      </c>
      <c r="AD86" s="18">
        <v>1</v>
      </c>
      <c r="AE86" s="18">
        <v>1</v>
      </c>
      <c r="AF86" s="18">
        <v>1</v>
      </c>
      <c r="AG86" s="18">
        <v>1</v>
      </c>
      <c r="AH86" s="18">
        <v>1</v>
      </c>
      <c r="AI86" s="4">
        <v>1</v>
      </c>
      <c r="AK86" s="154" t="s">
        <v>94</v>
      </c>
      <c r="AL86" s="154">
        <v>0</v>
      </c>
      <c r="AM86" s="154">
        <v>5</v>
      </c>
      <c r="AN86" s="154">
        <v>5</v>
      </c>
      <c r="AO86" s="154">
        <v>5</v>
      </c>
      <c r="AP86" s="154">
        <v>5</v>
      </c>
      <c r="AQ86" s="154">
        <v>0</v>
      </c>
      <c r="AR86" s="154">
        <v>0</v>
      </c>
      <c r="AS86" s="151">
        <v>24</v>
      </c>
    </row>
    <row r="87" spans="12:45">
      <c r="L87" s="14">
        <v>83</v>
      </c>
      <c r="M87" s="38" t="s">
        <v>37</v>
      </c>
      <c r="N87" s="38" t="s">
        <v>35</v>
      </c>
      <c r="O87" s="38" t="s">
        <v>32</v>
      </c>
      <c r="P87" s="38" t="s">
        <v>38</v>
      </c>
      <c r="Q87" s="38" t="s">
        <v>90</v>
      </c>
      <c r="R87" s="38" t="s">
        <v>65</v>
      </c>
      <c r="S87" s="24" t="s">
        <v>33</v>
      </c>
      <c r="U87" s="37">
        <f t="shared" si="17"/>
        <v>13</v>
      </c>
      <c r="V87" s="37">
        <f t="shared" si="18"/>
        <v>15</v>
      </c>
      <c r="W87" s="37">
        <f t="shared" si="19"/>
        <v>4</v>
      </c>
      <c r="X87" s="37">
        <f t="shared" si="20"/>
        <v>15</v>
      </c>
      <c r="Y87" s="37">
        <f t="shared" si="21"/>
        <v>6</v>
      </c>
      <c r="Z87" s="37">
        <f t="shared" si="22"/>
        <v>17</v>
      </c>
      <c r="AA87" s="37">
        <f t="shared" si="23"/>
        <v>11</v>
      </c>
      <c r="AC87" s="18">
        <v>1</v>
      </c>
      <c r="AD87" s="18">
        <v>1</v>
      </c>
      <c r="AE87" s="18">
        <v>1</v>
      </c>
      <c r="AF87" s="18">
        <v>1</v>
      </c>
      <c r="AG87" s="18">
        <v>1</v>
      </c>
      <c r="AH87" s="18">
        <v>1</v>
      </c>
      <c r="AI87" s="4">
        <v>3</v>
      </c>
      <c r="AK87" s="154" t="s">
        <v>257</v>
      </c>
      <c r="AL87" s="154">
        <v>0</v>
      </c>
      <c r="AM87" s="154">
        <v>1</v>
      </c>
      <c r="AN87" s="154">
        <v>1</v>
      </c>
      <c r="AO87" s="154">
        <v>1</v>
      </c>
      <c r="AP87" s="154">
        <v>1</v>
      </c>
      <c r="AQ87" s="154">
        <v>0</v>
      </c>
      <c r="AR87" s="154">
        <v>0</v>
      </c>
      <c r="AS87" s="151">
        <v>25</v>
      </c>
    </row>
    <row r="88" spans="12:45">
      <c r="L88" s="15">
        <v>84</v>
      </c>
      <c r="M88" s="38" t="s">
        <v>37</v>
      </c>
      <c r="N88" s="38" t="s">
        <v>234</v>
      </c>
      <c r="O88" s="38" t="s">
        <v>65</v>
      </c>
      <c r="P88" s="38" t="s">
        <v>38</v>
      </c>
      <c r="Q88" s="38" t="s">
        <v>90</v>
      </c>
      <c r="R88" s="38" t="s">
        <v>25</v>
      </c>
      <c r="S88" s="24" t="s">
        <v>90</v>
      </c>
      <c r="U88" s="37">
        <f t="shared" si="17"/>
        <v>13</v>
      </c>
      <c r="V88" s="37">
        <f t="shared" si="18"/>
        <v>0</v>
      </c>
      <c r="W88" s="37">
        <f t="shared" si="19"/>
        <v>17</v>
      </c>
      <c r="X88" s="37">
        <f t="shared" si="20"/>
        <v>15</v>
      </c>
      <c r="Y88" s="37">
        <f t="shared" si="21"/>
        <v>6</v>
      </c>
      <c r="Z88" s="37">
        <f t="shared" si="22"/>
        <v>5</v>
      </c>
      <c r="AA88" s="37">
        <f t="shared" si="23"/>
        <v>6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4">
        <v>1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>
      <c r="L89" s="14">
        <v>85</v>
      </c>
      <c r="M89" s="38" t="s">
        <v>35</v>
      </c>
      <c r="N89" s="38" t="s">
        <v>25</v>
      </c>
      <c r="O89" s="38" t="s">
        <v>37</v>
      </c>
      <c r="P89" s="38" t="s">
        <v>234</v>
      </c>
      <c r="Q89" s="38" t="s">
        <v>39</v>
      </c>
      <c r="R89" s="38" t="s">
        <v>25</v>
      </c>
      <c r="S89" s="24" t="s">
        <v>90</v>
      </c>
      <c r="U89" s="37">
        <f t="shared" si="17"/>
        <v>15</v>
      </c>
      <c r="V89" s="37">
        <f t="shared" si="18"/>
        <v>5</v>
      </c>
      <c r="W89" s="37">
        <f t="shared" si="19"/>
        <v>13</v>
      </c>
      <c r="X89" s="37">
        <f t="shared" si="20"/>
        <v>0</v>
      </c>
      <c r="Y89" s="37">
        <f t="shared" si="21"/>
        <v>5</v>
      </c>
      <c r="Z89" s="37">
        <f t="shared" si="22"/>
        <v>5</v>
      </c>
      <c r="AA89" s="37">
        <f t="shared" si="23"/>
        <v>6</v>
      </c>
      <c r="AC89" s="18">
        <v>1</v>
      </c>
      <c r="AD89" s="18">
        <v>1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>
      <c r="L90" s="15">
        <v>86</v>
      </c>
      <c r="M90" s="38" t="s">
        <v>25</v>
      </c>
      <c r="N90" s="38" t="s">
        <v>25</v>
      </c>
      <c r="O90" s="38" t="s">
        <v>40</v>
      </c>
      <c r="P90" s="38" t="s">
        <v>25</v>
      </c>
      <c r="Q90" s="38" t="s">
        <v>39</v>
      </c>
      <c r="R90" s="38" t="s">
        <v>25</v>
      </c>
      <c r="S90" s="24" t="s">
        <v>65</v>
      </c>
      <c r="U90" s="37">
        <f t="shared" si="17"/>
        <v>5</v>
      </c>
      <c r="V90" s="37">
        <f t="shared" si="18"/>
        <v>5</v>
      </c>
      <c r="W90" s="37">
        <f t="shared" si="19"/>
        <v>12</v>
      </c>
      <c r="X90" s="37">
        <f t="shared" si="20"/>
        <v>5</v>
      </c>
      <c r="Y90" s="37">
        <f t="shared" si="21"/>
        <v>5</v>
      </c>
      <c r="Z90" s="37">
        <f t="shared" si="22"/>
        <v>5</v>
      </c>
      <c r="AA90" s="37">
        <f t="shared" si="23"/>
        <v>17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4">
        <v>1</v>
      </c>
      <c r="AK90" s="16" t="s">
        <v>265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>
      <c r="L91" s="14">
        <v>87</v>
      </c>
      <c r="M91" s="38" t="s">
        <v>25</v>
      </c>
      <c r="N91" s="38" t="s">
        <v>65</v>
      </c>
      <c r="O91" s="38" t="s">
        <v>39</v>
      </c>
      <c r="P91" s="38" t="s">
        <v>25</v>
      </c>
      <c r="Q91" s="38" t="s">
        <v>35</v>
      </c>
      <c r="R91" s="38" t="s">
        <v>40</v>
      </c>
      <c r="S91" s="24" t="s">
        <v>37</v>
      </c>
      <c r="U91" s="37">
        <f t="shared" si="17"/>
        <v>5</v>
      </c>
      <c r="V91" s="37">
        <f t="shared" si="18"/>
        <v>17</v>
      </c>
      <c r="W91" s="37">
        <f t="shared" si="19"/>
        <v>5</v>
      </c>
      <c r="X91" s="37">
        <f t="shared" si="20"/>
        <v>5</v>
      </c>
      <c r="Y91" s="37">
        <f t="shared" si="21"/>
        <v>15</v>
      </c>
      <c r="Z91" s="37">
        <f t="shared" si="22"/>
        <v>12</v>
      </c>
      <c r="AA91" s="37">
        <f t="shared" si="23"/>
        <v>13</v>
      </c>
      <c r="AC91" s="18">
        <v>1</v>
      </c>
      <c r="AD91" s="18">
        <v>1</v>
      </c>
      <c r="AE91" s="18">
        <v>1</v>
      </c>
      <c r="AF91" s="18">
        <v>1</v>
      </c>
      <c r="AG91" s="18">
        <v>1</v>
      </c>
      <c r="AH91" s="18">
        <v>1</v>
      </c>
      <c r="AI91" s="4">
        <v>3</v>
      </c>
      <c r="AK91" s="10" t="s">
        <v>68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4">
        <v>0</v>
      </c>
    </row>
    <row r="92" spans="12:45">
      <c r="L92" s="15">
        <v>88</v>
      </c>
      <c r="M92" s="38" t="s">
        <v>35</v>
      </c>
      <c r="N92" s="38" t="s">
        <v>65</v>
      </c>
      <c r="O92" s="38" t="s">
        <v>25</v>
      </c>
      <c r="P92" s="38" t="s">
        <v>38</v>
      </c>
      <c r="Q92" s="38" t="s">
        <v>90</v>
      </c>
      <c r="R92" s="38" t="s">
        <v>25</v>
      </c>
      <c r="S92" s="24" t="s">
        <v>34</v>
      </c>
      <c r="U92" s="37">
        <f t="shared" si="17"/>
        <v>15</v>
      </c>
      <c r="V92" s="37">
        <f t="shared" si="18"/>
        <v>17</v>
      </c>
      <c r="W92" s="37">
        <f t="shared" si="19"/>
        <v>5</v>
      </c>
      <c r="X92" s="37">
        <f t="shared" si="20"/>
        <v>15</v>
      </c>
      <c r="Y92" s="37">
        <f t="shared" si="21"/>
        <v>6</v>
      </c>
      <c r="Z92" s="37">
        <f t="shared" si="22"/>
        <v>5</v>
      </c>
      <c r="AA92" s="37">
        <f t="shared" si="23"/>
        <v>16</v>
      </c>
      <c r="AC92" s="18">
        <v>1</v>
      </c>
      <c r="AD92" s="18">
        <v>1</v>
      </c>
      <c r="AE92" s="18">
        <v>1</v>
      </c>
      <c r="AF92" s="18">
        <v>1</v>
      </c>
      <c r="AG92" s="18">
        <v>1</v>
      </c>
      <c r="AH92" s="18">
        <v>1</v>
      </c>
      <c r="AI92" s="4">
        <v>1</v>
      </c>
      <c r="AK92" s="37" t="s">
        <v>19</v>
      </c>
      <c r="AL92" s="37">
        <v>0</v>
      </c>
      <c r="AM92" s="37">
        <v>0</v>
      </c>
      <c r="AN92" s="37">
        <v>0</v>
      </c>
      <c r="AO92" s="37">
        <v>0</v>
      </c>
      <c r="AP92" s="37">
        <v>0</v>
      </c>
      <c r="AQ92" s="37">
        <v>0</v>
      </c>
      <c r="AR92" s="37">
        <v>0</v>
      </c>
      <c r="AS92" s="4">
        <v>1</v>
      </c>
    </row>
    <row r="93" spans="12:45">
      <c r="L93" s="14">
        <v>89</v>
      </c>
      <c r="M93" s="38" t="s">
        <v>35</v>
      </c>
      <c r="N93" s="38" t="s">
        <v>90</v>
      </c>
      <c r="O93" s="38" t="s">
        <v>25</v>
      </c>
      <c r="P93" s="38" t="s">
        <v>38</v>
      </c>
      <c r="Q93" s="38" t="s">
        <v>39</v>
      </c>
      <c r="R93" s="38" t="s">
        <v>25</v>
      </c>
      <c r="S93" s="24" t="s">
        <v>34</v>
      </c>
      <c r="U93" s="37">
        <f t="shared" si="17"/>
        <v>15</v>
      </c>
      <c r="V93" s="37">
        <f t="shared" si="18"/>
        <v>6</v>
      </c>
      <c r="W93" s="37">
        <f t="shared" si="19"/>
        <v>5</v>
      </c>
      <c r="X93" s="37">
        <f t="shared" si="20"/>
        <v>15</v>
      </c>
      <c r="Y93" s="37">
        <f t="shared" si="21"/>
        <v>5</v>
      </c>
      <c r="Z93" s="37">
        <f t="shared" si="22"/>
        <v>5</v>
      </c>
      <c r="AA93" s="37">
        <f t="shared" si="23"/>
        <v>16</v>
      </c>
      <c r="AC93" s="18">
        <v>1</v>
      </c>
      <c r="AD93" s="18">
        <v>1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4" t="s">
        <v>20</v>
      </c>
      <c r="AL93" s="154">
        <v>4</v>
      </c>
      <c r="AM93" s="154">
        <v>4</v>
      </c>
      <c r="AN93" s="154">
        <v>4</v>
      </c>
      <c r="AO93" s="154">
        <v>4</v>
      </c>
      <c r="AP93" s="154">
        <v>4</v>
      </c>
      <c r="AQ93" s="154">
        <v>4</v>
      </c>
      <c r="AR93" s="154">
        <v>3</v>
      </c>
      <c r="AS93" s="151">
        <v>2</v>
      </c>
    </row>
    <row r="94" spans="12:45">
      <c r="L94" s="15">
        <v>90</v>
      </c>
      <c r="M94" s="38" t="s">
        <v>25</v>
      </c>
      <c r="N94" s="38" t="s">
        <v>37</v>
      </c>
      <c r="O94" s="38" t="s">
        <v>35</v>
      </c>
      <c r="P94" s="38" t="s">
        <v>40</v>
      </c>
      <c r="Q94" s="38" t="s">
        <v>39</v>
      </c>
      <c r="R94" s="38" t="s">
        <v>25</v>
      </c>
      <c r="S94" s="24" t="s">
        <v>65</v>
      </c>
      <c r="U94" s="37">
        <f t="shared" si="17"/>
        <v>5</v>
      </c>
      <c r="V94" s="37">
        <f t="shared" si="18"/>
        <v>13</v>
      </c>
      <c r="W94" s="37">
        <f t="shared" si="19"/>
        <v>15</v>
      </c>
      <c r="X94" s="37">
        <f t="shared" si="20"/>
        <v>12</v>
      </c>
      <c r="Y94" s="37">
        <f t="shared" si="21"/>
        <v>5</v>
      </c>
      <c r="Z94" s="37">
        <f t="shared" si="22"/>
        <v>5</v>
      </c>
      <c r="AA94" s="37">
        <f t="shared" si="23"/>
        <v>17</v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4">
        <v>1</v>
      </c>
      <c r="AK94" s="154" t="s">
        <v>21</v>
      </c>
      <c r="AL94" s="154">
        <v>5</v>
      </c>
      <c r="AM94" s="154">
        <v>13</v>
      </c>
      <c r="AN94" s="154">
        <v>5</v>
      </c>
      <c r="AO94" s="154">
        <v>5</v>
      </c>
      <c r="AP94" s="154">
        <v>10</v>
      </c>
      <c r="AQ94" s="154">
        <v>5</v>
      </c>
      <c r="AR94" s="154">
        <v>10</v>
      </c>
      <c r="AS94" s="151">
        <v>3</v>
      </c>
    </row>
    <row r="95" spans="12:45">
      <c r="L95" s="14">
        <v>91</v>
      </c>
      <c r="M95" s="38" t="s">
        <v>35</v>
      </c>
      <c r="N95" s="38" t="s">
        <v>65</v>
      </c>
      <c r="O95" s="38" t="s">
        <v>35</v>
      </c>
      <c r="P95" s="38" t="s">
        <v>33</v>
      </c>
      <c r="Q95" s="38" t="s">
        <v>240</v>
      </c>
      <c r="R95" s="38" t="s">
        <v>39</v>
      </c>
      <c r="S95" s="24" t="s">
        <v>90</v>
      </c>
      <c r="U95" s="37">
        <f t="shared" si="17"/>
        <v>15</v>
      </c>
      <c r="V95" s="37">
        <f t="shared" si="18"/>
        <v>17</v>
      </c>
      <c r="W95" s="37">
        <f t="shared" si="19"/>
        <v>15</v>
      </c>
      <c r="X95" s="37">
        <f t="shared" si="20"/>
        <v>11</v>
      </c>
      <c r="Y95" s="37">
        <f t="shared" si="21"/>
        <v>0</v>
      </c>
      <c r="Z95" s="37">
        <f t="shared" si="22"/>
        <v>5</v>
      </c>
      <c r="AA95" s="37">
        <f t="shared" si="23"/>
        <v>6</v>
      </c>
      <c r="AC95" s="18">
        <v>1</v>
      </c>
      <c r="AD95" s="18">
        <v>1</v>
      </c>
      <c r="AE95" s="18">
        <v>1</v>
      </c>
      <c r="AF95" s="18">
        <v>1</v>
      </c>
      <c r="AG95" s="18">
        <v>1</v>
      </c>
      <c r="AH95" s="18">
        <v>1</v>
      </c>
      <c r="AI95" s="4">
        <v>3</v>
      </c>
      <c r="AK95" s="154" t="s">
        <v>17</v>
      </c>
      <c r="AL95" s="154">
        <v>12</v>
      </c>
      <c r="AM95" s="154">
        <v>5</v>
      </c>
      <c r="AN95" s="154">
        <v>12</v>
      </c>
      <c r="AO95" s="154">
        <v>5</v>
      </c>
      <c r="AP95" s="154">
        <v>12</v>
      </c>
      <c r="AQ95" s="154">
        <v>10</v>
      </c>
      <c r="AR95" s="154">
        <v>10</v>
      </c>
      <c r="AS95" s="151">
        <v>4</v>
      </c>
    </row>
    <row r="96" spans="12:45">
      <c r="L96" s="15">
        <v>92</v>
      </c>
      <c r="M96" s="38" t="s">
        <v>39</v>
      </c>
      <c r="N96" s="38" t="s">
        <v>38</v>
      </c>
      <c r="O96" s="38" t="s">
        <v>37</v>
      </c>
      <c r="P96" s="38" t="s">
        <v>33</v>
      </c>
      <c r="Q96" s="38" t="s">
        <v>40</v>
      </c>
      <c r="R96" s="38" t="s">
        <v>39</v>
      </c>
      <c r="S96" s="24" t="s">
        <v>90</v>
      </c>
      <c r="U96" s="37">
        <f t="shared" si="17"/>
        <v>5</v>
      </c>
      <c r="V96" s="37">
        <f t="shared" si="18"/>
        <v>15</v>
      </c>
      <c r="W96" s="37">
        <f t="shared" si="19"/>
        <v>13</v>
      </c>
      <c r="X96" s="37">
        <f t="shared" si="20"/>
        <v>11</v>
      </c>
      <c r="Y96" s="37">
        <f t="shared" si="21"/>
        <v>12</v>
      </c>
      <c r="Z96" s="37">
        <f t="shared" si="22"/>
        <v>5</v>
      </c>
      <c r="AA96" s="37">
        <f t="shared" si="23"/>
        <v>6</v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4">
        <v>1</v>
      </c>
      <c r="AK96" s="154" t="s">
        <v>18</v>
      </c>
      <c r="AL96" s="154">
        <v>5</v>
      </c>
      <c r="AM96" s="154">
        <v>20</v>
      </c>
      <c r="AN96" s="154">
        <v>10</v>
      </c>
      <c r="AO96" s="154">
        <v>5</v>
      </c>
      <c r="AP96" s="154">
        <v>5</v>
      </c>
      <c r="AQ96" s="154">
        <v>10</v>
      </c>
      <c r="AR96" s="154">
        <v>10</v>
      </c>
      <c r="AS96" s="151">
        <v>5</v>
      </c>
    </row>
    <row r="97" spans="12:45">
      <c r="L97" s="14">
        <v>93</v>
      </c>
      <c r="M97" s="38" t="s">
        <v>40</v>
      </c>
      <c r="N97" s="38" t="s">
        <v>38</v>
      </c>
      <c r="O97" s="38" t="s">
        <v>35</v>
      </c>
      <c r="P97" s="38" t="s">
        <v>33</v>
      </c>
      <c r="Q97" s="38" t="s">
        <v>39</v>
      </c>
      <c r="R97" s="38" t="s">
        <v>32</v>
      </c>
      <c r="S97" s="24" t="s">
        <v>37</v>
      </c>
      <c r="U97" s="37">
        <f t="shared" si="17"/>
        <v>12</v>
      </c>
      <c r="V97" s="37">
        <f t="shared" si="18"/>
        <v>15</v>
      </c>
      <c r="W97" s="37">
        <f t="shared" si="19"/>
        <v>15</v>
      </c>
      <c r="X97" s="37">
        <f t="shared" si="20"/>
        <v>11</v>
      </c>
      <c r="Y97" s="37">
        <f t="shared" si="21"/>
        <v>5</v>
      </c>
      <c r="Z97" s="37">
        <f t="shared" si="22"/>
        <v>4</v>
      </c>
      <c r="AA97" s="37">
        <f t="shared" si="23"/>
        <v>13</v>
      </c>
      <c r="AC97" s="18">
        <v>1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1</v>
      </c>
      <c r="AK97" s="154" t="s">
        <v>64</v>
      </c>
      <c r="AL97" s="154">
        <v>25</v>
      </c>
      <c r="AM97" s="154">
        <v>12</v>
      </c>
      <c r="AN97" s="154">
        <v>25</v>
      </c>
      <c r="AO97" s="154">
        <v>12</v>
      </c>
      <c r="AP97" s="154">
        <v>25</v>
      </c>
      <c r="AQ97" s="154">
        <v>20</v>
      </c>
      <c r="AR97" s="154">
        <v>10</v>
      </c>
      <c r="AS97" s="151">
        <v>6</v>
      </c>
    </row>
    <row r="98" spans="12:45">
      <c r="L98" s="15">
        <v>94</v>
      </c>
      <c r="M98" s="38" t="s">
        <v>90</v>
      </c>
      <c r="N98" s="38" t="s">
        <v>38</v>
      </c>
      <c r="O98" s="38" t="s">
        <v>35</v>
      </c>
      <c r="P98" s="38" t="s">
        <v>40</v>
      </c>
      <c r="Q98" s="38" t="s">
        <v>39</v>
      </c>
      <c r="R98" s="38" t="s">
        <v>32</v>
      </c>
      <c r="S98" s="24" t="s">
        <v>37</v>
      </c>
      <c r="U98" s="37">
        <f t="shared" si="17"/>
        <v>6</v>
      </c>
      <c r="V98" s="37">
        <f t="shared" si="18"/>
        <v>15</v>
      </c>
      <c r="W98" s="37">
        <f t="shared" si="19"/>
        <v>15</v>
      </c>
      <c r="X98" s="37">
        <f t="shared" si="20"/>
        <v>12</v>
      </c>
      <c r="Y98" s="37">
        <f t="shared" si="21"/>
        <v>5</v>
      </c>
      <c r="Z98" s="37">
        <f t="shared" si="22"/>
        <v>4</v>
      </c>
      <c r="AA98" s="37">
        <f t="shared" si="23"/>
        <v>13</v>
      </c>
      <c r="AC98" s="18">
        <v>1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3</v>
      </c>
      <c r="AK98" s="154" t="s">
        <v>89</v>
      </c>
      <c r="AL98" s="154">
        <v>25</v>
      </c>
      <c r="AM98" s="154">
        <v>12</v>
      </c>
      <c r="AN98" s="154">
        <v>25</v>
      </c>
      <c r="AO98" s="154">
        <v>12</v>
      </c>
      <c r="AP98" s="154">
        <v>25</v>
      </c>
      <c r="AQ98" s="154">
        <v>20</v>
      </c>
      <c r="AR98" s="154">
        <v>10</v>
      </c>
      <c r="AS98" s="151">
        <v>7</v>
      </c>
    </row>
    <row r="99" spans="12:45">
      <c r="L99" s="14">
        <v>95</v>
      </c>
      <c r="M99" s="38" t="s">
        <v>40</v>
      </c>
      <c r="N99" s="38" t="s">
        <v>65</v>
      </c>
      <c r="O99" s="38" t="s">
        <v>35</v>
      </c>
      <c r="P99" s="38" t="s">
        <v>40</v>
      </c>
      <c r="Q99" s="38" t="s">
        <v>90</v>
      </c>
      <c r="R99" s="38" t="s">
        <v>37</v>
      </c>
      <c r="S99" s="24" t="s">
        <v>37</v>
      </c>
      <c r="U99" s="37">
        <f t="shared" si="17"/>
        <v>12</v>
      </c>
      <c r="V99" s="37">
        <f t="shared" si="18"/>
        <v>17</v>
      </c>
      <c r="W99" s="37">
        <f t="shared" si="19"/>
        <v>15</v>
      </c>
      <c r="X99" s="37">
        <f t="shared" si="20"/>
        <v>12</v>
      </c>
      <c r="Y99" s="37">
        <f t="shared" si="21"/>
        <v>6</v>
      </c>
      <c r="Z99" s="37">
        <f t="shared" si="22"/>
        <v>13</v>
      </c>
      <c r="AA99" s="37">
        <f t="shared" si="23"/>
        <v>13</v>
      </c>
      <c r="AC99" s="18">
        <v>1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1</v>
      </c>
      <c r="AK99" s="37" t="s">
        <v>24</v>
      </c>
      <c r="AL99" s="37">
        <v>10</v>
      </c>
      <c r="AM99" s="37">
        <v>10</v>
      </c>
      <c r="AN99" s="37">
        <v>40</v>
      </c>
      <c r="AO99" s="37">
        <v>1</v>
      </c>
      <c r="AP99" s="37">
        <v>40</v>
      </c>
      <c r="AQ99" s="37">
        <v>1</v>
      </c>
      <c r="AR99" s="37">
        <v>10</v>
      </c>
      <c r="AS99" s="4">
        <v>8</v>
      </c>
    </row>
    <row r="100" spans="12:45">
      <c r="L100" s="15">
        <v>96</v>
      </c>
      <c r="M100" s="38" t="s">
        <v>37</v>
      </c>
      <c r="N100" s="38" t="s">
        <v>230</v>
      </c>
      <c r="O100" s="38" t="s">
        <v>25</v>
      </c>
      <c r="P100" s="38" t="s">
        <v>39</v>
      </c>
      <c r="Q100" s="38" t="s">
        <v>39</v>
      </c>
      <c r="R100" s="38" t="s">
        <v>37</v>
      </c>
      <c r="S100" s="24" t="s">
        <v>39</v>
      </c>
      <c r="U100" s="37">
        <f t="shared" si="17"/>
        <v>13</v>
      </c>
      <c r="V100" s="37">
        <f t="shared" si="18"/>
        <v>0</v>
      </c>
      <c r="W100" s="37">
        <f t="shared" si="19"/>
        <v>5</v>
      </c>
      <c r="X100" s="37">
        <f t="shared" si="20"/>
        <v>5</v>
      </c>
      <c r="Y100" s="37">
        <f t="shared" si="21"/>
        <v>5</v>
      </c>
      <c r="Z100" s="37">
        <f t="shared" si="22"/>
        <v>13</v>
      </c>
      <c r="AA100" s="37">
        <f t="shared" si="23"/>
        <v>5</v>
      </c>
      <c r="AC100" s="18">
        <v>1</v>
      </c>
      <c r="AD100" s="18">
        <v>1</v>
      </c>
      <c r="AE100" s="18">
        <v>1</v>
      </c>
      <c r="AF100" s="18">
        <v>1</v>
      </c>
      <c r="AG100" s="18">
        <v>1</v>
      </c>
      <c r="AH100" s="18">
        <v>1</v>
      </c>
      <c r="AI100" s="4">
        <v>1</v>
      </c>
      <c r="AK100" s="37" t="s">
        <v>26</v>
      </c>
      <c r="AL100" s="37">
        <v>40</v>
      </c>
      <c r="AM100" s="37">
        <v>8</v>
      </c>
      <c r="AN100" s="37">
        <v>25</v>
      </c>
      <c r="AO100" s="37">
        <v>10</v>
      </c>
      <c r="AP100" s="37">
        <v>1</v>
      </c>
      <c r="AQ100" s="37">
        <v>40</v>
      </c>
      <c r="AR100" s="37">
        <v>10</v>
      </c>
      <c r="AS100" s="4">
        <v>9</v>
      </c>
    </row>
    <row r="101" spans="12:45">
      <c r="L101" s="14">
        <v>97</v>
      </c>
      <c r="M101" s="38" t="s">
        <v>39</v>
      </c>
      <c r="N101" s="38" t="s">
        <v>232</v>
      </c>
      <c r="O101" s="38" t="s">
        <v>25</v>
      </c>
      <c r="P101" s="38" t="s">
        <v>37</v>
      </c>
      <c r="Q101" s="38" t="s">
        <v>65</v>
      </c>
      <c r="R101" s="38" t="s">
        <v>40</v>
      </c>
      <c r="S101" s="24" t="s">
        <v>39</v>
      </c>
      <c r="U101" s="37">
        <f t="shared" si="17"/>
        <v>5</v>
      </c>
      <c r="V101" s="37">
        <f t="shared" si="18"/>
        <v>0</v>
      </c>
      <c r="W101" s="37">
        <f t="shared" si="19"/>
        <v>5</v>
      </c>
      <c r="X101" s="37">
        <f t="shared" si="20"/>
        <v>13</v>
      </c>
      <c r="Y101" s="37">
        <f t="shared" si="21"/>
        <v>17</v>
      </c>
      <c r="Z101" s="37">
        <f t="shared" si="22"/>
        <v>12</v>
      </c>
      <c r="AA101" s="37">
        <f t="shared" si="23"/>
        <v>5</v>
      </c>
      <c r="AC101" s="18">
        <v>1</v>
      </c>
      <c r="AD101" s="18">
        <v>1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10</v>
      </c>
      <c r="AM101" s="37">
        <v>30</v>
      </c>
      <c r="AN101" s="37">
        <v>30</v>
      </c>
      <c r="AO101" s="37">
        <v>10</v>
      </c>
      <c r="AP101" s="37">
        <v>40</v>
      </c>
      <c r="AQ101" s="37">
        <v>1</v>
      </c>
      <c r="AR101" s="37">
        <v>10</v>
      </c>
      <c r="AS101" s="4">
        <v>10</v>
      </c>
    </row>
    <row r="102" spans="12:45">
      <c r="L102" s="15">
        <v>98</v>
      </c>
      <c r="M102" s="38" t="s">
        <v>39</v>
      </c>
      <c r="N102" s="38" t="s">
        <v>38</v>
      </c>
      <c r="O102" s="38" t="s">
        <v>234</v>
      </c>
      <c r="P102" s="38" t="s">
        <v>37</v>
      </c>
      <c r="Q102" s="38" t="s">
        <v>37</v>
      </c>
      <c r="R102" s="38" t="s">
        <v>40</v>
      </c>
      <c r="S102" s="24" t="s">
        <v>39</v>
      </c>
      <c r="U102" s="37">
        <f t="shared" si="17"/>
        <v>5</v>
      </c>
      <c r="V102" s="37">
        <f t="shared" si="18"/>
        <v>15</v>
      </c>
      <c r="W102" s="37">
        <f t="shared" si="19"/>
        <v>0</v>
      </c>
      <c r="X102" s="37">
        <f t="shared" si="20"/>
        <v>13</v>
      </c>
      <c r="Y102" s="37">
        <f t="shared" si="21"/>
        <v>13</v>
      </c>
      <c r="Z102" s="37">
        <f t="shared" si="22"/>
        <v>12</v>
      </c>
      <c r="AA102" s="37">
        <f t="shared" si="23"/>
        <v>5</v>
      </c>
      <c r="AC102" s="18">
        <v>1</v>
      </c>
      <c r="AD102" s="18">
        <v>1</v>
      </c>
      <c r="AE102" s="18">
        <v>1</v>
      </c>
      <c r="AF102" s="18">
        <v>1</v>
      </c>
      <c r="AG102" s="18">
        <v>1</v>
      </c>
      <c r="AH102" s="18">
        <v>1</v>
      </c>
      <c r="AI102" s="4">
        <v>3</v>
      </c>
      <c r="AK102" s="37" t="s">
        <v>28</v>
      </c>
      <c r="AL102" s="37">
        <v>30</v>
      </c>
      <c r="AM102" s="37">
        <v>30</v>
      </c>
      <c r="AN102" s="37">
        <v>30</v>
      </c>
      <c r="AO102" s="37">
        <v>1</v>
      </c>
      <c r="AP102" s="37">
        <v>1</v>
      </c>
      <c r="AQ102" s="37">
        <v>1</v>
      </c>
      <c r="AR102" s="37">
        <v>10</v>
      </c>
      <c r="AS102" s="4">
        <v>11</v>
      </c>
    </row>
    <row r="103" spans="12:45">
      <c r="L103" s="14">
        <v>99</v>
      </c>
      <c r="M103" s="38" t="s">
        <v>37</v>
      </c>
      <c r="N103" s="38" t="s">
        <v>38</v>
      </c>
      <c r="O103" s="38" t="s">
        <v>240</v>
      </c>
      <c r="P103" s="38" t="s">
        <v>230</v>
      </c>
      <c r="Q103" s="38" t="s">
        <v>90</v>
      </c>
      <c r="R103" s="38" t="s">
        <v>37</v>
      </c>
      <c r="S103" s="24" t="s">
        <v>35</v>
      </c>
      <c r="U103" s="37">
        <f t="shared" si="17"/>
        <v>13</v>
      </c>
      <c r="V103" s="37">
        <f t="shared" si="18"/>
        <v>15</v>
      </c>
      <c r="W103" s="37">
        <f t="shared" si="19"/>
        <v>0</v>
      </c>
      <c r="X103" s="37">
        <f t="shared" si="20"/>
        <v>0</v>
      </c>
      <c r="Y103" s="37">
        <f t="shared" si="21"/>
        <v>6</v>
      </c>
      <c r="Z103" s="37">
        <f t="shared" si="22"/>
        <v>13</v>
      </c>
      <c r="AA103" s="37">
        <f t="shared" si="23"/>
        <v>15</v>
      </c>
      <c r="AC103" s="18">
        <v>1</v>
      </c>
      <c r="AD103" s="18">
        <v>1</v>
      </c>
      <c r="AE103" s="18">
        <v>1</v>
      </c>
      <c r="AF103" s="18">
        <v>1</v>
      </c>
      <c r="AG103" s="18">
        <v>1</v>
      </c>
      <c r="AH103" s="18">
        <v>1</v>
      </c>
      <c r="AI103" s="4">
        <v>1</v>
      </c>
      <c r="AK103" s="37" t="s">
        <v>29</v>
      </c>
      <c r="AL103" s="37">
        <v>5</v>
      </c>
      <c r="AM103" s="37">
        <v>30</v>
      </c>
      <c r="AN103" s="37">
        <v>20</v>
      </c>
      <c r="AO103" s="37">
        <v>1</v>
      </c>
      <c r="AP103" s="37">
        <v>1</v>
      </c>
      <c r="AQ103" s="37">
        <v>1</v>
      </c>
      <c r="AR103" s="37">
        <v>10</v>
      </c>
      <c r="AS103" s="4">
        <v>12</v>
      </c>
    </row>
    <row r="104" spans="12:45">
      <c r="L104" s="15">
        <v>100</v>
      </c>
      <c r="M104" s="38" t="s">
        <v>37</v>
      </c>
      <c r="N104" s="38" t="s">
        <v>38</v>
      </c>
      <c r="O104" s="38" t="s">
        <v>39</v>
      </c>
      <c r="P104" s="38" t="s">
        <v>65</v>
      </c>
      <c r="Q104" s="38" t="s">
        <v>90</v>
      </c>
      <c r="R104" s="38" t="s">
        <v>25</v>
      </c>
      <c r="S104" s="24" t="s">
        <v>35</v>
      </c>
      <c r="U104" s="37">
        <f t="shared" si="17"/>
        <v>13</v>
      </c>
      <c r="V104" s="37">
        <f t="shared" si="18"/>
        <v>15</v>
      </c>
      <c r="W104" s="37">
        <f t="shared" si="19"/>
        <v>5</v>
      </c>
      <c r="X104" s="37">
        <f t="shared" si="20"/>
        <v>17</v>
      </c>
      <c r="Y104" s="37">
        <f t="shared" si="21"/>
        <v>6</v>
      </c>
      <c r="Z104" s="37">
        <f t="shared" si="22"/>
        <v>5</v>
      </c>
      <c r="AA104" s="37">
        <f t="shared" si="23"/>
        <v>15</v>
      </c>
      <c r="AC104" s="18">
        <v>1</v>
      </c>
      <c r="AD104" s="18">
        <v>1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4" t="s">
        <v>222</v>
      </c>
      <c r="AL104" s="154">
        <v>0</v>
      </c>
      <c r="AM104" s="154">
        <v>1</v>
      </c>
      <c r="AN104" s="154">
        <v>1</v>
      </c>
      <c r="AO104" s="154">
        <v>1</v>
      </c>
      <c r="AP104" s="154">
        <v>1</v>
      </c>
      <c r="AQ104" s="154">
        <v>0</v>
      </c>
      <c r="AR104" s="154">
        <v>0</v>
      </c>
      <c r="AS104" s="151">
        <v>13</v>
      </c>
    </row>
    <row r="105" spans="12:45">
      <c r="L105" s="14">
        <v>101</v>
      </c>
      <c r="M105" s="38" t="s">
        <v>39</v>
      </c>
      <c r="N105" s="38" t="s">
        <v>90</v>
      </c>
      <c r="O105" s="38" t="s">
        <v>25</v>
      </c>
      <c r="P105" s="38" t="s">
        <v>65</v>
      </c>
      <c r="Q105" s="38" t="s">
        <v>37</v>
      </c>
      <c r="R105" s="38" t="s">
        <v>38</v>
      </c>
      <c r="S105" s="24" t="s">
        <v>35</v>
      </c>
      <c r="U105" s="37">
        <f t="shared" si="17"/>
        <v>5</v>
      </c>
      <c r="V105" s="37">
        <f t="shared" si="18"/>
        <v>6</v>
      </c>
      <c r="W105" s="37">
        <f t="shared" si="19"/>
        <v>5</v>
      </c>
      <c r="X105" s="37">
        <f t="shared" si="20"/>
        <v>17</v>
      </c>
      <c r="Y105" s="37">
        <f t="shared" si="21"/>
        <v>13</v>
      </c>
      <c r="Z105" s="37">
        <f t="shared" si="22"/>
        <v>15</v>
      </c>
      <c r="AA105" s="37">
        <f t="shared" si="23"/>
        <v>15</v>
      </c>
      <c r="AC105" s="18">
        <v>1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1</v>
      </c>
      <c r="AK105" s="154" t="s">
        <v>224</v>
      </c>
      <c r="AL105" s="154">
        <v>0</v>
      </c>
      <c r="AM105" s="154">
        <v>1</v>
      </c>
      <c r="AN105" s="154">
        <v>1</v>
      </c>
      <c r="AO105" s="154">
        <v>1</v>
      </c>
      <c r="AP105" s="154">
        <v>1</v>
      </c>
      <c r="AQ105" s="154">
        <v>0</v>
      </c>
      <c r="AR105" s="154">
        <v>0</v>
      </c>
      <c r="AS105" s="151">
        <v>14</v>
      </c>
    </row>
    <row r="106" spans="12:45">
      <c r="L106" s="15">
        <v>102</v>
      </c>
      <c r="M106" s="38" t="s">
        <v>38</v>
      </c>
      <c r="N106" s="38" t="s">
        <v>39</v>
      </c>
      <c r="O106" s="38" t="s">
        <v>33</v>
      </c>
      <c r="P106" s="38" t="s">
        <v>35</v>
      </c>
      <c r="Q106" s="38" t="s">
        <v>37</v>
      </c>
      <c r="R106" s="38" t="s">
        <v>25</v>
      </c>
      <c r="S106" s="24" t="s">
        <v>65</v>
      </c>
      <c r="U106" s="37">
        <f t="shared" si="17"/>
        <v>15</v>
      </c>
      <c r="V106" s="37">
        <f t="shared" si="18"/>
        <v>5</v>
      </c>
      <c r="W106" s="37">
        <f t="shared" si="19"/>
        <v>11</v>
      </c>
      <c r="X106" s="37">
        <f t="shared" si="20"/>
        <v>15</v>
      </c>
      <c r="Y106" s="37">
        <f t="shared" si="21"/>
        <v>13</v>
      </c>
      <c r="Z106" s="37">
        <f t="shared" si="22"/>
        <v>5</v>
      </c>
      <c r="AA106" s="37">
        <f t="shared" si="23"/>
        <v>17</v>
      </c>
      <c r="AC106" s="18">
        <v>1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1</v>
      </c>
      <c r="AK106" s="154" t="s">
        <v>226</v>
      </c>
      <c r="AL106" s="154">
        <v>0</v>
      </c>
      <c r="AM106" s="154">
        <v>1</v>
      </c>
      <c r="AN106" s="154">
        <v>1</v>
      </c>
      <c r="AO106" s="154">
        <v>1</v>
      </c>
      <c r="AP106" s="154">
        <v>1</v>
      </c>
      <c r="AQ106" s="154">
        <v>0</v>
      </c>
      <c r="AR106" s="154">
        <v>0</v>
      </c>
      <c r="AS106" s="151">
        <v>15</v>
      </c>
    </row>
    <row r="107" spans="12:45">
      <c r="L107" s="14">
        <v>103</v>
      </c>
      <c r="M107" s="38" t="s">
        <v>65</v>
      </c>
      <c r="N107" s="38" t="s">
        <v>25</v>
      </c>
      <c r="O107" s="38" t="s">
        <v>33</v>
      </c>
      <c r="P107" s="38" t="s">
        <v>40</v>
      </c>
      <c r="Q107" s="38" t="s">
        <v>37</v>
      </c>
      <c r="R107" s="38" t="s">
        <v>25</v>
      </c>
      <c r="S107" s="24" t="s">
        <v>25</v>
      </c>
      <c r="U107" s="37">
        <f t="shared" si="17"/>
        <v>17</v>
      </c>
      <c r="V107" s="37">
        <f t="shared" si="18"/>
        <v>5</v>
      </c>
      <c r="W107" s="37">
        <f t="shared" si="19"/>
        <v>11</v>
      </c>
      <c r="X107" s="37">
        <f t="shared" si="20"/>
        <v>12</v>
      </c>
      <c r="Y107" s="37">
        <f t="shared" si="21"/>
        <v>13</v>
      </c>
      <c r="Z107" s="37">
        <f t="shared" si="22"/>
        <v>5</v>
      </c>
      <c r="AA107" s="37">
        <f t="shared" si="23"/>
        <v>5</v>
      </c>
      <c r="AC107" s="18">
        <v>1</v>
      </c>
      <c r="AD107" s="18">
        <v>1</v>
      </c>
      <c r="AE107" s="18">
        <v>1</v>
      </c>
      <c r="AF107" s="18">
        <v>1</v>
      </c>
      <c r="AG107" s="18">
        <v>1</v>
      </c>
      <c r="AH107" s="18">
        <v>1</v>
      </c>
      <c r="AI107" s="4">
        <v>1</v>
      </c>
      <c r="AK107" s="154" t="s">
        <v>228</v>
      </c>
      <c r="AL107" s="154">
        <v>0</v>
      </c>
      <c r="AM107" s="154">
        <v>1</v>
      </c>
      <c r="AN107" s="154">
        <v>1</v>
      </c>
      <c r="AO107" s="154">
        <v>1</v>
      </c>
      <c r="AP107" s="154">
        <v>1</v>
      </c>
      <c r="AQ107" s="154">
        <v>0</v>
      </c>
      <c r="AR107" s="154">
        <v>0</v>
      </c>
      <c r="AS107" s="151">
        <v>16</v>
      </c>
    </row>
    <row r="108" spans="12:45">
      <c r="L108" s="15">
        <v>104</v>
      </c>
      <c r="M108" s="38" t="s">
        <v>40</v>
      </c>
      <c r="N108" s="38" t="s">
        <v>25</v>
      </c>
      <c r="O108" s="38" t="s">
        <v>33</v>
      </c>
      <c r="P108" s="38" t="s">
        <v>40</v>
      </c>
      <c r="Q108" s="38" t="s">
        <v>39</v>
      </c>
      <c r="R108" s="38" t="s">
        <v>25</v>
      </c>
      <c r="S108" s="24" t="s">
        <v>65</v>
      </c>
      <c r="U108" s="37">
        <f t="shared" si="17"/>
        <v>12</v>
      </c>
      <c r="V108" s="37">
        <f t="shared" si="18"/>
        <v>5</v>
      </c>
      <c r="W108" s="37">
        <f t="shared" si="19"/>
        <v>11</v>
      </c>
      <c r="X108" s="37">
        <f t="shared" si="20"/>
        <v>12</v>
      </c>
      <c r="Y108" s="37">
        <f t="shared" si="21"/>
        <v>5</v>
      </c>
      <c r="Z108" s="37">
        <f t="shared" si="22"/>
        <v>5</v>
      </c>
      <c r="AA108" s="37">
        <f t="shared" si="23"/>
        <v>17</v>
      </c>
      <c r="AC108" s="18">
        <v>1</v>
      </c>
      <c r="AD108" s="18">
        <v>1</v>
      </c>
      <c r="AE108" s="18">
        <v>1</v>
      </c>
      <c r="AF108" s="18">
        <v>1</v>
      </c>
      <c r="AG108" s="18">
        <v>1</v>
      </c>
      <c r="AH108" s="18">
        <v>1</v>
      </c>
      <c r="AI108" s="4">
        <v>1</v>
      </c>
      <c r="AK108" s="154" t="s">
        <v>230</v>
      </c>
      <c r="AL108" s="154">
        <v>0</v>
      </c>
      <c r="AM108" s="154">
        <v>5</v>
      </c>
      <c r="AN108" s="154">
        <v>5</v>
      </c>
      <c r="AO108" s="154">
        <v>5</v>
      </c>
      <c r="AP108" s="154">
        <v>5</v>
      </c>
      <c r="AQ108" s="154">
        <v>0</v>
      </c>
      <c r="AR108" s="154">
        <v>0</v>
      </c>
      <c r="AS108" s="151">
        <v>17</v>
      </c>
    </row>
    <row r="109" spans="12:45">
      <c r="L109" s="14">
        <v>105</v>
      </c>
      <c r="M109" s="38" t="s">
        <v>37</v>
      </c>
      <c r="N109" s="38" t="s">
        <v>25</v>
      </c>
      <c r="O109" s="38" t="s">
        <v>35</v>
      </c>
      <c r="P109" s="38" t="s">
        <v>38</v>
      </c>
      <c r="Q109" s="38" t="s">
        <v>90</v>
      </c>
      <c r="R109" s="38" t="s">
        <v>35</v>
      </c>
      <c r="S109" s="24" t="s">
        <v>65</v>
      </c>
      <c r="U109" s="37">
        <f t="shared" si="17"/>
        <v>13</v>
      </c>
      <c r="V109" s="37">
        <f t="shared" si="18"/>
        <v>5</v>
      </c>
      <c r="W109" s="37">
        <f t="shared" si="19"/>
        <v>15</v>
      </c>
      <c r="X109" s="37">
        <f t="shared" si="20"/>
        <v>15</v>
      </c>
      <c r="Y109" s="37">
        <f t="shared" si="21"/>
        <v>6</v>
      </c>
      <c r="Z109" s="37">
        <f t="shared" si="22"/>
        <v>15</v>
      </c>
      <c r="AA109" s="37">
        <f t="shared" si="23"/>
        <v>17</v>
      </c>
      <c r="AC109" s="18">
        <v>1</v>
      </c>
      <c r="AD109" s="18">
        <v>1</v>
      </c>
      <c r="AE109" s="18">
        <v>1</v>
      </c>
      <c r="AF109" s="18">
        <v>1</v>
      </c>
      <c r="AG109" s="18">
        <v>1</v>
      </c>
      <c r="AH109" s="18">
        <v>1</v>
      </c>
      <c r="AI109" s="4">
        <v>3</v>
      </c>
      <c r="AK109" s="154" t="s">
        <v>232</v>
      </c>
      <c r="AL109" s="154">
        <v>0</v>
      </c>
      <c r="AM109" s="154">
        <v>5</v>
      </c>
      <c r="AN109" s="154">
        <v>5</v>
      </c>
      <c r="AO109" s="154">
        <v>5</v>
      </c>
      <c r="AP109" s="154">
        <v>5</v>
      </c>
      <c r="AQ109" s="154">
        <v>0</v>
      </c>
      <c r="AR109" s="154">
        <v>0</v>
      </c>
      <c r="AS109" s="151">
        <v>18</v>
      </c>
    </row>
    <row r="110" spans="12:45">
      <c r="L110" s="15">
        <v>106</v>
      </c>
      <c r="M110" s="38" t="s">
        <v>35</v>
      </c>
      <c r="N110" s="38" t="s">
        <v>40</v>
      </c>
      <c r="O110" s="38" t="s">
        <v>35</v>
      </c>
      <c r="P110" s="38" t="s">
        <v>38</v>
      </c>
      <c r="Q110" s="38" t="s">
        <v>90</v>
      </c>
      <c r="R110" s="38" t="s">
        <v>25</v>
      </c>
      <c r="S110" s="24" t="s">
        <v>65</v>
      </c>
      <c r="U110" s="37">
        <f t="shared" si="17"/>
        <v>15</v>
      </c>
      <c r="V110" s="37">
        <f t="shared" si="18"/>
        <v>12</v>
      </c>
      <c r="W110" s="37">
        <f t="shared" si="19"/>
        <v>15</v>
      </c>
      <c r="X110" s="37">
        <f t="shared" si="20"/>
        <v>15</v>
      </c>
      <c r="Y110" s="37">
        <f t="shared" si="21"/>
        <v>6</v>
      </c>
      <c r="Z110" s="37">
        <f t="shared" si="22"/>
        <v>5</v>
      </c>
      <c r="AA110" s="37">
        <f t="shared" si="23"/>
        <v>17</v>
      </c>
      <c r="AC110" s="18">
        <v>1</v>
      </c>
      <c r="AD110" s="18">
        <v>1</v>
      </c>
      <c r="AE110" s="18">
        <v>1</v>
      </c>
      <c r="AF110" s="18">
        <v>1</v>
      </c>
      <c r="AG110" s="18">
        <v>1</v>
      </c>
      <c r="AH110" s="18">
        <v>1</v>
      </c>
      <c r="AI110" s="4">
        <v>1</v>
      </c>
      <c r="AK110" s="37" t="s">
        <v>234</v>
      </c>
      <c r="AL110" s="37">
        <v>0</v>
      </c>
      <c r="AM110" s="37">
        <v>6</v>
      </c>
      <c r="AN110" s="37">
        <v>6</v>
      </c>
      <c r="AO110" s="37">
        <v>2</v>
      </c>
      <c r="AP110" s="37">
        <v>2</v>
      </c>
      <c r="AQ110" s="37">
        <v>0</v>
      </c>
      <c r="AR110" s="37">
        <v>0</v>
      </c>
      <c r="AS110" s="4">
        <v>19</v>
      </c>
    </row>
    <row r="111" spans="12:45">
      <c r="L111" s="14">
        <v>107</v>
      </c>
      <c r="M111" s="38" t="s">
        <v>35</v>
      </c>
      <c r="N111" s="38" t="s">
        <v>40</v>
      </c>
      <c r="O111" s="38" t="s">
        <v>65</v>
      </c>
      <c r="P111" s="38" t="s">
        <v>65</v>
      </c>
      <c r="Q111" s="38" t="s">
        <v>39</v>
      </c>
      <c r="R111" s="38" t="s">
        <v>25</v>
      </c>
      <c r="S111" s="24" t="s">
        <v>38</v>
      </c>
      <c r="U111" s="37">
        <f t="shared" si="17"/>
        <v>15</v>
      </c>
      <c r="V111" s="37">
        <f t="shared" si="18"/>
        <v>12</v>
      </c>
      <c r="W111" s="37">
        <f t="shared" si="19"/>
        <v>17</v>
      </c>
      <c r="X111" s="37">
        <f t="shared" si="20"/>
        <v>17</v>
      </c>
      <c r="Y111" s="37">
        <f t="shared" si="21"/>
        <v>5</v>
      </c>
      <c r="Z111" s="37">
        <f t="shared" si="22"/>
        <v>5</v>
      </c>
      <c r="AA111" s="37">
        <f t="shared" si="23"/>
        <v>15</v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0</v>
      </c>
      <c r="AM111" s="37">
        <v>4</v>
      </c>
      <c r="AN111" s="37">
        <v>6</v>
      </c>
      <c r="AO111" s="37">
        <v>2</v>
      </c>
      <c r="AP111" s="37">
        <v>2</v>
      </c>
      <c r="AQ111" s="37">
        <v>0</v>
      </c>
      <c r="AR111" s="37">
        <v>0</v>
      </c>
      <c r="AS111" s="4">
        <v>20</v>
      </c>
    </row>
    <row r="112" spans="12:45">
      <c r="L112" s="15">
        <v>108</v>
      </c>
      <c r="M112" s="38" t="s">
        <v>39</v>
      </c>
      <c r="N112" s="38" t="s">
        <v>40</v>
      </c>
      <c r="O112" s="38" t="s">
        <v>65</v>
      </c>
      <c r="P112" s="38" t="s">
        <v>65</v>
      </c>
      <c r="Q112" s="38" t="s">
        <v>39</v>
      </c>
      <c r="R112" s="38" t="s">
        <v>34</v>
      </c>
      <c r="S112" s="24" t="s">
        <v>32</v>
      </c>
      <c r="U112" s="37">
        <f t="shared" si="17"/>
        <v>5</v>
      </c>
      <c r="V112" s="37">
        <f t="shared" si="18"/>
        <v>12</v>
      </c>
      <c r="W112" s="37">
        <f t="shared" si="19"/>
        <v>17</v>
      </c>
      <c r="X112" s="37">
        <f t="shared" si="20"/>
        <v>17</v>
      </c>
      <c r="Y112" s="37">
        <f t="shared" si="21"/>
        <v>5</v>
      </c>
      <c r="Z112" s="37">
        <f t="shared" si="22"/>
        <v>16</v>
      </c>
      <c r="AA112" s="37">
        <f t="shared" si="23"/>
        <v>4</v>
      </c>
      <c r="AC112" s="18">
        <v>1</v>
      </c>
      <c r="AD112" s="18">
        <v>1</v>
      </c>
      <c r="AE112" s="18">
        <v>1</v>
      </c>
      <c r="AF112" s="18">
        <v>1</v>
      </c>
      <c r="AG112" s="18">
        <v>1</v>
      </c>
      <c r="AH112" s="18">
        <v>1</v>
      </c>
      <c r="AI112" s="4">
        <v>3</v>
      </c>
      <c r="AK112" s="37" t="s">
        <v>238</v>
      </c>
      <c r="AL112" s="37">
        <v>0</v>
      </c>
      <c r="AM112" s="37">
        <v>5</v>
      </c>
      <c r="AN112" s="37">
        <v>3</v>
      </c>
      <c r="AO112" s="37">
        <v>1</v>
      </c>
      <c r="AP112" s="37">
        <v>4</v>
      </c>
      <c r="AQ112" s="37">
        <v>0</v>
      </c>
      <c r="AR112" s="37">
        <v>0</v>
      </c>
      <c r="AS112" s="4">
        <v>21</v>
      </c>
    </row>
    <row r="113" spans="12:46">
      <c r="L113" s="14">
        <v>109</v>
      </c>
      <c r="M113" s="38" t="s">
        <v>34</v>
      </c>
      <c r="N113" s="38" t="s">
        <v>25</v>
      </c>
      <c r="O113" s="38" t="s">
        <v>65</v>
      </c>
      <c r="P113" s="38" t="s">
        <v>65</v>
      </c>
      <c r="Q113" s="38" t="s">
        <v>90</v>
      </c>
      <c r="R113" s="38" t="s">
        <v>25</v>
      </c>
      <c r="S113" s="38" t="s">
        <v>32</v>
      </c>
      <c r="U113" s="37">
        <f t="shared" si="17"/>
        <v>16</v>
      </c>
      <c r="V113" s="37">
        <f t="shared" si="18"/>
        <v>5</v>
      </c>
      <c r="W113" s="37">
        <f t="shared" si="19"/>
        <v>17</v>
      </c>
      <c r="X113" s="37">
        <f t="shared" si="20"/>
        <v>17</v>
      </c>
      <c r="Y113" s="37">
        <f t="shared" si="21"/>
        <v>6</v>
      </c>
      <c r="Z113" s="37">
        <f t="shared" si="22"/>
        <v>5</v>
      </c>
      <c r="AA113" s="37">
        <f t="shared" si="23"/>
        <v>4</v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4">
        <v>1</v>
      </c>
      <c r="AK113" s="37" t="s">
        <v>240</v>
      </c>
      <c r="AL113" s="37">
        <v>0</v>
      </c>
      <c r="AM113" s="37">
        <v>2</v>
      </c>
      <c r="AN113" s="37">
        <v>2</v>
      </c>
      <c r="AO113" s="37">
        <v>2</v>
      </c>
      <c r="AP113" s="37">
        <v>2</v>
      </c>
      <c r="AQ113" s="37">
        <v>0</v>
      </c>
      <c r="AR113" s="37">
        <v>0</v>
      </c>
      <c r="AS113" s="4">
        <v>22</v>
      </c>
    </row>
    <row r="114" spans="12:46">
      <c r="L114" s="15">
        <v>110</v>
      </c>
      <c r="M114" s="38" t="s">
        <v>25</v>
      </c>
      <c r="N114" s="38" t="s">
        <v>25</v>
      </c>
      <c r="O114" s="38" t="s">
        <v>37</v>
      </c>
      <c r="P114" s="38" t="s">
        <v>232</v>
      </c>
      <c r="Q114" s="38" t="s">
        <v>35</v>
      </c>
      <c r="R114" s="38" t="s">
        <v>25</v>
      </c>
      <c r="S114" s="24" t="s">
        <v>34</v>
      </c>
      <c r="U114" s="37">
        <f t="shared" si="17"/>
        <v>5</v>
      </c>
      <c r="V114" s="37">
        <f t="shared" si="18"/>
        <v>5</v>
      </c>
      <c r="W114" s="37">
        <f t="shared" si="19"/>
        <v>13</v>
      </c>
      <c r="X114" s="37">
        <f t="shared" si="20"/>
        <v>0</v>
      </c>
      <c r="Y114" s="37">
        <f t="shared" si="21"/>
        <v>15</v>
      </c>
      <c r="Z114" s="37">
        <f t="shared" si="22"/>
        <v>5</v>
      </c>
      <c r="AA114" s="37">
        <f t="shared" si="23"/>
        <v>16</v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0</v>
      </c>
      <c r="AM114" s="37">
        <v>2</v>
      </c>
      <c r="AN114" s="37">
        <v>2</v>
      </c>
      <c r="AO114" s="37">
        <v>2</v>
      </c>
      <c r="AP114" s="37">
        <v>2</v>
      </c>
      <c r="AQ114" s="37">
        <v>0</v>
      </c>
      <c r="AR114" s="37">
        <v>0</v>
      </c>
      <c r="AS114" s="4">
        <v>23</v>
      </c>
    </row>
    <row r="115" spans="12:46">
      <c r="L115" s="14">
        <v>111</v>
      </c>
      <c r="M115" s="38" t="s">
        <v>40</v>
      </c>
      <c r="N115" s="38" t="s">
        <v>25</v>
      </c>
      <c r="O115" s="38" t="s">
        <v>39</v>
      </c>
      <c r="P115" s="38" t="s">
        <v>90</v>
      </c>
      <c r="Q115" s="38" t="s">
        <v>35</v>
      </c>
      <c r="R115" s="38" t="s">
        <v>40</v>
      </c>
      <c r="S115" s="24" t="s">
        <v>38</v>
      </c>
      <c r="U115" s="37">
        <f t="shared" si="17"/>
        <v>12</v>
      </c>
      <c r="V115" s="37">
        <f t="shared" si="18"/>
        <v>5</v>
      </c>
      <c r="W115" s="37">
        <f t="shared" si="19"/>
        <v>5</v>
      </c>
      <c r="X115" s="37">
        <f t="shared" si="20"/>
        <v>6</v>
      </c>
      <c r="Y115" s="37">
        <f t="shared" si="21"/>
        <v>15</v>
      </c>
      <c r="Z115" s="37">
        <f t="shared" si="22"/>
        <v>12</v>
      </c>
      <c r="AA115" s="37">
        <f t="shared" si="23"/>
        <v>15</v>
      </c>
      <c r="AC115" s="18">
        <v>1</v>
      </c>
      <c r="AD115" s="18">
        <v>1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4" t="s">
        <v>94</v>
      </c>
      <c r="AL115" s="154">
        <v>0</v>
      </c>
      <c r="AM115" s="154">
        <v>2</v>
      </c>
      <c r="AN115" s="154">
        <v>2</v>
      </c>
      <c r="AO115" s="154">
        <v>2</v>
      </c>
      <c r="AP115" s="154">
        <v>2</v>
      </c>
      <c r="AQ115" s="154">
        <v>0</v>
      </c>
      <c r="AR115" s="154">
        <v>0</v>
      </c>
      <c r="AS115" s="151">
        <v>24</v>
      </c>
    </row>
    <row r="116" spans="12:46">
      <c r="L116" s="15">
        <v>112</v>
      </c>
      <c r="M116" s="38" t="s">
        <v>39</v>
      </c>
      <c r="N116" s="38" t="s">
        <v>37</v>
      </c>
      <c r="O116" s="38" t="s">
        <v>39</v>
      </c>
      <c r="P116" s="38" t="s">
        <v>90</v>
      </c>
      <c r="Q116" s="38" t="s">
        <v>65</v>
      </c>
      <c r="R116" s="38" t="s">
        <v>39</v>
      </c>
      <c r="S116" s="24" t="s">
        <v>38</v>
      </c>
      <c r="U116" s="37">
        <f t="shared" si="17"/>
        <v>5</v>
      </c>
      <c r="V116" s="37">
        <f t="shared" si="18"/>
        <v>13</v>
      </c>
      <c r="W116" s="37">
        <f t="shared" si="19"/>
        <v>5</v>
      </c>
      <c r="X116" s="37">
        <f t="shared" si="20"/>
        <v>6</v>
      </c>
      <c r="Y116" s="37">
        <f t="shared" si="21"/>
        <v>17</v>
      </c>
      <c r="Z116" s="37">
        <f t="shared" si="22"/>
        <v>5</v>
      </c>
      <c r="AA116" s="37">
        <f t="shared" si="23"/>
        <v>15</v>
      </c>
      <c r="AC116" s="18">
        <v>1</v>
      </c>
      <c r="AD116" s="18">
        <v>1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4" t="s">
        <v>257</v>
      </c>
      <c r="AL116" s="154">
        <v>0</v>
      </c>
      <c r="AM116" s="154">
        <v>1</v>
      </c>
      <c r="AN116" s="154">
        <v>1</v>
      </c>
      <c r="AO116" s="154">
        <v>1</v>
      </c>
      <c r="AP116" s="154">
        <v>1</v>
      </c>
      <c r="AQ116" s="154">
        <v>0</v>
      </c>
      <c r="AR116" s="154">
        <v>0</v>
      </c>
      <c r="AS116" s="151">
        <v>25</v>
      </c>
    </row>
    <row r="117" spans="12:46">
      <c r="L117" s="14">
        <v>113</v>
      </c>
      <c r="M117" s="38" t="s">
        <v>90</v>
      </c>
      <c r="N117" s="38" t="s">
        <v>38</v>
      </c>
      <c r="O117" s="38" t="s">
        <v>39</v>
      </c>
      <c r="P117" s="38" t="s">
        <v>25</v>
      </c>
      <c r="Q117" s="38" t="s">
        <v>39</v>
      </c>
      <c r="R117" s="38" t="s">
        <v>39</v>
      </c>
      <c r="S117" s="24" t="s">
        <v>38</v>
      </c>
      <c r="U117" s="37">
        <f t="shared" si="17"/>
        <v>6</v>
      </c>
      <c r="V117" s="37">
        <f t="shared" si="18"/>
        <v>15</v>
      </c>
      <c r="W117" s="37">
        <f t="shared" si="19"/>
        <v>5</v>
      </c>
      <c r="X117" s="37">
        <f t="shared" si="20"/>
        <v>5</v>
      </c>
      <c r="Y117" s="37">
        <f t="shared" si="21"/>
        <v>5</v>
      </c>
      <c r="Z117" s="37">
        <f t="shared" si="22"/>
        <v>5</v>
      </c>
      <c r="AA117" s="37">
        <f t="shared" si="23"/>
        <v>15</v>
      </c>
      <c r="AC117" s="18">
        <v>1</v>
      </c>
      <c r="AD117" s="18">
        <v>1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>
      <c r="L118" s="15">
        <v>114</v>
      </c>
      <c r="M118" s="38" t="s">
        <v>34</v>
      </c>
      <c r="N118" s="38" t="s">
        <v>33</v>
      </c>
      <c r="O118" s="38" t="s">
        <v>34</v>
      </c>
      <c r="P118" s="38" t="s">
        <v>40</v>
      </c>
      <c r="Q118" s="38" t="s">
        <v>39</v>
      </c>
      <c r="R118" s="38" t="s">
        <v>38</v>
      </c>
      <c r="S118" s="24" t="s">
        <v>34</v>
      </c>
      <c r="U118" s="37">
        <f t="shared" si="17"/>
        <v>16</v>
      </c>
      <c r="V118" s="37">
        <f t="shared" si="18"/>
        <v>11</v>
      </c>
      <c r="W118" s="37">
        <f t="shared" si="19"/>
        <v>16</v>
      </c>
      <c r="X118" s="37">
        <f t="shared" si="20"/>
        <v>12</v>
      </c>
      <c r="Y118" s="37">
        <f t="shared" si="21"/>
        <v>5</v>
      </c>
      <c r="Z118" s="37">
        <f t="shared" si="22"/>
        <v>15</v>
      </c>
      <c r="AA118" s="37">
        <f t="shared" si="23"/>
        <v>16</v>
      </c>
      <c r="AC118" s="18">
        <v>1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1</v>
      </c>
      <c r="AK118" s="40" t="s">
        <v>262</v>
      </c>
    </row>
    <row r="119" spans="12:46">
      <c r="L119" s="14">
        <v>115</v>
      </c>
      <c r="M119" s="38" t="s">
        <v>39</v>
      </c>
      <c r="N119" s="38" t="s">
        <v>33</v>
      </c>
      <c r="O119" s="38" t="s">
        <v>34</v>
      </c>
      <c r="P119" s="38" t="s">
        <v>40</v>
      </c>
      <c r="Q119" s="38" t="s">
        <v>35</v>
      </c>
      <c r="R119" s="38" t="s">
        <v>38</v>
      </c>
      <c r="S119" s="24" t="s">
        <v>34</v>
      </c>
      <c r="U119" s="37">
        <f t="shared" si="17"/>
        <v>5</v>
      </c>
      <c r="V119" s="37">
        <f t="shared" si="18"/>
        <v>11</v>
      </c>
      <c r="W119" s="37">
        <f t="shared" si="19"/>
        <v>16</v>
      </c>
      <c r="X119" s="37">
        <f t="shared" si="20"/>
        <v>12</v>
      </c>
      <c r="Y119" s="37">
        <f t="shared" si="21"/>
        <v>15</v>
      </c>
      <c r="Z119" s="37">
        <f t="shared" si="22"/>
        <v>15</v>
      </c>
      <c r="AA119" s="37">
        <f t="shared" si="23"/>
        <v>16</v>
      </c>
      <c r="AC119" s="18">
        <v>1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3</v>
      </c>
      <c r="AK119" s="16" t="s">
        <v>265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>
      <c r="L120" s="15">
        <v>116</v>
      </c>
      <c r="M120" s="38" t="s">
        <v>65</v>
      </c>
      <c r="N120" s="38" t="s">
        <v>33</v>
      </c>
      <c r="O120" s="38" t="s">
        <v>38</v>
      </c>
      <c r="P120" s="38" t="s">
        <v>40</v>
      </c>
      <c r="Q120" s="38" t="s">
        <v>35</v>
      </c>
      <c r="R120" s="38" t="s">
        <v>40</v>
      </c>
      <c r="S120" s="24" t="s">
        <v>34</v>
      </c>
      <c r="U120" s="37">
        <f t="shared" si="17"/>
        <v>17</v>
      </c>
      <c r="V120" s="37">
        <f t="shared" si="18"/>
        <v>11</v>
      </c>
      <c r="W120" s="37">
        <f t="shared" si="19"/>
        <v>15</v>
      </c>
      <c r="X120" s="37">
        <f t="shared" si="20"/>
        <v>12</v>
      </c>
      <c r="Y120" s="37">
        <f t="shared" si="21"/>
        <v>15</v>
      </c>
      <c r="Z120" s="37">
        <f t="shared" si="22"/>
        <v>12</v>
      </c>
      <c r="AA120" s="37">
        <f t="shared" si="23"/>
        <v>16</v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1</v>
      </c>
      <c r="AK120" s="10" t="s">
        <v>68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4">
        <v>0</v>
      </c>
    </row>
    <row r="121" spans="12:46">
      <c r="L121" s="14">
        <v>117</v>
      </c>
      <c r="M121" s="38" t="s">
        <v>65</v>
      </c>
      <c r="N121" s="38" t="s">
        <v>38</v>
      </c>
      <c r="O121" s="38" t="s">
        <v>242</v>
      </c>
      <c r="P121" s="38" t="s">
        <v>25</v>
      </c>
      <c r="Q121" s="38" t="s">
        <v>35</v>
      </c>
      <c r="R121" s="38" t="s">
        <v>38</v>
      </c>
      <c r="S121" s="24" t="s">
        <v>40</v>
      </c>
      <c r="U121" s="37">
        <f t="shared" si="17"/>
        <v>17</v>
      </c>
      <c r="V121" s="37">
        <f t="shared" si="18"/>
        <v>15</v>
      </c>
      <c r="W121" s="37">
        <f t="shared" si="19"/>
        <v>0</v>
      </c>
      <c r="X121" s="37">
        <f t="shared" si="20"/>
        <v>5</v>
      </c>
      <c r="Y121" s="37">
        <f t="shared" si="21"/>
        <v>15</v>
      </c>
      <c r="Z121" s="37">
        <f t="shared" si="22"/>
        <v>15</v>
      </c>
      <c r="AA121" s="37">
        <f t="shared" si="23"/>
        <v>12</v>
      </c>
      <c r="AC121" s="18">
        <v>1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0</v>
      </c>
      <c r="AM121" s="37">
        <v>0</v>
      </c>
      <c r="AN121" s="37">
        <v>0</v>
      </c>
      <c r="AO121" s="37">
        <v>0</v>
      </c>
      <c r="AP121" s="37">
        <v>0</v>
      </c>
      <c r="AQ121" s="37">
        <v>0</v>
      </c>
      <c r="AR121" s="37">
        <v>0</v>
      </c>
      <c r="AS121" s="4">
        <v>1</v>
      </c>
    </row>
    <row r="122" spans="12:46">
      <c r="L122" s="15">
        <v>118</v>
      </c>
      <c r="M122" s="38" t="s">
        <v>25</v>
      </c>
      <c r="N122" s="38" t="s">
        <v>90</v>
      </c>
      <c r="O122" s="38" t="s">
        <v>40</v>
      </c>
      <c r="P122" s="38" t="s">
        <v>33</v>
      </c>
      <c r="Q122" s="38" t="s">
        <v>65</v>
      </c>
      <c r="R122" s="38" t="s">
        <v>34</v>
      </c>
      <c r="S122" s="24" t="s">
        <v>40</v>
      </c>
      <c r="U122" s="37">
        <f t="shared" si="17"/>
        <v>5</v>
      </c>
      <c r="V122" s="37">
        <f t="shared" si="18"/>
        <v>6</v>
      </c>
      <c r="W122" s="37">
        <f t="shared" si="19"/>
        <v>12</v>
      </c>
      <c r="X122" s="37">
        <f t="shared" si="20"/>
        <v>11</v>
      </c>
      <c r="Y122" s="37">
        <f t="shared" si="21"/>
        <v>17</v>
      </c>
      <c r="Z122" s="37">
        <f t="shared" si="22"/>
        <v>16</v>
      </c>
      <c r="AA122" s="37">
        <f t="shared" si="23"/>
        <v>12</v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3</v>
      </c>
      <c r="AK122" s="154" t="s">
        <v>20</v>
      </c>
      <c r="AL122" s="154">
        <v>1</v>
      </c>
      <c r="AM122" s="154">
        <v>1</v>
      </c>
      <c r="AN122" s="154">
        <v>1</v>
      </c>
      <c r="AO122" s="154">
        <v>1</v>
      </c>
      <c r="AP122" s="154">
        <v>1</v>
      </c>
      <c r="AQ122" s="154">
        <v>1</v>
      </c>
      <c r="AR122" s="154">
        <v>0</v>
      </c>
      <c r="AS122" s="151">
        <v>2</v>
      </c>
    </row>
    <row r="123" spans="12:46">
      <c r="L123" s="14">
        <v>119</v>
      </c>
      <c r="M123" s="38" t="s">
        <v>39</v>
      </c>
      <c r="N123" s="38" t="s">
        <v>90</v>
      </c>
      <c r="O123" s="38" t="s">
        <v>34</v>
      </c>
      <c r="P123" s="38" t="s">
        <v>39</v>
      </c>
      <c r="Q123" s="38" t="s">
        <v>40</v>
      </c>
      <c r="R123" s="38" t="s">
        <v>25</v>
      </c>
      <c r="S123" s="24" t="s">
        <v>40</v>
      </c>
      <c r="U123" s="37">
        <f t="shared" si="17"/>
        <v>5</v>
      </c>
      <c r="V123" s="37">
        <f t="shared" si="18"/>
        <v>6</v>
      </c>
      <c r="W123" s="37">
        <f t="shared" si="19"/>
        <v>16</v>
      </c>
      <c r="X123" s="37">
        <f t="shared" si="20"/>
        <v>5</v>
      </c>
      <c r="Y123" s="37">
        <f t="shared" si="21"/>
        <v>12</v>
      </c>
      <c r="Z123" s="37">
        <f t="shared" si="22"/>
        <v>5</v>
      </c>
      <c r="AA123" s="37">
        <f t="shared" si="23"/>
        <v>12</v>
      </c>
      <c r="AC123" s="18">
        <v>1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1</v>
      </c>
      <c r="AK123" s="154" t="s">
        <v>21</v>
      </c>
      <c r="AL123" s="154">
        <v>1</v>
      </c>
      <c r="AM123" s="154">
        <v>70</v>
      </c>
      <c r="AN123" s="154">
        <v>1</v>
      </c>
      <c r="AO123" s="154">
        <v>70</v>
      </c>
      <c r="AP123" s="154">
        <v>1</v>
      </c>
      <c r="AQ123" s="154">
        <v>1</v>
      </c>
      <c r="AR123" s="154">
        <v>0</v>
      </c>
      <c r="AS123" s="151">
        <v>3</v>
      </c>
    </row>
    <row r="124" spans="12:46">
      <c r="L124" s="15">
        <v>120</v>
      </c>
      <c r="M124" s="38" t="s">
        <v>39</v>
      </c>
      <c r="N124" s="38" t="s">
        <v>37</v>
      </c>
      <c r="O124" s="38" t="s">
        <v>35</v>
      </c>
      <c r="P124" s="38" t="s">
        <v>39</v>
      </c>
      <c r="Q124" s="38" t="s">
        <v>40</v>
      </c>
      <c r="R124" s="38" t="s">
        <v>25</v>
      </c>
      <c r="S124" s="24" t="s">
        <v>37</v>
      </c>
      <c r="U124" s="37">
        <f t="shared" si="17"/>
        <v>5</v>
      </c>
      <c r="V124" s="37">
        <f t="shared" si="18"/>
        <v>13</v>
      </c>
      <c r="W124" s="37">
        <f t="shared" si="19"/>
        <v>15</v>
      </c>
      <c r="X124" s="37">
        <f t="shared" si="20"/>
        <v>5</v>
      </c>
      <c r="Y124" s="37">
        <f t="shared" si="21"/>
        <v>12</v>
      </c>
      <c r="Z124" s="37">
        <f t="shared" si="22"/>
        <v>5</v>
      </c>
      <c r="AA124" s="37">
        <f t="shared" si="23"/>
        <v>13</v>
      </c>
      <c r="AC124" s="18">
        <v>1</v>
      </c>
      <c r="AD124" s="18">
        <v>1</v>
      </c>
      <c r="AE124" s="18">
        <v>1</v>
      </c>
      <c r="AF124" s="18">
        <v>1</v>
      </c>
      <c r="AG124" s="18">
        <v>1</v>
      </c>
      <c r="AH124" s="18">
        <v>1</v>
      </c>
      <c r="AI124" s="4">
        <v>1</v>
      </c>
      <c r="AK124" s="154" t="s">
        <v>17</v>
      </c>
      <c r="AL124" s="154">
        <v>1</v>
      </c>
      <c r="AM124" s="154">
        <v>1</v>
      </c>
      <c r="AN124" s="154">
        <v>5</v>
      </c>
      <c r="AO124" s="154">
        <v>1</v>
      </c>
      <c r="AP124" s="154">
        <v>1</v>
      </c>
      <c r="AQ124" s="154">
        <v>70</v>
      </c>
      <c r="AR124" s="154">
        <v>1</v>
      </c>
      <c r="AS124" s="151">
        <v>4</v>
      </c>
    </row>
    <row r="125" spans="12:46">
      <c r="AC125" s="31"/>
      <c r="AD125" s="31"/>
      <c r="AE125" s="31"/>
      <c r="AF125" s="31"/>
      <c r="AG125" s="31"/>
      <c r="AH125" s="31"/>
      <c r="AI125" s="31"/>
      <c r="AK125" s="154" t="s">
        <v>18</v>
      </c>
      <c r="AL125" s="154">
        <v>1</v>
      </c>
      <c r="AM125" s="154">
        <v>70</v>
      </c>
      <c r="AN125" s="154">
        <v>1</v>
      </c>
      <c r="AO125" s="154">
        <v>1</v>
      </c>
      <c r="AP125" s="154">
        <v>1</v>
      </c>
      <c r="AQ125" s="154">
        <v>70</v>
      </c>
      <c r="AR125" s="154">
        <v>1</v>
      </c>
      <c r="AS125" s="151">
        <v>5</v>
      </c>
    </row>
    <row r="126" spans="12:46">
      <c r="AK126" s="154" t="s">
        <v>64</v>
      </c>
      <c r="AL126" s="154">
        <v>5</v>
      </c>
      <c r="AM126" s="154">
        <v>1</v>
      </c>
      <c r="AN126" s="154">
        <v>70</v>
      </c>
      <c r="AO126" s="154">
        <v>1</v>
      </c>
      <c r="AP126" s="154">
        <v>70</v>
      </c>
      <c r="AQ126" s="154">
        <v>1</v>
      </c>
      <c r="AR126" s="154">
        <v>1</v>
      </c>
      <c r="AS126" s="151">
        <v>6</v>
      </c>
    </row>
    <row r="127" spans="12:46">
      <c r="AK127" s="154" t="s">
        <v>89</v>
      </c>
      <c r="AL127" s="154">
        <v>1</v>
      </c>
      <c r="AM127" s="154">
        <v>70</v>
      </c>
      <c r="AN127" s="154">
        <v>1</v>
      </c>
      <c r="AO127" s="154">
        <v>1</v>
      </c>
      <c r="AP127" s="154">
        <v>1</v>
      </c>
      <c r="AQ127" s="154">
        <v>70</v>
      </c>
      <c r="AR127" s="154">
        <v>1</v>
      </c>
      <c r="AS127" s="151">
        <v>7</v>
      </c>
    </row>
    <row r="128" spans="12:46">
      <c r="AK128" s="37" t="s">
        <v>24</v>
      </c>
      <c r="AL128" s="37">
        <v>1</v>
      </c>
      <c r="AM128" s="37">
        <v>1</v>
      </c>
      <c r="AN128" s="37">
        <v>1</v>
      </c>
      <c r="AO128" s="37">
        <v>1</v>
      </c>
      <c r="AP128" s="37">
        <v>70</v>
      </c>
      <c r="AQ128" s="37">
        <v>1</v>
      </c>
      <c r="AR128" s="37">
        <v>1</v>
      </c>
      <c r="AS128" s="4">
        <v>8</v>
      </c>
      <c r="AT128" s="9"/>
    </row>
    <row r="129" spans="37:46">
      <c r="AK129" s="37" t="s">
        <v>26</v>
      </c>
      <c r="AL129" s="37">
        <v>1</v>
      </c>
      <c r="AM129" s="37">
        <v>1</v>
      </c>
      <c r="AN129" s="37">
        <v>1</v>
      </c>
      <c r="AO129" s="37">
        <v>70</v>
      </c>
      <c r="AP129" s="37">
        <v>1</v>
      </c>
      <c r="AQ129" s="37">
        <v>70</v>
      </c>
      <c r="AR129" s="37">
        <v>1</v>
      </c>
      <c r="AS129" s="4">
        <v>9</v>
      </c>
      <c r="AT129" s="9"/>
    </row>
    <row r="130" spans="37:46">
      <c r="AK130" s="37" t="s">
        <v>27</v>
      </c>
      <c r="AL130" s="37">
        <v>1</v>
      </c>
      <c r="AM130" s="37">
        <v>1</v>
      </c>
      <c r="AN130" s="37">
        <v>5</v>
      </c>
      <c r="AO130" s="37">
        <v>1</v>
      </c>
      <c r="AP130" s="37">
        <v>1</v>
      </c>
      <c r="AQ130" s="37">
        <v>1</v>
      </c>
      <c r="AR130" s="37">
        <v>3</v>
      </c>
      <c r="AS130" s="4">
        <v>10</v>
      </c>
      <c r="AT130" s="9"/>
    </row>
    <row r="131" spans="37:46">
      <c r="AK131" s="37" t="s">
        <v>28</v>
      </c>
      <c r="AL131" s="37">
        <v>1</v>
      </c>
      <c r="AM131" s="37">
        <v>70</v>
      </c>
      <c r="AN131" s="37">
        <v>1</v>
      </c>
      <c r="AO131" s="37">
        <v>1</v>
      </c>
      <c r="AP131" s="37">
        <v>1</v>
      </c>
      <c r="AQ131" s="37">
        <v>1</v>
      </c>
      <c r="AR131" s="37">
        <v>1</v>
      </c>
      <c r="AS131" s="4">
        <v>11</v>
      </c>
      <c r="AT131" s="9"/>
    </row>
    <row r="132" spans="37:46">
      <c r="AK132" s="37" t="s">
        <v>29</v>
      </c>
      <c r="AL132" s="37">
        <v>70</v>
      </c>
      <c r="AM132" s="37">
        <v>1</v>
      </c>
      <c r="AN132" s="37">
        <v>1</v>
      </c>
      <c r="AO132" s="37">
        <v>1</v>
      </c>
      <c r="AP132" s="37">
        <v>1</v>
      </c>
      <c r="AQ132" s="37">
        <v>1</v>
      </c>
      <c r="AR132" s="37">
        <v>1</v>
      </c>
      <c r="AS132" s="4">
        <v>12</v>
      </c>
      <c r="AT132" s="9"/>
    </row>
    <row r="133" spans="37:46">
      <c r="AK133" s="154" t="s">
        <v>222</v>
      </c>
      <c r="AL133" s="154">
        <v>0</v>
      </c>
      <c r="AM133" s="154">
        <v>0</v>
      </c>
      <c r="AN133" s="154">
        <v>0</v>
      </c>
      <c r="AO133" s="154">
        <v>0</v>
      </c>
      <c r="AP133" s="154">
        <v>0</v>
      </c>
      <c r="AQ133" s="154">
        <v>0</v>
      </c>
      <c r="AR133" s="154">
        <v>0</v>
      </c>
      <c r="AS133" s="151">
        <v>13</v>
      </c>
      <c r="AT133" s="9"/>
    </row>
    <row r="134" spans="37:46">
      <c r="AK134" s="154" t="s">
        <v>224</v>
      </c>
      <c r="AL134" s="154">
        <v>0</v>
      </c>
      <c r="AM134" s="154">
        <v>1</v>
      </c>
      <c r="AN134" s="154">
        <v>1</v>
      </c>
      <c r="AO134" s="154">
        <v>1</v>
      </c>
      <c r="AP134" s="154">
        <v>1</v>
      </c>
      <c r="AQ134" s="154">
        <v>0</v>
      </c>
      <c r="AR134" s="154">
        <v>0</v>
      </c>
      <c r="AS134" s="151">
        <v>14</v>
      </c>
      <c r="AT134" s="9"/>
    </row>
    <row r="135" spans="37:46">
      <c r="AK135" s="154" t="s">
        <v>226</v>
      </c>
      <c r="AL135" s="154">
        <v>0</v>
      </c>
      <c r="AM135" s="154">
        <v>1</v>
      </c>
      <c r="AN135" s="154">
        <v>1</v>
      </c>
      <c r="AO135" s="154">
        <v>1</v>
      </c>
      <c r="AP135" s="154">
        <v>1</v>
      </c>
      <c r="AQ135" s="154">
        <v>0</v>
      </c>
      <c r="AR135" s="154">
        <v>0</v>
      </c>
      <c r="AS135" s="151">
        <v>15</v>
      </c>
      <c r="AT135" s="9"/>
    </row>
    <row r="136" spans="37:46">
      <c r="AK136" s="154" t="s">
        <v>228</v>
      </c>
      <c r="AL136" s="154">
        <v>0</v>
      </c>
      <c r="AM136" s="154">
        <v>1</v>
      </c>
      <c r="AN136" s="154">
        <v>1</v>
      </c>
      <c r="AO136" s="154">
        <v>1</v>
      </c>
      <c r="AP136" s="154">
        <v>1</v>
      </c>
      <c r="AQ136" s="154">
        <v>0</v>
      </c>
      <c r="AR136" s="154">
        <v>0</v>
      </c>
      <c r="AS136" s="151">
        <v>16</v>
      </c>
      <c r="AT136" s="9"/>
    </row>
    <row r="137" spans="37:46">
      <c r="AK137" s="154" t="s">
        <v>230</v>
      </c>
      <c r="AL137" s="154">
        <v>0</v>
      </c>
      <c r="AM137" s="154">
        <v>1</v>
      </c>
      <c r="AN137" s="154">
        <v>1</v>
      </c>
      <c r="AO137" s="154">
        <v>1</v>
      </c>
      <c r="AP137" s="154">
        <v>2</v>
      </c>
      <c r="AQ137" s="154">
        <v>0</v>
      </c>
      <c r="AR137" s="154">
        <v>0</v>
      </c>
      <c r="AS137" s="151">
        <v>17</v>
      </c>
      <c r="AT137" s="9"/>
    </row>
    <row r="138" spans="37:46">
      <c r="AK138" s="154" t="s">
        <v>232</v>
      </c>
      <c r="AL138" s="154">
        <v>0</v>
      </c>
      <c r="AM138" s="154">
        <v>1</v>
      </c>
      <c r="AN138" s="154">
        <v>1</v>
      </c>
      <c r="AO138" s="154">
        <v>1</v>
      </c>
      <c r="AP138" s="154">
        <v>1</v>
      </c>
      <c r="AQ138" s="154">
        <v>0</v>
      </c>
      <c r="AR138" s="154">
        <v>0</v>
      </c>
      <c r="AS138" s="151">
        <v>18</v>
      </c>
      <c r="AT138" s="9"/>
    </row>
    <row r="139" spans="37:46">
      <c r="AK139" s="37" t="s">
        <v>234</v>
      </c>
      <c r="AL139" s="37">
        <v>0</v>
      </c>
      <c r="AM139" s="37">
        <v>1</v>
      </c>
      <c r="AN139" s="37">
        <v>1</v>
      </c>
      <c r="AO139" s="37">
        <v>1</v>
      </c>
      <c r="AP139" s="37">
        <v>1</v>
      </c>
      <c r="AQ139" s="37">
        <v>0</v>
      </c>
      <c r="AR139" s="37">
        <v>0</v>
      </c>
      <c r="AS139" s="4">
        <v>19</v>
      </c>
      <c r="AT139" s="9"/>
    </row>
    <row r="140" spans="37:46">
      <c r="AK140" s="37" t="s">
        <v>236</v>
      </c>
      <c r="AL140" s="37">
        <v>0</v>
      </c>
      <c r="AM140" s="37">
        <v>1</v>
      </c>
      <c r="AN140" s="37">
        <v>1</v>
      </c>
      <c r="AO140" s="37">
        <v>1</v>
      </c>
      <c r="AP140" s="37">
        <v>1</v>
      </c>
      <c r="AQ140" s="37">
        <v>0</v>
      </c>
      <c r="AR140" s="37">
        <v>0</v>
      </c>
      <c r="AS140" s="4">
        <v>20</v>
      </c>
      <c r="AT140" s="9"/>
    </row>
    <row r="141" spans="37:46">
      <c r="AK141" s="37" t="s">
        <v>238</v>
      </c>
      <c r="AL141" s="37">
        <v>0</v>
      </c>
      <c r="AM141" s="37">
        <v>1</v>
      </c>
      <c r="AN141" s="37">
        <v>1</v>
      </c>
      <c r="AO141" s="37">
        <v>1</v>
      </c>
      <c r="AP141" s="37">
        <v>1</v>
      </c>
      <c r="AQ141" s="37">
        <v>0</v>
      </c>
      <c r="AR141" s="37">
        <v>0</v>
      </c>
      <c r="AS141" s="4">
        <v>21</v>
      </c>
      <c r="AT141" s="9"/>
    </row>
    <row r="142" spans="37:46">
      <c r="AK142" s="37" t="s">
        <v>240</v>
      </c>
      <c r="AL142" s="37">
        <v>0</v>
      </c>
      <c r="AM142" s="37">
        <v>1</v>
      </c>
      <c r="AN142" s="37">
        <v>1</v>
      </c>
      <c r="AO142" s="37">
        <v>1</v>
      </c>
      <c r="AP142" s="37">
        <v>1</v>
      </c>
      <c r="AQ142" s="37">
        <v>0</v>
      </c>
      <c r="AR142" s="37">
        <v>0</v>
      </c>
      <c r="AS142" s="4">
        <v>22</v>
      </c>
      <c r="AT142" s="9"/>
    </row>
    <row r="143" spans="37:46">
      <c r="AK143" s="37" t="s">
        <v>242</v>
      </c>
      <c r="AL143" s="37">
        <v>0</v>
      </c>
      <c r="AM143" s="37">
        <v>1</v>
      </c>
      <c r="AN143" s="37">
        <v>1</v>
      </c>
      <c r="AO143" s="37">
        <v>1</v>
      </c>
      <c r="AP143" s="37">
        <v>1</v>
      </c>
      <c r="AQ143" s="37">
        <v>0</v>
      </c>
      <c r="AR143" s="37">
        <v>0</v>
      </c>
      <c r="AS143" s="4">
        <v>23</v>
      </c>
      <c r="AT143" s="9"/>
    </row>
    <row r="144" spans="37:46">
      <c r="AK144" s="154" t="s">
        <v>94</v>
      </c>
      <c r="AL144" s="154">
        <v>0</v>
      </c>
      <c r="AM144" s="154">
        <v>0</v>
      </c>
      <c r="AN144" s="154">
        <v>0</v>
      </c>
      <c r="AO144" s="154">
        <v>0</v>
      </c>
      <c r="AP144" s="154">
        <v>0</v>
      </c>
      <c r="AQ144" s="154">
        <v>0</v>
      </c>
      <c r="AR144" s="154">
        <v>0</v>
      </c>
      <c r="AS144" s="151">
        <v>24</v>
      </c>
      <c r="AT144" s="9"/>
    </row>
    <row r="145" spans="37:46">
      <c r="AK145" s="154" t="s">
        <v>257</v>
      </c>
      <c r="AL145" s="154">
        <v>0</v>
      </c>
      <c r="AM145" s="154">
        <v>1</v>
      </c>
      <c r="AN145" s="154">
        <v>1</v>
      </c>
      <c r="AO145" s="154">
        <v>1</v>
      </c>
      <c r="AP145" s="154">
        <v>1</v>
      </c>
      <c r="AQ145" s="154">
        <v>0</v>
      </c>
      <c r="AR145" s="154">
        <v>0</v>
      </c>
      <c r="AS145" s="151">
        <v>25</v>
      </c>
      <c r="AT145" s="9"/>
    </row>
    <row r="146" spans="37:46">
      <c r="AT146" s="9"/>
    </row>
    <row r="147" spans="37:46">
      <c r="AO147" s="9"/>
      <c r="AP147" s="9"/>
      <c r="AQ147" s="9"/>
      <c r="AR147" s="9"/>
      <c r="AS147" s="9"/>
      <c r="AT147" s="9"/>
    </row>
    <row r="148" spans="37:46">
      <c r="AO148" s="9"/>
      <c r="AP148" s="9"/>
      <c r="AQ148" s="9"/>
      <c r="AR148" s="9"/>
      <c r="AS148" s="9"/>
      <c r="AT148" s="9"/>
    </row>
    <row r="149" spans="37:46">
      <c r="AO149" s="9"/>
      <c r="AP149" s="9"/>
      <c r="AQ149" s="9"/>
      <c r="AR149" s="9"/>
      <c r="AS149" s="9"/>
      <c r="AT149" s="9"/>
    </row>
    <row r="150" spans="37:46">
      <c r="AO150" s="9"/>
      <c r="AP150" s="9"/>
      <c r="AQ150" s="9"/>
      <c r="AR150" s="9"/>
      <c r="AS150" s="9"/>
      <c r="AT150" s="9"/>
    </row>
    <row r="151" spans="37:46">
      <c r="AO151" s="9"/>
      <c r="AP151" s="9"/>
      <c r="AQ151" s="9"/>
      <c r="AR151" s="9"/>
      <c r="AS151" s="9"/>
      <c r="AT151" s="9"/>
    </row>
    <row r="152" spans="37:46">
      <c r="AO152" s="9"/>
      <c r="AP152" s="9"/>
      <c r="AQ152" s="9"/>
      <c r="AR152" s="9"/>
      <c r="AS152" s="9"/>
      <c r="AT152" s="9"/>
    </row>
    <row r="153" spans="37:46">
      <c r="AO153" s="9"/>
      <c r="AP153" s="9"/>
      <c r="AQ153" s="9"/>
      <c r="AR153" s="9"/>
      <c r="AS153" s="9"/>
      <c r="AT153" s="9"/>
    </row>
    <row r="154" spans="37:46">
      <c r="AO154" s="9"/>
      <c r="AP154" s="9"/>
      <c r="AQ154" s="9"/>
      <c r="AR154" s="9"/>
      <c r="AS154" s="9"/>
      <c r="AT154" s="9"/>
    </row>
    <row r="155" spans="37:46">
      <c r="AO155" s="9"/>
      <c r="AP155" s="9"/>
      <c r="AQ155" s="9"/>
      <c r="AR155" s="9"/>
      <c r="AS155" s="9"/>
      <c r="AT155" s="9"/>
    </row>
    <row r="156" spans="37:46">
      <c r="AO156" s="9"/>
      <c r="AP156" s="9"/>
      <c r="AQ156" s="9"/>
      <c r="AR156" s="9"/>
      <c r="AS156" s="9"/>
      <c r="AT156" s="9"/>
    </row>
    <row r="157" spans="37:46">
      <c r="AO157" s="9"/>
      <c r="AP157" s="9"/>
      <c r="AQ157" s="9"/>
      <c r="AR157" s="9"/>
      <c r="AS157" s="9"/>
      <c r="AT157" s="9"/>
    </row>
    <row r="158" spans="37:46">
      <c r="AO158" s="9"/>
      <c r="AP158" s="9"/>
      <c r="AQ158" s="9"/>
      <c r="AR158" s="9"/>
      <c r="AS158" s="9"/>
      <c r="AT158" s="9"/>
    </row>
    <row r="159" spans="37:46">
      <c r="AO159" s="9"/>
      <c r="AP159" s="9"/>
      <c r="AQ159" s="9"/>
      <c r="AR159" s="9"/>
      <c r="AS159" s="9"/>
      <c r="AT159" s="9"/>
    </row>
    <row r="160" spans="37:46">
      <c r="AO160" s="9"/>
      <c r="AP160" s="9"/>
      <c r="AQ160" s="9"/>
      <c r="AR160" s="9"/>
      <c r="AS160" s="9"/>
      <c r="AT160" s="9"/>
    </row>
    <row r="161" spans="41:46">
      <c r="AO161" s="9"/>
      <c r="AP161" s="9"/>
      <c r="AQ161" s="9"/>
      <c r="AR161" s="9"/>
      <c r="AS161" s="9"/>
      <c r="AT161" s="9"/>
    </row>
    <row r="162" spans="41:46">
      <c r="AO162" s="9"/>
      <c r="AP162" s="9"/>
      <c r="AQ162" s="9"/>
      <c r="AR162" s="9"/>
      <c r="AS162" s="9"/>
      <c r="AT162" s="9"/>
    </row>
    <row r="163" spans="41:46">
      <c r="AO163" s="9"/>
      <c r="AP163" s="9"/>
      <c r="AQ163" s="9"/>
      <c r="AR163" s="9"/>
      <c r="AS163" s="9"/>
      <c r="AT163" s="9"/>
    </row>
    <row r="164" spans="41:46">
      <c r="AO164" s="9"/>
      <c r="AP164" s="9"/>
      <c r="AQ164" s="9"/>
      <c r="AR164" s="9"/>
      <c r="AS164" s="9"/>
      <c r="AT164" s="9"/>
    </row>
    <row r="165" spans="41:46">
      <c r="AO165" s="9"/>
      <c r="AP165" s="9"/>
      <c r="AQ165" s="9"/>
      <c r="AR165" s="9"/>
      <c r="AS165" s="9"/>
      <c r="AT165" s="9"/>
    </row>
    <row r="166" spans="41:46">
      <c r="AO166" s="9"/>
      <c r="AP166" s="9"/>
      <c r="AQ166" s="9"/>
      <c r="AR166" s="9"/>
      <c r="AS166" s="9"/>
      <c r="AT166" s="9"/>
    </row>
    <row r="167" spans="41:46">
      <c r="AO167" s="9"/>
      <c r="AP167" s="9"/>
      <c r="AQ167" s="9"/>
      <c r="AR167" s="9"/>
      <c r="AS167" s="9"/>
      <c r="AT167" s="9"/>
    </row>
    <row r="168" spans="41:46">
      <c r="AO168" s="9"/>
      <c r="AP168" s="9"/>
      <c r="AQ168" s="9"/>
      <c r="AR168" s="9"/>
      <c r="AS168" s="9"/>
      <c r="AT168" s="9"/>
    </row>
    <row r="169" spans="41:46">
      <c r="AO169" s="9"/>
      <c r="AP169" s="9"/>
      <c r="AQ169" s="9"/>
      <c r="AR169" s="9"/>
      <c r="AS169" s="9"/>
      <c r="AT169" s="9"/>
    </row>
    <row r="170" spans="41:46">
      <c r="AO170" s="9"/>
      <c r="AP170" s="9"/>
      <c r="AQ170" s="9"/>
      <c r="AR170" s="9"/>
      <c r="AS170" s="9"/>
      <c r="AT170" s="9"/>
    </row>
    <row r="171" spans="41:46">
      <c r="AO171" s="9"/>
      <c r="AP171" s="9"/>
      <c r="AQ171" s="9"/>
      <c r="AR171" s="9"/>
      <c r="AS171" s="9"/>
      <c r="AT171" s="9"/>
    </row>
    <row r="172" spans="41:46">
      <c r="AO172" s="9"/>
      <c r="AP172" s="9"/>
      <c r="AQ172" s="9"/>
      <c r="AR172" s="9"/>
      <c r="AS172" s="9"/>
      <c r="AT172" s="9"/>
    </row>
    <row r="173" spans="41:46">
      <c r="AO173" s="9"/>
      <c r="AP173" s="9"/>
      <c r="AQ173" s="9"/>
      <c r="AR173" s="9"/>
      <c r="AS173" s="9"/>
      <c r="AT173" s="9"/>
    </row>
    <row r="174" spans="41:46">
      <c r="AO174" s="9"/>
      <c r="AP174" s="9"/>
      <c r="AQ174" s="9"/>
      <c r="AR174" s="9"/>
      <c r="AS174" s="9"/>
      <c r="AT174" s="9"/>
    </row>
    <row r="175" spans="41:46">
      <c r="AO175" s="9"/>
      <c r="AP175" s="9"/>
      <c r="AQ175" s="9"/>
      <c r="AR175" s="9"/>
      <c r="AS175" s="9"/>
      <c r="AT175" s="9"/>
    </row>
    <row r="176" spans="41:46">
      <c r="AO176" s="9"/>
      <c r="AP176" s="9"/>
      <c r="AQ176" s="9"/>
      <c r="AR176" s="9"/>
      <c r="AS176" s="9"/>
      <c r="AT176" s="9"/>
    </row>
    <row r="177" spans="41:46">
      <c r="AO177" s="9"/>
      <c r="AP177" s="9"/>
      <c r="AQ177" s="9"/>
      <c r="AR177" s="9"/>
      <c r="AS177" s="9"/>
      <c r="AT177" s="9"/>
    </row>
    <row r="178" spans="41:46">
      <c r="AO178" s="9"/>
      <c r="AP178" s="9"/>
      <c r="AQ178" s="9"/>
      <c r="AR178" s="9"/>
      <c r="AS178" s="9"/>
      <c r="AT178" s="9"/>
    </row>
    <row r="179" spans="41:46">
      <c r="AO179" s="9"/>
      <c r="AP179" s="9"/>
      <c r="AQ179" s="9"/>
      <c r="AR179" s="9"/>
      <c r="AS179" s="9"/>
      <c r="AT179" s="9"/>
    </row>
    <row r="180" spans="41:46">
      <c r="AO180" s="9"/>
      <c r="AP180" s="9"/>
      <c r="AQ180" s="9"/>
      <c r="AR180" s="9"/>
      <c r="AS180" s="9"/>
      <c r="AT180" s="9"/>
    </row>
    <row r="181" spans="41:46">
      <c r="AO181" s="9"/>
      <c r="AP181" s="9"/>
      <c r="AQ181" s="9"/>
      <c r="AR181" s="9"/>
      <c r="AS181" s="9"/>
      <c r="AT181" s="9"/>
    </row>
    <row r="182" spans="41:46">
      <c r="AO182" s="9"/>
      <c r="AP182" s="9"/>
      <c r="AQ182" s="9"/>
      <c r="AR182" s="9"/>
      <c r="AS182" s="9"/>
      <c r="AT182" s="9"/>
    </row>
    <row r="183" spans="41:46">
      <c r="AO183" s="9"/>
      <c r="AP183" s="9"/>
      <c r="AQ183" s="9"/>
      <c r="AR183" s="9"/>
      <c r="AS183" s="9"/>
      <c r="AT183" s="9"/>
    </row>
    <row r="184" spans="41:46">
      <c r="AO184" s="9"/>
      <c r="AP184" s="9"/>
      <c r="AQ184" s="9"/>
      <c r="AR184" s="9"/>
      <c r="AS184" s="9"/>
      <c r="AT184" s="9"/>
    </row>
    <row r="185" spans="41:46">
      <c r="AO185" s="9"/>
      <c r="AP185" s="9"/>
      <c r="AQ185" s="9"/>
      <c r="AR185" s="9"/>
      <c r="AS185" s="9"/>
      <c r="AT185" s="9"/>
    </row>
    <row r="186" spans="41:46">
      <c r="AO186" s="9"/>
      <c r="AP186" s="9"/>
      <c r="AQ186" s="9"/>
      <c r="AR186" s="9"/>
      <c r="AS186" s="9"/>
      <c r="AT186" s="9"/>
    </row>
    <row r="187" spans="41:46">
      <c r="AO187" s="9"/>
      <c r="AP187" s="9"/>
      <c r="AQ187" s="9"/>
      <c r="AR187" s="9"/>
      <c r="AS187" s="9"/>
      <c r="AT187" s="9"/>
    </row>
    <row r="188" spans="41:46">
      <c r="AO188" s="9"/>
      <c r="AP188" s="9"/>
      <c r="AQ188" s="9"/>
      <c r="AR188" s="9"/>
      <c r="AS188" s="9"/>
      <c r="AT188" s="9"/>
    </row>
    <row r="189" spans="41:46">
      <c r="AO189" s="9"/>
      <c r="AP189" s="9"/>
      <c r="AQ189" s="9"/>
      <c r="AR189" s="9"/>
      <c r="AS189" s="9"/>
      <c r="AT189" s="9"/>
    </row>
    <row r="190" spans="41:46">
      <c r="AO190" s="9"/>
      <c r="AP190" s="9"/>
      <c r="AQ190" s="9"/>
      <c r="AR190" s="9"/>
      <c r="AS190" s="9"/>
      <c r="AT190" s="9"/>
    </row>
    <row r="191" spans="41:46">
      <c r="AO191" s="9"/>
      <c r="AP191" s="9"/>
      <c r="AQ191" s="9"/>
      <c r="AR191" s="9"/>
      <c r="AS191" s="9"/>
      <c r="AT191" s="9"/>
    </row>
    <row r="192" spans="41:46">
      <c r="AO192" s="9"/>
      <c r="AP192" s="9"/>
      <c r="AQ192" s="9"/>
      <c r="AR192" s="9"/>
      <c r="AS192" s="9"/>
      <c r="AT192" s="9"/>
    </row>
    <row r="193" spans="41:46">
      <c r="AO193" s="9"/>
      <c r="AP193" s="9"/>
      <c r="AQ193" s="9"/>
      <c r="AR193" s="9"/>
      <c r="AS193" s="9"/>
      <c r="AT193" s="9"/>
    </row>
    <row r="194" spans="41:46">
      <c r="AO194" s="9"/>
      <c r="AP194" s="9"/>
      <c r="AQ194" s="9"/>
      <c r="AR194" s="9"/>
      <c r="AS194" s="9"/>
      <c r="AT194" s="9"/>
    </row>
    <row r="195" spans="41:46">
      <c r="AO195" s="9"/>
      <c r="AP195" s="9"/>
      <c r="AQ195" s="9"/>
      <c r="AR195" s="9"/>
      <c r="AS195" s="9"/>
      <c r="AT195" s="9"/>
    </row>
    <row r="196" spans="41:46">
      <c r="AO196" s="9"/>
      <c r="AP196" s="9"/>
      <c r="AQ196" s="9"/>
      <c r="AR196" s="9"/>
      <c r="AS196" s="9"/>
      <c r="AT196" s="9"/>
    </row>
    <row r="197" spans="41:46">
      <c r="AO197" s="9"/>
      <c r="AP197" s="9"/>
      <c r="AQ197" s="9"/>
      <c r="AR197" s="9"/>
      <c r="AS197" s="9"/>
      <c r="AT197" s="9"/>
    </row>
    <row r="198" spans="41:46">
      <c r="AO198" s="9"/>
      <c r="AP198" s="9"/>
      <c r="AQ198" s="9"/>
      <c r="AR198" s="9"/>
      <c r="AS198" s="9"/>
      <c r="AT198" s="9"/>
    </row>
    <row r="199" spans="41:46">
      <c r="AO199" s="9"/>
      <c r="AP199" s="9"/>
      <c r="AQ199" s="9"/>
      <c r="AR199" s="9"/>
      <c r="AS199" s="9"/>
      <c r="AT199" s="9"/>
    </row>
    <row r="200" spans="41:46">
      <c r="AO200" s="9"/>
      <c r="AP200" s="9"/>
      <c r="AQ200" s="9"/>
      <c r="AR200" s="9"/>
      <c r="AS200" s="9"/>
      <c r="AT200" s="9"/>
    </row>
    <row r="201" spans="41:46">
      <c r="AO201" s="9"/>
      <c r="AP201" s="9"/>
      <c r="AQ201" s="9"/>
      <c r="AR201" s="9"/>
      <c r="AS201" s="9"/>
      <c r="AT201" s="9"/>
    </row>
    <row r="202" spans="41:46">
      <c r="AO202" s="9"/>
      <c r="AP202" s="9"/>
      <c r="AQ202" s="9"/>
      <c r="AR202" s="9"/>
      <c r="AS202" s="9"/>
      <c r="AT202" s="9"/>
    </row>
    <row r="203" spans="41:46">
      <c r="AO203" s="9"/>
      <c r="AP203" s="9"/>
      <c r="AQ203" s="9"/>
      <c r="AR203" s="9"/>
      <c r="AS203" s="9"/>
      <c r="AT203" s="9"/>
    </row>
    <row r="204" spans="41:46">
      <c r="AO204" s="9"/>
      <c r="AP204" s="9"/>
      <c r="AQ204" s="9"/>
      <c r="AR204" s="9"/>
      <c r="AS204" s="9"/>
      <c r="AT204" s="9"/>
    </row>
    <row r="205" spans="41:46">
      <c r="AO205" s="9"/>
      <c r="AP205" s="9"/>
      <c r="AQ205" s="9"/>
      <c r="AR205" s="9"/>
      <c r="AS205" s="9"/>
      <c r="AT205" s="9"/>
    </row>
    <row r="206" spans="41:46">
      <c r="AO206" s="9"/>
      <c r="AP206" s="9"/>
      <c r="AQ206" s="9"/>
      <c r="AR206" s="9"/>
      <c r="AS206" s="9"/>
      <c r="AT206" s="9"/>
    </row>
    <row r="207" spans="41:46">
      <c r="AO207" s="9"/>
      <c r="AP207" s="9"/>
      <c r="AQ207" s="9"/>
      <c r="AR207" s="9"/>
      <c r="AS207" s="9"/>
      <c r="AT207" s="9"/>
    </row>
    <row r="208" spans="41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9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50"/>
      <c r="N304" s="150"/>
      <c r="O304" s="150"/>
      <c r="P304" s="150"/>
      <c r="Q304" s="150"/>
      <c r="R304" s="150"/>
      <c r="S304" s="150"/>
      <c r="T304" s="1"/>
      <c r="U304" s="1"/>
      <c r="V304" s="148"/>
      <c r="W304" s="148"/>
      <c r="X304" s="148"/>
      <c r="Y304" s="148"/>
      <c r="Z304" s="148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>
      <c r="K305" s="35"/>
    </row>
    <row r="306" spans="1:1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1" spans="37:45">
      <c r="AK321" s="19"/>
      <c r="AL321" s="19"/>
      <c r="AM321" s="19"/>
      <c r="AN321" s="19"/>
      <c r="AO321" s="19"/>
      <c r="AP321" s="19"/>
      <c r="AQ321" s="19"/>
      <c r="AR321" s="19"/>
      <c r="AS321" s="19"/>
    </row>
    <row r="404" spans="36:36">
      <c r="AJ404" s="31"/>
    </row>
    <row r="405" spans="36:36">
      <c r="AJ405" s="31"/>
    </row>
  </sheetData>
  <phoneticPr fontId="20" type="noConversion"/>
  <conditionalFormatting sqref="M1:S1048576">
    <cfRule type="cellIs" dxfId="119" priority="1" operator="equal">
      <formula>"C1"</formula>
    </cfRule>
    <cfRule type="cellIs" dxfId="118" priority="2" operator="equal">
      <formula>"G6"</formula>
    </cfRule>
    <cfRule type="cellIs" dxfId="117" priority="3" operator="equal">
      <formula>"G5"</formula>
    </cfRule>
    <cfRule type="cellIs" dxfId="116" priority="4" operator="equal">
      <formula>"G4"</formula>
    </cfRule>
    <cfRule type="cellIs" dxfId="115" priority="5" operator="equal">
      <formula>"G3"</formula>
    </cfRule>
    <cfRule type="cellIs" dxfId="114" priority="6" operator="equal">
      <formula>"G2"</formula>
    </cfRule>
    <cfRule type="cellIs" dxfId="113" priority="7" operator="equal">
      <formula>"G1"</formula>
    </cfRule>
    <cfRule type="cellIs" dxfId="112" priority="8" operator="equal">
      <formula>"M5"</formula>
    </cfRule>
    <cfRule type="cellIs" dxfId="111" priority="9" operator="equal">
      <formula>"M4"</formula>
    </cfRule>
    <cfRule type="cellIs" dxfId="110" priority="10" operator="equal">
      <formula>"M3"</formula>
    </cfRule>
    <cfRule type="cellIs" dxfId="109" priority="11" operator="equal">
      <formula>"M6"</formula>
    </cfRule>
    <cfRule type="cellIs" dxfId="108" priority="12" operator="equal">
      <formula>"M2"</formula>
    </cfRule>
    <cfRule type="cellIs" dxfId="107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23BF-FD9F-43C7-94D5-CE2F25781604}">
  <sheetPr codeName="工作表8">
    <tabColor theme="3" tint="0.59999389629810485"/>
  </sheetPr>
  <dimension ref="A2:AT405"/>
  <sheetViews>
    <sheetView topLeftCell="A2" zoomScaleNormal="100" workbookViewId="0">
      <selection activeCell="C30" sqref="C30:I30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50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37" width="10.109375" style="1" customWidth="1"/>
    <col min="38" max="45" width="5.33203125" style="1" customWidth="1"/>
    <col min="46" max="16384" width="9" style="1"/>
  </cols>
  <sheetData>
    <row r="2" spans="1:45" s="9" customFormat="1" ht="15.9" customHeight="1">
      <c r="K2" s="33"/>
      <c r="L2" s="9" t="s">
        <v>52</v>
      </c>
      <c r="U2" s="9" t="s">
        <v>219</v>
      </c>
      <c r="AC2" s="9" t="s">
        <v>220</v>
      </c>
      <c r="AD2" s="166"/>
      <c r="AE2" s="166"/>
      <c r="AF2" s="166"/>
      <c r="AG2" s="166"/>
      <c r="AH2" s="166"/>
      <c r="AI2" s="166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50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52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>
      <c r="A4" s="149" t="str" cm="1">
        <f t="array" ref="A4:B29">Overview!$A$42:$B$67</f>
        <v>WW</v>
      </c>
      <c r="B4" s="149" t="str">
        <v>Wild</v>
      </c>
      <c r="C4" s="52">
        <f t="shared" ref="C4:C29" si="0">COUNTIF(M$4:M$304,$A4)</f>
        <v>0</v>
      </c>
      <c r="D4" s="52">
        <f t="shared" ref="D4:I19" si="1">COUNTIF(N$4:N$304,$A4)</f>
        <v>0</v>
      </c>
      <c r="E4" s="52">
        <f t="shared" si="1"/>
        <v>0</v>
      </c>
      <c r="F4" s="52">
        <f t="shared" si="1"/>
        <v>0</v>
      </c>
      <c r="G4" s="52">
        <f t="shared" si="1"/>
        <v>0</v>
      </c>
      <c r="H4" s="52">
        <f t="shared" si="1"/>
        <v>0</v>
      </c>
      <c r="I4" s="52">
        <f t="shared" si="1"/>
        <v>0</v>
      </c>
      <c r="J4" s="149">
        <v>0</v>
      </c>
      <c r="K4" s="34"/>
      <c r="L4" s="15">
        <v>0</v>
      </c>
      <c r="M4" s="156" t="s">
        <v>89</v>
      </c>
      <c r="N4" s="156" t="s">
        <v>89</v>
      </c>
      <c r="O4" s="156" t="s">
        <v>26</v>
      </c>
      <c r="P4" s="156" t="s">
        <v>64</v>
      </c>
      <c r="Q4" s="156" t="s">
        <v>18</v>
      </c>
      <c r="R4" s="156" t="s">
        <v>24</v>
      </c>
      <c r="S4" s="157" t="s">
        <v>24</v>
      </c>
      <c r="U4" s="158">
        <f t="shared" ref="U4:AA19" si="2">VLOOKUP(M4, $A$4:$J$29, 9, 0)</f>
        <v>7</v>
      </c>
      <c r="V4" s="158">
        <f t="shared" si="2"/>
        <v>7</v>
      </c>
      <c r="W4" s="158">
        <f t="shared" si="2"/>
        <v>7</v>
      </c>
      <c r="X4" s="158">
        <f t="shared" si="2"/>
        <v>14</v>
      </c>
      <c r="Y4" s="158">
        <f t="shared" si="2"/>
        <v>10</v>
      </c>
      <c r="Z4" s="158">
        <f t="shared" si="2"/>
        <v>11</v>
      </c>
      <c r="AA4" s="158">
        <f t="shared" si="2"/>
        <v>11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49">
        <v>3</v>
      </c>
      <c r="AK4" s="10" t="s">
        <v>68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4"/>
      <c r="L5" s="14">
        <v>1</v>
      </c>
      <c r="M5" s="38" t="s">
        <v>26</v>
      </c>
      <c r="N5" s="38" t="s">
        <v>28</v>
      </c>
      <c r="O5" s="38" t="s">
        <v>26</v>
      </c>
      <c r="P5" s="38" t="s">
        <v>24</v>
      </c>
      <c r="Q5" s="38" t="s">
        <v>228</v>
      </c>
      <c r="R5" s="38" t="s">
        <v>26</v>
      </c>
      <c r="S5" s="24" t="s">
        <v>24</v>
      </c>
      <c r="U5" s="37">
        <f t="shared" si="2"/>
        <v>7</v>
      </c>
      <c r="V5" s="37">
        <f t="shared" si="2"/>
        <v>15</v>
      </c>
      <c r="W5" s="37">
        <f t="shared" si="2"/>
        <v>7</v>
      </c>
      <c r="X5" s="37">
        <f t="shared" si="2"/>
        <v>11</v>
      </c>
      <c r="Y5" s="37">
        <f t="shared" si="2"/>
        <v>0</v>
      </c>
      <c r="Z5" s="37">
        <f t="shared" si="2"/>
        <v>7</v>
      </c>
      <c r="AA5" s="37">
        <f t="shared" si="2"/>
        <v>11</v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4">
        <v>1</v>
      </c>
      <c r="AK5" s="37" t="s">
        <v>19</v>
      </c>
      <c r="AL5" s="37">
        <v>10</v>
      </c>
      <c r="AM5" s="37">
        <v>10</v>
      </c>
      <c r="AN5" s="37">
        <v>10</v>
      </c>
      <c r="AO5" s="37">
        <v>10</v>
      </c>
      <c r="AP5" s="37">
        <v>10</v>
      </c>
      <c r="AQ5" s="37">
        <v>10</v>
      </c>
      <c r="AR5" s="37">
        <v>5</v>
      </c>
      <c r="AS5" s="4">
        <v>1</v>
      </c>
    </row>
    <row r="6" spans="1:45" ht="15.9" customHeight="1">
      <c r="A6" s="151" t="str">
        <v>M1</v>
      </c>
      <c r="B6" s="151" t="str">
        <v>M1</v>
      </c>
      <c r="C6" s="153">
        <f t="shared" si="0"/>
        <v>0</v>
      </c>
      <c r="D6" s="153">
        <f t="shared" si="1"/>
        <v>0</v>
      </c>
      <c r="E6" s="153">
        <f t="shared" si="1"/>
        <v>0</v>
      </c>
      <c r="F6" s="153">
        <f t="shared" si="1"/>
        <v>0</v>
      </c>
      <c r="G6" s="153">
        <f t="shared" si="1"/>
        <v>0</v>
      </c>
      <c r="H6" s="153">
        <f t="shared" si="1"/>
        <v>0</v>
      </c>
      <c r="I6" s="153">
        <f t="shared" si="1"/>
        <v>0</v>
      </c>
      <c r="J6" s="151">
        <v>2</v>
      </c>
      <c r="L6" s="15">
        <v>2</v>
      </c>
      <c r="M6" s="38" t="s">
        <v>28</v>
      </c>
      <c r="N6" s="38" t="s">
        <v>29</v>
      </c>
      <c r="O6" s="38" t="s">
        <v>21</v>
      </c>
      <c r="P6" s="38" t="s">
        <v>24</v>
      </c>
      <c r="Q6" s="38" t="s">
        <v>64</v>
      </c>
      <c r="R6" s="38" t="s">
        <v>64</v>
      </c>
      <c r="S6" s="24" t="s">
        <v>24</v>
      </c>
      <c r="U6" s="37">
        <f t="shared" si="2"/>
        <v>15</v>
      </c>
      <c r="V6" s="37">
        <f t="shared" si="2"/>
        <v>19</v>
      </c>
      <c r="W6" s="37">
        <f t="shared" si="2"/>
        <v>12</v>
      </c>
      <c r="X6" s="37">
        <f t="shared" si="2"/>
        <v>11</v>
      </c>
      <c r="Y6" s="37">
        <f t="shared" si="2"/>
        <v>14</v>
      </c>
      <c r="Z6" s="37">
        <f t="shared" si="2"/>
        <v>14</v>
      </c>
      <c r="AA6" s="37">
        <f t="shared" si="2"/>
        <v>11</v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4" t="s">
        <v>20</v>
      </c>
      <c r="AL6" s="154">
        <v>8</v>
      </c>
      <c r="AM6" s="154">
        <v>8</v>
      </c>
      <c r="AN6" s="154">
        <v>8</v>
      </c>
      <c r="AO6" s="154">
        <v>8</v>
      </c>
      <c r="AP6" s="154">
        <v>8</v>
      </c>
      <c r="AQ6" s="154">
        <v>8</v>
      </c>
      <c r="AR6" s="154">
        <v>8</v>
      </c>
      <c r="AS6" s="151">
        <v>2</v>
      </c>
    </row>
    <row r="7" spans="1:45" ht="15.9" customHeight="1">
      <c r="A7" s="151" t="str">
        <v>M2</v>
      </c>
      <c r="B7" s="151" t="str">
        <v>M2</v>
      </c>
      <c r="C7" s="153">
        <f t="shared" si="0"/>
        <v>1</v>
      </c>
      <c r="D7" s="153">
        <f t="shared" si="1"/>
        <v>12</v>
      </c>
      <c r="E7" s="153">
        <f t="shared" si="1"/>
        <v>7</v>
      </c>
      <c r="F7" s="153">
        <f t="shared" si="1"/>
        <v>3</v>
      </c>
      <c r="G7" s="153">
        <f t="shared" si="1"/>
        <v>9</v>
      </c>
      <c r="H7" s="153">
        <f t="shared" si="1"/>
        <v>0</v>
      </c>
      <c r="I7" s="153">
        <f t="shared" si="1"/>
        <v>12</v>
      </c>
      <c r="J7" s="151">
        <v>3</v>
      </c>
      <c r="L7" s="14">
        <v>3</v>
      </c>
      <c r="M7" s="38" t="s">
        <v>29</v>
      </c>
      <c r="N7" s="38" t="s">
        <v>27</v>
      </c>
      <c r="O7" s="38" t="s">
        <v>24</v>
      </c>
      <c r="P7" s="38" t="s">
        <v>24</v>
      </c>
      <c r="Q7" s="38" t="s">
        <v>64</v>
      </c>
      <c r="R7" s="38" t="s">
        <v>29</v>
      </c>
      <c r="S7" s="24" t="s">
        <v>24</v>
      </c>
      <c r="U7" s="37">
        <f t="shared" si="2"/>
        <v>19</v>
      </c>
      <c r="V7" s="37">
        <f t="shared" si="2"/>
        <v>12</v>
      </c>
      <c r="W7" s="37">
        <f t="shared" si="2"/>
        <v>11</v>
      </c>
      <c r="X7" s="37">
        <f t="shared" si="2"/>
        <v>11</v>
      </c>
      <c r="Y7" s="37">
        <f t="shared" si="2"/>
        <v>14</v>
      </c>
      <c r="Z7" s="37">
        <f t="shared" si="2"/>
        <v>19</v>
      </c>
      <c r="AA7" s="37">
        <f t="shared" si="2"/>
        <v>11</v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4" t="s">
        <v>21</v>
      </c>
      <c r="AL7" s="154">
        <v>10</v>
      </c>
      <c r="AM7" s="154">
        <v>13</v>
      </c>
      <c r="AN7" s="154">
        <v>10</v>
      </c>
      <c r="AO7" s="154">
        <v>5</v>
      </c>
      <c r="AP7" s="154">
        <v>20</v>
      </c>
      <c r="AQ7" s="154">
        <v>5</v>
      </c>
      <c r="AR7" s="154">
        <v>10</v>
      </c>
      <c r="AS7" s="151">
        <v>3</v>
      </c>
    </row>
    <row r="8" spans="1:45" ht="15.9" customHeight="1">
      <c r="A8" s="151" t="str">
        <v>M3</v>
      </c>
      <c r="B8" s="151" t="str">
        <v>M3</v>
      </c>
      <c r="C8" s="153">
        <f t="shared" si="0"/>
        <v>3</v>
      </c>
      <c r="D8" s="153">
        <f t="shared" si="1"/>
        <v>1</v>
      </c>
      <c r="E8" s="153">
        <f t="shared" si="1"/>
        <v>3</v>
      </c>
      <c r="F8" s="153">
        <f t="shared" si="1"/>
        <v>8</v>
      </c>
      <c r="G8" s="153">
        <f t="shared" si="1"/>
        <v>3</v>
      </c>
      <c r="H8" s="153">
        <f t="shared" si="1"/>
        <v>3</v>
      </c>
      <c r="I8" s="153">
        <f t="shared" si="1"/>
        <v>14</v>
      </c>
      <c r="J8" s="151">
        <v>4</v>
      </c>
      <c r="L8" s="15">
        <v>4</v>
      </c>
      <c r="M8" s="38" t="s">
        <v>26</v>
      </c>
      <c r="N8" s="38" t="s">
        <v>29</v>
      </c>
      <c r="O8" s="38" t="s">
        <v>226</v>
      </c>
      <c r="P8" s="38" t="s">
        <v>27</v>
      </c>
      <c r="Q8" s="38" t="s">
        <v>26</v>
      </c>
      <c r="R8" s="38" t="s">
        <v>29</v>
      </c>
      <c r="S8" s="24" t="s">
        <v>21</v>
      </c>
      <c r="U8" s="37">
        <f t="shared" si="2"/>
        <v>7</v>
      </c>
      <c r="V8" s="37">
        <f t="shared" si="2"/>
        <v>19</v>
      </c>
      <c r="W8" s="37">
        <f t="shared" si="2"/>
        <v>0</v>
      </c>
      <c r="X8" s="37">
        <f t="shared" si="2"/>
        <v>12</v>
      </c>
      <c r="Y8" s="37">
        <f t="shared" si="2"/>
        <v>7</v>
      </c>
      <c r="Z8" s="37">
        <f t="shared" si="2"/>
        <v>19</v>
      </c>
      <c r="AA8" s="37">
        <f t="shared" si="2"/>
        <v>12</v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4">
        <v>3</v>
      </c>
      <c r="AK8" s="154" t="s">
        <v>17</v>
      </c>
      <c r="AL8" s="154">
        <v>15</v>
      </c>
      <c r="AM8" s="154">
        <v>10</v>
      </c>
      <c r="AN8" s="154">
        <v>15</v>
      </c>
      <c r="AO8" s="154">
        <v>5</v>
      </c>
      <c r="AP8" s="154">
        <v>18</v>
      </c>
      <c r="AQ8" s="154">
        <v>20</v>
      </c>
      <c r="AR8" s="154">
        <v>10</v>
      </c>
      <c r="AS8" s="151">
        <v>4</v>
      </c>
    </row>
    <row r="9" spans="1:45" ht="15.9" customHeight="1">
      <c r="A9" s="151" t="str">
        <v>M4</v>
      </c>
      <c r="B9" s="151" t="str">
        <v>M4</v>
      </c>
      <c r="C9" s="153">
        <f t="shared" si="0"/>
        <v>8</v>
      </c>
      <c r="D9" s="153">
        <f t="shared" si="1"/>
        <v>1</v>
      </c>
      <c r="E9" s="153">
        <f t="shared" si="1"/>
        <v>16</v>
      </c>
      <c r="F9" s="153">
        <f t="shared" si="1"/>
        <v>3</v>
      </c>
      <c r="G9" s="153">
        <f t="shared" si="1"/>
        <v>15</v>
      </c>
      <c r="H9" s="153">
        <f t="shared" si="1"/>
        <v>5</v>
      </c>
      <c r="I9" s="153">
        <f t="shared" si="1"/>
        <v>10</v>
      </c>
      <c r="J9" s="151">
        <v>5</v>
      </c>
      <c r="L9" s="14">
        <v>5</v>
      </c>
      <c r="M9" s="38" t="s">
        <v>28</v>
      </c>
      <c r="N9" s="38" t="s">
        <v>21</v>
      </c>
      <c r="O9" s="38" t="s">
        <v>17</v>
      </c>
      <c r="P9" s="38" t="s">
        <v>27</v>
      </c>
      <c r="Q9" s="38" t="s">
        <v>26</v>
      </c>
      <c r="R9" s="38" t="s">
        <v>64</v>
      </c>
      <c r="S9" s="24" t="s">
        <v>21</v>
      </c>
      <c r="U9" s="37">
        <f t="shared" si="2"/>
        <v>15</v>
      </c>
      <c r="V9" s="37">
        <f t="shared" si="2"/>
        <v>12</v>
      </c>
      <c r="W9" s="37">
        <f t="shared" si="2"/>
        <v>14</v>
      </c>
      <c r="X9" s="37">
        <f t="shared" si="2"/>
        <v>12</v>
      </c>
      <c r="Y9" s="37">
        <f t="shared" si="2"/>
        <v>7</v>
      </c>
      <c r="Z9" s="37">
        <f t="shared" si="2"/>
        <v>14</v>
      </c>
      <c r="AA9" s="37">
        <f t="shared" si="2"/>
        <v>12</v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4" t="s">
        <v>18</v>
      </c>
      <c r="AL9" s="154">
        <v>10</v>
      </c>
      <c r="AM9" s="154">
        <v>20</v>
      </c>
      <c r="AN9" s="154">
        <v>20</v>
      </c>
      <c r="AO9" s="154">
        <v>20</v>
      </c>
      <c r="AP9" s="154">
        <v>10</v>
      </c>
      <c r="AQ9" s="154">
        <v>20</v>
      </c>
      <c r="AR9" s="154">
        <v>10</v>
      </c>
      <c r="AS9" s="151">
        <v>5</v>
      </c>
    </row>
    <row r="10" spans="1:45" ht="15.9" customHeight="1">
      <c r="A10" s="151" t="str">
        <v>M5</v>
      </c>
      <c r="B10" s="151" t="str">
        <v>M5</v>
      </c>
      <c r="C10" s="153">
        <f t="shared" si="0"/>
        <v>8</v>
      </c>
      <c r="D10" s="153">
        <f t="shared" si="1"/>
        <v>17</v>
      </c>
      <c r="E10" s="153">
        <f t="shared" si="1"/>
        <v>1</v>
      </c>
      <c r="F10" s="153">
        <f t="shared" si="1"/>
        <v>26</v>
      </c>
      <c r="G10" s="153">
        <f t="shared" si="1"/>
        <v>6</v>
      </c>
      <c r="H10" s="153">
        <f t="shared" si="1"/>
        <v>27</v>
      </c>
      <c r="I10" s="153">
        <f t="shared" si="1"/>
        <v>14</v>
      </c>
      <c r="J10" s="151">
        <v>6</v>
      </c>
      <c r="L10" s="15">
        <v>6</v>
      </c>
      <c r="M10" s="38" t="s">
        <v>26</v>
      </c>
      <c r="N10" s="38" t="s">
        <v>21</v>
      </c>
      <c r="O10" s="38" t="s">
        <v>24</v>
      </c>
      <c r="P10" s="38" t="s">
        <v>27</v>
      </c>
      <c r="Q10" s="38" t="s">
        <v>89</v>
      </c>
      <c r="R10" s="38" t="s">
        <v>64</v>
      </c>
      <c r="S10" s="24" t="s">
        <v>21</v>
      </c>
      <c r="U10" s="37">
        <f t="shared" si="2"/>
        <v>7</v>
      </c>
      <c r="V10" s="37">
        <f t="shared" si="2"/>
        <v>12</v>
      </c>
      <c r="W10" s="37">
        <f t="shared" si="2"/>
        <v>11</v>
      </c>
      <c r="X10" s="37">
        <f t="shared" si="2"/>
        <v>12</v>
      </c>
      <c r="Y10" s="37">
        <f t="shared" si="2"/>
        <v>7</v>
      </c>
      <c r="Z10" s="37">
        <f t="shared" si="2"/>
        <v>14</v>
      </c>
      <c r="AA10" s="37">
        <f t="shared" si="2"/>
        <v>12</v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4">
        <v>1</v>
      </c>
      <c r="AK10" s="154" t="s">
        <v>64</v>
      </c>
      <c r="AL10" s="154">
        <v>50</v>
      </c>
      <c r="AM10" s="154">
        <v>50</v>
      </c>
      <c r="AN10" s="154">
        <v>50</v>
      </c>
      <c r="AO10" s="154">
        <v>50</v>
      </c>
      <c r="AP10" s="154">
        <v>50</v>
      </c>
      <c r="AQ10" s="154">
        <v>50</v>
      </c>
      <c r="AR10" s="154">
        <v>10</v>
      </c>
      <c r="AS10" s="151">
        <v>6</v>
      </c>
    </row>
    <row r="11" spans="1:45" ht="15.9" customHeight="1">
      <c r="A11" s="151" t="str">
        <v>M6</v>
      </c>
      <c r="B11" s="151" t="str">
        <v>M6</v>
      </c>
      <c r="C11" s="153">
        <f t="shared" si="0"/>
        <v>13</v>
      </c>
      <c r="D11" s="153">
        <f t="shared" si="1"/>
        <v>10</v>
      </c>
      <c r="E11" s="153">
        <f t="shared" si="1"/>
        <v>1</v>
      </c>
      <c r="F11" s="153">
        <f t="shared" si="1"/>
        <v>3</v>
      </c>
      <c r="G11" s="153">
        <f t="shared" si="1"/>
        <v>28</v>
      </c>
      <c r="H11" s="153">
        <f t="shared" si="1"/>
        <v>3</v>
      </c>
      <c r="I11" s="153">
        <f t="shared" si="1"/>
        <v>7</v>
      </c>
      <c r="J11" s="151">
        <v>7</v>
      </c>
      <c r="L11" s="14">
        <v>7</v>
      </c>
      <c r="M11" s="38" t="s">
        <v>29</v>
      </c>
      <c r="N11" s="38" t="s">
        <v>89</v>
      </c>
      <c r="O11" s="38" t="s">
        <v>26</v>
      </c>
      <c r="P11" s="38" t="s">
        <v>29</v>
      </c>
      <c r="Q11" s="38" t="s">
        <v>28</v>
      </c>
      <c r="R11" s="38" t="s">
        <v>64</v>
      </c>
      <c r="S11" s="24" t="s">
        <v>21</v>
      </c>
      <c r="U11" s="37">
        <f t="shared" si="2"/>
        <v>19</v>
      </c>
      <c r="V11" s="37">
        <f t="shared" si="2"/>
        <v>7</v>
      </c>
      <c r="W11" s="37">
        <f t="shared" si="2"/>
        <v>7</v>
      </c>
      <c r="X11" s="37">
        <f t="shared" si="2"/>
        <v>19</v>
      </c>
      <c r="Y11" s="37">
        <f t="shared" si="2"/>
        <v>15</v>
      </c>
      <c r="Z11" s="37">
        <f t="shared" si="2"/>
        <v>14</v>
      </c>
      <c r="AA11" s="37">
        <f t="shared" si="2"/>
        <v>12</v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4" t="s">
        <v>89</v>
      </c>
      <c r="AL11" s="154">
        <v>50</v>
      </c>
      <c r="AM11" s="154">
        <v>50</v>
      </c>
      <c r="AN11" s="154">
        <v>50</v>
      </c>
      <c r="AO11" s="154">
        <v>50</v>
      </c>
      <c r="AP11" s="154">
        <v>50</v>
      </c>
      <c r="AQ11" s="154">
        <v>50</v>
      </c>
      <c r="AR11" s="154">
        <v>10</v>
      </c>
      <c r="AS11" s="151">
        <v>7</v>
      </c>
    </row>
    <row r="12" spans="1:45" ht="15.9" customHeight="1">
      <c r="A12" s="24" t="str">
        <v>A</v>
      </c>
      <c r="B12" s="37" t="str">
        <v>A</v>
      </c>
      <c r="C12" s="10">
        <f t="shared" si="0"/>
        <v>2</v>
      </c>
      <c r="D12" s="10">
        <f t="shared" si="1"/>
        <v>12</v>
      </c>
      <c r="E12" s="10">
        <f t="shared" si="1"/>
        <v>21</v>
      </c>
      <c r="F12" s="10">
        <f t="shared" si="1"/>
        <v>10</v>
      </c>
      <c r="G12" s="10">
        <f t="shared" si="1"/>
        <v>3</v>
      </c>
      <c r="H12" s="10">
        <f t="shared" si="1"/>
        <v>29</v>
      </c>
      <c r="I12" s="10">
        <f t="shared" si="1"/>
        <v>11</v>
      </c>
      <c r="J12" s="4">
        <v>8</v>
      </c>
      <c r="L12" s="15">
        <v>8</v>
      </c>
      <c r="M12" s="38" t="s">
        <v>64</v>
      </c>
      <c r="N12" s="38" t="s">
        <v>89</v>
      </c>
      <c r="O12" s="38" t="s">
        <v>26</v>
      </c>
      <c r="P12" s="38" t="s">
        <v>64</v>
      </c>
      <c r="Q12" s="38" t="s">
        <v>28</v>
      </c>
      <c r="R12" s="38" t="s">
        <v>89</v>
      </c>
      <c r="S12" s="24" t="s">
        <v>17</v>
      </c>
      <c r="U12" s="37">
        <f t="shared" si="2"/>
        <v>14</v>
      </c>
      <c r="V12" s="37">
        <f t="shared" si="2"/>
        <v>7</v>
      </c>
      <c r="W12" s="37">
        <f t="shared" si="2"/>
        <v>7</v>
      </c>
      <c r="X12" s="37">
        <f t="shared" si="2"/>
        <v>14</v>
      </c>
      <c r="Y12" s="37">
        <f t="shared" si="2"/>
        <v>15</v>
      </c>
      <c r="Z12" s="37">
        <f t="shared" si="2"/>
        <v>7</v>
      </c>
      <c r="AA12" s="37">
        <f t="shared" si="2"/>
        <v>14</v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4">
        <v>3</v>
      </c>
      <c r="AK12" s="37" t="s">
        <v>24</v>
      </c>
      <c r="AL12" s="37">
        <v>10</v>
      </c>
      <c r="AM12" s="37">
        <v>10</v>
      </c>
      <c r="AN12" s="37">
        <v>40</v>
      </c>
      <c r="AO12" s="37">
        <v>1</v>
      </c>
      <c r="AP12" s="37">
        <v>40</v>
      </c>
      <c r="AQ12" s="37">
        <v>1</v>
      </c>
      <c r="AR12" s="37">
        <v>10</v>
      </c>
      <c r="AS12" s="4">
        <v>8</v>
      </c>
    </row>
    <row r="13" spans="1:45" ht="15.9" customHeight="1">
      <c r="A13" s="24" t="str">
        <v>K</v>
      </c>
      <c r="B13" s="37" t="str">
        <v>K</v>
      </c>
      <c r="C13" s="10">
        <f t="shared" si="0"/>
        <v>19</v>
      </c>
      <c r="D13" s="10">
        <f t="shared" si="1"/>
        <v>2</v>
      </c>
      <c r="E13" s="10">
        <f t="shared" si="1"/>
        <v>19</v>
      </c>
      <c r="F13" s="10">
        <f t="shared" si="1"/>
        <v>4</v>
      </c>
      <c r="G13" s="10">
        <f t="shared" si="1"/>
        <v>16</v>
      </c>
      <c r="H13" s="10">
        <f t="shared" si="1"/>
        <v>7</v>
      </c>
      <c r="I13" s="10">
        <f t="shared" si="1"/>
        <v>7</v>
      </c>
      <c r="J13" s="4">
        <v>9</v>
      </c>
      <c r="L13" s="14">
        <v>9</v>
      </c>
      <c r="M13" s="38" t="s">
        <v>28</v>
      </c>
      <c r="N13" s="38" t="s">
        <v>230</v>
      </c>
      <c r="O13" s="38" t="s">
        <v>17</v>
      </c>
      <c r="P13" s="38" t="s">
        <v>27</v>
      </c>
      <c r="Q13" s="38" t="s">
        <v>89</v>
      </c>
      <c r="R13" s="38" t="s">
        <v>64</v>
      </c>
      <c r="S13" s="24" t="s">
        <v>17</v>
      </c>
      <c r="U13" s="37">
        <f t="shared" si="2"/>
        <v>15</v>
      </c>
      <c r="V13" s="37">
        <f t="shared" si="2"/>
        <v>0</v>
      </c>
      <c r="W13" s="37">
        <f t="shared" si="2"/>
        <v>14</v>
      </c>
      <c r="X13" s="37">
        <f t="shared" si="2"/>
        <v>12</v>
      </c>
      <c r="Y13" s="37">
        <f t="shared" si="2"/>
        <v>7</v>
      </c>
      <c r="Z13" s="37">
        <f t="shared" si="2"/>
        <v>14</v>
      </c>
      <c r="AA13" s="37">
        <f t="shared" si="2"/>
        <v>14</v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4">
        <v>1</v>
      </c>
      <c r="AK13" s="37" t="s">
        <v>26</v>
      </c>
      <c r="AL13" s="37">
        <v>40</v>
      </c>
      <c r="AM13" s="37">
        <v>8</v>
      </c>
      <c r="AN13" s="37">
        <v>25</v>
      </c>
      <c r="AO13" s="37">
        <v>10</v>
      </c>
      <c r="AP13" s="37">
        <v>1</v>
      </c>
      <c r="AQ13" s="37">
        <v>40</v>
      </c>
      <c r="AR13" s="37">
        <v>10</v>
      </c>
      <c r="AS13" s="4">
        <v>9</v>
      </c>
    </row>
    <row r="14" spans="1:45" ht="15.9" customHeight="1">
      <c r="A14" s="24" t="str">
        <v>Q</v>
      </c>
      <c r="B14" s="37" t="str">
        <v>Q</v>
      </c>
      <c r="C14" s="10">
        <f t="shared" si="0"/>
        <v>14</v>
      </c>
      <c r="D14" s="10">
        <f t="shared" si="1"/>
        <v>27</v>
      </c>
      <c r="E14" s="10">
        <f t="shared" si="1"/>
        <v>2</v>
      </c>
      <c r="F14" s="10">
        <f t="shared" si="1"/>
        <v>25</v>
      </c>
      <c r="G14" s="10">
        <f t="shared" si="1"/>
        <v>7</v>
      </c>
      <c r="H14" s="10">
        <f t="shared" si="1"/>
        <v>24</v>
      </c>
      <c r="I14" s="10">
        <f t="shared" si="1"/>
        <v>12</v>
      </c>
      <c r="J14" s="4">
        <v>10</v>
      </c>
      <c r="L14" s="15">
        <v>10</v>
      </c>
      <c r="M14" s="38" t="s">
        <v>28</v>
      </c>
      <c r="N14" s="38" t="s">
        <v>64</v>
      </c>
      <c r="O14" s="38" t="s">
        <v>28</v>
      </c>
      <c r="P14" s="38" t="s">
        <v>230</v>
      </c>
      <c r="Q14" s="38" t="s">
        <v>89</v>
      </c>
      <c r="R14" s="38" t="s">
        <v>64</v>
      </c>
      <c r="S14" s="24" t="s">
        <v>17</v>
      </c>
      <c r="U14" s="37">
        <f t="shared" si="2"/>
        <v>15</v>
      </c>
      <c r="V14" s="37">
        <f t="shared" si="2"/>
        <v>14</v>
      </c>
      <c r="W14" s="37">
        <f t="shared" si="2"/>
        <v>15</v>
      </c>
      <c r="X14" s="37">
        <f t="shared" si="2"/>
        <v>0</v>
      </c>
      <c r="Y14" s="37">
        <f t="shared" si="2"/>
        <v>7</v>
      </c>
      <c r="Z14" s="37">
        <f t="shared" si="2"/>
        <v>14</v>
      </c>
      <c r="AA14" s="37">
        <f t="shared" si="2"/>
        <v>14</v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10</v>
      </c>
      <c r="AM14" s="37">
        <v>40</v>
      </c>
      <c r="AN14" s="37">
        <v>40</v>
      </c>
      <c r="AO14" s="37">
        <v>10</v>
      </c>
      <c r="AP14" s="37">
        <v>40</v>
      </c>
      <c r="AQ14" s="37">
        <v>1</v>
      </c>
      <c r="AR14" s="37">
        <v>10</v>
      </c>
      <c r="AS14" s="4">
        <v>10</v>
      </c>
    </row>
    <row r="15" spans="1:45" ht="15.9" customHeight="1">
      <c r="A15" s="24" t="str">
        <v>J</v>
      </c>
      <c r="B15" s="37" t="str">
        <v>J</v>
      </c>
      <c r="C15" s="10">
        <f t="shared" si="0"/>
        <v>23</v>
      </c>
      <c r="D15" s="10">
        <f t="shared" si="1"/>
        <v>5</v>
      </c>
      <c r="E15" s="10">
        <f t="shared" si="1"/>
        <v>35</v>
      </c>
      <c r="F15" s="10">
        <f t="shared" si="1"/>
        <v>6</v>
      </c>
      <c r="G15" s="10">
        <f t="shared" si="1"/>
        <v>20</v>
      </c>
      <c r="H15" s="10">
        <f t="shared" si="1"/>
        <v>2</v>
      </c>
      <c r="I15" s="10">
        <f t="shared" si="1"/>
        <v>15</v>
      </c>
      <c r="J15" s="4">
        <v>11</v>
      </c>
      <c r="L15" s="14">
        <v>11</v>
      </c>
      <c r="M15" s="38" t="s">
        <v>29</v>
      </c>
      <c r="N15" s="38" t="s">
        <v>64</v>
      </c>
      <c r="O15" s="38" t="s">
        <v>28</v>
      </c>
      <c r="P15" s="38" t="s">
        <v>234</v>
      </c>
      <c r="Q15" s="38" t="s">
        <v>26</v>
      </c>
      <c r="R15" s="38" t="s">
        <v>89</v>
      </c>
      <c r="S15" s="24" t="s">
        <v>17</v>
      </c>
      <c r="U15" s="37">
        <f t="shared" si="2"/>
        <v>19</v>
      </c>
      <c r="V15" s="37">
        <f t="shared" si="2"/>
        <v>14</v>
      </c>
      <c r="W15" s="37">
        <f t="shared" si="2"/>
        <v>15</v>
      </c>
      <c r="X15" s="37">
        <f t="shared" si="2"/>
        <v>0</v>
      </c>
      <c r="Y15" s="37">
        <f t="shared" si="2"/>
        <v>7</v>
      </c>
      <c r="Z15" s="37">
        <f t="shared" si="2"/>
        <v>7</v>
      </c>
      <c r="AA15" s="37">
        <f t="shared" si="2"/>
        <v>14</v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4">
        <v>1</v>
      </c>
      <c r="AK15" s="37" t="s">
        <v>28</v>
      </c>
      <c r="AL15" s="37">
        <v>40</v>
      </c>
      <c r="AM15" s="37">
        <v>40</v>
      </c>
      <c r="AN15" s="37">
        <v>40</v>
      </c>
      <c r="AO15" s="37">
        <v>1</v>
      </c>
      <c r="AP15" s="37">
        <v>1</v>
      </c>
      <c r="AQ15" s="37">
        <v>1</v>
      </c>
      <c r="AR15" s="37">
        <v>10</v>
      </c>
      <c r="AS15" s="4">
        <v>11</v>
      </c>
    </row>
    <row r="16" spans="1:45" ht="15.9" customHeight="1">
      <c r="A16" s="37" t="str">
        <v>TE</v>
      </c>
      <c r="B16" s="37" t="str">
        <v>TE</v>
      </c>
      <c r="C16" s="10">
        <f t="shared" si="0"/>
        <v>30</v>
      </c>
      <c r="D16" s="10">
        <f t="shared" si="1"/>
        <v>16</v>
      </c>
      <c r="E16" s="10">
        <f t="shared" si="1"/>
        <v>5</v>
      </c>
      <c r="F16" s="10">
        <f t="shared" si="1"/>
        <v>19</v>
      </c>
      <c r="G16" s="10">
        <f t="shared" si="1"/>
        <v>5</v>
      </c>
      <c r="H16" s="10">
        <f t="shared" si="1"/>
        <v>21</v>
      </c>
      <c r="I16" s="10">
        <f t="shared" si="1"/>
        <v>19</v>
      </c>
      <c r="J16" s="4">
        <v>12</v>
      </c>
      <c r="L16" s="15">
        <v>12</v>
      </c>
      <c r="M16" s="38" t="s">
        <v>29</v>
      </c>
      <c r="N16" s="38" t="s">
        <v>27</v>
      </c>
      <c r="O16" s="38" t="s">
        <v>224</v>
      </c>
      <c r="P16" s="38" t="s">
        <v>24</v>
      </c>
      <c r="Q16" s="38" t="s">
        <v>26</v>
      </c>
      <c r="R16" s="38" t="s">
        <v>89</v>
      </c>
      <c r="S16" s="24" t="s">
        <v>18</v>
      </c>
      <c r="U16" s="37">
        <f t="shared" si="2"/>
        <v>19</v>
      </c>
      <c r="V16" s="37">
        <f t="shared" si="2"/>
        <v>12</v>
      </c>
      <c r="W16" s="37">
        <f t="shared" si="2"/>
        <v>0</v>
      </c>
      <c r="X16" s="37">
        <f t="shared" si="2"/>
        <v>11</v>
      </c>
      <c r="Y16" s="37">
        <f t="shared" si="2"/>
        <v>7</v>
      </c>
      <c r="Z16" s="37">
        <f t="shared" si="2"/>
        <v>7</v>
      </c>
      <c r="AA16" s="37">
        <f t="shared" si="2"/>
        <v>10</v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4">
        <v>3</v>
      </c>
      <c r="AK16" s="37" t="s">
        <v>29</v>
      </c>
      <c r="AL16" s="37">
        <v>5</v>
      </c>
      <c r="AM16" s="37">
        <v>40</v>
      </c>
      <c r="AN16" s="37">
        <v>20</v>
      </c>
      <c r="AO16" s="37">
        <v>1</v>
      </c>
      <c r="AP16" s="37">
        <v>1</v>
      </c>
      <c r="AQ16" s="37">
        <v>1</v>
      </c>
      <c r="AR16" s="37">
        <v>10</v>
      </c>
      <c r="AS16" s="4">
        <v>12</v>
      </c>
    </row>
    <row r="17" spans="1:45" ht="15.9" customHeight="1">
      <c r="A17" s="154" t="str">
        <v>G1</v>
      </c>
      <c r="B17" s="151" t="str">
        <v>Golden M1</v>
      </c>
      <c r="C17" s="153">
        <f t="shared" si="0"/>
        <v>0</v>
      </c>
      <c r="D17" s="153">
        <f t="shared" si="1"/>
        <v>0</v>
      </c>
      <c r="E17" s="153">
        <f t="shared" si="1"/>
        <v>0</v>
      </c>
      <c r="F17" s="153">
        <f t="shared" si="1"/>
        <v>0</v>
      </c>
      <c r="G17" s="153">
        <f t="shared" si="1"/>
        <v>0</v>
      </c>
      <c r="H17" s="153">
        <f t="shared" si="1"/>
        <v>0</v>
      </c>
      <c r="I17" s="153">
        <f t="shared" si="1"/>
        <v>0</v>
      </c>
      <c r="J17" s="151">
        <v>13</v>
      </c>
      <c r="L17" s="14">
        <v>13</v>
      </c>
      <c r="M17" s="38" t="s">
        <v>26</v>
      </c>
      <c r="N17" s="38" t="s">
        <v>27</v>
      </c>
      <c r="O17" s="38" t="s">
        <v>238</v>
      </c>
      <c r="P17" s="38" t="s">
        <v>24</v>
      </c>
      <c r="Q17" s="38" t="s">
        <v>89</v>
      </c>
      <c r="R17" s="38" t="s">
        <v>64</v>
      </c>
      <c r="S17" s="24" t="s">
        <v>18</v>
      </c>
      <c r="U17" s="37">
        <f t="shared" si="2"/>
        <v>7</v>
      </c>
      <c r="V17" s="37">
        <f t="shared" si="2"/>
        <v>12</v>
      </c>
      <c r="W17" s="37">
        <f t="shared" si="2"/>
        <v>0</v>
      </c>
      <c r="X17" s="37">
        <f t="shared" si="2"/>
        <v>11</v>
      </c>
      <c r="Y17" s="37">
        <f t="shared" si="2"/>
        <v>7</v>
      </c>
      <c r="Z17" s="37">
        <f t="shared" si="2"/>
        <v>14</v>
      </c>
      <c r="AA17" s="37">
        <f t="shared" si="2"/>
        <v>10</v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4" t="s">
        <v>222</v>
      </c>
      <c r="AL17" s="154">
        <v>0</v>
      </c>
      <c r="AM17" s="154">
        <v>3</v>
      </c>
      <c r="AN17" s="154">
        <v>3</v>
      </c>
      <c r="AO17" s="154">
        <v>3</v>
      </c>
      <c r="AP17" s="154">
        <v>3</v>
      </c>
      <c r="AQ17" s="154">
        <v>0</v>
      </c>
      <c r="AR17" s="154">
        <v>0</v>
      </c>
      <c r="AS17" s="151">
        <v>13</v>
      </c>
    </row>
    <row r="18" spans="1:45" s="150" customFormat="1" ht="15.9" customHeight="1">
      <c r="A18" s="154" t="str">
        <v>G2</v>
      </c>
      <c r="B18" s="151" t="str">
        <v>Golden M2</v>
      </c>
      <c r="C18" s="153">
        <f t="shared" si="0"/>
        <v>0</v>
      </c>
      <c r="D18" s="153">
        <f t="shared" si="1"/>
        <v>2</v>
      </c>
      <c r="E18" s="153">
        <f t="shared" si="1"/>
        <v>1</v>
      </c>
      <c r="F18" s="153">
        <f t="shared" si="1"/>
        <v>1</v>
      </c>
      <c r="G18" s="153">
        <f t="shared" si="1"/>
        <v>1</v>
      </c>
      <c r="H18" s="153">
        <f t="shared" si="1"/>
        <v>0</v>
      </c>
      <c r="I18" s="153">
        <f t="shared" si="1"/>
        <v>0</v>
      </c>
      <c r="J18" s="151">
        <v>14</v>
      </c>
      <c r="K18" s="32"/>
      <c r="L18" s="15">
        <v>14</v>
      </c>
      <c r="M18" s="38" t="s">
        <v>89</v>
      </c>
      <c r="N18" s="38" t="s">
        <v>232</v>
      </c>
      <c r="O18" s="38" t="s">
        <v>27</v>
      </c>
      <c r="P18" s="38" t="s">
        <v>89</v>
      </c>
      <c r="Q18" s="38" t="s">
        <v>89</v>
      </c>
      <c r="R18" s="38" t="s">
        <v>27</v>
      </c>
      <c r="S18" s="24" t="s">
        <v>18</v>
      </c>
      <c r="U18" s="37">
        <f t="shared" si="2"/>
        <v>7</v>
      </c>
      <c r="V18" s="37">
        <f t="shared" si="2"/>
        <v>0</v>
      </c>
      <c r="W18" s="37">
        <f t="shared" si="2"/>
        <v>12</v>
      </c>
      <c r="X18" s="37">
        <f t="shared" si="2"/>
        <v>7</v>
      </c>
      <c r="Y18" s="37">
        <f t="shared" si="2"/>
        <v>7</v>
      </c>
      <c r="Z18" s="37">
        <f t="shared" si="2"/>
        <v>12</v>
      </c>
      <c r="AA18" s="37">
        <f t="shared" si="2"/>
        <v>10</v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4">
        <v>1</v>
      </c>
      <c r="AK18" s="154" t="s">
        <v>224</v>
      </c>
      <c r="AL18" s="154">
        <v>0</v>
      </c>
      <c r="AM18" s="154">
        <v>4</v>
      </c>
      <c r="AN18" s="154">
        <v>4</v>
      </c>
      <c r="AO18" s="154">
        <v>2</v>
      </c>
      <c r="AP18" s="154">
        <v>2</v>
      </c>
      <c r="AQ18" s="154">
        <v>0</v>
      </c>
      <c r="AR18" s="154">
        <v>0</v>
      </c>
      <c r="AS18" s="151">
        <v>14</v>
      </c>
    </row>
    <row r="19" spans="1:45" ht="15.9" customHeight="1">
      <c r="A19" s="154" t="str">
        <v>G3</v>
      </c>
      <c r="B19" s="151" t="str">
        <v>Golden M3</v>
      </c>
      <c r="C19" s="153">
        <f t="shared" si="0"/>
        <v>0</v>
      </c>
      <c r="D19" s="153">
        <f t="shared" si="1"/>
        <v>0</v>
      </c>
      <c r="E19" s="153">
        <f t="shared" si="1"/>
        <v>1</v>
      </c>
      <c r="F19" s="153">
        <f t="shared" si="1"/>
        <v>1</v>
      </c>
      <c r="G19" s="153">
        <f t="shared" si="1"/>
        <v>1</v>
      </c>
      <c r="H19" s="153">
        <f t="shared" si="1"/>
        <v>0</v>
      </c>
      <c r="I19" s="153">
        <f t="shared" si="1"/>
        <v>0</v>
      </c>
      <c r="J19" s="151">
        <v>15</v>
      </c>
      <c r="K19" s="42"/>
      <c r="L19" s="14">
        <v>15</v>
      </c>
      <c r="M19" s="38" t="s">
        <v>28</v>
      </c>
      <c r="N19" s="38" t="s">
        <v>89</v>
      </c>
      <c r="O19" s="38" t="s">
        <v>18</v>
      </c>
      <c r="P19" s="38" t="s">
        <v>232</v>
      </c>
      <c r="Q19" s="38" t="s">
        <v>234</v>
      </c>
      <c r="R19" s="38" t="s">
        <v>64</v>
      </c>
      <c r="S19" s="24" t="s">
        <v>18</v>
      </c>
      <c r="U19" s="37">
        <f t="shared" si="2"/>
        <v>15</v>
      </c>
      <c r="V19" s="37">
        <f t="shared" si="2"/>
        <v>7</v>
      </c>
      <c r="W19" s="37">
        <f t="shared" si="2"/>
        <v>10</v>
      </c>
      <c r="X19" s="37">
        <f t="shared" si="2"/>
        <v>0</v>
      </c>
      <c r="Y19" s="37">
        <f t="shared" si="2"/>
        <v>0</v>
      </c>
      <c r="Z19" s="37">
        <f t="shared" si="2"/>
        <v>14</v>
      </c>
      <c r="AA19" s="37">
        <f t="shared" si="2"/>
        <v>10</v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4">
        <v>1</v>
      </c>
      <c r="AK19" s="154" t="s">
        <v>226</v>
      </c>
      <c r="AL19" s="154">
        <v>0</v>
      </c>
      <c r="AM19" s="154">
        <v>5</v>
      </c>
      <c r="AN19" s="154">
        <v>5</v>
      </c>
      <c r="AO19" s="154">
        <v>2</v>
      </c>
      <c r="AP19" s="154">
        <v>2</v>
      </c>
      <c r="AQ19" s="154">
        <v>0</v>
      </c>
      <c r="AR19" s="154">
        <v>0</v>
      </c>
      <c r="AS19" s="151">
        <v>15</v>
      </c>
    </row>
    <row r="20" spans="1:45" ht="15.9" customHeight="1">
      <c r="A20" s="154" t="str">
        <v>G4</v>
      </c>
      <c r="B20" s="151" t="str">
        <v>Golden M4</v>
      </c>
      <c r="C20" s="153">
        <f t="shared" si="0"/>
        <v>0</v>
      </c>
      <c r="D20" s="153">
        <f t="shared" ref="D20:D29" si="3">COUNTIF(N$4:N$304,$A20)</f>
        <v>1</v>
      </c>
      <c r="E20" s="153">
        <f t="shared" ref="E20:E29" si="4">COUNTIF(O$4:O$304,$A20)</f>
        <v>2</v>
      </c>
      <c r="F20" s="153">
        <f t="shared" ref="F20:F29" si="5">COUNTIF(P$4:P$304,$A20)</f>
        <v>1</v>
      </c>
      <c r="G20" s="153">
        <f t="shared" ref="G20:G29" si="6">COUNTIF(Q$4:Q$304,$A20)</f>
        <v>1</v>
      </c>
      <c r="H20" s="153">
        <f t="shared" ref="H20:H29" si="7">COUNTIF(R$4:R$304,$A20)</f>
        <v>0</v>
      </c>
      <c r="I20" s="153">
        <f t="shared" ref="I20:I29" si="8">COUNTIF(S$4:S$304,$A20)</f>
        <v>0</v>
      </c>
      <c r="J20" s="151">
        <v>16</v>
      </c>
      <c r="L20" s="15">
        <v>16</v>
      </c>
      <c r="M20" s="38" t="s">
        <v>29</v>
      </c>
      <c r="N20" s="38" t="s">
        <v>64</v>
      </c>
      <c r="O20" s="38" t="s">
        <v>18</v>
      </c>
      <c r="P20" s="38" t="s">
        <v>27</v>
      </c>
      <c r="Q20" s="38" t="s">
        <v>27</v>
      </c>
      <c r="R20" s="38" t="s">
        <v>64</v>
      </c>
      <c r="S20" s="24" t="s">
        <v>24</v>
      </c>
      <c r="U20" s="37">
        <f t="shared" ref="U20:AA56" si="9">VLOOKUP(M20, $A$4:$J$29, 9, 0)</f>
        <v>19</v>
      </c>
      <c r="V20" s="37">
        <f t="shared" si="9"/>
        <v>14</v>
      </c>
      <c r="W20" s="37">
        <f t="shared" si="9"/>
        <v>10</v>
      </c>
      <c r="X20" s="37">
        <f t="shared" si="9"/>
        <v>12</v>
      </c>
      <c r="Y20" s="37">
        <f t="shared" si="9"/>
        <v>12</v>
      </c>
      <c r="Z20" s="37">
        <f t="shared" si="9"/>
        <v>14</v>
      </c>
      <c r="AA20" s="37">
        <f t="shared" si="9"/>
        <v>11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4">
        <v>3</v>
      </c>
      <c r="AK20" s="154" t="s">
        <v>228</v>
      </c>
      <c r="AL20" s="154">
        <v>0</v>
      </c>
      <c r="AM20" s="154">
        <v>5</v>
      </c>
      <c r="AN20" s="154">
        <v>5</v>
      </c>
      <c r="AO20" s="154">
        <v>5</v>
      </c>
      <c r="AP20" s="154">
        <v>8</v>
      </c>
      <c r="AQ20" s="154">
        <v>0</v>
      </c>
      <c r="AR20" s="154">
        <v>0</v>
      </c>
      <c r="AS20" s="151">
        <v>16</v>
      </c>
    </row>
    <row r="21" spans="1:45" ht="15.9" customHeight="1">
      <c r="A21" s="154" t="str">
        <v>G5</v>
      </c>
      <c r="B21" s="151" t="str">
        <v>Golden M5</v>
      </c>
      <c r="C21" s="153">
        <f t="shared" si="0"/>
        <v>0</v>
      </c>
      <c r="D21" s="153">
        <f t="shared" si="3"/>
        <v>3</v>
      </c>
      <c r="E21" s="153">
        <f t="shared" si="4"/>
        <v>0</v>
      </c>
      <c r="F21" s="153">
        <f t="shared" si="5"/>
        <v>4</v>
      </c>
      <c r="G21" s="153">
        <f t="shared" si="6"/>
        <v>1</v>
      </c>
      <c r="H21" s="153">
        <f t="shared" si="7"/>
        <v>0</v>
      </c>
      <c r="I21" s="153">
        <f t="shared" si="8"/>
        <v>0</v>
      </c>
      <c r="J21" s="151">
        <v>17</v>
      </c>
      <c r="L21" s="14">
        <v>17</v>
      </c>
      <c r="M21" s="38" t="s">
        <v>64</v>
      </c>
      <c r="N21" s="38" t="s">
        <v>64</v>
      </c>
      <c r="O21" s="38" t="s">
        <v>228</v>
      </c>
      <c r="P21" s="38" t="s">
        <v>224</v>
      </c>
      <c r="Q21" s="38" t="s">
        <v>89</v>
      </c>
      <c r="R21" s="38" t="s">
        <v>64</v>
      </c>
      <c r="S21" s="24" t="s">
        <v>24</v>
      </c>
      <c r="U21" s="37">
        <f t="shared" si="9"/>
        <v>14</v>
      </c>
      <c r="V21" s="37">
        <f t="shared" si="9"/>
        <v>14</v>
      </c>
      <c r="W21" s="37">
        <f t="shared" si="9"/>
        <v>0</v>
      </c>
      <c r="X21" s="37">
        <f t="shared" si="9"/>
        <v>0</v>
      </c>
      <c r="Y21" s="37">
        <f t="shared" si="9"/>
        <v>7</v>
      </c>
      <c r="Z21" s="37">
        <f t="shared" si="9"/>
        <v>14</v>
      </c>
      <c r="AA21" s="37">
        <f t="shared" si="9"/>
        <v>11</v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4" t="s">
        <v>230</v>
      </c>
      <c r="AL21" s="154">
        <v>0</v>
      </c>
      <c r="AM21" s="154">
        <v>15</v>
      </c>
      <c r="AN21" s="154">
        <v>15</v>
      </c>
      <c r="AO21" s="154">
        <v>10</v>
      </c>
      <c r="AP21" s="154">
        <v>15</v>
      </c>
      <c r="AQ21" s="154">
        <v>0</v>
      </c>
      <c r="AR21" s="154">
        <v>0</v>
      </c>
      <c r="AS21" s="151">
        <v>17</v>
      </c>
    </row>
    <row r="22" spans="1:45" ht="15.9" customHeight="1">
      <c r="A22" s="154" t="str">
        <v>G6</v>
      </c>
      <c r="B22" s="151" t="str">
        <v>Golden M6</v>
      </c>
      <c r="C22" s="153">
        <f t="shared" si="0"/>
        <v>0</v>
      </c>
      <c r="D22" s="153">
        <f t="shared" si="3"/>
        <v>3</v>
      </c>
      <c r="E22" s="153">
        <f t="shared" si="4"/>
        <v>1</v>
      </c>
      <c r="F22" s="153">
        <f t="shared" si="5"/>
        <v>2</v>
      </c>
      <c r="G22" s="153">
        <f t="shared" si="6"/>
        <v>2</v>
      </c>
      <c r="H22" s="153">
        <f t="shared" si="7"/>
        <v>0</v>
      </c>
      <c r="I22" s="153">
        <f t="shared" si="8"/>
        <v>0</v>
      </c>
      <c r="J22" s="151">
        <v>18</v>
      </c>
      <c r="L22" s="15">
        <v>18</v>
      </c>
      <c r="M22" s="38" t="s">
        <v>29</v>
      </c>
      <c r="N22" s="38" t="s">
        <v>242</v>
      </c>
      <c r="O22" s="38" t="s">
        <v>26</v>
      </c>
      <c r="P22" s="38" t="s">
        <v>17</v>
      </c>
      <c r="Q22" s="38" t="s">
        <v>26</v>
      </c>
      <c r="R22" s="38" t="s">
        <v>18</v>
      </c>
      <c r="S22" s="38" t="s">
        <v>24</v>
      </c>
      <c r="U22" s="37">
        <f t="shared" si="9"/>
        <v>19</v>
      </c>
      <c r="V22" s="37">
        <f t="shared" si="9"/>
        <v>0</v>
      </c>
      <c r="W22" s="37">
        <f t="shared" si="9"/>
        <v>7</v>
      </c>
      <c r="X22" s="37">
        <f t="shared" si="9"/>
        <v>14</v>
      </c>
      <c r="Y22" s="37">
        <f t="shared" si="9"/>
        <v>7</v>
      </c>
      <c r="Z22" s="37">
        <f t="shared" si="9"/>
        <v>10</v>
      </c>
      <c r="AA22" s="37">
        <f t="shared" si="9"/>
        <v>11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4">
        <v>1</v>
      </c>
      <c r="AK22" s="154" t="s">
        <v>232</v>
      </c>
      <c r="AL22" s="154">
        <v>0</v>
      </c>
      <c r="AM22" s="154">
        <v>10</v>
      </c>
      <c r="AN22" s="154">
        <v>15</v>
      </c>
      <c r="AO22" s="154">
        <v>15</v>
      </c>
      <c r="AP22" s="154">
        <v>10</v>
      </c>
      <c r="AQ22" s="154">
        <v>0</v>
      </c>
      <c r="AR22" s="154">
        <v>0</v>
      </c>
      <c r="AS22" s="151">
        <v>18</v>
      </c>
    </row>
    <row r="23" spans="1:45" ht="15.9" customHeight="1">
      <c r="A23" s="37" t="str">
        <v>GA</v>
      </c>
      <c r="B23" s="4" t="str">
        <v>Golden A</v>
      </c>
      <c r="C23" s="10">
        <f t="shared" si="0"/>
        <v>0</v>
      </c>
      <c r="D23" s="10">
        <f t="shared" si="3"/>
        <v>1</v>
      </c>
      <c r="E23" s="10">
        <f t="shared" si="4"/>
        <v>2</v>
      </c>
      <c r="F23" s="10">
        <f t="shared" si="5"/>
        <v>1</v>
      </c>
      <c r="G23" s="10">
        <f t="shared" si="6"/>
        <v>1</v>
      </c>
      <c r="H23" s="10">
        <f t="shared" si="7"/>
        <v>0</v>
      </c>
      <c r="I23" s="10">
        <f t="shared" si="8"/>
        <v>0</v>
      </c>
      <c r="J23" s="4">
        <v>19</v>
      </c>
      <c r="L23" s="14">
        <v>19</v>
      </c>
      <c r="M23" s="38" t="s">
        <v>89</v>
      </c>
      <c r="N23" s="38" t="s">
        <v>27</v>
      </c>
      <c r="O23" s="38" t="s">
        <v>24</v>
      </c>
      <c r="P23" s="38" t="s">
        <v>17</v>
      </c>
      <c r="Q23" s="38" t="s">
        <v>27</v>
      </c>
      <c r="R23" s="38" t="s">
        <v>29</v>
      </c>
      <c r="S23" s="24" t="s">
        <v>24</v>
      </c>
      <c r="U23" s="37">
        <f t="shared" si="9"/>
        <v>7</v>
      </c>
      <c r="V23" s="37">
        <f t="shared" si="9"/>
        <v>12</v>
      </c>
      <c r="W23" s="37">
        <f t="shared" si="9"/>
        <v>11</v>
      </c>
      <c r="X23" s="37">
        <f t="shared" si="9"/>
        <v>14</v>
      </c>
      <c r="Y23" s="37">
        <f t="shared" si="9"/>
        <v>12</v>
      </c>
      <c r="Z23" s="37">
        <f t="shared" si="9"/>
        <v>19</v>
      </c>
      <c r="AA23" s="37">
        <f t="shared" si="9"/>
        <v>11</v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0</v>
      </c>
      <c r="AM23" s="37">
        <v>12</v>
      </c>
      <c r="AN23" s="37">
        <v>12</v>
      </c>
      <c r="AO23" s="37">
        <v>4</v>
      </c>
      <c r="AP23" s="37">
        <v>6</v>
      </c>
      <c r="AQ23" s="37">
        <v>0</v>
      </c>
      <c r="AR23" s="37">
        <v>0</v>
      </c>
      <c r="AS23" s="4">
        <v>19</v>
      </c>
    </row>
    <row r="24" spans="1:45" ht="15.9" customHeight="1">
      <c r="A24" s="37" t="str">
        <v>GK</v>
      </c>
      <c r="B24" s="4" t="str">
        <v>Golden K</v>
      </c>
      <c r="C24" s="10">
        <f t="shared" si="0"/>
        <v>0</v>
      </c>
      <c r="D24" s="10">
        <f t="shared" si="3"/>
        <v>1</v>
      </c>
      <c r="E24" s="10">
        <f t="shared" si="4"/>
        <v>1</v>
      </c>
      <c r="F24" s="10">
        <f t="shared" si="5"/>
        <v>1</v>
      </c>
      <c r="G24" s="10">
        <f t="shared" si="6"/>
        <v>1</v>
      </c>
      <c r="H24" s="10">
        <f t="shared" si="7"/>
        <v>0</v>
      </c>
      <c r="I24" s="10">
        <f t="shared" si="8"/>
        <v>0</v>
      </c>
      <c r="J24" s="4">
        <v>20</v>
      </c>
      <c r="L24" s="15">
        <v>20</v>
      </c>
      <c r="M24" s="38" t="s">
        <v>21</v>
      </c>
      <c r="N24" s="38" t="s">
        <v>27</v>
      </c>
      <c r="O24" s="38" t="s">
        <v>234</v>
      </c>
      <c r="P24" s="38" t="s">
        <v>27</v>
      </c>
      <c r="Q24" s="38" t="s">
        <v>26</v>
      </c>
      <c r="R24" s="38" t="s">
        <v>29</v>
      </c>
      <c r="S24" s="24" t="s">
        <v>27</v>
      </c>
      <c r="U24" s="37">
        <f t="shared" si="9"/>
        <v>12</v>
      </c>
      <c r="V24" s="37">
        <f t="shared" si="9"/>
        <v>12</v>
      </c>
      <c r="W24" s="37">
        <f t="shared" si="9"/>
        <v>0</v>
      </c>
      <c r="X24" s="37">
        <f t="shared" si="9"/>
        <v>12</v>
      </c>
      <c r="Y24" s="37">
        <f t="shared" si="9"/>
        <v>7</v>
      </c>
      <c r="Z24" s="37">
        <f t="shared" si="9"/>
        <v>19</v>
      </c>
      <c r="AA24" s="37">
        <f t="shared" si="9"/>
        <v>12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4">
        <v>3</v>
      </c>
      <c r="AK24" s="37" t="s">
        <v>236</v>
      </c>
      <c r="AL24" s="37">
        <v>0</v>
      </c>
      <c r="AM24" s="37">
        <v>8</v>
      </c>
      <c r="AN24" s="37">
        <v>12</v>
      </c>
      <c r="AO24" s="37">
        <v>4</v>
      </c>
      <c r="AP24" s="37">
        <v>4</v>
      </c>
      <c r="AQ24" s="37">
        <v>0</v>
      </c>
      <c r="AR24" s="37">
        <v>0</v>
      </c>
      <c r="AS24" s="4">
        <v>20</v>
      </c>
    </row>
    <row r="25" spans="1:45" ht="16.5" customHeight="1">
      <c r="A25" s="37" t="str">
        <v>GQ</v>
      </c>
      <c r="B25" s="4" t="str">
        <v>Golden Q</v>
      </c>
      <c r="C25" s="10">
        <f t="shared" si="0"/>
        <v>0</v>
      </c>
      <c r="D25" s="10">
        <f t="shared" si="3"/>
        <v>1</v>
      </c>
      <c r="E25" s="10">
        <f t="shared" si="4"/>
        <v>1</v>
      </c>
      <c r="F25" s="10">
        <f t="shared" si="5"/>
        <v>1</v>
      </c>
      <c r="G25" s="10">
        <f t="shared" si="6"/>
        <v>0</v>
      </c>
      <c r="H25" s="10">
        <f t="shared" si="7"/>
        <v>0</v>
      </c>
      <c r="I25" s="10">
        <f t="shared" si="8"/>
        <v>0</v>
      </c>
      <c r="J25" s="4">
        <v>21</v>
      </c>
      <c r="L25" s="14">
        <v>21</v>
      </c>
      <c r="M25" s="38" t="s">
        <v>27</v>
      </c>
      <c r="N25" s="38" t="s">
        <v>27</v>
      </c>
      <c r="O25" s="38" t="s">
        <v>18</v>
      </c>
      <c r="P25" s="38" t="s">
        <v>29</v>
      </c>
      <c r="Q25" s="38" t="s">
        <v>89</v>
      </c>
      <c r="R25" s="38" t="s">
        <v>29</v>
      </c>
      <c r="S25" s="24" t="s">
        <v>27</v>
      </c>
      <c r="U25" s="37">
        <f t="shared" si="9"/>
        <v>12</v>
      </c>
      <c r="V25" s="37">
        <f t="shared" si="9"/>
        <v>12</v>
      </c>
      <c r="W25" s="37">
        <f t="shared" si="9"/>
        <v>10</v>
      </c>
      <c r="X25" s="37">
        <f t="shared" si="9"/>
        <v>19</v>
      </c>
      <c r="Y25" s="37">
        <f t="shared" si="9"/>
        <v>7</v>
      </c>
      <c r="Z25" s="37">
        <f t="shared" si="9"/>
        <v>19</v>
      </c>
      <c r="AA25" s="37">
        <f t="shared" si="9"/>
        <v>12</v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4">
        <v>1</v>
      </c>
      <c r="AK25" s="37" t="s">
        <v>238</v>
      </c>
      <c r="AL25" s="37">
        <v>0</v>
      </c>
      <c r="AM25" s="37">
        <v>10</v>
      </c>
      <c r="AN25" s="37">
        <v>6</v>
      </c>
      <c r="AO25" s="37">
        <v>2</v>
      </c>
      <c r="AP25" s="37">
        <v>8</v>
      </c>
      <c r="AQ25" s="37">
        <v>0</v>
      </c>
      <c r="AR25" s="37">
        <v>0</v>
      </c>
      <c r="AS25" s="4">
        <v>21</v>
      </c>
    </row>
    <row r="26" spans="1:45" ht="16.5" customHeight="1">
      <c r="A26" s="37" t="str">
        <v>GJ</v>
      </c>
      <c r="B26" s="4" t="str">
        <v>Golden J</v>
      </c>
      <c r="C26" s="10">
        <f t="shared" si="0"/>
        <v>0</v>
      </c>
      <c r="D26" s="10">
        <f t="shared" si="3"/>
        <v>1</v>
      </c>
      <c r="E26" s="10">
        <f t="shared" si="4"/>
        <v>1</v>
      </c>
      <c r="F26" s="10">
        <f t="shared" si="5"/>
        <v>1</v>
      </c>
      <c r="G26" s="10">
        <f t="shared" si="6"/>
        <v>1</v>
      </c>
      <c r="H26" s="10">
        <f t="shared" si="7"/>
        <v>0</v>
      </c>
      <c r="I26" s="10">
        <f t="shared" si="8"/>
        <v>0</v>
      </c>
      <c r="J26" s="4">
        <v>22</v>
      </c>
      <c r="L26" s="15">
        <v>22</v>
      </c>
      <c r="M26" s="38" t="s">
        <v>27</v>
      </c>
      <c r="N26" s="38" t="s">
        <v>29</v>
      </c>
      <c r="O26" s="38" t="s">
        <v>18</v>
      </c>
      <c r="P26" s="38" t="s">
        <v>29</v>
      </c>
      <c r="Q26" s="38" t="s">
        <v>29</v>
      </c>
      <c r="R26" s="38" t="s">
        <v>18</v>
      </c>
      <c r="S26" s="24" t="s">
        <v>27</v>
      </c>
      <c r="U26" s="37">
        <f t="shared" si="9"/>
        <v>12</v>
      </c>
      <c r="V26" s="37">
        <f t="shared" si="9"/>
        <v>19</v>
      </c>
      <c r="W26" s="37">
        <f t="shared" si="9"/>
        <v>10</v>
      </c>
      <c r="X26" s="37">
        <f t="shared" si="9"/>
        <v>19</v>
      </c>
      <c r="Y26" s="37">
        <f t="shared" si="9"/>
        <v>19</v>
      </c>
      <c r="Z26" s="37">
        <f t="shared" si="9"/>
        <v>10</v>
      </c>
      <c r="AA26" s="37">
        <f t="shared" si="9"/>
        <v>12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0</v>
      </c>
      <c r="AM26" s="37">
        <v>5</v>
      </c>
      <c r="AN26" s="37">
        <v>6</v>
      </c>
      <c r="AO26" s="37">
        <v>2</v>
      </c>
      <c r="AP26" s="37">
        <v>4</v>
      </c>
      <c r="AQ26" s="37">
        <v>0</v>
      </c>
      <c r="AR26" s="37">
        <v>0</v>
      </c>
      <c r="AS26" s="4">
        <v>22</v>
      </c>
    </row>
    <row r="27" spans="1:45" ht="16.5" customHeight="1">
      <c r="A27" s="37" t="str">
        <v>GT</v>
      </c>
      <c r="B27" s="37" t="str">
        <v>Golden TE</v>
      </c>
      <c r="C27" s="10">
        <f t="shared" si="0"/>
        <v>0</v>
      </c>
      <c r="D27" s="10">
        <f t="shared" si="3"/>
        <v>1</v>
      </c>
      <c r="E27" s="10">
        <f t="shared" si="4"/>
        <v>1</v>
      </c>
      <c r="F27" s="10">
        <f t="shared" si="5"/>
        <v>1</v>
      </c>
      <c r="G27" s="10">
        <f t="shared" si="6"/>
        <v>0</v>
      </c>
      <c r="H27" s="10">
        <f t="shared" si="7"/>
        <v>0</v>
      </c>
      <c r="I27" s="10">
        <f t="shared" si="8"/>
        <v>0</v>
      </c>
      <c r="J27" s="4">
        <v>23</v>
      </c>
      <c r="L27" s="14">
        <v>23</v>
      </c>
      <c r="M27" s="38" t="s">
        <v>18</v>
      </c>
      <c r="N27" s="38" t="s">
        <v>29</v>
      </c>
      <c r="O27" s="38" t="s">
        <v>18</v>
      </c>
      <c r="P27" s="38" t="s">
        <v>29</v>
      </c>
      <c r="Q27" s="38" t="s">
        <v>18</v>
      </c>
      <c r="R27" s="38" t="s">
        <v>18</v>
      </c>
      <c r="S27" s="24" t="s">
        <v>27</v>
      </c>
      <c r="U27" s="37">
        <f t="shared" si="9"/>
        <v>10</v>
      </c>
      <c r="V27" s="37">
        <f t="shared" si="9"/>
        <v>19</v>
      </c>
      <c r="W27" s="37">
        <f t="shared" si="9"/>
        <v>10</v>
      </c>
      <c r="X27" s="37">
        <f t="shared" si="9"/>
        <v>19</v>
      </c>
      <c r="Y27" s="37">
        <f t="shared" si="9"/>
        <v>10</v>
      </c>
      <c r="Z27" s="37">
        <f t="shared" si="9"/>
        <v>10</v>
      </c>
      <c r="AA27" s="37">
        <f t="shared" si="9"/>
        <v>12</v>
      </c>
      <c r="AC27" s="18">
        <v>1</v>
      </c>
      <c r="AD27" s="18">
        <v>1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0</v>
      </c>
      <c r="AM27" s="37">
        <v>4</v>
      </c>
      <c r="AN27" s="37">
        <v>6</v>
      </c>
      <c r="AO27" s="37">
        <v>2</v>
      </c>
      <c r="AP27" s="37">
        <v>4</v>
      </c>
      <c r="AQ27" s="37">
        <v>0</v>
      </c>
      <c r="AR27" s="37">
        <v>0</v>
      </c>
      <c r="AS27" s="4">
        <v>23</v>
      </c>
    </row>
    <row r="28" spans="1:45" ht="16.5" customHeight="1">
      <c r="A28" s="154" t="str">
        <v>MY</v>
      </c>
      <c r="B28" s="154" t="str">
        <v>Mystery</v>
      </c>
      <c r="C28" s="153">
        <f t="shared" si="0"/>
        <v>0</v>
      </c>
      <c r="D28" s="153">
        <f t="shared" si="3"/>
        <v>3</v>
      </c>
      <c r="E28" s="153">
        <f t="shared" si="4"/>
        <v>0</v>
      </c>
      <c r="F28" s="153">
        <f t="shared" si="5"/>
        <v>0</v>
      </c>
      <c r="G28" s="153">
        <f t="shared" si="6"/>
        <v>0</v>
      </c>
      <c r="H28" s="153">
        <f t="shared" si="7"/>
        <v>0</v>
      </c>
      <c r="I28" s="153">
        <f t="shared" si="8"/>
        <v>0</v>
      </c>
      <c r="J28" s="151">
        <v>24</v>
      </c>
      <c r="L28" s="15">
        <v>24</v>
      </c>
      <c r="M28" s="38" t="s">
        <v>18</v>
      </c>
      <c r="N28" s="38" t="s">
        <v>29</v>
      </c>
      <c r="O28" s="38" t="s">
        <v>28</v>
      </c>
      <c r="P28" s="38" t="s">
        <v>64</v>
      </c>
      <c r="Q28" s="38" t="s">
        <v>17</v>
      </c>
      <c r="R28" s="38" t="s">
        <v>24</v>
      </c>
      <c r="S28" s="24" t="s">
        <v>29</v>
      </c>
      <c r="U28" s="37">
        <f t="shared" si="9"/>
        <v>10</v>
      </c>
      <c r="V28" s="37">
        <f t="shared" si="9"/>
        <v>19</v>
      </c>
      <c r="W28" s="37">
        <f t="shared" si="9"/>
        <v>15</v>
      </c>
      <c r="X28" s="37">
        <f t="shared" si="9"/>
        <v>14</v>
      </c>
      <c r="Y28" s="37">
        <f t="shared" si="9"/>
        <v>14</v>
      </c>
      <c r="Z28" s="37">
        <f t="shared" si="9"/>
        <v>11</v>
      </c>
      <c r="AA28" s="37">
        <f t="shared" si="9"/>
        <v>19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4">
        <v>3</v>
      </c>
      <c r="AK28" s="154" t="s">
        <v>94</v>
      </c>
      <c r="AL28" s="154">
        <v>0</v>
      </c>
      <c r="AM28" s="154">
        <v>10</v>
      </c>
      <c r="AN28" s="154">
        <v>10</v>
      </c>
      <c r="AO28" s="154">
        <v>10</v>
      </c>
      <c r="AP28" s="154">
        <v>10</v>
      </c>
      <c r="AQ28" s="154">
        <v>0</v>
      </c>
      <c r="AR28" s="154">
        <v>0</v>
      </c>
      <c r="AS28" s="151">
        <v>24</v>
      </c>
    </row>
    <row r="29" spans="1:45" ht="16.5" customHeight="1">
      <c r="A29" s="154" t="str">
        <v>GM</v>
      </c>
      <c r="B29" s="154" t="str">
        <v>Golden Mystery</v>
      </c>
      <c r="C29" s="153">
        <f t="shared" si="0"/>
        <v>0</v>
      </c>
      <c r="D29" s="153">
        <f t="shared" si="3"/>
        <v>1</v>
      </c>
      <c r="E29" s="153">
        <f t="shared" si="4"/>
        <v>0</v>
      </c>
      <c r="F29" s="153">
        <f t="shared" si="5"/>
        <v>0</v>
      </c>
      <c r="G29" s="153">
        <f t="shared" si="6"/>
        <v>0</v>
      </c>
      <c r="H29" s="153">
        <f t="shared" si="7"/>
        <v>0</v>
      </c>
      <c r="I29" s="153">
        <f t="shared" si="8"/>
        <v>0</v>
      </c>
      <c r="J29" s="151">
        <v>25</v>
      </c>
      <c r="L29" s="14">
        <v>25</v>
      </c>
      <c r="M29" s="38" t="s">
        <v>89</v>
      </c>
      <c r="N29" s="38" t="s">
        <v>89</v>
      </c>
      <c r="O29" s="38" t="s">
        <v>28</v>
      </c>
      <c r="P29" s="38" t="s">
        <v>64</v>
      </c>
      <c r="Q29" s="38" t="s">
        <v>29</v>
      </c>
      <c r="R29" s="38" t="s">
        <v>64</v>
      </c>
      <c r="S29" s="24" t="s">
        <v>29</v>
      </c>
      <c r="U29" s="37">
        <f t="shared" si="9"/>
        <v>7</v>
      </c>
      <c r="V29" s="37">
        <f t="shared" si="9"/>
        <v>7</v>
      </c>
      <c r="W29" s="37">
        <f t="shared" si="9"/>
        <v>15</v>
      </c>
      <c r="X29" s="37">
        <f t="shared" si="9"/>
        <v>14</v>
      </c>
      <c r="Y29" s="37">
        <f t="shared" si="9"/>
        <v>19</v>
      </c>
      <c r="Z29" s="37">
        <f t="shared" si="9"/>
        <v>14</v>
      </c>
      <c r="AA29" s="37">
        <f t="shared" si="9"/>
        <v>19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4" t="s">
        <v>256</v>
      </c>
      <c r="AL29" s="154">
        <v>0</v>
      </c>
      <c r="AM29" s="154">
        <v>1</v>
      </c>
      <c r="AN29" s="154">
        <v>1</v>
      </c>
      <c r="AO29" s="154">
        <v>1</v>
      </c>
      <c r="AP29" s="154">
        <v>1</v>
      </c>
      <c r="AQ29" s="154">
        <v>0</v>
      </c>
      <c r="AR29" s="154">
        <v>0</v>
      </c>
      <c r="AS29" s="151">
        <v>25</v>
      </c>
    </row>
    <row r="30" spans="1:45" ht="16.5" customHeight="1">
      <c r="A30" s="150"/>
      <c r="B30" s="150"/>
      <c r="C30" s="170">
        <f>SUM(C4:C29)</f>
        <v>121</v>
      </c>
      <c r="D30" s="170">
        <f t="shared" ref="D30:I30" si="10">SUM(D4:D29)</f>
        <v>121</v>
      </c>
      <c r="E30" s="170">
        <f t="shared" si="10"/>
        <v>121</v>
      </c>
      <c r="F30" s="170">
        <f t="shared" si="10"/>
        <v>121</v>
      </c>
      <c r="G30" s="170">
        <f t="shared" si="10"/>
        <v>121</v>
      </c>
      <c r="H30" s="170">
        <f t="shared" si="10"/>
        <v>121</v>
      </c>
      <c r="I30" s="170">
        <f t="shared" si="10"/>
        <v>121</v>
      </c>
      <c r="J30" s="13"/>
      <c r="L30" s="15">
        <v>26</v>
      </c>
      <c r="M30" s="38" t="s">
        <v>28</v>
      </c>
      <c r="N30" s="38" t="s">
        <v>89</v>
      </c>
      <c r="O30" s="38" t="s">
        <v>89</v>
      </c>
      <c r="P30" s="38" t="s">
        <v>27</v>
      </c>
      <c r="Q30" s="38" t="s">
        <v>27</v>
      </c>
      <c r="R30" s="38" t="s">
        <v>27</v>
      </c>
      <c r="S30" s="24" t="s">
        <v>29</v>
      </c>
      <c r="U30" s="37">
        <f t="shared" si="9"/>
        <v>15</v>
      </c>
      <c r="V30" s="37">
        <f t="shared" si="9"/>
        <v>7</v>
      </c>
      <c r="W30" s="37">
        <f t="shared" si="9"/>
        <v>7</v>
      </c>
      <c r="X30" s="37">
        <f t="shared" si="9"/>
        <v>12</v>
      </c>
      <c r="Y30" s="37">
        <f t="shared" si="9"/>
        <v>12</v>
      </c>
      <c r="Z30" s="37">
        <f t="shared" si="9"/>
        <v>12</v>
      </c>
      <c r="AA30" s="37">
        <f t="shared" si="9"/>
        <v>19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4">
        <v>1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28</v>
      </c>
      <c r="N31" s="38" t="s">
        <v>24</v>
      </c>
      <c r="O31" s="38" t="s">
        <v>17</v>
      </c>
      <c r="P31" s="38" t="s">
        <v>27</v>
      </c>
      <c r="Q31" s="38" t="s">
        <v>27</v>
      </c>
      <c r="R31" s="38" t="s">
        <v>64</v>
      </c>
      <c r="S31" s="24" t="s">
        <v>29</v>
      </c>
      <c r="U31" s="37">
        <f t="shared" si="9"/>
        <v>15</v>
      </c>
      <c r="V31" s="37">
        <f t="shared" si="9"/>
        <v>11</v>
      </c>
      <c r="W31" s="37">
        <f t="shared" si="9"/>
        <v>14</v>
      </c>
      <c r="X31" s="37">
        <f t="shared" si="9"/>
        <v>12</v>
      </c>
      <c r="Y31" s="37">
        <f t="shared" si="9"/>
        <v>12</v>
      </c>
      <c r="Z31" s="37">
        <f t="shared" si="9"/>
        <v>14</v>
      </c>
      <c r="AA31" s="37">
        <f t="shared" si="9"/>
        <v>19</v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27</v>
      </c>
      <c r="N32" s="38" t="s">
        <v>24</v>
      </c>
      <c r="O32" s="38" t="s">
        <v>228</v>
      </c>
      <c r="P32" s="38" t="s">
        <v>226</v>
      </c>
      <c r="Q32" s="38" t="s">
        <v>89</v>
      </c>
      <c r="R32" s="38" t="s">
        <v>24</v>
      </c>
      <c r="S32" s="24" t="s">
        <v>28</v>
      </c>
      <c r="U32" s="37">
        <f t="shared" si="9"/>
        <v>12</v>
      </c>
      <c r="V32" s="37">
        <f t="shared" si="9"/>
        <v>11</v>
      </c>
      <c r="W32" s="37">
        <f t="shared" si="9"/>
        <v>0</v>
      </c>
      <c r="X32" s="37">
        <f t="shared" si="9"/>
        <v>0</v>
      </c>
      <c r="Y32" s="37">
        <f t="shared" si="9"/>
        <v>7</v>
      </c>
      <c r="Z32" s="37">
        <f t="shared" si="9"/>
        <v>11</v>
      </c>
      <c r="AA32" s="37">
        <f t="shared" si="9"/>
        <v>15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4">
        <v>3</v>
      </c>
      <c r="AK32" s="16" t="s">
        <v>52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>
      <c r="B33" s="149" t="s">
        <v>72</v>
      </c>
      <c r="C33" s="155">
        <v>0</v>
      </c>
      <c r="D33" s="155">
        <v>390</v>
      </c>
      <c r="E33" s="155">
        <v>390</v>
      </c>
      <c r="F33" s="155">
        <v>185</v>
      </c>
      <c r="G33" s="155">
        <v>120</v>
      </c>
      <c r="H33" s="155">
        <v>0</v>
      </c>
      <c r="J33" s="13"/>
      <c r="L33" s="14">
        <v>29</v>
      </c>
      <c r="M33" s="38" t="s">
        <v>27</v>
      </c>
      <c r="N33" s="38" t="s">
        <v>24</v>
      </c>
      <c r="O33" s="38" t="s">
        <v>18</v>
      </c>
      <c r="P33" s="38" t="s">
        <v>27</v>
      </c>
      <c r="Q33" s="38" t="s">
        <v>89</v>
      </c>
      <c r="R33" s="38" t="s">
        <v>27</v>
      </c>
      <c r="S33" s="24" t="s">
        <v>28</v>
      </c>
      <c r="U33" s="37">
        <f t="shared" si="9"/>
        <v>12</v>
      </c>
      <c r="V33" s="37">
        <f t="shared" si="9"/>
        <v>11</v>
      </c>
      <c r="W33" s="37">
        <f t="shared" si="9"/>
        <v>10</v>
      </c>
      <c r="X33" s="37">
        <f t="shared" si="9"/>
        <v>12</v>
      </c>
      <c r="Y33" s="37">
        <f t="shared" si="9"/>
        <v>7</v>
      </c>
      <c r="Z33" s="37">
        <f t="shared" si="9"/>
        <v>12</v>
      </c>
      <c r="AA33" s="37">
        <f t="shared" si="9"/>
        <v>15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75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5">
        <v>30</v>
      </c>
      <c r="M34" s="38" t="s">
        <v>18</v>
      </c>
      <c r="N34" s="38" t="s">
        <v>28</v>
      </c>
      <c r="O34" s="38" t="s">
        <v>28</v>
      </c>
      <c r="P34" s="38" t="s">
        <v>26</v>
      </c>
      <c r="Q34" s="38" t="s">
        <v>26</v>
      </c>
      <c r="R34" s="38" t="s">
        <v>27</v>
      </c>
      <c r="S34" s="38" t="s">
        <v>28</v>
      </c>
      <c r="U34" s="37">
        <f t="shared" si="9"/>
        <v>10</v>
      </c>
      <c r="V34" s="37">
        <f t="shared" si="9"/>
        <v>15</v>
      </c>
      <c r="W34" s="37">
        <f t="shared" si="9"/>
        <v>15</v>
      </c>
      <c r="X34" s="37">
        <f t="shared" si="9"/>
        <v>7</v>
      </c>
      <c r="Y34" s="37">
        <f t="shared" si="9"/>
        <v>7</v>
      </c>
      <c r="Z34" s="37">
        <f t="shared" si="9"/>
        <v>12</v>
      </c>
      <c r="AA34" s="37">
        <f t="shared" si="9"/>
        <v>15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0</v>
      </c>
      <c r="AM34" s="37">
        <v>0</v>
      </c>
      <c r="AN34" s="37">
        <v>0</v>
      </c>
      <c r="AO34" s="37">
        <v>0</v>
      </c>
      <c r="AP34" s="37">
        <v>0</v>
      </c>
      <c r="AQ34" s="37">
        <v>0</v>
      </c>
      <c r="AR34" s="37">
        <v>0</v>
      </c>
      <c r="AS34" s="4">
        <v>1</v>
      </c>
    </row>
    <row r="35" spans="1:45" ht="16.5" customHeight="1">
      <c r="B35" s="4" t="s">
        <v>73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4">
        <v>31</v>
      </c>
      <c r="M35" s="38" t="s">
        <v>89</v>
      </c>
      <c r="N35" s="38" t="s">
        <v>27</v>
      </c>
      <c r="O35" s="38" t="s">
        <v>28</v>
      </c>
      <c r="P35" s="38" t="s">
        <v>236</v>
      </c>
      <c r="Q35" s="38" t="s">
        <v>29</v>
      </c>
      <c r="R35" s="38" t="s">
        <v>29</v>
      </c>
      <c r="S35" s="24" t="s">
        <v>28</v>
      </c>
      <c r="U35" s="37">
        <f t="shared" si="9"/>
        <v>7</v>
      </c>
      <c r="V35" s="37">
        <f t="shared" si="9"/>
        <v>12</v>
      </c>
      <c r="W35" s="37">
        <f t="shared" si="9"/>
        <v>15</v>
      </c>
      <c r="X35" s="37">
        <f t="shared" si="9"/>
        <v>0</v>
      </c>
      <c r="Y35" s="37">
        <f t="shared" si="9"/>
        <v>19</v>
      </c>
      <c r="Z35" s="37">
        <f t="shared" si="9"/>
        <v>19</v>
      </c>
      <c r="AA35" s="37">
        <f t="shared" si="9"/>
        <v>15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4" t="s">
        <v>20</v>
      </c>
      <c r="AL35" s="154">
        <v>1</v>
      </c>
      <c r="AM35" s="154">
        <v>1</v>
      </c>
      <c r="AN35" s="154">
        <v>1</v>
      </c>
      <c r="AO35" s="154">
        <v>1</v>
      </c>
      <c r="AP35" s="154">
        <v>1</v>
      </c>
      <c r="AQ35" s="154">
        <v>1</v>
      </c>
      <c r="AR35" s="154">
        <v>0</v>
      </c>
      <c r="AS35" s="151">
        <v>2</v>
      </c>
    </row>
    <row r="36" spans="1:45" ht="16.5" customHeight="1">
      <c r="B36" s="4" t="s">
        <v>76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5">
        <v>32</v>
      </c>
      <c r="M36" s="38" t="s">
        <v>89</v>
      </c>
      <c r="N36" s="38" t="s">
        <v>27</v>
      </c>
      <c r="O36" s="38" t="s">
        <v>24</v>
      </c>
      <c r="P36" s="38" t="s">
        <v>24</v>
      </c>
      <c r="Q36" s="38" t="s">
        <v>29</v>
      </c>
      <c r="R36" s="38" t="s">
        <v>28</v>
      </c>
      <c r="S36" s="24" t="s">
        <v>64</v>
      </c>
      <c r="U36" s="37">
        <f t="shared" si="9"/>
        <v>7</v>
      </c>
      <c r="V36" s="37">
        <f t="shared" si="9"/>
        <v>12</v>
      </c>
      <c r="W36" s="37">
        <f t="shared" si="9"/>
        <v>11</v>
      </c>
      <c r="X36" s="37">
        <f t="shared" si="9"/>
        <v>11</v>
      </c>
      <c r="Y36" s="37">
        <f t="shared" si="9"/>
        <v>19</v>
      </c>
      <c r="Z36" s="37">
        <f t="shared" si="9"/>
        <v>15</v>
      </c>
      <c r="AA36" s="37">
        <f t="shared" si="9"/>
        <v>14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4">
        <v>3</v>
      </c>
      <c r="AK36" s="154" t="s">
        <v>21</v>
      </c>
      <c r="AL36" s="154">
        <v>1</v>
      </c>
      <c r="AM36" s="154">
        <v>70</v>
      </c>
      <c r="AN36" s="154">
        <v>1</v>
      </c>
      <c r="AO36" s="154">
        <v>70</v>
      </c>
      <c r="AP36" s="154">
        <v>1</v>
      </c>
      <c r="AQ36" s="154">
        <v>1</v>
      </c>
      <c r="AR36" s="154">
        <v>0</v>
      </c>
      <c r="AS36" s="151">
        <v>3</v>
      </c>
    </row>
    <row r="37" spans="1:45" ht="16.5" customHeight="1">
      <c r="B37" s="4" t="s">
        <v>74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4">
        <v>33</v>
      </c>
      <c r="M37" s="38" t="s">
        <v>28</v>
      </c>
      <c r="N37" s="38" t="s">
        <v>27</v>
      </c>
      <c r="O37" s="38" t="s">
        <v>28</v>
      </c>
      <c r="P37" s="38" t="s">
        <v>27</v>
      </c>
      <c r="Q37" s="38" t="s">
        <v>26</v>
      </c>
      <c r="R37" s="38" t="s">
        <v>24</v>
      </c>
      <c r="S37" s="24" t="s">
        <v>64</v>
      </c>
      <c r="U37" s="37">
        <f t="shared" si="9"/>
        <v>15</v>
      </c>
      <c r="V37" s="37">
        <f t="shared" si="9"/>
        <v>12</v>
      </c>
      <c r="W37" s="37">
        <f t="shared" si="9"/>
        <v>15</v>
      </c>
      <c r="X37" s="37">
        <f t="shared" si="9"/>
        <v>12</v>
      </c>
      <c r="Y37" s="37">
        <f t="shared" si="9"/>
        <v>7</v>
      </c>
      <c r="Z37" s="37">
        <f t="shared" si="9"/>
        <v>11</v>
      </c>
      <c r="AA37" s="37">
        <f t="shared" si="9"/>
        <v>14</v>
      </c>
      <c r="AC37" s="18">
        <v>1</v>
      </c>
      <c r="AD37" s="18">
        <v>1</v>
      </c>
      <c r="AE37" s="18">
        <v>1</v>
      </c>
      <c r="AF37" s="18">
        <v>1</v>
      </c>
      <c r="AG37" s="18">
        <v>1</v>
      </c>
      <c r="AH37" s="18">
        <v>1</v>
      </c>
      <c r="AI37" s="4">
        <v>1</v>
      </c>
      <c r="AK37" s="154" t="s">
        <v>17</v>
      </c>
      <c r="AL37" s="154">
        <v>1</v>
      </c>
      <c r="AM37" s="154">
        <v>1</v>
      </c>
      <c r="AN37" s="154">
        <v>5</v>
      </c>
      <c r="AO37" s="154">
        <v>1</v>
      </c>
      <c r="AP37" s="154">
        <v>1</v>
      </c>
      <c r="AQ37" s="154">
        <v>70</v>
      </c>
      <c r="AR37" s="154">
        <v>1</v>
      </c>
      <c r="AS37" s="151">
        <v>4</v>
      </c>
    </row>
    <row r="38" spans="1:45" ht="16.5" customHeight="1">
      <c r="B38" s="4" t="s">
        <v>77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5">
        <v>34</v>
      </c>
      <c r="M38" s="38" t="s">
        <v>26</v>
      </c>
      <c r="N38" s="38" t="s">
        <v>64</v>
      </c>
      <c r="O38" s="38" t="s">
        <v>18</v>
      </c>
      <c r="P38" s="38" t="s">
        <v>29</v>
      </c>
      <c r="Q38" s="38" t="s">
        <v>26</v>
      </c>
      <c r="R38" s="38" t="s">
        <v>24</v>
      </c>
      <c r="S38" s="24" t="s">
        <v>64</v>
      </c>
      <c r="U38" s="37">
        <f t="shared" si="9"/>
        <v>7</v>
      </c>
      <c r="V38" s="37">
        <f t="shared" si="9"/>
        <v>14</v>
      </c>
      <c r="W38" s="37">
        <f t="shared" si="9"/>
        <v>10</v>
      </c>
      <c r="X38" s="37">
        <f t="shared" si="9"/>
        <v>19</v>
      </c>
      <c r="Y38" s="37">
        <f t="shared" si="9"/>
        <v>7</v>
      </c>
      <c r="Z38" s="37">
        <f t="shared" si="9"/>
        <v>11</v>
      </c>
      <c r="AA38" s="37">
        <f t="shared" si="9"/>
        <v>14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4">
        <v>1</v>
      </c>
      <c r="AK38" s="154" t="s">
        <v>18</v>
      </c>
      <c r="AL38" s="154">
        <v>1</v>
      </c>
      <c r="AM38" s="154">
        <v>70</v>
      </c>
      <c r="AN38" s="154">
        <v>1</v>
      </c>
      <c r="AO38" s="154">
        <v>1</v>
      </c>
      <c r="AP38" s="154">
        <v>1</v>
      </c>
      <c r="AQ38" s="154">
        <v>70</v>
      </c>
      <c r="AR38" s="154">
        <v>1</v>
      </c>
      <c r="AS38" s="151">
        <v>5</v>
      </c>
    </row>
    <row r="39" spans="1:45" ht="16.5" customHeight="1">
      <c r="B39" s="4" t="s">
        <v>78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4">
        <v>35</v>
      </c>
      <c r="M39" s="38" t="s">
        <v>64</v>
      </c>
      <c r="N39" s="38" t="s">
        <v>236</v>
      </c>
      <c r="O39" s="38" t="s">
        <v>18</v>
      </c>
      <c r="P39" s="38" t="s">
        <v>64</v>
      </c>
      <c r="Q39" s="38" t="s">
        <v>89</v>
      </c>
      <c r="R39" s="38" t="s">
        <v>24</v>
      </c>
      <c r="S39" s="24" t="s">
        <v>64</v>
      </c>
      <c r="U39" s="37">
        <f t="shared" si="9"/>
        <v>14</v>
      </c>
      <c r="V39" s="37">
        <f t="shared" si="9"/>
        <v>0</v>
      </c>
      <c r="W39" s="37">
        <f t="shared" si="9"/>
        <v>10</v>
      </c>
      <c r="X39" s="37">
        <f t="shared" si="9"/>
        <v>14</v>
      </c>
      <c r="Y39" s="37">
        <f t="shared" si="9"/>
        <v>7</v>
      </c>
      <c r="Z39" s="37">
        <f t="shared" si="9"/>
        <v>11</v>
      </c>
      <c r="AA39" s="37">
        <f t="shared" si="9"/>
        <v>14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4" t="s">
        <v>64</v>
      </c>
      <c r="AL39" s="154">
        <v>5</v>
      </c>
      <c r="AM39" s="154">
        <v>1</v>
      </c>
      <c r="AN39" s="154">
        <v>70</v>
      </c>
      <c r="AO39" s="154">
        <v>1</v>
      </c>
      <c r="AP39" s="154">
        <v>70</v>
      </c>
      <c r="AQ39" s="154">
        <v>1</v>
      </c>
      <c r="AR39" s="154">
        <v>1</v>
      </c>
      <c r="AS39" s="151">
        <v>6</v>
      </c>
    </row>
    <row r="40" spans="1:45" ht="16.5" customHeight="1">
      <c r="B40" s="4" t="s">
        <v>79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5">
        <v>36</v>
      </c>
      <c r="M40" s="37" t="s">
        <v>29</v>
      </c>
      <c r="N40" s="37" t="s">
        <v>29</v>
      </c>
      <c r="O40" s="37" t="s">
        <v>28</v>
      </c>
      <c r="P40" s="37" t="s">
        <v>64</v>
      </c>
      <c r="Q40" s="37" t="s">
        <v>18</v>
      </c>
      <c r="R40" s="37" t="s">
        <v>26</v>
      </c>
      <c r="S40" s="37" t="s">
        <v>89</v>
      </c>
      <c r="U40" s="37">
        <f t="shared" si="9"/>
        <v>19</v>
      </c>
      <c r="V40" s="37">
        <f t="shared" si="9"/>
        <v>19</v>
      </c>
      <c r="W40" s="37">
        <f t="shared" si="9"/>
        <v>15</v>
      </c>
      <c r="X40" s="37">
        <f t="shared" si="9"/>
        <v>14</v>
      </c>
      <c r="Y40" s="37">
        <f t="shared" si="9"/>
        <v>10</v>
      </c>
      <c r="Z40" s="37">
        <f t="shared" si="9"/>
        <v>7</v>
      </c>
      <c r="AA40" s="37">
        <f t="shared" si="9"/>
        <v>7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4">
        <v>3</v>
      </c>
      <c r="AK40" s="154" t="s">
        <v>89</v>
      </c>
      <c r="AL40" s="154">
        <v>1</v>
      </c>
      <c r="AM40" s="154">
        <v>70</v>
      </c>
      <c r="AN40" s="154">
        <v>1</v>
      </c>
      <c r="AO40" s="154">
        <v>1</v>
      </c>
      <c r="AP40" s="154">
        <v>1</v>
      </c>
      <c r="AQ40" s="154">
        <v>70</v>
      </c>
      <c r="AR40" s="154">
        <v>1</v>
      </c>
      <c r="AS40" s="151">
        <v>7</v>
      </c>
    </row>
    <row r="41" spans="1:45" ht="16.5" customHeight="1">
      <c r="B41" s="4" t="s">
        <v>80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4">
        <v>37</v>
      </c>
      <c r="M41" s="38" t="s">
        <v>89</v>
      </c>
      <c r="N41" s="38" t="s">
        <v>29</v>
      </c>
      <c r="O41" s="38" t="s">
        <v>28</v>
      </c>
      <c r="P41" s="38" t="s">
        <v>64</v>
      </c>
      <c r="Q41" s="38" t="s">
        <v>28</v>
      </c>
      <c r="R41" s="38" t="s">
        <v>26</v>
      </c>
      <c r="S41" s="24" t="s">
        <v>89</v>
      </c>
      <c r="U41" s="37">
        <f t="shared" si="9"/>
        <v>7</v>
      </c>
      <c r="V41" s="37">
        <f t="shared" si="9"/>
        <v>19</v>
      </c>
      <c r="W41" s="37">
        <f t="shared" si="9"/>
        <v>15</v>
      </c>
      <c r="X41" s="37">
        <f t="shared" si="9"/>
        <v>14</v>
      </c>
      <c r="Y41" s="37">
        <f t="shared" si="9"/>
        <v>15</v>
      </c>
      <c r="Z41" s="37">
        <f t="shared" si="9"/>
        <v>7</v>
      </c>
      <c r="AA41" s="37">
        <f t="shared" si="9"/>
        <v>7</v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1</v>
      </c>
      <c r="AK41" s="37" t="s">
        <v>24</v>
      </c>
      <c r="AL41" s="37">
        <v>1</v>
      </c>
      <c r="AM41" s="37">
        <v>1</v>
      </c>
      <c r="AN41" s="37">
        <v>1</v>
      </c>
      <c r="AO41" s="37">
        <v>1</v>
      </c>
      <c r="AP41" s="37">
        <v>70</v>
      </c>
      <c r="AQ41" s="37">
        <v>1</v>
      </c>
      <c r="AR41" s="37">
        <v>1</v>
      </c>
      <c r="AS41" s="4">
        <v>7</v>
      </c>
    </row>
    <row r="42" spans="1:45" ht="16.5" customHeight="1">
      <c r="B42" s="4" t="s">
        <v>81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5">
        <v>38</v>
      </c>
      <c r="M42" s="38" t="s">
        <v>89</v>
      </c>
      <c r="N42" s="38" t="s">
        <v>29</v>
      </c>
      <c r="O42" s="38" t="s">
        <v>18</v>
      </c>
      <c r="P42" s="38" t="s">
        <v>27</v>
      </c>
      <c r="Q42" s="38" t="s">
        <v>28</v>
      </c>
      <c r="R42" s="38" t="s">
        <v>24</v>
      </c>
      <c r="S42" s="24" t="s">
        <v>89</v>
      </c>
      <c r="U42" s="37">
        <f t="shared" si="9"/>
        <v>7</v>
      </c>
      <c r="V42" s="37">
        <f t="shared" si="9"/>
        <v>19</v>
      </c>
      <c r="W42" s="37">
        <f t="shared" si="9"/>
        <v>10</v>
      </c>
      <c r="X42" s="37">
        <f t="shared" si="9"/>
        <v>12</v>
      </c>
      <c r="Y42" s="37">
        <f t="shared" si="9"/>
        <v>15</v>
      </c>
      <c r="Z42" s="37">
        <f t="shared" si="9"/>
        <v>11</v>
      </c>
      <c r="AA42" s="37">
        <f t="shared" si="9"/>
        <v>7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1</v>
      </c>
      <c r="AM42" s="37">
        <v>1</v>
      </c>
      <c r="AN42" s="37">
        <v>1</v>
      </c>
      <c r="AO42" s="37">
        <v>70</v>
      </c>
      <c r="AP42" s="37">
        <v>1</v>
      </c>
      <c r="AQ42" s="37">
        <v>70</v>
      </c>
      <c r="AR42" s="37">
        <v>1</v>
      </c>
      <c r="AS42" s="4">
        <v>8</v>
      </c>
    </row>
    <row r="43" spans="1:45" ht="16.5" customHeight="1">
      <c r="B43" s="4" t="s">
        <v>82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4">
        <v>39</v>
      </c>
      <c r="M43" s="38" t="s">
        <v>28</v>
      </c>
      <c r="N43" s="38" t="s">
        <v>234</v>
      </c>
      <c r="O43" s="38" t="s">
        <v>29</v>
      </c>
      <c r="P43" s="38" t="s">
        <v>64</v>
      </c>
      <c r="Q43" s="38" t="s">
        <v>18</v>
      </c>
      <c r="R43" s="38" t="s">
        <v>24</v>
      </c>
      <c r="S43" s="24" t="s">
        <v>89</v>
      </c>
      <c r="U43" s="37">
        <f t="shared" si="9"/>
        <v>15</v>
      </c>
      <c r="V43" s="37">
        <f t="shared" si="9"/>
        <v>0</v>
      </c>
      <c r="W43" s="37">
        <f t="shared" si="9"/>
        <v>19</v>
      </c>
      <c r="X43" s="37">
        <f t="shared" si="9"/>
        <v>14</v>
      </c>
      <c r="Y43" s="37">
        <f t="shared" si="9"/>
        <v>10</v>
      </c>
      <c r="Z43" s="37">
        <f t="shared" si="9"/>
        <v>11</v>
      </c>
      <c r="AA43" s="37">
        <f t="shared" si="9"/>
        <v>7</v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1</v>
      </c>
      <c r="AM43" s="37">
        <v>1</v>
      </c>
      <c r="AN43" s="37">
        <v>5</v>
      </c>
      <c r="AO43" s="37">
        <v>1</v>
      </c>
      <c r="AP43" s="37">
        <v>1</v>
      </c>
      <c r="AQ43" s="37">
        <v>1</v>
      </c>
      <c r="AR43" s="37">
        <v>3</v>
      </c>
      <c r="AS43" s="4">
        <v>9</v>
      </c>
    </row>
    <row r="44" spans="1:45" ht="16.5" customHeight="1">
      <c r="B44" s="4" t="s">
        <v>83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5">
        <v>40</v>
      </c>
      <c r="M44" s="38" t="s">
        <v>29</v>
      </c>
      <c r="N44" s="38" t="s">
        <v>24</v>
      </c>
      <c r="O44" s="38" t="s">
        <v>28</v>
      </c>
      <c r="P44" s="38" t="s">
        <v>29</v>
      </c>
      <c r="Q44" s="38" t="s">
        <v>18</v>
      </c>
      <c r="R44" s="38" t="s">
        <v>27</v>
      </c>
      <c r="S44" s="24" t="s">
        <v>64</v>
      </c>
      <c r="U44" s="37">
        <f t="shared" si="9"/>
        <v>19</v>
      </c>
      <c r="V44" s="37">
        <f t="shared" si="9"/>
        <v>11</v>
      </c>
      <c r="W44" s="37">
        <f t="shared" si="9"/>
        <v>15</v>
      </c>
      <c r="X44" s="37">
        <f t="shared" si="9"/>
        <v>19</v>
      </c>
      <c r="Y44" s="37">
        <f t="shared" si="9"/>
        <v>10</v>
      </c>
      <c r="Z44" s="37">
        <f t="shared" si="9"/>
        <v>12</v>
      </c>
      <c r="AA44" s="37">
        <f t="shared" si="9"/>
        <v>14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4">
        <v>3</v>
      </c>
      <c r="AK44" s="37" t="s">
        <v>28</v>
      </c>
      <c r="AL44" s="37">
        <v>1</v>
      </c>
      <c r="AM44" s="37">
        <v>70</v>
      </c>
      <c r="AN44" s="37">
        <v>1</v>
      </c>
      <c r="AO44" s="37">
        <v>1</v>
      </c>
      <c r="AP44" s="37">
        <v>1</v>
      </c>
      <c r="AQ44" s="37">
        <v>1</v>
      </c>
      <c r="AR44" s="37">
        <v>1</v>
      </c>
      <c r="AS44" s="4">
        <v>10</v>
      </c>
    </row>
    <row r="45" spans="1:45" ht="16.5" customHeight="1">
      <c r="B45" s="4" t="s">
        <v>84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4">
        <v>41</v>
      </c>
      <c r="M45" s="38" t="s">
        <v>18</v>
      </c>
      <c r="N45" s="38" t="s">
        <v>24</v>
      </c>
      <c r="O45" s="38" t="s">
        <v>28</v>
      </c>
      <c r="P45" s="38" t="s">
        <v>29</v>
      </c>
      <c r="Q45" s="38" t="s">
        <v>64</v>
      </c>
      <c r="R45" s="38" t="s">
        <v>27</v>
      </c>
      <c r="S45" s="24" t="s">
        <v>64</v>
      </c>
      <c r="U45" s="37">
        <f t="shared" si="9"/>
        <v>10</v>
      </c>
      <c r="V45" s="37">
        <f t="shared" si="9"/>
        <v>11</v>
      </c>
      <c r="W45" s="37">
        <f t="shared" si="9"/>
        <v>15</v>
      </c>
      <c r="X45" s="37">
        <f t="shared" si="9"/>
        <v>19</v>
      </c>
      <c r="Y45" s="37">
        <f t="shared" si="9"/>
        <v>14</v>
      </c>
      <c r="Z45" s="37">
        <f t="shared" si="9"/>
        <v>12</v>
      </c>
      <c r="AA45" s="37">
        <f t="shared" si="9"/>
        <v>14</v>
      </c>
      <c r="AC45" s="18">
        <v>1</v>
      </c>
      <c r="AD45" s="18">
        <v>1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70</v>
      </c>
      <c r="AM45" s="37">
        <v>1</v>
      </c>
      <c r="AN45" s="37">
        <v>1</v>
      </c>
      <c r="AO45" s="37">
        <v>1</v>
      </c>
      <c r="AP45" s="37">
        <v>1</v>
      </c>
      <c r="AQ45" s="37">
        <v>1</v>
      </c>
      <c r="AR45" s="37">
        <v>1</v>
      </c>
      <c r="AS45" s="4">
        <v>11</v>
      </c>
    </row>
    <row r="46" spans="1:45" ht="16.5" customHeight="1">
      <c r="B46" s="4" t="s">
        <v>85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5">
        <v>42</v>
      </c>
      <c r="M46" s="38" t="s">
        <v>27</v>
      </c>
      <c r="N46" s="38" t="s">
        <v>21</v>
      </c>
      <c r="O46" s="38" t="s">
        <v>232</v>
      </c>
      <c r="P46" s="38" t="s">
        <v>29</v>
      </c>
      <c r="Q46" s="38" t="s">
        <v>21</v>
      </c>
      <c r="R46" s="38" t="s">
        <v>24</v>
      </c>
      <c r="S46" s="24" t="s">
        <v>64</v>
      </c>
      <c r="U46" s="37">
        <f t="shared" si="9"/>
        <v>12</v>
      </c>
      <c r="V46" s="37">
        <f t="shared" si="9"/>
        <v>12</v>
      </c>
      <c r="W46" s="37">
        <f t="shared" si="9"/>
        <v>0</v>
      </c>
      <c r="X46" s="37">
        <f t="shared" si="9"/>
        <v>19</v>
      </c>
      <c r="Y46" s="37">
        <f t="shared" si="9"/>
        <v>12</v>
      </c>
      <c r="Z46" s="37">
        <f t="shared" si="9"/>
        <v>11</v>
      </c>
      <c r="AA46" s="37">
        <f t="shared" si="9"/>
        <v>14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4">
        <v>1</v>
      </c>
      <c r="AK46" s="154" t="s">
        <v>222</v>
      </c>
      <c r="AL46" s="154">
        <v>0</v>
      </c>
      <c r="AM46" s="154">
        <v>0</v>
      </c>
      <c r="AN46" s="154">
        <v>0</v>
      </c>
      <c r="AO46" s="154">
        <v>0</v>
      </c>
      <c r="AP46" s="154">
        <v>0</v>
      </c>
      <c r="AQ46" s="154">
        <v>0</v>
      </c>
      <c r="AR46" s="154">
        <v>0</v>
      </c>
      <c r="AS46" s="151">
        <v>12</v>
      </c>
    </row>
    <row r="47" spans="1:45" ht="16.5" customHeight="1">
      <c r="B47" s="4" t="s">
        <v>86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4">
        <v>43</v>
      </c>
      <c r="M47" s="38" t="s">
        <v>29</v>
      </c>
      <c r="N47" s="38" t="s">
        <v>21</v>
      </c>
      <c r="O47" s="38" t="s">
        <v>24</v>
      </c>
      <c r="P47" s="38" t="s">
        <v>27</v>
      </c>
      <c r="Q47" s="38" t="s">
        <v>89</v>
      </c>
      <c r="R47" s="38" t="s">
        <v>24</v>
      </c>
      <c r="S47" s="24" t="s">
        <v>21</v>
      </c>
      <c r="U47" s="37">
        <f t="shared" si="9"/>
        <v>19</v>
      </c>
      <c r="V47" s="37">
        <f t="shared" si="9"/>
        <v>12</v>
      </c>
      <c r="W47" s="37">
        <f t="shared" si="9"/>
        <v>11</v>
      </c>
      <c r="X47" s="37">
        <f t="shared" si="9"/>
        <v>12</v>
      </c>
      <c r="Y47" s="37">
        <f t="shared" si="9"/>
        <v>7</v>
      </c>
      <c r="Z47" s="37">
        <f t="shared" si="9"/>
        <v>11</v>
      </c>
      <c r="AA47" s="37">
        <f t="shared" si="9"/>
        <v>12</v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4">
        <v>3</v>
      </c>
      <c r="AK47" s="154" t="s">
        <v>224</v>
      </c>
      <c r="AL47" s="154">
        <v>0</v>
      </c>
      <c r="AM47" s="154">
        <v>1</v>
      </c>
      <c r="AN47" s="154">
        <v>1</v>
      </c>
      <c r="AO47" s="154">
        <v>1</v>
      </c>
      <c r="AP47" s="154">
        <v>1</v>
      </c>
      <c r="AQ47" s="154">
        <v>0</v>
      </c>
      <c r="AR47" s="154">
        <v>0</v>
      </c>
      <c r="AS47" s="151">
        <v>13</v>
      </c>
    </row>
    <row r="48" spans="1:45" ht="16.5" customHeight="1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26</v>
      </c>
      <c r="N48" s="38" t="s">
        <v>228</v>
      </c>
      <c r="O48" s="38" t="s">
        <v>26</v>
      </c>
      <c r="P48" s="38" t="s">
        <v>27</v>
      </c>
      <c r="Q48" s="38" t="s">
        <v>89</v>
      </c>
      <c r="R48" s="38" t="s">
        <v>26</v>
      </c>
      <c r="S48" s="24" t="s">
        <v>21</v>
      </c>
      <c r="U48" s="37">
        <f t="shared" si="9"/>
        <v>7</v>
      </c>
      <c r="V48" s="37">
        <f t="shared" si="9"/>
        <v>0</v>
      </c>
      <c r="W48" s="37">
        <f t="shared" si="9"/>
        <v>7</v>
      </c>
      <c r="X48" s="37">
        <f t="shared" si="9"/>
        <v>12</v>
      </c>
      <c r="Y48" s="37">
        <f t="shared" si="9"/>
        <v>7</v>
      </c>
      <c r="Z48" s="37">
        <f t="shared" si="9"/>
        <v>7</v>
      </c>
      <c r="AA48" s="37">
        <f t="shared" si="9"/>
        <v>12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4" t="s">
        <v>226</v>
      </c>
      <c r="AL48" s="154">
        <v>0</v>
      </c>
      <c r="AM48" s="154">
        <v>1</v>
      </c>
      <c r="AN48" s="154">
        <v>1</v>
      </c>
      <c r="AO48" s="154">
        <v>1</v>
      </c>
      <c r="AP48" s="154">
        <v>1</v>
      </c>
      <c r="AQ48" s="154">
        <v>0</v>
      </c>
      <c r="AR48" s="154">
        <v>0</v>
      </c>
      <c r="AS48" s="151">
        <v>14</v>
      </c>
    </row>
    <row r="49" spans="2:45" ht="16.5" customHeight="1">
      <c r="L49" s="14">
        <v>45</v>
      </c>
      <c r="M49" s="38" t="s">
        <v>26</v>
      </c>
      <c r="N49" s="38" t="s">
        <v>27</v>
      </c>
      <c r="O49" s="38" t="s">
        <v>236</v>
      </c>
      <c r="P49" s="38" t="s">
        <v>21</v>
      </c>
      <c r="Q49" s="38" t="s">
        <v>28</v>
      </c>
      <c r="R49" s="38" t="s">
        <v>26</v>
      </c>
      <c r="S49" s="24" t="s">
        <v>18</v>
      </c>
      <c r="U49" s="37">
        <f t="shared" si="9"/>
        <v>7</v>
      </c>
      <c r="V49" s="37">
        <f t="shared" si="9"/>
        <v>12</v>
      </c>
      <c r="W49" s="37">
        <f t="shared" si="9"/>
        <v>0</v>
      </c>
      <c r="X49" s="37">
        <f t="shared" si="9"/>
        <v>12</v>
      </c>
      <c r="Y49" s="37">
        <f t="shared" si="9"/>
        <v>15</v>
      </c>
      <c r="Z49" s="37">
        <f t="shared" si="9"/>
        <v>7</v>
      </c>
      <c r="AA49" s="37">
        <f t="shared" si="9"/>
        <v>10</v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4">
        <v>3</v>
      </c>
      <c r="AK49" s="154" t="s">
        <v>228</v>
      </c>
      <c r="AL49" s="154">
        <v>0</v>
      </c>
      <c r="AM49" s="154">
        <v>1</v>
      </c>
      <c r="AN49" s="154">
        <v>1</v>
      </c>
      <c r="AO49" s="154">
        <v>1</v>
      </c>
      <c r="AP49" s="154">
        <v>1</v>
      </c>
      <c r="AQ49" s="154">
        <v>0</v>
      </c>
      <c r="AR49" s="154">
        <v>0</v>
      </c>
      <c r="AS49" s="151">
        <v>15</v>
      </c>
    </row>
    <row r="50" spans="2:45" ht="16.5" customHeight="1">
      <c r="B50" s="165" t="s">
        <v>97</v>
      </c>
      <c r="C50" s="162" t="s">
        <v>259</v>
      </c>
      <c r="L50" s="15">
        <v>46</v>
      </c>
      <c r="M50" s="38" t="s">
        <v>28</v>
      </c>
      <c r="N50" s="38" t="s">
        <v>24</v>
      </c>
      <c r="O50" s="38" t="s">
        <v>21</v>
      </c>
      <c r="P50" s="38" t="s">
        <v>21</v>
      </c>
      <c r="Q50" s="38" t="s">
        <v>28</v>
      </c>
      <c r="R50" s="38" t="s">
        <v>64</v>
      </c>
      <c r="S50" s="24" t="s">
        <v>18</v>
      </c>
      <c r="U50" s="37">
        <f t="shared" si="9"/>
        <v>15</v>
      </c>
      <c r="V50" s="37">
        <f t="shared" si="9"/>
        <v>11</v>
      </c>
      <c r="W50" s="37">
        <f t="shared" si="9"/>
        <v>12</v>
      </c>
      <c r="X50" s="37">
        <f t="shared" si="9"/>
        <v>12</v>
      </c>
      <c r="Y50" s="37">
        <f t="shared" si="9"/>
        <v>15</v>
      </c>
      <c r="Z50" s="37">
        <f t="shared" si="9"/>
        <v>14</v>
      </c>
      <c r="AA50" s="37">
        <f t="shared" si="9"/>
        <v>10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4" t="s">
        <v>230</v>
      </c>
      <c r="AL50" s="154">
        <v>0</v>
      </c>
      <c r="AM50" s="154">
        <v>1</v>
      </c>
      <c r="AN50" s="154">
        <v>1</v>
      </c>
      <c r="AO50" s="154">
        <v>1</v>
      </c>
      <c r="AP50" s="154">
        <v>2</v>
      </c>
      <c r="AQ50" s="154">
        <v>0</v>
      </c>
      <c r="AR50" s="154">
        <v>0</v>
      </c>
      <c r="AS50" s="151">
        <v>16</v>
      </c>
    </row>
    <row r="51" spans="2:45" ht="16.5" customHeight="1">
      <c r="B51" s="163" t="s">
        <v>68</v>
      </c>
      <c r="C51" s="161">
        <v>0</v>
      </c>
      <c r="L51" s="14">
        <v>47</v>
      </c>
      <c r="M51" s="38" t="s">
        <v>27</v>
      </c>
      <c r="N51" s="38" t="s">
        <v>27</v>
      </c>
      <c r="O51" s="38" t="s">
        <v>24</v>
      </c>
      <c r="P51" s="38" t="s">
        <v>21</v>
      </c>
      <c r="Q51" s="38" t="s">
        <v>89</v>
      </c>
      <c r="R51" s="38" t="s">
        <v>64</v>
      </c>
      <c r="S51" s="24" t="s">
        <v>18</v>
      </c>
      <c r="U51" s="37">
        <f t="shared" si="9"/>
        <v>12</v>
      </c>
      <c r="V51" s="37">
        <f t="shared" si="9"/>
        <v>12</v>
      </c>
      <c r="W51" s="37">
        <f t="shared" si="9"/>
        <v>11</v>
      </c>
      <c r="X51" s="37">
        <f t="shared" si="9"/>
        <v>12</v>
      </c>
      <c r="Y51" s="37">
        <f t="shared" si="9"/>
        <v>7</v>
      </c>
      <c r="Z51" s="37">
        <f t="shared" si="9"/>
        <v>14</v>
      </c>
      <c r="AA51" s="37">
        <f t="shared" si="9"/>
        <v>10</v>
      </c>
      <c r="AC51" s="18">
        <v>1</v>
      </c>
      <c r="AD51" s="18">
        <v>1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4" t="s">
        <v>232</v>
      </c>
      <c r="AL51" s="154">
        <v>0</v>
      </c>
      <c r="AM51" s="154">
        <v>1</v>
      </c>
      <c r="AN51" s="154">
        <v>1</v>
      </c>
      <c r="AO51" s="154">
        <v>1</v>
      </c>
      <c r="AP51" s="154">
        <v>1</v>
      </c>
      <c r="AQ51" s="154">
        <v>0</v>
      </c>
      <c r="AR51" s="154">
        <v>0</v>
      </c>
      <c r="AS51" s="151">
        <v>17</v>
      </c>
    </row>
    <row r="52" spans="2:45" ht="16.5" customHeight="1">
      <c r="B52" s="164" t="s">
        <v>19</v>
      </c>
      <c r="C52" s="159">
        <v>0</v>
      </c>
      <c r="L52" s="15">
        <v>48</v>
      </c>
      <c r="M52" s="38" t="s">
        <v>29</v>
      </c>
      <c r="N52" s="38" t="s">
        <v>27</v>
      </c>
      <c r="O52" s="38" t="s">
        <v>24</v>
      </c>
      <c r="P52" s="38" t="s">
        <v>64</v>
      </c>
      <c r="Q52" s="38" t="s">
        <v>89</v>
      </c>
      <c r="R52" s="38" t="s">
        <v>27</v>
      </c>
      <c r="S52" s="24" t="s">
        <v>17</v>
      </c>
      <c r="U52" s="37">
        <f t="shared" si="9"/>
        <v>19</v>
      </c>
      <c r="V52" s="37">
        <f t="shared" si="9"/>
        <v>12</v>
      </c>
      <c r="W52" s="37">
        <f t="shared" si="9"/>
        <v>11</v>
      </c>
      <c r="X52" s="37">
        <f t="shared" si="9"/>
        <v>14</v>
      </c>
      <c r="Y52" s="37">
        <f t="shared" si="9"/>
        <v>7</v>
      </c>
      <c r="Z52" s="37">
        <f t="shared" si="9"/>
        <v>12</v>
      </c>
      <c r="AA52" s="37">
        <f t="shared" si="9"/>
        <v>14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4">
        <v>3</v>
      </c>
      <c r="AK52" s="37" t="s">
        <v>234</v>
      </c>
      <c r="AL52" s="37">
        <v>0</v>
      </c>
      <c r="AM52" s="37">
        <v>1</v>
      </c>
      <c r="AN52" s="37">
        <v>1</v>
      </c>
      <c r="AO52" s="37">
        <v>1</v>
      </c>
      <c r="AP52" s="37">
        <v>1</v>
      </c>
      <c r="AQ52" s="37">
        <v>0</v>
      </c>
      <c r="AR52" s="37">
        <v>0</v>
      </c>
      <c r="AS52" s="4">
        <v>17</v>
      </c>
    </row>
    <row r="53" spans="2:45" ht="16.5" customHeight="1">
      <c r="B53" s="164" t="s">
        <v>20</v>
      </c>
      <c r="C53" s="159">
        <v>2</v>
      </c>
      <c r="L53" s="14">
        <v>49</v>
      </c>
      <c r="M53" s="38" t="s">
        <v>28</v>
      </c>
      <c r="N53" s="38" t="s">
        <v>64</v>
      </c>
      <c r="O53" s="38" t="s">
        <v>28</v>
      </c>
      <c r="P53" s="38" t="s">
        <v>64</v>
      </c>
      <c r="Q53" s="38" t="s">
        <v>27</v>
      </c>
      <c r="R53" s="38" t="s">
        <v>27</v>
      </c>
      <c r="S53" s="24" t="s">
        <v>17</v>
      </c>
      <c r="U53" s="37">
        <f t="shared" si="9"/>
        <v>15</v>
      </c>
      <c r="V53" s="37">
        <f t="shared" si="9"/>
        <v>14</v>
      </c>
      <c r="W53" s="37">
        <f t="shared" si="9"/>
        <v>15</v>
      </c>
      <c r="X53" s="37">
        <f t="shared" si="9"/>
        <v>14</v>
      </c>
      <c r="Y53" s="37">
        <f t="shared" si="9"/>
        <v>12</v>
      </c>
      <c r="Z53" s="37">
        <f t="shared" si="9"/>
        <v>12</v>
      </c>
      <c r="AA53" s="37">
        <f t="shared" si="9"/>
        <v>14</v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1</v>
      </c>
      <c r="AI53" s="4">
        <v>1</v>
      </c>
      <c r="AK53" s="37" t="s">
        <v>236</v>
      </c>
      <c r="AL53" s="37">
        <v>0</v>
      </c>
      <c r="AM53" s="37">
        <v>1</v>
      </c>
      <c r="AN53" s="37">
        <v>1</v>
      </c>
      <c r="AO53" s="37">
        <v>1</v>
      </c>
      <c r="AP53" s="37">
        <v>1</v>
      </c>
      <c r="AQ53" s="37">
        <v>0</v>
      </c>
      <c r="AR53" s="37">
        <v>0</v>
      </c>
      <c r="AS53" s="4">
        <v>18</v>
      </c>
    </row>
    <row r="54" spans="2:45" ht="16.5" customHeight="1">
      <c r="B54" s="164" t="s">
        <v>21</v>
      </c>
      <c r="C54" s="159">
        <v>3</v>
      </c>
      <c r="L54" s="15">
        <v>50</v>
      </c>
      <c r="M54" s="38" t="s">
        <v>89</v>
      </c>
      <c r="N54" s="38" t="s">
        <v>64</v>
      </c>
      <c r="O54" s="38" t="s">
        <v>28</v>
      </c>
      <c r="P54" s="38" t="s">
        <v>17</v>
      </c>
      <c r="Q54" s="38" t="s">
        <v>21</v>
      </c>
      <c r="R54" s="38" t="s">
        <v>29</v>
      </c>
      <c r="S54" s="24" t="s">
        <v>17</v>
      </c>
      <c r="U54" s="37">
        <f t="shared" si="9"/>
        <v>7</v>
      </c>
      <c r="V54" s="37">
        <f t="shared" si="9"/>
        <v>14</v>
      </c>
      <c r="W54" s="37">
        <f t="shared" si="9"/>
        <v>15</v>
      </c>
      <c r="X54" s="37">
        <f t="shared" si="9"/>
        <v>14</v>
      </c>
      <c r="Y54" s="37">
        <f t="shared" si="9"/>
        <v>12</v>
      </c>
      <c r="Z54" s="37">
        <f t="shared" si="9"/>
        <v>19</v>
      </c>
      <c r="AA54" s="37">
        <f t="shared" si="9"/>
        <v>14</v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4">
        <v>1</v>
      </c>
      <c r="AK54" s="37" t="s">
        <v>238</v>
      </c>
      <c r="AL54" s="37">
        <v>0</v>
      </c>
      <c r="AM54" s="37">
        <v>1</v>
      </c>
      <c r="AN54" s="37">
        <v>1</v>
      </c>
      <c r="AO54" s="37">
        <v>1</v>
      </c>
      <c r="AP54" s="37">
        <v>1</v>
      </c>
      <c r="AQ54" s="37">
        <v>0</v>
      </c>
      <c r="AR54" s="37">
        <v>0</v>
      </c>
      <c r="AS54" s="4">
        <v>19</v>
      </c>
    </row>
    <row r="55" spans="2:45" ht="16.5" customHeight="1">
      <c r="B55" s="164" t="s">
        <v>17</v>
      </c>
      <c r="C55" s="159">
        <v>5</v>
      </c>
      <c r="L55" s="14">
        <v>51</v>
      </c>
      <c r="M55" s="38" t="s">
        <v>26</v>
      </c>
      <c r="N55" s="38" t="s">
        <v>230</v>
      </c>
      <c r="O55" s="38" t="s">
        <v>64</v>
      </c>
      <c r="P55" s="38" t="s">
        <v>17</v>
      </c>
      <c r="Q55" s="38" t="s">
        <v>21</v>
      </c>
      <c r="R55" s="38" t="s">
        <v>29</v>
      </c>
      <c r="S55" s="24" t="s">
        <v>64</v>
      </c>
      <c r="U55" s="37">
        <f t="shared" si="9"/>
        <v>7</v>
      </c>
      <c r="V55" s="37">
        <f t="shared" si="9"/>
        <v>0</v>
      </c>
      <c r="W55" s="37">
        <f t="shared" si="9"/>
        <v>14</v>
      </c>
      <c r="X55" s="37">
        <f t="shared" si="9"/>
        <v>14</v>
      </c>
      <c r="Y55" s="37">
        <f t="shared" si="9"/>
        <v>12</v>
      </c>
      <c r="Z55" s="37">
        <f t="shared" si="9"/>
        <v>19</v>
      </c>
      <c r="AA55" s="37">
        <f t="shared" si="9"/>
        <v>14</v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4">
        <v>3</v>
      </c>
      <c r="AK55" s="37" t="s">
        <v>240</v>
      </c>
      <c r="AL55" s="37">
        <v>0</v>
      </c>
      <c r="AM55" s="37">
        <v>1</v>
      </c>
      <c r="AN55" s="37">
        <v>1</v>
      </c>
      <c r="AO55" s="37">
        <v>1</v>
      </c>
      <c r="AP55" s="37">
        <v>1</v>
      </c>
      <c r="AQ55" s="37">
        <v>0</v>
      </c>
      <c r="AR55" s="37">
        <v>0</v>
      </c>
      <c r="AS55" s="4">
        <v>20</v>
      </c>
    </row>
    <row r="56" spans="2:45" ht="16.5" customHeight="1">
      <c r="B56" s="164" t="s">
        <v>18</v>
      </c>
      <c r="C56" s="159">
        <v>8</v>
      </c>
      <c r="L56" s="15">
        <v>52</v>
      </c>
      <c r="M56" s="38" t="s">
        <v>28</v>
      </c>
      <c r="N56" s="38" t="s">
        <v>27</v>
      </c>
      <c r="O56" s="38" t="s">
        <v>26</v>
      </c>
      <c r="P56" s="38" t="s">
        <v>28</v>
      </c>
      <c r="Q56" s="38" t="s">
        <v>28</v>
      </c>
      <c r="R56" s="38" t="s">
        <v>24</v>
      </c>
      <c r="S56" s="24" t="s">
        <v>64</v>
      </c>
      <c r="U56" s="37">
        <f t="shared" si="9"/>
        <v>15</v>
      </c>
      <c r="V56" s="37">
        <f t="shared" si="9"/>
        <v>12</v>
      </c>
      <c r="W56" s="37">
        <f t="shared" si="9"/>
        <v>7</v>
      </c>
      <c r="X56" s="37">
        <f t="shared" ref="X56:AA119" si="11">VLOOKUP(P56, $A$4:$J$29, 9, 0)</f>
        <v>15</v>
      </c>
      <c r="Y56" s="37">
        <f t="shared" si="11"/>
        <v>15</v>
      </c>
      <c r="Z56" s="37">
        <f t="shared" si="11"/>
        <v>11</v>
      </c>
      <c r="AA56" s="37">
        <f t="shared" si="11"/>
        <v>14</v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0</v>
      </c>
      <c r="AM56" s="37">
        <v>1</v>
      </c>
      <c r="AN56" s="37">
        <v>1</v>
      </c>
      <c r="AO56" s="37">
        <v>1</v>
      </c>
      <c r="AP56" s="37">
        <v>1</v>
      </c>
      <c r="AQ56" s="37">
        <v>0</v>
      </c>
      <c r="AR56" s="37">
        <v>0</v>
      </c>
      <c r="AS56" s="4">
        <v>21</v>
      </c>
    </row>
    <row r="57" spans="2:45" ht="16.5" customHeight="1">
      <c r="B57" s="164" t="s">
        <v>64</v>
      </c>
      <c r="C57" s="159">
        <v>12</v>
      </c>
      <c r="L57" s="14">
        <v>53</v>
      </c>
      <c r="M57" s="38" t="s">
        <v>28</v>
      </c>
      <c r="N57" s="38" t="s">
        <v>27</v>
      </c>
      <c r="O57" s="38" t="s">
        <v>26</v>
      </c>
      <c r="P57" s="38" t="s">
        <v>28</v>
      </c>
      <c r="Q57" s="38" t="s">
        <v>24</v>
      </c>
      <c r="R57" s="38" t="s">
        <v>27</v>
      </c>
      <c r="S57" s="24" t="s">
        <v>64</v>
      </c>
      <c r="U57" s="37">
        <f t="shared" ref="U57:Z120" si="12">VLOOKUP(M57, $A$4:$J$29, 9, 0)</f>
        <v>15</v>
      </c>
      <c r="V57" s="37">
        <f t="shared" si="12"/>
        <v>12</v>
      </c>
      <c r="W57" s="37">
        <f t="shared" si="12"/>
        <v>7</v>
      </c>
      <c r="X57" s="37">
        <f t="shared" si="11"/>
        <v>15</v>
      </c>
      <c r="Y57" s="37">
        <f t="shared" si="11"/>
        <v>11</v>
      </c>
      <c r="Z57" s="37">
        <f t="shared" si="11"/>
        <v>12</v>
      </c>
      <c r="AA57" s="37">
        <f t="shared" si="11"/>
        <v>14</v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4" t="s">
        <v>94</v>
      </c>
      <c r="AL57" s="154">
        <v>0</v>
      </c>
      <c r="AM57" s="154">
        <v>0</v>
      </c>
      <c r="AN57" s="154">
        <v>0</v>
      </c>
      <c r="AO57" s="154">
        <v>0</v>
      </c>
      <c r="AP57" s="154">
        <v>0</v>
      </c>
      <c r="AQ57" s="154">
        <v>0</v>
      </c>
      <c r="AR57" s="154">
        <v>0</v>
      </c>
      <c r="AS57" s="151">
        <v>24</v>
      </c>
    </row>
    <row r="58" spans="2:45" ht="16.5" customHeight="1">
      <c r="B58" s="164" t="s">
        <v>92</v>
      </c>
      <c r="C58" s="159">
        <v>10</v>
      </c>
      <c r="L58" s="15">
        <v>54</v>
      </c>
      <c r="M58" s="38" t="s">
        <v>18</v>
      </c>
      <c r="N58" s="38" t="s">
        <v>29</v>
      </c>
      <c r="O58" s="38" t="s">
        <v>18</v>
      </c>
      <c r="P58" s="38" t="s">
        <v>64</v>
      </c>
      <c r="Q58" s="38" t="s">
        <v>24</v>
      </c>
      <c r="R58" s="38" t="s">
        <v>27</v>
      </c>
      <c r="S58" s="24" t="s">
        <v>89</v>
      </c>
      <c r="U58" s="37">
        <f t="shared" si="12"/>
        <v>10</v>
      </c>
      <c r="V58" s="37">
        <f t="shared" si="12"/>
        <v>19</v>
      </c>
      <c r="W58" s="37">
        <f t="shared" si="12"/>
        <v>10</v>
      </c>
      <c r="X58" s="37">
        <f t="shared" si="11"/>
        <v>14</v>
      </c>
      <c r="Y58" s="37">
        <f t="shared" si="11"/>
        <v>11</v>
      </c>
      <c r="Z58" s="37">
        <f t="shared" si="11"/>
        <v>12</v>
      </c>
      <c r="AA58" s="37">
        <f t="shared" si="11"/>
        <v>7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2</v>
      </c>
      <c r="AK58" s="154" t="s">
        <v>256</v>
      </c>
      <c r="AL58" s="154">
        <v>0</v>
      </c>
      <c r="AM58" s="154">
        <v>1</v>
      </c>
      <c r="AN58" s="154">
        <v>1</v>
      </c>
      <c r="AO58" s="154">
        <v>1</v>
      </c>
      <c r="AP58" s="154">
        <v>1</v>
      </c>
      <c r="AQ58" s="154">
        <v>0</v>
      </c>
      <c r="AR58" s="154">
        <v>0</v>
      </c>
      <c r="AS58" s="151">
        <v>25</v>
      </c>
    </row>
    <row r="59" spans="2:45" ht="16.5" customHeight="1">
      <c r="B59" s="164" t="s">
        <v>93</v>
      </c>
      <c r="C59" s="159">
        <v>10</v>
      </c>
      <c r="L59" s="14">
        <v>55</v>
      </c>
      <c r="M59" s="38" t="s">
        <v>18</v>
      </c>
      <c r="N59" s="38" t="s">
        <v>28</v>
      </c>
      <c r="O59" s="38" t="s">
        <v>28</v>
      </c>
      <c r="P59" s="38" t="s">
        <v>64</v>
      </c>
      <c r="Q59" s="38" t="s">
        <v>21</v>
      </c>
      <c r="R59" s="38" t="s">
        <v>64</v>
      </c>
      <c r="S59" s="24" t="s">
        <v>89</v>
      </c>
      <c r="U59" s="37">
        <f t="shared" si="12"/>
        <v>10</v>
      </c>
      <c r="V59" s="37">
        <f t="shared" si="12"/>
        <v>15</v>
      </c>
      <c r="W59" s="37">
        <f t="shared" si="12"/>
        <v>15</v>
      </c>
      <c r="X59" s="37">
        <f t="shared" si="11"/>
        <v>14</v>
      </c>
      <c r="Y59" s="37">
        <f t="shared" si="11"/>
        <v>12</v>
      </c>
      <c r="Z59" s="37">
        <f t="shared" si="11"/>
        <v>14</v>
      </c>
      <c r="AA59" s="37">
        <f t="shared" si="11"/>
        <v>7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1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>
      <c r="B60" s="4" t="s">
        <v>37</v>
      </c>
      <c r="C60" s="160">
        <v>10</v>
      </c>
      <c r="L60" s="15">
        <v>56</v>
      </c>
      <c r="M60" s="38" t="s">
        <v>29</v>
      </c>
      <c r="N60" s="38" t="s">
        <v>28</v>
      </c>
      <c r="O60" s="38" t="s">
        <v>28</v>
      </c>
      <c r="P60" s="38" t="s">
        <v>230</v>
      </c>
      <c r="Q60" s="38" t="s">
        <v>21</v>
      </c>
      <c r="R60" s="38" t="s">
        <v>24</v>
      </c>
      <c r="S60" s="24" t="s">
        <v>89</v>
      </c>
      <c r="U60" s="37">
        <f t="shared" si="12"/>
        <v>19</v>
      </c>
      <c r="V60" s="37">
        <f t="shared" si="12"/>
        <v>15</v>
      </c>
      <c r="W60" s="37">
        <f t="shared" si="12"/>
        <v>15</v>
      </c>
      <c r="X60" s="37">
        <f t="shared" si="11"/>
        <v>0</v>
      </c>
      <c r="Y60" s="37">
        <f t="shared" si="11"/>
        <v>12</v>
      </c>
      <c r="Z60" s="37">
        <f t="shared" si="11"/>
        <v>11</v>
      </c>
      <c r="AA60" s="37">
        <f t="shared" si="11"/>
        <v>7</v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4">
        <v>1</v>
      </c>
      <c r="AK60" s="40" t="s">
        <v>260</v>
      </c>
    </row>
    <row r="61" spans="2:45">
      <c r="B61" s="4" t="s">
        <v>38</v>
      </c>
      <c r="C61" s="160">
        <v>10</v>
      </c>
      <c r="L61" s="14">
        <v>57</v>
      </c>
      <c r="M61" s="38" t="s">
        <v>29</v>
      </c>
      <c r="N61" s="38" t="s">
        <v>27</v>
      </c>
      <c r="O61" s="38" t="s">
        <v>29</v>
      </c>
      <c r="P61" s="38" t="s">
        <v>18</v>
      </c>
      <c r="Q61" s="38" t="s">
        <v>28</v>
      </c>
      <c r="R61" s="38" t="s">
        <v>26</v>
      </c>
      <c r="S61" s="24" t="s">
        <v>26</v>
      </c>
      <c r="U61" s="37">
        <f t="shared" si="12"/>
        <v>19</v>
      </c>
      <c r="V61" s="37">
        <f t="shared" si="12"/>
        <v>12</v>
      </c>
      <c r="W61" s="37">
        <f t="shared" si="12"/>
        <v>19</v>
      </c>
      <c r="X61" s="37">
        <f t="shared" si="11"/>
        <v>10</v>
      </c>
      <c r="Y61" s="37">
        <f t="shared" si="11"/>
        <v>15</v>
      </c>
      <c r="Z61" s="37">
        <f t="shared" si="11"/>
        <v>7</v>
      </c>
      <c r="AA61" s="37">
        <f t="shared" si="11"/>
        <v>7</v>
      </c>
      <c r="AC61" s="18">
        <v>1</v>
      </c>
      <c r="AD61" s="18">
        <v>1</v>
      </c>
      <c r="AE61" s="18">
        <v>1</v>
      </c>
      <c r="AF61" s="18">
        <v>1</v>
      </c>
      <c r="AG61" s="18">
        <v>1</v>
      </c>
      <c r="AH61" s="18">
        <v>1</v>
      </c>
      <c r="AI61" s="4">
        <v>1</v>
      </c>
      <c r="AK61" s="16" t="s">
        <v>52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>
      <c r="B62" s="4" t="s">
        <v>39</v>
      </c>
      <c r="C62" s="160">
        <v>10</v>
      </c>
      <c r="L62" s="15">
        <v>58</v>
      </c>
      <c r="M62" s="38" t="s">
        <v>89</v>
      </c>
      <c r="N62" s="38" t="s">
        <v>224</v>
      </c>
      <c r="O62" s="38" t="s">
        <v>24</v>
      </c>
      <c r="P62" s="38" t="s">
        <v>24</v>
      </c>
      <c r="Q62" s="38" t="s">
        <v>28</v>
      </c>
      <c r="R62" s="38" t="s">
        <v>24</v>
      </c>
      <c r="S62" s="24" t="s">
        <v>26</v>
      </c>
      <c r="U62" s="37">
        <f t="shared" si="12"/>
        <v>7</v>
      </c>
      <c r="V62" s="37">
        <f t="shared" si="12"/>
        <v>0</v>
      </c>
      <c r="W62" s="37">
        <f t="shared" si="12"/>
        <v>11</v>
      </c>
      <c r="X62" s="37">
        <f t="shared" si="11"/>
        <v>11</v>
      </c>
      <c r="Y62" s="37">
        <f t="shared" si="11"/>
        <v>15</v>
      </c>
      <c r="Z62" s="37">
        <f t="shared" si="11"/>
        <v>11</v>
      </c>
      <c r="AA62" s="37">
        <f t="shared" si="11"/>
        <v>7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4">
        <v>1</v>
      </c>
      <c r="AK62" s="10" t="s">
        <v>68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160">
        <v>10</v>
      </c>
      <c r="L63" s="14">
        <v>59</v>
      </c>
      <c r="M63" s="38" t="s">
        <v>26</v>
      </c>
      <c r="N63" s="38" t="s">
        <v>64</v>
      </c>
      <c r="O63" s="38" t="s">
        <v>29</v>
      </c>
      <c r="P63" s="38" t="s">
        <v>17</v>
      </c>
      <c r="Q63" s="38" t="s">
        <v>89</v>
      </c>
      <c r="R63" s="38" t="s">
        <v>64</v>
      </c>
      <c r="S63" s="38" t="s">
        <v>17</v>
      </c>
      <c r="U63" s="37">
        <f t="shared" si="12"/>
        <v>7</v>
      </c>
      <c r="V63" s="37">
        <f t="shared" si="12"/>
        <v>14</v>
      </c>
      <c r="W63" s="37">
        <f t="shared" si="12"/>
        <v>19</v>
      </c>
      <c r="X63" s="37">
        <f t="shared" si="11"/>
        <v>14</v>
      </c>
      <c r="Y63" s="37">
        <f t="shared" si="11"/>
        <v>7</v>
      </c>
      <c r="Z63" s="37">
        <f t="shared" si="11"/>
        <v>14</v>
      </c>
      <c r="AA63" s="37">
        <f t="shared" si="11"/>
        <v>14</v>
      </c>
      <c r="AC63" s="18">
        <v>1</v>
      </c>
      <c r="AD63" s="18">
        <v>1</v>
      </c>
      <c r="AE63" s="18">
        <v>1</v>
      </c>
      <c r="AF63" s="18">
        <v>1</v>
      </c>
      <c r="AG63" s="18">
        <v>1</v>
      </c>
      <c r="AH63" s="18">
        <v>1</v>
      </c>
      <c r="AI63" s="4">
        <v>3</v>
      </c>
      <c r="AK63" s="37" t="s">
        <v>19</v>
      </c>
      <c r="AL63" s="37">
        <v>0</v>
      </c>
      <c r="AM63" s="37">
        <v>0</v>
      </c>
      <c r="AN63" s="37">
        <v>0</v>
      </c>
      <c r="AO63" s="37">
        <v>0</v>
      </c>
      <c r="AP63" s="37">
        <v>0</v>
      </c>
      <c r="AQ63" s="37">
        <v>0</v>
      </c>
      <c r="AR63" s="37">
        <v>0</v>
      </c>
      <c r="AS63" s="4">
        <v>1</v>
      </c>
    </row>
    <row r="64" spans="2:45" ht="16.5" customHeight="1">
      <c r="L64" s="15">
        <v>60</v>
      </c>
      <c r="M64" s="38" t="s">
        <v>26</v>
      </c>
      <c r="N64" s="38" t="s">
        <v>230</v>
      </c>
      <c r="O64" s="38" t="s">
        <v>242</v>
      </c>
      <c r="P64" s="38" t="s">
        <v>17</v>
      </c>
      <c r="Q64" s="38" t="s">
        <v>28</v>
      </c>
      <c r="R64" s="38" t="s">
        <v>24</v>
      </c>
      <c r="S64" s="24" t="s">
        <v>17</v>
      </c>
      <c r="U64" s="37">
        <f t="shared" si="12"/>
        <v>7</v>
      </c>
      <c r="V64" s="37">
        <f t="shared" si="12"/>
        <v>0</v>
      </c>
      <c r="W64" s="37">
        <f t="shared" si="12"/>
        <v>0</v>
      </c>
      <c r="X64" s="37">
        <f t="shared" si="11"/>
        <v>14</v>
      </c>
      <c r="Y64" s="37">
        <f t="shared" si="11"/>
        <v>15</v>
      </c>
      <c r="Z64" s="37">
        <f t="shared" si="11"/>
        <v>11</v>
      </c>
      <c r="AA64" s="37">
        <f t="shared" si="11"/>
        <v>14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4">
        <v>1</v>
      </c>
      <c r="AK64" s="154" t="s">
        <v>20</v>
      </c>
      <c r="AL64" s="154">
        <v>1</v>
      </c>
      <c r="AM64" s="154">
        <v>1</v>
      </c>
      <c r="AN64" s="154">
        <v>1</v>
      </c>
      <c r="AO64" s="154">
        <v>1</v>
      </c>
      <c r="AP64" s="154">
        <v>1</v>
      </c>
      <c r="AQ64" s="154">
        <v>1</v>
      </c>
      <c r="AR64" s="154">
        <v>0</v>
      </c>
      <c r="AS64" s="151">
        <v>2</v>
      </c>
    </row>
    <row r="65" spans="2:45" ht="16.5" customHeight="1">
      <c r="L65" s="14">
        <v>61</v>
      </c>
      <c r="M65" s="38" t="s">
        <v>28</v>
      </c>
      <c r="N65" s="38" t="s">
        <v>24</v>
      </c>
      <c r="O65" s="38" t="s">
        <v>26</v>
      </c>
      <c r="P65" s="38" t="s">
        <v>17</v>
      </c>
      <c r="Q65" s="38" t="s">
        <v>28</v>
      </c>
      <c r="R65" s="38" t="s">
        <v>24</v>
      </c>
      <c r="S65" s="24" t="s">
        <v>17</v>
      </c>
      <c r="U65" s="37">
        <f t="shared" si="12"/>
        <v>15</v>
      </c>
      <c r="V65" s="37">
        <f t="shared" si="12"/>
        <v>11</v>
      </c>
      <c r="W65" s="37">
        <f t="shared" si="12"/>
        <v>7</v>
      </c>
      <c r="X65" s="37">
        <f t="shared" si="11"/>
        <v>14</v>
      </c>
      <c r="Y65" s="37">
        <f t="shared" si="11"/>
        <v>15</v>
      </c>
      <c r="Z65" s="37">
        <f t="shared" si="11"/>
        <v>11</v>
      </c>
      <c r="AA65" s="37">
        <f t="shared" si="11"/>
        <v>14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1</v>
      </c>
      <c r="AK65" s="154" t="s">
        <v>21</v>
      </c>
      <c r="AL65" s="154">
        <v>1</v>
      </c>
      <c r="AM65" s="154">
        <v>70</v>
      </c>
      <c r="AN65" s="154">
        <v>1</v>
      </c>
      <c r="AO65" s="154">
        <v>70</v>
      </c>
      <c r="AP65" s="154">
        <v>1</v>
      </c>
      <c r="AQ65" s="154">
        <v>1</v>
      </c>
      <c r="AR65" s="154">
        <v>0</v>
      </c>
      <c r="AS65" s="151">
        <v>3</v>
      </c>
    </row>
    <row r="66" spans="2:45" ht="16.5" customHeight="1">
      <c r="B66" s="165" t="s">
        <v>95</v>
      </c>
      <c r="C66" s="162" t="s">
        <v>259</v>
      </c>
      <c r="L66" s="15">
        <v>62</v>
      </c>
      <c r="M66" s="38" t="s">
        <v>26</v>
      </c>
      <c r="N66" s="38" t="s">
        <v>24</v>
      </c>
      <c r="O66" s="38" t="s">
        <v>26</v>
      </c>
      <c r="P66" s="38" t="s">
        <v>27</v>
      </c>
      <c r="Q66" s="38" t="s">
        <v>26</v>
      </c>
      <c r="R66" s="38" t="s">
        <v>26</v>
      </c>
      <c r="S66" s="24" t="s">
        <v>26</v>
      </c>
      <c r="U66" s="37">
        <f t="shared" si="12"/>
        <v>7</v>
      </c>
      <c r="V66" s="37">
        <f t="shared" si="12"/>
        <v>11</v>
      </c>
      <c r="W66" s="37">
        <f t="shared" si="12"/>
        <v>7</v>
      </c>
      <c r="X66" s="37">
        <f t="shared" si="11"/>
        <v>12</v>
      </c>
      <c r="Y66" s="37">
        <f t="shared" si="11"/>
        <v>7</v>
      </c>
      <c r="Z66" s="37">
        <f t="shared" si="11"/>
        <v>7</v>
      </c>
      <c r="AA66" s="37">
        <f t="shared" si="11"/>
        <v>7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4" t="s">
        <v>17</v>
      </c>
      <c r="AL66" s="154">
        <v>1</v>
      </c>
      <c r="AM66" s="154">
        <v>1</v>
      </c>
      <c r="AN66" s="154">
        <v>5</v>
      </c>
      <c r="AO66" s="154">
        <v>1</v>
      </c>
      <c r="AP66" s="154">
        <v>1</v>
      </c>
      <c r="AQ66" s="154">
        <v>70</v>
      </c>
      <c r="AR66" s="154">
        <v>1</v>
      </c>
      <c r="AS66" s="151">
        <v>4</v>
      </c>
    </row>
    <row r="67" spans="2:45" ht="16.5" customHeight="1">
      <c r="B67" s="163">
        <v>0</v>
      </c>
      <c r="C67" s="161">
        <v>100</v>
      </c>
      <c r="L67" s="14">
        <v>63</v>
      </c>
      <c r="M67" s="38" t="s">
        <v>29</v>
      </c>
      <c r="N67" s="38" t="s">
        <v>64</v>
      </c>
      <c r="O67" s="38" t="s">
        <v>26</v>
      </c>
      <c r="P67" s="38" t="s">
        <v>27</v>
      </c>
      <c r="Q67" s="38" t="s">
        <v>18</v>
      </c>
      <c r="R67" s="38" t="s">
        <v>29</v>
      </c>
      <c r="S67" s="24" t="s">
        <v>26</v>
      </c>
      <c r="U67" s="37">
        <f t="shared" si="12"/>
        <v>19</v>
      </c>
      <c r="V67" s="37">
        <f t="shared" si="12"/>
        <v>14</v>
      </c>
      <c r="W67" s="37">
        <f t="shared" si="12"/>
        <v>7</v>
      </c>
      <c r="X67" s="37">
        <f t="shared" si="11"/>
        <v>12</v>
      </c>
      <c r="Y67" s="37">
        <f t="shared" si="11"/>
        <v>10</v>
      </c>
      <c r="Z67" s="37">
        <f t="shared" si="11"/>
        <v>19</v>
      </c>
      <c r="AA67" s="37">
        <f t="shared" si="11"/>
        <v>7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4" t="s">
        <v>18</v>
      </c>
      <c r="AL67" s="154">
        <v>1</v>
      </c>
      <c r="AM67" s="154">
        <v>70</v>
      </c>
      <c r="AN67" s="154">
        <v>1</v>
      </c>
      <c r="AO67" s="154">
        <v>1</v>
      </c>
      <c r="AP67" s="154">
        <v>1</v>
      </c>
      <c r="AQ67" s="154">
        <v>70</v>
      </c>
      <c r="AR67" s="154">
        <v>1</v>
      </c>
      <c r="AS67" s="151">
        <v>5</v>
      </c>
    </row>
    <row r="68" spans="2:45" ht="16.5" customHeight="1">
      <c r="B68" s="164">
        <v>1</v>
      </c>
      <c r="C68" s="159">
        <v>0</v>
      </c>
      <c r="L68" s="15">
        <v>64</v>
      </c>
      <c r="M68" s="38" t="s">
        <v>17</v>
      </c>
      <c r="N68" s="38" t="s">
        <v>27</v>
      </c>
      <c r="O68" s="38" t="s">
        <v>18</v>
      </c>
      <c r="P68" s="38" t="s">
        <v>29</v>
      </c>
      <c r="Q68" s="38" t="s">
        <v>89</v>
      </c>
      <c r="R68" s="38" t="s">
        <v>29</v>
      </c>
      <c r="S68" s="24" t="s">
        <v>28</v>
      </c>
      <c r="U68" s="37">
        <f t="shared" si="12"/>
        <v>14</v>
      </c>
      <c r="V68" s="37">
        <f t="shared" si="12"/>
        <v>12</v>
      </c>
      <c r="W68" s="37">
        <f t="shared" si="12"/>
        <v>10</v>
      </c>
      <c r="X68" s="37">
        <f t="shared" si="11"/>
        <v>19</v>
      </c>
      <c r="Y68" s="37">
        <f t="shared" si="11"/>
        <v>7</v>
      </c>
      <c r="Z68" s="37">
        <f t="shared" si="11"/>
        <v>19</v>
      </c>
      <c r="AA68" s="37">
        <f t="shared" si="11"/>
        <v>15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3</v>
      </c>
      <c r="AK68" s="154" t="s">
        <v>64</v>
      </c>
      <c r="AL68" s="154">
        <v>5</v>
      </c>
      <c r="AM68" s="154">
        <v>1</v>
      </c>
      <c r="AN68" s="154">
        <v>70</v>
      </c>
      <c r="AO68" s="154">
        <v>1</v>
      </c>
      <c r="AP68" s="154">
        <v>70</v>
      </c>
      <c r="AQ68" s="154">
        <v>1</v>
      </c>
      <c r="AR68" s="154">
        <v>1</v>
      </c>
      <c r="AS68" s="151">
        <v>6</v>
      </c>
    </row>
    <row r="69" spans="2:45" ht="16.5" customHeight="1">
      <c r="B69" s="164">
        <v>2</v>
      </c>
      <c r="C69" s="159">
        <v>20</v>
      </c>
      <c r="L69" s="14">
        <v>65</v>
      </c>
      <c r="M69" s="38" t="s">
        <v>27</v>
      </c>
      <c r="N69" s="38" t="s">
        <v>27</v>
      </c>
      <c r="O69" s="38" t="s">
        <v>24</v>
      </c>
      <c r="P69" s="38" t="s">
        <v>29</v>
      </c>
      <c r="Q69" s="38" t="s">
        <v>89</v>
      </c>
      <c r="R69" s="38" t="s">
        <v>27</v>
      </c>
      <c r="S69" s="24" t="s">
        <v>28</v>
      </c>
      <c r="U69" s="37">
        <f t="shared" si="12"/>
        <v>12</v>
      </c>
      <c r="V69" s="37">
        <f t="shared" si="12"/>
        <v>12</v>
      </c>
      <c r="W69" s="37">
        <f t="shared" si="12"/>
        <v>11</v>
      </c>
      <c r="X69" s="37">
        <f t="shared" si="11"/>
        <v>19</v>
      </c>
      <c r="Y69" s="37">
        <f t="shared" si="11"/>
        <v>7</v>
      </c>
      <c r="Z69" s="37">
        <f t="shared" si="11"/>
        <v>12</v>
      </c>
      <c r="AA69" s="37">
        <f t="shared" si="11"/>
        <v>15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4" t="s">
        <v>89</v>
      </c>
      <c r="AL69" s="154">
        <v>1</v>
      </c>
      <c r="AM69" s="154">
        <v>70</v>
      </c>
      <c r="AN69" s="154">
        <v>1</v>
      </c>
      <c r="AO69" s="154">
        <v>1</v>
      </c>
      <c r="AP69" s="154">
        <v>1</v>
      </c>
      <c r="AQ69" s="154">
        <v>70</v>
      </c>
      <c r="AR69" s="154">
        <v>1</v>
      </c>
      <c r="AS69" s="151">
        <v>7</v>
      </c>
    </row>
    <row r="70" spans="2:45" ht="16.5" customHeight="1">
      <c r="B70" s="164">
        <v>3</v>
      </c>
      <c r="C70" s="159">
        <v>100</v>
      </c>
      <c r="L70" s="15">
        <v>66</v>
      </c>
      <c r="M70" s="38" t="s">
        <v>27</v>
      </c>
      <c r="N70" s="38" t="s">
        <v>29</v>
      </c>
      <c r="O70" s="38" t="s">
        <v>24</v>
      </c>
      <c r="P70" s="38" t="s">
        <v>29</v>
      </c>
      <c r="Q70" s="38" t="s">
        <v>18</v>
      </c>
      <c r="R70" s="38" t="s">
        <v>24</v>
      </c>
      <c r="S70" s="24" t="s">
        <v>28</v>
      </c>
      <c r="U70" s="37">
        <f t="shared" si="12"/>
        <v>12</v>
      </c>
      <c r="V70" s="37">
        <f t="shared" si="12"/>
        <v>19</v>
      </c>
      <c r="W70" s="37">
        <f t="shared" si="12"/>
        <v>11</v>
      </c>
      <c r="X70" s="37">
        <f t="shared" si="11"/>
        <v>19</v>
      </c>
      <c r="Y70" s="37">
        <f t="shared" si="11"/>
        <v>10</v>
      </c>
      <c r="Z70" s="37">
        <f t="shared" si="11"/>
        <v>11</v>
      </c>
      <c r="AA70" s="37">
        <f t="shared" si="11"/>
        <v>15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</v>
      </c>
      <c r="AM70" s="37">
        <v>1</v>
      </c>
      <c r="AN70" s="37">
        <v>1</v>
      </c>
      <c r="AO70" s="37">
        <v>1</v>
      </c>
      <c r="AP70" s="37">
        <v>70</v>
      </c>
      <c r="AQ70" s="37">
        <v>1</v>
      </c>
      <c r="AR70" s="37">
        <v>1</v>
      </c>
      <c r="AS70" s="4">
        <v>8</v>
      </c>
    </row>
    <row r="71" spans="2:45" ht="16.5" customHeight="1">
      <c r="B71" s="164">
        <v>4</v>
      </c>
      <c r="C71" s="159">
        <v>5</v>
      </c>
      <c r="L71" s="14">
        <v>67</v>
      </c>
      <c r="M71" s="38" t="s">
        <v>18</v>
      </c>
      <c r="N71" s="38" t="s">
        <v>27</v>
      </c>
      <c r="O71" s="38" t="s">
        <v>24</v>
      </c>
      <c r="P71" s="38" t="s">
        <v>26</v>
      </c>
      <c r="Q71" s="38" t="s">
        <v>18</v>
      </c>
      <c r="R71" s="38" t="s">
        <v>64</v>
      </c>
      <c r="S71" s="24" t="s">
        <v>29</v>
      </c>
      <c r="U71" s="37">
        <f t="shared" si="12"/>
        <v>10</v>
      </c>
      <c r="V71" s="37">
        <f t="shared" si="12"/>
        <v>12</v>
      </c>
      <c r="W71" s="37">
        <f t="shared" si="12"/>
        <v>11</v>
      </c>
      <c r="X71" s="37">
        <f t="shared" si="11"/>
        <v>7</v>
      </c>
      <c r="Y71" s="37">
        <f t="shared" si="11"/>
        <v>10</v>
      </c>
      <c r="Z71" s="37">
        <f t="shared" si="11"/>
        <v>14</v>
      </c>
      <c r="AA71" s="37">
        <f t="shared" si="11"/>
        <v>19</v>
      </c>
      <c r="AC71" s="18">
        <v>1</v>
      </c>
      <c r="AD71" s="18">
        <v>1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1</v>
      </c>
      <c r="AM71" s="37">
        <v>1</v>
      </c>
      <c r="AN71" s="37">
        <v>1</v>
      </c>
      <c r="AO71" s="37">
        <v>70</v>
      </c>
      <c r="AP71" s="37">
        <v>1</v>
      </c>
      <c r="AQ71" s="37">
        <v>70</v>
      </c>
      <c r="AR71" s="37">
        <v>1</v>
      </c>
      <c r="AS71" s="4">
        <v>9</v>
      </c>
    </row>
    <row r="72" spans="2:45" ht="16.5" customHeight="1">
      <c r="B72" s="164">
        <v>5</v>
      </c>
      <c r="C72" s="159">
        <v>0</v>
      </c>
      <c r="L72" s="15">
        <v>68</v>
      </c>
      <c r="M72" s="38" t="s">
        <v>18</v>
      </c>
      <c r="N72" s="38" t="s">
        <v>27</v>
      </c>
      <c r="O72" s="38" t="s">
        <v>28</v>
      </c>
      <c r="P72" s="38" t="s">
        <v>230</v>
      </c>
      <c r="Q72" s="38" t="s">
        <v>230</v>
      </c>
      <c r="R72" s="38" t="s">
        <v>64</v>
      </c>
      <c r="S72" s="24" t="s">
        <v>21</v>
      </c>
      <c r="U72" s="37">
        <f t="shared" si="12"/>
        <v>10</v>
      </c>
      <c r="V72" s="37">
        <f t="shared" si="12"/>
        <v>12</v>
      </c>
      <c r="W72" s="37">
        <f t="shared" si="12"/>
        <v>15</v>
      </c>
      <c r="X72" s="37">
        <f t="shared" si="11"/>
        <v>0</v>
      </c>
      <c r="Y72" s="37">
        <f t="shared" si="11"/>
        <v>0</v>
      </c>
      <c r="Z72" s="37">
        <f t="shared" si="11"/>
        <v>14</v>
      </c>
      <c r="AA72" s="37">
        <f t="shared" si="11"/>
        <v>12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4">
        <v>1</v>
      </c>
      <c r="AK72" s="37" t="s">
        <v>27</v>
      </c>
      <c r="AL72" s="37">
        <v>1</v>
      </c>
      <c r="AM72" s="37">
        <v>1</v>
      </c>
      <c r="AN72" s="37">
        <v>5</v>
      </c>
      <c r="AO72" s="37">
        <v>1</v>
      </c>
      <c r="AP72" s="37">
        <v>1</v>
      </c>
      <c r="AQ72" s="37">
        <v>1</v>
      </c>
      <c r="AR72" s="37">
        <v>3</v>
      </c>
      <c r="AS72" s="4">
        <v>10</v>
      </c>
    </row>
    <row r="73" spans="2:45" ht="16.5" customHeight="1">
      <c r="B73" s="164">
        <v>6</v>
      </c>
      <c r="C73" s="159">
        <v>0</v>
      </c>
      <c r="L73" s="14">
        <v>69</v>
      </c>
      <c r="M73" s="38" t="s">
        <v>26</v>
      </c>
      <c r="N73" s="38" t="s">
        <v>27</v>
      </c>
      <c r="O73" s="38" t="s">
        <v>28</v>
      </c>
      <c r="P73" s="38" t="s">
        <v>64</v>
      </c>
      <c r="Q73" s="38" t="s">
        <v>64</v>
      </c>
      <c r="R73" s="38" t="s">
        <v>29</v>
      </c>
      <c r="S73" s="24" t="s">
        <v>21</v>
      </c>
      <c r="U73" s="37">
        <f t="shared" si="12"/>
        <v>7</v>
      </c>
      <c r="V73" s="37">
        <f t="shared" si="12"/>
        <v>12</v>
      </c>
      <c r="W73" s="37">
        <f t="shared" si="12"/>
        <v>15</v>
      </c>
      <c r="X73" s="37">
        <f t="shared" si="11"/>
        <v>14</v>
      </c>
      <c r="Y73" s="37">
        <f t="shared" si="11"/>
        <v>14</v>
      </c>
      <c r="Z73" s="37">
        <f t="shared" si="11"/>
        <v>19</v>
      </c>
      <c r="AA73" s="37">
        <f t="shared" si="11"/>
        <v>12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4">
        <v>1</v>
      </c>
      <c r="AK73" s="37" t="s">
        <v>28</v>
      </c>
      <c r="AL73" s="37">
        <v>1</v>
      </c>
      <c r="AM73" s="37">
        <v>70</v>
      </c>
      <c r="AN73" s="37">
        <v>1</v>
      </c>
      <c r="AO73" s="37">
        <v>1</v>
      </c>
      <c r="AP73" s="37">
        <v>1</v>
      </c>
      <c r="AQ73" s="37">
        <v>1</v>
      </c>
      <c r="AR73" s="37">
        <v>1</v>
      </c>
      <c r="AS73" s="4">
        <v>11</v>
      </c>
    </row>
    <row r="74" spans="2:45" ht="16.5" customHeight="1">
      <c r="B74" s="164">
        <v>7</v>
      </c>
      <c r="C74" s="159">
        <v>0</v>
      </c>
      <c r="L74" s="15">
        <v>70</v>
      </c>
      <c r="M74" s="38" t="s">
        <v>29</v>
      </c>
      <c r="N74" s="38" t="s">
        <v>240</v>
      </c>
      <c r="O74" s="38" t="s">
        <v>28</v>
      </c>
      <c r="P74" s="38" t="s">
        <v>64</v>
      </c>
      <c r="Q74" s="38" t="s">
        <v>18</v>
      </c>
      <c r="R74" s="38" t="s">
        <v>28</v>
      </c>
      <c r="S74" s="24" t="s">
        <v>17</v>
      </c>
      <c r="U74" s="37">
        <f t="shared" si="12"/>
        <v>19</v>
      </c>
      <c r="V74" s="37">
        <f t="shared" si="12"/>
        <v>0</v>
      </c>
      <c r="W74" s="37">
        <f t="shared" si="12"/>
        <v>15</v>
      </c>
      <c r="X74" s="37">
        <f t="shared" si="11"/>
        <v>14</v>
      </c>
      <c r="Y74" s="37">
        <f t="shared" si="11"/>
        <v>10</v>
      </c>
      <c r="Z74" s="37">
        <f t="shared" si="11"/>
        <v>15</v>
      </c>
      <c r="AA74" s="37">
        <f t="shared" si="11"/>
        <v>14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4">
        <v>3</v>
      </c>
      <c r="AK74" s="37" t="s">
        <v>29</v>
      </c>
      <c r="AL74" s="37">
        <v>70</v>
      </c>
      <c r="AM74" s="37">
        <v>1</v>
      </c>
      <c r="AN74" s="37">
        <v>1</v>
      </c>
      <c r="AO74" s="37">
        <v>1</v>
      </c>
      <c r="AP74" s="37">
        <v>1</v>
      </c>
      <c r="AQ74" s="37">
        <v>1</v>
      </c>
      <c r="AR74" s="37">
        <v>1</v>
      </c>
      <c r="AS74" s="4">
        <v>12</v>
      </c>
    </row>
    <row r="75" spans="2:45" ht="16.5" customHeight="1">
      <c r="L75" s="14">
        <v>71</v>
      </c>
      <c r="M75" s="38" t="s">
        <v>29</v>
      </c>
      <c r="N75" s="38" t="s">
        <v>28</v>
      </c>
      <c r="O75" s="38" t="s">
        <v>26</v>
      </c>
      <c r="P75" s="38" t="s">
        <v>24</v>
      </c>
      <c r="Q75" s="38" t="s">
        <v>24</v>
      </c>
      <c r="R75" s="38" t="s">
        <v>24</v>
      </c>
      <c r="S75" s="24" t="s">
        <v>17</v>
      </c>
      <c r="U75" s="37">
        <f t="shared" si="12"/>
        <v>19</v>
      </c>
      <c r="V75" s="37">
        <f t="shared" si="12"/>
        <v>15</v>
      </c>
      <c r="W75" s="37">
        <f t="shared" si="12"/>
        <v>7</v>
      </c>
      <c r="X75" s="37">
        <f t="shared" si="11"/>
        <v>11</v>
      </c>
      <c r="Y75" s="37">
        <f t="shared" si="11"/>
        <v>11</v>
      </c>
      <c r="Z75" s="37">
        <f t="shared" si="11"/>
        <v>11</v>
      </c>
      <c r="AA75" s="37">
        <f t="shared" si="11"/>
        <v>14</v>
      </c>
      <c r="AC75" s="18">
        <v>1</v>
      </c>
      <c r="AD75" s="18">
        <v>1</v>
      </c>
      <c r="AE75" s="18">
        <v>1</v>
      </c>
      <c r="AF75" s="18">
        <v>1</v>
      </c>
      <c r="AG75" s="18">
        <v>1</v>
      </c>
      <c r="AH75" s="18">
        <v>1</v>
      </c>
      <c r="AI75" s="4">
        <v>1</v>
      </c>
      <c r="AK75" s="154" t="s">
        <v>222</v>
      </c>
      <c r="AL75" s="154">
        <v>0</v>
      </c>
      <c r="AM75" s="154">
        <v>0</v>
      </c>
      <c r="AN75" s="154">
        <v>0</v>
      </c>
      <c r="AO75" s="154">
        <v>0</v>
      </c>
      <c r="AP75" s="154">
        <v>0</v>
      </c>
      <c r="AQ75" s="154">
        <v>0</v>
      </c>
      <c r="AR75" s="154">
        <v>0</v>
      </c>
      <c r="AS75" s="151">
        <v>13</v>
      </c>
    </row>
    <row r="76" spans="2:45" ht="16.5" customHeight="1">
      <c r="L76" s="15">
        <v>72</v>
      </c>
      <c r="M76" s="38" t="s">
        <v>26</v>
      </c>
      <c r="N76" s="38" t="s">
        <v>232</v>
      </c>
      <c r="O76" s="38" t="s">
        <v>18</v>
      </c>
      <c r="P76" s="38" t="s">
        <v>64</v>
      </c>
      <c r="Q76" s="38" t="s">
        <v>18</v>
      </c>
      <c r="R76" s="38" t="s">
        <v>24</v>
      </c>
      <c r="S76" s="24" t="s">
        <v>17</v>
      </c>
      <c r="U76" s="37">
        <f t="shared" si="12"/>
        <v>7</v>
      </c>
      <c r="V76" s="37">
        <f t="shared" si="12"/>
        <v>0</v>
      </c>
      <c r="W76" s="37">
        <f t="shared" si="12"/>
        <v>10</v>
      </c>
      <c r="X76" s="37">
        <f t="shared" si="11"/>
        <v>14</v>
      </c>
      <c r="Y76" s="37">
        <f t="shared" si="11"/>
        <v>10</v>
      </c>
      <c r="Z76" s="37">
        <f t="shared" si="11"/>
        <v>11</v>
      </c>
      <c r="AA76" s="37">
        <f t="shared" si="11"/>
        <v>14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4">
        <v>1</v>
      </c>
      <c r="AK76" s="154" t="s">
        <v>224</v>
      </c>
      <c r="AL76" s="154">
        <v>0</v>
      </c>
      <c r="AM76" s="154">
        <v>1</v>
      </c>
      <c r="AN76" s="154">
        <v>1</v>
      </c>
      <c r="AO76" s="154">
        <v>1</v>
      </c>
      <c r="AP76" s="154">
        <v>1</v>
      </c>
      <c r="AQ76" s="154">
        <v>0</v>
      </c>
      <c r="AR76" s="154">
        <v>0</v>
      </c>
      <c r="AS76" s="151">
        <v>14</v>
      </c>
    </row>
    <row r="77" spans="2:45" ht="16.5" customHeight="1">
      <c r="L77" s="14">
        <v>73</v>
      </c>
      <c r="M77" s="38" t="s">
        <v>28</v>
      </c>
      <c r="N77" s="38" t="s">
        <v>24</v>
      </c>
      <c r="O77" s="38" t="s">
        <v>28</v>
      </c>
      <c r="P77" s="38" t="s">
        <v>28</v>
      </c>
      <c r="Q77" s="38" t="s">
        <v>17</v>
      </c>
      <c r="R77" s="38" t="s">
        <v>17</v>
      </c>
      <c r="S77" s="24" t="s">
        <v>27</v>
      </c>
      <c r="U77" s="37">
        <f t="shared" si="12"/>
        <v>15</v>
      </c>
      <c r="V77" s="37">
        <f t="shared" si="12"/>
        <v>11</v>
      </c>
      <c r="W77" s="37">
        <f t="shared" si="12"/>
        <v>15</v>
      </c>
      <c r="X77" s="37">
        <f t="shared" si="11"/>
        <v>15</v>
      </c>
      <c r="Y77" s="37">
        <f t="shared" si="11"/>
        <v>14</v>
      </c>
      <c r="Z77" s="37">
        <f t="shared" si="11"/>
        <v>14</v>
      </c>
      <c r="AA77" s="37">
        <f t="shared" si="11"/>
        <v>12</v>
      </c>
      <c r="AC77" s="18">
        <v>1</v>
      </c>
      <c r="AD77" s="18">
        <v>1</v>
      </c>
      <c r="AE77" s="18">
        <v>1</v>
      </c>
      <c r="AF77" s="18">
        <v>1</v>
      </c>
      <c r="AG77" s="18">
        <v>1</v>
      </c>
      <c r="AH77" s="18">
        <v>1</v>
      </c>
      <c r="AI77" s="4">
        <v>2</v>
      </c>
      <c r="AK77" s="154" t="s">
        <v>226</v>
      </c>
      <c r="AL77" s="154">
        <v>0</v>
      </c>
      <c r="AM77" s="154">
        <v>1</v>
      </c>
      <c r="AN77" s="154">
        <v>1</v>
      </c>
      <c r="AO77" s="154">
        <v>1</v>
      </c>
      <c r="AP77" s="154">
        <v>1</v>
      </c>
      <c r="AQ77" s="154">
        <v>0</v>
      </c>
      <c r="AR77" s="154">
        <v>0</v>
      </c>
      <c r="AS77" s="151">
        <v>15</v>
      </c>
    </row>
    <row r="78" spans="2:45" ht="16.5" customHeight="1">
      <c r="L78" s="15">
        <v>74</v>
      </c>
      <c r="M78" s="38" t="s">
        <v>64</v>
      </c>
      <c r="N78" s="38" t="s">
        <v>69</v>
      </c>
      <c r="O78" s="38" t="s">
        <v>28</v>
      </c>
      <c r="P78" s="38" t="s">
        <v>28</v>
      </c>
      <c r="Q78" s="38" t="s">
        <v>17</v>
      </c>
      <c r="R78" s="38" t="s">
        <v>17</v>
      </c>
      <c r="S78" s="24" t="s">
        <v>27</v>
      </c>
      <c r="U78" s="37">
        <f t="shared" si="12"/>
        <v>14</v>
      </c>
      <c r="V78" s="37">
        <f t="shared" si="12"/>
        <v>0</v>
      </c>
      <c r="W78" s="37">
        <f t="shared" si="12"/>
        <v>15</v>
      </c>
      <c r="X78" s="37">
        <f t="shared" si="11"/>
        <v>15</v>
      </c>
      <c r="Y78" s="37">
        <f t="shared" si="11"/>
        <v>14</v>
      </c>
      <c r="Z78" s="37">
        <f t="shared" si="11"/>
        <v>14</v>
      </c>
      <c r="AA78" s="37">
        <f t="shared" si="11"/>
        <v>12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4">
        <v>1</v>
      </c>
      <c r="AK78" s="154" t="s">
        <v>228</v>
      </c>
      <c r="AL78" s="154">
        <v>0</v>
      </c>
      <c r="AM78" s="154">
        <v>1</v>
      </c>
      <c r="AN78" s="154">
        <v>1</v>
      </c>
      <c r="AO78" s="154">
        <v>1</v>
      </c>
      <c r="AP78" s="154">
        <v>1</v>
      </c>
      <c r="AQ78" s="154">
        <v>0</v>
      </c>
      <c r="AR78" s="154">
        <v>0</v>
      </c>
      <c r="AS78" s="151">
        <v>16</v>
      </c>
    </row>
    <row r="79" spans="2:45" ht="16.5" customHeight="1">
      <c r="L79" s="14">
        <v>75</v>
      </c>
      <c r="M79" s="38" t="s">
        <v>29</v>
      </c>
      <c r="N79" s="38" t="s">
        <v>69</v>
      </c>
      <c r="O79" s="38" t="s">
        <v>24</v>
      </c>
      <c r="P79" s="38" t="s">
        <v>240</v>
      </c>
      <c r="Q79" s="38" t="s">
        <v>226</v>
      </c>
      <c r="R79" s="38" t="s">
        <v>17</v>
      </c>
      <c r="S79" s="24" t="s">
        <v>27</v>
      </c>
      <c r="U79" s="37">
        <f t="shared" si="12"/>
        <v>19</v>
      </c>
      <c r="V79" s="37">
        <f t="shared" si="12"/>
        <v>0</v>
      </c>
      <c r="W79" s="37">
        <f t="shared" si="12"/>
        <v>11</v>
      </c>
      <c r="X79" s="37">
        <f t="shared" si="11"/>
        <v>0</v>
      </c>
      <c r="Y79" s="37">
        <f t="shared" si="11"/>
        <v>0</v>
      </c>
      <c r="Z79" s="37">
        <f t="shared" si="11"/>
        <v>14</v>
      </c>
      <c r="AA79" s="37">
        <f t="shared" si="11"/>
        <v>12</v>
      </c>
      <c r="AC79" s="18">
        <v>1</v>
      </c>
      <c r="AD79" s="18">
        <v>1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4" t="s">
        <v>230</v>
      </c>
      <c r="AL79" s="154">
        <v>0</v>
      </c>
      <c r="AM79" s="154">
        <v>1</v>
      </c>
      <c r="AN79" s="154">
        <v>1</v>
      </c>
      <c r="AO79" s="154">
        <v>1</v>
      </c>
      <c r="AP79" s="154">
        <v>2</v>
      </c>
      <c r="AQ79" s="154">
        <v>0</v>
      </c>
      <c r="AR79" s="154">
        <v>0</v>
      </c>
      <c r="AS79" s="151">
        <v>17</v>
      </c>
    </row>
    <row r="80" spans="2:45">
      <c r="L80" s="15">
        <v>76</v>
      </c>
      <c r="M80" s="38" t="s">
        <v>29</v>
      </c>
      <c r="N80" s="38" t="s">
        <v>89</v>
      </c>
      <c r="O80" s="38" t="s">
        <v>26</v>
      </c>
      <c r="P80" s="38" t="s">
        <v>29</v>
      </c>
      <c r="Q80" s="38" t="s">
        <v>64</v>
      </c>
      <c r="R80" s="38" t="s">
        <v>64</v>
      </c>
      <c r="S80" s="38" t="s">
        <v>17</v>
      </c>
      <c r="U80" s="37">
        <f t="shared" si="12"/>
        <v>19</v>
      </c>
      <c r="V80" s="37">
        <f t="shared" si="12"/>
        <v>7</v>
      </c>
      <c r="W80" s="37">
        <f t="shared" si="12"/>
        <v>7</v>
      </c>
      <c r="X80" s="37">
        <f t="shared" si="11"/>
        <v>19</v>
      </c>
      <c r="Y80" s="37">
        <f t="shared" si="11"/>
        <v>14</v>
      </c>
      <c r="Z80" s="37">
        <f t="shared" si="11"/>
        <v>14</v>
      </c>
      <c r="AA80" s="37">
        <f t="shared" si="11"/>
        <v>14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4">
        <v>1</v>
      </c>
      <c r="AK80" s="154" t="s">
        <v>232</v>
      </c>
      <c r="AL80" s="154">
        <v>0</v>
      </c>
      <c r="AM80" s="154">
        <v>1</v>
      </c>
      <c r="AN80" s="154">
        <v>1</v>
      </c>
      <c r="AO80" s="154">
        <v>1</v>
      </c>
      <c r="AP80" s="154">
        <v>1</v>
      </c>
      <c r="AQ80" s="154">
        <v>0</v>
      </c>
      <c r="AR80" s="154">
        <v>0</v>
      </c>
      <c r="AS80" s="151">
        <v>18</v>
      </c>
    </row>
    <row r="81" spans="12:45">
      <c r="L81" s="14">
        <v>77</v>
      </c>
      <c r="M81" s="38" t="s">
        <v>27</v>
      </c>
      <c r="N81" s="38" t="s">
        <v>89</v>
      </c>
      <c r="O81" s="38" t="s">
        <v>26</v>
      </c>
      <c r="P81" s="38" t="s">
        <v>29</v>
      </c>
      <c r="Q81" s="38" t="s">
        <v>64</v>
      </c>
      <c r="R81" s="38" t="s">
        <v>64</v>
      </c>
      <c r="S81" s="24" t="s">
        <v>29</v>
      </c>
      <c r="U81" s="37">
        <f t="shared" si="12"/>
        <v>12</v>
      </c>
      <c r="V81" s="37">
        <f t="shared" si="12"/>
        <v>7</v>
      </c>
      <c r="W81" s="37">
        <f t="shared" si="12"/>
        <v>7</v>
      </c>
      <c r="X81" s="37">
        <f t="shared" si="11"/>
        <v>19</v>
      </c>
      <c r="Y81" s="37">
        <f t="shared" si="11"/>
        <v>14</v>
      </c>
      <c r="Z81" s="37">
        <f t="shared" si="11"/>
        <v>14</v>
      </c>
      <c r="AA81" s="37">
        <f t="shared" si="11"/>
        <v>19</v>
      </c>
      <c r="AC81" s="18">
        <v>1</v>
      </c>
      <c r="AD81" s="18">
        <v>1</v>
      </c>
      <c r="AE81" s="18">
        <v>1</v>
      </c>
      <c r="AF81" s="18">
        <v>1</v>
      </c>
      <c r="AG81" s="18">
        <v>1</v>
      </c>
      <c r="AH81" s="18">
        <v>1</v>
      </c>
      <c r="AI81" s="4">
        <v>3</v>
      </c>
      <c r="AK81" s="37" t="s">
        <v>234</v>
      </c>
      <c r="AL81" s="37">
        <v>0</v>
      </c>
      <c r="AM81" s="37">
        <v>1</v>
      </c>
      <c r="AN81" s="37">
        <v>1</v>
      </c>
      <c r="AO81" s="37">
        <v>1</v>
      </c>
      <c r="AP81" s="37">
        <v>1</v>
      </c>
      <c r="AQ81" s="37">
        <v>0</v>
      </c>
      <c r="AR81" s="37">
        <v>0</v>
      </c>
      <c r="AS81" s="4">
        <v>19</v>
      </c>
    </row>
    <row r="82" spans="12:45">
      <c r="L82" s="15">
        <v>78</v>
      </c>
      <c r="M82" s="38" t="s">
        <v>28</v>
      </c>
      <c r="N82" s="38" t="s">
        <v>21</v>
      </c>
      <c r="O82" s="38" t="s">
        <v>26</v>
      </c>
      <c r="P82" s="38" t="s">
        <v>24</v>
      </c>
      <c r="Q82" s="38" t="s">
        <v>89</v>
      </c>
      <c r="R82" s="38" t="s">
        <v>64</v>
      </c>
      <c r="S82" s="24" t="s">
        <v>29</v>
      </c>
      <c r="U82" s="37">
        <f t="shared" si="12"/>
        <v>15</v>
      </c>
      <c r="V82" s="37">
        <f t="shared" si="12"/>
        <v>12</v>
      </c>
      <c r="W82" s="37">
        <f t="shared" si="12"/>
        <v>7</v>
      </c>
      <c r="X82" s="37">
        <f t="shared" si="11"/>
        <v>11</v>
      </c>
      <c r="Y82" s="37">
        <f t="shared" si="11"/>
        <v>7</v>
      </c>
      <c r="Z82" s="37">
        <f t="shared" si="11"/>
        <v>14</v>
      </c>
      <c r="AA82" s="37">
        <f t="shared" si="11"/>
        <v>19</v>
      </c>
      <c r="AC82" s="18">
        <v>1</v>
      </c>
      <c r="AD82" s="18">
        <v>1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0</v>
      </c>
      <c r="AM82" s="37">
        <v>1</v>
      </c>
      <c r="AN82" s="37">
        <v>1</v>
      </c>
      <c r="AO82" s="37">
        <v>1</v>
      </c>
      <c r="AP82" s="37">
        <v>1</v>
      </c>
      <c r="AQ82" s="37">
        <v>0</v>
      </c>
      <c r="AR82" s="37">
        <v>0</v>
      </c>
      <c r="AS82" s="4">
        <v>20</v>
      </c>
    </row>
    <row r="83" spans="12:45">
      <c r="L83" s="14">
        <v>79</v>
      </c>
      <c r="M83" s="38" t="s">
        <v>64</v>
      </c>
      <c r="N83" s="38" t="s">
        <v>21</v>
      </c>
      <c r="O83" s="38" t="s">
        <v>18</v>
      </c>
      <c r="P83" s="38" t="s">
        <v>228</v>
      </c>
      <c r="Q83" s="38" t="s">
        <v>89</v>
      </c>
      <c r="R83" s="38" t="s">
        <v>29</v>
      </c>
      <c r="S83" s="24" t="s">
        <v>29</v>
      </c>
      <c r="U83" s="37">
        <f t="shared" si="12"/>
        <v>14</v>
      </c>
      <c r="V83" s="37">
        <f t="shared" si="12"/>
        <v>12</v>
      </c>
      <c r="W83" s="37">
        <f t="shared" si="12"/>
        <v>10</v>
      </c>
      <c r="X83" s="37">
        <f t="shared" si="11"/>
        <v>0</v>
      </c>
      <c r="Y83" s="37">
        <f t="shared" si="11"/>
        <v>7</v>
      </c>
      <c r="Z83" s="37">
        <f t="shared" si="11"/>
        <v>19</v>
      </c>
      <c r="AA83" s="37">
        <f t="shared" si="11"/>
        <v>19</v>
      </c>
      <c r="AC83" s="18">
        <v>1</v>
      </c>
      <c r="AD83" s="18">
        <v>1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0</v>
      </c>
      <c r="AM83" s="37">
        <v>1</v>
      </c>
      <c r="AN83" s="37">
        <v>1</v>
      </c>
      <c r="AO83" s="37">
        <v>1</v>
      </c>
      <c r="AP83" s="37">
        <v>1</v>
      </c>
      <c r="AQ83" s="37">
        <v>0</v>
      </c>
      <c r="AR83" s="37">
        <v>0</v>
      </c>
      <c r="AS83" s="4">
        <v>21</v>
      </c>
    </row>
    <row r="84" spans="12:45">
      <c r="L84" s="15">
        <v>80</v>
      </c>
      <c r="M84" s="38" t="s">
        <v>64</v>
      </c>
      <c r="N84" s="38" t="s">
        <v>26</v>
      </c>
      <c r="O84" s="38" t="s">
        <v>28</v>
      </c>
      <c r="P84" s="38" t="s">
        <v>18</v>
      </c>
      <c r="Q84" s="38" t="s">
        <v>232</v>
      </c>
      <c r="R84" s="38" t="s">
        <v>27</v>
      </c>
      <c r="S84" s="24" t="s">
        <v>24</v>
      </c>
      <c r="U84" s="37">
        <f t="shared" si="12"/>
        <v>14</v>
      </c>
      <c r="V84" s="37">
        <f t="shared" si="12"/>
        <v>7</v>
      </c>
      <c r="W84" s="37">
        <f t="shared" si="12"/>
        <v>15</v>
      </c>
      <c r="X84" s="37">
        <f t="shared" si="11"/>
        <v>10</v>
      </c>
      <c r="Y84" s="37">
        <f t="shared" si="11"/>
        <v>0</v>
      </c>
      <c r="Z84" s="37">
        <f t="shared" si="11"/>
        <v>12</v>
      </c>
      <c r="AA84" s="37">
        <f t="shared" si="11"/>
        <v>11</v>
      </c>
      <c r="AC84" s="18">
        <v>1</v>
      </c>
      <c r="AD84" s="18">
        <v>1</v>
      </c>
      <c r="AE84" s="18">
        <v>1</v>
      </c>
      <c r="AF84" s="18">
        <v>1</v>
      </c>
      <c r="AG84" s="18">
        <v>1</v>
      </c>
      <c r="AH84" s="18">
        <v>1</v>
      </c>
      <c r="AI84" s="4">
        <v>3</v>
      </c>
      <c r="AK84" s="37" t="s">
        <v>240</v>
      </c>
      <c r="AL84" s="37">
        <v>0</v>
      </c>
      <c r="AM84" s="37">
        <v>1</v>
      </c>
      <c r="AN84" s="37">
        <v>1</v>
      </c>
      <c r="AO84" s="37">
        <v>1</v>
      </c>
      <c r="AP84" s="37">
        <v>1</v>
      </c>
      <c r="AQ84" s="37">
        <v>0</v>
      </c>
      <c r="AR84" s="37">
        <v>0</v>
      </c>
      <c r="AS84" s="4">
        <v>22</v>
      </c>
    </row>
    <row r="85" spans="12:45">
      <c r="L85" s="14">
        <v>81</v>
      </c>
      <c r="M85" s="38" t="s">
        <v>28</v>
      </c>
      <c r="N85" s="38" t="s">
        <v>26</v>
      </c>
      <c r="O85" s="38" t="s">
        <v>21</v>
      </c>
      <c r="P85" s="38" t="s">
        <v>64</v>
      </c>
      <c r="Q85" s="38" t="s">
        <v>28</v>
      </c>
      <c r="R85" s="38" t="s">
        <v>27</v>
      </c>
      <c r="S85" s="24" t="s">
        <v>24</v>
      </c>
      <c r="U85" s="37">
        <f t="shared" si="12"/>
        <v>15</v>
      </c>
      <c r="V85" s="37">
        <f t="shared" si="12"/>
        <v>7</v>
      </c>
      <c r="W85" s="37">
        <f t="shared" si="12"/>
        <v>12</v>
      </c>
      <c r="X85" s="37">
        <f t="shared" si="11"/>
        <v>14</v>
      </c>
      <c r="Y85" s="37">
        <f t="shared" si="11"/>
        <v>15</v>
      </c>
      <c r="Z85" s="37">
        <f t="shared" si="11"/>
        <v>12</v>
      </c>
      <c r="AA85" s="37">
        <f t="shared" si="11"/>
        <v>11</v>
      </c>
      <c r="AC85" s="18">
        <v>1</v>
      </c>
      <c r="AD85" s="18">
        <v>1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0</v>
      </c>
      <c r="AM85" s="37">
        <v>1</v>
      </c>
      <c r="AN85" s="37">
        <v>1</v>
      </c>
      <c r="AO85" s="37">
        <v>1</v>
      </c>
      <c r="AP85" s="37">
        <v>1</v>
      </c>
      <c r="AQ85" s="37">
        <v>0</v>
      </c>
      <c r="AR85" s="37">
        <v>0</v>
      </c>
      <c r="AS85" s="4">
        <v>23</v>
      </c>
    </row>
    <row r="86" spans="12:45">
      <c r="L86" s="15">
        <v>82</v>
      </c>
      <c r="M86" s="38" t="s">
        <v>29</v>
      </c>
      <c r="N86" s="38" t="s">
        <v>27</v>
      </c>
      <c r="O86" s="38" t="s">
        <v>21</v>
      </c>
      <c r="P86" s="38" t="s">
        <v>27</v>
      </c>
      <c r="Q86" s="38" t="s">
        <v>28</v>
      </c>
      <c r="R86" s="38" t="s">
        <v>24</v>
      </c>
      <c r="S86" s="24" t="s">
        <v>24</v>
      </c>
      <c r="U86" s="37">
        <f t="shared" si="12"/>
        <v>19</v>
      </c>
      <c r="V86" s="37">
        <f t="shared" si="12"/>
        <v>12</v>
      </c>
      <c r="W86" s="37">
        <f t="shared" si="12"/>
        <v>12</v>
      </c>
      <c r="X86" s="37">
        <f t="shared" si="11"/>
        <v>12</v>
      </c>
      <c r="Y86" s="37">
        <f t="shared" si="11"/>
        <v>15</v>
      </c>
      <c r="Z86" s="37">
        <f t="shared" si="11"/>
        <v>11</v>
      </c>
      <c r="AA86" s="37">
        <f t="shared" si="11"/>
        <v>11</v>
      </c>
      <c r="AC86" s="18">
        <v>1</v>
      </c>
      <c r="AD86" s="18">
        <v>1</v>
      </c>
      <c r="AE86" s="18">
        <v>1</v>
      </c>
      <c r="AF86" s="18">
        <v>1</v>
      </c>
      <c r="AG86" s="18">
        <v>1</v>
      </c>
      <c r="AH86" s="18">
        <v>1</v>
      </c>
      <c r="AI86" s="4">
        <v>1</v>
      </c>
      <c r="AK86" s="154" t="s">
        <v>94</v>
      </c>
      <c r="AL86" s="154">
        <v>0</v>
      </c>
      <c r="AM86" s="154">
        <v>0</v>
      </c>
      <c r="AN86" s="154">
        <v>0</v>
      </c>
      <c r="AO86" s="154">
        <v>0</v>
      </c>
      <c r="AP86" s="154">
        <v>0</v>
      </c>
      <c r="AQ86" s="154">
        <v>0</v>
      </c>
      <c r="AR86" s="154">
        <v>0</v>
      </c>
      <c r="AS86" s="151">
        <v>24</v>
      </c>
    </row>
    <row r="87" spans="12:45">
      <c r="L87" s="14">
        <v>83</v>
      </c>
      <c r="M87" s="38" t="s">
        <v>28</v>
      </c>
      <c r="N87" s="38" t="s">
        <v>27</v>
      </c>
      <c r="O87" s="38" t="s">
        <v>21</v>
      </c>
      <c r="P87" s="38" t="s">
        <v>18</v>
      </c>
      <c r="Q87" s="38" t="s">
        <v>89</v>
      </c>
      <c r="R87" s="38" t="s">
        <v>29</v>
      </c>
      <c r="S87" s="24" t="s">
        <v>27</v>
      </c>
      <c r="U87" s="37">
        <f t="shared" si="12"/>
        <v>15</v>
      </c>
      <c r="V87" s="37">
        <f t="shared" si="12"/>
        <v>12</v>
      </c>
      <c r="W87" s="37">
        <f t="shared" si="12"/>
        <v>12</v>
      </c>
      <c r="X87" s="37">
        <f t="shared" si="11"/>
        <v>10</v>
      </c>
      <c r="Y87" s="37">
        <f t="shared" si="11"/>
        <v>7</v>
      </c>
      <c r="Z87" s="37">
        <f t="shared" si="11"/>
        <v>19</v>
      </c>
      <c r="AA87" s="37">
        <f t="shared" si="11"/>
        <v>12</v>
      </c>
      <c r="AC87" s="18">
        <v>1</v>
      </c>
      <c r="AD87" s="18">
        <v>1</v>
      </c>
      <c r="AE87" s="18">
        <v>1</v>
      </c>
      <c r="AF87" s="18">
        <v>1</v>
      </c>
      <c r="AG87" s="18">
        <v>1</v>
      </c>
      <c r="AH87" s="18">
        <v>1</v>
      </c>
      <c r="AI87" s="4">
        <v>3</v>
      </c>
      <c r="AK87" s="154" t="s">
        <v>256</v>
      </c>
      <c r="AL87" s="154">
        <v>0</v>
      </c>
      <c r="AM87" s="154">
        <v>1</v>
      </c>
      <c r="AN87" s="154">
        <v>1</v>
      </c>
      <c r="AO87" s="154">
        <v>1</v>
      </c>
      <c r="AP87" s="154">
        <v>1</v>
      </c>
      <c r="AQ87" s="154">
        <v>0</v>
      </c>
      <c r="AR87" s="154">
        <v>0</v>
      </c>
      <c r="AS87" s="151">
        <v>25</v>
      </c>
    </row>
    <row r="88" spans="12:45">
      <c r="L88" s="15">
        <v>84</v>
      </c>
      <c r="M88" s="38" t="s">
        <v>28</v>
      </c>
      <c r="N88" s="38" t="s">
        <v>64</v>
      </c>
      <c r="O88" s="38" t="s">
        <v>18</v>
      </c>
      <c r="P88" s="38" t="s">
        <v>27</v>
      </c>
      <c r="Q88" s="38" t="s">
        <v>21</v>
      </c>
      <c r="R88" s="38" t="s">
        <v>29</v>
      </c>
      <c r="S88" s="24" t="s">
        <v>27</v>
      </c>
      <c r="U88" s="37">
        <f t="shared" si="12"/>
        <v>15</v>
      </c>
      <c r="V88" s="37">
        <f t="shared" si="12"/>
        <v>14</v>
      </c>
      <c r="W88" s="37">
        <f t="shared" si="12"/>
        <v>10</v>
      </c>
      <c r="X88" s="37">
        <f t="shared" si="11"/>
        <v>12</v>
      </c>
      <c r="Y88" s="37">
        <f t="shared" si="11"/>
        <v>12</v>
      </c>
      <c r="Z88" s="37">
        <f t="shared" si="11"/>
        <v>19</v>
      </c>
      <c r="AA88" s="37">
        <f t="shared" si="11"/>
        <v>12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4">
        <v>1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>
      <c r="L89" s="14">
        <v>85</v>
      </c>
      <c r="M89" s="38" t="s">
        <v>29</v>
      </c>
      <c r="N89" s="38" t="s">
        <v>24</v>
      </c>
      <c r="O89" s="38" t="s">
        <v>234</v>
      </c>
      <c r="P89" s="38" t="s">
        <v>27</v>
      </c>
      <c r="Q89" s="38" t="s">
        <v>26</v>
      </c>
      <c r="R89" s="38" t="s">
        <v>24</v>
      </c>
      <c r="S89" s="24" t="s">
        <v>27</v>
      </c>
      <c r="U89" s="37">
        <f t="shared" si="12"/>
        <v>19</v>
      </c>
      <c r="V89" s="37">
        <f t="shared" si="12"/>
        <v>11</v>
      </c>
      <c r="W89" s="37">
        <f t="shared" si="12"/>
        <v>0</v>
      </c>
      <c r="X89" s="37">
        <f t="shared" si="11"/>
        <v>12</v>
      </c>
      <c r="Y89" s="37">
        <f t="shared" si="11"/>
        <v>7</v>
      </c>
      <c r="Z89" s="37">
        <f t="shared" si="11"/>
        <v>11</v>
      </c>
      <c r="AA89" s="37">
        <f t="shared" si="11"/>
        <v>12</v>
      </c>
      <c r="AC89" s="18">
        <v>1</v>
      </c>
      <c r="AD89" s="18">
        <v>1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>
      <c r="L90" s="15">
        <v>86</v>
      </c>
      <c r="M90" s="38" t="s">
        <v>29</v>
      </c>
      <c r="N90" s="38" t="s">
        <v>29</v>
      </c>
      <c r="O90" s="38" t="s">
        <v>24</v>
      </c>
      <c r="P90" s="38" t="s">
        <v>27</v>
      </c>
      <c r="Q90" s="38" t="s">
        <v>18</v>
      </c>
      <c r="R90" s="38" t="s">
        <v>64</v>
      </c>
      <c r="S90" s="24" t="s">
        <v>29</v>
      </c>
      <c r="U90" s="37">
        <f t="shared" si="12"/>
        <v>19</v>
      </c>
      <c r="V90" s="37">
        <f t="shared" si="12"/>
        <v>19</v>
      </c>
      <c r="W90" s="37">
        <f t="shared" si="12"/>
        <v>11</v>
      </c>
      <c r="X90" s="37">
        <f t="shared" si="11"/>
        <v>12</v>
      </c>
      <c r="Y90" s="37">
        <f t="shared" si="11"/>
        <v>10</v>
      </c>
      <c r="Z90" s="37">
        <f t="shared" si="11"/>
        <v>14</v>
      </c>
      <c r="AA90" s="37">
        <f t="shared" si="11"/>
        <v>19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4">
        <v>1</v>
      </c>
      <c r="AK90" s="16" t="s">
        <v>52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>
      <c r="L91" s="14">
        <v>87</v>
      </c>
      <c r="M91" s="38" t="s">
        <v>29</v>
      </c>
      <c r="N91" s="38" t="s">
        <v>29</v>
      </c>
      <c r="O91" s="38" t="s">
        <v>24</v>
      </c>
      <c r="P91" s="38" t="s">
        <v>29</v>
      </c>
      <c r="Q91" s="38" t="s">
        <v>27</v>
      </c>
      <c r="R91" s="38" t="s">
        <v>24</v>
      </c>
      <c r="S91" s="24" t="s">
        <v>64</v>
      </c>
      <c r="U91" s="37">
        <f t="shared" si="12"/>
        <v>19</v>
      </c>
      <c r="V91" s="37">
        <f t="shared" si="12"/>
        <v>19</v>
      </c>
      <c r="W91" s="37">
        <f t="shared" si="12"/>
        <v>11</v>
      </c>
      <c r="X91" s="37">
        <f t="shared" si="11"/>
        <v>19</v>
      </c>
      <c r="Y91" s="37">
        <f t="shared" si="11"/>
        <v>12</v>
      </c>
      <c r="Z91" s="37">
        <f t="shared" si="11"/>
        <v>11</v>
      </c>
      <c r="AA91" s="37">
        <f t="shared" si="11"/>
        <v>14</v>
      </c>
      <c r="AC91" s="18">
        <v>1</v>
      </c>
      <c r="AD91" s="18">
        <v>1</v>
      </c>
      <c r="AE91" s="18">
        <v>1</v>
      </c>
      <c r="AF91" s="18">
        <v>1</v>
      </c>
      <c r="AG91" s="18">
        <v>1</v>
      </c>
      <c r="AH91" s="18">
        <v>1</v>
      </c>
      <c r="AI91" s="4">
        <v>3</v>
      </c>
      <c r="AK91" s="10" t="s">
        <v>68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4">
        <v>0</v>
      </c>
    </row>
    <row r="92" spans="12:45">
      <c r="L92" s="15">
        <v>88</v>
      </c>
      <c r="M92" s="38" t="s">
        <v>29</v>
      </c>
      <c r="N92" s="38" t="s">
        <v>17</v>
      </c>
      <c r="O92" s="38" t="s">
        <v>28</v>
      </c>
      <c r="P92" s="38" t="s">
        <v>29</v>
      </c>
      <c r="Q92" s="38" t="s">
        <v>27</v>
      </c>
      <c r="R92" s="38" t="s">
        <v>24</v>
      </c>
      <c r="S92" s="24" t="s">
        <v>64</v>
      </c>
      <c r="U92" s="37">
        <f t="shared" si="12"/>
        <v>19</v>
      </c>
      <c r="V92" s="37">
        <f t="shared" si="12"/>
        <v>14</v>
      </c>
      <c r="W92" s="37">
        <f t="shared" si="12"/>
        <v>15</v>
      </c>
      <c r="X92" s="37">
        <f t="shared" si="11"/>
        <v>19</v>
      </c>
      <c r="Y92" s="37">
        <f t="shared" si="11"/>
        <v>12</v>
      </c>
      <c r="Z92" s="37">
        <f t="shared" si="11"/>
        <v>11</v>
      </c>
      <c r="AA92" s="37">
        <f t="shared" si="11"/>
        <v>14</v>
      </c>
      <c r="AC92" s="18">
        <v>1</v>
      </c>
      <c r="AD92" s="18">
        <v>1</v>
      </c>
      <c r="AE92" s="18">
        <v>1</v>
      </c>
      <c r="AF92" s="18">
        <v>1</v>
      </c>
      <c r="AG92" s="18">
        <v>1</v>
      </c>
      <c r="AH92" s="18">
        <v>1</v>
      </c>
      <c r="AI92" s="4">
        <v>1</v>
      </c>
      <c r="AK92" s="37" t="s">
        <v>19</v>
      </c>
      <c r="AL92" s="37">
        <v>0</v>
      </c>
      <c r="AM92" s="37">
        <v>0</v>
      </c>
      <c r="AN92" s="37">
        <v>0</v>
      </c>
      <c r="AO92" s="37">
        <v>0</v>
      </c>
      <c r="AP92" s="37">
        <v>0</v>
      </c>
      <c r="AQ92" s="37">
        <v>0</v>
      </c>
      <c r="AR92" s="37">
        <v>0</v>
      </c>
      <c r="AS92" s="4">
        <v>1</v>
      </c>
    </row>
    <row r="93" spans="12:45">
      <c r="L93" s="14">
        <v>89</v>
      </c>
      <c r="M93" s="38" t="s">
        <v>28</v>
      </c>
      <c r="N93" s="38" t="s">
        <v>21</v>
      </c>
      <c r="O93" s="38" t="s">
        <v>28</v>
      </c>
      <c r="P93" s="38" t="s">
        <v>29</v>
      </c>
      <c r="Q93" s="38" t="s">
        <v>26</v>
      </c>
      <c r="R93" s="38" t="s">
        <v>24</v>
      </c>
      <c r="S93" s="24" t="s">
        <v>64</v>
      </c>
      <c r="U93" s="37">
        <f t="shared" si="12"/>
        <v>15</v>
      </c>
      <c r="V93" s="37">
        <f t="shared" si="12"/>
        <v>12</v>
      </c>
      <c r="W93" s="37">
        <f t="shared" si="12"/>
        <v>15</v>
      </c>
      <c r="X93" s="37">
        <f t="shared" si="11"/>
        <v>19</v>
      </c>
      <c r="Y93" s="37">
        <f t="shared" si="11"/>
        <v>7</v>
      </c>
      <c r="Z93" s="37">
        <f t="shared" si="11"/>
        <v>11</v>
      </c>
      <c r="AA93" s="37">
        <f t="shared" si="11"/>
        <v>14</v>
      </c>
      <c r="AC93" s="18">
        <v>1</v>
      </c>
      <c r="AD93" s="18">
        <v>1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4" t="s">
        <v>20</v>
      </c>
      <c r="AL93" s="154">
        <v>1</v>
      </c>
      <c r="AM93" s="154">
        <v>1</v>
      </c>
      <c r="AN93" s="154">
        <v>1</v>
      </c>
      <c r="AO93" s="154">
        <v>1</v>
      </c>
      <c r="AP93" s="154">
        <v>1</v>
      </c>
      <c r="AQ93" s="154">
        <v>1</v>
      </c>
      <c r="AR93" s="154">
        <v>0</v>
      </c>
      <c r="AS93" s="151">
        <v>2</v>
      </c>
    </row>
    <row r="94" spans="12:45">
      <c r="L94" s="15">
        <v>90</v>
      </c>
      <c r="M94" s="38" t="s">
        <v>24</v>
      </c>
      <c r="N94" s="38" t="s">
        <v>21</v>
      </c>
      <c r="O94" s="38" t="s">
        <v>18</v>
      </c>
      <c r="P94" s="38" t="s">
        <v>64</v>
      </c>
      <c r="Q94" s="38" t="s">
        <v>26</v>
      </c>
      <c r="R94" s="38" t="s">
        <v>27</v>
      </c>
      <c r="S94" s="24" t="s">
        <v>64</v>
      </c>
      <c r="U94" s="37">
        <f t="shared" si="12"/>
        <v>11</v>
      </c>
      <c r="V94" s="37">
        <f t="shared" si="12"/>
        <v>12</v>
      </c>
      <c r="W94" s="37">
        <f t="shared" si="12"/>
        <v>10</v>
      </c>
      <c r="X94" s="37">
        <f t="shared" si="11"/>
        <v>14</v>
      </c>
      <c r="Y94" s="37">
        <f t="shared" si="11"/>
        <v>7</v>
      </c>
      <c r="Z94" s="37">
        <f t="shared" si="11"/>
        <v>12</v>
      </c>
      <c r="AA94" s="37">
        <f t="shared" si="11"/>
        <v>14</v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4">
        <v>1</v>
      </c>
      <c r="AK94" s="154" t="s">
        <v>21</v>
      </c>
      <c r="AL94" s="154">
        <v>1</v>
      </c>
      <c r="AM94" s="154">
        <v>70</v>
      </c>
      <c r="AN94" s="154">
        <v>1</v>
      </c>
      <c r="AO94" s="154">
        <v>70</v>
      </c>
      <c r="AP94" s="154">
        <v>1</v>
      </c>
      <c r="AQ94" s="154">
        <v>1</v>
      </c>
      <c r="AR94" s="154">
        <v>0</v>
      </c>
      <c r="AS94" s="151">
        <v>3</v>
      </c>
    </row>
    <row r="95" spans="12:45">
      <c r="L95" s="14">
        <v>91</v>
      </c>
      <c r="M95" s="38" t="s">
        <v>28</v>
      </c>
      <c r="N95" s="38" t="s">
        <v>24</v>
      </c>
      <c r="O95" s="38" t="s">
        <v>28</v>
      </c>
      <c r="P95" s="38" t="s">
        <v>64</v>
      </c>
      <c r="Q95" s="38" t="s">
        <v>236</v>
      </c>
      <c r="R95" s="38" t="s">
        <v>27</v>
      </c>
      <c r="S95" s="24" t="s">
        <v>29</v>
      </c>
      <c r="U95" s="37">
        <f t="shared" si="12"/>
        <v>15</v>
      </c>
      <c r="V95" s="37">
        <f t="shared" si="12"/>
        <v>11</v>
      </c>
      <c r="W95" s="37">
        <f t="shared" si="12"/>
        <v>15</v>
      </c>
      <c r="X95" s="37">
        <f t="shared" si="11"/>
        <v>14</v>
      </c>
      <c r="Y95" s="37">
        <f t="shared" si="11"/>
        <v>0</v>
      </c>
      <c r="Z95" s="37">
        <f t="shared" si="11"/>
        <v>12</v>
      </c>
      <c r="AA95" s="37">
        <f t="shared" si="11"/>
        <v>19</v>
      </c>
      <c r="AC95" s="18">
        <v>1</v>
      </c>
      <c r="AD95" s="18">
        <v>1</v>
      </c>
      <c r="AE95" s="18">
        <v>1</v>
      </c>
      <c r="AF95" s="18">
        <v>1</v>
      </c>
      <c r="AG95" s="18">
        <v>1</v>
      </c>
      <c r="AH95" s="18">
        <v>1</v>
      </c>
      <c r="AI95" s="4">
        <v>3</v>
      </c>
      <c r="AK95" s="154" t="s">
        <v>17</v>
      </c>
      <c r="AL95" s="154">
        <v>1</v>
      </c>
      <c r="AM95" s="154">
        <v>1</v>
      </c>
      <c r="AN95" s="154">
        <v>5</v>
      </c>
      <c r="AO95" s="154">
        <v>1</v>
      </c>
      <c r="AP95" s="154">
        <v>1</v>
      </c>
      <c r="AQ95" s="154">
        <v>70</v>
      </c>
      <c r="AR95" s="154">
        <v>1</v>
      </c>
      <c r="AS95" s="151">
        <v>4</v>
      </c>
    </row>
    <row r="96" spans="12:45">
      <c r="L96" s="15">
        <v>92</v>
      </c>
      <c r="M96" s="38" t="s">
        <v>64</v>
      </c>
      <c r="N96" s="38" t="s">
        <v>64</v>
      </c>
      <c r="O96" s="38" t="s">
        <v>28</v>
      </c>
      <c r="P96" s="38" t="s">
        <v>64</v>
      </c>
      <c r="Q96" s="38" t="s">
        <v>28</v>
      </c>
      <c r="R96" s="38" t="s">
        <v>64</v>
      </c>
      <c r="S96" s="24" t="s">
        <v>29</v>
      </c>
      <c r="U96" s="37">
        <f t="shared" si="12"/>
        <v>14</v>
      </c>
      <c r="V96" s="37">
        <f t="shared" si="12"/>
        <v>14</v>
      </c>
      <c r="W96" s="37">
        <f t="shared" si="12"/>
        <v>15</v>
      </c>
      <c r="X96" s="37">
        <f t="shared" si="11"/>
        <v>14</v>
      </c>
      <c r="Y96" s="37">
        <f t="shared" si="11"/>
        <v>15</v>
      </c>
      <c r="Z96" s="37">
        <f t="shared" si="11"/>
        <v>14</v>
      </c>
      <c r="AA96" s="37">
        <f t="shared" si="11"/>
        <v>19</v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4">
        <v>1</v>
      </c>
      <c r="AK96" s="154" t="s">
        <v>18</v>
      </c>
      <c r="AL96" s="154">
        <v>1</v>
      </c>
      <c r="AM96" s="154">
        <v>70</v>
      </c>
      <c r="AN96" s="154">
        <v>1</v>
      </c>
      <c r="AO96" s="154">
        <v>1</v>
      </c>
      <c r="AP96" s="154">
        <v>1</v>
      </c>
      <c r="AQ96" s="154">
        <v>70</v>
      </c>
      <c r="AR96" s="154">
        <v>1</v>
      </c>
      <c r="AS96" s="151">
        <v>5</v>
      </c>
    </row>
    <row r="97" spans="12:45">
      <c r="L97" s="14">
        <v>93</v>
      </c>
      <c r="M97" s="38" t="s">
        <v>24</v>
      </c>
      <c r="N97" s="38" t="s">
        <v>18</v>
      </c>
      <c r="O97" s="38" t="s">
        <v>29</v>
      </c>
      <c r="P97" s="38" t="s">
        <v>29</v>
      </c>
      <c r="Q97" s="38" t="s">
        <v>26</v>
      </c>
      <c r="R97" s="38" t="s">
        <v>64</v>
      </c>
      <c r="S97" s="24" t="s">
        <v>29</v>
      </c>
      <c r="U97" s="37">
        <f t="shared" si="12"/>
        <v>11</v>
      </c>
      <c r="V97" s="37">
        <f t="shared" si="12"/>
        <v>10</v>
      </c>
      <c r="W97" s="37">
        <f t="shared" si="12"/>
        <v>19</v>
      </c>
      <c r="X97" s="37">
        <f t="shared" si="11"/>
        <v>19</v>
      </c>
      <c r="Y97" s="37">
        <f t="shared" si="11"/>
        <v>7</v>
      </c>
      <c r="Z97" s="37">
        <f t="shared" si="11"/>
        <v>14</v>
      </c>
      <c r="AA97" s="37">
        <f t="shared" si="11"/>
        <v>19</v>
      </c>
      <c r="AC97" s="18">
        <v>1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1</v>
      </c>
      <c r="AK97" s="154" t="s">
        <v>64</v>
      </c>
      <c r="AL97" s="154">
        <v>5</v>
      </c>
      <c r="AM97" s="154">
        <v>1</v>
      </c>
      <c r="AN97" s="154">
        <v>70</v>
      </c>
      <c r="AO97" s="154">
        <v>1</v>
      </c>
      <c r="AP97" s="154">
        <v>70</v>
      </c>
      <c r="AQ97" s="154">
        <v>1</v>
      </c>
      <c r="AR97" s="154">
        <v>1</v>
      </c>
      <c r="AS97" s="151">
        <v>6</v>
      </c>
    </row>
    <row r="98" spans="12:45">
      <c r="L98" s="15">
        <v>94</v>
      </c>
      <c r="M98" s="38" t="s">
        <v>26</v>
      </c>
      <c r="N98" s="38" t="s">
        <v>224</v>
      </c>
      <c r="O98" s="38" t="s">
        <v>28</v>
      </c>
      <c r="P98" s="38" t="s">
        <v>29</v>
      </c>
      <c r="Q98" s="38" t="s">
        <v>26</v>
      </c>
      <c r="R98" s="38" t="s">
        <v>64</v>
      </c>
      <c r="S98" s="24" t="s">
        <v>28</v>
      </c>
      <c r="U98" s="37">
        <f t="shared" si="12"/>
        <v>7</v>
      </c>
      <c r="V98" s="37">
        <f t="shared" si="12"/>
        <v>0</v>
      </c>
      <c r="W98" s="37">
        <f t="shared" si="12"/>
        <v>15</v>
      </c>
      <c r="X98" s="37">
        <f t="shared" si="11"/>
        <v>19</v>
      </c>
      <c r="Y98" s="37">
        <f t="shared" si="11"/>
        <v>7</v>
      </c>
      <c r="Z98" s="37">
        <f t="shared" si="11"/>
        <v>14</v>
      </c>
      <c r="AA98" s="37">
        <f t="shared" si="11"/>
        <v>15</v>
      </c>
      <c r="AC98" s="18">
        <v>1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3</v>
      </c>
      <c r="AK98" s="154" t="s">
        <v>89</v>
      </c>
      <c r="AL98" s="154">
        <v>1</v>
      </c>
      <c r="AM98" s="154">
        <v>70</v>
      </c>
      <c r="AN98" s="154">
        <v>1</v>
      </c>
      <c r="AO98" s="154">
        <v>1</v>
      </c>
      <c r="AP98" s="154">
        <v>1</v>
      </c>
      <c r="AQ98" s="154">
        <v>70</v>
      </c>
      <c r="AR98" s="154">
        <v>1</v>
      </c>
      <c r="AS98" s="151">
        <v>7</v>
      </c>
    </row>
    <row r="99" spans="12:45">
      <c r="L99" s="14">
        <v>95</v>
      </c>
      <c r="M99" s="38" t="s">
        <v>26</v>
      </c>
      <c r="N99" s="38" t="s">
        <v>64</v>
      </c>
      <c r="O99" s="38" t="s">
        <v>28</v>
      </c>
      <c r="P99" s="38" t="s">
        <v>232</v>
      </c>
      <c r="Q99" s="38" t="s">
        <v>26</v>
      </c>
      <c r="R99" s="38" t="s">
        <v>29</v>
      </c>
      <c r="S99" s="24" t="s">
        <v>28</v>
      </c>
      <c r="U99" s="37">
        <f t="shared" si="12"/>
        <v>7</v>
      </c>
      <c r="V99" s="37">
        <f t="shared" si="12"/>
        <v>14</v>
      </c>
      <c r="W99" s="37">
        <f t="shared" si="12"/>
        <v>15</v>
      </c>
      <c r="X99" s="37">
        <f t="shared" si="11"/>
        <v>0</v>
      </c>
      <c r="Y99" s="37">
        <f t="shared" si="11"/>
        <v>7</v>
      </c>
      <c r="Z99" s="37">
        <f t="shared" si="11"/>
        <v>19</v>
      </c>
      <c r="AA99" s="37">
        <f t="shared" si="11"/>
        <v>15</v>
      </c>
      <c r="AC99" s="18">
        <v>1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1</v>
      </c>
      <c r="AK99" s="37" t="s">
        <v>24</v>
      </c>
      <c r="AL99" s="37">
        <v>1</v>
      </c>
      <c r="AM99" s="37">
        <v>1</v>
      </c>
      <c r="AN99" s="37">
        <v>1</v>
      </c>
      <c r="AO99" s="37">
        <v>1</v>
      </c>
      <c r="AP99" s="37">
        <v>70</v>
      </c>
      <c r="AQ99" s="37">
        <v>1</v>
      </c>
      <c r="AR99" s="37">
        <v>1</v>
      </c>
      <c r="AS99" s="4">
        <v>8</v>
      </c>
    </row>
    <row r="100" spans="12:45">
      <c r="L100" s="15">
        <v>96</v>
      </c>
      <c r="M100" s="38" t="s">
        <v>27</v>
      </c>
      <c r="N100" s="38" t="s">
        <v>64</v>
      </c>
      <c r="O100" s="38" t="s">
        <v>28</v>
      </c>
      <c r="P100" s="38" t="s">
        <v>89</v>
      </c>
      <c r="Q100" s="38" t="s">
        <v>89</v>
      </c>
      <c r="R100" s="38" t="s">
        <v>18</v>
      </c>
      <c r="S100" s="24" t="s">
        <v>28</v>
      </c>
      <c r="U100" s="37">
        <f t="shared" si="12"/>
        <v>12</v>
      </c>
      <c r="V100" s="37">
        <f t="shared" si="12"/>
        <v>14</v>
      </c>
      <c r="W100" s="37">
        <f t="shared" si="12"/>
        <v>15</v>
      </c>
      <c r="X100" s="37">
        <f t="shared" si="11"/>
        <v>7</v>
      </c>
      <c r="Y100" s="37">
        <f t="shared" si="11"/>
        <v>7</v>
      </c>
      <c r="Z100" s="37">
        <f t="shared" si="11"/>
        <v>10</v>
      </c>
      <c r="AA100" s="37">
        <f t="shared" si="11"/>
        <v>15</v>
      </c>
      <c r="AC100" s="18">
        <v>1</v>
      </c>
      <c r="AD100" s="18">
        <v>1</v>
      </c>
      <c r="AE100" s="18">
        <v>1</v>
      </c>
      <c r="AF100" s="18">
        <v>1</v>
      </c>
      <c r="AG100" s="18">
        <v>1</v>
      </c>
      <c r="AH100" s="18">
        <v>1</v>
      </c>
      <c r="AI100" s="4">
        <v>1</v>
      </c>
      <c r="AK100" s="37" t="s">
        <v>26</v>
      </c>
      <c r="AL100" s="37">
        <v>1</v>
      </c>
      <c r="AM100" s="37">
        <v>1</v>
      </c>
      <c r="AN100" s="37">
        <v>1</v>
      </c>
      <c r="AO100" s="37">
        <v>70</v>
      </c>
      <c r="AP100" s="37">
        <v>1</v>
      </c>
      <c r="AQ100" s="37">
        <v>70</v>
      </c>
      <c r="AR100" s="37">
        <v>1</v>
      </c>
      <c r="AS100" s="4">
        <v>9</v>
      </c>
    </row>
    <row r="101" spans="12:45">
      <c r="L101" s="14">
        <v>97</v>
      </c>
      <c r="M101" s="38" t="s">
        <v>29</v>
      </c>
      <c r="N101" s="38" t="s">
        <v>21</v>
      </c>
      <c r="O101" s="38" t="s">
        <v>24</v>
      </c>
      <c r="P101" s="38" t="s">
        <v>89</v>
      </c>
      <c r="Q101" s="38" t="s">
        <v>18</v>
      </c>
      <c r="R101" s="38" t="s">
        <v>18</v>
      </c>
      <c r="S101" s="24" t="s">
        <v>29</v>
      </c>
      <c r="U101" s="37">
        <f t="shared" si="12"/>
        <v>19</v>
      </c>
      <c r="V101" s="37">
        <f t="shared" si="12"/>
        <v>12</v>
      </c>
      <c r="W101" s="37">
        <f t="shared" si="12"/>
        <v>11</v>
      </c>
      <c r="X101" s="37">
        <f t="shared" si="11"/>
        <v>7</v>
      </c>
      <c r="Y101" s="37">
        <f t="shared" si="11"/>
        <v>10</v>
      </c>
      <c r="Z101" s="37">
        <f t="shared" si="11"/>
        <v>10</v>
      </c>
      <c r="AA101" s="37">
        <f t="shared" si="11"/>
        <v>19</v>
      </c>
      <c r="AC101" s="18">
        <v>1</v>
      </c>
      <c r="AD101" s="18">
        <v>1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1</v>
      </c>
      <c r="AM101" s="37">
        <v>1</v>
      </c>
      <c r="AN101" s="37">
        <v>5</v>
      </c>
      <c r="AO101" s="37">
        <v>1</v>
      </c>
      <c r="AP101" s="37">
        <v>1</v>
      </c>
      <c r="AQ101" s="37">
        <v>1</v>
      </c>
      <c r="AR101" s="37">
        <v>3</v>
      </c>
      <c r="AS101" s="4">
        <v>10</v>
      </c>
    </row>
    <row r="102" spans="12:45">
      <c r="L102" s="15">
        <v>98</v>
      </c>
      <c r="M102" s="38" t="s">
        <v>17</v>
      </c>
      <c r="N102" s="38" t="s">
        <v>89</v>
      </c>
      <c r="O102" s="38" t="s">
        <v>27</v>
      </c>
      <c r="P102" s="38" t="s">
        <v>27</v>
      </c>
      <c r="Q102" s="38" t="s">
        <v>28</v>
      </c>
      <c r="R102" s="38" t="s">
        <v>29</v>
      </c>
      <c r="S102" s="24" t="s">
        <v>18</v>
      </c>
      <c r="U102" s="37">
        <f t="shared" si="12"/>
        <v>14</v>
      </c>
      <c r="V102" s="37">
        <f t="shared" si="12"/>
        <v>7</v>
      </c>
      <c r="W102" s="37">
        <f t="shared" si="12"/>
        <v>12</v>
      </c>
      <c r="X102" s="37">
        <f t="shared" si="11"/>
        <v>12</v>
      </c>
      <c r="Y102" s="37">
        <f t="shared" si="11"/>
        <v>15</v>
      </c>
      <c r="Z102" s="37">
        <f t="shared" si="11"/>
        <v>19</v>
      </c>
      <c r="AA102" s="37">
        <f t="shared" si="11"/>
        <v>10</v>
      </c>
      <c r="AC102" s="18">
        <v>1</v>
      </c>
      <c r="AD102" s="18">
        <v>1</v>
      </c>
      <c r="AE102" s="18">
        <v>1</v>
      </c>
      <c r="AF102" s="18">
        <v>1</v>
      </c>
      <c r="AG102" s="18">
        <v>1</v>
      </c>
      <c r="AH102" s="18">
        <v>1</v>
      </c>
      <c r="AI102" s="4">
        <v>3</v>
      </c>
      <c r="AK102" s="37" t="s">
        <v>28</v>
      </c>
      <c r="AL102" s="37">
        <v>1</v>
      </c>
      <c r="AM102" s="37">
        <v>70</v>
      </c>
      <c r="AN102" s="37">
        <v>1</v>
      </c>
      <c r="AO102" s="37">
        <v>1</v>
      </c>
      <c r="AP102" s="37">
        <v>1</v>
      </c>
      <c r="AQ102" s="37">
        <v>1</v>
      </c>
      <c r="AR102" s="37">
        <v>1</v>
      </c>
      <c r="AS102" s="4">
        <v>11</v>
      </c>
    </row>
    <row r="103" spans="12:45">
      <c r="L103" s="14">
        <v>99</v>
      </c>
      <c r="M103" s="38" t="s">
        <v>28</v>
      </c>
      <c r="N103" s="38" t="s">
        <v>232</v>
      </c>
      <c r="O103" s="38" t="s">
        <v>26</v>
      </c>
      <c r="P103" s="38" t="s">
        <v>27</v>
      </c>
      <c r="Q103" s="38" t="s">
        <v>28</v>
      </c>
      <c r="R103" s="38" t="s">
        <v>29</v>
      </c>
      <c r="S103" s="24" t="s">
        <v>18</v>
      </c>
      <c r="U103" s="37">
        <f t="shared" si="12"/>
        <v>15</v>
      </c>
      <c r="V103" s="37">
        <f t="shared" si="12"/>
        <v>0</v>
      </c>
      <c r="W103" s="37">
        <f t="shared" si="12"/>
        <v>7</v>
      </c>
      <c r="X103" s="37">
        <f t="shared" si="11"/>
        <v>12</v>
      </c>
      <c r="Y103" s="37">
        <f t="shared" si="11"/>
        <v>15</v>
      </c>
      <c r="Z103" s="37">
        <f t="shared" si="11"/>
        <v>19</v>
      </c>
      <c r="AA103" s="37">
        <f t="shared" si="11"/>
        <v>10</v>
      </c>
      <c r="AC103" s="18">
        <v>1</v>
      </c>
      <c r="AD103" s="18">
        <v>1</v>
      </c>
      <c r="AE103" s="18">
        <v>1</v>
      </c>
      <c r="AF103" s="18">
        <v>1</v>
      </c>
      <c r="AG103" s="18">
        <v>1</v>
      </c>
      <c r="AH103" s="18">
        <v>1</v>
      </c>
      <c r="AI103" s="4">
        <v>1</v>
      </c>
      <c r="AK103" s="37" t="s">
        <v>29</v>
      </c>
      <c r="AL103" s="37">
        <v>70</v>
      </c>
      <c r="AM103" s="37">
        <v>1</v>
      </c>
      <c r="AN103" s="37">
        <v>1</v>
      </c>
      <c r="AO103" s="37">
        <v>1</v>
      </c>
      <c r="AP103" s="37">
        <v>1</v>
      </c>
      <c r="AQ103" s="37">
        <v>1</v>
      </c>
      <c r="AR103" s="37">
        <v>1</v>
      </c>
      <c r="AS103" s="4">
        <v>12</v>
      </c>
    </row>
    <row r="104" spans="12:45">
      <c r="L104" s="15">
        <v>100</v>
      </c>
      <c r="M104" s="38" t="s">
        <v>89</v>
      </c>
      <c r="N104" s="38" t="s">
        <v>64</v>
      </c>
      <c r="O104" s="38" t="s">
        <v>26</v>
      </c>
      <c r="P104" s="38" t="s">
        <v>238</v>
      </c>
      <c r="Q104" s="38" t="s">
        <v>18</v>
      </c>
      <c r="R104" s="38" t="s">
        <v>64</v>
      </c>
      <c r="S104" s="24" t="s">
        <v>18</v>
      </c>
      <c r="U104" s="37">
        <f t="shared" si="12"/>
        <v>7</v>
      </c>
      <c r="V104" s="37">
        <f t="shared" si="12"/>
        <v>14</v>
      </c>
      <c r="W104" s="37">
        <f t="shared" si="12"/>
        <v>7</v>
      </c>
      <c r="X104" s="37">
        <f t="shared" si="11"/>
        <v>0</v>
      </c>
      <c r="Y104" s="37">
        <f t="shared" si="11"/>
        <v>10</v>
      </c>
      <c r="Z104" s="37">
        <f t="shared" si="11"/>
        <v>14</v>
      </c>
      <c r="AA104" s="37">
        <f t="shared" si="11"/>
        <v>10</v>
      </c>
      <c r="AC104" s="18">
        <v>1</v>
      </c>
      <c r="AD104" s="18">
        <v>1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4" t="s">
        <v>222</v>
      </c>
      <c r="AL104" s="154">
        <v>0</v>
      </c>
      <c r="AM104" s="154">
        <v>0</v>
      </c>
      <c r="AN104" s="154">
        <v>0</v>
      </c>
      <c r="AO104" s="154">
        <v>0</v>
      </c>
      <c r="AP104" s="154">
        <v>0</v>
      </c>
      <c r="AQ104" s="154">
        <v>0</v>
      </c>
      <c r="AR104" s="154">
        <v>0</v>
      </c>
      <c r="AS104" s="151">
        <v>13</v>
      </c>
    </row>
    <row r="105" spans="12:45">
      <c r="L105" s="14">
        <v>101</v>
      </c>
      <c r="M105" s="38" t="s">
        <v>89</v>
      </c>
      <c r="N105" s="38" t="s">
        <v>69</v>
      </c>
      <c r="O105" s="38" t="s">
        <v>28</v>
      </c>
      <c r="P105" s="38" t="s">
        <v>64</v>
      </c>
      <c r="Q105" s="38" t="s">
        <v>240</v>
      </c>
      <c r="R105" s="38" t="s">
        <v>64</v>
      </c>
      <c r="S105" s="24" t="s">
        <v>28</v>
      </c>
      <c r="U105" s="37">
        <f t="shared" si="12"/>
        <v>7</v>
      </c>
      <c r="V105" s="37">
        <f t="shared" si="12"/>
        <v>0</v>
      </c>
      <c r="W105" s="37">
        <f t="shared" si="12"/>
        <v>15</v>
      </c>
      <c r="X105" s="37">
        <f t="shared" si="11"/>
        <v>14</v>
      </c>
      <c r="Y105" s="37">
        <f t="shared" si="11"/>
        <v>0</v>
      </c>
      <c r="Z105" s="37">
        <f t="shared" si="11"/>
        <v>14</v>
      </c>
      <c r="AA105" s="37">
        <f t="shared" si="11"/>
        <v>15</v>
      </c>
      <c r="AC105" s="18">
        <v>1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1</v>
      </c>
      <c r="AK105" s="154" t="s">
        <v>224</v>
      </c>
      <c r="AL105" s="154">
        <v>0</v>
      </c>
      <c r="AM105" s="154">
        <v>1</v>
      </c>
      <c r="AN105" s="154">
        <v>1</v>
      </c>
      <c r="AO105" s="154">
        <v>1</v>
      </c>
      <c r="AP105" s="154">
        <v>1</v>
      </c>
      <c r="AQ105" s="154">
        <v>0</v>
      </c>
      <c r="AR105" s="154">
        <v>0</v>
      </c>
      <c r="AS105" s="151">
        <v>14</v>
      </c>
    </row>
    <row r="106" spans="12:45">
      <c r="L106" s="15">
        <v>102</v>
      </c>
      <c r="M106" s="38" t="s">
        <v>26</v>
      </c>
      <c r="N106" s="38" t="s">
        <v>256</v>
      </c>
      <c r="O106" s="38" t="s">
        <v>28</v>
      </c>
      <c r="P106" s="38" t="s">
        <v>24</v>
      </c>
      <c r="Q106" s="38" t="s">
        <v>28</v>
      </c>
      <c r="R106" s="38" t="s">
        <v>27</v>
      </c>
      <c r="S106" s="24" t="s">
        <v>28</v>
      </c>
      <c r="U106" s="37">
        <f t="shared" si="12"/>
        <v>7</v>
      </c>
      <c r="V106" s="37">
        <f t="shared" si="12"/>
        <v>0</v>
      </c>
      <c r="W106" s="37">
        <f t="shared" si="12"/>
        <v>15</v>
      </c>
      <c r="X106" s="37">
        <f t="shared" si="11"/>
        <v>11</v>
      </c>
      <c r="Y106" s="37">
        <f t="shared" si="11"/>
        <v>15</v>
      </c>
      <c r="Z106" s="37">
        <f t="shared" si="11"/>
        <v>12</v>
      </c>
      <c r="AA106" s="37">
        <f t="shared" si="11"/>
        <v>15</v>
      </c>
      <c r="AC106" s="18">
        <v>1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1</v>
      </c>
      <c r="AK106" s="154" t="s">
        <v>226</v>
      </c>
      <c r="AL106" s="154">
        <v>0</v>
      </c>
      <c r="AM106" s="154">
        <v>1</v>
      </c>
      <c r="AN106" s="154">
        <v>1</v>
      </c>
      <c r="AO106" s="154">
        <v>1</v>
      </c>
      <c r="AP106" s="154">
        <v>1</v>
      </c>
      <c r="AQ106" s="154">
        <v>0</v>
      </c>
      <c r="AR106" s="154">
        <v>0</v>
      </c>
      <c r="AS106" s="151">
        <v>15</v>
      </c>
    </row>
    <row r="107" spans="12:45">
      <c r="L107" s="14">
        <v>103</v>
      </c>
      <c r="M107" s="38" t="s">
        <v>27</v>
      </c>
      <c r="N107" s="38" t="s">
        <v>64</v>
      </c>
      <c r="O107" s="38" t="s">
        <v>29</v>
      </c>
      <c r="P107" s="38" t="s">
        <v>27</v>
      </c>
      <c r="Q107" s="38" t="s">
        <v>28</v>
      </c>
      <c r="R107" s="38" t="s">
        <v>27</v>
      </c>
      <c r="S107" s="24" t="s">
        <v>21</v>
      </c>
      <c r="U107" s="37">
        <f t="shared" si="12"/>
        <v>12</v>
      </c>
      <c r="V107" s="37">
        <f t="shared" si="12"/>
        <v>14</v>
      </c>
      <c r="W107" s="37">
        <f t="shared" si="12"/>
        <v>19</v>
      </c>
      <c r="X107" s="37">
        <f t="shared" si="11"/>
        <v>12</v>
      </c>
      <c r="Y107" s="37">
        <f t="shared" si="11"/>
        <v>15</v>
      </c>
      <c r="Z107" s="37">
        <f t="shared" si="11"/>
        <v>12</v>
      </c>
      <c r="AA107" s="37">
        <f t="shared" si="11"/>
        <v>12</v>
      </c>
      <c r="AC107" s="18">
        <v>1</v>
      </c>
      <c r="AD107" s="18">
        <v>1</v>
      </c>
      <c r="AE107" s="18">
        <v>1</v>
      </c>
      <c r="AF107" s="18">
        <v>1</v>
      </c>
      <c r="AG107" s="18">
        <v>1</v>
      </c>
      <c r="AH107" s="18">
        <v>1</v>
      </c>
      <c r="AI107" s="4">
        <v>1</v>
      </c>
      <c r="AK107" s="154" t="s">
        <v>228</v>
      </c>
      <c r="AL107" s="154">
        <v>0</v>
      </c>
      <c r="AM107" s="154">
        <v>1</v>
      </c>
      <c r="AN107" s="154">
        <v>1</v>
      </c>
      <c r="AO107" s="154">
        <v>1</v>
      </c>
      <c r="AP107" s="154">
        <v>1</v>
      </c>
      <c r="AQ107" s="154">
        <v>0</v>
      </c>
      <c r="AR107" s="154">
        <v>0</v>
      </c>
      <c r="AS107" s="151">
        <v>16</v>
      </c>
    </row>
    <row r="108" spans="12:45">
      <c r="L108" s="15">
        <v>104</v>
      </c>
      <c r="M108" s="38" t="s">
        <v>26</v>
      </c>
      <c r="N108" s="38" t="s">
        <v>64</v>
      </c>
      <c r="O108" s="38" t="s">
        <v>21</v>
      </c>
      <c r="P108" s="38" t="s">
        <v>27</v>
      </c>
      <c r="Q108" s="38" t="s">
        <v>89</v>
      </c>
      <c r="R108" s="38" t="s">
        <v>29</v>
      </c>
      <c r="S108" s="24" t="s">
        <v>21</v>
      </c>
      <c r="U108" s="37">
        <f t="shared" si="12"/>
        <v>7</v>
      </c>
      <c r="V108" s="37">
        <f t="shared" si="12"/>
        <v>14</v>
      </c>
      <c r="W108" s="37">
        <f t="shared" si="12"/>
        <v>12</v>
      </c>
      <c r="X108" s="37">
        <f t="shared" si="11"/>
        <v>12</v>
      </c>
      <c r="Y108" s="37">
        <f t="shared" si="11"/>
        <v>7</v>
      </c>
      <c r="Z108" s="37">
        <f t="shared" si="11"/>
        <v>19</v>
      </c>
      <c r="AA108" s="37">
        <f t="shared" si="11"/>
        <v>12</v>
      </c>
      <c r="AC108" s="18">
        <v>1</v>
      </c>
      <c r="AD108" s="18">
        <v>1</v>
      </c>
      <c r="AE108" s="18">
        <v>1</v>
      </c>
      <c r="AF108" s="18">
        <v>1</v>
      </c>
      <c r="AG108" s="18">
        <v>1</v>
      </c>
      <c r="AH108" s="18">
        <v>1</v>
      </c>
      <c r="AI108" s="4">
        <v>1</v>
      </c>
      <c r="AK108" s="154" t="s">
        <v>230</v>
      </c>
      <c r="AL108" s="154">
        <v>0</v>
      </c>
      <c r="AM108" s="154">
        <v>1</v>
      </c>
      <c r="AN108" s="154">
        <v>1</v>
      </c>
      <c r="AO108" s="154">
        <v>1</v>
      </c>
      <c r="AP108" s="154">
        <v>2</v>
      </c>
      <c r="AQ108" s="154">
        <v>0</v>
      </c>
      <c r="AR108" s="154">
        <v>0</v>
      </c>
      <c r="AS108" s="151">
        <v>17</v>
      </c>
    </row>
    <row r="109" spans="12:45">
      <c r="L109" s="14">
        <v>105</v>
      </c>
      <c r="M109" s="38" t="s">
        <v>29</v>
      </c>
      <c r="N109" s="38" t="s">
        <v>29</v>
      </c>
      <c r="O109" s="38" t="s">
        <v>21</v>
      </c>
      <c r="P109" s="38" t="s">
        <v>17</v>
      </c>
      <c r="Q109" s="38" t="s">
        <v>28</v>
      </c>
      <c r="R109" s="38" t="s">
        <v>29</v>
      </c>
      <c r="S109" s="24" t="s">
        <v>29</v>
      </c>
      <c r="U109" s="37">
        <f t="shared" si="12"/>
        <v>19</v>
      </c>
      <c r="V109" s="37">
        <f t="shared" si="12"/>
        <v>19</v>
      </c>
      <c r="W109" s="37">
        <f t="shared" si="12"/>
        <v>12</v>
      </c>
      <c r="X109" s="37">
        <f t="shared" si="11"/>
        <v>14</v>
      </c>
      <c r="Y109" s="37">
        <f t="shared" si="11"/>
        <v>15</v>
      </c>
      <c r="Z109" s="37">
        <f t="shared" si="11"/>
        <v>19</v>
      </c>
      <c r="AA109" s="37">
        <f t="shared" si="11"/>
        <v>19</v>
      </c>
      <c r="AC109" s="18">
        <v>1</v>
      </c>
      <c r="AD109" s="18">
        <v>1</v>
      </c>
      <c r="AE109" s="18">
        <v>1</v>
      </c>
      <c r="AF109" s="18">
        <v>1</v>
      </c>
      <c r="AG109" s="18">
        <v>1</v>
      </c>
      <c r="AH109" s="18">
        <v>1</v>
      </c>
      <c r="AI109" s="4">
        <v>3</v>
      </c>
      <c r="AK109" s="154" t="s">
        <v>232</v>
      </c>
      <c r="AL109" s="154">
        <v>0</v>
      </c>
      <c r="AM109" s="154">
        <v>1</v>
      </c>
      <c r="AN109" s="154">
        <v>1</v>
      </c>
      <c r="AO109" s="154">
        <v>1</v>
      </c>
      <c r="AP109" s="154">
        <v>1</v>
      </c>
      <c r="AQ109" s="154">
        <v>0</v>
      </c>
      <c r="AR109" s="154">
        <v>0</v>
      </c>
      <c r="AS109" s="151">
        <v>18</v>
      </c>
    </row>
    <row r="110" spans="12:45">
      <c r="L110" s="15">
        <v>106</v>
      </c>
      <c r="M110" s="38" t="s">
        <v>29</v>
      </c>
      <c r="N110" s="38" t="s">
        <v>27</v>
      </c>
      <c r="O110" s="38" t="s">
        <v>28</v>
      </c>
      <c r="P110" s="38" t="s">
        <v>64</v>
      </c>
      <c r="Q110" s="38" t="s">
        <v>29</v>
      </c>
      <c r="R110" s="38" t="s">
        <v>24</v>
      </c>
      <c r="S110" s="24" t="s">
        <v>29</v>
      </c>
      <c r="U110" s="37">
        <f t="shared" si="12"/>
        <v>19</v>
      </c>
      <c r="V110" s="37">
        <f t="shared" si="12"/>
        <v>12</v>
      </c>
      <c r="W110" s="37">
        <f t="shared" si="12"/>
        <v>15</v>
      </c>
      <c r="X110" s="37">
        <f t="shared" si="11"/>
        <v>14</v>
      </c>
      <c r="Y110" s="37">
        <f t="shared" si="11"/>
        <v>19</v>
      </c>
      <c r="Z110" s="37">
        <f t="shared" si="11"/>
        <v>11</v>
      </c>
      <c r="AA110" s="37">
        <f t="shared" si="11"/>
        <v>19</v>
      </c>
      <c r="AC110" s="18">
        <v>1</v>
      </c>
      <c r="AD110" s="18">
        <v>1</v>
      </c>
      <c r="AE110" s="18">
        <v>1</v>
      </c>
      <c r="AF110" s="18">
        <v>1</v>
      </c>
      <c r="AG110" s="18">
        <v>1</v>
      </c>
      <c r="AH110" s="18">
        <v>1</v>
      </c>
      <c r="AI110" s="4">
        <v>1</v>
      </c>
      <c r="AK110" s="37" t="s">
        <v>234</v>
      </c>
      <c r="AL110" s="37">
        <v>0</v>
      </c>
      <c r="AM110" s="37">
        <v>1</v>
      </c>
      <c r="AN110" s="37">
        <v>1</v>
      </c>
      <c r="AO110" s="37">
        <v>1</v>
      </c>
      <c r="AP110" s="37">
        <v>1</v>
      </c>
      <c r="AQ110" s="37">
        <v>0</v>
      </c>
      <c r="AR110" s="37">
        <v>0</v>
      </c>
      <c r="AS110" s="4">
        <v>19</v>
      </c>
    </row>
    <row r="111" spans="12:45">
      <c r="L111" s="14">
        <v>107</v>
      </c>
      <c r="M111" s="38" t="s">
        <v>17</v>
      </c>
      <c r="N111" s="38" t="s">
        <v>27</v>
      </c>
      <c r="O111" s="38" t="s">
        <v>28</v>
      </c>
      <c r="P111" s="38" t="s">
        <v>28</v>
      </c>
      <c r="Q111" s="38" t="s">
        <v>18</v>
      </c>
      <c r="R111" s="38" t="s">
        <v>24</v>
      </c>
      <c r="S111" s="24" t="s">
        <v>29</v>
      </c>
      <c r="U111" s="37">
        <f t="shared" si="12"/>
        <v>14</v>
      </c>
      <c r="V111" s="37">
        <f t="shared" si="12"/>
        <v>12</v>
      </c>
      <c r="W111" s="37">
        <f t="shared" si="12"/>
        <v>15</v>
      </c>
      <c r="X111" s="37">
        <f t="shared" si="11"/>
        <v>15</v>
      </c>
      <c r="Y111" s="37">
        <f t="shared" si="11"/>
        <v>10</v>
      </c>
      <c r="Z111" s="37">
        <f t="shared" si="11"/>
        <v>11</v>
      </c>
      <c r="AA111" s="37">
        <f t="shared" si="11"/>
        <v>19</v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0</v>
      </c>
      <c r="AM111" s="37">
        <v>1</v>
      </c>
      <c r="AN111" s="37">
        <v>1</v>
      </c>
      <c r="AO111" s="37">
        <v>1</v>
      </c>
      <c r="AP111" s="37">
        <v>1</v>
      </c>
      <c r="AQ111" s="37">
        <v>0</v>
      </c>
      <c r="AR111" s="37">
        <v>0</v>
      </c>
      <c r="AS111" s="4">
        <v>20</v>
      </c>
    </row>
    <row r="112" spans="12:45">
      <c r="L112" s="15">
        <v>108</v>
      </c>
      <c r="M112" s="38" t="s">
        <v>27</v>
      </c>
      <c r="N112" s="38" t="s">
        <v>21</v>
      </c>
      <c r="O112" s="38" t="s">
        <v>28</v>
      </c>
      <c r="P112" s="38" t="s">
        <v>29</v>
      </c>
      <c r="Q112" s="38" t="s">
        <v>232</v>
      </c>
      <c r="R112" s="38" t="s">
        <v>29</v>
      </c>
      <c r="S112" s="24" t="s">
        <v>28</v>
      </c>
      <c r="U112" s="37">
        <f t="shared" si="12"/>
        <v>12</v>
      </c>
      <c r="V112" s="37">
        <f t="shared" si="12"/>
        <v>12</v>
      </c>
      <c r="W112" s="37">
        <f t="shared" si="12"/>
        <v>15</v>
      </c>
      <c r="X112" s="37">
        <f t="shared" si="11"/>
        <v>19</v>
      </c>
      <c r="Y112" s="37">
        <f t="shared" si="11"/>
        <v>0</v>
      </c>
      <c r="Z112" s="37">
        <f t="shared" si="11"/>
        <v>19</v>
      </c>
      <c r="AA112" s="37">
        <f t="shared" si="11"/>
        <v>15</v>
      </c>
      <c r="AC112" s="18">
        <v>1</v>
      </c>
      <c r="AD112" s="18">
        <v>1</v>
      </c>
      <c r="AE112" s="18">
        <v>1</v>
      </c>
      <c r="AF112" s="18">
        <v>1</v>
      </c>
      <c r="AG112" s="18">
        <v>1</v>
      </c>
      <c r="AH112" s="18">
        <v>1</v>
      </c>
      <c r="AI112" s="4">
        <v>3</v>
      </c>
      <c r="AK112" s="37" t="s">
        <v>238</v>
      </c>
      <c r="AL112" s="37">
        <v>0</v>
      </c>
      <c r="AM112" s="37">
        <v>1</v>
      </c>
      <c r="AN112" s="37">
        <v>1</v>
      </c>
      <c r="AO112" s="37">
        <v>1</v>
      </c>
      <c r="AP112" s="37">
        <v>1</v>
      </c>
      <c r="AQ112" s="37">
        <v>0</v>
      </c>
      <c r="AR112" s="37">
        <v>0</v>
      </c>
      <c r="AS112" s="4">
        <v>21</v>
      </c>
    </row>
    <row r="113" spans="12:46">
      <c r="L113" s="14">
        <v>109</v>
      </c>
      <c r="M113" s="38" t="s">
        <v>27</v>
      </c>
      <c r="N113" s="38" t="s">
        <v>24</v>
      </c>
      <c r="O113" s="38" t="s">
        <v>24</v>
      </c>
      <c r="P113" s="38" t="s">
        <v>64</v>
      </c>
      <c r="Q113" s="38" t="s">
        <v>89</v>
      </c>
      <c r="R113" s="38" t="s">
        <v>29</v>
      </c>
      <c r="S113" s="38" t="s">
        <v>28</v>
      </c>
      <c r="U113" s="37">
        <f t="shared" si="12"/>
        <v>12</v>
      </c>
      <c r="V113" s="37">
        <f t="shared" si="12"/>
        <v>11</v>
      </c>
      <c r="W113" s="37">
        <f t="shared" si="12"/>
        <v>11</v>
      </c>
      <c r="X113" s="37">
        <f t="shared" si="11"/>
        <v>14</v>
      </c>
      <c r="Y113" s="37">
        <f t="shared" si="11"/>
        <v>7</v>
      </c>
      <c r="Z113" s="37">
        <f t="shared" si="11"/>
        <v>19</v>
      </c>
      <c r="AA113" s="37">
        <f t="shared" si="11"/>
        <v>15</v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4">
        <v>1</v>
      </c>
      <c r="AK113" s="37" t="s">
        <v>240</v>
      </c>
      <c r="AL113" s="37">
        <v>0</v>
      </c>
      <c r="AM113" s="37">
        <v>1</v>
      </c>
      <c r="AN113" s="37">
        <v>1</v>
      </c>
      <c r="AO113" s="37">
        <v>1</v>
      </c>
      <c r="AP113" s="37">
        <v>1</v>
      </c>
      <c r="AQ113" s="37">
        <v>0</v>
      </c>
      <c r="AR113" s="37">
        <v>0</v>
      </c>
      <c r="AS113" s="4">
        <v>22</v>
      </c>
    </row>
    <row r="114" spans="12:46">
      <c r="L114" s="15">
        <v>110</v>
      </c>
      <c r="M114" s="38" t="s">
        <v>28</v>
      </c>
      <c r="N114" s="38" t="s">
        <v>64</v>
      </c>
      <c r="O114" s="38" t="s">
        <v>24</v>
      </c>
      <c r="P114" s="38" t="s">
        <v>64</v>
      </c>
      <c r="Q114" s="38" t="s">
        <v>28</v>
      </c>
      <c r="R114" s="38" t="s">
        <v>27</v>
      </c>
      <c r="S114" s="24" t="s">
        <v>28</v>
      </c>
      <c r="U114" s="37">
        <f t="shared" si="12"/>
        <v>15</v>
      </c>
      <c r="V114" s="37">
        <f t="shared" si="12"/>
        <v>14</v>
      </c>
      <c r="W114" s="37">
        <f t="shared" si="12"/>
        <v>11</v>
      </c>
      <c r="X114" s="37">
        <f t="shared" si="11"/>
        <v>14</v>
      </c>
      <c r="Y114" s="37">
        <f t="shared" si="11"/>
        <v>15</v>
      </c>
      <c r="Z114" s="37">
        <f t="shared" si="11"/>
        <v>12</v>
      </c>
      <c r="AA114" s="37">
        <f t="shared" si="11"/>
        <v>15</v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0</v>
      </c>
      <c r="AM114" s="37">
        <v>1</v>
      </c>
      <c r="AN114" s="37">
        <v>1</v>
      </c>
      <c r="AO114" s="37">
        <v>1</v>
      </c>
      <c r="AP114" s="37">
        <v>1</v>
      </c>
      <c r="AQ114" s="37">
        <v>0</v>
      </c>
      <c r="AR114" s="37">
        <v>0</v>
      </c>
      <c r="AS114" s="4">
        <v>23</v>
      </c>
    </row>
    <row r="115" spans="12:46">
      <c r="L115" s="14">
        <v>111</v>
      </c>
      <c r="M115" s="38" t="s">
        <v>89</v>
      </c>
      <c r="N115" s="38" t="s">
        <v>27</v>
      </c>
      <c r="O115" s="38" t="s">
        <v>240</v>
      </c>
      <c r="P115" s="38" t="s">
        <v>26</v>
      </c>
      <c r="Q115" s="38" t="s">
        <v>89</v>
      </c>
      <c r="R115" s="38" t="s">
        <v>24</v>
      </c>
      <c r="S115" s="24" t="s">
        <v>21</v>
      </c>
      <c r="U115" s="37">
        <f t="shared" si="12"/>
        <v>7</v>
      </c>
      <c r="V115" s="37">
        <f t="shared" si="12"/>
        <v>12</v>
      </c>
      <c r="W115" s="37">
        <f t="shared" si="12"/>
        <v>0</v>
      </c>
      <c r="X115" s="37">
        <f t="shared" si="11"/>
        <v>7</v>
      </c>
      <c r="Y115" s="37">
        <f t="shared" si="11"/>
        <v>7</v>
      </c>
      <c r="Z115" s="37">
        <f t="shared" si="11"/>
        <v>11</v>
      </c>
      <c r="AA115" s="37">
        <f t="shared" si="11"/>
        <v>12</v>
      </c>
      <c r="AC115" s="18">
        <v>1</v>
      </c>
      <c r="AD115" s="18">
        <v>1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4" t="s">
        <v>94</v>
      </c>
      <c r="AL115" s="154">
        <v>0</v>
      </c>
      <c r="AM115" s="154">
        <v>0</v>
      </c>
      <c r="AN115" s="154">
        <v>0</v>
      </c>
      <c r="AO115" s="154">
        <v>0</v>
      </c>
      <c r="AP115" s="154">
        <v>0</v>
      </c>
      <c r="AQ115" s="154">
        <v>0</v>
      </c>
      <c r="AR115" s="154">
        <v>0</v>
      </c>
      <c r="AS115" s="151">
        <v>24</v>
      </c>
    </row>
    <row r="116" spans="12:46">
      <c r="L116" s="15">
        <v>112</v>
      </c>
      <c r="M116" s="38" t="s">
        <v>29</v>
      </c>
      <c r="N116" s="38" t="s">
        <v>27</v>
      </c>
      <c r="O116" s="38" t="s">
        <v>28</v>
      </c>
      <c r="P116" s="38" t="s">
        <v>242</v>
      </c>
      <c r="Q116" s="38" t="s">
        <v>89</v>
      </c>
      <c r="R116" s="38" t="s">
        <v>27</v>
      </c>
      <c r="S116" s="24" t="s">
        <v>21</v>
      </c>
      <c r="U116" s="37">
        <f t="shared" si="12"/>
        <v>19</v>
      </c>
      <c r="V116" s="37">
        <f t="shared" si="12"/>
        <v>12</v>
      </c>
      <c r="W116" s="37">
        <f t="shared" si="12"/>
        <v>15</v>
      </c>
      <c r="X116" s="37">
        <f t="shared" si="11"/>
        <v>0</v>
      </c>
      <c r="Y116" s="37">
        <f t="shared" si="11"/>
        <v>7</v>
      </c>
      <c r="Z116" s="37">
        <f t="shared" si="11"/>
        <v>12</v>
      </c>
      <c r="AA116" s="37">
        <f t="shared" si="11"/>
        <v>12</v>
      </c>
      <c r="AC116" s="18">
        <v>1</v>
      </c>
      <c r="AD116" s="18">
        <v>1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4" t="s">
        <v>256</v>
      </c>
      <c r="AL116" s="154">
        <v>0</v>
      </c>
      <c r="AM116" s="154">
        <v>1</v>
      </c>
      <c r="AN116" s="154">
        <v>1</v>
      </c>
      <c r="AO116" s="154">
        <v>1</v>
      </c>
      <c r="AP116" s="154">
        <v>1</v>
      </c>
      <c r="AQ116" s="154">
        <v>0</v>
      </c>
      <c r="AR116" s="154">
        <v>0</v>
      </c>
      <c r="AS116" s="151">
        <v>25</v>
      </c>
    </row>
    <row r="117" spans="12:46">
      <c r="L117" s="14">
        <v>113</v>
      </c>
      <c r="M117" s="38" t="s">
        <v>29</v>
      </c>
      <c r="N117" s="38" t="s">
        <v>21</v>
      </c>
      <c r="O117" s="38" t="s">
        <v>24</v>
      </c>
      <c r="P117" s="38" t="s">
        <v>28</v>
      </c>
      <c r="Q117" s="38" t="s">
        <v>89</v>
      </c>
      <c r="R117" s="38" t="s">
        <v>27</v>
      </c>
      <c r="S117" s="24" t="s">
        <v>27</v>
      </c>
      <c r="U117" s="37">
        <f t="shared" si="12"/>
        <v>19</v>
      </c>
      <c r="V117" s="37">
        <f t="shared" si="12"/>
        <v>12</v>
      </c>
      <c r="W117" s="37">
        <f t="shared" si="12"/>
        <v>11</v>
      </c>
      <c r="X117" s="37">
        <f t="shared" si="11"/>
        <v>15</v>
      </c>
      <c r="Y117" s="37">
        <f t="shared" si="11"/>
        <v>7</v>
      </c>
      <c r="Z117" s="37">
        <f t="shared" si="11"/>
        <v>12</v>
      </c>
      <c r="AA117" s="37">
        <f t="shared" si="11"/>
        <v>12</v>
      </c>
      <c r="AC117" s="18">
        <v>1</v>
      </c>
      <c r="AD117" s="18">
        <v>1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>
      <c r="L118" s="15">
        <v>114</v>
      </c>
      <c r="M118" s="38" t="s">
        <v>27</v>
      </c>
      <c r="N118" s="38" t="s">
        <v>21</v>
      </c>
      <c r="O118" s="38" t="s">
        <v>26</v>
      </c>
      <c r="P118" s="38" t="s">
        <v>26</v>
      </c>
      <c r="Q118" s="38" t="s">
        <v>18</v>
      </c>
      <c r="R118" s="38" t="s">
        <v>24</v>
      </c>
      <c r="S118" s="24" t="s">
        <v>27</v>
      </c>
      <c r="U118" s="37">
        <f t="shared" si="12"/>
        <v>12</v>
      </c>
      <c r="V118" s="37">
        <f t="shared" si="12"/>
        <v>12</v>
      </c>
      <c r="W118" s="37">
        <f t="shared" si="12"/>
        <v>7</v>
      </c>
      <c r="X118" s="37">
        <f t="shared" si="11"/>
        <v>7</v>
      </c>
      <c r="Y118" s="37">
        <f t="shared" si="11"/>
        <v>10</v>
      </c>
      <c r="Z118" s="37">
        <f t="shared" si="11"/>
        <v>11</v>
      </c>
      <c r="AA118" s="37">
        <f t="shared" si="11"/>
        <v>12</v>
      </c>
      <c r="AC118" s="18">
        <v>1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1</v>
      </c>
      <c r="AK118" s="40" t="s">
        <v>262</v>
      </c>
    </row>
    <row r="119" spans="12:46">
      <c r="L119" s="14">
        <v>115</v>
      </c>
      <c r="M119" s="38" t="s">
        <v>29</v>
      </c>
      <c r="N119" s="38" t="s">
        <v>89</v>
      </c>
      <c r="O119" s="38" t="s">
        <v>18</v>
      </c>
      <c r="P119" s="38" t="s">
        <v>230</v>
      </c>
      <c r="Q119" s="38" t="s">
        <v>224</v>
      </c>
      <c r="R119" s="38" t="s">
        <v>24</v>
      </c>
      <c r="S119" s="24" t="s">
        <v>29</v>
      </c>
      <c r="U119" s="37">
        <f t="shared" si="12"/>
        <v>19</v>
      </c>
      <c r="V119" s="37">
        <f t="shared" si="12"/>
        <v>7</v>
      </c>
      <c r="W119" s="37">
        <f t="shared" si="12"/>
        <v>10</v>
      </c>
      <c r="X119" s="37">
        <f t="shared" si="11"/>
        <v>0</v>
      </c>
      <c r="Y119" s="37">
        <f t="shared" si="11"/>
        <v>0</v>
      </c>
      <c r="Z119" s="37">
        <f t="shared" si="11"/>
        <v>11</v>
      </c>
      <c r="AA119" s="37">
        <f t="shared" ref="AA119:AA124" si="13">VLOOKUP(S119, $A$4:$J$29, 9, 0)</f>
        <v>19</v>
      </c>
      <c r="AC119" s="18">
        <v>1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3</v>
      </c>
      <c r="AK119" s="16" t="s">
        <v>52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>
      <c r="L120" s="15">
        <v>116</v>
      </c>
      <c r="M120" s="38" t="s">
        <v>29</v>
      </c>
      <c r="N120" s="38" t="s">
        <v>29</v>
      </c>
      <c r="O120" s="38" t="s">
        <v>24</v>
      </c>
      <c r="P120" s="38" t="s">
        <v>64</v>
      </c>
      <c r="Q120" s="38" t="s">
        <v>21</v>
      </c>
      <c r="R120" s="38" t="s">
        <v>27</v>
      </c>
      <c r="S120" s="24" t="s">
        <v>29</v>
      </c>
      <c r="U120" s="37">
        <f t="shared" si="12"/>
        <v>19</v>
      </c>
      <c r="V120" s="37">
        <f t="shared" si="12"/>
        <v>19</v>
      </c>
      <c r="W120" s="37">
        <f t="shared" si="12"/>
        <v>11</v>
      </c>
      <c r="X120" s="37">
        <f t="shared" si="12"/>
        <v>14</v>
      </c>
      <c r="Y120" s="37">
        <f t="shared" si="12"/>
        <v>12</v>
      </c>
      <c r="Z120" s="37">
        <f t="shared" si="12"/>
        <v>12</v>
      </c>
      <c r="AA120" s="37">
        <f t="shared" si="13"/>
        <v>19</v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1</v>
      </c>
      <c r="AK120" s="10" t="s">
        <v>68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4">
        <v>0</v>
      </c>
    </row>
    <row r="121" spans="12:46">
      <c r="L121" s="14">
        <v>117</v>
      </c>
      <c r="M121" s="38" t="s">
        <v>64</v>
      </c>
      <c r="N121" s="38" t="s">
        <v>29</v>
      </c>
      <c r="O121" s="38" t="s">
        <v>24</v>
      </c>
      <c r="P121" s="38" t="s">
        <v>27</v>
      </c>
      <c r="Q121" s="38" t="s">
        <v>21</v>
      </c>
      <c r="R121" s="38" t="s">
        <v>27</v>
      </c>
      <c r="S121" s="24" t="s">
        <v>29</v>
      </c>
      <c r="U121" s="37">
        <f t="shared" ref="U121:Z124" si="14">VLOOKUP(M121, $A$4:$J$29, 9, 0)</f>
        <v>14</v>
      </c>
      <c r="V121" s="37">
        <f t="shared" si="14"/>
        <v>19</v>
      </c>
      <c r="W121" s="37">
        <f t="shared" si="14"/>
        <v>11</v>
      </c>
      <c r="X121" s="37">
        <f t="shared" si="14"/>
        <v>12</v>
      </c>
      <c r="Y121" s="37">
        <f t="shared" si="14"/>
        <v>12</v>
      </c>
      <c r="Z121" s="37">
        <f t="shared" si="14"/>
        <v>12</v>
      </c>
      <c r="AA121" s="37">
        <f t="shared" si="13"/>
        <v>19</v>
      </c>
      <c r="AC121" s="18">
        <v>1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0</v>
      </c>
      <c r="AM121" s="37">
        <v>0</v>
      </c>
      <c r="AN121" s="37">
        <v>0</v>
      </c>
      <c r="AO121" s="37">
        <v>0</v>
      </c>
      <c r="AP121" s="37">
        <v>0</v>
      </c>
      <c r="AQ121" s="37">
        <v>0</v>
      </c>
      <c r="AR121" s="37">
        <v>0</v>
      </c>
      <c r="AS121" s="4">
        <v>1</v>
      </c>
    </row>
    <row r="122" spans="12:46">
      <c r="L122" s="15">
        <v>118</v>
      </c>
      <c r="M122" s="38" t="s">
        <v>29</v>
      </c>
      <c r="N122" s="38" t="s">
        <v>238</v>
      </c>
      <c r="O122" s="38" t="s">
        <v>28</v>
      </c>
      <c r="P122" s="38" t="s">
        <v>27</v>
      </c>
      <c r="Q122" s="38" t="s">
        <v>89</v>
      </c>
      <c r="R122" s="38" t="s">
        <v>27</v>
      </c>
      <c r="S122" s="24" t="s">
        <v>26</v>
      </c>
      <c r="U122" s="37">
        <f t="shared" si="14"/>
        <v>19</v>
      </c>
      <c r="V122" s="37">
        <f t="shared" si="14"/>
        <v>0</v>
      </c>
      <c r="W122" s="37">
        <f t="shared" si="14"/>
        <v>15</v>
      </c>
      <c r="X122" s="37">
        <f t="shared" si="14"/>
        <v>12</v>
      </c>
      <c r="Y122" s="37">
        <f t="shared" si="14"/>
        <v>7</v>
      </c>
      <c r="Z122" s="37">
        <f t="shared" si="14"/>
        <v>12</v>
      </c>
      <c r="AA122" s="37">
        <f t="shared" si="13"/>
        <v>7</v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3</v>
      </c>
      <c r="AK122" s="154" t="s">
        <v>20</v>
      </c>
      <c r="AL122" s="154">
        <v>1</v>
      </c>
      <c r="AM122" s="154">
        <v>1</v>
      </c>
      <c r="AN122" s="154">
        <v>1</v>
      </c>
      <c r="AO122" s="154">
        <v>1</v>
      </c>
      <c r="AP122" s="154">
        <v>1</v>
      </c>
      <c r="AQ122" s="154">
        <v>1</v>
      </c>
      <c r="AR122" s="154">
        <v>0</v>
      </c>
      <c r="AS122" s="151">
        <v>2</v>
      </c>
    </row>
    <row r="123" spans="12:46">
      <c r="L123" s="14">
        <v>119</v>
      </c>
      <c r="M123" s="38" t="s">
        <v>26</v>
      </c>
      <c r="N123" s="38" t="s">
        <v>27</v>
      </c>
      <c r="O123" s="38" t="s">
        <v>26</v>
      </c>
      <c r="P123" s="38" t="s">
        <v>64</v>
      </c>
      <c r="Q123" s="38" t="s">
        <v>21</v>
      </c>
      <c r="R123" s="38" t="s">
        <v>24</v>
      </c>
      <c r="S123" s="24" t="s">
        <v>26</v>
      </c>
      <c r="U123" s="37">
        <f t="shared" si="14"/>
        <v>7</v>
      </c>
      <c r="V123" s="37">
        <f t="shared" si="14"/>
        <v>12</v>
      </c>
      <c r="W123" s="37">
        <f t="shared" si="14"/>
        <v>7</v>
      </c>
      <c r="X123" s="37">
        <f t="shared" si="14"/>
        <v>14</v>
      </c>
      <c r="Y123" s="37">
        <f t="shared" si="14"/>
        <v>12</v>
      </c>
      <c r="Z123" s="37">
        <f t="shared" si="14"/>
        <v>11</v>
      </c>
      <c r="AA123" s="37">
        <f t="shared" si="13"/>
        <v>7</v>
      </c>
      <c r="AC123" s="18">
        <v>1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1</v>
      </c>
      <c r="AK123" s="154" t="s">
        <v>21</v>
      </c>
      <c r="AL123" s="154">
        <v>1</v>
      </c>
      <c r="AM123" s="154">
        <v>70</v>
      </c>
      <c r="AN123" s="154">
        <v>1</v>
      </c>
      <c r="AO123" s="154">
        <v>70</v>
      </c>
      <c r="AP123" s="154">
        <v>1</v>
      </c>
      <c r="AQ123" s="154">
        <v>1</v>
      </c>
      <c r="AR123" s="154">
        <v>0</v>
      </c>
      <c r="AS123" s="151">
        <v>3</v>
      </c>
    </row>
    <row r="124" spans="12:46">
      <c r="L124" s="15">
        <v>120</v>
      </c>
      <c r="M124" s="38" t="s">
        <v>26</v>
      </c>
      <c r="N124" s="38" t="s">
        <v>29</v>
      </c>
      <c r="O124" s="38" t="s">
        <v>24</v>
      </c>
      <c r="P124" s="38" t="s">
        <v>64</v>
      </c>
      <c r="Q124" s="38" t="s">
        <v>89</v>
      </c>
      <c r="R124" s="38" t="s">
        <v>27</v>
      </c>
      <c r="S124" s="24" t="s">
        <v>26</v>
      </c>
      <c r="U124" s="37">
        <f t="shared" si="14"/>
        <v>7</v>
      </c>
      <c r="V124" s="37">
        <f t="shared" si="14"/>
        <v>19</v>
      </c>
      <c r="W124" s="37">
        <f t="shared" si="14"/>
        <v>11</v>
      </c>
      <c r="X124" s="37">
        <f t="shared" si="14"/>
        <v>14</v>
      </c>
      <c r="Y124" s="37">
        <f t="shared" si="14"/>
        <v>7</v>
      </c>
      <c r="Z124" s="37">
        <f t="shared" si="14"/>
        <v>12</v>
      </c>
      <c r="AA124" s="37">
        <f t="shared" si="13"/>
        <v>7</v>
      </c>
      <c r="AC124" s="18">
        <v>1</v>
      </c>
      <c r="AD124" s="18">
        <v>1</v>
      </c>
      <c r="AE124" s="18">
        <v>1</v>
      </c>
      <c r="AF124" s="18">
        <v>1</v>
      </c>
      <c r="AG124" s="18">
        <v>1</v>
      </c>
      <c r="AH124" s="18">
        <v>1</v>
      </c>
      <c r="AI124" s="4">
        <v>1</v>
      </c>
      <c r="AK124" s="154" t="s">
        <v>17</v>
      </c>
      <c r="AL124" s="154">
        <v>1</v>
      </c>
      <c r="AM124" s="154">
        <v>1</v>
      </c>
      <c r="AN124" s="154">
        <v>5</v>
      </c>
      <c r="AO124" s="154">
        <v>1</v>
      </c>
      <c r="AP124" s="154">
        <v>1</v>
      </c>
      <c r="AQ124" s="154">
        <v>70</v>
      </c>
      <c r="AR124" s="154">
        <v>1</v>
      </c>
      <c r="AS124" s="151">
        <v>4</v>
      </c>
    </row>
    <row r="125" spans="12:46">
      <c r="AC125" s="31"/>
      <c r="AD125" s="31"/>
      <c r="AE125" s="31"/>
      <c r="AF125" s="31"/>
      <c r="AG125" s="31"/>
      <c r="AH125" s="31"/>
      <c r="AI125" s="31"/>
      <c r="AK125" s="154" t="s">
        <v>18</v>
      </c>
      <c r="AL125" s="154">
        <v>1</v>
      </c>
      <c r="AM125" s="154">
        <v>70</v>
      </c>
      <c r="AN125" s="154">
        <v>1</v>
      </c>
      <c r="AO125" s="154">
        <v>1</v>
      </c>
      <c r="AP125" s="154">
        <v>1</v>
      </c>
      <c r="AQ125" s="154">
        <v>70</v>
      </c>
      <c r="AR125" s="154">
        <v>1</v>
      </c>
      <c r="AS125" s="151">
        <v>5</v>
      </c>
    </row>
    <row r="126" spans="12:46">
      <c r="AK126" s="154" t="s">
        <v>64</v>
      </c>
      <c r="AL126" s="154">
        <v>5</v>
      </c>
      <c r="AM126" s="154">
        <v>1</v>
      </c>
      <c r="AN126" s="154">
        <v>70</v>
      </c>
      <c r="AO126" s="154">
        <v>1</v>
      </c>
      <c r="AP126" s="154">
        <v>70</v>
      </c>
      <c r="AQ126" s="154">
        <v>1</v>
      </c>
      <c r="AR126" s="154">
        <v>1</v>
      </c>
      <c r="AS126" s="151">
        <v>6</v>
      </c>
    </row>
    <row r="127" spans="12:46">
      <c r="AK127" s="154" t="s">
        <v>89</v>
      </c>
      <c r="AL127" s="154">
        <v>1</v>
      </c>
      <c r="AM127" s="154">
        <v>70</v>
      </c>
      <c r="AN127" s="154">
        <v>1</v>
      </c>
      <c r="AO127" s="154">
        <v>1</v>
      </c>
      <c r="AP127" s="154">
        <v>1</v>
      </c>
      <c r="AQ127" s="154">
        <v>70</v>
      </c>
      <c r="AR127" s="154">
        <v>1</v>
      </c>
      <c r="AS127" s="151">
        <v>7</v>
      </c>
    </row>
    <row r="128" spans="12:46">
      <c r="AK128" s="37" t="s">
        <v>24</v>
      </c>
      <c r="AL128" s="37">
        <v>1</v>
      </c>
      <c r="AM128" s="37">
        <v>1</v>
      </c>
      <c r="AN128" s="37">
        <v>1</v>
      </c>
      <c r="AO128" s="37">
        <v>1</v>
      </c>
      <c r="AP128" s="37">
        <v>70</v>
      </c>
      <c r="AQ128" s="37">
        <v>1</v>
      </c>
      <c r="AR128" s="37">
        <v>1</v>
      </c>
      <c r="AS128" s="4">
        <v>8</v>
      </c>
      <c r="AT128" s="9"/>
    </row>
    <row r="129" spans="37:46">
      <c r="AK129" s="37" t="s">
        <v>26</v>
      </c>
      <c r="AL129" s="37">
        <v>1</v>
      </c>
      <c r="AM129" s="37">
        <v>1</v>
      </c>
      <c r="AN129" s="37">
        <v>1</v>
      </c>
      <c r="AO129" s="37">
        <v>70</v>
      </c>
      <c r="AP129" s="37">
        <v>1</v>
      </c>
      <c r="AQ129" s="37">
        <v>70</v>
      </c>
      <c r="AR129" s="37">
        <v>1</v>
      </c>
      <c r="AS129" s="4">
        <v>9</v>
      </c>
      <c r="AT129" s="9"/>
    </row>
    <row r="130" spans="37:46">
      <c r="AK130" s="37" t="s">
        <v>27</v>
      </c>
      <c r="AL130" s="37">
        <v>1</v>
      </c>
      <c r="AM130" s="37">
        <v>1</v>
      </c>
      <c r="AN130" s="37">
        <v>5</v>
      </c>
      <c r="AO130" s="37">
        <v>1</v>
      </c>
      <c r="AP130" s="37">
        <v>1</v>
      </c>
      <c r="AQ130" s="37">
        <v>1</v>
      </c>
      <c r="AR130" s="37">
        <v>3</v>
      </c>
      <c r="AS130" s="4">
        <v>10</v>
      </c>
      <c r="AT130" s="9"/>
    </row>
    <row r="131" spans="37:46">
      <c r="AK131" s="37" t="s">
        <v>28</v>
      </c>
      <c r="AL131" s="37">
        <v>1</v>
      </c>
      <c r="AM131" s="37">
        <v>70</v>
      </c>
      <c r="AN131" s="37">
        <v>1</v>
      </c>
      <c r="AO131" s="37">
        <v>1</v>
      </c>
      <c r="AP131" s="37">
        <v>1</v>
      </c>
      <c r="AQ131" s="37">
        <v>1</v>
      </c>
      <c r="AR131" s="37">
        <v>1</v>
      </c>
      <c r="AS131" s="4">
        <v>11</v>
      </c>
      <c r="AT131" s="9"/>
    </row>
    <row r="132" spans="37:46">
      <c r="AK132" s="37" t="s">
        <v>29</v>
      </c>
      <c r="AL132" s="37">
        <v>70</v>
      </c>
      <c r="AM132" s="37">
        <v>1</v>
      </c>
      <c r="AN132" s="37">
        <v>1</v>
      </c>
      <c r="AO132" s="37">
        <v>1</v>
      </c>
      <c r="AP132" s="37">
        <v>1</v>
      </c>
      <c r="AQ132" s="37">
        <v>1</v>
      </c>
      <c r="AR132" s="37">
        <v>1</v>
      </c>
      <c r="AS132" s="4">
        <v>12</v>
      </c>
      <c r="AT132" s="9"/>
    </row>
    <row r="133" spans="37:46">
      <c r="AK133" s="154" t="s">
        <v>222</v>
      </c>
      <c r="AL133" s="154">
        <v>0</v>
      </c>
      <c r="AM133" s="154">
        <v>0</v>
      </c>
      <c r="AN133" s="154">
        <v>0</v>
      </c>
      <c r="AO133" s="154">
        <v>0</v>
      </c>
      <c r="AP133" s="154">
        <v>0</v>
      </c>
      <c r="AQ133" s="154">
        <v>0</v>
      </c>
      <c r="AR133" s="154">
        <v>0</v>
      </c>
      <c r="AS133" s="151">
        <v>13</v>
      </c>
      <c r="AT133" s="9"/>
    </row>
    <row r="134" spans="37:46">
      <c r="AK134" s="154" t="s">
        <v>224</v>
      </c>
      <c r="AL134" s="154">
        <v>0</v>
      </c>
      <c r="AM134" s="154">
        <v>1</v>
      </c>
      <c r="AN134" s="154">
        <v>1</v>
      </c>
      <c r="AO134" s="154">
        <v>1</v>
      </c>
      <c r="AP134" s="154">
        <v>1</v>
      </c>
      <c r="AQ134" s="154">
        <v>0</v>
      </c>
      <c r="AR134" s="154">
        <v>0</v>
      </c>
      <c r="AS134" s="151">
        <v>14</v>
      </c>
      <c r="AT134" s="9"/>
    </row>
    <row r="135" spans="37:46">
      <c r="AK135" s="154" t="s">
        <v>226</v>
      </c>
      <c r="AL135" s="154">
        <v>0</v>
      </c>
      <c r="AM135" s="154">
        <v>1</v>
      </c>
      <c r="AN135" s="154">
        <v>1</v>
      </c>
      <c r="AO135" s="154">
        <v>1</v>
      </c>
      <c r="AP135" s="154">
        <v>1</v>
      </c>
      <c r="AQ135" s="154">
        <v>0</v>
      </c>
      <c r="AR135" s="154">
        <v>0</v>
      </c>
      <c r="AS135" s="151">
        <v>15</v>
      </c>
      <c r="AT135" s="9"/>
    </row>
    <row r="136" spans="37:46">
      <c r="AK136" s="154" t="s">
        <v>228</v>
      </c>
      <c r="AL136" s="154">
        <v>0</v>
      </c>
      <c r="AM136" s="154">
        <v>1</v>
      </c>
      <c r="AN136" s="154">
        <v>1</v>
      </c>
      <c r="AO136" s="154">
        <v>1</v>
      </c>
      <c r="AP136" s="154">
        <v>1</v>
      </c>
      <c r="AQ136" s="154">
        <v>0</v>
      </c>
      <c r="AR136" s="154">
        <v>0</v>
      </c>
      <c r="AS136" s="151">
        <v>16</v>
      </c>
      <c r="AT136" s="9"/>
    </row>
    <row r="137" spans="37:46">
      <c r="AK137" s="154" t="s">
        <v>230</v>
      </c>
      <c r="AL137" s="154">
        <v>0</v>
      </c>
      <c r="AM137" s="154">
        <v>1</v>
      </c>
      <c r="AN137" s="154">
        <v>1</v>
      </c>
      <c r="AO137" s="154">
        <v>1</v>
      </c>
      <c r="AP137" s="154">
        <v>2</v>
      </c>
      <c r="AQ137" s="154">
        <v>0</v>
      </c>
      <c r="AR137" s="154">
        <v>0</v>
      </c>
      <c r="AS137" s="151">
        <v>17</v>
      </c>
      <c r="AT137" s="9"/>
    </row>
    <row r="138" spans="37:46">
      <c r="AK138" s="154" t="s">
        <v>232</v>
      </c>
      <c r="AL138" s="154">
        <v>0</v>
      </c>
      <c r="AM138" s="154">
        <v>1</v>
      </c>
      <c r="AN138" s="154">
        <v>1</v>
      </c>
      <c r="AO138" s="154">
        <v>1</v>
      </c>
      <c r="AP138" s="154">
        <v>1</v>
      </c>
      <c r="AQ138" s="154">
        <v>0</v>
      </c>
      <c r="AR138" s="154">
        <v>0</v>
      </c>
      <c r="AS138" s="151">
        <v>18</v>
      </c>
      <c r="AT138" s="9"/>
    </row>
    <row r="139" spans="37:46">
      <c r="AK139" s="37" t="s">
        <v>234</v>
      </c>
      <c r="AL139" s="37">
        <v>0</v>
      </c>
      <c r="AM139" s="37">
        <v>1</v>
      </c>
      <c r="AN139" s="37">
        <v>1</v>
      </c>
      <c r="AO139" s="37">
        <v>1</v>
      </c>
      <c r="AP139" s="37">
        <v>1</v>
      </c>
      <c r="AQ139" s="37">
        <v>0</v>
      </c>
      <c r="AR139" s="37">
        <v>0</v>
      </c>
      <c r="AS139" s="4">
        <v>19</v>
      </c>
      <c r="AT139" s="9"/>
    </row>
    <row r="140" spans="37:46">
      <c r="AK140" s="37" t="s">
        <v>236</v>
      </c>
      <c r="AL140" s="37">
        <v>0</v>
      </c>
      <c r="AM140" s="37">
        <v>1</v>
      </c>
      <c r="AN140" s="37">
        <v>1</v>
      </c>
      <c r="AO140" s="37">
        <v>1</v>
      </c>
      <c r="AP140" s="37">
        <v>1</v>
      </c>
      <c r="AQ140" s="37">
        <v>0</v>
      </c>
      <c r="AR140" s="37">
        <v>0</v>
      </c>
      <c r="AS140" s="4">
        <v>20</v>
      </c>
      <c r="AT140" s="9"/>
    </row>
    <row r="141" spans="37:46">
      <c r="AK141" s="37" t="s">
        <v>238</v>
      </c>
      <c r="AL141" s="37">
        <v>0</v>
      </c>
      <c r="AM141" s="37">
        <v>1</v>
      </c>
      <c r="AN141" s="37">
        <v>1</v>
      </c>
      <c r="AO141" s="37">
        <v>1</v>
      </c>
      <c r="AP141" s="37">
        <v>1</v>
      </c>
      <c r="AQ141" s="37">
        <v>0</v>
      </c>
      <c r="AR141" s="37">
        <v>0</v>
      </c>
      <c r="AS141" s="4">
        <v>21</v>
      </c>
      <c r="AT141" s="9"/>
    </row>
    <row r="142" spans="37:46">
      <c r="AK142" s="37" t="s">
        <v>240</v>
      </c>
      <c r="AL142" s="37">
        <v>0</v>
      </c>
      <c r="AM142" s="37">
        <v>1</v>
      </c>
      <c r="AN142" s="37">
        <v>1</v>
      </c>
      <c r="AO142" s="37">
        <v>1</v>
      </c>
      <c r="AP142" s="37">
        <v>1</v>
      </c>
      <c r="AQ142" s="37">
        <v>0</v>
      </c>
      <c r="AR142" s="37">
        <v>0</v>
      </c>
      <c r="AS142" s="4">
        <v>22</v>
      </c>
      <c r="AT142" s="9"/>
    </row>
    <row r="143" spans="37:46">
      <c r="AK143" s="37" t="s">
        <v>242</v>
      </c>
      <c r="AL143" s="37">
        <v>0</v>
      </c>
      <c r="AM143" s="37">
        <v>1</v>
      </c>
      <c r="AN143" s="37">
        <v>1</v>
      </c>
      <c r="AO143" s="37">
        <v>1</v>
      </c>
      <c r="AP143" s="37">
        <v>1</v>
      </c>
      <c r="AQ143" s="37">
        <v>0</v>
      </c>
      <c r="AR143" s="37">
        <v>0</v>
      </c>
      <c r="AS143" s="4">
        <v>23</v>
      </c>
      <c r="AT143" s="9"/>
    </row>
    <row r="144" spans="37:46">
      <c r="AK144" s="154" t="s">
        <v>94</v>
      </c>
      <c r="AL144" s="154">
        <v>0</v>
      </c>
      <c r="AM144" s="154">
        <v>0</v>
      </c>
      <c r="AN144" s="154">
        <v>0</v>
      </c>
      <c r="AO144" s="154">
        <v>0</v>
      </c>
      <c r="AP144" s="154">
        <v>0</v>
      </c>
      <c r="AQ144" s="154">
        <v>0</v>
      </c>
      <c r="AR144" s="154">
        <v>0</v>
      </c>
      <c r="AS144" s="151">
        <v>24</v>
      </c>
      <c r="AT144" s="9"/>
    </row>
    <row r="145" spans="37:46">
      <c r="AK145" s="154" t="s">
        <v>256</v>
      </c>
      <c r="AL145" s="154">
        <v>0</v>
      </c>
      <c r="AM145" s="154">
        <v>1</v>
      </c>
      <c r="AN145" s="154">
        <v>1</v>
      </c>
      <c r="AO145" s="154">
        <v>1</v>
      </c>
      <c r="AP145" s="154">
        <v>1</v>
      </c>
      <c r="AQ145" s="154">
        <v>0</v>
      </c>
      <c r="AR145" s="154">
        <v>0</v>
      </c>
      <c r="AS145" s="151">
        <v>25</v>
      </c>
      <c r="AT145" s="9"/>
    </row>
    <row r="146" spans="37:46">
      <c r="AT146" s="9"/>
    </row>
    <row r="147" spans="37:46">
      <c r="AO147" s="9"/>
      <c r="AP147" s="9"/>
      <c r="AQ147" s="9"/>
      <c r="AR147" s="9"/>
      <c r="AS147" s="9"/>
      <c r="AT147" s="9"/>
    </row>
    <row r="148" spans="37:46">
      <c r="AO148" s="9"/>
      <c r="AP148" s="9"/>
      <c r="AQ148" s="9"/>
      <c r="AR148" s="9"/>
      <c r="AS148" s="9"/>
      <c r="AT148" s="9"/>
    </row>
    <row r="149" spans="37:46">
      <c r="AO149" s="9"/>
      <c r="AP149" s="9"/>
      <c r="AQ149" s="9"/>
      <c r="AR149" s="9"/>
      <c r="AS149" s="9"/>
      <c r="AT149" s="9"/>
    </row>
    <row r="150" spans="37:46">
      <c r="AO150" s="9"/>
      <c r="AP150" s="9"/>
      <c r="AQ150" s="9"/>
      <c r="AR150" s="9"/>
      <c r="AS150" s="9"/>
      <c r="AT150" s="9"/>
    </row>
    <row r="151" spans="37:46">
      <c r="AO151" s="9"/>
      <c r="AP151" s="9"/>
      <c r="AQ151" s="9"/>
      <c r="AR151" s="9"/>
      <c r="AS151" s="9"/>
      <c r="AT151" s="9"/>
    </row>
    <row r="152" spans="37:46">
      <c r="AO152" s="9"/>
      <c r="AP152" s="9"/>
      <c r="AQ152" s="9"/>
      <c r="AR152" s="9"/>
      <c r="AS152" s="9"/>
      <c r="AT152" s="9"/>
    </row>
    <row r="153" spans="37:46">
      <c r="AO153" s="9"/>
      <c r="AP153" s="9"/>
      <c r="AQ153" s="9"/>
      <c r="AR153" s="9"/>
      <c r="AS153" s="9"/>
      <c r="AT153" s="9"/>
    </row>
    <row r="154" spans="37:46">
      <c r="AO154" s="9"/>
      <c r="AP154" s="9"/>
      <c r="AQ154" s="9"/>
      <c r="AR154" s="9"/>
      <c r="AS154" s="9"/>
      <c r="AT154" s="9"/>
    </row>
    <row r="155" spans="37:46">
      <c r="AO155" s="9"/>
      <c r="AP155" s="9"/>
      <c r="AQ155" s="9"/>
      <c r="AR155" s="9"/>
      <c r="AS155" s="9"/>
      <c r="AT155" s="9"/>
    </row>
    <row r="156" spans="37:46">
      <c r="AO156" s="9"/>
      <c r="AP156" s="9"/>
      <c r="AQ156" s="9"/>
      <c r="AR156" s="9"/>
      <c r="AS156" s="9"/>
      <c r="AT156" s="9"/>
    </row>
    <row r="157" spans="37:46">
      <c r="AO157" s="9"/>
      <c r="AP157" s="9"/>
      <c r="AQ157" s="9"/>
      <c r="AR157" s="9"/>
      <c r="AS157" s="9"/>
      <c r="AT157" s="9"/>
    </row>
    <row r="158" spans="37:46">
      <c r="AO158" s="9"/>
      <c r="AP158" s="9"/>
      <c r="AQ158" s="9"/>
      <c r="AR158" s="9"/>
      <c r="AS158" s="9"/>
      <c r="AT158" s="9"/>
    </row>
    <row r="159" spans="37:46">
      <c r="AO159" s="9"/>
      <c r="AP159" s="9"/>
      <c r="AQ159" s="9"/>
      <c r="AR159" s="9"/>
      <c r="AS159" s="9"/>
      <c r="AT159" s="9"/>
    </row>
    <row r="160" spans="37:46">
      <c r="AO160" s="9"/>
      <c r="AP160" s="9"/>
      <c r="AQ160" s="9"/>
      <c r="AR160" s="9"/>
      <c r="AS160" s="9"/>
      <c r="AT160" s="9"/>
    </row>
    <row r="161" spans="41:46">
      <c r="AO161" s="9"/>
      <c r="AP161" s="9"/>
      <c r="AQ161" s="9"/>
      <c r="AR161" s="9"/>
      <c r="AS161" s="9"/>
      <c r="AT161" s="9"/>
    </row>
    <row r="162" spans="41:46">
      <c r="AO162" s="9"/>
      <c r="AP162" s="9"/>
      <c r="AQ162" s="9"/>
      <c r="AR162" s="9"/>
      <c r="AS162" s="9"/>
      <c r="AT162" s="9"/>
    </row>
    <row r="163" spans="41:46">
      <c r="AO163" s="9"/>
      <c r="AP163" s="9"/>
      <c r="AQ163" s="9"/>
      <c r="AR163" s="9"/>
      <c r="AS163" s="9"/>
      <c r="AT163" s="9"/>
    </row>
    <row r="164" spans="41:46">
      <c r="AO164" s="9"/>
      <c r="AP164" s="9"/>
      <c r="AQ164" s="9"/>
      <c r="AR164" s="9"/>
      <c r="AS164" s="9"/>
      <c r="AT164" s="9"/>
    </row>
    <row r="165" spans="41:46">
      <c r="AO165" s="9"/>
      <c r="AP165" s="9"/>
      <c r="AQ165" s="9"/>
      <c r="AR165" s="9"/>
      <c r="AS165" s="9"/>
      <c r="AT165" s="9"/>
    </row>
    <row r="166" spans="41:46">
      <c r="AO166" s="9"/>
      <c r="AP166" s="9"/>
      <c r="AQ166" s="9"/>
      <c r="AR166" s="9"/>
      <c r="AS166" s="9"/>
      <c r="AT166" s="9"/>
    </row>
    <row r="167" spans="41:46">
      <c r="AO167" s="9"/>
      <c r="AP167" s="9"/>
      <c r="AQ167" s="9"/>
      <c r="AR167" s="9"/>
      <c r="AS167" s="9"/>
      <c r="AT167" s="9"/>
    </row>
    <row r="168" spans="41:46">
      <c r="AO168" s="9"/>
      <c r="AP168" s="9"/>
      <c r="AQ168" s="9"/>
      <c r="AR168" s="9"/>
      <c r="AS168" s="9"/>
      <c r="AT168" s="9"/>
    </row>
    <row r="169" spans="41:46">
      <c r="AO169" s="9"/>
      <c r="AP169" s="9"/>
      <c r="AQ169" s="9"/>
      <c r="AR169" s="9"/>
      <c r="AS169" s="9"/>
      <c r="AT169" s="9"/>
    </row>
    <row r="170" spans="41:46">
      <c r="AO170" s="9"/>
      <c r="AP170" s="9"/>
      <c r="AQ170" s="9"/>
      <c r="AR170" s="9"/>
      <c r="AS170" s="9"/>
      <c r="AT170" s="9"/>
    </row>
    <row r="171" spans="41:46">
      <c r="AO171" s="9"/>
      <c r="AP171" s="9"/>
      <c r="AQ171" s="9"/>
      <c r="AR171" s="9"/>
      <c r="AS171" s="9"/>
      <c r="AT171" s="9"/>
    </row>
    <row r="172" spans="41:46">
      <c r="AO172" s="9"/>
      <c r="AP172" s="9"/>
      <c r="AQ172" s="9"/>
      <c r="AR172" s="9"/>
      <c r="AS172" s="9"/>
      <c r="AT172" s="9"/>
    </row>
    <row r="173" spans="41:46">
      <c r="AO173" s="9"/>
      <c r="AP173" s="9"/>
      <c r="AQ173" s="9"/>
      <c r="AR173" s="9"/>
      <c r="AS173" s="9"/>
      <c r="AT173" s="9"/>
    </row>
    <row r="174" spans="41:46">
      <c r="AO174" s="9"/>
      <c r="AP174" s="9"/>
      <c r="AQ174" s="9"/>
      <c r="AR174" s="9"/>
      <c r="AS174" s="9"/>
      <c r="AT174" s="9"/>
    </row>
    <row r="175" spans="41:46">
      <c r="AO175" s="9"/>
      <c r="AP175" s="9"/>
      <c r="AQ175" s="9"/>
      <c r="AR175" s="9"/>
      <c r="AS175" s="9"/>
      <c r="AT175" s="9"/>
    </row>
    <row r="176" spans="41:46">
      <c r="AO176" s="9"/>
      <c r="AP176" s="9"/>
      <c r="AQ176" s="9"/>
      <c r="AR176" s="9"/>
      <c r="AS176" s="9"/>
      <c r="AT176" s="9"/>
    </row>
    <row r="177" spans="41:46">
      <c r="AO177" s="9"/>
      <c r="AP177" s="9"/>
      <c r="AQ177" s="9"/>
      <c r="AR177" s="9"/>
      <c r="AS177" s="9"/>
      <c r="AT177" s="9"/>
    </row>
    <row r="178" spans="41:46">
      <c r="AO178" s="9"/>
      <c r="AP178" s="9"/>
      <c r="AQ178" s="9"/>
      <c r="AR178" s="9"/>
      <c r="AS178" s="9"/>
      <c r="AT178" s="9"/>
    </row>
    <row r="179" spans="41:46">
      <c r="AO179" s="9"/>
      <c r="AP179" s="9"/>
      <c r="AQ179" s="9"/>
      <c r="AR179" s="9"/>
      <c r="AS179" s="9"/>
      <c r="AT179" s="9"/>
    </row>
    <row r="180" spans="41:46">
      <c r="AO180" s="9"/>
      <c r="AP180" s="9"/>
      <c r="AQ180" s="9"/>
      <c r="AR180" s="9"/>
      <c r="AS180" s="9"/>
      <c r="AT180" s="9"/>
    </row>
    <row r="181" spans="41:46">
      <c r="AO181" s="9"/>
      <c r="AP181" s="9"/>
      <c r="AQ181" s="9"/>
      <c r="AR181" s="9"/>
      <c r="AS181" s="9"/>
      <c r="AT181" s="9"/>
    </row>
    <row r="182" spans="41:46">
      <c r="AO182" s="9"/>
      <c r="AP182" s="9"/>
      <c r="AQ182" s="9"/>
      <c r="AR182" s="9"/>
      <c r="AS182" s="9"/>
      <c r="AT182" s="9"/>
    </row>
    <row r="183" spans="41:46">
      <c r="AO183" s="9"/>
      <c r="AP183" s="9"/>
      <c r="AQ183" s="9"/>
      <c r="AR183" s="9"/>
      <c r="AS183" s="9"/>
      <c r="AT183" s="9"/>
    </row>
    <row r="184" spans="41:46">
      <c r="AO184" s="9"/>
      <c r="AP184" s="9"/>
      <c r="AQ184" s="9"/>
      <c r="AR184" s="9"/>
      <c r="AS184" s="9"/>
      <c r="AT184" s="9"/>
    </row>
    <row r="185" spans="41:46">
      <c r="AO185" s="9"/>
      <c r="AP185" s="9"/>
      <c r="AQ185" s="9"/>
      <c r="AR185" s="9"/>
      <c r="AS185" s="9"/>
      <c r="AT185" s="9"/>
    </row>
    <row r="186" spans="41:46">
      <c r="AO186" s="9"/>
      <c r="AP186" s="9"/>
      <c r="AQ186" s="9"/>
      <c r="AR186" s="9"/>
      <c r="AS186" s="9"/>
      <c r="AT186" s="9"/>
    </row>
    <row r="187" spans="41:46">
      <c r="AO187" s="9"/>
      <c r="AP187" s="9"/>
      <c r="AQ187" s="9"/>
      <c r="AR187" s="9"/>
      <c r="AS187" s="9"/>
      <c r="AT187" s="9"/>
    </row>
    <row r="188" spans="41:46">
      <c r="AO188" s="9"/>
      <c r="AP188" s="9"/>
      <c r="AQ188" s="9"/>
      <c r="AR188" s="9"/>
      <c r="AS188" s="9"/>
      <c r="AT188" s="9"/>
    </row>
    <row r="189" spans="41:46">
      <c r="AO189" s="9"/>
      <c r="AP189" s="9"/>
      <c r="AQ189" s="9"/>
      <c r="AR189" s="9"/>
      <c r="AS189" s="9"/>
      <c r="AT189" s="9"/>
    </row>
    <row r="190" spans="41:46">
      <c r="AO190" s="9"/>
      <c r="AP190" s="9"/>
      <c r="AQ190" s="9"/>
      <c r="AR190" s="9"/>
      <c r="AS190" s="9"/>
      <c r="AT190" s="9"/>
    </row>
    <row r="191" spans="41:46">
      <c r="AO191" s="9"/>
      <c r="AP191" s="9"/>
      <c r="AQ191" s="9"/>
      <c r="AR191" s="9"/>
      <c r="AS191" s="9"/>
      <c r="AT191" s="9"/>
    </row>
    <row r="192" spans="41:46">
      <c r="AO192" s="9"/>
      <c r="AP192" s="9"/>
      <c r="AQ192" s="9"/>
      <c r="AR192" s="9"/>
      <c r="AS192" s="9"/>
      <c r="AT192" s="9"/>
    </row>
    <row r="193" spans="41:46">
      <c r="AO193" s="9"/>
      <c r="AP193" s="9"/>
      <c r="AQ193" s="9"/>
      <c r="AR193" s="9"/>
      <c r="AS193" s="9"/>
      <c r="AT193" s="9"/>
    </row>
    <row r="194" spans="41:46">
      <c r="AO194" s="9"/>
      <c r="AP194" s="9"/>
      <c r="AQ194" s="9"/>
      <c r="AR194" s="9"/>
      <c r="AS194" s="9"/>
      <c r="AT194" s="9"/>
    </row>
    <row r="195" spans="41:46">
      <c r="AO195" s="9"/>
      <c r="AP195" s="9"/>
      <c r="AQ195" s="9"/>
      <c r="AR195" s="9"/>
      <c r="AS195" s="9"/>
      <c r="AT195" s="9"/>
    </row>
    <row r="196" spans="41:46">
      <c r="AO196" s="9"/>
      <c r="AP196" s="9"/>
      <c r="AQ196" s="9"/>
      <c r="AR196" s="9"/>
      <c r="AS196" s="9"/>
      <c r="AT196" s="9"/>
    </row>
    <row r="197" spans="41:46">
      <c r="AO197" s="9"/>
      <c r="AP197" s="9"/>
      <c r="AQ197" s="9"/>
      <c r="AR197" s="9"/>
      <c r="AS197" s="9"/>
      <c r="AT197" s="9"/>
    </row>
    <row r="198" spans="41:46">
      <c r="AO198" s="9"/>
      <c r="AP198" s="9"/>
      <c r="AQ198" s="9"/>
      <c r="AR198" s="9"/>
      <c r="AS198" s="9"/>
      <c r="AT198" s="9"/>
    </row>
    <row r="199" spans="41:46">
      <c r="AO199" s="9"/>
      <c r="AP199" s="9"/>
      <c r="AQ199" s="9"/>
      <c r="AR199" s="9"/>
      <c r="AS199" s="9"/>
      <c r="AT199" s="9"/>
    </row>
    <row r="200" spans="41:46">
      <c r="AO200" s="9"/>
      <c r="AP200" s="9"/>
      <c r="AQ200" s="9"/>
      <c r="AR200" s="9"/>
      <c r="AS200" s="9"/>
      <c r="AT200" s="9"/>
    </row>
    <row r="201" spans="41:46">
      <c r="AO201" s="9"/>
      <c r="AP201" s="9"/>
      <c r="AQ201" s="9"/>
      <c r="AR201" s="9"/>
      <c r="AS201" s="9"/>
      <c r="AT201" s="9"/>
    </row>
    <row r="202" spans="41:46">
      <c r="AO202" s="9"/>
      <c r="AP202" s="9"/>
      <c r="AQ202" s="9"/>
      <c r="AR202" s="9"/>
      <c r="AS202" s="9"/>
      <c r="AT202" s="9"/>
    </row>
    <row r="203" spans="41:46">
      <c r="AO203" s="9"/>
      <c r="AP203" s="9"/>
      <c r="AQ203" s="9"/>
      <c r="AR203" s="9"/>
      <c r="AS203" s="9"/>
      <c r="AT203" s="9"/>
    </row>
    <row r="204" spans="41:46">
      <c r="AO204" s="9"/>
      <c r="AP204" s="9"/>
      <c r="AQ204" s="9"/>
      <c r="AR204" s="9"/>
      <c r="AS204" s="9"/>
      <c r="AT204" s="9"/>
    </row>
    <row r="205" spans="41:46">
      <c r="AO205" s="9"/>
      <c r="AP205" s="9"/>
      <c r="AQ205" s="9"/>
      <c r="AR205" s="9"/>
      <c r="AS205" s="9"/>
      <c r="AT205" s="9"/>
    </row>
    <row r="206" spans="41:46">
      <c r="AO206" s="9"/>
      <c r="AP206" s="9"/>
      <c r="AQ206" s="9"/>
      <c r="AR206" s="9"/>
      <c r="AS206" s="9"/>
      <c r="AT206" s="9"/>
    </row>
    <row r="207" spans="41:46">
      <c r="AO207" s="9"/>
      <c r="AP207" s="9"/>
      <c r="AQ207" s="9"/>
      <c r="AR207" s="9"/>
      <c r="AS207" s="9"/>
      <c r="AT207" s="9"/>
    </row>
    <row r="208" spans="41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9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50"/>
      <c r="N304" s="150"/>
      <c r="O304" s="150"/>
      <c r="P304" s="150"/>
      <c r="Q304" s="150"/>
      <c r="R304" s="150"/>
      <c r="S304" s="150"/>
      <c r="T304" s="1"/>
      <c r="U304" s="1"/>
      <c r="V304" s="150"/>
      <c r="W304" s="150"/>
      <c r="X304" s="150"/>
      <c r="Y304" s="150"/>
      <c r="Z304" s="150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9"/>
      <c r="AP304" s="9"/>
      <c r="AQ304" s="9"/>
      <c r="AR304" s="9"/>
      <c r="AS304" s="9"/>
    </row>
    <row r="305" spans="1:11">
      <c r="K305" s="35"/>
    </row>
    <row r="306" spans="1:1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2" spans="37:45">
      <c r="AK322" s="19"/>
      <c r="AL322" s="19"/>
      <c r="AM322" s="19"/>
      <c r="AN322" s="19"/>
      <c r="AO322" s="19"/>
      <c r="AP322" s="19"/>
      <c r="AQ322" s="19"/>
      <c r="AR322" s="19"/>
      <c r="AS322" s="19"/>
    </row>
    <row r="404" spans="36:36">
      <c r="AJ404" s="31"/>
    </row>
    <row r="405" spans="36:36">
      <c r="AJ405" s="31"/>
    </row>
  </sheetData>
  <phoneticPr fontId="20" type="noConversion"/>
  <conditionalFormatting sqref="M1:S1048576">
    <cfRule type="cellIs" dxfId="106" priority="1" operator="equal">
      <formula>"C1"</formula>
    </cfRule>
    <cfRule type="cellIs" dxfId="105" priority="2" operator="equal">
      <formula>"G6"</formula>
    </cfRule>
    <cfRule type="cellIs" dxfId="104" priority="3" operator="equal">
      <formula>"G5"</formula>
    </cfRule>
    <cfRule type="cellIs" dxfId="103" priority="4" operator="equal">
      <formula>"G4"</formula>
    </cfRule>
    <cfRule type="cellIs" dxfId="102" priority="5" operator="equal">
      <formula>"G3"</formula>
    </cfRule>
    <cfRule type="cellIs" dxfId="101" priority="6" operator="equal">
      <formula>"G2"</formula>
    </cfRule>
    <cfRule type="cellIs" dxfId="100" priority="7" operator="equal">
      <formula>"G1"</formula>
    </cfRule>
    <cfRule type="cellIs" dxfId="99" priority="8" operator="equal">
      <formula>"M5"</formula>
    </cfRule>
    <cfRule type="cellIs" dxfId="98" priority="9" operator="equal">
      <formula>"M4"</formula>
    </cfRule>
    <cfRule type="cellIs" dxfId="97" priority="10" operator="equal">
      <formula>"M3"</formula>
    </cfRule>
    <cfRule type="cellIs" dxfId="96" priority="11" operator="equal">
      <formula>"M6"</formula>
    </cfRule>
    <cfRule type="cellIs" dxfId="95" priority="12" operator="equal">
      <formula>"M2"</formula>
    </cfRule>
    <cfRule type="cellIs" dxfId="94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2B8F-4730-42F7-8F9F-7818D01D9DD2}">
  <sheetPr codeName="工作表9">
    <tabColor theme="3" tint="0.59999389629810485"/>
  </sheetPr>
  <dimension ref="A2:AT405"/>
  <sheetViews>
    <sheetView zoomScaleNormal="100" workbookViewId="0">
      <selection activeCell="C30" sqref="C30:I30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50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>
      <c r="K2" s="33"/>
      <c r="L2" s="9" t="s">
        <v>52</v>
      </c>
      <c r="U2" s="9" t="s">
        <v>219</v>
      </c>
      <c r="AC2" s="9" t="s">
        <v>220</v>
      </c>
      <c r="AD2" s="166"/>
      <c r="AE2" s="166"/>
      <c r="AF2" s="166"/>
      <c r="AG2" s="166"/>
      <c r="AH2" s="166"/>
      <c r="AI2" s="166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50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265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>
      <c r="A4" s="149" t="str" cm="1">
        <f t="array" ref="A4:B29">Overview!$A$42:$B$67</f>
        <v>WW</v>
      </c>
      <c r="B4" s="149" t="str">
        <v>Wild</v>
      </c>
      <c r="C4" s="52">
        <f t="shared" ref="C4:C29" si="0">COUNTIF(M$4:M$304,$A4)</f>
        <v>0</v>
      </c>
      <c r="D4" s="52">
        <f t="shared" ref="D4:I19" si="1">COUNTIF(N$4:N$304,$A4)</f>
        <v>0</v>
      </c>
      <c r="E4" s="52">
        <f t="shared" si="1"/>
        <v>0</v>
      </c>
      <c r="F4" s="52">
        <f t="shared" si="1"/>
        <v>0</v>
      </c>
      <c r="G4" s="52">
        <f t="shared" si="1"/>
        <v>0</v>
      </c>
      <c r="H4" s="52">
        <f t="shared" si="1"/>
        <v>0</v>
      </c>
      <c r="I4" s="52">
        <f t="shared" si="1"/>
        <v>0</v>
      </c>
      <c r="J4" s="149">
        <v>0</v>
      </c>
      <c r="K4" s="34"/>
      <c r="L4" s="15">
        <v>0</v>
      </c>
      <c r="M4" s="156" t="s">
        <v>89</v>
      </c>
      <c r="N4" s="156" t="s">
        <v>89</v>
      </c>
      <c r="O4" s="156" t="s">
        <v>26</v>
      </c>
      <c r="P4" s="156" t="s">
        <v>64</v>
      </c>
      <c r="Q4" s="156" t="s">
        <v>18</v>
      </c>
      <c r="R4" s="156" t="s">
        <v>24</v>
      </c>
      <c r="S4" s="157" t="s">
        <v>24</v>
      </c>
      <c r="U4" s="158">
        <f t="shared" ref="U4:AA19" si="2">VLOOKUP(M4, $A$4:$J$29, 9, 0)</f>
        <v>5</v>
      </c>
      <c r="V4" s="158">
        <f t="shared" si="2"/>
        <v>5</v>
      </c>
      <c r="W4" s="158">
        <f t="shared" si="2"/>
        <v>7</v>
      </c>
      <c r="X4" s="158">
        <f t="shared" si="2"/>
        <v>14</v>
      </c>
      <c r="Y4" s="158">
        <f t="shared" si="2"/>
        <v>10</v>
      </c>
      <c r="Z4" s="158">
        <f t="shared" si="2"/>
        <v>8</v>
      </c>
      <c r="AA4" s="158">
        <f t="shared" si="2"/>
        <v>8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49">
        <v>3</v>
      </c>
      <c r="AK4" s="10" t="s">
        <v>68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4"/>
      <c r="L5" s="14">
        <v>1</v>
      </c>
      <c r="M5" s="38" t="s">
        <v>26</v>
      </c>
      <c r="N5" s="38" t="s">
        <v>28</v>
      </c>
      <c r="O5" s="38" t="s">
        <v>26</v>
      </c>
      <c r="P5" s="38" t="s">
        <v>24</v>
      </c>
      <c r="Q5" s="38" t="s">
        <v>228</v>
      </c>
      <c r="R5" s="38" t="s">
        <v>26</v>
      </c>
      <c r="S5" s="24" t="s">
        <v>24</v>
      </c>
      <c r="U5" s="37">
        <f t="shared" si="2"/>
        <v>7</v>
      </c>
      <c r="V5" s="37">
        <f t="shared" si="2"/>
        <v>15</v>
      </c>
      <c r="W5" s="37">
        <f t="shared" si="2"/>
        <v>7</v>
      </c>
      <c r="X5" s="37">
        <f t="shared" si="2"/>
        <v>8</v>
      </c>
      <c r="Y5" s="37">
        <f t="shared" si="2"/>
        <v>0</v>
      </c>
      <c r="Z5" s="37">
        <f t="shared" si="2"/>
        <v>7</v>
      </c>
      <c r="AA5" s="37">
        <f t="shared" si="2"/>
        <v>8</v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4">
        <v>1</v>
      </c>
      <c r="AK5" s="37" t="s">
        <v>19</v>
      </c>
      <c r="AL5" s="37">
        <v>5</v>
      </c>
      <c r="AM5" s="37">
        <v>3</v>
      </c>
      <c r="AN5" s="37">
        <v>3</v>
      </c>
      <c r="AO5" s="37">
        <v>5</v>
      </c>
      <c r="AP5" s="37">
        <v>5</v>
      </c>
      <c r="AQ5" s="37">
        <v>5</v>
      </c>
      <c r="AR5" s="37">
        <v>0</v>
      </c>
      <c r="AS5" s="4">
        <v>1</v>
      </c>
    </row>
    <row r="6" spans="1:45" ht="15.9" customHeight="1">
      <c r="A6" s="151" t="str">
        <v>M1</v>
      </c>
      <c r="B6" s="151" t="str">
        <v>M1</v>
      </c>
      <c r="C6" s="153">
        <f t="shared" si="0"/>
        <v>2</v>
      </c>
      <c r="D6" s="153">
        <f t="shared" si="1"/>
        <v>2</v>
      </c>
      <c r="E6" s="153">
        <f t="shared" si="1"/>
        <v>2</v>
      </c>
      <c r="F6" s="153">
        <f t="shared" si="1"/>
        <v>4</v>
      </c>
      <c r="G6" s="153">
        <f t="shared" si="1"/>
        <v>2</v>
      </c>
      <c r="H6" s="153">
        <f t="shared" si="1"/>
        <v>4</v>
      </c>
      <c r="I6" s="153">
        <f t="shared" si="1"/>
        <v>6</v>
      </c>
      <c r="J6" s="151">
        <v>2</v>
      </c>
      <c r="L6" s="15">
        <v>2</v>
      </c>
      <c r="M6" s="38" t="s">
        <v>28</v>
      </c>
      <c r="N6" s="38" t="s">
        <v>29</v>
      </c>
      <c r="O6" s="38" t="s">
        <v>21</v>
      </c>
      <c r="P6" s="38" t="s">
        <v>24</v>
      </c>
      <c r="Q6" s="38" t="s">
        <v>64</v>
      </c>
      <c r="R6" s="38" t="s">
        <v>64</v>
      </c>
      <c r="S6" s="24" t="s">
        <v>24</v>
      </c>
      <c r="U6" s="37">
        <f t="shared" si="2"/>
        <v>15</v>
      </c>
      <c r="V6" s="37">
        <f t="shared" si="2"/>
        <v>16</v>
      </c>
      <c r="W6" s="37">
        <f t="shared" si="2"/>
        <v>12</v>
      </c>
      <c r="X6" s="37">
        <f t="shared" si="2"/>
        <v>8</v>
      </c>
      <c r="Y6" s="37">
        <f t="shared" si="2"/>
        <v>14</v>
      </c>
      <c r="Z6" s="37">
        <f t="shared" si="2"/>
        <v>14</v>
      </c>
      <c r="AA6" s="37">
        <f t="shared" si="2"/>
        <v>8</v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4" t="s">
        <v>20</v>
      </c>
      <c r="AL6" s="154">
        <v>40</v>
      </c>
      <c r="AM6" s="154">
        <v>40</v>
      </c>
      <c r="AN6" s="154">
        <v>20</v>
      </c>
      <c r="AO6" s="154">
        <v>40</v>
      </c>
      <c r="AP6" s="154">
        <v>40</v>
      </c>
      <c r="AQ6" s="154">
        <v>1</v>
      </c>
      <c r="AR6" s="154">
        <v>1</v>
      </c>
      <c r="AS6" s="151">
        <v>2</v>
      </c>
    </row>
    <row r="7" spans="1:45" ht="15.9" customHeight="1">
      <c r="A7" s="151" t="str">
        <v>M2</v>
      </c>
      <c r="B7" s="151" t="str">
        <v>M2</v>
      </c>
      <c r="C7" s="153">
        <f t="shared" si="0"/>
        <v>3</v>
      </c>
      <c r="D7" s="153">
        <f t="shared" si="1"/>
        <v>10</v>
      </c>
      <c r="E7" s="153">
        <f t="shared" si="1"/>
        <v>7</v>
      </c>
      <c r="F7" s="153">
        <f t="shared" si="1"/>
        <v>3</v>
      </c>
      <c r="G7" s="153">
        <f t="shared" si="1"/>
        <v>8</v>
      </c>
      <c r="H7" s="153">
        <f t="shared" si="1"/>
        <v>0</v>
      </c>
      <c r="I7" s="153">
        <f t="shared" si="1"/>
        <v>12</v>
      </c>
      <c r="J7" s="151">
        <v>3</v>
      </c>
      <c r="L7" s="14">
        <v>3</v>
      </c>
      <c r="M7" s="38" t="s">
        <v>29</v>
      </c>
      <c r="N7" s="38" t="s">
        <v>222</v>
      </c>
      <c r="O7" s="38" t="s">
        <v>89</v>
      </c>
      <c r="P7" s="38" t="s">
        <v>24</v>
      </c>
      <c r="Q7" s="38" t="s">
        <v>64</v>
      </c>
      <c r="R7" s="38" t="s">
        <v>29</v>
      </c>
      <c r="S7" s="24" t="s">
        <v>24</v>
      </c>
      <c r="U7" s="37">
        <f t="shared" si="2"/>
        <v>16</v>
      </c>
      <c r="V7" s="37">
        <f t="shared" si="2"/>
        <v>0</v>
      </c>
      <c r="W7" s="37">
        <f t="shared" si="2"/>
        <v>5</v>
      </c>
      <c r="X7" s="37">
        <f t="shared" si="2"/>
        <v>8</v>
      </c>
      <c r="Y7" s="37">
        <f t="shared" si="2"/>
        <v>14</v>
      </c>
      <c r="Z7" s="37">
        <f t="shared" si="2"/>
        <v>16</v>
      </c>
      <c r="AA7" s="37">
        <f t="shared" si="2"/>
        <v>8</v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4" t="s">
        <v>21</v>
      </c>
      <c r="AL7" s="154">
        <v>10</v>
      </c>
      <c r="AM7" s="154">
        <v>32</v>
      </c>
      <c r="AN7" s="154">
        <v>40</v>
      </c>
      <c r="AO7" s="154">
        <v>40</v>
      </c>
      <c r="AP7" s="154">
        <v>1</v>
      </c>
      <c r="AQ7" s="154">
        <v>1</v>
      </c>
      <c r="AR7" s="154">
        <v>1</v>
      </c>
      <c r="AS7" s="151">
        <v>3</v>
      </c>
    </row>
    <row r="8" spans="1:45" ht="15.9" customHeight="1">
      <c r="A8" s="151" t="str">
        <v>M3</v>
      </c>
      <c r="B8" s="151" t="str">
        <v>M3</v>
      </c>
      <c r="C8" s="153">
        <f t="shared" si="0"/>
        <v>3</v>
      </c>
      <c r="D8" s="153">
        <f t="shared" si="1"/>
        <v>3</v>
      </c>
      <c r="E8" s="153">
        <f t="shared" si="1"/>
        <v>3</v>
      </c>
      <c r="F8" s="153">
        <f t="shared" si="1"/>
        <v>8</v>
      </c>
      <c r="G8" s="153">
        <f t="shared" si="1"/>
        <v>3</v>
      </c>
      <c r="H8" s="153">
        <f t="shared" si="1"/>
        <v>3</v>
      </c>
      <c r="I8" s="153">
        <f t="shared" si="1"/>
        <v>14</v>
      </c>
      <c r="J8" s="151">
        <v>4</v>
      </c>
      <c r="L8" s="15">
        <v>4</v>
      </c>
      <c r="M8" s="38" t="s">
        <v>26</v>
      </c>
      <c r="N8" s="38" t="s">
        <v>29</v>
      </c>
      <c r="O8" s="38" t="s">
        <v>226</v>
      </c>
      <c r="P8" s="38" t="s">
        <v>27</v>
      </c>
      <c r="Q8" s="38" t="s">
        <v>26</v>
      </c>
      <c r="R8" s="38" t="s">
        <v>29</v>
      </c>
      <c r="S8" s="24" t="s">
        <v>21</v>
      </c>
      <c r="U8" s="37">
        <f t="shared" si="2"/>
        <v>7</v>
      </c>
      <c r="V8" s="37">
        <f t="shared" si="2"/>
        <v>16</v>
      </c>
      <c r="W8" s="37">
        <f t="shared" si="2"/>
        <v>0</v>
      </c>
      <c r="X8" s="37">
        <f t="shared" si="2"/>
        <v>11</v>
      </c>
      <c r="Y8" s="37">
        <f t="shared" si="2"/>
        <v>7</v>
      </c>
      <c r="Z8" s="37">
        <f t="shared" si="2"/>
        <v>16</v>
      </c>
      <c r="AA8" s="37">
        <f t="shared" si="2"/>
        <v>12</v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4">
        <v>3</v>
      </c>
      <c r="AK8" s="154" t="s">
        <v>17</v>
      </c>
      <c r="AL8" s="154">
        <v>40</v>
      </c>
      <c r="AM8" s="154">
        <v>13</v>
      </c>
      <c r="AN8" s="154">
        <v>15</v>
      </c>
      <c r="AO8" s="154">
        <v>1</v>
      </c>
      <c r="AP8" s="154">
        <v>1</v>
      </c>
      <c r="AQ8" s="154">
        <v>40</v>
      </c>
      <c r="AR8" s="154">
        <v>1</v>
      </c>
      <c r="AS8" s="151">
        <v>4</v>
      </c>
    </row>
    <row r="9" spans="1:45" ht="15.9" customHeight="1">
      <c r="A9" s="151" t="str">
        <v>M4</v>
      </c>
      <c r="B9" s="151" t="str">
        <v>M4</v>
      </c>
      <c r="C9" s="153">
        <f t="shared" si="0"/>
        <v>8</v>
      </c>
      <c r="D9" s="153">
        <f t="shared" si="1"/>
        <v>6</v>
      </c>
      <c r="E9" s="153">
        <f t="shared" si="1"/>
        <v>14</v>
      </c>
      <c r="F9" s="153">
        <f t="shared" si="1"/>
        <v>3</v>
      </c>
      <c r="G9" s="153">
        <f t="shared" si="1"/>
        <v>15</v>
      </c>
      <c r="H9" s="153">
        <f t="shared" si="1"/>
        <v>5</v>
      </c>
      <c r="I9" s="153">
        <f t="shared" si="1"/>
        <v>10</v>
      </c>
      <c r="J9" s="151">
        <v>5</v>
      </c>
      <c r="L9" s="14">
        <v>5</v>
      </c>
      <c r="M9" s="38" t="s">
        <v>28</v>
      </c>
      <c r="N9" s="38" t="s">
        <v>21</v>
      </c>
      <c r="O9" s="38" t="s">
        <v>17</v>
      </c>
      <c r="P9" s="38" t="s">
        <v>27</v>
      </c>
      <c r="Q9" s="38" t="s">
        <v>26</v>
      </c>
      <c r="R9" s="38" t="s">
        <v>64</v>
      </c>
      <c r="S9" s="24" t="s">
        <v>21</v>
      </c>
      <c r="U9" s="37">
        <f t="shared" si="2"/>
        <v>15</v>
      </c>
      <c r="V9" s="37">
        <f t="shared" si="2"/>
        <v>12</v>
      </c>
      <c r="W9" s="37">
        <f t="shared" si="2"/>
        <v>14</v>
      </c>
      <c r="X9" s="37">
        <f t="shared" si="2"/>
        <v>11</v>
      </c>
      <c r="Y9" s="37">
        <f t="shared" si="2"/>
        <v>7</v>
      </c>
      <c r="Z9" s="37">
        <f t="shared" si="2"/>
        <v>14</v>
      </c>
      <c r="AA9" s="37">
        <f t="shared" si="2"/>
        <v>12</v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4" t="s">
        <v>18</v>
      </c>
      <c r="AL9" s="154">
        <v>10</v>
      </c>
      <c r="AM9" s="154">
        <v>40</v>
      </c>
      <c r="AN9" s="154">
        <v>40</v>
      </c>
      <c r="AO9" s="154">
        <v>40</v>
      </c>
      <c r="AP9" s="154">
        <v>8</v>
      </c>
      <c r="AQ9" s="154">
        <v>40</v>
      </c>
      <c r="AR9" s="154">
        <v>1</v>
      </c>
      <c r="AS9" s="151">
        <v>5</v>
      </c>
    </row>
    <row r="10" spans="1:45" ht="15.9" customHeight="1">
      <c r="A10" s="151" t="str">
        <v>M5</v>
      </c>
      <c r="B10" s="151" t="str">
        <v>M5</v>
      </c>
      <c r="C10" s="153">
        <f t="shared" si="0"/>
        <v>8</v>
      </c>
      <c r="D10" s="153">
        <f t="shared" si="1"/>
        <v>12</v>
      </c>
      <c r="E10" s="153">
        <f t="shared" si="1"/>
        <v>5</v>
      </c>
      <c r="F10" s="153">
        <f t="shared" si="1"/>
        <v>24</v>
      </c>
      <c r="G10" s="153">
        <f t="shared" si="1"/>
        <v>6</v>
      </c>
      <c r="H10" s="153">
        <f t="shared" si="1"/>
        <v>27</v>
      </c>
      <c r="I10" s="153">
        <f t="shared" si="1"/>
        <v>14</v>
      </c>
      <c r="J10" s="151">
        <v>6</v>
      </c>
      <c r="L10" s="15">
        <v>6</v>
      </c>
      <c r="M10" s="38" t="s">
        <v>26</v>
      </c>
      <c r="N10" s="38" t="s">
        <v>21</v>
      </c>
      <c r="O10" s="38" t="s">
        <v>24</v>
      </c>
      <c r="P10" s="38" t="s">
        <v>27</v>
      </c>
      <c r="Q10" s="38" t="s">
        <v>89</v>
      </c>
      <c r="R10" s="38" t="s">
        <v>64</v>
      </c>
      <c r="S10" s="24" t="s">
        <v>21</v>
      </c>
      <c r="U10" s="37">
        <f t="shared" si="2"/>
        <v>7</v>
      </c>
      <c r="V10" s="37">
        <f t="shared" si="2"/>
        <v>12</v>
      </c>
      <c r="W10" s="37">
        <f t="shared" si="2"/>
        <v>8</v>
      </c>
      <c r="X10" s="37">
        <f t="shared" si="2"/>
        <v>11</v>
      </c>
      <c r="Y10" s="37">
        <f t="shared" si="2"/>
        <v>5</v>
      </c>
      <c r="Z10" s="37">
        <f t="shared" si="2"/>
        <v>14</v>
      </c>
      <c r="AA10" s="37">
        <f t="shared" si="2"/>
        <v>12</v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4">
        <v>1</v>
      </c>
      <c r="AK10" s="154" t="s">
        <v>64</v>
      </c>
      <c r="AL10" s="154">
        <v>40</v>
      </c>
      <c r="AM10" s="154">
        <v>8</v>
      </c>
      <c r="AN10" s="154">
        <v>20</v>
      </c>
      <c r="AO10" s="154">
        <v>1</v>
      </c>
      <c r="AP10" s="154">
        <v>40</v>
      </c>
      <c r="AQ10" s="154">
        <v>1</v>
      </c>
      <c r="AR10" s="154">
        <v>1</v>
      </c>
      <c r="AS10" s="151">
        <v>6</v>
      </c>
    </row>
    <row r="11" spans="1:45" ht="15.9" customHeight="1">
      <c r="A11" s="151" t="str">
        <v>M6</v>
      </c>
      <c r="B11" s="151" t="str">
        <v>M6</v>
      </c>
      <c r="C11" s="153">
        <f t="shared" si="0"/>
        <v>13</v>
      </c>
      <c r="D11" s="153">
        <f t="shared" si="1"/>
        <v>10</v>
      </c>
      <c r="E11" s="153">
        <f t="shared" si="1"/>
        <v>10</v>
      </c>
      <c r="F11" s="153">
        <f t="shared" si="1"/>
        <v>3</v>
      </c>
      <c r="G11" s="153">
        <f t="shared" si="1"/>
        <v>27</v>
      </c>
      <c r="H11" s="153">
        <f t="shared" si="1"/>
        <v>3</v>
      </c>
      <c r="I11" s="153">
        <f t="shared" si="1"/>
        <v>5</v>
      </c>
      <c r="J11" s="151">
        <v>7</v>
      </c>
      <c r="L11" s="14">
        <v>7</v>
      </c>
      <c r="M11" s="38" t="s">
        <v>29</v>
      </c>
      <c r="N11" s="38" t="s">
        <v>89</v>
      </c>
      <c r="O11" s="38" t="s">
        <v>26</v>
      </c>
      <c r="P11" s="38" t="s">
        <v>29</v>
      </c>
      <c r="Q11" s="38" t="s">
        <v>28</v>
      </c>
      <c r="R11" s="38" t="s">
        <v>64</v>
      </c>
      <c r="S11" s="24" t="s">
        <v>21</v>
      </c>
      <c r="U11" s="37">
        <f t="shared" si="2"/>
        <v>16</v>
      </c>
      <c r="V11" s="37">
        <f t="shared" si="2"/>
        <v>5</v>
      </c>
      <c r="W11" s="37">
        <f t="shared" si="2"/>
        <v>7</v>
      </c>
      <c r="X11" s="37">
        <f t="shared" si="2"/>
        <v>16</v>
      </c>
      <c r="Y11" s="37">
        <f t="shared" si="2"/>
        <v>15</v>
      </c>
      <c r="Z11" s="37">
        <f t="shared" si="2"/>
        <v>14</v>
      </c>
      <c r="AA11" s="37">
        <f t="shared" si="2"/>
        <v>12</v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4" t="s">
        <v>89</v>
      </c>
      <c r="AL11" s="154">
        <v>10</v>
      </c>
      <c r="AM11" s="154">
        <v>40</v>
      </c>
      <c r="AN11" s="154">
        <v>40</v>
      </c>
      <c r="AO11" s="154">
        <v>40</v>
      </c>
      <c r="AP11" s="154">
        <v>8</v>
      </c>
      <c r="AQ11" s="154">
        <v>40</v>
      </c>
      <c r="AR11" s="154">
        <v>1</v>
      </c>
      <c r="AS11" s="151">
        <v>7</v>
      </c>
    </row>
    <row r="12" spans="1:45" ht="15.9" customHeight="1">
      <c r="A12" s="24" t="str">
        <v>A</v>
      </c>
      <c r="B12" s="37" t="str">
        <v>A</v>
      </c>
      <c r="C12" s="10">
        <f t="shared" si="0"/>
        <v>8</v>
      </c>
      <c r="D12" s="10">
        <f t="shared" si="1"/>
        <v>12</v>
      </c>
      <c r="E12" s="10">
        <f t="shared" si="1"/>
        <v>11</v>
      </c>
      <c r="F12" s="10">
        <f t="shared" si="1"/>
        <v>10</v>
      </c>
      <c r="G12" s="10">
        <f t="shared" si="1"/>
        <v>2</v>
      </c>
      <c r="H12" s="10">
        <f t="shared" si="1"/>
        <v>27</v>
      </c>
      <c r="I12" s="10">
        <f t="shared" si="1"/>
        <v>8</v>
      </c>
      <c r="J12" s="4">
        <v>8</v>
      </c>
      <c r="L12" s="15">
        <v>8</v>
      </c>
      <c r="M12" s="38" t="s">
        <v>64</v>
      </c>
      <c r="N12" s="38" t="s">
        <v>89</v>
      </c>
      <c r="O12" s="38" t="s">
        <v>26</v>
      </c>
      <c r="P12" s="38" t="s">
        <v>64</v>
      </c>
      <c r="Q12" s="38" t="s">
        <v>28</v>
      </c>
      <c r="R12" s="38" t="s">
        <v>89</v>
      </c>
      <c r="S12" s="24" t="s">
        <v>17</v>
      </c>
      <c r="U12" s="37">
        <f t="shared" si="2"/>
        <v>14</v>
      </c>
      <c r="V12" s="37">
        <f t="shared" si="2"/>
        <v>5</v>
      </c>
      <c r="W12" s="37">
        <f t="shared" si="2"/>
        <v>7</v>
      </c>
      <c r="X12" s="37">
        <f t="shared" si="2"/>
        <v>14</v>
      </c>
      <c r="Y12" s="37">
        <f t="shared" si="2"/>
        <v>15</v>
      </c>
      <c r="Z12" s="37">
        <f t="shared" si="2"/>
        <v>5</v>
      </c>
      <c r="AA12" s="37">
        <f t="shared" si="2"/>
        <v>14</v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4">
        <v>3</v>
      </c>
      <c r="AK12" s="37" t="s">
        <v>24</v>
      </c>
      <c r="AL12" s="37">
        <v>10</v>
      </c>
      <c r="AM12" s="37">
        <v>10</v>
      </c>
      <c r="AN12" s="37">
        <v>40</v>
      </c>
      <c r="AO12" s="37">
        <v>1</v>
      </c>
      <c r="AP12" s="37">
        <v>40</v>
      </c>
      <c r="AQ12" s="37">
        <v>1</v>
      </c>
      <c r="AR12" s="37">
        <v>1</v>
      </c>
      <c r="AS12" s="4">
        <v>8</v>
      </c>
    </row>
    <row r="13" spans="1:45" ht="15.9" customHeight="1">
      <c r="A13" s="24" t="str">
        <v>K</v>
      </c>
      <c r="B13" s="37" t="str">
        <v>K</v>
      </c>
      <c r="C13" s="10">
        <f t="shared" si="0"/>
        <v>17</v>
      </c>
      <c r="D13" s="10">
        <f t="shared" si="1"/>
        <v>2</v>
      </c>
      <c r="E13" s="10">
        <f t="shared" si="1"/>
        <v>18</v>
      </c>
      <c r="F13" s="10">
        <f t="shared" si="1"/>
        <v>3</v>
      </c>
      <c r="G13" s="10">
        <f t="shared" si="1"/>
        <v>16</v>
      </c>
      <c r="H13" s="10">
        <f t="shared" si="1"/>
        <v>6</v>
      </c>
      <c r="I13" s="10">
        <f t="shared" si="1"/>
        <v>7</v>
      </c>
      <c r="J13" s="4">
        <v>9</v>
      </c>
      <c r="L13" s="14">
        <v>9</v>
      </c>
      <c r="M13" s="38" t="s">
        <v>24</v>
      </c>
      <c r="N13" s="38" t="s">
        <v>230</v>
      </c>
      <c r="O13" s="38" t="s">
        <v>17</v>
      </c>
      <c r="P13" s="38" t="s">
        <v>27</v>
      </c>
      <c r="Q13" s="38" t="s">
        <v>89</v>
      </c>
      <c r="R13" s="38" t="s">
        <v>64</v>
      </c>
      <c r="S13" s="24" t="s">
        <v>17</v>
      </c>
      <c r="U13" s="37">
        <f t="shared" si="2"/>
        <v>8</v>
      </c>
      <c r="V13" s="37">
        <f t="shared" si="2"/>
        <v>0</v>
      </c>
      <c r="W13" s="37">
        <f t="shared" si="2"/>
        <v>14</v>
      </c>
      <c r="X13" s="37">
        <f t="shared" si="2"/>
        <v>11</v>
      </c>
      <c r="Y13" s="37">
        <f t="shared" si="2"/>
        <v>5</v>
      </c>
      <c r="Z13" s="37">
        <f t="shared" si="2"/>
        <v>14</v>
      </c>
      <c r="AA13" s="37">
        <f t="shared" si="2"/>
        <v>14</v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4">
        <v>1</v>
      </c>
      <c r="AK13" s="37" t="s">
        <v>26</v>
      </c>
      <c r="AL13" s="37">
        <v>40</v>
      </c>
      <c r="AM13" s="37">
        <v>8</v>
      </c>
      <c r="AN13" s="37">
        <v>25</v>
      </c>
      <c r="AO13" s="37">
        <v>10</v>
      </c>
      <c r="AP13" s="37">
        <v>1</v>
      </c>
      <c r="AQ13" s="37">
        <v>40</v>
      </c>
      <c r="AR13" s="37">
        <v>1</v>
      </c>
      <c r="AS13" s="4">
        <v>9</v>
      </c>
    </row>
    <row r="14" spans="1:45" ht="15.9" customHeight="1">
      <c r="A14" s="24" t="str">
        <v>Q</v>
      </c>
      <c r="B14" s="37" t="str">
        <v>Q</v>
      </c>
      <c r="C14" s="10">
        <f t="shared" si="0"/>
        <v>14</v>
      </c>
      <c r="D14" s="10">
        <f t="shared" si="1"/>
        <v>23</v>
      </c>
      <c r="E14" s="10">
        <f t="shared" si="1"/>
        <v>2</v>
      </c>
      <c r="F14" s="10">
        <f t="shared" si="1"/>
        <v>24</v>
      </c>
      <c r="G14" s="10">
        <f t="shared" si="1"/>
        <v>7</v>
      </c>
      <c r="H14" s="10">
        <f t="shared" si="1"/>
        <v>22</v>
      </c>
      <c r="I14" s="10">
        <f t="shared" si="1"/>
        <v>11</v>
      </c>
      <c r="J14" s="4">
        <v>10</v>
      </c>
      <c r="L14" s="15">
        <v>10</v>
      </c>
      <c r="M14" s="38" t="s">
        <v>24</v>
      </c>
      <c r="N14" s="38" t="s">
        <v>64</v>
      </c>
      <c r="O14" s="38" t="s">
        <v>28</v>
      </c>
      <c r="P14" s="38" t="s">
        <v>230</v>
      </c>
      <c r="Q14" s="38" t="s">
        <v>89</v>
      </c>
      <c r="R14" s="38" t="s">
        <v>64</v>
      </c>
      <c r="S14" s="24" t="s">
        <v>17</v>
      </c>
      <c r="U14" s="37">
        <f t="shared" si="2"/>
        <v>8</v>
      </c>
      <c r="V14" s="37">
        <f t="shared" si="2"/>
        <v>14</v>
      </c>
      <c r="W14" s="37">
        <f t="shared" si="2"/>
        <v>15</v>
      </c>
      <c r="X14" s="37">
        <f t="shared" si="2"/>
        <v>0</v>
      </c>
      <c r="Y14" s="37">
        <f t="shared" si="2"/>
        <v>5</v>
      </c>
      <c r="Z14" s="37">
        <f t="shared" si="2"/>
        <v>14</v>
      </c>
      <c r="AA14" s="37">
        <f t="shared" si="2"/>
        <v>14</v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10</v>
      </c>
      <c r="AM14" s="37">
        <v>40</v>
      </c>
      <c r="AN14" s="37">
        <v>40</v>
      </c>
      <c r="AO14" s="37">
        <v>10</v>
      </c>
      <c r="AP14" s="37">
        <v>40</v>
      </c>
      <c r="AQ14" s="37">
        <v>1</v>
      </c>
      <c r="AR14" s="37">
        <v>1</v>
      </c>
      <c r="AS14" s="4">
        <v>10</v>
      </c>
    </row>
    <row r="15" spans="1:45" ht="15.9" customHeight="1">
      <c r="A15" s="24" t="str">
        <v>J</v>
      </c>
      <c r="B15" s="37" t="str">
        <v>J</v>
      </c>
      <c r="C15" s="10">
        <f t="shared" si="0"/>
        <v>17</v>
      </c>
      <c r="D15" s="10">
        <f t="shared" si="1"/>
        <v>5</v>
      </c>
      <c r="E15" s="10">
        <f t="shared" si="1"/>
        <v>29</v>
      </c>
      <c r="F15" s="10">
        <f t="shared" si="1"/>
        <v>6</v>
      </c>
      <c r="G15" s="10">
        <f t="shared" si="1"/>
        <v>19</v>
      </c>
      <c r="H15" s="10">
        <f t="shared" si="1"/>
        <v>2</v>
      </c>
      <c r="I15" s="10">
        <f t="shared" si="1"/>
        <v>15</v>
      </c>
      <c r="J15" s="4">
        <v>11</v>
      </c>
      <c r="L15" s="14">
        <v>11</v>
      </c>
      <c r="M15" s="38" t="s">
        <v>29</v>
      </c>
      <c r="N15" s="38" t="s">
        <v>64</v>
      </c>
      <c r="O15" s="38" t="s">
        <v>28</v>
      </c>
      <c r="P15" s="38" t="s">
        <v>234</v>
      </c>
      <c r="Q15" s="38" t="s">
        <v>26</v>
      </c>
      <c r="R15" s="38" t="s">
        <v>89</v>
      </c>
      <c r="S15" s="24" t="s">
        <v>17</v>
      </c>
      <c r="U15" s="37">
        <f t="shared" si="2"/>
        <v>16</v>
      </c>
      <c r="V15" s="37">
        <f t="shared" si="2"/>
        <v>14</v>
      </c>
      <c r="W15" s="37">
        <f t="shared" si="2"/>
        <v>15</v>
      </c>
      <c r="X15" s="37">
        <f t="shared" si="2"/>
        <v>0</v>
      </c>
      <c r="Y15" s="37">
        <f t="shared" si="2"/>
        <v>7</v>
      </c>
      <c r="Z15" s="37">
        <f t="shared" si="2"/>
        <v>5</v>
      </c>
      <c r="AA15" s="37">
        <f t="shared" si="2"/>
        <v>14</v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4">
        <v>1</v>
      </c>
      <c r="AK15" s="37" t="s">
        <v>28</v>
      </c>
      <c r="AL15" s="37">
        <v>40</v>
      </c>
      <c r="AM15" s="37">
        <v>40</v>
      </c>
      <c r="AN15" s="37">
        <v>40</v>
      </c>
      <c r="AO15" s="37">
        <v>1</v>
      </c>
      <c r="AP15" s="37">
        <v>1</v>
      </c>
      <c r="AQ15" s="37">
        <v>1</v>
      </c>
      <c r="AR15" s="37">
        <v>1</v>
      </c>
      <c r="AS15" s="4">
        <v>11</v>
      </c>
    </row>
    <row r="16" spans="1:45" ht="15.9" customHeight="1">
      <c r="A16" s="37" t="str">
        <v>TE</v>
      </c>
      <c r="B16" s="37" t="str">
        <v>TE</v>
      </c>
      <c r="C16" s="10">
        <f t="shared" si="0"/>
        <v>26</v>
      </c>
      <c r="D16" s="10">
        <f t="shared" si="1"/>
        <v>15</v>
      </c>
      <c r="E16" s="10">
        <f t="shared" si="1"/>
        <v>5</v>
      </c>
      <c r="F16" s="10">
        <f t="shared" si="1"/>
        <v>17</v>
      </c>
      <c r="G16" s="10">
        <f t="shared" si="1"/>
        <v>5</v>
      </c>
      <c r="H16" s="10">
        <f t="shared" si="1"/>
        <v>20</v>
      </c>
      <c r="I16" s="10">
        <f t="shared" si="1"/>
        <v>16</v>
      </c>
      <c r="J16" s="4">
        <v>12</v>
      </c>
      <c r="L16" s="15">
        <v>12</v>
      </c>
      <c r="M16" s="38" t="s">
        <v>29</v>
      </c>
      <c r="N16" s="38" t="s">
        <v>27</v>
      </c>
      <c r="O16" s="38" t="s">
        <v>224</v>
      </c>
      <c r="P16" s="38" t="s">
        <v>24</v>
      </c>
      <c r="Q16" s="38" t="s">
        <v>26</v>
      </c>
      <c r="R16" s="38" t="s">
        <v>89</v>
      </c>
      <c r="S16" s="24" t="s">
        <v>18</v>
      </c>
      <c r="U16" s="37">
        <f t="shared" si="2"/>
        <v>16</v>
      </c>
      <c r="V16" s="37">
        <f t="shared" si="2"/>
        <v>11</v>
      </c>
      <c r="W16" s="37">
        <f t="shared" si="2"/>
        <v>0</v>
      </c>
      <c r="X16" s="37">
        <f t="shared" si="2"/>
        <v>8</v>
      </c>
      <c r="Y16" s="37">
        <f t="shared" si="2"/>
        <v>7</v>
      </c>
      <c r="Z16" s="37">
        <f t="shared" si="2"/>
        <v>5</v>
      </c>
      <c r="AA16" s="37">
        <f t="shared" si="2"/>
        <v>10</v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4">
        <v>3</v>
      </c>
      <c r="AK16" s="37" t="s">
        <v>29</v>
      </c>
      <c r="AL16" s="37">
        <v>5</v>
      </c>
      <c r="AM16" s="37">
        <v>40</v>
      </c>
      <c r="AN16" s="37">
        <v>20</v>
      </c>
      <c r="AO16" s="37">
        <v>1</v>
      </c>
      <c r="AP16" s="37">
        <v>1</v>
      </c>
      <c r="AQ16" s="37">
        <v>1</v>
      </c>
      <c r="AR16" s="37">
        <v>1</v>
      </c>
      <c r="AS16" s="4">
        <v>12</v>
      </c>
    </row>
    <row r="17" spans="1:45" ht="15.9" customHeight="1">
      <c r="A17" s="154" t="str">
        <v>G1</v>
      </c>
      <c r="B17" s="151" t="str">
        <v>Golden M1</v>
      </c>
      <c r="C17" s="153">
        <f t="shared" si="0"/>
        <v>0</v>
      </c>
      <c r="D17" s="153">
        <f t="shared" si="1"/>
        <v>1</v>
      </c>
      <c r="E17" s="153">
        <f t="shared" si="1"/>
        <v>0</v>
      </c>
      <c r="F17" s="153">
        <f t="shared" si="1"/>
        <v>0</v>
      </c>
      <c r="G17" s="153">
        <f t="shared" si="1"/>
        <v>0</v>
      </c>
      <c r="H17" s="153">
        <f t="shared" si="1"/>
        <v>0</v>
      </c>
      <c r="I17" s="153">
        <f t="shared" si="1"/>
        <v>0</v>
      </c>
      <c r="J17" s="151">
        <v>13</v>
      </c>
      <c r="L17" s="14">
        <v>13</v>
      </c>
      <c r="M17" s="38" t="s">
        <v>26</v>
      </c>
      <c r="N17" s="38" t="s">
        <v>27</v>
      </c>
      <c r="O17" s="38" t="s">
        <v>238</v>
      </c>
      <c r="P17" s="38" t="s">
        <v>24</v>
      </c>
      <c r="Q17" s="38" t="s">
        <v>89</v>
      </c>
      <c r="R17" s="38" t="s">
        <v>64</v>
      </c>
      <c r="S17" s="24" t="s">
        <v>18</v>
      </c>
      <c r="U17" s="37">
        <f t="shared" si="2"/>
        <v>7</v>
      </c>
      <c r="V17" s="37">
        <f t="shared" si="2"/>
        <v>11</v>
      </c>
      <c r="W17" s="37">
        <f t="shared" si="2"/>
        <v>0</v>
      </c>
      <c r="X17" s="37">
        <f t="shared" si="2"/>
        <v>8</v>
      </c>
      <c r="Y17" s="37">
        <f t="shared" si="2"/>
        <v>5</v>
      </c>
      <c r="Z17" s="37">
        <f t="shared" si="2"/>
        <v>14</v>
      </c>
      <c r="AA17" s="37">
        <f t="shared" si="2"/>
        <v>10</v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4" t="s">
        <v>222</v>
      </c>
      <c r="AL17" s="154">
        <v>0</v>
      </c>
      <c r="AM17" s="154">
        <v>12</v>
      </c>
      <c r="AN17" s="154">
        <v>3</v>
      </c>
      <c r="AO17" s="154">
        <v>5</v>
      </c>
      <c r="AP17" s="154">
        <v>3</v>
      </c>
      <c r="AQ17" s="154">
        <v>0</v>
      </c>
      <c r="AR17" s="154">
        <v>0</v>
      </c>
      <c r="AS17" s="151">
        <v>13</v>
      </c>
    </row>
    <row r="18" spans="1:45" s="150" customFormat="1" ht="15.9" customHeight="1">
      <c r="A18" s="154" t="str">
        <v>G2</v>
      </c>
      <c r="B18" s="151" t="str">
        <v>Golden M2</v>
      </c>
      <c r="C18" s="153">
        <f t="shared" si="0"/>
        <v>0</v>
      </c>
      <c r="D18" s="153">
        <f t="shared" si="1"/>
        <v>1</v>
      </c>
      <c r="E18" s="153">
        <f t="shared" si="1"/>
        <v>1</v>
      </c>
      <c r="F18" s="153">
        <f t="shared" si="1"/>
        <v>1</v>
      </c>
      <c r="G18" s="153">
        <f t="shared" si="1"/>
        <v>1</v>
      </c>
      <c r="H18" s="153">
        <f t="shared" si="1"/>
        <v>0</v>
      </c>
      <c r="I18" s="153">
        <f t="shared" si="1"/>
        <v>0</v>
      </c>
      <c r="J18" s="151">
        <v>14</v>
      </c>
      <c r="K18" s="32"/>
      <c r="L18" s="15">
        <v>14</v>
      </c>
      <c r="M18" s="38" t="s">
        <v>89</v>
      </c>
      <c r="N18" s="38" t="s">
        <v>232</v>
      </c>
      <c r="O18" s="38" t="s">
        <v>27</v>
      </c>
      <c r="P18" s="38" t="s">
        <v>89</v>
      </c>
      <c r="Q18" s="38" t="s">
        <v>89</v>
      </c>
      <c r="R18" s="38" t="s">
        <v>27</v>
      </c>
      <c r="S18" s="24" t="s">
        <v>18</v>
      </c>
      <c r="U18" s="37">
        <f t="shared" si="2"/>
        <v>5</v>
      </c>
      <c r="V18" s="37">
        <f t="shared" si="2"/>
        <v>0</v>
      </c>
      <c r="W18" s="37">
        <f t="shared" si="2"/>
        <v>11</v>
      </c>
      <c r="X18" s="37">
        <f t="shared" si="2"/>
        <v>5</v>
      </c>
      <c r="Y18" s="37">
        <f t="shared" si="2"/>
        <v>5</v>
      </c>
      <c r="Z18" s="37">
        <f t="shared" si="2"/>
        <v>11</v>
      </c>
      <c r="AA18" s="37">
        <f t="shared" si="2"/>
        <v>10</v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4">
        <v>1</v>
      </c>
      <c r="AK18" s="154" t="s">
        <v>224</v>
      </c>
      <c r="AL18" s="154">
        <v>0</v>
      </c>
      <c r="AM18" s="154">
        <v>8</v>
      </c>
      <c r="AN18" s="154">
        <v>15</v>
      </c>
      <c r="AO18" s="154">
        <v>2</v>
      </c>
      <c r="AP18" s="154">
        <v>2</v>
      </c>
      <c r="AQ18" s="154">
        <v>0</v>
      </c>
      <c r="AR18" s="154">
        <v>0</v>
      </c>
      <c r="AS18" s="151">
        <v>14</v>
      </c>
    </row>
    <row r="19" spans="1:45" ht="15.9" customHeight="1">
      <c r="A19" s="154" t="str">
        <v>G3</v>
      </c>
      <c r="B19" s="151" t="str">
        <v>Golden M3</v>
      </c>
      <c r="C19" s="153">
        <f t="shared" si="0"/>
        <v>0</v>
      </c>
      <c r="D19" s="153">
        <f t="shared" si="1"/>
        <v>1</v>
      </c>
      <c r="E19" s="153">
        <f t="shared" si="1"/>
        <v>1</v>
      </c>
      <c r="F19" s="153">
        <f t="shared" si="1"/>
        <v>1</v>
      </c>
      <c r="G19" s="153">
        <f t="shared" si="1"/>
        <v>1</v>
      </c>
      <c r="H19" s="153">
        <f t="shared" si="1"/>
        <v>0</v>
      </c>
      <c r="I19" s="153">
        <f t="shared" si="1"/>
        <v>0</v>
      </c>
      <c r="J19" s="151">
        <v>15</v>
      </c>
      <c r="K19" s="42"/>
      <c r="L19" s="14">
        <v>15</v>
      </c>
      <c r="M19" s="38" t="s">
        <v>24</v>
      </c>
      <c r="N19" s="38" t="s">
        <v>89</v>
      </c>
      <c r="O19" s="38" t="s">
        <v>18</v>
      </c>
      <c r="P19" s="38" t="s">
        <v>232</v>
      </c>
      <c r="Q19" s="38" t="s">
        <v>234</v>
      </c>
      <c r="R19" s="38" t="s">
        <v>64</v>
      </c>
      <c r="S19" s="24" t="s">
        <v>18</v>
      </c>
      <c r="U19" s="37">
        <f t="shared" si="2"/>
        <v>8</v>
      </c>
      <c r="V19" s="37">
        <f t="shared" si="2"/>
        <v>5</v>
      </c>
      <c r="W19" s="37">
        <f t="shared" si="2"/>
        <v>10</v>
      </c>
      <c r="X19" s="37">
        <f t="shared" si="2"/>
        <v>0</v>
      </c>
      <c r="Y19" s="37">
        <f t="shared" si="2"/>
        <v>0</v>
      </c>
      <c r="Z19" s="37">
        <f t="shared" si="2"/>
        <v>14</v>
      </c>
      <c r="AA19" s="37">
        <f t="shared" si="2"/>
        <v>10</v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4">
        <v>1</v>
      </c>
      <c r="AK19" s="154" t="s">
        <v>226</v>
      </c>
      <c r="AL19" s="154">
        <v>0</v>
      </c>
      <c r="AM19" s="154">
        <v>2</v>
      </c>
      <c r="AN19" s="154">
        <v>7</v>
      </c>
      <c r="AO19" s="154">
        <v>1</v>
      </c>
      <c r="AP19" s="154">
        <v>2</v>
      </c>
      <c r="AQ19" s="154">
        <v>0</v>
      </c>
      <c r="AR19" s="154">
        <v>0</v>
      </c>
      <c r="AS19" s="151">
        <v>15</v>
      </c>
    </row>
    <row r="20" spans="1:45" ht="15.9" customHeight="1">
      <c r="A20" s="154" t="str">
        <v>G4</v>
      </c>
      <c r="B20" s="151" t="str">
        <v>Golden M4</v>
      </c>
      <c r="C20" s="153">
        <f t="shared" si="0"/>
        <v>0</v>
      </c>
      <c r="D20" s="153">
        <f t="shared" ref="D20:D29" si="3">COUNTIF(N$4:N$304,$A20)</f>
        <v>1</v>
      </c>
      <c r="E20" s="153">
        <f t="shared" ref="E20:E29" si="4">COUNTIF(O$4:O$304,$A20)</f>
        <v>1</v>
      </c>
      <c r="F20" s="153">
        <f t="shared" ref="F20:F29" si="5">COUNTIF(P$4:P$304,$A20)</f>
        <v>1</v>
      </c>
      <c r="G20" s="153">
        <f t="shared" ref="G20:G29" si="6">COUNTIF(Q$4:Q$304,$A20)</f>
        <v>1</v>
      </c>
      <c r="H20" s="153">
        <f t="shared" ref="H20:H29" si="7">COUNTIF(R$4:R$304,$A20)</f>
        <v>0</v>
      </c>
      <c r="I20" s="153">
        <f t="shared" ref="I20:I29" si="8">COUNTIF(S$4:S$304,$A20)</f>
        <v>0</v>
      </c>
      <c r="J20" s="151">
        <v>16</v>
      </c>
      <c r="L20" s="15">
        <v>16</v>
      </c>
      <c r="M20" s="38" t="s">
        <v>29</v>
      </c>
      <c r="N20" s="38" t="s">
        <v>64</v>
      </c>
      <c r="O20" s="38" t="s">
        <v>18</v>
      </c>
      <c r="P20" s="38" t="s">
        <v>27</v>
      </c>
      <c r="Q20" s="38" t="s">
        <v>27</v>
      </c>
      <c r="R20" s="38" t="s">
        <v>64</v>
      </c>
      <c r="S20" s="24" t="s">
        <v>24</v>
      </c>
      <c r="U20" s="37">
        <f t="shared" ref="U20:AA56" si="9">VLOOKUP(M20, $A$4:$J$29, 9, 0)</f>
        <v>16</v>
      </c>
      <c r="V20" s="37">
        <f t="shared" si="9"/>
        <v>14</v>
      </c>
      <c r="W20" s="37">
        <f t="shared" si="9"/>
        <v>10</v>
      </c>
      <c r="X20" s="37">
        <f t="shared" si="9"/>
        <v>11</v>
      </c>
      <c r="Y20" s="37">
        <f t="shared" si="9"/>
        <v>11</v>
      </c>
      <c r="Z20" s="37">
        <f t="shared" si="9"/>
        <v>14</v>
      </c>
      <c r="AA20" s="37">
        <f t="shared" si="9"/>
        <v>8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4">
        <v>3</v>
      </c>
      <c r="AK20" s="154" t="s">
        <v>228</v>
      </c>
      <c r="AL20" s="154">
        <v>0</v>
      </c>
      <c r="AM20" s="154">
        <v>5</v>
      </c>
      <c r="AN20" s="154">
        <v>5</v>
      </c>
      <c r="AO20" s="154">
        <v>5</v>
      </c>
      <c r="AP20" s="154">
        <v>2</v>
      </c>
      <c r="AQ20" s="154">
        <v>0</v>
      </c>
      <c r="AR20" s="154">
        <v>0</v>
      </c>
      <c r="AS20" s="151">
        <v>16</v>
      </c>
    </row>
    <row r="21" spans="1:45" ht="15.9" customHeight="1">
      <c r="A21" s="154" t="str">
        <v>G5</v>
      </c>
      <c r="B21" s="151" t="str">
        <v>Golden M5</v>
      </c>
      <c r="C21" s="153">
        <f t="shared" si="0"/>
        <v>0</v>
      </c>
      <c r="D21" s="153">
        <f t="shared" si="3"/>
        <v>3</v>
      </c>
      <c r="E21" s="153">
        <f t="shared" si="4"/>
        <v>3</v>
      </c>
      <c r="F21" s="153">
        <f t="shared" si="5"/>
        <v>4</v>
      </c>
      <c r="G21" s="153">
        <f t="shared" si="6"/>
        <v>1</v>
      </c>
      <c r="H21" s="153">
        <f t="shared" si="7"/>
        <v>0</v>
      </c>
      <c r="I21" s="153">
        <f t="shared" si="8"/>
        <v>0</v>
      </c>
      <c r="J21" s="151">
        <v>17</v>
      </c>
      <c r="L21" s="14">
        <v>17</v>
      </c>
      <c r="M21" s="38" t="s">
        <v>64</v>
      </c>
      <c r="N21" s="38" t="s">
        <v>64</v>
      </c>
      <c r="O21" s="38" t="s">
        <v>230</v>
      </c>
      <c r="P21" s="38" t="s">
        <v>224</v>
      </c>
      <c r="Q21" s="38" t="s">
        <v>89</v>
      </c>
      <c r="R21" s="38" t="s">
        <v>64</v>
      </c>
      <c r="S21" s="24" t="s">
        <v>24</v>
      </c>
      <c r="U21" s="37">
        <f t="shared" si="9"/>
        <v>14</v>
      </c>
      <c r="V21" s="37">
        <f t="shared" si="9"/>
        <v>14</v>
      </c>
      <c r="W21" s="37">
        <f t="shared" si="9"/>
        <v>0</v>
      </c>
      <c r="X21" s="37">
        <f t="shared" si="9"/>
        <v>0</v>
      </c>
      <c r="Y21" s="37">
        <f t="shared" si="9"/>
        <v>5</v>
      </c>
      <c r="Z21" s="37">
        <f t="shared" si="9"/>
        <v>14</v>
      </c>
      <c r="AA21" s="37">
        <f t="shared" si="9"/>
        <v>8</v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4" t="s">
        <v>230</v>
      </c>
      <c r="AL21" s="154">
        <v>0</v>
      </c>
      <c r="AM21" s="154">
        <v>2</v>
      </c>
      <c r="AN21" s="154">
        <v>2</v>
      </c>
      <c r="AO21" s="154">
        <v>1</v>
      </c>
      <c r="AP21" s="154">
        <v>3</v>
      </c>
      <c r="AQ21" s="154">
        <v>0</v>
      </c>
      <c r="AR21" s="154">
        <v>0</v>
      </c>
      <c r="AS21" s="151">
        <v>17</v>
      </c>
    </row>
    <row r="22" spans="1:45" ht="15.9" customHeight="1">
      <c r="A22" s="154" t="str">
        <v>G6</v>
      </c>
      <c r="B22" s="151" t="str">
        <v>Golden M6</v>
      </c>
      <c r="C22" s="153">
        <f t="shared" si="0"/>
        <v>0</v>
      </c>
      <c r="D22" s="153">
        <f t="shared" si="3"/>
        <v>3</v>
      </c>
      <c r="E22" s="153">
        <f t="shared" si="4"/>
        <v>2</v>
      </c>
      <c r="F22" s="153">
        <f t="shared" si="5"/>
        <v>2</v>
      </c>
      <c r="G22" s="153">
        <f t="shared" si="6"/>
        <v>2</v>
      </c>
      <c r="H22" s="153">
        <f t="shared" si="7"/>
        <v>0</v>
      </c>
      <c r="I22" s="153">
        <f t="shared" si="8"/>
        <v>0</v>
      </c>
      <c r="J22" s="151">
        <v>18</v>
      </c>
      <c r="L22" s="15">
        <v>18</v>
      </c>
      <c r="M22" s="38" t="s">
        <v>29</v>
      </c>
      <c r="N22" s="38" t="s">
        <v>242</v>
      </c>
      <c r="O22" s="38" t="s">
        <v>26</v>
      </c>
      <c r="P22" s="38" t="s">
        <v>17</v>
      </c>
      <c r="Q22" s="38" t="s">
        <v>26</v>
      </c>
      <c r="R22" s="38" t="s">
        <v>18</v>
      </c>
      <c r="S22" s="38" t="s">
        <v>24</v>
      </c>
      <c r="U22" s="37">
        <f t="shared" si="9"/>
        <v>16</v>
      </c>
      <c r="V22" s="37">
        <f t="shared" si="9"/>
        <v>0</v>
      </c>
      <c r="W22" s="37">
        <f t="shared" si="9"/>
        <v>7</v>
      </c>
      <c r="X22" s="37">
        <f t="shared" si="9"/>
        <v>14</v>
      </c>
      <c r="Y22" s="37">
        <f t="shared" si="9"/>
        <v>7</v>
      </c>
      <c r="Z22" s="37">
        <f t="shared" si="9"/>
        <v>10</v>
      </c>
      <c r="AA22" s="37">
        <f t="shared" si="9"/>
        <v>8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4">
        <v>1</v>
      </c>
      <c r="AK22" s="154" t="s">
        <v>232</v>
      </c>
      <c r="AL22" s="154">
        <v>0</v>
      </c>
      <c r="AM22" s="154">
        <v>2</v>
      </c>
      <c r="AN22" s="154">
        <v>2</v>
      </c>
      <c r="AO22" s="154">
        <v>1</v>
      </c>
      <c r="AP22" s="154">
        <v>3</v>
      </c>
      <c r="AQ22" s="154">
        <v>0</v>
      </c>
      <c r="AR22" s="154">
        <v>0</v>
      </c>
      <c r="AS22" s="151">
        <v>18</v>
      </c>
    </row>
    <row r="23" spans="1:45" ht="15.9" customHeight="1">
      <c r="A23" s="37" t="str">
        <v>GA</v>
      </c>
      <c r="B23" s="4" t="str">
        <v>Golden A</v>
      </c>
      <c r="C23" s="10">
        <f t="shared" si="0"/>
        <v>0</v>
      </c>
      <c r="D23" s="10">
        <f t="shared" si="3"/>
        <v>1</v>
      </c>
      <c r="E23" s="10">
        <f t="shared" si="4"/>
        <v>1</v>
      </c>
      <c r="F23" s="10">
        <f t="shared" si="5"/>
        <v>1</v>
      </c>
      <c r="G23" s="10">
        <f t="shared" si="6"/>
        <v>1</v>
      </c>
      <c r="H23" s="10">
        <f t="shared" si="7"/>
        <v>0</v>
      </c>
      <c r="I23" s="10">
        <f t="shared" si="8"/>
        <v>0</v>
      </c>
      <c r="J23" s="4">
        <v>19</v>
      </c>
      <c r="L23" s="14">
        <v>19</v>
      </c>
      <c r="M23" s="38" t="s">
        <v>89</v>
      </c>
      <c r="N23" s="38" t="s">
        <v>20</v>
      </c>
      <c r="O23" s="38" t="s">
        <v>24</v>
      </c>
      <c r="P23" s="38" t="s">
        <v>17</v>
      </c>
      <c r="Q23" s="38" t="s">
        <v>27</v>
      </c>
      <c r="R23" s="38" t="s">
        <v>29</v>
      </c>
      <c r="S23" s="24" t="s">
        <v>24</v>
      </c>
      <c r="U23" s="37">
        <f t="shared" si="9"/>
        <v>5</v>
      </c>
      <c r="V23" s="37">
        <f t="shared" si="9"/>
        <v>6</v>
      </c>
      <c r="W23" s="37">
        <f t="shared" si="9"/>
        <v>8</v>
      </c>
      <c r="X23" s="37">
        <f t="shared" si="9"/>
        <v>14</v>
      </c>
      <c r="Y23" s="37">
        <f t="shared" si="9"/>
        <v>11</v>
      </c>
      <c r="Z23" s="37">
        <f t="shared" si="9"/>
        <v>16</v>
      </c>
      <c r="AA23" s="37">
        <f t="shared" si="9"/>
        <v>8</v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0</v>
      </c>
      <c r="AM23" s="37">
        <v>5</v>
      </c>
      <c r="AN23" s="37">
        <v>6</v>
      </c>
      <c r="AO23" s="37">
        <v>1</v>
      </c>
      <c r="AP23" s="37">
        <v>3</v>
      </c>
      <c r="AQ23" s="37">
        <v>0</v>
      </c>
      <c r="AR23" s="37">
        <v>0</v>
      </c>
      <c r="AS23" s="4">
        <v>19</v>
      </c>
    </row>
    <row r="24" spans="1:45" ht="15.9" customHeight="1">
      <c r="A24" s="37" t="str">
        <v>GK</v>
      </c>
      <c r="B24" s="4" t="str">
        <v>Golden K</v>
      </c>
      <c r="C24" s="10">
        <f t="shared" si="0"/>
        <v>0</v>
      </c>
      <c r="D24" s="10">
        <f t="shared" si="3"/>
        <v>1</v>
      </c>
      <c r="E24" s="10">
        <f t="shared" si="4"/>
        <v>1</v>
      </c>
      <c r="F24" s="10">
        <f t="shared" si="5"/>
        <v>1</v>
      </c>
      <c r="G24" s="10">
        <f t="shared" si="6"/>
        <v>1</v>
      </c>
      <c r="H24" s="10">
        <f t="shared" si="7"/>
        <v>0</v>
      </c>
      <c r="I24" s="10">
        <f t="shared" si="8"/>
        <v>0</v>
      </c>
      <c r="J24" s="4">
        <v>20</v>
      </c>
      <c r="L24" s="15">
        <v>20</v>
      </c>
      <c r="M24" s="38" t="s">
        <v>21</v>
      </c>
      <c r="N24" s="38" t="s">
        <v>27</v>
      </c>
      <c r="O24" s="38" t="s">
        <v>234</v>
      </c>
      <c r="P24" s="38" t="s">
        <v>27</v>
      </c>
      <c r="Q24" s="38" t="s">
        <v>26</v>
      </c>
      <c r="R24" s="38" t="s">
        <v>29</v>
      </c>
      <c r="S24" s="24" t="s">
        <v>27</v>
      </c>
      <c r="U24" s="37">
        <f t="shared" si="9"/>
        <v>12</v>
      </c>
      <c r="V24" s="37">
        <f t="shared" si="9"/>
        <v>11</v>
      </c>
      <c r="W24" s="37">
        <f t="shared" si="9"/>
        <v>0</v>
      </c>
      <c r="X24" s="37">
        <f t="shared" si="9"/>
        <v>11</v>
      </c>
      <c r="Y24" s="37">
        <f t="shared" si="9"/>
        <v>7</v>
      </c>
      <c r="Z24" s="37">
        <f t="shared" si="9"/>
        <v>16</v>
      </c>
      <c r="AA24" s="37">
        <f t="shared" si="9"/>
        <v>11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4">
        <v>3</v>
      </c>
      <c r="AK24" s="37" t="s">
        <v>236</v>
      </c>
      <c r="AL24" s="37">
        <v>0</v>
      </c>
      <c r="AM24" s="37">
        <v>2</v>
      </c>
      <c r="AN24" s="37">
        <v>6</v>
      </c>
      <c r="AO24" s="37">
        <v>2</v>
      </c>
      <c r="AP24" s="37">
        <v>2</v>
      </c>
      <c r="AQ24" s="37">
        <v>0</v>
      </c>
      <c r="AR24" s="37">
        <v>0</v>
      </c>
      <c r="AS24" s="4">
        <v>20</v>
      </c>
    </row>
    <row r="25" spans="1:45" ht="16.5" customHeight="1">
      <c r="A25" s="37" t="str">
        <v>GQ</v>
      </c>
      <c r="B25" s="4" t="str">
        <v>Golden Q</v>
      </c>
      <c r="C25" s="10">
        <f t="shared" si="0"/>
        <v>0</v>
      </c>
      <c r="D25" s="10">
        <f t="shared" si="3"/>
        <v>1</v>
      </c>
      <c r="E25" s="10">
        <f t="shared" si="4"/>
        <v>1</v>
      </c>
      <c r="F25" s="10">
        <f t="shared" si="5"/>
        <v>1</v>
      </c>
      <c r="G25" s="10">
        <f t="shared" si="6"/>
        <v>0</v>
      </c>
      <c r="H25" s="10">
        <f t="shared" si="7"/>
        <v>0</v>
      </c>
      <c r="I25" s="10">
        <f t="shared" si="8"/>
        <v>0</v>
      </c>
      <c r="J25" s="4">
        <v>21</v>
      </c>
      <c r="L25" s="14">
        <v>21</v>
      </c>
      <c r="M25" s="38" t="s">
        <v>27</v>
      </c>
      <c r="N25" s="38" t="s">
        <v>27</v>
      </c>
      <c r="O25" s="38" t="s">
        <v>18</v>
      </c>
      <c r="P25" s="38" t="s">
        <v>20</v>
      </c>
      <c r="Q25" s="38" t="s">
        <v>89</v>
      </c>
      <c r="R25" s="38" t="s">
        <v>29</v>
      </c>
      <c r="S25" s="24" t="s">
        <v>27</v>
      </c>
      <c r="U25" s="37">
        <f t="shared" si="9"/>
        <v>11</v>
      </c>
      <c r="V25" s="37">
        <f t="shared" si="9"/>
        <v>11</v>
      </c>
      <c r="W25" s="37">
        <f t="shared" si="9"/>
        <v>10</v>
      </c>
      <c r="X25" s="37">
        <f t="shared" si="9"/>
        <v>6</v>
      </c>
      <c r="Y25" s="37">
        <f t="shared" si="9"/>
        <v>5</v>
      </c>
      <c r="Z25" s="37">
        <f t="shared" si="9"/>
        <v>16</v>
      </c>
      <c r="AA25" s="37">
        <f t="shared" si="9"/>
        <v>11</v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4">
        <v>1</v>
      </c>
      <c r="AK25" s="37" t="s">
        <v>238</v>
      </c>
      <c r="AL25" s="37">
        <v>0</v>
      </c>
      <c r="AM25" s="37">
        <v>10</v>
      </c>
      <c r="AN25" s="37">
        <v>6</v>
      </c>
      <c r="AO25" s="37">
        <v>1</v>
      </c>
      <c r="AP25" s="37">
        <v>4</v>
      </c>
      <c r="AQ25" s="37">
        <v>0</v>
      </c>
      <c r="AR25" s="37">
        <v>0</v>
      </c>
      <c r="AS25" s="4">
        <v>21</v>
      </c>
    </row>
    <row r="26" spans="1:45" ht="16.5" customHeight="1">
      <c r="A26" s="37" t="str">
        <v>GJ</v>
      </c>
      <c r="B26" s="4" t="str">
        <v>Golden J</v>
      </c>
      <c r="C26" s="10">
        <f t="shared" si="0"/>
        <v>0</v>
      </c>
      <c r="D26" s="10">
        <f t="shared" si="3"/>
        <v>1</v>
      </c>
      <c r="E26" s="10">
        <f t="shared" si="4"/>
        <v>1</v>
      </c>
      <c r="F26" s="10">
        <f t="shared" si="5"/>
        <v>1</v>
      </c>
      <c r="G26" s="10">
        <f t="shared" si="6"/>
        <v>1</v>
      </c>
      <c r="H26" s="10">
        <f t="shared" si="7"/>
        <v>0</v>
      </c>
      <c r="I26" s="10">
        <f t="shared" si="8"/>
        <v>0</v>
      </c>
      <c r="J26" s="4">
        <v>22</v>
      </c>
      <c r="L26" s="15">
        <v>22</v>
      </c>
      <c r="M26" s="38" t="s">
        <v>27</v>
      </c>
      <c r="N26" s="38" t="s">
        <v>29</v>
      </c>
      <c r="O26" s="38" t="s">
        <v>230</v>
      </c>
      <c r="P26" s="38" t="s">
        <v>20</v>
      </c>
      <c r="Q26" s="38" t="s">
        <v>29</v>
      </c>
      <c r="R26" s="38" t="s">
        <v>18</v>
      </c>
      <c r="S26" s="24" t="s">
        <v>27</v>
      </c>
      <c r="U26" s="37">
        <f t="shared" si="9"/>
        <v>11</v>
      </c>
      <c r="V26" s="37">
        <f t="shared" si="9"/>
        <v>16</v>
      </c>
      <c r="W26" s="37">
        <f t="shared" si="9"/>
        <v>0</v>
      </c>
      <c r="X26" s="37">
        <f t="shared" si="9"/>
        <v>6</v>
      </c>
      <c r="Y26" s="37">
        <f t="shared" si="9"/>
        <v>16</v>
      </c>
      <c r="Z26" s="37">
        <f t="shared" si="9"/>
        <v>10</v>
      </c>
      <c r="AA26" s="37">
        <f t="shared" si="9"/>
        <v>11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0</v>
      </c>
      <c r="AM26" s="37">
        <v>5</v>
      </c>
      <c r="AN26" s="37">
        <v>6</v>
      </c>
      <c r="AO26" s="37">
        <v>1</v>
      </c>
      <c r="AP26" s="37">
        <v>2</v>
      </c>
      <c r="AQ26" s="37">
        <v>0</v>
      </c>
      <c r="AR26" s="37">
        <v>0</v>
      </c>
      <c r="AS26" s="4">
        <v>22</v>
      </c>
    </row>
    <row r="27" spans="1:45" ht="16.5" customHeight="1">
      <c r="A27" s="37" t="str">
        <v>GT</v>
      </c>
      <c r="B27" s="37" t="str">
        <v>Golden TE</v>
      </c>
      <c r="C27" s="10">
        <f t="shared" si="0"/>
        <v>0</v>
      </c>
      <c r="D27" s="10">
        <f t="shared" si="3"/>
        <v>1</v>
      </c>
      <c r="E27" s="10">
        <f t="shared" si="4"/>
        <v>1</v>
      </c>
      <c r="F27" s="10">
        <f t="shared" si="5"/>
        <v>1</v>
      </c>
      <c r="G27" s="10">
        <f t="shared" si="6"/>
        <v>0</v>
      </c>
      <c r="H27" s="10">
        <f t="shared" si="7"/>
        <v>0</v>
      </c>
      <c r="I27" s="10">
        <f t="shared" si="8"/>
        <v>0</v>
      </c>
      <c r="J27" s="4">
        <v>23</v>
      </c>
      <c r="L27" s="14">
        <v>23</v>
      </c>
      <c r="M27" s="38" t="s">
        <v>18</v>
      </c>
      <c r="N27" s="38" t="s">
        <v>29</v>
      </c>
      <c r="O27" s="38" t="s">
        <v>230</v>
      </c>
      <c r="P27" s="38" t="s">
        <v>29</v>
      </c>
      <c r="Q27" s="38" t="s">
        <v>18</v>
      </c>
      <c r="R27" s="38" t="s">
        <v>18</v>
      </c>
      <c r="S27" s="24" t="s">
        <v>27</v>
      </c>
      <c r="U27" s="37">
        <f t="shared" si="9"/>
        <v>10</v>
      </c>
      <c r="V27" s="37">
        <f t="shared" si="9"/>
        <v>16</v>
      </c>
      <c r="W27" s="37">
        <f t="shared" si="9"/>
        <v>0</v>
      </c>
      <c r="X27" s="37">
        <f t="shared" si="9"/>
        <v>16</v>
      </c>
      <c r="Y27" s="37">
        <f t="shared" si="9"/>
        <v>10</v>
      </c>
      <c r="Z27" s="37">
        <f t="shared" si="9"/>
        <v>10</v>
      </c>
      <c r="AA27" s="37">
        <f t="shared" si="9"/>
        <v>11</v>
      </c>
      <c r="AC27" s="18">
        <v>1</v>
      </c>
      <c r="AD27" s="18">
        <v>1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0</v>
      </c>
      <c r="AM27" s="37">
        <v>2</v>
      </c>
      <c r="AN27" s="37">
        <v>6</v>
      </c>
      <c r="AO27" s="37">
        <v>1</v>
      </c>
      <c r="AP27" s="37">
        <v>2</v>
      </c>
      <c r="AQ27" s="37">
        <v>0</v>
      </c>
      <c r="AR27" s="37">
        <v>0</v>
      </c>
      <c r="AS27" s="4">
        <v>23</v>
      </c>
    </row>
    <row r="28" spans="1:45" ht="16.5" customHeight="1">
      <c r="A28" s="154" t="str">
        <v>MY</v>
      </c>
      <c r="B28" s="154" t="str">
        <v>Mystery</v>
      </c>
      <c r="C28" s="153">
        <f t="shared" si="0"/>
        <v>2</v>
      </c>
      <c r="D28" s="153">
        <f t="shared" si="3"/>
        <v>5</v>
      </c>
      <c r="E28" s="153">
        <f t="shared" si="4"/>
        <v>2</v>
      </c>
      <c r="F28" s="153">
        <f t="shared" si="5"/>
        <v>2</v>
      </c>
      <c r="G28" s="153">
        <f t="shared" si="6"/>
        <v>2</v>
      </c>
      <c r="H28" s="153">
        <f t="shared" si="7"/>
        <v>2</v>
      </c>
      <c r="I28" s="153">
        <f t="shared" si="8"/>
        <v>3</v>
      </c>
      <c r="J28" s="151">
        <v>24</v>
      </c>
      <c r="L28" s="15">
        <v>24</v>
      </c>
      <c r="M28" s="38" t="s">
        <v>18</v>
      </c>
      <c r="N28" s="38" t="s">
        <v>29</v>
      </c>
      <c r="O28" s="38" t="s">
        <v>20</v>
      </c>
      <c r="P28" s="38" t="s">
        <v>64</v>
      </c>
      <c r="Q28" s="38" t="s">
        <v>17</v>
      </c>
      <c r="R28" s="38" t="s">
        <v>24</v>
      </c>
      <c r="S28" s="24" t="s">
        <v>29</v>
      </c>
      <c r="U28" s="37">
        <f t="shared" si="9"/>
        <v>10</v>
      </c>
      <c r="V28" s="37">
        <f t="shared" si="9"/>
        <v>16</v>
      </c>
      <c r="W28" s="37">
        <f t="shared" si="9"/>
        <v>6</v>
      </c>
      <c r="X28" s="37">
        <f t="shared" si="9"/>
        <v>14</v>
      </c>
      <c r="Y28" s="37">
        <f t="shared" si="9"/>
        <v>14</v>
      </c>
      <c r="Z28" s="37">
        <f t="shared" si="9"/>
        <v>8</v>
      </c>
      <c r="AA28" s="37">
        <f t="shared" si="9"/>
        <v>16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4">
        <v>3</v>
      </c>
      <c r="AK28" s="154" t="s">
        <v>94</v>
      </c>
      <c r="AL28" s="154">
        <v>0</v>
      </c>
      <c r="AM28" s="154">
        <v>10</v>
      </c>
      <c r="AN28" s="154">
        <v>10</v>
      </c>
      <c r="AO28" s="154">
        <v>10</v>
      </c>
      <c r="AP28" s="154">
        <v>10</v>
      </c>
      <c r="AQ28" s="154">
        <v>0</v>
      </c>
      <c r="AR28" s="154">
        <v>0</v>
      </c>
      <c r="AS28" s="151">
        <v>24</v>
      </c>
    </row>
    <row r="29" spans="1:45" ht="16.5" customHeight="1">
      <c r="A29" s="154" t="str">
        <v>GM</v>
      </c>
      <c r="B29" s="154" t="str">
        <v>Golden Mystery</v>
      </c>
      <c r="C29" s="153">
        <f t="shared" si="0"/>
        <v>0</v>
      </c>
      <c r="D29" s="153">
        <f t="shared" si="3"/>
        <v>1</v>
      </c>
      <c r="E29" s="153">
        <f t="shared" si="4"/>
        <v>0</v>
      </c>
      <c r="F29" s="153">
        <f t="shared" si="5"/>
        <v>0</v>
      </c>
      <c r="G29" s="153">
        <f t="shared" si="6"/>
        <v>0</v>
      </c>
      <c r="H29" s="153">
        <f t="shared" si="7"/>
        <v>0</v>
      </c>
      <c r="I29" s="153">
        <f t="shared" si="8"/>
        <v>0</v>
      </c>
      <c r="J29" s="151">
        <v>25</v>
      </c>
      <c r="L29" s="14">
        <v>25</v>
      </c>
      <c r="M29" s="38" t="s">
        <v>89</v>
      </c>
      <c r="N29" s="38" t="s">
        <v>89</v>
      </c>
      <c r="O29" s="38" t="s">
        <v>28</v>
      </c>
      <c r="P29" s="38" t="s">
        <v>64</v>
      </c>
      <c r="Q29" s="38" t="s">
        <v>29</v>
      </c>
      <c r="R29" s="38" t="s">
        <v>64</v>
      </c>
      <c r="S29" s="24" t="s">
        <v>29</v>
      </c>
      <c r="U29" s="37">
        <f t="shared" si="9"/>
        <v>5</v>
      </c>
      <c r="V29" s="37">
        <f t="shared" si="9"/>
        <v>5</v>
      </c>
      <c r="W29" s="37">
        <f t="shared" si="9"/>
        <v>15</v>
      </c>
      <c r="X29" s="37">
        <f t="shared" si="9"/>
        <v>14</v>
      </c>
      <c r="Y29" s="37">
        <f t="shared" si="9"/>
        <v>16</v>
      </c>
      <c r="Z29" s="37">
        <f t="shared" si="9"/>
        <v>14</v>
      </c>
      <c r="AA29" s="37">
        <f t="shared" si="9"/>
        <v>16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4" t="s">
        <v>257</v>
      </c>
      <c r="AL29" s="154">
        <v>0</v>
      </c>
      <c r="AM29" s="154">
        <v>1</v>
      </c>
      <c r="AN29" s="154">
        <v>1</v>
      </c>
      <c r="AO29" s="154">
        <v>1</v>
      </c>
      <c r="AP29" s="154">
        <v>1</v>
      </c>
      <c r="AQ29" s="154">
        <v>0</v>
      </c>
      <c r="AR29" s="154">
        <v>0</v>
      </c>
      <c r="AS29" s="151">
        <v>25</v>
      </c>
    </row>
    <row r="30" spans="1:45" ht="16.5" customHeight="1">
      <c r="A30" s="150"/>
      <c r="B30" s="150"/>
      <c r="C30" s="170">
        <f>SUM(C4:C29)</f>
        <v>121</v>
      </c>
      <c r="D30" s="170">
        <f t="shared" ref="D30:I30" si="10">SUM(D4:D29)</f>
        <v>121</v>
      </c>
      <c r="E30" s="170">
        <f t="shared" si="10"/>
        <v>121</v>
      </c>
      <c r="F30" s="170">
        <f t="shared" si="10"/>
        <v>121</v>
      </c>
      <c r="G30" s="170">
        <f t="shared" si="10"/>
        <v>121</v>
      </c>
      <c r="H30" s="170">
        <f t="shared" si="10"/>
        <v>121</v>
      </c>
      <c r="I30" s="170">
        <f t="shared" si="10"/>
        <v>121</v>
      </c>
      <c r="J30" s="13"/>
      <c r="L30" s="15">
        <v>26</v>
      </c>
      <c r="M30" s="38" t="s">
        <v>28</v>
      </c>
      <c r="N30" s="38" t="s">
        <v>89</v>
      </c>
      <c r="O30" s="38" t="s">
        <v>89</v>
      </c>
      <c r="P30" s="38" t="s">
        <v>27</v>
      </c>
      <c r="Q30" s="38" t="s">
        <v>27</v>
      </c>
      <c r="R30" s="38" t="s">
        <v>27</v>
      </c>
      <c r="S30" s="24" t="s">
        <v>29</v>
      </c>
      <c r="U30" s="37">
        <f t="shared" si="9"/>
        <v>15</v>
      </c>
      <c r="V30" s="37">
        <f t="shared" si="9"/>
        <v>5</v>
      </c>
      <c r="W30" s="37">
        <f t="shared" si="9"/>
        <v>5</v>
      </c>
      <c r="X30" s="37">
        <f t="shared" si="9"/>
        <v>11</v>
      </c>
      <c r="Y30" s="37">
        <f t="shared" si="9"/>
        <v>11</v>
      </c>
      <c r="Z30" s="37">
        <f t="shared" si="9"/>
        <v>11</v>
      </c>
      <c r="AA30" s="37">
        <f t="shared" si="9"/>
        <v>16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4">
        <v>1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28</v>
      </c>
      <c r="N31" s="38" t="s">
        <v>24</v>
      </c>
      <c r="O31" s="38" t="s">
        <v>17</v>
      </c>
      <c r="P31" s="38" t="s">
        <v>20</v>
      </c>
      <c r="Q31" s="38" t="s">
        <v>27</v>
      </c>
      <c r="R31" s="38" t="s">
        <v>64</v>
      </c>
      <c r="S31" s="24" t="s">
        <v>29</v>
      </c>
      <c r="U31" s="37">
        <f t="shared" si="9"/>
        <v>15</v>
      </c>
      <c r="V31" s="37">
        <f t="shared" si="9"/>
        <v>8</v>
      </c>
      <c r="W31" s="37">
        <f t="shared" si="9"/>
        <v>14</v>
      </c>
      <c r="X31" s="37">
        <f t="shared" si="9"/>
        <v>6</v>
      </c>
      <c r="Y31" s="37">
        <f t="shared" si="9"/>
        <v>11</v>
      </c>
      <c r="Z31" s="37">
        <f t="shared" si="9"/>
        <v>14</v>
      </c>
      <c r="AA31" s="37">
        <f t="shared" si="9"/>
        <v>16</v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27</v>
      </c>
      <c r="N32" s="38" t="s">
        <v>24</v>
      </c>
      <c r="O32" s="38" t="s">
        <v>228</v>
      </c>
      <c r="P32" s="38" t="s">
        <v>226</v>
      </c>
      <c r="Q32" s="38" t="s">
        <v>89</v>
      </c>
      <c r="R32" s="38" t="s">
        <v>24</v>
      </c>
      <c r="S32" s="24" t="s">
        <v>28</v>
      </c>
      <c r="U32" s="37">
        <f t="shared" si="9"/>
        <v>11</v>
      </c>
      <c r="V32" s="37">
        <f t="shared" si="9"/>
        <v>8</v>
      </c>
      <c r="W32" s="37">
        <f t="shared" si="9"/>
        <v>0</v>
      </c>
      <c r="X32" s="37">
        <f t="shared" si="9"/>
        <v>0</v>
      </c>
      <c r="Y32" s="37">
        <f t="shared" si="9"/>
        <v>5</v>
      </c>
      <c r="Z32" s="37">
        <f t="shared" si="9"/>
        <v>8</v>
      </c>
      <c r="AA32" s="37">
        <f t="shared" si="9"/>
        <v>15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4">
        <v>3</v>
      </c>
      <c r="AK32" s="16" t="s">
        <v>265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>
      <c r="B33" s="149" t="s">
        <v>72</v>
      </c>
      <c r="C33" s="155">
        <v>0</v>
      </c>
      <c r="D33" s="155">
        <v>105</v>
      </c>
      <c r="E33" s="155">
        <v>45</v>
      </c>
      <c r="F33" s="155">
        <v>175</v>
      </c>
      <c r="G33" s="155">
        <v>135</v>
      </c>
      <c r="H33" s="155">
        <v>0</v>
      </c>
      <c r="J33" s="13"/>
      <c r="L33" s="14">
        <v>29</v>
      </c>
      <c r="M33" s="38" t="s">
        <v>27</v>
      </c>
      <c r="N33" s="38" t="s">
        <v>24</v>
      </c>
      <c r="O33" s="38" t="s">
        <v>18</v>
      </c>
      <c r="P33" s="38" t="s">
        <v>27</v>
      </c>
      <c r="Q33" s="38" t="s">
        <v>89</v>
      </c>
      <c r="R33" s="38" t="s">
        <v>27</v>
      </c>
      <c r="S33" s="24" t="s">
        <v>28</v>
      </c>
      <c r="U33" s="37">
        <f t="shared" si="9"/>
        <v>11</v>
      </c>
      <c r="V33" s="37">
        <f t="shared" si="9"/>
        <v>8</v>
      </c>
      <c r="W33" s="37">
        <f t="shared" si="9"/>
        <v>10</v>
      </c>
      <c r="X33" s="37">
        <f t="shared" si="9"/>
        <v>11</v>
      </c>
      <c r="Y33" s="37">
        <f t="shared" si="9"/>
        <v>5</v>
      </c>
      <c r="Z33" s="37">
        <f t="shared" si="9"/>
        <v>11</v>
      </c>
      <c r="AA33" s="37">
        <f t="shared" si="9"/>
        <v>15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75</v>
      </c>
      <c r="C34" s="8">
        <v>0</v>
      </c>
      <c r="D34" s="8">
        <v>105</v>
      </c>
      <c r="E34" s="8">
        <v>45</v>
      </c>
      <c r="F34" s="8">
        <v>175</v>
      </c>
      <c r="G34" s="8">
        <v>135</v>
      </c>
      <c r="H34" s="8">
        <v>0</v>
      </c>
      <c r="L34" s="15">
        <v>30</v>
      </c>
      <c r="M34" s="38" t="s">
        <v>18</v>
      </c>
      <c r="N34" s="38" t="s">
        <v>28</v>
      </c>
      <c r="O34" s="38" t="s">
        <v>20</v>
      </c>
      <c r="P34" s="38" t="s">
        <v>26</v>
      </c>
      <c r="Q34" s="38" t="s">
        <v>26</v>
      </c>
      <c r="R34" s="38" t="s">
        <v>27</v>
      </c>
      <c r="S34" s="38" t="s">
        <v>28</v>
      </c>
      <c r="U34" s="37">
        <f t="shared" si="9"/>
        <v>10</v>
      </c>
      <c r="V34" s="37">
        <f t="shared" si="9"/>
        <v>15</v>
      </c>
      <c r="W34" s="37">
        <f t="shared" si="9"/>
        <v>6</v>
      </c>
      <c r="X34" s="37">
        <f t="shared" si="9"/>
        <v>7</v>
      </c>
      <c r="Y34" s="37">
        <f t="shared" si="9"/>
        <v>7</v>
      </c>
      <c r="Z34" s="37">
        <f t="shared" si="9"/>
        <v>11</v>
      </c>
      <c r="AA34" s="37">
        <f t="shared" si="9"/>
        <v>15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5</v>
      </c>
      <c r="AM34" s="37">
        <v>5</v>
      </c>
      <c r="AN34" s="37">
        <v>5</v>
      </c>
      <c r="AO34" s="37">
        <v>5</v>
      </c>
      <c r="AP34" s="37">
        <v>5</v>
      </c>
      <c r="AQ34" s="37">
        <v>5</v>
      </c>
      <c r="AR34" s="37">
        <v>0</v>
      </c>
      <c r="AS34" s="4">
        <v>1</v>
      </c>
    </row>
    <row r="35" spans="1:45" ht="16.5" customHeight="1">
      <c r="B35" s="4" t="s">
        <v>73</v>
      </c>
      <c r="C35" s="8">
        <v>0</v>
      </c>
      <c r="D35" s="8">
        <v>675</v>
      </c>
      <c r="E35" s="8">
        <v>195</v>
      </c>
      <c r="F35" s="8">
        <v>475</v>
      </c>
      <c r="G35" s="8">
        <v>1075</v>
      </c>
      <c r="H35" s="8">
        <v>0</v>
      </c>
      <c r="L35" s="14">
        <v>31</v>
      </c>
      <c r="M35" s="38" t="s">
        <v>89</v>
      </c>
      <c r="N35" s="38" t="s">
        <v>27</v>
      </c>
      <c r="O35" s="38" t="s">
        <v>28</v>
      </c>
      <c r="P35" s="38" t="s">
        <v>236</v>
      </c>
      <c r="Q35" s="38" t="s">
        <v>29</v>
      </c>
      <c r="R35" s="38" t="s">
        <v>29</v>
      </c>
      <c r="S35" s="24" t="s">
        <v>28</v>
      </c>
      <c r="U35" s="37">
        <f t="shared" si="9"/>
        <v>5</v>
      </c>
      <c r="V35" s="37">
        <f t="shared" si="9"/>
        <v>11</v>
      </c>
      <c r="W35" s="37">
        <f t="shared" si="9"/>
        <v>15</v>
      </c>
      <c r="X35" s="37">
        <f t="shared" si="9"/>
        <v>0</v>
      </c>
      <c r="Y35" s="37">
        <f t="shared" si="9"/>
        <v>16</v>
      </c>
      <c r="Z35" s="37">
        <f t="shared" si="9"/>
        <v>16</v>
      </c>
      <c r="AA35" s="37">
        <f t="shared" si="9"/>
        <v>15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4" t="s">
        <v>20</v>
      </c>
      <c r="AL35" s="154">
        <v>15</v>
      </c>
      <c r="AM35" s="154">
        <v>42</v>
      </c>
      <c r="AN35" s="154">
        <v>20</v>
      </c>
      <c r="AO35" s="154">
        <v>10</v>
      </c>
      <c r="AP35" s="154">
        <v>40</v>
      </c>
      <c r="AQ35" s="154">
        <v>5</v>
      </c>
      <c r="AR35" s="154">
        <v>1</v>
      </c>
      <c r="AS35" s="151">
        <v>2</v>
      </c>
    </row>
    <row r="36" spans="1:45" ht="16.5" customHeight="1">
      <c r="B36" s="4" t="s">
        <v>76</v>
      </c>
      <c r="C36" s="8">
        <v>0</v>
      </c>
      <c r="D36" s="8">
        <v>675</v>
      </c>
      <c r="E36" s="8">
        <v>195</v>
      </c>
      <c r="F36" s="8">
        <v>475</v>
      </c>
      <c r="G36" s="8">
        <v>1075</v>
      </c>
      <c r="H36" s="8">
        <v>0</v>
      </c>
      <c r="L36" s="15">
        <v>32</v>
      </c>
      <c r="M36" s="38" t="s">
        <v>89</v>
      </c>
      <c r="N36" s="38" t="s">
        <v>27</v>
      </c>
      <c r="O36" s="38" t="s">
        <v>89</v>
      </c>
      <c r="P36" s="38" t="s">
        <v>24</v>
      </c>
      <c r="Q36" s="38" t="s">
        <v>29</v>
      </c>
      <c r="R36" s="38" t="s">
        <v>28</v>
      </c>
      <c r="S36" s="24" t="s">
        <v>64</v>
      </c>
      <c r="U36" s="37">
        <f t="shared" si="9"/>
        <v>5</v>
      </c>
      <c r="V36" s="37">
        <f t="shared" si="9"/>
        <v>11</v>
      </c>
      <c r="W36" s="37">
        <f t="shared" si="9"/>
        <v>5</v>
      </c>
      <c r="X36" s="37">
        <f t="shared" si="9"/>
        <v>8</v>
      </c>
      <c r="Y36" s="37">
        <f t="shared" si="9"/>
        <v>16</v>
      </c>
      <c r="Z36" s="37">
        <f t="shared" si="9"/>
        <v>15</v>
      </c>
      <c r="AA36" s="37">
        <f t="shared" si="9"/>
        <v>14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4">
        <v>3</v>
      </c>
      <c r="AK36" s="154" t="s">
        <v>21</v>
      </c>
      <c r="AL36" s="154">
        <v>40</v>
      </c>
      <c r="AM36" s="154">
        <v>15</v>
      </c>
      <c r="AN36" s="154">
        <v>40</v>
      </c>
      <c r="AO36" s="154">
        <v>42</v>
      </c>
      <c r="AP36" s="154">
        <v>40</v>
      </c>
      <c r="AQ36" s="154">
        <v>5</v>
      </c>
      <c r="AR36" s="154">
        <v>1</v>
      </c>
      <c r="AS36" s="151">
        <v>3</v>
      </c>
    </row>
    <row r="37" spans="1:45" ht="16.5" customHeight="1">
      <c r="B37" s="4" t="s">
        <v>74</v>
      </c>
      <c r="C37" s="8">
        <v>0</v>
      </c>
      <c r="D37" s="8">
        <v>463</v>
      </c>
      <c r="E37" s="8">
        <v>303</v>
      </c>
      <c r="F37" s="8">
        <v>330</v>
      </c>
      <c r="G37" s="8">
        <v>727</v>
      </c>
      <c r="H37" s="8">
        <v>0</v>
      </c>
      <c r="L37" s="14">
        <v>33</v>
      </c>
      <c r="M37" s="38" t="s">
        <v>28</v>
      </c>
      <c r="N37" s="38" t="s">
        <v>27</v>
      </c>
      <c r="O37" s="38" t="s">
        <v>28</v>
      </c>
      <c r="P37" s="38" t="s">
        <v>27</v>
      </c>
      <c r="Q37" s="38" t="s">
        <v>26</v>
      </c>
      <c r="R37" s="38" t="s">
        <v>24</v>
      </c>
      <c r="S37" s="24" t="s">
        <v>64</v>
      </c>
      <c r="U37" s="37">
        <f t="shared" si="9"/>
        <v>15</v>
      </c>
      <c r="V37" s="37">
        <f t="shared" si="9"/>
        <v>11</v>
      </c>
      <c r="W37" s="37">
        <f t="shared" si="9"/>
        <v>15</v>
      </c>
      <c r="X37" s="37">
        <f t="shared" si="9"/>
        <v>11</v>
      </c>
      <c r="Y37" s="37">
        <f t="shared" si="9"/>
        <v>7</v>
      </c>
      <c r="Z37" s="37">
        <f t="shared" si="9"/>
        <v>8</v>
      </c>
      <c r="AA37" s="37">
        <f t="shared" si="9"/>
        <v>14</v>
      </c>
      <c r="AC37" s="18">
        <v>1</v>
      </c>
      <c r="AD37" s="18">
        <v>1</v>
      </c>
      <c r="AE37" s="18">
        <v>1</v>
      </c>
      <c r="AF37" s="18">
        <v>1</v>
      </c>
      <c r="AG37" s="18">
        <v>1</v>
      </c>
      <c r="AH37" s="18">
        <v>1</v>
      </c>
      <c r="AI37" s="4">
        <v>1</v>
      </c>
      <c r="AK37" s="154" t="s">
        <v>17</v>
      </c>
      <c r="AL37" s="154">
        <v>15</v>
      </c>
      <c r="AM37" s="154">
        <v>40</v>
      </c>
      <c r="AN37" s="154">
        <v>20</v>
      </c>
      <c r="AO37" s="154">
        <v>10</v>
      </c>
      <c r="AP37" s="154">
        <v>5</v>
      </c>
      <c r="AQ37" s="154">
        <v>40</v>
      </c>
      <c r="AR37" s="154">
        <v>1</v>
      </c>
      <c r="AS37" s="151">
        <v>4</v>
      </c>
    </row>
    <row r="38" spans="1:45" ht="16.5" customHeight="1">
      <c r="B38" s="4" t="s">
        <v>77</v>
      </c>
      <c r="C38" s="8">
        <v>0</v>
      </c>
      <c r="D38" s="8">
        <v>463</v>
      </c>
      <c r="E38" s="8">
        <v>303</v>
      </c>
      <c r="F38" s="8">
        <v>330</v>
      </c>
      <c r="G38" s="8">
        <v>727</v>
      </c>
      <c r="H38" s="8">
        <v>0</v>
      </c>
      <c r="L38" s="15">
        <v>34</v>
      </c>
      <c r="M38" s="38" t="s">
        <v>26</v>
      </c>
      <c r="N38" s="38" t="s">
        <v>18</v>
      </c>
      <c r="O38" s="38" t="s">
        <v>18</v>
      </c>
      <c r="P38" s="38" t="s">
        <v>29</v>
      </c>
      <c r="Q38" s="38" t="s">
        <v>26</v>
      </c>
      <c r="R38" s="38" t="s">
        <v>24</v>
      </c>
      <c r="S38" s="24" t="s">
        <v>64</v>
      </c>
      <c r="U38" s="37">
        <f t="shared" si="9"/>
        <v>7</v>
      </c>
      <c r="V38" s="37">
        <f t="shared" si="9"/>
        <v>10</v>
      </c>
      <c r="W38" s="37">
        <f t="shared" si="9"/>
        <v>10</v>
      </c>
      <c r="X38" s="37">
        <f t="shared" si="9"/>
        <v>16</v>
      </c>
      <c r="Y38" s="37">
        <f t="shared" si="9"/>
        <v>7</v>
      </c>
      <c r="Z38" s="37">
        <f t="shared" si="9"/>
        <v>8</v>
      </c>
      <c r="AA38" s="37">
        <f t="shared" si="9"/>
        <v>14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4">
        <v>1</v>
      </c>
      <c r="AK38" s="154" t="s">
        <v>18</v>
      </c>
      <c r="AL38" s="154">
        <v>40</v>
      </c>
      <c r="AM38" s="154">
        <v>15</v>
      </c>
      <c r="AN38" s="154">
        <v>40</v>
      </c>
      <c r="AO38" s="154">
        <v>10</v>
      </c>
      <c r="AP38" s="154">
        <v>5</v>
      </c>
      <c r="AQ38" s="154">
        <v>40</v>
      </c>
      <c r="AR38" s="154">
        <v>1</v>
      </c>
      <c r="AS38" s="151">
        <v>5</v>
      </c>
    </row>
    <row r="39" spans="1:45" ht="16.5" customHeight="1">
      <c r="B39" s="4" t="s">
        <v>78</v>
      </c>
      <c r="C39" s="8">
        <v>0</v>
      </c>
      <c r="D39" s="8">
        <v>463</v>
      </c>
      <c r="E39" s="8">
        <v>303</v>
      </c>
      <c r="F39" s="8">
        <v>330</v>
      </c>
      <c r="G39" s="8">
        <v>727</v>
      </c>
      <c r="H39" s="8">
        <v>0</v>
      </c>
      <c r="L39" s="14">
        <v>35</v>
      </c>
      <c r="M39" s="38" t="s">
        <v>64</v>
      </c>
      <c r="N39" s="38" t="s">
        <v>236</v>
      </c>
      <c r="O39" s="38" t="s">
        <v>18</v>
      </c>
      <c r="P39" s="38" t="s">
        <v>64</v>
      </c>
      <c r="Q39" s="38" t="s">
        <v>89</v>
      </c>
      <c r="R39" s="38" t="s">
        <v>24</v>
      </c>
      <c r="S39" s="24" t="s">
        <v>64</v>
      </c>
      <c r="U39" s="37">
        <f t="shared" si="9"/>
        <v>14</v>
      </c>
      <c r="V39" s="37">
        <f t="shared" si="9"/>
        <v>0</v>
      </c>
      <c r="W39" s="37">
        <f t="shared" si="9"/>
        <v>10</v>
      </c>
      <c r="X39" s="37">
        <f t="shared" si="9"/>
        <v>14</v>
      </c>
      <c r="Y39" s="37">
        <f t="shared" si="9"/>
        <v>5</v>
      </c>
      <c r="Z39" s="37">
        <f t="shared" si="9"/>
        <v>8</v>
      </c>
      <c r="AA39" s="37">
        <f t="shared" si="9"/>
        <v>14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4" t="s">
        <v>64</v>
      </c>
      <c r="AL39" s="154">
        <v>15</v>
      </c>
      <c r="AM39" s="154">
        <v>40</v>
      </c>
      <c r="AN39" s="154">
        <v>20</v>
      </c>
      <c r="AO39" s="154">
        <v>10</v>
      </c>
      <c r="AP39" s="154">
        <v>40</v>
      </c>
      <c r="AQ39" s="154">
        <v>5</v>
      </c>
      <c r="AR39" s="154">
        <v>1</v>
      </c>
      <c r="AS39" s="151">
        <v>6</v>
      </c>
    </row>
    <row r="40" spans="1:45" ht="16.5" customHeight="1">
      <c r="B40" s="4" t="s">
        <v>79</v>
      </c>
      <c r="C40" s="8">
        <v>0</v>
      </c>
      <c r="D40" s="8">
        <v>910</v>
      </c>
      <c r="E40" s="8">
        <v>610</v>
      </c>
      <c r="F40" s="8">
        <v>1373</v>
      </c>
      <c r="G40" s="8">
        <v>973</v>
      </c>
      <c r="H40" s="8">
        <v>0</v>
      </c>
      <c r="L40" s="15">
        <v>36</v>
      </c>
      <c r="M40" s="37" t="s">
        <v>29</v>
      </c>
      <c r="N40" s="37" t="s">
        <v>29</v>
      </c>
      <c r="O40" s="37" t="s">
        <v>64</v>
      </c>
      <c r="P40" s="37" t="s">
        <v>64</v>
      </c>
      <c r="Q40" s="37" t="s">
        <v>18</v>
      </c>
      <c r="R40" s="37" t="s">
        <v>26</v>
      </c>
      <c r="S40" s="37" t="s">
        <v>89</v>
      </c>
      <c r="U40" s="37">
        <f t="shared" si="9"/>
        <v>16</v>
      </c>
      <c r="V40" s="37">
        <f t="shared" si="9"/>
        <v>16</v>
      </c>
      <c r="W40" s="37">
        <f t="shared" si="9"/>
        <v>14</v>
      </c>
      <c r="X40" s="37">
        <f t="shared" si="9"/>
        <v>14</v>
      </c>
      <c r="Y40" s="37">
        <f t="shared" si="9"/>
        <v>10</v>
      </c>
      <c r="Z40" s="37">
        <f t="shared" si="9"/>
        <v>7</v>
      </c>
      <c r="AA40" s="37">
        <f t="shared" si="9"/>
        <v>5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4">
        <v>3</v>
      </c>
      <c r="AK40" s="154" t="s">
        <v>89</v>
      </c>
      <c r="AL40" s="154">
        <v>40</v>
      </c>
      <c r="AM40" s="154">
        <v>15</v>
      </c>
      <c r="AN40" s="154">
        <v>40</v>
      </c>
      <c r="AO40" s="154">
        <v>10</v>
      </c>
      <c r="AP40" s="154">
        <v>5</v>
      </c>
      <c r="AQ40" s="154">
        <v>40</v>
      </c>
      <c r="AR40" s="154">
        <v>1</v>
      </c>
      <c r="AS40" s="151">
        <v>7</v>
      </c>
    </row>
    <row r="41" spans="1:45" ht="16.5" customHeight="1">
      <c r="B41" s="4" t="s">
        <v>80</v>
      </c>
      <c r="C41" s="8">
        <v>0</v>
      </c>
      <c r="D41" s="8">
        <v>910</v>
      </c>
      <c r="E41" s="8">
        <v>610</v>
      </c>
      <c r="F41" s="8">
        <v>1373</v>
      </c>
      <c r="G41" s="8">
        <v>973</v>
      </c>
      <c r="H41" s="8">
        <v>0</v>
      </c>
      <c r="L41" s="14">
        <v>37</v>
      </c>
      <c r="M41" s="38" t="s">
        <v>89</v>
      </c>
      <c r="N41" s="38" t="s">
        <v>29</v>
      </c>
      <c r="O41" s="38" t="s">
        <v>64</v>
      </c>
      <c r="P41" s="38" t="s">
        <v>64</v>
      </c>
      <c r="Q41" s="38" t="s">
        <v>28</v>
      </c>
      <c r="R41" s="38" t="s">
        <v>26</v>
      </c>
      <c r="S41" s="24" t="s">
        <v>89</v>
      </c>
      <c r="U41" s="37">
        <f t="shared" si="9"/>
        <v>5</v>
      </c>
      <c r="V41" s="37">
        <f t="shared" si="9"/>
        <v>16</v>
      </c>
      <c r="W41" s="37">
        <f t="shared" si="9"/>
        <v>14</v>
      </c>
      <c r="X41" s="37">
        <f t="shared" si="9"/>
        <v>14</v>
      </c>
      <c r="Y41" s="37">
        <f t="shared" si="9"/>
        <v>15</v>
      </c>
      <c r="Z41" s="37">
        <f t="shared" si="9"/>
        <v>7</v>
      </c>
      <c r="AA41" s="37">
        <f t="shared" si="9"/>
        <v>5</v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1</v>
      </c>
      <c r="AK41" s="37" t="s">
        <v>24</v>
      </c>
      <c r="AL41" s="37">
        <v>40</v>
      </c>
      <c r="AM41" s="37">
        <v>15</v>
      </c>
      <c r="AN41" s="37">
        <v>40</v>
      </c>
      <c r="AO41" s="37">
        <v>10</v>
      </c>
      <c r="AP41" s="37">
        <v>10</v>
      </c>
      <c r="AQ41" s="37">
        <v>5</v>
      </c>
      <c r="AR41" s="37">
        <v>1</v>
      </c>
      <c r="AS41" s="4">
        <v>7</v>
      </c>
    </row>
    <row r="42" spans="1:45" ht="16.5" customHeight="1">
      <c r="B42" s="4" t="s">
        <v>81</v>
      </c>
      <c r="C42" s="8">
        <v>0</v>
      </c>
      <c r="D42" s="8">
        <v>910</v>
      </c>
      <c r="E42" s="8">
        <v>610</v>
      </c>
      <c r="F42" s="8">
        <v>1373</v>
      </c>
      <c r="G42" s="8">
        <v>973</v>
      </c>
      <c r="H42" s="8">
        <v>0</v>
      </c>
      <c r="L42" s="15">
        <v>38</v>
      </c>
      <c r="M42" s="38" t="s">
        <v>89</v>
      </c>
      <c r="N42" s="38" t="s">
        <v>29</v>
      </c>
      <c r="O42" s="38" t="s">
        <v>18</v>
      </c>
      <c r="P42" s="38" t="s">
        <v>27</v>
      </c>
      <c r="Q42" s="38" t="s">
        <v>20</v>
      </c>
      <c r="R42" s="38" t="s">
        <v>24</v>
      </c>
      <c r="S42" s="24" t="s">
        <v>89</v>
      </c>
      <c r="U42" s="37">
        <f t="shared" si="9"/>
        <v>5</v>
      </c>
      <c r="V42" s="37">
        <f t="shared" si="9"/>
        <v>16</v>
      </c>
      <c r="W42" s="37">
        <f t="shared" si="9"/>
        <v>10</v>
      </c>
      <c r="X42" s="37">
        <f t="shared" si="9"/>
        <v>11</v>
      </c>
      <c r="Y42" s="37">
        <f t="shared" si="9"/>
        <v>6</v>
      </c>
      <c r="Z42" s="37">
        <f t="shared" si="9"/>
        <v>8</v>
      </c>
      <c r="AA42" s="37">
        <f t="shared" si="9"/>
        <v>5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15</v>
      </c>
      <c r="AM42" s="37">
        <v>40</v>
      </c>
      <c r="AN42" s="37">
        <v>20</v>
      </c>
      <c r="AO42" s="37">
        <v>40</v>
      </c>
      <c r="AP42" s="37">
        <v>40</v>
      </c>
      <c r="AQ42" s="37">
        <v>40</v>
      </c>
      <c r="AR42" s="37">
        <v>1</v>
      </c>
      <c r="AS42" s="4">
        <v>8</v>
      </c>
    </row>
    <row r="43" spans="1:45" ht="16.5" customHeight="1">
      <c r="B43" s="4" t="s">
        <v>82</v>
      </c>
      <c r="C43" s="8">
        <v>0</v>
      </c>
      <c r="D43" s="8">
        <v>747</v>
      </c>
      <c r="E43" s="8">
        <v>1092</v>
      </c>
      <c r="F43" s="8">
        <v>780</v>
      </c>
      <c r="G43" s="8">
        <v>520</v>
      </c>
      <c r="H43" s="8">
        <v>0</v>
      </c>
      <c r="L43" s="14">
        <v>39</v>
      </c>
      <c r="M43" s="38" t="s">
        <v>28</v>
      </c>
      <c r="N43" s="38" t="s">
        <v>234</v>
      </c>
      <c r="O43" s="38" t="s">
        <v>29</v>
      </c>
      <c r="P43" s="38" t="s">
        <v>64</v>
      </c>
      <c r="Q43" s="38" t="s">
        <v>18</v>
      </c>
      <c r="R43" s="38" t="s">
        <v>24</v>
      </c>
      <c r="S43" s="24" t="s">
        <v>89</v>
      </c>
      <c r="U43" s="37">
        <f t="shared" si="9"/>
        <v>15</v>
      </c>
      <c r="V43" s="37">
        <f t="shared" si="9"/>
        <v>0</v>
      </c>
      <c r="W43" s="37">
        <f t="shared" si="9"/>
        <v>16</v>
      </c>
      <c r="X43" s="37">
        <f t="shared" si="9"/>
        <v>14</v>
      </c>
      <c r="Y43" s="37">
        <f t="shared" si="9"/>
        <v>10</v>
      </c>
      <c r="Z43" s="37">
        <f t="shared" si="9"/>
        <v>8</v>
      </c>
      <c r="AA43" s="37">
        <f t="shared" si="9"/>
        <v>5</v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40</v>
      </c>
      <c r="AM43" s="37">
        <v>15</v>
      </c>
      <c r="AN43" s="37">
        <v>40</v>
      </c>
      <c r="AO43" s="37">
        <v>10</v>
      </c>
      <c r="AP43" s="37">
        <v>5</v>
      </c>
      <c r="AQ43" s="37">
        <v>5</v>
      </c>
      <c r="AR43" s="37">
        <v>1</v>
      </c>
      <c r="AS43" s="4">
        <v>9</v>
      </c>
    </row>
    <row r="44" spans="1:45" ht="16.5" customHeight="1">
      <c r="B44" s="4" t="s">
        <v>83</v>
      </c>
      <c r="C44" s="8">
        <v>0</v>
      </c>
      <c r="D44" s="8">
        <v>747</v>
      </c>
      <c r="E44" s="8">
        <v>1092</v>
      </c>
      <c r="F44" s="8">
        <v>780</v>
      </c>
      <c r="G44" s="8">
        <v>520</v>
      </c>
      <c r="H44" s="8">
        <v>0</v>
      </c>
      <c r="L44" s="15">
        <v>40</v>
      </c>
      <c r="M44" s="38" t="s">
        <v>29</v>
      </c>
      <c r="N44" s="38" t="s">
        <v>24</v>
      </c>
      <c r="O44" s="38" t="s">
        <v>28</v>
      </c>
      <c r="P44" s="38" t="s">
        <v>29</v>
      </c>
      <c r="Q44" s="38" t="s">
        <v>18</v>
      </c>
      <c r="R44" s="38" t="s">
        <v>27</v>
      </c>
      <c r="S44" s="24" t="s">
        <v>64</v>
      </c>
      <c r="U44" s="37">
        <f t="shared" si="9"/>
        <v>16</v>
      </c>
      <c r="V44" s="37">
        <f t="shared" si="9"/>
        <v>8</v>
      </c>
      <c r="W44" s="37">
        <f t="shared" si="9"/>
        <v>15</v>
      </c>
      <c r="X44" s="37">
        <f t="shared" si="9"/>
        <v>16</v>
      </c>
      <c r="Y44" s="37">
        <f t="shared" si="9"/>
        <v>10</v>
      </c>
      <c r="Z44" s="37">
        <f t="shared" si="9"/>
        <v>11</v>
      </c>
      <c r="AA44" s="37">
        <f t="shared" si="9"/>
        <v>14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4">
        <v>3</v>
      </c>
      <c r="AK44" s="37" t="s">
        <v>28</v>
      </c>
      <c r="AL44" s="37">
        <v>15</v>
      </c>
      <c r="AM44" s="37">
        <v>40</v>
      </c>
      <c r="AN44" s="37">
        <v>35</v>
      </c>
      <c r="AO44" s="37">
        <v>10</v>
      </c>
      <c r="AP44" s="37">
        <v>5</v>
      </c>
      <c r="AQ44" s="37">
        <v>5</v>
      </c>
      <c r="AR44" s="37">
        <v>1</v>
      </c>
      <c r="AS44" s="4">
        <v>10</v>
      </c>
    </row>
    <row r="45" spans="1:45" ht="16.5" customHeight="1">
      <c r="B45" s="4" t="s">
        <v>84</v>
      </c>
      <c r="C45" s="8">
        <v>0</v>
      </c>
      <c r="D45" s="8">
        <v>747</v>
      </c>
      <c r="E45" s="8">
        <v>1092</v>
      </c>
      <c r="F45" s="8">
        <v>780</v>
      </c>
      <c r="G45" s="8">
        <v>520</v>
      </c>
      <c r="H45" s="8">
        <v>0</v>
      </c>
      <c r="L45" s="14">
        <v>41</v>
      </c>
      <c r="M45" s="38" t="s">
        <v>18</v>
      </c>
      <c r="N45" s="38" t="s">
        <v>24</v>
      </c>
      <c r="O45" s="38" t="s">
        <v>28</v>
      </c>
      <c r="P45" s="38" t="s">
        <v>29</v>
      </c>
      <c r="Q45" s="38" t="s">
        <v>64</v>
      </c>
      <c r="R45" s="38" t="s">
        <v>27</v>
      </c>
      <c r="S45" s="24" t="s">
        <v>64</v>
      </c>
      <c r="U45" s="37">
        <f t="shared" si="9"/>
        <v>10</v>
      </c>
      <c r="V45" s="37">
        <f t="shared" si="9"/>
        <v>8</v>
      </c>
      <c r="W45" s="37">
        <f t="shared" si="9"/>
        <v>15</v>
      </c>
      <c r="X45" s="37">
        <f t="shared" si="9"/>
        <v>16</v>
      </c>
      <c r="Y45" s="37">
        <f t="shared" si="9"/>
        <v>14</v>
      </c>
      <c r="Z45" s="37">
        <f t="shared" si="9"/>
        <v>11</v>
      </c>
      <c r="AA45" s="37">
        <f t="shared" si="9"/>
        <v>14</v>
      </c>
      <c r="AC45" s="18">
        <v>1</v>
      </c>
      <c r="AD45" s="18">
        <v>1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40</v>
      </c>
      <c r="AM45" s="37">
        <v>15</v>
      </c>
      <c r="AN45" s="37">
        <v>15</v>
      </c>
      <c r="AO45" s="37">
        <v>10</v>
      </c>
      <c r="AP45" s="37">
        <v>5</v>
      </c>
      <c r="AQ45" s="37">
        <v>5</v>
      </c>
      <c r="AR45" s="37">
        <v>1</v>
      </c>
      <c r="AS45" s="4">
        <v>11</v>
      </c>
    </row>
    <row r="46" spans="1:45" ht="16.5" customHeight="1">
      <c r="B46" s="4" t="s">
        <v>85</v>
      </c>
      <c r="C46" s="8">
        <v>0</v>
      </c>
      <c r="D46" s="8">
        <v>747</v>
      </c>
      <c r="E46" s="8">
        <v>1092</v>
      </c>
      <c r="F46" s="8">
        <v>780</v>
      </c>
      <c r="G46" s="8">
        <v>520</v>
      </c>
      <c r="H46" s="8">
        <v>0</v>
      </c>
      <c r="L46" s="15">
        <v>42</v>
      </c>
      <c r="M46" s="38" t="s">
        <v>27</v>
      </c>
      <c r="N46" s="38" t="s">
        <v>21</v>
      </c>
      <c r="O46" s="38" t="s">
        <v>232</v>
      </c>
      <c r="P46" s="38" t="s">
        <v>29</v>
      </c>
      <c r="Q46" s="38" t="s">
        <v>21</v>
      </c>
      <c r="R46" s="38" t="s">
        <v>24</v>
      </c>
      <c r="S46" s="24" t="s">
        <v>64</v>
      </c>
      <c r="U46" s="37">
        <f t="shared" si="9"/>
        <v>11</v>
      </c>
      <c r="V46" s="37">
        <f t="shared" si="9"/>
        <v>12</v>
      </c>
      <c r="W46" s="37">
        <f t="shared" si="9"/>
        <v>0</v>
      </c>
      <c r="X46" s="37">
        <f t="shared" si="9"/>
        <v>16</v>
      </c>
      <c r="Y46" s="37">
        <f t="shared" si="9"/>
        <v>12</v>
      </c>
      <c r="Z46" s="37">
        <f t="shared" si="9"/>
        <v>8</v>
      </c>
      <c r="AA46" s="37">
        <f t="shared" si="9"/>
        <v>14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4">
        <v>1</v>
      </c>
      <c r="AK46" s="154" t="s">
        <v>222</v>
      </c>
      <c r="AL46" s="154">
        <v>0</v>
      </c>
      <c r="AM46" s="154">
        <v>2</v>
      </c>
      <c r="AN46" s="154">
        <v>5</v>
      </c>
      <c r="AO46" s="154">
        <v>2</v>
      </c>
      <c r="AP46" s="154">
        <v>4</v>
      </c>
      <c r="AQ46" s="154">
        <v>0</v>
      </c>
      <c r="AR46" s="154">
        <v>0</v>
      </c>
      <c r="AS46" s="151">
        <v>12</v>
      </c>
    </row>
    <row r="47" spans="1:45" ht="16.5" customHeight="1">
      <c r="B47" s="4" t="s">
        <v>86</v>
      </c>
      <c r="C47" s="8">
        <v>1</v>
      </c>
      <c r="D47" s="8">
        <v>1340</v>
      </c>
      <c r="E47" s="8">
        <v>2410</v>
      </c>
      <c r="F47" s="8">
        <v>470</v>
      </c>
      <c r="G47" s="8">
        <v>400</v>
      </c>
      <c r="H47" s="8">
        <v>1</v>
      </c>
      <c r="L47" s="14">
        <v>43</v>
      </c>
      <c r="M47" s="38" t="s">
        <v>29</v>
      </c>
      <c r="N47" s="38" t="s">
        <v>21</v>
      </c>
      <c r="O47" s="38" t="s">
        <v>89</v>
      </c>
      <c r="P47" s="38" t="s">
        <v>27</v>
      </c>
      <c r="Q47" s="38" t="s">
        <v>89</v>
      </c>
      <c r="R47" s="38" t="s">
        <v>24</v>
      </c>
      <c r="S47" s="24" t="s">
        <v>21</v>
      </c>
      <c r="U47" s="37">
        <f t="shared" si="9"/>
        <v>16</v>
      </c>
      <c r="V47" s="37">
        <f t="shared" si="9"/>
        <v>12</v>
      </c>
      <c r="W47" s="37">
        <f t="shared" si="9"/>
        <v>5</v>
      </c>
      <c r="X47" s="37">
        <f t="shared" si="9"/>
        <v>11</v>
      </c>
      <c r="Y47" s="37">
        <f t="shared" si="9"/>
        <v>5</v>
      </c>
      <c r="Z47" s="37">
        <f t="shared" si="9"/>
        <v>8</v>
      </c>
      <c r="AA47" s="37">
        <f t="shared" si="9"/>
        <v>12</v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4">
        <v>3</v>
      </c>
      <c r="AK47" s="154" t="s">
        <v>224</v>
      </c>
      <c r="AL47" s="154">
        <v>0</v>
      </c>
      <c r="AM47" s="154">
        <v>2</v>
      </c>
      <c r="AN47" s="154">
        <v>2</v>
      </c>
      <c r="AO47" s="154">
        <v>2</v>
      </c>
      <c r="AP47" s="154">
        <v>2</v>
      </c>
      <c r="AQ47" s="154">
        <v>0</v>
      </c>
      <c r="AR47" s="154">
        <v>0</v>
      </c>
      <c r="AS47" s="151">
        <v>13</v>
      </c>
    </row>
    <row r="48" spans="1:45" ht="16.5" customHeight="1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26</v>
      </c>
      <c r="N48" s="38" t="s">
        <v>228</v>
      </c>
      <c r="O48" s="38" t="s">
        <v>26</v>
      </c>
      <c r="P48" s="38" t="s">
        <v>27</v>
      </c>
      <c r="Q48" s="38" t="s">
        <v>89</v>
      </c>
      <c r="R48" s="38" t="s">
        <v>26</v>
      </c>
      <c r="S48" s="24" t="s">
        <v>21</v>
      </c>
      <c r="U48" s="37">
        <f t="shared" si="9"/>
        <v>7</v>
      </c>
      <c r="V48" s="37">
        <f t="shared" si="9"/>
        <v>0</v>
      </c>
      <c r="W48" s="37">
        <f t="shared" si="9"/>
        <v>7</v>
      </c>
      <c r="X48" s="37">
        <f t="shared" si="9"/>
        <v>11</v>
      </c>
      <c r="Y48" s="37">
        <f t="shared" si="9"/>
        <v>5</v>
      </c>
      <c r="Z48" s="37">
        <f t="shared" si="9"/>
        <v>7</v>
      </c>
      <c r="AA48" s="37">
        <f t="shared" si="9"/>
        <v>12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4" t="s">
        <v>226</v>
      </c>
      <c r="AL48" s="154">
        <v>0</v>
      </c>
      <c r="AM48" s="154">
        <v>4</v>
      </c>
      <c r="AN48" s="154">
        <v>5</v>
      </c>
      <c r="AO48" s="154">
        <v>2</v>
      </c>
      <c r="AP48" s="154">
        <v>2</v>
      </c>
      <c r="AQ48" s="154">
        <v>0</v>
      </c>
      <c r="AR48" s="154">
        <v>0</v>
      </c>
      <c r="AS48" s="151">
        <v>14</v>
      </c>
    </row>
    <row r="49" spans="2:45" ht="16.5" customHeight="1">
      <c r="L49" s="14">
        <v>45</v>
      </c>
      <c r="M49" s="38" t="s">
        <v>26</v>
      </c>
      <c r="N49" s="38" t="s">
        <v>27</v>
      </c>
      <c r="O49" s="38" t="s">
        <v>236</v>
      </c>
      <c r="P49" s="38" t="s">
        <v>21</v>
      </c>
      <c r="Q49" s="38" t="s">
        <v>28</v>
      </c>
      <c r="R49" s="38" t="s">
        <v>26</v>
      </c>
      <c r="S49" s="24" t="s">
        <v>18</v>
      </c>
      <c r="U49" s="37">
        <f t="shared" si="9"/>
        <v>7</v>
      </c>
      <c r="V49" s="37">
        <f t="shared" si="9"/>
        <v>11</v>
      </c>
      <c r="W49" s="37">
        <f t="shared" si="9"/>
        <v>0</v>
      </c>
      <c r="X49" s="37">
        <f t="shared" si="9"/>
        <v>12</v>
      </c>
      <c r="Y49" s="37">
        <f t="shared" si="9"/>
        <v>15</v>
      </c>
      <c r="Z49" s="37">
        <f t="shared" si="9"/>
        <v>7</v>
      </c>
      <c r="AA49" s="37">
        <f t="shared" si="9"/>
        <v>10</v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4">
        <v>3</v>
      </c>
      <c r="AK49" s="154" t="s">
        <v>228</v>
      </c>
      <c r="AL49" s="154">
        <v>0</v>
      </c>
      <c r="AM49" s="154">
        <v>2</v>
      </c>
      <c r="AN49" s="154">
        <v>2</v>
      </c>
      <c r="AO49" s="154">
        <v>2</v>
      </c>
      <c r="AP49" s="154">
        <v>2</v>
      </c>
      <c r="AQ49" s="154">
        <v>0</v>
      </c>
      <c r="AR49" s="154">
        <v>0</v>
      </c>
      <c r="AS49" s="151">
        <v>15</v>
      </c>
    </row>
    <row r="50" spans="2:45" ht="16.5" customHeight="1">
      <c r="B50" s="165" t="s">
        <v>97</v>
      </c>
      <c r="C50" s="162" t="s">
        <v>259</v>
      </c>
      <c r="L50" s="15">
        <v>46</v>
      </c>
      <c r="M50" s="38" t="s">
        <v>28</v>
      </c>
      <c r="N50" s="38" t="s">
        <v>24</v>
      </c>
      <c r="O50" s="38" t="s">
        <v>21</v>
      </c>
      <c r="P50" s="38" t="s">
        <v>21</v>
      </c>
      <c r="Q50" s="38" t="s">
        <v>28</v>
      </c>
      <c r="R50" s="38" t="s">
        <v>64</v>
      </c>
      <c r="S50" s="24" t="s">
        <v>18</v>
      </c>
      <c r="U50" s="37">
        <f t="shared" si="9"/>
        <v>15</v>
      </c>
      <c r="V50" s="37">
        <f t="shared" si="9"/>
        <v>8</v>
      </c>
      <c r="W50" s="37">
        <f t="shared" si="9"/>
        <v>12</v>
      </c>
      <c r="X50" s="37">
        <f t="shared" si="9"/>
        <v>12</v>
      </c>
      <c r="Y50" s="37">
        <f t="shared" si="9"/>
        <v>15</v>
      </c>
      <c r="Z50" s="37">
        <f t="shared" si="9"/>
        <v>14</v>
      </c>
      <c r="AA50" s="37">
        <f t="shared" si="9"/>
        <v>10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4" t="s">
        <v>230</v>
      </c>
      <c r="AL50" s="154">
        <v>0</v>
      </c>
      <c r="AM50" s="154">
        <v>4</v>
      </c>
      <c r="AN50" s="154">
        <v>5</v>
      </c>
      <c r="AO50" s="154">
        <v>2</v>
      </c>
      <c r="AP50" s="154">
        <v>4</v>
      </c>
      <c r="AQ50" s="154">
        <v>0</v>
      </c>
      <c r="AR50" s="154">
        <v>0</v>
      </c>
      <c r="AS50" s="151">
        <v>16</v>
      </c>
    </row>
    <row r="51" spans="2:45" ht="16.5" customHeight="1">
      <c r="B51" s="163" t="s">
        <v>68</v>
      </c>
      <c r="C51" s="161">
        <v>0</v>
      </c>
      <c r="L51" s="14">
        <v>47</v>
      </c>
      <c r="M51" s="38" t="s">
        <v>27</v>
      </c>
      <c r="N51" s="38" t="s">
        <v>27</v>
      </c>
      <c r="O51" s="38" t="s">
        <v>89</v>
      </c>
      <c r="P51" s="38" t="s">
        <v>21</v>
      </c>
      <c r="Q51" s="38" t="s">
        <v>89</v>
      </c>
      <c r="R51" s="38" t="s">
        <v>64</v>
      </c>
      <c r="S51" s="24" t="s">
        <v>18</v>
      </c>
      <c r="U51" s="37">
        <f t="shared" si="9"/>
        <v>11</v>
      </c>
      <c r="V51" s="37">
        <f t="shared" si="9"/>
        <v>11</v>
      </c>
      <c r="W51" s="37">
        <f t="shared" si="9"/>
        <v>5</v>
      </c>
      <c r="X51" s="37">
        <f t="shared" si="9"/>
        <v>12</v>
      </c>
      <c r="Y51" s="37">
        <f t="shared" si="9"/>
        <v>5</v>
      </c>
      <c r="Z51" s="37">
        <f t="shared" si="9"/>
        <v>14</v>
      </c>
      <c r="AA51" s="37">
        <f t="shared" si="9"/>
        <v>10</v>
      </c>
      <c r="AC51" s="18">
        <v>1</v>
      </c>
      <c r="AD51" s="18">
        <v>1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4" t="s">
        <v>232</v>
      </c>
      <c r="AL51" s="154">
        <v>0</v>
      </c>
      <c r="AM51" s="154">
        <v>4</v>
      </c>
      <c r="AN51" s="154">
        <v>5</v>
      </c>
      <c r="AO51" s="154">
        <v>2</v>
      </c>
      <c r="AP51" s="154">
        <v>4</v>
      </c>
      <c r="AQ51" s="154">
        <v>0</v>
      </c>
      <c r="AR51" s="154">
        <v>0</v>
      </c>
      <c r="AS51" s="151">
        <v>17</v>
      </c>
    </row>
    <row r="52" spans="2:45" ht="16.5" customHeight="1">
      <c r="B52" s="164" t="s">
        <v>19</v>
      </c>
      <c r="C52" s="159">
        <v>0</v>
      </c>
      <c r="L52" s="15">
        <v>48</v>
      </c>
      <c r="M52" s="38" t="s">
        <v>29</v>
      </c>
      <c r="N52" s="38" t="s">
        <v>27</v>
      </c>
      <c r="O52" s="38" t="s">
        <v>24</v>
      </c>
      <c r="P52" s="38" t="s">
        <v>64</v>
      </c>
      <c r="Q52" s="38" t="s">
        <v>89</v>
      </c>
      <c r="R52" s="38" t="s">
        <v>27</v>
      </c>
      <c r="S52" s="24" t="s">
        <v>17</v>
      </c>
      <c r="U52" s="37">
        <f t="shared" si="9"/>
        <v>16</v>
      </c>
      <c r="V52" s="37">
        <f t="shared" si="9"/>
        <v>11</v>
      </c>
      <c r="W52" s="37">
        <f t="shared" si="9"/>
        <v>8</v>
      </c>
      <c r="X52" s="37">
        <f t="shared" si="9"/>
        <v>14</v>
      </c>
      <c r="Y52" s="37">
        <f t="shared" si="9"/>
        <v>5</v>
      </c>
      <c r="Z52" s="37">
        <f t="shared" si="9"/>
        <v>11</v>
      </c>
      <c r="AA52" s="37">
        <f t="shared" si="9"/>
        <v>14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4">
        <v>3</v>
      </c>
      <c r="AK52" s="37" t="s">
        <v>234</v>
      </c>
      <c r="AL52" s="37">
        <v>0</v>
      </c>
      <c r="AM52" s="37">
        <v>4</v>
      </c>
      <c r="AN52" s="37">
        <v>2</v>
      </c>
      <c r="AO52" s="37">
        <v>2</v>
      </c>
      <c r="AP52" s="37">
        <v>4</v>
      </c>
      <c r="AQ52" s="37">
        <v>0</v>
      </c>
      <c r="AR52" s="37">
        <v>0</v>
      </c>
      <c r="AS52" s="4">
        <v>17</v>
      </c>
    </row>
    <row r="53" spans="2:45" ht="16.5" customHeight="1">
      <c r="B53" s="164" t="s">
        <v>20</v>
      </c>
      <c r="C53" s="159">
        <v>2</v>
      </c>
      <c r="L53" s="14">
        <v>49</v>
      </c>
      <c r="M53" s="38" t="s">
        <v>24</v>
      </c>
      <c r="N53" s="38" t="s">
        <v>64</v>
      </c>
      <c r="O53" s="38" t="s">
        <v>28</v>
      </c>
      <c r="P53" s="38" t="s">
        <v>64</v>
      </c>
      <c r="Q53" s="38" t="s">
        <v>27</v>
      </c>
      <c r="R53" s="38" t="s">
        <v>27</v>
      </c>
      <c r="S53" s="24" t="s">
        <v>17</v>
      </c>
      <c r="U53" s="37">
        <f t="shared" si="9"/>
        <v>8</v>
      </c>
      <c r="V53" s="37">
        <f t="shared" si="9"/>
        <v>14</v>
      </c>
      <c r="W53" s="37">
        <f t="shared" si="9"/>
        <v>15</v>
      </c>
      <c r="X53" s="37">
        <f t="shared" si="9"/>
        <v>14</v>
      </c>
      <c r="Y53" s="37">
        <f t="shared" si="9"/>
        <v>11</v>
      </c>
      <c r="Z53" s="37">
        <f t="shared" si="9"/>
        <v>11</v>
      </c>
      <c r="AA53" s="37">
        <f t="shared" si="9"/>
        <v>14</v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1</v>
      </c>
      <c r="AI53" s="4">
        <v>1</v>
      </c>
      <c r="AK53" s="37" t="s">
        <v>236</v>
      </c>
      <c r="AL53" s="37">
        <v>0</v>
      </c>
      <c r="AM53" s="37">
        <v>4</v>
      </c>
      <c r="AN53" s="37">
        <v>2</v>
      </c>
      <c r="AO53" s="37">
        <v>4</v>
      </c>
      <c r="AP53" s="37">
        <v>2</v>
      </c>
      <c r="AQ53" s="37">
        <v>0</v>
      </c>
      <c r="AR53" s="37">
        <v>0</v>
      </c>
      <c r="AS53" s="4">
        <v>18</v>
      </c>
    </row>
    <row r="54" spans="2:45" ht="16.5" customHeight="1">
      <c r="B54" s="164" t="s">
        <v>21</v>
      </c>
      <c r="C54" s="159">
        <v>3</v>
      </c>
      <c r="L54" s="15">
        <v>50</v>
      </c>
      <c r="M54" s="38" t="s">
        <v>89</v>
      </c>
      <c r="N54" s="38" t="s">
        <v>64</v>
      </c>
      <c r="O54" s="38" t="s">
        <v>28</v>
      </c>
      <c r="P54" s="38" t="s">
        <v>17</v>
      </c>
      <c r="Q54" s="38" t="s">
        <v>21</v>
      </c>
      <c r="R54" s="38" t="s">
        <v>29</v>
      </c>
      <c r="S54" s="24" t="s">
        <v>17</v>
      </c>
      <c r="U54" s="37">
        <f t="shared" si="9"/>
        <v>5</v>
      </c>
      <c r="V54" s="37">
        <f t="shared" si="9"/>
        <v>14</v>
      </c>
      <c r="W54" s="37">
        <f t="shared" si="9"/>
        <v>15</v>
      </c>
      <c r="X54" s="37">
        <f t="shared" si="9"/>
        <v>14</v>
      </c>
      <c r="Y54" s="37">
        <f t="shared" si="9"/>
        <v>12</v>
      </c>
      <c r="Z54" s="37">
        <f t="shared" si="9"/>
        <v>16</v>
      </c>
      <c r="AA54" s="37">
        <f t="shared" si="9"/>
        <v>14</v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4">
        <v>1</v>
      </c>
      <c r="AK54" s="37" t="s">
        <v>238</v>
      </c>
      <c r="AL54" s="37">
        <v>0</v>
      </c>
      <c r="AM54" s="37">
        <v>4</v>
      </c>
      <c r="AN54" s="37">
        <v>5</v>
      </c>
      <c r="AO54" s="37">
        <v>2</v>
      </c>
      <c r="AP54" s="37">
        <v>2</v>
      </c>
      <c r="AQ54" s="37">
        <v>0</v>
      </c>
      <c r="AR54" s="37">
        <v>0</v>
      </c>
      <c r="AS54" s="4">
        <v>19</v>
      </c>
    </row>
    <row r="55" spans="2:45" ht="16.5" customHeight="1">
      <c r="B55" s="164" t="s">
        <v>17</v>
      </c>
      <c r="C55" s="159">
        <v>5</v>
      </c>
      <c r="L55" s="14">
        <v>51</v>
      </c>
      <c r="M55" s="38" t="s">
        <v>26</v>
      </c>
      <c r="N55" s="38" t="s">
        <v>230</v>
      </c>
      <c r="O55" s="38" t="s">
        <v>64</v>
      </c>
      <c r="P55" s="38" t="s">
        <v>17</v>
      </c>
      <c r="Q55" s="38" t="s">
        <v>21</v>
      </c>
      <c r="R55" s="38" t="s">
        <v>29</v>
      </c>
      <c r="S55" s="24" t="s">
        <v>64</v>
      </c>
      <c r="U55" s="37">
        <f t="shared" si="9"/>
        <v>7</v>
      </c>
      <c r="V55" s="37">
        <f t="shared" si="9"/>
        <v>0</v>
      </c>
      <c r="W55" s="37">
        <f t="shared" si="9"/>
        <v>14</v>
      </c>
      <c r="X55" s="37">
        <f t="shared" si="9"/>
        <v>14</v>
      </c>
      <c r="Y55" s="37">
        <f t="shared" si="9"/>
        <v>12</v>
      </c>
      <c r="Z55" s="37">
        <f t="shared" si="9"/>
        <v>16</v>
      </c>
      <c r="AA55" s="37">
        <f t="shared" si="9"/>
        <v>14</v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4">
        <v>3</v>
      </c>
      <c r="AK55" s="37" t="s">
        <v>240</v>
      </c>
      <c r="AL55" s="37">
        <v>0</v>
      </c>
      <c r="AM55" s="37">
        <v>2</v>
      </c>
      <c r="AN55" s="37">
        <v>7</v>
      </c>
      <c r="AO55" s="37">
        <v>2</v>
      </c>
      <c r="AP55" s="37">
        <v>2</v>
      </c>
      <c r="AQ55" s="37">
        <v>0</v>
      </c>
      <c r="AR55" s="37">
        <v>0</v>
      </c>
      <c r="AS55" s="4">
        <v>20</v>
      </c>
    </row>
    <row r="56" spans="2:45" ht="16.5" customHeight="1">
      <c r="B56" s="164" t="s">
        <v>18</v>
      </c>
      <c r="C56" s="159">
        <v>8</v>
      </c>
      <c r="L56" s="15">
        <v>52</v>
      </c>
      <c r="M56" s="38" t="s">
        <v>28</v>
      </c>
      <c r="N56" s="38" t="s">
        <v>27</v>
      </c>
      <c r="O56" s="38" t="s">
        <v>26</v>
      </c>
      <c r="P56" s="38" t="s">
        <v>28</v>
      </c>
      <c r="Q56" s="38" t="s">
        <v>28</v>
      </c>
      <c r="R56" s="38" t="s">
        <v>24</v>
      </c>
      <c r="S56" s="24" t="s">
        <v>64</v>
      </c>
      <c r="U56" s="37">
        <f t="shared" si="9"/>
        <v>15</v>
      </c>
      <c r="V56" s="37">
        <f t="shared" si="9"/>
        <v>11</v>
      </c>
      <c r="W56" s="37">
        <f t="shared" si="9"/>
        <v>7</v>
      </c>
      <c r="X56" s="37">
        <f t="shared" ref="X56:AA119" si="11">VLOOKUP(P56, $A$4:$J$29, 9, 0)</f>
        <v>15</v>
      </c>
      <c r="Y56" s="37">
        <f t="shared" si="11"/>
        <v>15</v>
      </c>
      <c r="Z56" s="37">
        <f t="shared" si="11"/>
        <v>8</v>
      </c>
      <c r="AA56" s="37">
        <f t="shared" si="11"/>
        <v>14</v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0</v>
      </c>
      <c r="AM56" s="37">
        <v>4</v>
      </c>
      <c r="AN56" s="37">
        <v>7</v>
      </c>
      <c r="AO56" s="37">
        <v>2</v>
      </c>
      <c r="AP56" s="37">
        <v>2</v>
      </c>
      <c r="AQ56" s="37">
        <v>0</v>
      </c>
      <c r="AR56" s="37">
        <v>0</v>
      </c>
      <c r="AS56" s="4">
        <v>21</v>
      </c>
    </row>
    <row r="57" spans="2:45" ht="16.5" customHeight="1">
      <c r="B57" s="164" t="s">
        <v>64</v>
      </c>
      <c r="C57" s="159">
        <v>12</v>
      </c>
      <c r="L57" s="14">
        <v>53</v>
      </c>
      <c r="M57" s="38" t="s">
        <v>28</v>
      </c>
      <c r="N57" s="38" t="s">
        <v>27</v>
      </c>
      <c r="O57" s="38" t="s">
        <v>26</v>
      </c>
      <c r="P57" s="38" t="s">
        <v>28</v>
      </c>
      <c r="Q57" s="38" t="s">
        <v>24</v>
      </c>
      <c r="R57" s="38" t="s">
        <v>27</v>
      </c>
      <c r="S57" s="24" t="s">
        <v>64</v>
      </c>
      <c r="U57" s="37">
        <f t="shared" ref="U57:Z120" si="12">VLOOKUP(M57, $A$4:$J$29, 9, 0)</f>
        <v>15</v>
      </c>
      <c r="V57" s="37">
        <f t="shared" si="12"/>
        <v>11</v>
      </c>
      <c r="W57" s="37">
        <f t="shared" si="12"/>
        <v>7</v>
      </c>
      <c r="X57" s="37">
        <f t="shared" si="11"/>
        <v>15</v>
      </c>
      <c r="Y57" s="37">
        <f t="shared" si="11"/>
        <v>8</v>
      </c>
      <c r="Z57" s="37">
        <f t="shared" si="11"/>
        <v>11</v>
      </c>
      <c r="AA57" s="37">
        <f t="shared" si="11"/>
        <v>14</v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4" t="s">
        <v>94</v>
      </c>
      <c r="AL57" s="154">
        <v>0</v>
      </c>
      <c r="AM57" s="154">
        <v>10</v>
      </c>
      <c r="AN57" s="154">
        <v>10</v>
      </c>
      <c r="AO57" s="154">
        <v>10</v>
      </c>
      <c r="AP57" s="154">
        <v>10</v>
      </c>
      <c r="AQ57" s="154">
        <v>0</v>
      </c>
      <c r="AR57" s="154">
        <v>0</v>
      </c>
      <c r="AS57" s="151">
        <v>24</v>
      </c>
    </row>
    <row r="58" spans="2:45" ht="16.5" customHeight="1">
      <c r="B58" s="164" t="s">
        <v>92</v>
      </c>
      <c r="C58" s="159">
        <v>10</v>
      </c>
      <c r="L58" s="15">
        <v>54</v>
      </c>
      <c r="M58" s="38" t="s">
        <v>18</v>
      </c>
      <c r="N58" s="38" t="s">
        <v>29</v>
      </c>
      <c r="O58" s="38" t="s">
        <v>18</v>
      </c>
      <c r="P58" s="38" t="s">
        <v>64</v>
      </c>
      <c r="Q58" s="38" t="s">
        <v>20</v>
      </c>
      <c r="R58" s="38" t="s">
        <v>27</v>
      </c>
      <c r="S58" s="24" t="s">
        <v>20</v>
      </c>
      <c r="U58" s="37">
        <f t="shared" si="12"/>
        <v>10</v>
      </c>
      <c r="V58" s="37">
        <f t="shared" si="12"/>
        <v>16</v>
      </c>
      <c r="W58" s="37">
        <f t="shared" si="12"/>
        <v>10</v>
      </c>
      <c r="X58" s="37">
        <f t="shared" si="11"/>
        <v>14</v>
      </c>
      <c r="Y58" s="37">
        <f t="shared" si="11"/>
        <v>6</v>
      </c>
      <c r="Z58" s="37">
        <f t="shared" si="11"/>
        <v>11</v>
      </c>
      <c r="AA58" s="37">
        <f t="shared" si="11"/>
        <v>6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3</v>
      </c>
      <c r="AK58" s="154" t="s">
        <v>257</v>
      </c>
      <c r="AL58" s="154">
        <v>0</v>
      </c>
      <c r="AM58" s="154">
        <v>1</v>
      </c>
      <c r="AN58" s="154">
        <v>1</v>
      </c>
      <c r="AO58" s="154">
        <v>1</v>
      </c>
      <c r="AP58" s="154">
        <v>1</v>
      </c>
      <c r="AQ58" s="154">
        <v>0</v>
      </c>
      <c r="AR58" s="154">
        <v>0</v>
      </c>
      <c r="AS58" s="151">
        <v>25</v>
      </c>
    </row>
    <row r="59" spans="2:45" ht="16.5" customHeight="1">
      <c r="B59" s="164" t="s">
        <v>93</v>
      </c>
      <c r="C59" s="159">
        <v>10</v>
      </c>
      <c r="L59" s="14">
        <v>55</v>
      </c>
      <c r="M59" s="38" t="s">
        <v>18</v>
      </c>
      <c r="N59" s="38" t="s">
        <v>28</v>
      </c>
      <c r="O59" s="38" t="s">
        <v>28</v>
      </c>
      <c r="P59" s="38" t="s">
        <v>64</v>
      </c>
      <c r="Q59" s="38" t="s">
        <v>21</v>
      </c>
      <c r="R59" s="38" t="s">
        <v>64</v>
      </c>
      <c r="S59" s="24" t="s">
        <v>20</v>
      </c>
      <c r="U59" s="37">
        <f t="shared" si="12"/>
        <v>10</v>
      </c>
      <c r="V59" s="37">
        <f t="shared" si="12"/>
        <v>15</v>
      </c>
      <c r="W59" s="37">
        <f t="shared" si="12"/>
        <v>15</v>
      </c>
      <c r="X59" s="37">
        <f t="shared" si="11"/>
        <v>14</v>
      </c>
      <c r="Y59" s="37">
        <f t="shared" si="11"/>
        <v>12</v>
      </c>
      <c r="Z59" s="37">
        <f t="shared" si="11"/>
        <v>14</v>
      </c>
      <c r="AA59" s="37">
        <f t="shared" si="11"/>
        <v>6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1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>
      <c r="B60" s="4" t="s">
        <v>37</v>
      </c>
      <c r="C60" s="160">
        <v>10</v>
      </c>
      <c r="L60" s="15">
        <v>56</v>
      </c>
      <c r="M60" s="38" t="s">
        <v>29</v>
      </c>
      <c r="N60" s="38" t="s">
        <v>28</v>
      </c>
      <c r="O60" s="38" t="s">
        <v>28</v>
      </c>
      <c r="P60" s="38" t="s">
        <v>230</v>
      </c>
      <c r="Q60" s="38" t="s">
        <v>21</v>
      </c>
      <c r="R60" s="38" t="s">
        <v>24</v>
      </c>
      <c r="S60" s="24" t="s">
        <v>89</v>
      </c>
      <c r="U60" s="37">
        <f t="shared" si="12"/>
        <v>16</v>
      </c>
      <c r="V60" s="37">
        <f t="shared" si="12"/>
        <v>15</v>
      </c>
      <c r="W60" s="37">
        <f t="shared" si="12"/>
        <v>15</v>
      </c>
      <c r="X60" s="37">
        <f t="shared" si="11"/>
        <v>0</v>
      </c>
      <c r="Y60" s="37">
        <f t="shared" si="11"/>
        <v>12</v>
      </c>
      <c r="Z60" s="37">
        <f t="shared" si="11"/>
        <v>8</v>
      </c>
      <c r="AA60" s="37">
        <f t="shared" si="11"/>
        <v>5</v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4">
        <v>1</v>
      </c>
      <c r="AK60" s="40" t="s">
        <v>260</v>
      </c>
    </row>
    <row r="61" spans="2:45">
      <c r="B61" s="4" t="s">
        <v>38</v>
      </c>
      <c r="C61" s="160">
        <v>10</v>
      </c>
      <c r="L61" s="14">
        <v>57</v>
      </c>
      <c r="M61" s="38" t="s">
        <v>29</v>
      </c>
      <c r="N61" s="38" t="s">
        <v>20</v>
      </c>
      <c r="O61" s="38" t="s">
        <v>29</v>
      </c>
      <c r="P61" s="38" t="s">
        <v>18</v>
      </c>
      <c r="Q61" s="38" t="s">
        <v>28</v>
      </c>
      <c r="R61" s="38" t="s">
        <v>20</v>
      </c>
      <c r="S61" s="24" t="s">
        <v>26</v>
      </c>
      <c r="U61" s="37">
        <f t="shared" si="12"/>
        <v>16</v>
      </c>
      <c r="V61" s="37">
        <f t="shared" si="12"/>
        <v>6</v>
      </c>
      <c r="W61" s="37">
        <f t="shared" si="12"/>
        <v>16</v>
      </c>
      <c r="X61" s="37">
        <f t="shared" si="11"/>
        <v>10</v>
      </c>
      <c r="Y61" s="37">
        <f t="shared" si="11"/>
        <v>15</v>
      </c>
      <c r="Z61" s="37">
        <f t="shared" si="11"/>
        <v>6</v>
      </c>
      <c r="AA61" s="37">
        <f t="shared" si="11"/>
        <v>7</v>
      </c>
      <c r="AC61" s="18">
        <v>1</v>
      </c>
      <c r="AD61" s="18">
        <v>1</v>
      </c>
      <c r="AE61" s="18">
        <v>1</v>
      </c>
      <c r="AF61" s="18">
        <v>1</v>
      </c>
      <c r="AG61" s="18">
        <v>1</v>
      </c>
      <c r="AH61" s="18">
        <v>1</v>
      </c>
      <c r="AI61" s="4">
        <v>1</v>
      </c>
      <c r="AK61" s="16" t="s">
        <v>265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>
      <c r="B62" s="4" t="s">
        <v>39</v>
      </c>
      <c r="C62" s="160">
        <v>10</v>
      </c>
      <c r="L62" s="15">
        <v>58</v>
      </c>
      <c r="M62" s="38" t="s">
        <v>89</v>
      </c>
      <c r="N62" s="38" t="s">
        <v>226</v>
      </c>
      <c r="O62" s="38" t="s">
        <v>89</v>
      </c>
      <c r="P62" s="38" t="s">
        <v>24</v>
      </c>
      <c r="Q62" s="38" t="s">
        <v>28</v>
      </c>
      <c r="R62" s="38" t="s">
        <v>24</v>
      </c>
      <c r="S62" s="24" t="s">
        <v>26</v>
      </c>
      <c r="U62" s="37">
        <f t="shared" si="12"/>
        <v>5</v>
      </c>
      <c r="V62" s="37">
        <f t="shared" si="12"/>
        <v>0</v>
      </c>
      <c r="W62" s="37">
        <f t="shared" si="12"/>
        <v>5</v>
      </c>
      <c r="X62" s="37">
        <f t="shared" si="11"/>
        <v>8</v>
      </c>
      <c r="Y62" s="37">
        <f t="shared" si="11"/>
        <v>15</v>
      </c>
      <c r="Z62" s="37">
        <f t="shared" si="11"/>
        <v>8</v>
      </c>
      <c r="AA62" s="37">
        <f t="shared" si="11"/>
        <v>7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4">
        <v>1</v>
      </c>
      <c r="AK62" s="10" t="s">
        <v>68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160">
        <v>10</v>
      </c>
      <c r="L63" s="14">
        <v>59</v>
      </c>
      <c r="M63" s="38" t="s">
        <v>26</v>
      </c>
      <c r="N63" s="38" t="s">
        <v>64</v>
      </c>
      <c r="O63" s="38" t="s">
        <v>29</v>
      </c>
      <c r="P63" s="38" t="s">
        <v>17</v>
      </c>
      <c r="Q63" s="38" t="s">
        <v>89</v>
      </c>
      <c r="R63" s="38" t="s">
        <v>64</v>
      </c>
      <c r="S63" s="38" t="s">
        <v>17</v>
      </c>
      <c r="U63" s="37">
        <f t="shared" si="12"/>
        <v>7</v>
      </c>
      <c r="V63" s="37">
        <f t="shared" si="12"/>
        <v>14</v>
      </c>
      <c r="W63" s="37">
        <f t="shared" si="12"/>
        <v>16</v>
      </c>
      <c r="X63" s="37">
        <f t="shared" si="11"/>
        <v>14</v>
      </c>
      <c r="Y63" s="37">
        <f t="shared" si="11"/>
        <v>5</v>
      </c>
      <c r="Z63" s="37">
        <f t="shared" si="11"/>
        <v>14</v>
      </c>
      <c r="AA63" s="37">
        <f t="shared" si="11"/>
        <v>14</v>
      </c>
      <c r="AC63" s="18">
        <v>1</v>
      </c>
      <c r="AD63" s="18">
        <v>1</v>
      </c>
      <c r="AE63" s="18">
        <v>1</v>
      </c>
      <c r="AF63" s="18">
        <v>1</v>
      </c>
      <c r="AG63" s="18">
        <v>1</v>
      </c>
      <c r="AH63" s="18">
        <v>1</v>
      </c>
      <c r="AI63" s="4">
        <v>3</v>
      </c>
      <c r="AK63" s="37" t="s">
        <v>19</v>
      </c>
      <c r="AL63" s="37">
        <v>5</v>
      </c>
      <c r="AM63" s="37">
        <v>5</v>
      </c>
      <c r="AN63" s="37">
        <v>5</v>
      </c>
      <c r="AO63" s="37">
        <v>5</v>
      </c>
      <c r="AP63" s="37">
        <v>5</v>
      </c>
      <c r="AQ63" s="37">
        <v>5</v>
      </c>
      <c r="AR63" s="37">
        <v>0</v>
      </c>
      <c r="AS63" s="4">
        <v>1</v>
      </c>
    </row>
    <row r="64" spans="2:45" ht="16.5" customHeight="1">
      <c r="L64" s="15">
        <v>60</v>
      </c>
      <c r="M64" s="38" t="s">
        <v>26</v>
      </c>
      <c r="N64" s="38" t="s">
        <v>230</v>
      </c>
      <c r="O64" s="38" t="s">
        <v>242</v>
      </c>
      <c r="P64" s="38" t="s">
        <v>17</v>
      </c>
      <c r="Q64" s="38" t="s">
        <v>28</v>
      </c>
      <c r="R64" s="38" t="s">
        <v>24</v>
      </c>
      <c r="S64" s="24" t="s">
        <v>17</v>
      </c>
      <c r="U64" s="37">
        <f t="shared" si="12"/>
        <v>7</v>
      </c>
      <c r="V64" s="37">
        <f t="shared" si="12"/>
        <v>0</v>
      </c>
      <c r="W64" s="37">
        <f t="shared" si="12"/>
        <v>0</v>
      </c>
      <c r="X64" s="37">
        <f t="shared" si="11"/>
        <v>14</v>
      </c>
      <c r="Y64" s="37">
        <f t="shared" si="11"/>
        <v>15</v>
      </c>
      <c r="Z64" s="37">
        <f t="shared" si="11"/>
        <v>8</v>
      </c>
      <c r="AA64" s="37">
        <f t="shared" si="11"/>
        <v>14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4">
        <v>1</v>
      </c>
      <c r="AK64" s="154" t="s">
        <v>20</v>
      </c>
      <c r="AL64" s="154">
        <v>40</v>
      </c>
      <c r="AM64" s="154">
        <v>1</v>
      </c>
      <c r="AN64" s="154">
        <v>10</v>
      </c>
      <c r="AO64" s="154">
        <v>1</v>
      </c>
      <c r="AP64" s="154">
        <v>40</v>
      </c>
      <c r="AQ64" s="154">
        <v>1</v>
      </c>
      <c r="AR64" s="154">
        <v>0</v>
      </c>
      <c r="AS64" s="151">
        <v>2</v>
      </c>
    </row>
    <row r="65" spans="2:45" ht="16.5" customHeight="1">
      <c r="L65" s="14">
        <v>61</v>
      </c>
      <c r="M65" s="38" t="s">
        <v>28</v>
      </c>
      <c r="N65" s="38" t="s">
        <v>24</v>
      </c>
      <c r="O65" s="38" t="s">
        <v>26</v>
      </c>
      <c r="P65" s="38" t="s">
        <v>17</v>
      </c>
      <c r="Q65" s="38" t="s">
        <v>28</v>
      </c>
      <c r="R65" s="38" t="s">
        <v>24</v>
      </c>
      <c r="S65" s="24" t="s">
        <v>17</v>
      </c>
      <c r="U65" s="37">
        <f t="shared" si="12"/>
        <v>15</v>
      </c>
      <c r="V65" s="37">
        <f t="shared" si="12"/>
        <v>8</v>
      </c>
      <c r="W65" s="37">
        <f t="shared" si="12"/>
        <v>7</v>
      </c>
      <c r="X65" s="37">
        <f t="shared" si="11"/>
        <v>14</v>
      </c>
      <c r="Y65" s="37">
        <f t="shared" si="11"/>
        <v>15</v>
      </c>
      <c r="Z65" s="37">
        <f t="shared" si="11"/>
        <v>8</v>
      </c>
      <c r="AA65" s="37">
        <f t="shared" si="11"/>
        <v>14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1</v>
      </c>
      <c r="AK65" s="154" t="s">
        <v>21</v>
      </c>
      <c r="AL65" s="154">
        <v>1</v>
      </c>
      <c r="AM65" s="154">
        <v>40</v>
      </c>
      <c r="AN65" s="154">
        <v>1</v>
      </c>
      <c r="AO65" s="154">
        <v>40</v>
      </c>
      <c r="AP65" s="154">
        <v>1</v>
      </c>
      <c r="AQ65" s="154">
        <v>1</v>
      </c>
      <c r="AR65" s="154">
        <v>1</v>
      </c>
      <c r="AS65" s="151">
        <v>3</v>
      </c>
    </row>
    <row r="66" spans="2:45" ht="16.5" customHeight="1">
      <c r="B66" s="165" t="s">
        <v>95</v>
      </c>
      <c r="C66" s="162" t="s">
        <v>259</v>
      </c>
      <c r="L66" s="15">
        <v>62</v>
      </c>
      <c r="M66" s="38" t="s">
        <v>26</v>
      </c>
      <c r="N66" s="38" t="s">
        <v>24</v>
      </c>
      <c r="O66" s="38" t="s">
        <v>26</v>
      </c>
      <c r="P66" s="38" t="s">
        <v>27</v>
      </c>
      <c r="Q66" s="38" t="s">
        <v>26</v>
      </c>
      <c r="R66" s="38" t="s">
        <v>26</v>
      </c>
      <c r="S66" s="24" t="s">
        <v>26</v>
      </c>
      <c r="U66" s="37">
        <f t="shared" si="12"/>
        <v>7</v>
      </c>
      <c r="V66" s="37">
        <f t="shared" si="12"/>
        <v>8</v>
      </c>
      <c r="W66" s="37">
        <f t="shared" si="12"/>
        <v>7</v>
      </c>
      <c r="X66" s="37">
        <f t="shared" si="11"/>
        <v>11</v>
      </c>
      <c r="Y66" s="37">
        <f t="shared" si="11"/>
        <v>7</v>
      </c>
      <c r="Z66" s="37">
        <f t="shared" si="11"/>
        <v>7</v>
      </c>
      <c r="AA66" s="37">
        <f t="shared" si="11"/>
        <v>7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4" t="s">
        <v>17</v>
      </c>
      <c r="AL66" s="154">
        <v>40</v>
      </c>
      <c r="AM66" s="154">
        <v>40</v>
      </c>
      <c r="AN66" s="154">
        <v>40</v>
      </c>
      <c r="AO66" s="154">
        <v>1</v>
      </c>
      <c r="AP66" s="154">
        <v>1</v>
      </c>
      <c r="AQ66" s="154">
        <v>40</v>
      </c>
      <c r="AR66" s="154">
        <v>1</v>
      </c>
      <c r="AS66" s="151">
        <v>4</v>
      </c>
    </row>
    <row r="67" spans="2:45" ht="16.5" customHeight="1">
      <c r="B67" s="163">
        <v>0</v>
      </c>
      <c r="C67" s="161">
        <v>1000</v>
      </c>
      <c r="L67" s="14">
        <v>63</v>
      </c>
      <c r="M67" s="38" t="s">
        <v>29</v>
      </c>
      <c r="N67" s="38" t="s">
        <v>64</v>
      </c>
      <c r="O67" s="38" t="s">
        <v>26</v>
      </c>
      <c r="P67" s="38" t="s">
        <v>27</v>
      </c>
      <c r="Q67" s="38" t="s">
        <v>18</v>
      </c>
      <c r="R67" s="38" t="s">
        <v>29</v>
      </c>
      <c r="S67" s="24" t="s">
        <v>26</v>
      </c>
      <c r="U67" s="37">
        <f t="shared" si="12"/>
        <v>16</v>
      </c>
      <c r="V67" s="37">
        <f t="shared" si="12"/>
        <v>14</v>
      </c>
      <c r="W67" s="37">
        <f t="shared" si="12"/>
        <v>7</v>
      </c>
      <c r="X67" s="37">
        <f t="shared" si="11"/>
        <v>11</v>
      </c>
      <c r="Y67" s="37">
        <f t="shared" si="11"/>
        <v>10</v>
      </c>
      <c r="Z67" s="37">
        <f t="shared" si="11"/>
        <v>16</v>
      </c>
      <c r="AA67" s="37">
        <f t="shared" si="11"/>
        <v>7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4" t="s">
        <v>18</v>
      </c>
      <c r="AL67" s="154">
        <v>1</v>
      </c>
      <c r="AM67" s="154">
        <v>40</v>
      </c>
      <c r="AN67" s="154">
        <v>1</v>
      </c>
      <c r="AO67" s="154">
        <v>1</v>
      </c>
      <c r="AP67" s="154">
        <v>1</v>
      </c>
      <c r="AQ67" s="154">
        <v>40</v>
      </c>
      <c r="AR67" s="154">
        <v>1</v>
      </c>
      <c r="AS67" s="151">
        <v>5</v>
      </c>
    </row>
    <row r="68" spans="2:45" ht="16.5" customHeight="1">
      <c r="B68" s="164">
        <v>1</v>
      </c>
      <c r="C68" s="159">
        <v>120</v>
      </c>
      <c r="L68" s="15">
        <v>64</v>
      </c>
      <c r="M68" s="38" t="s">
        <v>17</v>
      </c>
      <c r="N68" s="38" t="s">
        <v>27</v>
      </c>
      <c r="O68" s="38" t="s">
        <v>18</v>
      </c>
      <c r="P68" s="38" t="s">
        <v>29</v>
      </c>
      <c r="Q68" s="38" t="s">
        <v>89</v>
      </c>
      <c r="R68" s="38" t="s">
        <v>29</v>
      </c>
      <c r="S68" s="24" t="s">
        <v>28</v>
      </c>
      <c r="U68" s="37">
        <f t="shared" si="12"/>
        <v>14</v>
      </c>
      <c r="V68" s="37">
        <f t="shared" si="12"/>
        <v>11</v>
      </c>
      <c r="W68" s="37">
        <f t="shared" si="12"/>
        <v>10</v>
      </c>
      <c r="X68" s="37">
        <f t="shared" si="11"/>
        <v>16</v>
      </c>
      <c r="Y68" s="37">
        <f t="shared" si="11"/>
        <v>5</v>
      </c>
      <c r="Z68" s="37">
        <f t="shared" si="11"/>
        <v>16</v>
      </c>
      <c r="AA68" s="37">
        <f t="shared" si="11"/>
        <v>15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3</v>
      </c>
      <c r="AK68" s="154" t="s">
        <v>64</v>
      </c>
      <c r="AL68" s="154">
        <v>1</v>
      </c>
      <c r="AM68" s="154">
        <v>1</v>
      </c>
      <c r="AN68" s="154">
        <v>40</v>
      </c>
      <c r="AO68" s="154">
        <v>1</v>
      </c>
      <c r="AP68" s="154">
        <v>40</v>
      </c>
      <c r="AQ68" s="154">
        <v>1</v>
      </c>
      <c r="AR68" s="154">
        <v>1</v>
      </c>
      <c r="AS68" s="151">
        <v>6</v>
      </c>
    </row>
    <row r="69" spans="2:45" ht="16.5" customHeight="1">
      <c r="B69" s="164">
        <v>2</v>
      </c>
      <c r="C69" s="159">
        <v>20</v>
      </c>
      <c r="L69" s="14">
        <v>65</v>
      </c>
      <c r="M69" s="38" t="s">
        <v>27</v>
      </c>
      <c r="N69" s="38" t="s">
        <v>27</v>
      </c>
      <c r="O69" s="38" t="s">
        <v>24</v>
      </c>
      <c r="P69" s="38" t="s">
        <v>29</v>
      </c>
      <c r="Q69" s="38" t="s">
        <v>89</v>
      </c>
      <c r="R69" s="38" t="s">
        <v>27</v>
      </c>
      <c r="S69" s="24" t="s">
        <v>28</v>
      </c>
      <c r="U69" s="37">
        <f t="shared" si="12"/>
        <v>11</v>
      </c>
      <c r="V69" s="37">
        <f t="shared" si="12"/>
        <v>11</v>
      </c>
      <c r="W69" s="37">
        <f t="shared" si="12"/>
        <v>8</v>
      </c>
      <c r="X69" s="37">
        <f t="shared" si="11"/>
        <v>16</v>
      </c>
      <c r="Y69" s="37">
        <f t="shared" si="11"/>
        <v>5</v>
      </c>
      <c r="Z69" s="37">
        <f t="shared" si="11"/>
        <v>11</v>
      </c>
      <c r="AA69" s="37">
        <f t="shared" si="11"/>
        <v>15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4" t="s">
        <v>89</v>
      </c>
      <c r="AL69" s="154">
        <v>1</v>
      </c>
      <c r="AM69" s="154">
        <v>40</v>
      </c>
      <c r="AN69" s="154">
        <v>1</v>
      </c>
      <c r="AO69" s="154">
        <v>40</v>
      </c>
      <c r="AP69" s="154">
        <v>1</v>
      </c>
      <c r="AQ69" s="154">
        <v>1</v>
      </c>
      <c r="AR69" s="154">
        <v>1</v>
      </c>
      <c r="AS69" s="151">
        <v>7</v>
      </c>
    </row>
    <row r="70" spans="2:45" ht="16.5" customHeight="1">
      <c r="B70" s="164">
        <v>3</v>
      </c>
      <c r="C70" s="159">
        <v>10</v>
      </c>
      <c r="L70" s="15">
        <v>66</v>
      </c>
      <c r="M70" s="38" t="s">
        <v>27</v>
      </c>
      <c r="N70" s="38" t="s">
        <v>29</v>
      </c>
      <c r="O70" s="38" t="s">
        <v>24</v>
      </c>
      <c r="P70" s="38" t="s">
        <v>29</v>
      </c>
      <c r="Q70" s="38" t="s">
        <v>18</v>
      </c>
      <c r="R70" s="38" t="s">
        <v>24</v>
      </c>
      <c r="S70" s="24" t="s">
        <v>28</v>
      </c>
      <c r="U70" s="37">
        <f t="shared" si="12"/>
        <v>11</v>
      </c>
      <c r="V70" s="37">
        <f t="shared" si="12"/>
        <v>16</v>
      </c>
      <c r="W70" s="37">
        <f t="shared" si="12"/>
        <v>8</v>
      </c>
      <c r="X70" s="37">
        <f t="shared" si="11"/>
        <v>16</v>
      </c>
      <c r="Y70" s="37">
        <f t="shared" si="11"/>
        <v>10</v>
      </c>
      <c r="Z70" s="37">
        <f t="shared" si="11"/>
        <v>8</v>
      </c>
      <c r="AA70" s="37">
        <f t="shared" si="11"/>
        <v>15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</v>
      </c>
      <c r="AM70" s="37">
        <v>1</v>
      </c>
      <c r="AN70" s="37">
        <v>1</v>
      </c>
      <c r="AO70" s="37">
        <v>1</v>
      </c>
      <c r="AP70" s="37">
        <v>35</v>
      </c>
      <c r="AQ70" s="37">
        <v>1</v>
      </c>
      <c r="AR70" s="37">
        <v>1</v>
      </c>
      <c r="AS70" s="4">
        <v>8</v>
      </c>
    </row>
    <row r="71" spans="2:45" ht="16.5" customHeight="1">
      <c r="B71" s="164">
        <v>4</v>
      </c>
      <c r="C71" s="159">
        <v>1</v>
      </c>
      <c r="L71" s="14">
        <v>67</v>
      </c>
      <c r="M71" s="38" t="s">
        <v>18</v>
      </c>
      <c r="N71" s="38" t="s">
        <v>27</v>
      </c>
      <c r="O71" s="38" t="s">
        <v>24</v>
      </c>
      <c r="P71" s="38" t="s">
        <v>26</v>
      </c>
      <c r="Q71" s="38" t="s">
        <v>18</v>
      </c>
      <c r="R71" s="38" t="s">
        <v>64</v>
      </c>
      <c r="S71" s="24" t="s">
        <v>29</v>
      </c>
      <c r="U71" s="37">
        <f t="shared" si="12"/>
        <v>10</v>
      </c>
      <c r="V71" s="37">
        <f t="shared" si="12"/>
        <v>11</v>
      </c>
      <c r="W71" s="37">
        <f t="shared" si="12"/>
        <v>8</v>
      </c>
      <c r="X71" s="37">
        <f t="shared" si="11"/>
        <v>7</v>
      </c>
      <c r="Y71" s="37">
        <f t="shared" si="11"/>
        <v>10</v>
      </c>
      <c r="Z71" s="37">
        <f t="shared" si="11"/>
        <v>14</v>
      </c>
      <c r="AA71" s="37">
        <f t="shared" si="11"/>
        <v>16</v>
      </c>
      <c r="AC71" s="18">
        <v>1</v>
      </c>
      <c r="AD71" s="18">
        <v>1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1</v>
      </c>
      <c r="AM71" s="37">
        <v>40</v>
      </c>
      <c r="AN71" s="37">
        <v>1</v>
      </c>
      <c r="AO71" s="37">
        <v>40</v>
      </c>
      <c r="AP71" s="37">
        <v>1</v>
      </c>
      <c r="AQ71" s="37">
        <v>40</v>
      </c>
      <c r="AR71" s="37">
        <v>1</v>
      </c>
      <c r="AS71" s="4">
        <v>9</v>
      </c>
    </row>
    <row r="72" spans="2:45" ht="16.5" customHeight="1">
      <c r="B72" s="164">
        <v>5</v>
      </c>
      <c r="C72" s="159">
        <v>0</v>
      </c>
      <c r="L72" s="15">
        <v>68</v>
      </c>
      <c r="M72" s="38" t="s">
        <v>18</v>
      </c>
      <c r="N72" s="38" t="s">
        <v>27</v>
      </c>
      <c r="O72" s="38" t="s">
        <v>64</v>
      </c>
      <c r="P72" s="38" t="s">
        <v>230</v>
      </c>
      <c r="Q72" s="38" t="s">
        <v>230</v>
      </c>
      <c r="R72" s="38" t="s">
        <v>64</v>
      </c>
      <c r="S72" s="24" t="s">
        <v>21</v>
      </c>
      <c r="U72" s="37">
        <f t="shared" si="12"/>
        <v>10</v>
      </c>
      <c r="V72" s="37">
        <f t="shared" si="12"/>
        <v>11</v>
      </c>
      <c r="W72" s="37">
        <f t="shared" si="12"/>
        <v>14</v>
      </c>
      <c r="X72" s="37">
        <f t="shared" si="11"/>
        <v>0</v>
      </c>
      <c r="Y72" s="37">
        <f t="shared" si="11"/>
        <v>0</v>
      </c>
      <c r="Z72" s="37">
        <f t="shared" si="11"/>
        <v>14</v>
      </c>
      <c r="AA72" s="37">
        <f t="shared" si="11"/>
        <v>12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4">
        <v>1</v>
      </c>
      <c r="AK72" s="37" t="s">
        <v>27</v>
      </c>
      <c r="AL72" s="37">
        <v>60</v>
      </c>
      <c r="AM72" s="37">
        <v>40</v>
      </c>
      <c r="AN72" s="37">
        <v>35</v>
      </c>
      <c r="AO72" s="37">
        <v>1</v>
      </c>
      <c r="AP72" s="37">
        <v>1</v>
      </c>
      <c r="AQ72" s="37">
        <v>1</v>
      </c>
      <c r="AR72" s="37">
        <v>1</v>
      </c>
      <c r="AS72" s="4">
        <v>10</v>
      </c>
    </row>
    <row r="73" spans="2:45" ht="16.5" customHeight="1">
      <c r="B73" s="164">
        <v>6</v>
      </c>
      <c r="C73" s="159">
        <v>0</v>
      </c>
      <c r="L73" s="14">
        <v>69</v>
      </c>
      <c r="M73" s="38" t="s">
        <v>26</v>
      </c>
      <c r="N73" s="38" t="s">
        <v>27</v>
      </c>
      <c r="O73" s="38" t="s">
        <v>28</v>
      </c>
      <c r="P73" s="38" t="s">
        <v>64</v>
      </c>
      <c r="Q73" s="38" t="s">
        <v>64</v>
      </c>
      <c r="R73" s="38" t="s">
        <v>29</v>
      </c>
      <c r="S73" s="24" t="s">
        <v>21</v>
      </c>
      <c r="U73" s="37">
        <f t="shared" si="12"/>
        <v>7</v>
      </c>
      <c r="V73" s="37">
        <f t="shared" si="12"/>
        <v>11</v>
      </c>
      <c r="W73" s="37">
        <f t="shared" si="12"/>
        <v>15</v>
      </c>
      <c r="X73" s="37">
        <f t="shared" si="11"/>
        <v>14</v>
      </c>
      <c r="Y73" s="37">
        <f t="shared" si="11"/>
        <v>14</v>
      </c>
      <c r="Z73" s="37">
        <f t="shared" si="11"/>
        <v>16</v>
      </c>
      <c r="AA73" s="37">
        <f t="shared" si="11"/>
        <v>12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4">
        <v>1</v>
      </c>
      <c r="AK73" s="37" t="s">
        <v>28</v>
      </c>
      <c r="AL73" s="37">
        <v>1</v>
      </c>
      <c r="AM73" s="37">
        <v>40</v>
      </c>
      <c r="AN73" s="37">
        <v>1</v>
      </c>
      <c r="AO73" s="37">
        <v>1</v>
      </c>
      <c r="AP73" s="37">
        <v>1</v>
      </c>
      <c r="AQ73" s="37">
        <v>1</v>
      </c>
      <c r="AR73" s="37">
        <v>1</v>
      </c>
      <c r="AS73" s="4">
        <v>11</v>
      </c>
    </row>
    <row r="74" spans="2:45" ht="16.5" customHeight="1">
      <c r="B74" s="164">
        <v>7</v>
      </c>
      <c r="C74" s="159">
        <v>0</v>
      </c>
      <c r="L74" s="15">
        <v>70</v>
      </c>
      <c r="M74" s="38" t="s">
        <v>29</v>
      </c>
      <c r="N74" s="38" t="s">
        <v>240</v>
      </c>
      <c r="O74" s="38" t="s">
        <v>28</v>
      </c>
      <c r="P74" s="38" t="s">
        <v>64</v>
      </c>
      <c r="Q74" s="38" t="s">
        <v>18</v>
      </c>
      <c r="R74" s="38" t="s">
        <v>28</v>
      </c>
      <c r="S74" s="24" t="s">
        <v>17</v>
      </c>
      <c r="U74" s="37">
        <f t="shared" si="12"/>
        <v>16</v>
      </c>
      <c r="V74" s="37">
        <f t="shared" si="12"/>
        <v>0</v>
      </c>
      <c r="W74" s="37">
        <f t="shared" si="12"/>
        <v>15</v>
      </c>
      <c r="X74" s="37">
        <f t="shared" si="11"/>
        <v>14</v>
      </c>
      <c r="Y74" s="37">
        <f t="shared" si="11"/>
        <v>10</v>
      </c>
      <c r="Z74" s="37">
        <f t="shared" si="11"/>
        <v>15</v>
      </c>
      <c r="AA74" s="37">
        <f t="shared" si="11"/>
        <v>14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4">
        <v>3</v>
      </c>
      <c r="AK74" s="37" t="s">
        <v>29</v>
      </c>
      <c r="AL74" s="37">
        <v>40</v>
      </c>
      <c r="AM74" s="37">
        <v>1</v>
      </c>
      <c r="AN74" s="37">
        <v>1</v>
      </c>
      <c r="AO74" s="37">
        <v>1</v>
      </c>
      <c r="AP74" s="37">
        <v>1</v>
      </c>
      <c r="AQ74" s="37">
        <v>1</v>
      </c>
      <c r="AR74" s="37">
        <v>1</v>
      </c>
      <c r="AS74" s="4">
        <v>12</v>
      </c>
    </row>
    <row r="75" spans="2:45" ht="16.5" customHeight="1">
      <c r="L75" s="14">
        <v>71</v>
      </c>
      <c r="M75" s="38" t="s">
        <v>29</v>
      </c>
      <c r="N75" s="38" t="s">
        <v>28</v>
      </c>
      <c r="O75" s="38" t="s">
        <v>26</v>
      </c>
      <c r="P75" s="38" t="s">
        <v>24</v>
      </c>
      <c r="Q75" s="38" t="s">
        <v>24</v>
      </c>
      <c r="R75" s="38" t="s">
        <v>24</v>
      </c>
      <c r="S75" s="24" t="s">
        <v>17</v>
      </c>
      <c r="U75" s="37">
        <f t="shared" si="12"/>
        <v>16</v>
      </c>
      <c r="V75" s="37">
        <f t="shared" si="12"/>
        <v>15</v>
      </c>
      <c r="W75" s="37">
        <f t="shared" si="12"/>
        <v>7</v>
      </c>
      <c r="X75" s="37">
        <f t="shared" si="11"/>
        <v>8</v>
      </c>
      <c r="Y75" s="37">
        <f t="shared" si="11"/>
        <v>8</v>
      </c>
      <c r="Z75" s="37">
        <f t="shared" si="11"/>
        <v>8</v>
      </c>
      <c r="AA75" s="37">
        <f t="shared" si="11"/>
        <v>14</v>
      </c>
      <c r="AC75" s="18">
        <v>1</v>
      </c>
      <c r="AD75" s="18">
        <v>1</v>
      </c>
      <c r="AE75" s="18">
        <v>1</v>
      </c>
      <c r="AF75" s="18">
        <v>1</v>
      </c>
      <c r="AG75" s="18">
        <v>1</v>
      </c>
      <c r="AH75" s="18">
        <v>1</v>
      </c>
      <c r="AI75" s="4">
        <v>1</v>
      </c>
      <c r="AK75" s="154" t="s">
        <v>222</v>
      </c>
      <c r="AL75" s="154">
        <v>0</v>
      </c>
      <c r="AM75" s="154">
        <v>2</v>
      </c>
      <c r="AN75" s="154">
        <v>2</v>
      </c>
      <c r="AO75" s="154">
        <v>1</v>
      </c>
      <c r="AP75" s="154">
        <v>2</v>
      </c>
      <c r="AQ75" s="154">
        <v>0</v>
      </c>
      <c r="AR75" s="154">
        <v>0</v>
      </c>
      <c r="AS75" s="151">
        <v>13</v>
      </c>
    </row>
    <row r="76" spans="2:45" ht="16.5" customHeight="1">
      <c r="L76" s="15">
        <v>72</v>
      </c>
      <c r="M76" s="38" t="s">
        <v>26</v>
      </c>
      <c r="N76" s="38" t="s">
        <v>232</v>
      </c>
      <c r="O76" s="38" t="s">
        <v>18</v>
      </c>
      <c r="P76" s="38" t="s">
        <v>64</v>
      </c>
      <c r="Q76" s="38" t="s">
        <v>18</v>
      </c>
      <c r="R76" s="38" t="s">
        <v>24</v>
      </c>
      <c r="S76" s="24" t="s">
        <v>17</v>
      </c>
      <c r="U76" s="37">
        <f t="shared" si="12"/>
        <v>7</v>
      </c>
      <c r="V76" s="37">
        <f t="shared" si="12"/>
        <v>0</v>
      </c>
      <c r="W76" s="37">
        <f t="shared" si="12"/>
        <v>10</v>
      </c>
      <c r="X76" s="37">
        <f t="shared" si="11"/>
        <v>14</v>
      </c>
      <c r="Y76" s="37">
        <f t="shared" si="11"/>
        <v>10</v>
      </c>
      <c r="Z76" s="37">
        <f t="shared" si="11"/>
        <v>8</v>
      </c>
      <c r="AA76" s="37">
        <f t="shared" si="11"/>
        <v>14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4">
        <v>1</v>
      </c>
      <c r="AK76" s="154" t="s">
        <v>224</v>
      </c>
      <c r="AL76" s="154">
        <v>0</v>
      </c>
      <c r="AM76" s="154">
        <v>1</v>
      </c>
      <c r="AN76" s="154">
        <v>1</v>
      </c>
      <c r="AO76" s="154">
        <v>2</v>
      </c>
      <c r="AP76" s="154">
        <v>1</v>
      </c>
      <c r="AQ76" s="154">
        <v>0</v>
      </c>
      <c r="AR76" s="154">
        <v>0</v>
      </c>
      <c r="AS76" s="151">
        <v>14</v>
      </c>
    </row>
    <row r="77" spans="2:45" ht="16.5" customHeight="1">
      <c r="L77" s="14">
        <v>73</v>
      </c>
      <c r="M77" s="38" t="s">
        <v>28</v>
      </c>
      <c r="N77" s="38" t="s">
        <v>24</v>
      </c>
      <c r="O77" s="38" t="s">
        <v>28</v>
      </c>
      <c r="P77" s="38" t="s">
        <v>28</v>
      </c>
      <c r="Q77" s="38" t="s">
        <v>17</v>
      </c>
      <c r="R77" s="38" t="s">
        <v>17</v>
      </c>
      <c r="S77" s="24" t="s">
        <v>27</v>
      </c>
      <c r="U77" s="37">
        <f t="shared" si="12"/>
        <v>15</v>
      </c>
      <c r="V77" s="37">
        <f t="shared" si="12"/>
        <v>8</v>
      </c>
      <c r="W77" s="37">
        <f t="shared" si="12"/>
        <v>15</v>
      </c>
      <c r="X77" s="37">
        <f t="shared" si="11"/>
        <v>15</v>
      </c>
      <c r="Y77" s="37">
        <f t="shared" si="11"/>
        <v>14</v>
      </c>
      <c r="Z77" s="37">
        <f t="shared" si="11"/>
        <v>14</v>
      </c>
      <c r="AA77" s="37">
        <f t="shared" si="11"/>
        <v>11</v>
      </c>
      <c r="AC77" s="18">
        <v>1</v>
      </c>
      <c r="AD77" s="18">
        <v>1</v>
      </c>
      <c r="AE77" s="18">
        <v>1</v>
      </c>
      <c r="AF77" s="18">
        <v>1</v>
      </c>
      <c r="AG77" s="18">
        <v>1</v>
      </c>
      <c r="AH77" s="18">
        <v>1</v>
      </c>
      <c r="AI77" s="4">
        <v>2</v>
      </c>
      <c r="AK77" s="154" t="s">
        <v>226</v>
      </c>
      <c r="AL77" s="154">
        <v>0</v>
      </c>
      <c r="AM77" s="154">
        <v>2</v>
      </c>
      <c r="AN77" s="154">
        <v>2</v>
      </c>
      <c r="AO77" s="154">
        <v>1</v>
      </c>
      <c r="AP77" s="154">
        <v>1</v>
      </c>
      <c r="AQ77" s="154">
        <v>0</v>
      </c>
      <c r="AR77" s="154">
        <v>0</v>
      </c>
      <c r="AS77" s="151">
        <v>15</v>
      </c>
    </row>
    <row r="78" spans="2:45" ht="16.5" customHeight="1">
      <c r="L78" s="15">
        <v>74</v>
      </c>
      <c r="M78" s="38" t="s">
        <v>64</v>
      </c>
      <c r="N78" s="38" t="s">
        <v>69</v>
      </c>
      <c r="O78" s="38" t="s">
        <v>28</v>
      </c>
      <c r="P78" s="38" t="s">
        <v>28</v>
      </c>
      <c r="Q78" s="38" t="s">
        <v>17</v>
      </c>
      <c r="R78" s="38" t="s">
        <v>17</v>
      </c>
      <c r="S78" s="24" t="s">
        <v>27</v>
      </c>
      <c r="U78" s="37">
        <f t="shared" si="12"/>
        <v>14</v>
      </c>
      <c r="V78" s="37">
        <f t="shared" si="12"/>
        <v>3</v>
      </c>
      <c r="W78" s="37">
        <f t="shared" si="12"/>
        <v>15</v>
      </c>
      <c r="X78" s="37">
        <f t="shared" si="11"/>
        <v>15</v>
      </c>
      <c r="Y78" s="37">
        <f t="shared" si="11"/>
        <v>14</v>
      </c>
      <c r="Z78" s="37">
        <f t="shared" si="11"/>
        <v>14</v>
      </c>
      <c r="AA78" s="37">
        <f t="shared" si="11"/>
        <v>11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4">
        <v>1</v>
      </c>
      <c r="AK78" s="154" t="s">
        <v>228</v>
      </c>
      <c r="AL78" s="154">
        <v>0</v>
      </c>
      <c r="AM78" s="154">
        <v>1</v>
      </c>
      <c r="AN78" s="154">
        <v>1</v>
      </c>
      <c r="AO78" s="154">
        <v>1</v>
      </c>
      <c r="AP78" s="154">
        <v>1</v>
      </c>
      <c r="AQ78" s="154">
        <v>0</v>
      </c>
      <c r="AR78" s="154">
        <v>0</v>
      </c>
      <c r="AS78" s="151">
        <v>16</v>
      </c>
    </row>
    <row r="79" spans="2:45" ht="16.5" customHeight="1">
      <c r="L79" s="14">
        <v>75</v>
      </c>
      <c r="M79" s="38" t="s">
        <v>29</v>
      </c>
      <c r="N79" s="38" t="s">
        <v>69</v>
      </c>
      <c r="O79" s="38" t="s">
        <v>24</v>
      </c>
      <c r="P79" s="38" t="s">
        <v>240</v>
      </c>
      <c r="Q79" s="38" t="s">
        <v>226</v>
      </c>
      <c r="R79" s="38" t="s">
        <v>17</v>
      </c>
      <c r="S79" s="24" t="s">
        <v>27</v>
      </c>
      <c r="U79" s="37">
        <f t="shared" si="12"/>
        <v>16</v>
      </c>
      <c r="V79" s="37">
        <f t="shared" si="12"/>
        <v>3</v>
      </c>
      <c r="W79" s="37">
        <f t="shared" si="12"/>
        <v>8</v>
      </c>
      <c r="X79" s="37">
        <f t="shared" si="11"/>
        <v>0</v>
      </c>
      <c r="Y79" s="37">
        <f t="shared" si="11"/>
        <v>0</v>
      </c>
      <c r="Z79" s="37">
        <f t="shared" si="11"/>
        <v>14</v>
      </c>
      <c r="AA79" s="37">
        <f t="shared" si="11"/>
        <v>11</v>
      </c>
      <c r="AC79" s="18">
        <v>1</v>
      </c>
      <c r="AD79" s="18">
        <v>1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4" t="s">
        <v>230</v>
      </c>
      <c r="AL79" s="154">
        <v>0</v>
      </c>
      <c r="AM79" s="154">
        <v>2</v>
      </c>
      <c r="AN79" s="154">
        <v>2</v>
      </c>
      <c r="AO79" s="154">
        <v>1</v>
      </c>
      <c r="AP79" s="154">
        <v>2</v>
      </c>
      <c r="AQ79" s="154">
        <v>0</v>
      </c>
      <c r="AR79" s="154">
        <v>0</v>
      </c>
      <c r="AS79" s="151">
        <v>17</v>
      </c>
    </row>
    <row r="80" spans="2:45">
      <c r="L80" s="15">
        <v>76</v>
      </c>
      <c r="M80" s="38" t="s">
        <v>29</v>
      </c>
      <c r="N80" s="38" t="s">
        <v>89</v>
      </c>
      <c r="O80" s="38" t="s">
        <v>26</v>
      </c>
      <c r="P80" s="38" t="s">
        <v>29</v>
      </c>
      <c r="Q80" s="38" t="s">
        <v>64</v>
      </c>
      <c r="R80" s="38" t="s">
        <v>64</v>
      </c>
      <c r="S80" s="38" t="s">
        <v>17</v>
      </c>
      <c r="U80" s="37">
        <f t="shared" si="12"/>
        <v>16</v>
      </c>
      <c r="V80" s="37">
        <f t="shared" si="12"/>
        <v>5</v>
      </c>
      <c r="W80" s="37">
        <f t="shared" si="12"/>
        <v>7</v>
      </c>
      <c r="X80" s="37">
        <f t="shared" si="11"/>
        <v>16</v>
      </c>
      <c r="Y80" s="37">
        <f t="shared" si="11"/>
        <v>14</v>
      </c>
      <c r="Z80" s="37">
        <f t="shared" si="11"/>
        <v>14</v>
      </c>
      <c r="AA80" s="37">
        <f t="shared" si="11"/>
        <v>14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4">
        <v>1</v>
      </c>
      <c r="AK80" s="154" t="s">
        <v>232</v>
      </c>
      <c r="AL80" s="154">
        <v>0</v>
      </c>
      <c r="AM80" s="154">
        <v>2</v>
      </c>
      <c r="AN80" s="154">
        <v>2</v>
      </c>
      <c r="AO80" s="154">
        <v>1</v>
      </c>
      <c r="AP80" s="154">
        <v>2</v>
      </c>
      <c r="AQ80" s="154">
        <v>0</v>
      </c>
      <c r="AR80" s="154">
        <v>0</v>
      </c>
      <c r="AS80" s="151">
        <v>18</v>
      </c>
    </row>
    <row r="81" spans="12:45">
      <c r="L81" s="14">
        <v>77</v>
      </c>
      <c r="M81" s="38" t="s">
        <v>27</v>
      </c>
      <c r="N81" s="38" t="s">
        <v>89</v>
      </c>
      <c r="O81" s="38" t="s">
        <v>26</v>
      </c>
      <c r="P81" s="38" t="s">
        <v>29</v>
      </c>
      <c r="Q81" s="38" t="s">
        <v>64</v>
      </c>
      <c r="R81" s="38" t="s">
        <v>64</v>
      </c>
      <c r="S81" s="24" t="s">
        <v>29</v>
      </c>
      <c r="U81" s="37">
        <f t="shared" si="12"/>
        <v>11</v>
      </c>
      <c r="V81" s="37">
        <f t="shared" si="12"/>
        <v>5</v>
      </c>
      <c r="W81" s="37">
        <f t="shared" si="12"/>
        <v>7</v>
      </c>
      <c r="X81" s="37">
        <f t="shared" si="11"/>
        <v>16</v>
      </c>
      <c r="Y81" s="37">
        <f t="shared" si="11"/>
        <v>14</v>
      </c>
      <c r="Z81" s="37">
        <f t="shared" si="11"/>
        <v>14</v>
      </c>
      <c r="AA81" s="37">
        <f t="shared" si="11"/>
        <v>16</v>
      </c>
      <c r="AC81" s="18">
        <v>1</v>
      </c>
      <c r="AD81" s="18">
        <v>1</v>
      </c>
      <c r="AE81" s="18">
        <v>1</v>
      </c>
      <c r="AF81" s="18">
        <v>1</v>
      </c>
      <c r="AG81" s="18">
        <v>1</v>
      </c>
      <c r="AH81" s="18">
        <v>1</v>
      </c>
      <c r="AI81" s="4">
        <v>3</v>
      </c>
      <c r="AK81" s="37" t="s">
        <v>234</v>
      </c>
      <c r="AL81" s="37">
        <v>0</v>
      </c>
      <c r="AM81" s="37">
        <v>2</v>
      </c>
      <c r="AN81" s="37">
        <v>1</v>
      </c>
      <c r="AO81" s="37">
        <v>1</v>
      </c>
      <c r="AP81" s="37">
        <v>7</v>
      </c>
      <c r="AQ81" s="37">
        <v>0</v>
      </c>
      <c r="AR81" s="37">
        <v>0</v>
      </c>
      <c r="AS81" s="4">
        <v>19</v>
      </c>
    </row>
    <row r="82" spans="12:45">
      <c r="L82" s="15">
        <v>78</v>
      </c>
      <c r="M82" s="38" t="s">
        <v>24</v>
      </c>
      <c r="N82" s="38" t="s">
        <v>21</v>
      </c>
      <c r="O82" s="38" t="s">
        <v>26</v>
      </c>
      <c r="P82" s="38" t="s">
        <v>24</v>
      </c>
      <c r="Q82" s="38" t="s">
        <v>89</v>
      </c>
      <c r="R82" s="38" t="s">
        <v>64</v>
      </c>
      <c r="S82" s="24" t="s">
        <v>29</v>
      </c>
      <c r="U82" s="37">
        <f t="shared" si="12"/>
        <v>8</v>
      </c>
      <c r="V82" s="37">
        <f t="shared" si="12"/>
        <v>12</v>
      </c>
      <c r="W82" s="37">
        <f t="shared" si="12"/>
        <v>7</v>
      </c>
      <c r="X82" s="37">
        <f t="shared" si="11"/>
        <v>8</v>
      </c>
      <c r="Y82" s="37">
        <f t="shared" si="11"/>
        <v>5</v>
      </c>
      <c r="Z82" s="37">
        <f t="shared" si="11"/>
        <v>14</v>
      </c>
      <c r="AA82" s="37">
        <f t="shared" si="11"/>
        <v>16</v>
      </c>
      <c r="AC82" s="18">
        <v>1</v>
      </c>
      <c r="AD82" s="18">
        <v>1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0</v>
      </c>
      <c r="AM82" s="37">
        <v>2</v>
      </c>
      <c r="AN82" s="37">
        <v>1</v>
      </c>
      <c r="AO82" s="37">
        <v>2</v>
      </c>
      <c r="AP82" s="37">
        <v>1</v>
      </c>
      <c r="AQ82" s="37">
        <v>0</v>
      </c>
      <c r="AR82" s="37">
        <v>0</v>
      </c>
      <c r="AS82" s="4">
        <v>20</v>
      </c>
    </row>
    <row r="83" spans="12:45">
      <c r="L83" s="14">
        <v>79</v>
      </c>
      <c r="M83" s="38" t="s">
        <v>64</v>
      </c>
      <c r="N83" s="38" t="s">
        <v>21</v>
      </c>
      <c r="O83" s="38" t="s">
        <v>18</v>
      </c>
      <c r="P83" s="38" t="s">
        <v>228</v>
      </c>
      <c r="Q83" s="38" t="s">
        <v>89</v>
      </c>
      <c r="R83" s="38" t="s">
        <v>29</v>
      </c>
      <c r="S83" s="24" t="s">
        <v>29</v>
      </c>
      <c r="U83" s="37">
        <f t="shared" si="12"/>
        <v>14</v>
      </c>
      <c r="V83" s="37">
        <f t="shared" si="12"/>
        <v>12</v>
      </c>
      <c r="W83" s="37">
        <f t="shared" si="12"/>
        <v>10</v>
      </c>
      <c r="X83" s="37">
        <f t="shared" si="11"/>
        <v>0</v>
      </c>
      <c r="Y83" s="37">
        <f t="shared" si="11"/>
        <v>5</v>
      </c>
      <c r="Z83" s="37">
        <f t="shared" si="11"/>
        <v>16</v>
      </c>
      <c r="AA83" s="37">
        <f t="shared" si="11"/>
        <v>16</v>
      </c>
      <c r="AC83" s="18">
        <v>1</v>
      </c>
      <c r="AD83" s="18">
        <v>1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0</v>
      </c>
      <c r="AM83" s="37">
        <v>2</v>
      </c>
      <c r="AN83" s="37">
        <v>7</v>
      </c>
      <c r="AO83" s="37">
        <v>1</v>
      </c>
      <c r="AP83" s="37">
        <v>1</v>
      </c>
      <c r="AQ83" s="37">
        <v>0</v>
      </c>
      <c r="AR83" s="37">
        <v>0</v>
      </c>
      <c r="AS83" s="4">
        <v>21</v>
      </c>
    </row>
    <row r="84" spans="12:45">
      <c r="L84" s="15">
        <v>80</v>
      </c>
      <c r="M84" s="38" t="s">
        <v>64</v>
      </c>
      <c r="N84" s="38" t="s">
        <v>26</v>
      </c>
      <c r="O84" s="38" t="s">
        <v>28</v>
      </c>
      <c r="P84" s="38" t="s">
        <v>18</v>
      </c>
      <c r="Q84" s="38" t="s">
        <v>232</v>
      </c>
      <c r="R84" s="38" t="s">
        <v>27</v>
      </c>
      <c r="S84" s="24" t="s">
        <v>20</v>
      </c>
      <c r="U84" s="37">
        <f t="shared" si="12"/>
        <v>14</v>
      </c>
      <c r="V84" s="37">
        <f t="shared" si="12"/>
        <v>7</v>
      </c>
      <c r="W84" s="37">
        <f t="shared" si="12"/>
        <v>15</v>
      </c>
      <c r="X84" s="37">
        <f t="shared" si="11"/>
        <v>10</v>
      </c>
      <c r="Y84" s="37">
        <f t="shared" si="11"/>
        <v>0</v>
      </c>
      <c r="Z84" s="37">
        <f t="shared" si="11"/>
        <v>11</v>
      </c>
      <c r="AA84" s="37">
        <f t="shared" si="11"/>
        <v>6</v>
      </c>
      <c r="AC84" s="18">
        <v>1</v>
      </c>
      <c r="AD84" s="18">
        <v>1</v>
      </c>
      <c r="AE84" s="18">
        <v>1</v>
      </c>
      <c r="AF84" s="18">
        <v>1</v>
      </c>
      <c r="AG84" s="18">
        <v>1</v>
      </c>
      <c r="AH84" s="18">
        <v>1</v>
      </c>
      <c r="AI84" s="4">
        <v>3</v>
      </c>
      <c r="AK84" s="37" t="s">
        <v>240</v>
      </c>
      <c r="AL84" s="37">
        <v>0</v>
      </c>
      <c r="AM84" s="37">
        <v>1</v>
      </c>
      <c r="AN84" s="37">
        <v>1</v>
      </c>
      <c r="AO84" s="37">
        <v>1</v>
      </c>
      <c r="AP84" s="37">
        <v>1</v>
      </c>
      <c r="AQ84" s="37">
        <v>0</v>
      </c>
      <c r="AR84" s="37">
        <v>0</v>
      </c>
      <c r="AS84" s="4">
        <v>22</v>
      </c>
    </row>
    <row r="85" spans="12:45">
      <c r="L85" s="14">
        <v>81</v>
      </c>
      <c r="M85" s="38" t="s">
        <v>24</v>
      </c>
      <c r="N85" s="38" t="s">
        <v>26</v>
      </c>
      <c r="O85" s="38" t="s">
        <v>21</v>
      </c>
      <c r="P85" s="38" t="s">
        <v>64</v>
      </c>
      <c r="Q85" s="38" t="s">
        <v>28</v>
      </c>
      <c r="R85" s="38" t="s">
        <v>27</v>
      </c>
      <c r="S85" s="24" t="s">
        <v>20</v>
      </c>
      <c r="U85" s="37">
        <f t="shared" si="12"/>
        <v>8</v>
      </c>
      <c r="V85" s="37">
        <f t="shared" si="12"/>
        <v>7</v>
      </c>
      <c r="W85" s="37">
        <f t="shared" si="12"/>
        <v>12</v>
      </c>
      <c r="X85" s="37">
        <f t="shared" si="11"/>
        <v>14</v>
      </c>
      <c r="Y85" s="37">
        <f t="shared" si="11"/>
        <v>15</v>
      </c>
      <c r="Z85" s="37">
        <f t="shared" si="11"/>
        <v>11</v>
      </c>
      <c r="AA85" s="37">
        <f t="shared" si="11"/>
        <v>6</v>
      </c>
      <c r="AC85" s="18">
        <v>1</v>
      </c>
      <c r="AD85" s="18">
        <v>1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0</v>
      </c>
      <c r="AM85" s="37">
        <v>2</v>
      </c>
      <c r="AN85" s="37">
        <v>1</v>
      </c>
      <c r="AO85" s="37">
        <v>1</v>
      </c>
      <c r="AP85" s="37">
        <v>1</v>
      </c>
      <c r="AQ85" s="37">
        <v>0</v>
      </c>
      <c r="AR85" s="37">
        <v>0</v>
      </c>
      <c r="AS85" s="4">
        <v>23</v>
      </c>
    </row>
    <row r="86" spans="12:45">
      <c r="L86" s="15">
        <v>82</v>
      </c>
      <c r="M86" s="38" t="s">
        <v>29</v>
      </c>
      <c r="N86" s="38" t="s">
        <v>27</v>
      </c>
      <c r="O86" s="38" t="s">
        <v>21</v>
      </c>
      <c r="P86" s="38" t="s">
        <v>27</v>
      </c>
      <c r="Q86" s="38" t="s">
        <v>28</v>
      </c>
      <c r="R86" s="38" t="s">
        <v>24</v>
      </c>
      <c r="S86" s="24" t="s">
        <v>20</v>
      </c>
      <c r="U86" s="37">
        <f t="shared" si="12"/>
        <v>16</v>
      </c>
      <c r="V86" s="37">
        <f t="shared" si="12"/>
        <v>11</v>
      </c>
      <c r="W86" s="37">
        <f t="shared" si="12"/>
        <v>12</v>
      </c>
      <c r="X86" s="37">
        <f t="shared" si="11"/>
        <v>11</v>
      </c>
      <c r="Y86" s="37">
        <f t="shared" si="11"/>
        <v>15</v>
      </c>
      <c r="Z86" s="37">
        <f t="shared" si="11"/>
        <v>8</v>
      </c>
      <c r="AA86" s="37">
        <f t="shared" si="11"/>
        <v>6</v>
      </c>
      <c r="AC86" s="18">
        <v>1</v>
      </c>
      <c r="AD86" s="18">
        <v>1</v>
      </c>
      <c r="AE86" s="18">
        <v>1</v>
      </c>
      <c r="AF86" s="18">
        <v>1</v>
      </c>
      <c r="AG86" s="18">
        <v>1</v>
      </c>
      <c r="AH86" s="18">
        <v>1</v>
      </c>
      <c r="AI86" s="4">
        <v>1</v>
      </c>
      <c r="AK86" s="154" t="s">
        <v>94</v>
      </c>
      <c r="AL86" s="154">
        <v>0</v>
      </c>
      <c r="AM86" s="154">
        <v>2</v>
      </c>
      <c r="AN86" s="154">
        <v>2</v>
      </c>
      <c r="AO86" s="154">
        <v>2</v>
      </c>
      <c r="AP86" s="154">
        <v>2</v>
      </c>
      <c r="AQ86" s="154">
        <v>0</v>
      </c>
      <c r="AR86" s="154">
        <v>0</v>
      </c>
      <c r="AS86" s="151">
        <v>24</v>
      </c>
    </row>
    <row r="87" spans="12:45">
      <c r="L87" s="14">
        <v>83</v>
      </c>
      <c r="M87" s="38" t="s">
        <v>28</v>
      </c>
      <c r="N87" s="38" t="s">
        <v>27</v>
      </c>
      <c r="O87" s="38" t="s">
        <v>21</v>
      </c>
      <c r="P87" s="38" t="s">
        <v>18</v>
      </c>
      <c r="Q87" s="38" t="s">
        <v>89</v>
      </c>
      <c r="R87" s="38" t="s">
        <v>20</v>
      </c>
      <c r="S87" s="24" t="s">
        <v>20</v>
      </c>
      <c r="U87" s="37">
        <f t="shared" si="12"/>
        <v>15</v>
      </c>
      <c r="V87" s="37">
        <f t="shared" si="12"/>
        <v>11</v>
      </c>
      <c r="W87" s="37">
        <f t="shared" si="12"/>
        <v>12</v>
      </c>
      <c r="X87" s="37">
        <f t="shared" si="11"/>
        <v>10</v>
      </c>
      <c r="Y87" s="37">
        <f t="shared" si="11"/>
        <v>5</v>
      </c>
      <c r="Z87" s="37">
        <f t="shared" si="11"/>
        <v>6</v>
      </c>
      <c r="AA87" s="37">
        <f t="shared" si="11"/>
        <v>6</v>
      </c>
      <c r="AC87" s="18">
        <v>1</v>
      </c>
      <c r="AD87" s="18">
        <v>1</v>
      </c>
      <c r="AE87" s="18">
        <v>1</v>
      </c>
      <c r="AF87" s="18">
        <v>1</v>
      </c>
      <c r="AG87" s="18">
        <v>1</v>
      </c>
      <c r="AH87" s="18">
        <v>1</v>
      </c>
      <c r="AI87" s="4">
        <v>1</v>
      </c>
      <c r="AK87" s="154" t="s">
        <v>257</v>
      </c>
      <c r="AL87" s="154">
        <v>0</v>
      </c>
      <c r="AM87" s="154">
        <v>0</v>
      </c>
      <c r="AN87" s="154">
        <v>0</v>
      </c>
      <c r="AO87" s="154">
        <v>0</v>
      </c>
      <c r="AP87" s="154">
        <v>0</v>
      </c>
      <c r="AQ87" s="154">
        <v>0</v>
      </c>
      <c r="AR87" s="154">
        <v>0</v>
      </c>
      <c r="AS87" s="151">
        <v>25</v>
      </c>
    </row>
    <row r="88" spans="12:45">
      <c r="L88" s="15">
        <v>84</v>
      </c>
      <c r="M88" s="38" t="s">
        <v>28</v>
      </c>
      <c r="N88" s="38" t="s">
        <v>64</v>
      </c>
      <c r="O88" s="38" t="s">
        <v>18</v>
      </c>
      <c r="P88" s="38" t="s">
        <v>27</v>
      </c>
      <c r="Q88" s="38" t="s">
        <v>21</v>
      </c>
      <c r="R88" s="38" t="s">
        <v>29</v>
      </c>
      <c r="S88" s="24" t="s">
        <v>27</v>
      </c>
      <c r="U88" s="37">
        <f t="shared" si="12"/>
        <v>15</v>
      </c>
      <c r="V88" s="37">
        <f t="shared" si="12"/>
        <v>14</v>
      </c>
      <c r="W88" s="37">
        <f t="shared" si="12"/>
        <v>10</v>
      </c>
      <c r="X88" s="37">
        <f t="shared" si="11"/>
        <v>11</v>
      </c>
      <c r="Y88" s="37">
        <f t="shared" si="11"/>
        <v>12</v>
      </c>
      <c r="Z88" s="37">
        <f t="shared" si="11"/>
        <v>16</v>
      </c>
      <c r="AA88" s="37">
        <f t="shared" si="11"/>
        <v>11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4">
        <v>1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>
      <c r="L89" s="14">
        <v>85</v>
      </c>
      <c r="M89" s="38" t="s">
        <v>21</v>
      </c>
      <c r="N89" s="38" t="s">
        <v>24</v>
      </c>
      <c r="O89" s="38" t="s">
        <v>232</v>
      </c>
      <c r="P89" s="38" t="s">
        <v>27</v>
      </c>
      <c r="Q89" s="38" t="s">
        <v>26</v>
      </c>
      <c r="R89" s="38" t="s">
        <v>24</v>
      </c>
      <c r="S89" s="24" t="s">
        <v>27</v>
      </c>
      <c r="U89" s="37">
        <f t="shared" si="12"/>
        <v>12</v>
      </c>
      <c r="V89" s="37">
        <f t="shared" si="12"/>
        <v>8</v>
      </c>
      <c r="W89" s="37">
        <f t="shared" si="12"/>
        <v>0</v>
      </c>
      <c r="X89" s="37">
        <f t="shared" si="11"/>
        <v>11</v>
      </c>
      <c r="Y89" s="37">
        <f t="shared" si="11"/>
        <v>7</v>
      </c>
      <c r="Z89" s="37">
        <f t="shared" si="11"/>
        <v>8</v>
      </c>
      <c r="AA89" s="37">
        <f t="shared" si="11"/>
        <v>11</v>
      </c>
      <c r="AC89" s="18">
        <v>1</v>
      </c>
      <c r="AD89" s="18">
        <v>1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>
      <c r="L90" s="15">
        <v>86</v>
      </c>
      <c r="M90" s="38" t="s">
        <v>21</v>
      </c>
      <c r="N90" s="38" t="s">
        <v>29</v>
      </c>
      <c r="O90" s="38" t="s">
        <v>89</v>
      </c>
      <c r="P90" s="38" t="s">
        <v>27</v>
      </c>
      <c r="Q90" s="38" t="s">
        <v>18</v>
      </c>
      <c r="R90" s="38" t="s">
        <v>64</v>
      </c>
      <c r="S90" s="24" t="s">
        <v>29</v>
      </c>
      <c r="U90" s="37">
        <f t="shared" si="12"/>
        <v>12</v>
      </c>
      <c r="V90" s="37">
        <f t="shared" si="12"/>
        <v>16</v>
      </c>
      <c r="W90" s="37">
        <f t="shared" si="12"/>
        <v>5</v>
      </c>
      <c r="X90" s="37">
        <f t="shared" si="11"/>
        <v>11</v>
      </c>
      <c r="Y90" s="37">
        <f t="shared" si="11"/>
        <v>10</v>
      </c>
      <c r="Z90" s="37">
        <f t="shared" si="11"/>
        <v>14</v>
      </c>
      <c r="AA90" s="37">
        <f t="shared" si="11"/>
        <v>16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4">
        <v>1</v>
      </c>
      <c r="AK90" s="16" t="s">
        <v>265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>
      <c r="L91" s="14">
        <v>87</v>
      </c>
      <c r="M91" s="38" t="s">
        <v>29</v>
      </c>
      <c r="N91" s="38" t="s">
        <v>29</v>
      </c>
      <c r="O91" s="38" t="s">
        <v>89</v>
      </c>
      <c r="P91" s="38" t="s">
        <v>29</v>
      </c>
      <c r="Q91" s="38" t="s">
        <v>27</v>
      </c>
      <c r="R91" s="38" t="s">
        <v>24</v>
      </c>
      <c r="S91" s="24" t="s">
        <v>64</v>
      </c>
      <c r="U91" s="37">
        <f t="shared" si="12"/>
        <v>16</v>
      </c>
      <c r="V91" s="37">
        <f t="shared" si="12"/>
        <v>16</v>
      </c>
      <c r="W91" s="37">
        <f t="shared" si="12"/>
        <v>5</v>
      </c>
      <c r="X91" s="37">
        <f t="shared" si="11"/>
        <v>16</v>
      </c>
      <c r="Y91" s="37">
        <f t="shared" si="11"/>
        <v>11</v>
      </c>
      <c r="Z91" s="37">
        <f t="shared" si="11"/>
        <v>8</v>
      </c>
      <c r="AA91" s="37">
        <f t="shared" si="11"/>
        <v>14</v>
      </c>
      <c r="AC91" s="18">
        <v>1</v>
      </c>
      <c r="AD91" s="18">
        <v>1</v>
      </c>
      <c r="AE91" s="18">
        <v>1</v>
      </c>
      <c r="AF91" s="18">
        <v>1</v>
      </c>
      <c r="AG91" s="18">
        <v>1</v>
      </c>
      <c r="AH91" s="18">
        <v>1</v>
      </c>
      <c r="AI91" s="4">
        <v>3</v>
      </c>
      <c r="AK91" s="10" t="s">
        <v>68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4">
        <v>0</v>
      </c>
    </row>
    <row r="92" spans="12:45">
      <c r="L92" s="15">
        <v>88</v>
      </c>
      <c r="M92" s="38" t="s">
        <v>29</v>
      </c>
      <c r="N92" s="38" t="s">
        <v>17</v>
      </c>
      <c r="O92" s="38" t="s">
        <v>28</v>
      </c>
      <c r="P92" s="38" t="s">
        <v>29</v>
      </c>
      <c r="Q92" s="38" t="s">
        <v>27</v>
      </c>
      <c r="R92" s="38" t="s">
        <v>24</v>
      </c>
      <c r="S92" s="24" t="s">
        <v>64</v>
      </c>
      <c r="U92" s="37">
        <f t="shared" si="12"/>
        <v>16</v>
      </c>
      <c r="V92" s="37">
        <f t="shared" si="12"/>
        <v>14</v>
      </c>
      <c r="W92" s="37">
        <f t="shared" si="12"/>
        <v>15</v>
      </c>
      <c r="X92" s="37">
        <f t="shared" si="11"/>
        <v>16</v>
      </c>
      <c r="Y92" s="37">
        <f t="shared" si="11"/>
        <v>11</v>
      </c>
      <c r="Z92" s="37">
        <f t="shared" si="11"/>
        <v>8</v>
      </c>
      <c r="AA92" s="37">
        <f t="shared" si="11"/>
        <v>14</v>
      </c>
      <c r="AC92" s="18">
        <v>1</v>
      </c>
      <c r="AD92" s="18">
        <v>1</v>
      </c>
      <c r="AE92" s="18">
        <v>1</v>
      </c>
      <c r="AF92" s="18">
        <v>1</v>
      </c>
      <c r="AG92" s="18">
        <v>1</v>
      </c>
      <c r="AH92" s="18">
        <v>1</v>
      </c>
      <c r="AI92" s="4">
        <v>1</v>
      </c>
      <c r="AK92" s="37" t="s">
        <v>19</v>
      </c>
      <c r="AL92" s="37">
        <v>5</v>
      </c>
      <c r="AM92" s="37">
        <v>5</v>
      </c>
      <c r="AN92" s="37">
        <v>5</v>
      </c>
      <c r="AO92" s="37">
        <v>5</v>
      </c>
      <c r="AP92" s="37">
        <v>5</v>
      </c>
      <c r="AQ92" s="37">
        <v>5</v>
      </c>
      <c r="AR92" s="37">
        <v>0</v>
      </c>
      <c r="AS92" s="4">
        <v>1</v>
      </c>
    </row>
    <row r="93" spans="12:45">
      <c r="L93" s="14">
        <v>89</v>
      </c>
      <c r="M93" s="38" t="s">
        <v>28</v>
      </c>
      <c r="N93" s="38" t="s">
        <v>21</v>
      </c>
      <c r="O93" s="38" t="s">
        <v>28</v>
      </c>
      <c r="P93" s="38" t="s">
        <v>29</v>
      </c>
      <c r="Q93" s="38" t="s">
        <v>26</v>
      </c>
      <c r="R93" s="38" t="s">
        <v>24</v>
      </c>
      <c r="S93" s="24" t="s">
        <v>64</v>
      </c>
      <c r="U93" s="37">
        <f t="shared" si="12"/>
        <v>15</v>
      </c>
      <c r="V93" s="37">
        <f t="shared" si="12"/>
        <v>12</v>
      </c>
      <c r="W93" s="37">
        <f t="shared" si="12"/>
        <v>15</v>
      </c>
      <c r="X93" s="37">
        <f t="shared" si="11"/>
        <v>16</v>
      </c>
      <c r="Y93" s="37">
        <f t="shared" si="11"/>
        <v>7</v>
      </c>
      <c r="Z93" s="37">
        <f t="shared" si="11"/>
        <v>8</v>
      </c>
      <c r="AA93" s="37">
        <f t="shared" si="11"/>
        <v>14</v>
      </c>
      <c r="AC93" s="18">
        <v>1</v>
      </c>
      <c r="AD93" s="18">
        <v>1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4" t="s">
        <v>20</v>
      </c>
      <c r="AL93" s="154">
        <v>20</v>
      </c>
      <c r="AM93" s="154">
        <v>0</v>
      </c>
      <c r="AN93" s="154">
        <v>4</v>
      </c>
      <c r="AO93" s="154">
        <v>1</v>
      </c>
      <c r="AP93" s="154">
        <v>50</v>
      </c>
      <c r="AQ93" s="154">
        <v>1</v>
      </c>
      <c r="AR93" s="154">
        <v>0</v>
      </c>
      <c r="AS93" s="151">
        <v>2</v>
      </c>
    </row>
    <row r="94" spans="12:45">
      <c r="L94" s="15">
        <v>90</v>
      </c>
      <c r="M94" s="38" t="s">
        <v>24</v>
      </c>
      <c r="N94" s="38" t="s">
        <v>21</v>
      </c>
      <c r="O94" s="38" t="s">
        <v>18</v>
      </c>
      <c r="P94" s="38" t="s">
        <v>64</v>
      </c>
      <c r="Q94" s="38" t="s">
        <v>26</v>
      </c>
      <c r="R94" s="38" t="s">
        <v>27</v>
      </c>
      <c r="S94" s="24" t="s">
        <v>64</v>
      </c>
      <c r="U94" s="37">
        <f t="shared" si="12"/>
        <v>8</v>
      </c>
      <c r="V94" s="37">
        <f t="shared" si="12"/>
        <v>12</v>
      </c>
      <c r="W94" s="37">
        <f t="shared" si="12"/>
        <v>10</v>
      </c>
      <c r="X94" s="37">
        <f t="shared" si="11"/>
        <v>14</v>
      </c>
      <c r="Y94" s="37">
        <f t="shared" si="11"/>
        <v>7</v>
      </c>
      <c r="Z94" s="37">
        <f t="shared" si="11"/>
        <v>11</v>
      </c>
      <c r="AA94" s="37">
        <f t="shared" si="11"/>
        <v>14</v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4">
        <v>1</v>
      </c>
      <c r="AK94" s="154" t="s">
        <v>21</v>
      </c>
      <c r="AL94" s="154">
        <v>1</v>
      </c>
      <c r="AM94" s="154">
        <v>50</v>
      </c>
      <c r="AN94" s="154">
        <v>1</v>
      </c>
      <c r="AO94" s="154">
        <v>50</v>
      </c>
      <c r="AP94" s="154">
        <v>1</v>
      </c>
      <c r="AQ94" s="154">
        <v>1</v>
      </c>
      <c r="AR94" s="154">
        <v>0</v>
      </c>
      <c r="AS94" s="151">
        <v>3</v>
      </c>
    </row>
    <row r="95" spans="12:45">
      <c r="L95" s="14">
        <v>91</v>
      </c>
      <c r="M95" s="38" t="s">
        <v>28</v>
      </c>
      <c r="N95" s="38" t="s">
        <v>24</v>
      </c>
      <c r="O95" s="38" t="s">
        <v>28</v>
      </c>
      <c r="P95" s="38" t="s">
        <v>64</v>
      </c>
      <c r="Q95" s="38" t="s">
        <v>236</v>
      </c>
      <c r="R95" s="38" t="s">
        <v>27</v>
      </c>
      <c r="S95" s="24" t="s">
        <v>29</v>
      </c>
      <c r="U95" s="37">
        <f t="shared" si="12"/>
        <v>15</v>
      </c>
      <c r="V95" s="37">
        <f t="shared" si="12"/>
        <v>8</v>
      </c>
      <c r="W95" s="37">
        <f t="shared" si="12"/>
        <v>15</v>
      </c>
      <c r="X95" s="37">
        <f t="shared" si="11"/>
        <v>14</v>
      </c>
      <c r="Y95" s="37">
        <f t="shared" si="11"/>
        <v>0</v>
      </c>
      <c r="Z95" s="37">
        <f t="shared" si="11"/>
        <v>11</v>
      </c>
      <c r="AA95" s="37">
        <f t="shared" si="11"/>
        <v>16</v>
      </c>
      <c r="AC95" s="18">
        <v>1</v>
      </c>
      <c r="AD95" s="18">
        <v>1</v>
      </c>
      <c r="AE95" s="18">
        <v>1</v>
      </c>
      <c r="AF95" s="18">
        <v>1</v>
      </c>
      <c r="AG95" s="18">
        <v>1</v>
      </c>
      <c r="AH95" s="18">
        <v>1</v>
      </c>
      <c r="AI95" s="4">
        <v>3</v>
      </c>
      <c r="AK95" s="154" t="s">
        <v>17</v>
      </c>
      <c r="AL95" s="154">
        <v>50</v>
      </c>
      <c r="AM95" s="154">
        <v>1</v>
      </c>
      <c r="AN95" s="154">
        <v>60</v>
      </c>
      <c r="AO95" s="154">
        <v>0</v>
      </c>
      <c r="AP95" s="154">
        <v>1</v>
      </c>
      <c r="AQ95" s="154">
        <v>50</v>
      </c>
      <c r="AR95" s="154">
        <v>1</v>
      </c>
      <c r="AS95" s="151">
        <v>4</v>
      </c>
    </row>
    <row r="96" spans="12:45">
      <c r="L96" s="15">
        <v>92</v>
      </c>
      <c r="M96" s="38" t="s">
        <v>64</v>
      </c>
      <c r="N96" s="38" t="s">
        <v>18</v>
      </c>
      <c r="O96" s="38" t="s">
        <v>28</v>
      </c>
      <c r="P96" s="38" t="s">
        <v>64</v>
      </c>
      <c r="Q96" s="38" t="s">
        <v>28</v>
      </c>
      <c r="R96" s="38" t="s">
        <v>64</v>
      </c>
      <c r="S96" s="24" t="s">
        <v>29</v>
      </c>
      <c r="U96" s="37">
        <f t="shared" si="12"/>
        <v>14</v>
      </c>
      <c r="V96" s="37">
        <f t="shared" si="12"/>
        <v>10</v>
      </c>
      <c r="W96" s="37">
        <f t="shared" si="12"/>
        <v>15</v>
      </c>
      <c r="X96" s="37">
        <f t="shared" si="11"/>
        <v>14</v>
      </c>
      <c r="Y96" s="37">
        <f t="shared" si="11"/>
        <v>15</v>
      </c>
      <c r="Z96" s="37">
        <f t="shared" si="11"/>
        <v>14</v>
      </c>
      <c r="AA96" s="37">
        <f t="shared" si="11"/>
        <v>16</v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4">
        <v>1</v>
      </c>
      <c r="AK96" s="154" t="s">
        <v>18</v>
      </c>
      <c r="AL96" s="154">
        <v>1</v>
      </c>
      <c r="AM96" s="154">
        <v>50</v>
      </c>
      <c r="AN96" s="154">
        <v>1</v>
      </c>
      <c r="AO96" s="154">
        <v>1</v>
      </c>
      <c r="AP96" s="154">
        <v>1</v>
      </c>
      <c r="AQ96" s="154">
        <v>50</v>
      </c>
      <c r="AR96" s="154">
        <v>1</v>
      </c>
      <c r="AS96" s="151">
        <v>5</v>
      </c>
    </row>
    <row r="97" spans="12:45">
      <c r="L97" s="14">
        <v>93</v>
      </c>
      <c r="M97" s="38" t="s">
        <v>24</v>
      </c>
      <c r="N97" s="38" t="s">
        <v>18</v>
      </c>
      <c r="O97" s="38" t="s">
        <v>29</v>
      </c>
      <c r="P97" s="38" t="s">
        <v>29</v>
      </c>
      <c r="Q97" s="38" t="s">
        <v>26</v>
      </c>
      <c r="R97" s="38" t="s">
        <v>64</v>
      </c>
      <c r="S97" s="24" t="s">
        <v>29</v>
      </c>
      <c r="U97" s="37">
        <f t="shared" si="12"/>
        <v>8</v>
      </c>
      <c r="V97" s="37">
        <f t="shared" si="12"/>
        <v>10</v>
      </c>
      <c r="W97" s="37">
        <f t="shared" si="12"/>
        <v>16</v>
      </c>
      <c r="X97" s="37">
        <f t="shared" si="11"/>
        <v>16</v>
      </c>
      <c r="Y97" s="37">
        <f t="shared" si="11"/>
        <v>7</v>
      </c>
      <c r="Z97" s="37">
        <f t="shared" si="11"/>
        <v>14</v>
      </c>
      <c r="AA97" s="37">
        <f t="shared" si="11"/>
        <v>16</v>
      </c>
      <c r="AC97" s="18">
        <v>1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1</v>
      </c>
      <c r="AK97" s="154" t="s">
        <v>64</v>
      </c>
      <c r="AL97" s="154">
        <v>60</v>
      </c>
      <c r="AM97" s="154">
        <v>1</v>
      </c>
      <c r="AN97" s="154">
        <v>50</v>
      </c>
      <c r="AO97" s="154">
        <v>1</v>
      </c>
      <c r="AP97" s="154">
        <v>50</v>
      </c>
      <c r="AQ97" s="154">
        <v>1</v>
      </c>
      <c r="AR97" s="154">
        <v>1</v>
      </c>
      <c r="AS97" s="151">
        <v>6</v>
      </c>
    </row>
    <row r="98" spans="12:45">
      <c r="L98" s="15">
        <v>94</v>
      </c>
      <c r="M98" s="38" t="s">
        <v>26</v>
      </c>
      <c r="N98" s="38" t="s">
        <v>224</v>
      </c>
      <c r="O98" s="38" t="s">
        <v>28</v>
      </c>
      <c r="P98" s="38" t="s">
        <v>29</v>
      </c>
      <c r="Q98" s="38" t="s">
        <v>26</v>
      </c>
      <c r="R98" s="38" t="s">
        <v>64</v>
      </c>
      <c r="S98" s="24" t="s">
        <v>28</v>
      </c>
      <c r="U98" s="37">
        <f t="shared" si="12"/>
        <v>7</v>
      </c>
      <c r="V98" s="37">
        <f t="shared" si="12"/>
        <v>0</v>
      </c>
      <c r="W98" s="37">
        <f t="shared" si="12"/>
        <v>15</v>
      </c>
      <c r="X98" s="37">
        <f t="shared" si="11"/>
        <v>16</v>
      </c>
      <c r="Y98" s="37">
        <f t="shared" si="11"/>
        <v>7</v>
      </c>
      <c r="Z98" s="37">
        <f t="shared" si="11"/>
        <v>14</v>
      </c>
      <c r="AA98" s="37">
        <f t="shared" si="11"/>
        <v>15</v>
      </c>
      <c r="AC98" s="18">
        <v>1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3</v>
      </c>
      <c r="AK98" s="154" t="s">
        <v>89</v>
      </c>
      <c r="AL98" s="154">
        <v>1</v>
      </c>
      <c r="AM98" s="154">
        <v>50</v>
      </c>
      <c r="AN98" s="154">
        <v>1</v>
      </c>
      <c r="AO98" s="154">
        <v>1</v>
      </c>
      <c r="AP98" s="154">
        <v>1</v>
      </c>
      <c r="AQ98" s="154">
        <v>50</v>
      </c>
      <c r="AR98" s="154">
        <v>1</v>
      </c>
      <c r="AS98" s="151">
        <v>7</v>
      </c>
    </row>
    <row r="99" spans="12:45">
      <c r="L99" s="14">
        <v>95</v>
      </c>
      <c r="M99" s="38" t="s">
        <v>26</v>
      </c>
      <c r="N99" s="38" t="s">
        <v>64</v>
      </c>
      <c r="O99" s="38" t="s">
        <v>28</v>
      </c>
      <c r="P99" s="38" t="s">
        <v>232</v>
      </c>
      <c r="Q99" s="38" t="s">
        <v>26</v>
      </c>
      <c r="R99" s="38" t="s">
        <v>29</v>
      </c>
      <c r="S99" s="24" t="s">
        <v>28</v>
      </c>
      <c r="U99" s="37">
        <f t="shared" si="12"/>
        <v>7</v>
      </c>
      <c r="V99" s="37">
        <f t="shared" si="12"/>
        <v>14</v>
      </c>
      <c r="W99" s="37">
        <f t="shared" si="12"/>
        <v>15</v>
      </c>
      <c r="X99" s="37">
        <f t="shared" si="11"/>
        <v>0</v>
      </c>
      <c r="Y99" s="37">
        <f t="shared" si="11"/>
        <v>7</v>
      </c>
      <c r="Z99" s="37">
        <f t="shared" si="11"/>
        <v>16</v>
      </c>
      <c r="AA99" s="37">
        <f t="shared" si="11"/>
        <v>15</v>
      </c>
      <c r="AC99" s="18">
        <v>1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1</v>
      </c>
      <c r="AK99" s="37" t="s">
        <v>24</v>
      </c>
      <c r="AL99" s="37">
        <v>0</v>
      </c>
      <c r="AM99" s="37">
        <v>1</v>
      </c>
      <c r="AN99" s="37">
        <v>40</v>
      </c>
      <c r="AO99" s="37">
        <v>1</v>
      </c>
      <c r="AP99" s="37">
        <v>50</v>
      </c>
      <c r="AQ99" s="37">
        <v>1</v>
      </c>
      <c r="AR99" s="37">
        <v>1</v>
      </c>
      <c r="AS99" s="4">
        <v>8</v>
      </c>
    </row>
    <row r="100" spans="12:45">
      <c r="L100" s="15">
        <v>96</v>
      </c>
      <c r="M100" s="38" t="s">
        <v>27</v>
      </c>
      <c r="N100" s="38" t="s">
        <v>64</v>
      </c>
      <c r="O100" s="38" t="s">
        <v>28</v>
      </c>
      <c r="P100" s="38" t="s">
        <v>89</v>
      </c>
      <c r="Q100" s="38" t="s">
        <v>89</v>
      </c>
      <c r="R100" s="38" t="s">
        <v>18</v>
      </c>
      <c r="S100" s="24" t="s">
        <v>28</v>
      </c>
      <c r="U100" s="37">
        <f t="shared" si="12"/>
        <v>11</v>
      </c>
      <c r="V100" s="37">
        <f t="shared" si="12"/>
        <v>14</v>
      </c>
      <c r="W100" s="37">
        <f t="shared" si="12"/>
        <v>15</v>
      </c>
      <c r="X100" s="37">
        <f t="shared" si="11"/>
        <v>5</v>
      </c>
      <c r="Y100" s="37">
        <f t="shared" si="11"/>
        <v>5</v>
      </c>
      <c r="Z100" s="37">
        <f t="shared" si="11"/>
        <v>10</v>
      </c>
      <c r="AA100" s="37">
        <f t="shared" si="11"/>
        <v>15</v>
      </c>
      <c r="AC100" s="18">
        <v>1</v>
      </c>
      <c r="AD100" s="18">
        <v>1</v>
      </c>
      <c r="AE100" s="18">
        <v>1</v>
      </c>
      <c r="AF100" s="18">
        <v>1</v>
      </c>
      <c r="AG100" s="18">
        <v>1</v>
      </c>
      <c r="AH100" s="18">
        <v>1</v>
      </c>
      <c r="AI100" s="4">
        <v>1</v>
      </c>
      <c r="AK100" s="37" t="s">
        <v>26</v>
      </c>
      <c r="AL100" s="37">
        <v>1</v>
      </c>
      <c r="AM100" s="37">
        <v>1</v>
      </c>
      <c r="AN100" s="37">
        <v>1</v>
      </c>
      <c r="AO100" s="37">
        <v>50</v>
      </c>
      <c r="AP100" s="37">
        <v>1</v>
      </c>
      <c r="AQ100" s="37">
        <v>50</v>
      </c>
      <c r="AR100" s="37">
        <v>1</v>
      </c>
      <c r="AS100" s="4">
        <v>9</v>
      </c>
    </row>
    <row r="101" spans="12:45">
      <c r="L101" s="14">
        <v>97</v>
      </c>
      <c r="M101" s="38" t="s">
        <v>29</v>
      </c>
      <c r="N101" s="38" t="s">
        <v>17</v>
      </c>
      <c r="O101" s="38" t="s">
        <v>89</v>
      </c>
      <c r="P101" s="38" t="s">
        <v>89</v>
      </c>
      <c r="Q101" s="38" t="s">
        <v>18</v>
      </c>
      <c r="R101" s="38" t="s">
        <v>18</v>
      </c>
      <c r="S101" s="24" t="s">
        <v>29</v>
      </c>
      <c r="U101" s="37">
        <f t="shared" si="12"/>
        <v>16</v>
      </c>
      <c r="V101" s="37">
        <f t="shared" si="12"/>
        <v>14</v>
      </c>
      <c r="W101" s="37">
        <f t="shared" si="12"/>
        <v>5</v>
      </c>
      <c r="X101" s="37">
        <f t="shared" si="11"/>
        <v>5</v>
      </c>
      <c r="Y101" s="37">
        <f t="shared" si="11"/>
        <v>10</v>
      </c>
      <c r="Z101" s="37">
        <f t="shared" si="11"/>
        <v>10</v>
      </c>
      <c r="AA101" s="37">
        <f t="shared" si="11"/>
        <v>16</v>
      </c>
      <c r="AC101" s="18">
        <v>1</v>
      </c>
      <c r="AD101" s="18">
        <v>1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20</v>
      </c>
      <c r="AM101" s="37">
        <v>1</v>
      </c>
      <c r="AN101" s="37">
        <v>15</v>
      </c>
      <c r="AO101" s="37">
        <v>1</v>
      </c>
      <c r="AP101" s="37">
        <v>1</v>
      </c>
      <c r="AQ101" s="37">
        <v>1</v>
      </c>
      <c r="AR101" s="37">
        <v>2</v>
      </c>
      <c r="AS101" s="4">
        <v>10</v>
      </c>
    </row>
    <row r="102" spans="12:45">
      <c r="L102" s="15">
        <v>98</v>
      </c>
      <c r="M102" s="38" t="s">
        <v>17</v>
      </c>
      <c r="N102" s="38" t="s">
        <v>89</v>
      </c>
      <c r="O102" s="38" t="s">
        <v>27</v>
      </c>
      <c r="P102" s="38" t="s">
        <v>27</v>
      </c>
      <c r="Q102" s="38" t="s">
        <v>28</v>
      </c>
      <c r="R102" s="38" t="s">
        <v>29</v>
      </c>
      <c r="S102" s="24" t="s">
        <v>18</v>
      </c>
      <c r="U102" s="37">
        <f t="shared" si="12"/>
        <v>14</v>
      </c>
      <c r="V102" s="37">
        <f t="shared" si="12"/>
        <v>5</v>
      </c>
      <c r="W102" s="37">
        <f t="shared" si="12"/>
        <v>11</v>
      </c>
      <c r="X102" s="37">
        <f t="shared" si="11"/>
        <v>11</v>
      </c>
      <c r="Y102" s="37">
        <f t="shared" si="11"/>
        <v>15</v>
      </c>
      <c r="Z102" s="37">
        <f t="shared" si="11"/>
        <v>16</v>
      </c>
      <c r="AA102" s="37">
        <f t="shared" si="11"/>
        <v>10</v>
      </c>
      <c r="AC102" s="18">
        <v>1</v>
      </c>
      <c r="AD102" s="18">
        <v>1</v>
      </c>
      <c r="AE102" s="18">
        <v>1</v>
      </c>
      <c r="AF102" s="18">
        <v>1</v>
      </c>
      <c r="AG102" s="18">
        <v>1</v>
      </c>
      <c r="AH102" s="18">
        <v>1</v>
      </c>
      <c r="AI102" s="4">
        <v>3</v>
      </c>
      <c r="AK102" s="37" t="s">
        <v>28</v>
      </c>
      <c r="AL102" s="37">
        <v>1</v>
      </c>
      <c r="AM102" s="37">
        <v>50</v>
      </c>
      <c r="AN102" s="37">
        <v>1</v>
      </c>
      <c r="AO102" s="37">
        <v>1</v>
      </c>
      <c r="AP102" s="37">
        <v>1</v>
      </c>
      <c r="AQ102" s="37">
        <v>1</v>
      </c>
      <c r="AR102" s="37">
        <v>1</v>
      </c>
      <c r="AS102" s="4">
        <v>11</v>
      </c>
    </row>
    <row r="103" spans="12:45">
      <c r="L103" s="14">
        <v>99</v>
      </c>
      <c r="M103" s="38" t="s">
        <v>28</v>
      </c>
      <c r="N103" s="38" t="s">
        <v>232</v>
      </c>
      <c r="O103" s="38" t="s">
        <v>26</v>
      </c>
      <c r="P103" s="38" t="s">
        <v>27</v>
      </c>
      <c r="Q103" s="38" t="s">
        <v>28</v>
      </c>
      <c r="R103" s="38" t="s">
        <v>29</v>
      </c>
      <c r="S103" s="24" t="s">
        <v>18</v>
      </c>
      <c r="U103" s="37">
        <f t="shared" si="12"/>
        <v>15</v>
      </c>
      <c r="V103" s="37">
        <f t="shared" si="12"/>
        <v>0</v>
      </c>
      <c r="W103" s="37">
        <f t="shared" si="12"/>
        <v>7</v>
      </c>
      <c r="X103" s="37">
        <f t="shared" si="11"/>
        <v>11</v>
      </c>
      <c r="Y103" s="37">
        <f t="shared" si="11"/>
        <v>15</v>
      </c>
      <c r="Z103" s="37">
        <f t="shared" si="11"/>
        <v>16</v>
      </c>
      <c r="AA103" s="37">
        <f t="shared" si="11"/>
        <v>10</v>
      </c>
      <c r="AC103" s="18">
        <v>1</v>
      </c>
      <c r="AD103" s="18">
        <v>1</v>
      </c>
      <c r="AE103" s="18">
        <v>1</v>
      </c>
      <c r="AF103" s="18">
        <v>1</v>
      </c>
      <c r="AG103" s="18">
        <v>1</v>
      </c>
      <c r="AH103" s="18">
        <v>1</v>
      </c>
      <c r="AI103" s="4">
        <v>1</v>
      </c>
      <c r="AK103" s="37" t="s">
        <v>29</v>
      </c>
      <c r="AL103" s="37">
        <v>50</v>
      </c>
      <c r="AM103" s="37">
        <v>1</v>
      </c>
      <c r="AN103" s="37">
        <v>1</v>
      </c>
      <c r="AO103" s="37">
        <v>1</v>
      </c>
      <c r="AP103" s="37">
        <v>1</v>
      </c>
      <c r="AQ103" s="37">
        <v>1</v>
      </c>
      <c r="AR103" s="37">
        <v>1</v>
      </c>
      <c r="AS103" s="4">
        <v>12</v>
      </c>
    </row>
    <row r="104" spans="12:45">
      <c r="L104" s="15">
        <v>100</v>
      </c>
      <c r="M104" s="38" t="s">
        <v>89</v>
      </c>
      <c r="N104" s="38" t="s">
        <v>18</v>
      </c>
      <c r="O104" s="38" t="s">
        <v>26</v>
      </c>
      <c r="P104" s="38" t="s">
        <v>238</v>
      </c>
      <c r="Q104" s="38" t="s">
        <v>18</v>
      </c>
      <c r="R104" s="38" t="s">
        <v>64</v>
      </c>
      <c r="S104" s="24" t="s">
        <v>18</v>
      </c>
      <c r="U104" s="37">
        <f t="shared" si="12"/>
        <v>5</v>
      </c>
      <c r="V104" s="37">
        <f t="shared" si="12"/>
        <v>10</v>
      </c>
      <c r="W104" s="37">
        <f t="shared" si="12"/>
        <v>7</v>
      </c>
      <c r="X104" s="37">
        <f t="shared" si="11"/>
        <v>0</v>
      </c>
      <c r="Y104" s="37">
        <f t="shared" si="11"/>
        <v>10</v>
      </c>
      <c r="Z104" s="37">
        <f t="shared" si="11"/>
        <v>14</v>
      </c>
      <c r="AA104" s="37">
        <f t="shared" si="11"/>
        <v>10</v>
      </c>
      <c r="AC104" s="18">
        <v>1</v>
      </c>
      <c r="AD104" s="18">
        <v>1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4" t="s">
        <v>222</v>
      </c>
      <c r="AL104" s="154">
        <v>0</v>
      </c>
      <c r="AM104" s="154">
        <v>2</v>
      </c>
      <c r="AN104" s="154">
        <v>2</v>
      </c>
      <c r="AO104" s="154">
        <v>1</v>
      </c>
      <c r="AP104" s="154">
        <v>2</v>
      </c>
      <c r="AQ104" s="154">
        <v>0</v>
      </c>
      <c r="AR104" s="154">
        <v>0</v>
      </c>
      <c r="AS104" s="151">
        <v>13</v>
      </c>
    </row>
    <row r="105" spans="12:45">
      <c r="L105" s="14">
        <v>101</v>
      </c>
      <c r="M105" s="38" t="s">
        <v>89</v>
      </c>
      <c r="N105" s="38" t="s">
        <v>69</v>
      </c>
      <c r="O105" s="38" t="s">
        <v>28</v>
      </c>
      <c r="P105" s="38" t="s">
        <v>64</v>
      </c>
      <c r="Q105" s="38" t="s">
        <v>240</v>
      </c>
      <c r="R105" s="38" t="s">
        <v>64</v>
      </c>
      <c r="S105" s="24" t="s">
        <v>28</v>
      </c>
      <c r="U105" s="37">
        <f t="shared" si="12"/>
        <v>5</v>
      </c>
      <c r="V105" s="37">
        <f t="shared" si="12"/>
        <v>3</v>
      </c>
      <c r="W105" s="37">
        <f t="shared" si="12"/>
        <v>15</v>
      </c>
      <c r="X105" s="37">
        <f t="shared" si="11"/>
        <v>14</v>
      </c>
      <c r="Y105" s="37">
        <f t="shared" si="11"/>
        <v>0</v>
      </c>
      <c r="Z105" s="37">
        <f t="shared" si="11"/>
        <v>14</v>
      </c>
      <c r="AA105" s="37">
        <f t="shared" si="11"/>
        <v>15</v>
      </c>
      <c r="AC105" s="18">
        <v>1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1</v>
      </c>
      <c r="AK105" s="154" t="s">
        <v>224</v>
      </c>
      <c r="AL105" s="154">
        <v>0</v>
      </c>
      <c r="AM105" s="154">
        <v>1</v>
      </c>
      <c r="AN105" s="154">
        <v>1</v>
      </c>
      <c r="AO105" s="154">
        <v>2</v>
      </c>
      <c r="AP105" s="154">
        <v>1</v>
      </c>
      <c r="AQ105" s="154">
        <v>0</v>
      </c>
      <c r="AR105" s="154">
        <v>0</v>
      </c>
      <c r="AS105" s="151">
        <v>14</v>
      </c>
    </row>
    <row r="106" spans="12:45">
      <c r="L106" s="15">
        <v>102</v>
      </c>
      <c r="M106" s="38" t="s">
        <v>26</v>
      </c>
      <c r="N106" s="38" t="s">
        <v>256</v>
      </c>
      <c r="O106" s="38" t="s">
        <v>28</v>
      </c>
      <c r="P106" s="38" t="s">
        <v>24</v>
      </c>
      <c r="Q106" s="38" t="s">
        <v>28</v>
      </c>
      <c r="R106" s="38" t="s">
        <v>27</v>
      </c>
      <c r="S106" s="24" t="s">
        <v>28</v>
      </c>
      <c r="U106" s="37">
        <f t="shared" si="12"/>
        <v>7</v>
      </c>
      <c r="V106" s="37">
        <f t="shared" si="12"/>
        <v>0</v>
      </c>
      <c r="W106" s="37">
        <f t="shared" si="12"/>
        <v>15</v>
      </c>
      <c r="X106" s="37">
        <f t="shared" si="11"/>
        <v>8</v>
      </c>
      <c r="Y106" s="37">
        <f t="shared" si="11"/>
        <v>15</v>
      </c>
      <c r="Z106" s="37">
        <f t="shared" si="11"/>
        <v>11</v>
      </c>
      <c r="AA106" s="37">
        <f t="shared" si="11"/>
        <v>15</v>
      </c>
      <c r="AC106" s="18">
        <v>1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1</v>
      </c>
      <c r="AK106" s="154" t="s">
        <v>226</v>
      </c>
      <c r="AL106" s="154">
        <v>0</v>
      </c>
      <c r="AM106" s="154">
        <v>2</v>
      </c>
      <c r="AN106" s="154">
        <v>2</v>
      </c>
      <c r="AO106" s="154">
        <v>1</v>
      </c>
      <c r="AP106" s="154">
        <v>1</v>
      </c>
      <c r="AQ106" s="154">
        <v>0</v>
      </c>
      <c r="AR106" s="154">
        <v>0</v>
      </c>
      <c r="AS106" s="151">
        <v>15</v>
      </c>
    </row>
    <row r="107" spans="12:45">
      <c r="L107" s="14">
        <v>103</v>
      </c>
      <c r="M107" s="38" t="s">
        <v>27</v>
      </c>
      <c r="N107" s="38" t="s">
        <v>18</v>
      </c>
      <c r="O107" s="38" t="s">
        <v>29</v>
      </c>
      <c r="P107" s="38" t="s">
        <v>27</v>
      </c>
      <c r="Q107" s="38" t="s">
        <v>28</v>
      </c>
      <c r="R107" s="38" t="s">
        <v>27</v>
      </c>
      <c r="S107" s="24" t="s">
        <v>21</v>
      </c>
      <c r="U107" s="37">
        <f t="shared" si="12"/>
        <v>11</v>
      </c>
      <c r="V107" s="37">
        <f t="shared" si="12"/>
        <v>10</v>
      </c>
      <c r="W107" s="37">
        <f t="shared" si="12"/>
        <v>16</v>
      </c>
      <c r="X107" s="37">
        <f t="shared" si="11"/>
        <v>11</v>
      </c>
      <c r="Y107" s="37">
        <f t="shared" si="11"/>
        <v>15</v>
      </c>
      <c r="Z107" s="37">
        <f t="shared" si="11"/>
        <v>11</v>
      </c>
      <c r="AA107" s="37">
        <f t="shared" si="11"/>
        <v>12</v>
      </c>
      <c r="AC107" s="18">
        <v>1</v>
      </c>
      <c r="AD107" s="18">
        <v>1</v>
      </c>
      <c r="AE107" s="18">
        <v>1</v>
      </c>
      <c r="AF107" s="18">
        <v>1</v>
      </c>
      <c r="AG107" s="18">
        <v>1</v>
      </c>
      <c r="AH107" s="18">
        <v>1</v>
      </c>
      <c r="AI107" s="4">
        <v>1</v>
      </c>
      <c r="AK107" s="154" t="s">
        <v>228</v>
      </c>
      <c r="AL107" s="154">
        <v>0</v>
      </c>
      <c r="AM107" s="154">
        <v>1</v>
      </c>
      <c r="AN107" s="154">
        <v>1</v>
      </c>
      <c r="AO107" s="154">
        <v>1</v>
      </c>
      <c r="AP107" s="154">
        <v>1</v>
      </c>
      <c r="AQ107" s="154">
        <v>0</v>
      </c>
      <c r="AR107" s="154">
        <v>0</v>
      </c>
      <c r="AS107" s="151">
        <v>16</v>
      </c>
    </row>
    <row r="108" spans="12:45">
      <c r="L108" s="15">
        <v>104</v>
      </c>
      <c r="M108" s="38" t="s">
        <v>26</v>
      </c>
      <c r="N108" s="38" t="s">
        <v>18</v>
      </c>
      <c r="O108" s="38" t="s">
        <v>21</v>
      </c>
      <c r="P108" s="38" t="s">
        <v>27</v>
      </c>
      <c r="Q108" s="38" t="s">
        <v>89</v>
      </c>
      <c r="R108" s="38" t="s">
        <v>29</v>
      </c>
      <c r="S108" s="24" t="s">
        <v>21</v>
      </c>
      <c r="U108" s="37">
        <f t="shared" si="12"/>
        <v>7</v>
      </c>
      <c r="V108" s="37">
        <f t="shared" si="12"/>
        <v>10</v>
      </c>
      <c r="W108" s="37">
        <f t="shared" si="12"/>
        <v>12</v>
      </c>
      <c r="X108" s="37">
        <f t="shared" si="11"/>
        <v>11</v>
      </c>
      <c r="Y108" s="37">
        <f t="shared" si="11"/>
        <v>5</v>
      </c>
      <c r="Z108" s="37">
        <f t="shared" si="11"/>
        <v>16</v>
      </c>
      <c r="AA108" s="37">
        <f t="shared" si="11"/>
        <v>12</v>
      </c>
      <c r="AC108" s="18">
        <v>1</v>
      </c>
      <c r="AD108" s="18">
        <v>1</v>
      </c>
      <c r="AE108" s="18">
        <v>1</v>
      </c>
      <c r="AF108" s="18">
        <v>1</v>
      </c>
      <c r="AG108" s="18">
        <v>1</v>
      </c>
      <c r="AH108" s="18">
        <v>1</v>
      </c>
      <c r="AI108" s="4">
        <v>1</v>
      </c>
      <c r="AK108" s="154" t="s">
        <v>230</v>
      </c>
      <c r="AL108" s="154">
        <v>0</v>
      </c>
      <c r="AM108" s="154">
        <v>2</v>
      </c>
      <c r="AN108" s="154">
        <v>2</v>
      </c>
      <c r="AO108" s="154">
        <v>1</v>
      </c>
      <c r="AP108" s="154">
        <v>2</v>
      </c>
      <c r="AQ108" s="154">
        <v>0</v>
      </c>
      <c r="AR108" s="154">
        <v>0</v>
      </c>
      <c r="AS108" s="151">
        <v>17</v>
      </c>
    </row>
    <row r="109" spans="12:45">
      <c r="L109" s="14">
        <v>105</v>
      </c>
      <c r="M109" s="38" t="s">
        <v>29</v>
      </c>
      <c r="N109" s="38" t="s">
        <v>29</v>
      </c>
      <c r="O109" s="38" t="s">
        <v>21</v>
      </c>
      <c r="P109" s="38" t="s">
        <v>17</v>
      </c>
      <c r="Q109" s="38" t="s">
        <v>28</v>
      </c>
      <c r="R109" s="38" t="s">
        <v>29</v>
      </c>
      <c r="S109" s="24" t="s">
        <v>29</v>
      </c>
      <c r="U109" s="37">
        <f t="shared" si="12"/>
        <v>16</v>
      </c>
      <c r="V109" s="37">
        <f t="shared" si="12"/>
        <v>16</v>
      </c>
      <c r="W109" s="37">
        <f t="shared" si="12"/>
        <v>12</v>
      </c>
      <c r="X109" s="37">
        <f t="shared" si="11"/>
        <v>14</v>
      </c>
      <c r="Y109" s="37">
        <f t="shared" si="11"/>
        <v>15</v>
      </c>
      <c r="Z109" s="37">
        <f t="shared" si="11"/>
        <v>16</v>
      </c>
      <c r="AA109" s="37">
        <f t="shared" si="11"/>
        <v>16</v>
      </c>
      <c r="AC109" s="18">
        <v>1</v>
      </c>
      <c r="AD109" s="18">
        <v>1</v>
      </c>
      <c r="AE109" s="18">
        <v>1</v>
      </c>
      <c r="AF109" s="18">
        <v>1</v>
      </c>
      <c r="AG109" s="18">
        <v>1</v>
      </c>
      <c r="AH109" s="18">
        <v>1</v>
      </c>
      <c r="AI109" s="4">
        <v>3</v>
      </c>
      <c r="AK109" s="154" t="s">
        <v>232</v>
      </c>
      <c r="AL109" s="154">
        <v>0</v>
      </c>
      <c r="AM109" s="154">
        <v>2</v>
      </c>
      <c r="AN109" s="154">
        <v>2</v>
      </c>
      <c r="AO109" s="154">
        <v>1</v>
      </c>
      <c r="AP109" s="154">
        <v>2</v>
      </c>
      <c r="AQ109" s="154">
        <v>0</v>
      </c>
      <c r="AR109" s="154">
        <v>0</v>
      </c>
      <c r="AS109" s="151">
        <v>18</v>
      </c>
    </row>
    <row r="110" spans="12:45">
      <c r="L110" s="15">
        <v>106</v>
      </c>
      <c r="M110" s="38" t="s">
        <v>20</v>
      </c>
      <c r="N110" s="38" t="s">
        <v>27</v>
      </c>
      <c r="O110" s="38" t="s">
        <v>28</v>
      </c>
      <c r="P110" s="38" t="s">
        <v>64</v>
      </c>
      <c r="Q110" s="38" t="s">
        <v>29</v>
      </c>
      <c r="R110" s="38" t="s">
        <v>24</v>
      </c>
      <c r="S110" s="24" t="s">
        <v>29</v>
      </c>
      <c r="U110" s="37">
        <f t="shared" si="12"/>
        <v>6</v>
      </c>
      <c r="V110" s="37">
        <f t="shared" si="12"/>
        <v>11</v>
      </c>
      <c r="W110" s="37">
        <f t="shared" si="12"/>
        <v>15</v>
      </c>
      <c r="X110" s="37">
        <f t="shared" si="11"/>
        <v>14</v>
      </c>
      <c r="Y110" s="37">
        <f t="shared" si="11"/>
        <v>16</v>
      </c>
      <c r="Z110" s="37">
        <f t="shared" si="11"/>
        <v>8</v>
      </c>
      <c r="AA110" s="37">
        <f t="shared" si="11"/>
        <v>16</v>
      </c>
      <c r="AC110" s="18">
        <v>1</v>
      </c>
      <c r="AD110" s="18">
        <v>1</v>
      </c>
      <c r="AE110" s="18">
        <v>1</v>
      </c>
      <c r="AF110" s="18">
        <v>1</v>
      </c>
      <c r="AG110" s="18">
        <v>1</v>
      </c>
      <c r="AH110" s="18">
        <v>1</v>
      </c>
      <c r="AI110" s="4">
        <v>1</v>
      </c>
      <c r="AK110" s="37" t="s">
        <v>234</v>
      </c>
      <c r="AL110" s="37">
        <v>0</v>
      </c>
      <c r="AM110" s="37">
        <v>2</v>
      </c>
      <c r="AN110" s="37">
        <v>1</v>
      </c>
      <c r="AO110" s="37">
        <v>1</v>
      </c>
      <c r="AP110" s="37">
        <v>2</v>
      </c>
      <c r="AQ110" s="37">
        <v>0</v>
      </c>
      <c r="AR110" s="37">
        <v>0</v>
      </c>
      <c r="AS110" s="4">
        <v>19</v>
      </c>
    </row>
    <row r="111" spans="12:45">
      <c r="L111" s="14">
        <v>107</v>
      </c>
      <c r="M111" s="38" t="s">
        <v>17</v>
      </c>
      <c r="N111" s="38" t="s">
        <v>27</v>
      </c>
      <c r="O111" s="38" t="s">
        <v>28</v>
      </c>
      <c r="P111" s="38" t="s">
        <v>28</v>
      </c>
      <c r="Q111" s="38" t="s">
        <v>18</v>
      </c>
      <c r="R111" s="38" t="s">
        <v>24</v>
      </c>
      <c r="S111" s="24" t="s">
        <v>29</v>
      </c>
      <c r="U111" s="37">
        <f t="shared" si="12"/>
        <v>14</v>
      </c>
      <c r="V111" s="37">
        <f t="shared" si="12"/>
        <v>11</v>
      </c>
      <c r="W111" s="37">
        <f t="shared" si="12"/>
        <v>15</v>
      </c>
      <c r="X111" s="37">
        <f t="shared" si="11"/>
        <v>15</v>
      </c>
      <c r="Y111" s="37">
        <f t="shared" si="11"/>
        <v>10</v>
      </c>
      <c r="Z111" s="37">
        <f t="shared" si="11"/>
        <v>8</v>
      </c>
      <c r="AA111" s="37">
        <f t="shared" si="11"/>
        <v>16</v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0</v>
      </c>
      <c r="AM111" s="37">
        <v>2</v>
      </c>
      <c r="AN111" s="37">
        <v>1</v>
      </c>
      <c r="AO111" s="37">
        <v>2</v>
      </c>
      <c r="AP111" s="37">
        <v>1</v>
      </c>
      <c r="AQ111" s="37">
        <v>0</v>
      </c>
      <c r="AR111" s="37">
        <v>0</v>
      </c>
      <c r="AS111" s="4">
        <v>20</v>
      </c>
    </row>
    <row r="112" spans="12:45">
      <c r="L112" s="15">
        <v>108</v>
      </c>
      <c r="M112" s="38" t="s">
        <v>27</v>
      </c>
      <c r="N112" s="38" t="s">
        <v>17</v>
      </c>
      <c r="O112" s="38" t="s">
        <v>28</v>
      </c>
      <c r="P112" s="38" t="s">
        <v>29</v>
      </c>
      <c r="Q112" s="38" t="s">
        <v>232</v>
      </c>
      <c r="R112" s="38" t="s">
        <v>29</v>
      </c>
      <c r="S112" s="24" t="s">
        <v>28</v>
      </c>
      <c r="U112" s="37">
        <f t="shared" si="12"/>
        <v>11</v>
      </c>
      <c r="V112" s="37">
        <f t="shared" si="12"/>
        <v>14</v>
      </c>
      <c r="W112" s="37">
        <f t="shared" si="12"/>
        <v>15</v>
      </c>
      <c r="X112" s="37">
        <f t="shared" si="11"/>
        <v>16</v>
      </c>
      <c r="Y112" s="37">
        <f t="shared" si="11"/>
        <v>0</v>
      </c>
      <c r="Z112" s="37">
        <f t="shared" si="11"/>
        <v>16</v>
      </c>
      <c r="AA112" s="37">
        <f t="shared" si="11"/>
        <v>15</v>
      </c>
      <c r="AC112" s="18">
        <v>1</v>
      </c>
      <c r="AD112" s="18">
        <v>1</v>
      </c>
      <c r="AE112" s="18">
        <v>1</v>
      </c>
      <c r="AF112" s="18">
        <v>1</v>
      </c>
      <c r="AG112" s="18">
        <v>1</v>
      </c>
      <c r="AH112" s="18">
        <v>1</v>
      </c>
      <c r="AI112" s="4">
        <v>3</v>
      </c>
      <c r="AK112" s="37" t="s">
        <v>238</v>
      </c>
      <c r="AL112" s="37">
        <v>0</v>
      </c>
      <c r="AM112" s="37">
        <v>2</v>
      </c>
      <c r="AN112" s="37">
        <v>2</v>
      </c>
      <c r="AO112" s="37">
        <v>1</v>
      </c>
      <c r="AP112" s="37">
        <v>1</v>
      </c>
      <c r="AQ112" s="37">
        <v>0</v>
      </c>
      <c r="AR112" s="37">
        <v>0</v>
      </c>
      <c r="AS112" s="4">
        <v>21</v>
      </c>
    </row>
    <row r="113" spans="12:46">
      <c r="L113" s="14">
        <v>109</v>
      </c>
      <c r="M113" s="38" t="s">
        <v>27</v>
      </c>
      <c r="N113" s="38" t="s">
        <v>24</v>
      </c>
      <c r="O113" s="38" t="s">
        <v>24</v>
      </c>
      <c r="P113" s="38" t="s">
        <v>64</v>
      </c>
      <c r="Q113" s="38" t="s">
        <v>89</v>
      </c>
      <c r="R113" s="38" t="s">
        <v>29</v>
      </c>
      <c r="S113" s="38" t="s">
        <v>28</v>
      </c>
      <c r="U113" s="37">
        <f t="shared" si="12"/>
        <v>11</v>
      </c>
      <c r="V113" s="37">
        <f t="shared" si="12"/>
        <v>8</v>
      </c>
      <c r="W113" s="37">
        <f t="shared" si="12"/>
        <v>8</v>
      </c>
      <c r="X113" s="37">
        <f t="shared" si="11"/>
        <v>14</v>
      </c>
      <c r="Y113" s="37">
        <f t="shared" si="11"/>
        <v>5</v>
      </c>
      <c r="Z113" s="37">
        <f t="shared" si="11"/>
        <v>16</v>
      </c>
      <c r="AA113" s="37">
        <f t="shared" si="11"/>
        <v>15</v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4">
        <v>1</v>
      </c>
      <c r="AK113" s="37" t="s">
        <v>240</v>
      </c>
      <c r="AL113" s="37">
        <v>0</v>
      </c>
      <c r="AM113" s="37">
        <v>1</v>
      </c>
      <c r="AN113" s="37">
        <v>1</v>
      </c>
      <c r="AO113" s="37">
        <v>1</v>
      </c>
      <c r="AP113" s="37">
        <v>1</v>
      </c>
      <c r="AQ113" s="37">
        <v>0</v>
      </c>
      <c r="AR113" s="37">
        <v>0</v>
      </c>
      <c r="AS113" s="4">
        <v>22</v>
      </c>
    </row>
    <row r="114" spans="12:46">
      <c r="L114" s="15">
        <v>110</v>
      </c>
      <c r="M114" s="38" t="s">
        <v>28</v>
      </c>
      <c r="N114" s="38" t="s">
        <v>64</v>
      </c>
      <c r="O114" s="38" t="s">
        <v>24</v>
      </c>
      <c r="P114" s="38" t="s">
        <v>64</v>
      </c>
      <c r="Q114" s="38" t="s">
        <v>28</v>
      </c>
      <c r="R114" s="38" t="s">
        <v>27</v>
      </c>
      <c r="S114" s="24" t="s">
        <v>28</v>
      </c>
      <c r="U114" s="37">
        <f t="shared" si="12"/>
        <v>15</v>
      </c>
      <c r="V114" s="37">
        <f t="shared" si="12"/>
        <v>14</v>
      </c>
      <c r="W114" s="37">
        <f t="shared" si="12"/>
        <v>8</v>
      </c>
      <c r="X114" s="37">
        <f t="shared" si="11"/>
        <v>14</v>
      </c>
      <c r="Y114" s="37">
        <f t="shared" si="11"/>
        <v>15</v>
      </c>
      <c r="Z114" s="37">
        <f t="shared" si="11"/>
        <v>11</v>
      </c>
      <c r="AA114" s="37">
        <f t="shared" si="11"/>
        <v>15</v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0</v>
      </c>
      <c r="AM114" s="37">
        <v>2</v>
      </c>
      <c r="AN114" s="37">
        <v>1</v>
      </c>
      <c r="AO114" s="37">
        <v>1</v>
      </c>
      <c r="AP114" s="37">
        <v>1</v>
      </c>
      <c r="AQ114" s="37">
        <v>0</v>
      </c>
      <c r="AR114" s="37">
        <v>0</v>
      </c>
      <c r="AS114" s="4">
        <v>23</v>
      </c>
    </row>
    <row r="115" spans="12:46">
      <c r="L115" s="14">
        <v>111</v>
      </c>
      <c r="M115" s="38" t="s">
        <v>89</v>
      </c>
      <c r="N115" s="38" t="s">
        <v>27</v>
      </c>
      <c r="O115" s="38" t="s">
        <v>240</v>
      </c>
      <c r="P115" s="38" t="s">
        <v>20</v>
      </c>
      <c r="Q115" s="38" t="s">
        <v>89</v>
      </c>
      <c r="R115" s="38" t="s">
        <v>24</v>
      </c>
      <c r="S115" s="24" t="s">
        <v>21</v>
      </c>
      <c r="U115" s="37">
        <f t="shared" si="12"/>
        <v>5</v>
      </c>
      <c r="V115" s="37">
        <f t="shared" si="12"/>
        <v>11</v>
      </c>
      <c r="W115" s="37">
        <f t="shared" si="12"/>
        <v>0</v>
      </c>
      <c r="X115" s="37">
        <f t="shared" si="11"/>
        <v>6</v>
      </c>
      <c r="Y115" s="37">
        <f t="shared" si="11"/>
        <v>5</v>
      </c>
      <c r="Z115" s="37">
        <f t="shared" si="11"/>
        <v>8</v>
      </c>
      <c r="AA115" s="37">
        <f t="shared" si="11"/>
        <v>12</v>
      </c>
      <c r="AC115" s="18">
        <v>1</v>
      </c>
      <c r="AD115" s="18">
        <v>1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4" t="s">
        <v>94</v>
      </c>
      <c r="AL115" s="154">
        <v>0</v>
      </c>
      <c r="AM115" s="154">
        <v>2</v>
      </c>
      <c r="AN115" s="154">
        <v>2</v>
      </c>
      <c r="AO115" s="154">
        <v>2</v>
      </c>
      <c r="AP115" s="154">
        <v>2</v>
      </c>
      <c r="AQ115" s="154">
        <v>0</v>
      </c>
      <c r="AR115" s="154">
        <v>0</v>
      </c>
      <c r="AS115" s="151">
        <v>24</v>
      </c>
    </row>
    <row r="116" spans="12:46">
      <c r="L116" s="15">
        <v>112</v>
      </c>
      <c r="M116" s="38" t="s">
        <v>20</v>
      </c>
      <c r="N116" s="38" t="s">
        <v>27</v>
      </c>
      <c r="O116" s="38" t="s">
        <v>28</v>
      </c>
      <c r="P116" s="38" t="s">
        <v>242</v>
      </c>
      <c r="Q116" s="38" t="s">
        <v>89</v>
      </c>
      <c r="R116" s="38" t="s">
        <v>27</v>
      </c>
      <c r="S116" s="24" t="s">
        <v>21</v>
      </c>
      <c r="U116" s="37">
        <f t="shared" si="12"/>
        <v>6</v>
      </c>
      <c r="V116" s="37">
        <f t="shared" si="12"/>
        <v>11</v>
      </c>
      <c r="W116" s="37">
        <f t="shared" si="12"/>
        <v>15</v>
      </c>
      <c r="X116" s="37">
        <f t="shared" si="11"/>
        <v>0</v>
      </c>
      <c r="Y116" s="37">
        <f t="shared" si="11"/>
        <v>5</v>
      </c>
      <c r="Z116" s="37">
        <f t="shared" si="11"/>
        <v>11</v>
      </c>
      <c r="AA116" s="37">
        <f t="shared" si="11"/>
        <v>12</v>
      </c>
      <c r="AC116" s="18">
        <v>1</v>
      </c>
      <c r="AD116" s="18">
        <v>1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4" t="s">
        <v>257</v>
      </c>
      <c r="AL116" s="154">
        <v>0</v>
      </c>
      <c r="AM116" s="154">
        <v>0</v>
      </c>
      <c r="AN116" s="154">
        <v>0</v>
      </c>
      <c r="AO116" s="154">
        <v>0</v>
      </c>
      <c r="AP116" s="154">
        <v>0</v>
      </c>
      <c r="AQ116" s="154">
        <v>0</v>
      </c>
      <c r="AR116" s="154">
        <v>0</v>
      </c>
      <c r="AS116" s="151">
        <v>25</v>
      </c>
    </row>
    <row r="117" spans="12:46">
      <c r="L117" s="14">
        <v>113</v>
      </c>
      <c r="M117" s="38" t="s">
        <v>29</v>
      </c>
      <c r="N117" s="38" t="s">
        <v>21</v>
      </c>
      <c r="O117" s="38" t="s">
        <v>89</v>
      </c>
      <c r="P117" s="38" t="s">
        <v>28</v>
      </c>
      <c r="Q117" s="38" t="s">
        <v>89</v>
      </c>
      <c r="R117" s="38" t="s">
        <v>27</v>
      </c>
      <c r="S117" s="24" t="s">
        <v>27</v>
      </c>
      <c r="U117" s="37">
        <f t="shared" si="12"/>
        <v>16</v>
      </c>
      <c r="V117" s="37">
        <f t="shared" si="12"/>
        <v>12</v>
      </c>
      <c r="W117" s="37">
        <f t="shared" si="12"/>
        <v>5</v>
      </c>
      <c r="X117" s="37">
        <f t="shared" si="11"/>
        <v>15</v>
      </c>
      <c r="Y117" s="37">
        <f t="shared" si="11"/>
        <v>5</v>
      </c>
      <c r="Z117" s="37">
        <f t="shared" si="11"/>
        <v>11</v>
      </c>
      <c r="AA117" s="37">
        <f t="shared" si="11"/>
        <v>11</v>
      </c>
      <c r="AC117" s="18">
        <v>1</v>
      </c>
      <c r="AD117" s="18">
        <v>1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>
      <c r="L118" s="15">
        <v>114</v>
      </c>
      <c r="M118" s="38" t="s">
        <v>27</v>
      </c>
      <c r="N118" s="38" t="s">
        <v>21</v>
      </c>
      <c r="O118" s="38" t="s">
        <v>26</v>
      </c>
      <c r="P118" s="38" t="s">
        <v>26</v>
      </c>
      <c r="Q118" s="38" t="s">
        <v>18</v>
      </c>
      <c r="R118" s="38" t="s">
        <v>20</v>
      </c>
      <c r="S118" s="24" t="s">
        <v>27</v>
      </c>
      <c r="U118" s="37">
        <f t="shared" si="12"/>
        <v>11</v>
      </c>
      <c r="V118" s="37">
        <f t="shared" si="12"/>
        <v>12</v>
      </c>
      <c r="W118" s="37">
        <f t="shared" si="12"/>
        <v>7</v>
      </c>
      <c r="X118" s="37">
        <f t="shared" si="11"/>
        <v>7</v>
      </c>
      <c r="Y118" s="37">
        <f t="shared" si="11"/>
        <v>10</v>
      </c>
      <c r="Z118" s="37">
        <f t="shared" si="11"/>
        <v>6</v>
      </c>
      <c r="AA118" s="37">
        <f t="shared" si="11"/>
        <v>11</v>
      </c>
      <c r="AC118" s="18">
        <v>1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1</v>
      </c>
      <c r="AK118" s="40" t="s">
        <v>262</v>
      </c>
    </row>
    <row r="119" spans="12:46">
      <c r="L119" s="14">
        <v>115</v>
      </c>
      <c r="M119" s="38" t="s">
        <v>29</v>
      </c>
      <c r="N119" s="38" t="s">
        <v>89</v>
      </c>
      <c r="O119" s="38" t="s">
        <v>18</v>
      </c>
      <c r="P119" s="38" t="s">
        <v>230</v>
      </c>
      <c r="Q119" s="38" t="s">
        <v>224</v>
      </c>
      <c r="R119" s="38" t="s">
        <v>20</v>
      </c>
      <c r="S119" s="24" t="s">
        <v>69</v>
      </c>
      <c r="U119" s="37">
        <f t="shared" si="12"/>
        <v>16</v>
      </c>
      <c r="V119" s="37">
        <f t="shared" si="12"/>
        <v>5</v>
      </c>
      <c r="W119" s="37">
        <f t="shared" si="12"/>
        <v>10</v>
      </c>
      <c r="X119" s="37">
        <f t="shared" si="11"/>
        <v>0</v>
      </c>
      <c r="Y119" s="37">
        <f t="shared" si="11"/>
        <v>0</v>
      </c>
      <c r="Z119" s="37">
        <f t="shared" si="11"/>
        <v>6</v>
      </c>
      <c r="AA119" s="37">
        <f t="shared" ref="AA119:AA124" si="13">VLOOKUP(S119, $A$4:$J$29, 9, 0)</f>
        <v>3</v>
      </c>
      <c r="AC119" s="18">
        <v>1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3</v>
      </c>
      <c r="AK119" s="16" t="s">
        <v>265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>
      <c r="L120" s="15">
        <v>116</v>
      </c>
      <c r="M120" s="38" t="s">
        <v>29</v>
      </c>
      <c r="N120" s="38" t="s">
        <v>29</v>
      </c>
      <c r="O120" s="38" t="s">
        <v>24</v>
      </c>
      <c r="P120" s="38" t="s">
        <v>64</v>
      </c>
      <c r="Q120" s="38" t="s">
        <v>21</v>
      </c>
      <c r="R120" s="38" t="s">
        <v>27</v>
      </c>
      <c r="S120" s="24" t="s">
        <v>69</v>
      </c>
      <c r="U120" s="37">
        <f t="shared" si="12"/>
        <v>16</v>
      </c>
      <c r="V120" s="37">
        <f t="shared" si="12"/>
        <v>16</v>
      </c>
      <c r="W120" s="37">
        <f t="shared" si="12"/>
        <v>8</v>
      </c>
      <c r="X120" s="37">
        <f t="shared" si="12"/>
        <v>14</v>
      </c>
      <c r="Y120" s="37">
        <f t="shared" si="12"/>
        <v>12</v>
      </c>
      <c r="Z120" s="37">
        <f t="shared" si="12"/>
        <v>11</v>
      </c>
      <c r="AA120" s="37">
        <f t="shared" si="13"/>
        <v>3</v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1</v>
      </c>
      <c r="AK120" s="10" t="s">
        <v>68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4">
        <v>0</v>
      </c>
    </row>
    <row r="121" spans="12:46">
      <c r="L121" s="14">
        <v>117</v>
      </c>
      <c r="M121" s="38" t="s">
        <v>64</v>
      </c>
      <c r="N121" s="38" t="s">
        <v>29</v>
      </c>
      <c r="O121" s="38" t="s">
        <v>24</v>
      </c>
      <c r="P121" s="38" t="s">
        <v>27</v>
      </c>
      <c r="Q121" s="38" t="s">
        <v>21</v>
      </c>
      <c r="R121" s="38" t="s">
        <v>27</v>
      </c>
      <c r="S121" s="24" t="s">
        <v>69</v>
      </c>
      <c r="U121" s="37">
        <f t="shared" ref="U121:Z124" si="14">VLOOKUP(M121, $A$4:$J$29, 9, 0)</f>
        <v>14</v>
      </c>
      <c r="V121" s="37">
        <f t="shared" si="14"/>
        <v>16</v>
      </c>
      <c r="W121" s="37">
        <f t="shared" si="14"/>
        <v>8</v>
      </c>
      <c r="X121" s="37">
        <f t="shared" si="14"/>
        <v>11</v>
      </c>
      <c r="Y121" s="37">
        <f t="shared" si="14"/>
        <v>12</v>
      </c>
      <c r="Z121" s="37">
        <f t="shared" si="14"/>
        <v>11</v>
      </c>
      <c r="AA121" s="37">
        <f t="shared" si="13"/>
        <v>3</v>
      </c>
      <c r="AC121" s="18">
        <v>1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5</v>
      </c>
      <c r="AM121" s="37">
        <v>5</v>
      </c>
      <c r="AN121" s="37">
        <v>5</v>
      </c>
      <c r="AO121" s="37">
        <v>5</v>
      </c>
      <c r="AP121" s="37">
        <v>5</v>
      </c>
      <c r="AQ121" s="37">
        <v>5</v>
      </c>
      <c r="AR121" s="37">
        <v>0</v>
      </c>
      <c r="AS121" s="4">
        <v>1</v>
      </c>
    </row>
    <row r="122" spans="12:46">
      <c r="L122" s="15">
        <v>118</v>
      </c>
      <c r="M122" s="38" t="s">
        <v>29</v>
      </c>
      <c r="N122" s="38" t="s">
        <v>238</v>
      </c>
      <c r="O122" s="38" t="s">
        <v>64</v>
      </c>
      <c r="P122" s="38" t="s">
        <v>27</v>
      </c>
      <c r="Q122" s="38" t="s">
        <v>89</v>
      </c>
      <c r="R122" s="38" t="s">
        <v>24</v>
      </c>
      <c r="S122" s="24" t="s">
        <v>26</v>
      </c>
      <c r="U122" s="37">
        <f t="shared" si="14"/>
        <v>16</v>
      </c>
      <c r="V122" s="37">
        <f t="shared" si="14"/>
        <v>0</v>
      </c>
      <c r="W122" s="37">
        <f t="shared" si="14"/>
        <v>14</v>
      </c>
      <c r="X122" s="37">
        <f t="shared" si="14"/>
        <v>11</v>
      </c>
      <c r="Y122" s="37">
        <f t="shared" si="14"/>
        <v>5</v>
      </c>
      <c r="Z122" s="37">
        <f t="shared" si="14"/>
        <v>8</v>
      </c>
      <c r="AA122" s="37">
        <f t="shared" si="13"/>
        <v>7</v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3</v>
      </c>
      <c r="AK122" s="154" t="s">
        <v>20</v>
      </c>
      <c r="AL122" s="154">
        <v>40</v>
      </c>
      <c r="AM122" s="154">
        <v>0</v>
      </c>
      <c r="AN122" s="154">
        <v>1</v>
      </c>
      <c r="AO122" s="154">
        <v>1</v>
      </c>
      <c r="AP122" s="154">
        <v>70</v>
      </c>
      <c r="AQ122" s="154">
        <v>1</v>
      </c>
      <c r="AR122" s="154">
        <v>0</v>
      </c>
      <c r="AS122" s="151">
        <v>2</v>
      </c>
    </row>
    <row r="123" spans="12:46">
      <c r="L123" s="14">
        <v>119</v>
      </c>
      <c r="M123" s="38" t="s">
        <v>69</v>
      </c>
      <c r="N123" s="38" t="s">
        <v>69</v>
      </c>
      <c r="O123" s="38" t="s">
        <v>69</v>
      </c>
      <c r="P123" s="38" t="s">
        <v>69</v>
      </c>
      <c r="Q123" s="38" t="s">
        <v>69</v>
      </c>
      <c r="R123" s="38" t="s">
        <v>69</v>
      </c>
      <c r="S123" s="24" t="s">
        <v>26</v>
      </c>
      <c r="U123" s="37">
        <f t="shared" si="14"/>
        <v>3</v>
      </c>
      <c r="V123" s="37">
        <f t="shared" si="14"/>
        <v>3</v>
      </c>
      <c r="W123" s="37">
        <f t="shared" si="14"/>
        <v>3</v>
      </c>
      <c r="X123" s="37">
        <f t="shared" si="14"/>
        <v>3</v>
      </c>
      <c r="Y123" s="37">
        <f t="shared" si="14"/>
        <v>3</v>
      </c>
      <c r="Z123" s="37">
        <f t="shared" si="14"/>
        <v>3</v>
      </c>
      <c r="AA123" s="37">
        <f t="shared" si="13"/>
        <v>7</v>
      </c>
      <c r="AC123" s="18">
        <v>1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1</v>
      </c>
      <c r="AK123" s="154" t="s">
        <v>21</v>
      </c>
      <c r="AL123" s="154">
        <v>1</v>
      </c>
      <c r="AM123" s="154">
        <v>70</v>
      </c>
      <c r="AN123" s="154">
        <v>1</v>
      </c>
      <c r="AO123" s="154">
        <v>70</v>
      </c>
      <c r="AP123" s="154">
        <v>1</v>
      </c>
      <c r="AQ123" s="154">
        <v>1</v>
      </c>
      <c r="AR123" s="154">
        <v>0</v>
      </c>
      <c r="AS123" s="151">
        <v>3</v>
      </c>
    </row>
    <row r="124" spans="12:46">
      <c r="L124" s="15">
        <v>120</v>
      </c>
      <c r="M124" s="38" t="s">
        <v>69</v>
      </c>
      <c r="N124" s="38" t="s">
        <v>69</v>
      </c>
      <c r="O124" s="38" t="s">
        <v>69</v>
      </c>
      <c r="P124" s="38" t="s">
        <v>69</v>
      </c>
      <c r="Q124" s="38" t="s">
        <v>69</v>
      </c>
      <c r="R124" s="38" t="s">
        <v>69</v>
      </c>
      <c r="S124" s="24" t="s">
        <v>26</v>
      </c>
      <c r="U124" s="37">
        <f t="shared" si="14"/>
        <v>3</v>
      </c>
      <c r="V124" s="37">
        <f t="shared" si="14"/>
        <v>3</v>
      </c>
      <c r="W124" s="37">
        <f t="shared" si="14"/>
        <v>3</v>
      </c>
      <c r="X124" s="37">
        <f t="shared" si="14"/>
        <v>3</v>
      </c>
      <c r="Y124" s="37">
        <f t="shared" si="14"/>
        <v>3</v>
      </c>
      <c r="Z124" s="37">
        <f t="shared" si="14"/>
        <v>3</v>
      </c>
      <c r="AA124" s="37">
        <f t="shared" si="13"/>
        <v>7</v>
      </c>
      <c r="AC124" s="18">
        <v>1</v>
      </c>
      <c r="AD124" s="18">
        <v>1</v>
      </c>
      <c r="AE124" s="18">
        <v>1</v>
      </c>
      <c r="AF124" s="18">
        <v>1</v>
      </c>
      <c r="AG124" s="18">
        <v>1</v>
      </c>
      <c r="AH124" s="18">
        <v>1</v>
      </c>
      <c r="AI124" s="4">
        <v>1</v>
      </c>
      <c r="AK124" s="154" t="s">
        <v>17</v>
      </c>
      <c r="AL124" s="154">
        <v>0</v>
      </c>
      <c r="AM124" s="154">
        <v>1</v>
      </c>
      <c r="AN124" s="154">
        <v>5</v>
      </c>
      <c r="AO124" s="154">
        <v>0</v>
      </c>
      <c r="AP124" s="154">
        <v>1</v>
      </c>
      <c r="AQ124" s="154">
        <v>70</v>
      </c>
      <c r="AR124" s="154">
        <v>1</v>
      </c>
      <c r="AS124" s="151">
        <v>4</v>
      </c>
    </row>
    <row r="125" spans="12:46">
      <c r="AC125" s="31"/>
      <c r="AD125" s="31"/>
      <c r="AE125" s="31"/>
      <c r="AF125" s="31"/>
      <c r="AG125" s="31"/>
      <c r="AH125" s="31"/>
      <c r="AI125" s="31"/>
      <c r="AK125" s="154" t="s">
        <v>18</v>
      </c>
      <c r="AL125" s="154">
        <v>1</v>
      </c>
      <c r="AM125" s="154">
        <v>70</v>
      </c>
      <c r="AN125" s="154">
        <v>1</v>
      </c>
      <c r="AO125" s="154">
        <v>1</v>
      </c>
      <c r="AP125" s="154">
        <v>1</v>
      </c>
      <c r="AQ125" s="154">
        <v>70</v>
      </c>
      <c r="AR125" s="154">
        <v>1</v>
      </c>
      <c r="AS125" s="151">
        <v>5</v>
      </c>
    </row>
    <row r="126" spans="12:46">
      <c r="AK126" s="154" t="s">
        <v>64</v>
      </c>
      <c r="AL126" s="154">
        <v>5</v>
      </c>
      <c r="AM126" s="154">
        <v>1</v>
      </c>
      <c r="AN126" s="154">
        <v>70</v>
      </c>
      <c r="AO126" s="154">
        <v>1</v>
      </c>
      <c r="AP126" s="154">
        <v>70</v>
      </c>
      <c r="AQ126" s="154">
        <v>1</v>
      </c>
      <c r="AR126" s="154">
        <v>1</v>
      </c>
      <c r="AS126" s="151">
        <v>6</v>
      </c>
    </row>
    <row r="127" spans="12:46">
      <c r="AK127" s="154" t="s">
        <v>89</v>
      </c>
      <c r="AL127" s="154">
        <v>1</v>
      </c>
      <c r="AM127" s="154">
        <v>70</v>
      </c>
      <c r="AN127" s="154">
        <v>1</v>
      </c>
      <c r="AO127" s="154">
        <v>1</v>
      </c>
      <c r="AP127" s="154">
        <v>1</v>
      </c>
      <c r="AQ127" s="154">
        <v>70</v>
      </c>
      <c r="AR127" s="154">
        <v>1</v>
      </c>
      <c r="AS127" s="151">
        <v>7</v>
      </c>
    </row>
    <row r="128" spans="12:46">
      <c r="AK128" s="37" t="s">
        <v>24</v>
      </c>
      <c r="AL128" s="37">
        <v>0</v>
      </c>
      <c r="AM128" s="37">
        <v>1</v>
      </c>
      <c r="AN128" s="37">
        <v>1</v>
      </c>
      <c r="AO128" s="37">
        <v>1</v>
      </c>
      <c r="AP128" s="37">
        <v>70</v>
      </c>
      <c r="AQ128" s="37">
        <v>1</v>
      </c>
      <c r="AR128" s="37">
        <v>1</v>
      </c>
      <c r="AS128" s="4">
        <v>8</v>
      </c>
      <c r="AT128" s="9"/>
    </row>
    <row r="129" spans="37:46">
      <c r="AK129" s="37" t="s">
        <v>26</v>
      </c>
      <c r="AL129" s="37">
        <v>1</v>
      </c>
      <c r="AM129" s="37">
        <v>1</v>
      </c>
      <c r="AN129" s="37">
        <v>1</v>
      </c>
      <c r="AO129" s="37">
        <v>70</v>
      </c>
      <c r="AP129" s="37">
        <v>1</v>
      </c>
      <c r="AQ129" s="37">
        <v>70</v>
      </c>
      <c r="AR129" s="37">
        <v>1</v>
      </c>
      <c r="AS129" s="4">
        <v>9</v>
      </c>
      <c r="AT129" s="9"/>
    </row>
    <row r="130" spans="37:46">
      <c r="AK130" s="37" t="s">
        <v>27</v>
      </c>
      <c r="AL130" s="37">
        <v>0</v>
      </c>
      <c r="AM130" s="37">
        <v>1</v>
      </c>
      <c r="AN130" s="37">
        <v>5</v>
      </c>
      <c r="AO130" s="37">
        <v>1</v>
      </c>
      <c r="AP130" s="37">
        <v>1</v>
      </c>
      <c r="AQ130" s="37">
        <v>1</v>
      </c>
      <c r="AR130" s="37">
        <v>3</v>
      </c>
      <c r="AS130" s="4">
        <v>10</v>
      </c>
      <c r="AT130" s="9"/>
    </row>
    <row r="131" spans="37:46">
      <c r="AK131" s="37" t="s">
        <v>28</v>
      </c>
      <c r="AL131" s="37">
        <v>1</v>
      </c>
      <c r="AM131" s="37">
        <v>70</v>
      </c>
      <c r="AN131" s="37">
        <v>1</v>
      </c>
      <c r="AO131" s="37">
        <v>1</v>
      </c>
      <c r="AP131" s="37">
        <v>1</v>
      </c>
      <c r="AQ131" s="37">
        <v>1</v>
      </c>
      <c r="AR131" s="37">
        <v>1</v>
      </c>
      <c r="AS131" s="4">
        <v>11</v>
      </c>
      <c r="AT131" s="9"/>
    </row>
    <row r="132" spans="37:46">
      <c r="AK132" s="37" t="s">
        <v>29</v>
      </c>
      <c r="AL132" s="37">
        <v>70</v>
      </c>
      <c r="AM132" s="37">
        <v>1</v>
      </c>
      <c r="AN132" s="37">
        <v>1</v>
      </c>
      <c r="AO132" s="37">
        <v>1</v>
      </c>
      <c r="AP132" s="37">
        <v>1</v>
      </c>
      <c r="AQ132" s="37">
        <v>1</v>
      </c>
      <c r="AR132" s="37">
        <v>1</v>
      </c>
      <c r="AS132" s="4">
        <v>12</v>
      </c>
      <c r="AT132" s="9"/>
    </row>
    <row r="133" spans="37:46">
      <c r="AK133" s="154" t="s">
        <v>222</v>
      </c>
      <c r="AL133" s="154">
        <v>0</v>
      </c>
      <c r="AM133" s="154">
        <v>1</v>
      </c>
      <c r="AN133" s="154">
        <v>0</v>
      </c>
      <c r="AO133" s="154">
        <v>1</v>
      </c>
      <c r="AP133" s="154">
        <v>1</v>
      </c>
      <c r="AQ133" s="154">
        <v>0</v>
      </c>
      <c r="AR133" s="154">
        <v>0</v>
      </c>
      <c r="AS133" s="151">
        <v>13</v>
      </c>
      <c r="AT133" s="9"/>
    </row>
    <row r="134" spans="37:46">
      <c r="AK134" s="154" t="s">
        <v>224</v>
      </c>
      <c r="AL134" s="154">
        <v>0</v>
      </c>
      <c r="AM134" s="154">
        <v>2</v>
      </c>
      <c r="AN134" s="154">
        <v>1</v>
      </c>
      <c r="AO134" s="154">
        <v>2</v>
      </c>
      <c r="AP134" s="154">
        <v>1</v>
      </c>
      <c r="AQ134" s="154">
        <v>0</v>
      </c>
      <c r="AR134" s="154">
        <v>0</v>
      </c>
      <c r="AS134" s="151">
        <v>14</v>
      </c>
      <c r="AT134" s="9"/>
    </row>
    <row r="135" spans="37:46">
      <c r="AK135" s="154" t="s">
        <v>226</v>
      </c>
      <c r="AL135" s="154">
        <v>0</v>
      </c>
      <c r="AM135" s="154">
        <v>1</v>
      </c>
      <c r="AN135" s="154">
        <v>2</v>
      </c>
      <c r="AO135" s="154">
        <v>1</v>
      </c>
      <c r="AP135" s="154">
        <v>1</v>
      </c>
      <c r="AQ135" s="154">
        <v>0</v>
      </c>
      <c r="AR135" s="154">
        <v>0</v>
      </c>
      <c r="AS135" s="151">
        <v>15</v>
      </c>
      <c r="AT135" s="9"/>
    </row>
    <row r="136" spans="37:46">
      <c r="AK136" s="154" t="s">
        <v>228</v>
      </c>
      <c r="AL136" s="154">
        <v>0</v>
      </c>
      <c r="AM136" s="154">
        <v>2</v>
      </c>
      <c r="AN136" s="154">
        <v>1</v>
      </c>
      <c r="AO136" s="154">
        <v>1</v>
      </c>
      <c r="AP136" s="154">
        <v>1</v>
      </c>
      <c r="AQ136" s="154">
        <v>0</v>
      </c>
      <c r="AR136" s="154">
        <v>0</v>
      </c>
      <c r="AS136" s="151">
        <v>16</v>
      </c>
      <c r="AT136" s="9"/>
    </row>
    <row r="137" spans="37:46">
      <c r="AK137" s="154" t="s">
        <v>230</v>
      </c>
      <c r="AL137" s="154">
        <v>0</v>
      </c>
      <c r="AM137" s="154">
        <v>0</v>
      </c>
      <c r="AN137" s="154">
        <v>2</v>
      </c>
      <c r="AO137" s="154">
        <v>1</v>
      </c>
      <c r="AP137" s="154">
        <v>2</v>
      </c>
      <c r="AQ137" s="154">
        <v>0</v>
      </c>
      <c r="AR137" s="154">
        <v>0</v>
      </c>
      <c r="AS137" s="151">
        <v>17</v>
      </c>
      <c r="AT137" s="9"/>
    </row>
    <row r="138" spans="37:46">
      <c r="AK138" s="154" t="s">
        <v>232</v>
      </c>
      <c r="AL138" s="154">
        <v>0</v>
      </c>
      <c r="AM138" s="154">
        <v>2</v>
      </c>
      <c r="AN138" s="154">
        <v>1</v>
      </c>
      <c r="AO138" s="154">
        <v>1</v>
      </c>
      <c r="AP138" s="154">
        <v>2</v>
      </c>
      <c r="AQ138" s="154">
        <v>0</v>
      </c>
      <c r="AR138" s="154">
        <v>0</v>
      </c>
      <c r="AS138" s="151">
        <v>18</v>
      </c>
      <c r="AT138" s="9"/>
    </row>
    <row r="139" spans="37:46">
      <c r="AK139" s="37" t="s">
        <v>234</v>
      </c>
      <c r="AL139" s="37">
        <v>0</v>
      </c>
      <c r="AM139" s="37">
        <v>2</v>
      </c>
      <c r="AN139" s="37">
        <v>1</v>
      </c>
      <c r="AO139" s="37">
        <v>1</v>
      </c>
      <c r="AP139" s="37">
        <v>2</v>
      </c>
      <c r="AQ139" s="37">
        <v>0</v>
      </c>
      <c r="AR139" s="37">
        <v>0</v>
      </c>
      <c r="AS139" s="4">
        <v>19</v>
      </c>
      <c r="AT139" s="9"/>
    </row>
    <row r="140" spans="37:46">
      <c r="AK140" s="37" t="s">
        <v>236</v>
      </c>
      <c r="AL140" s="37">
        <v>0</v>
      </c>
      <c r="AM140" s="37">
        <v>2</v>
      </c>
      <c r="AN140" s="37">
        <v>1</v>
      </c>
      <c r="AO140" s="37">
        <v>2</v>
      </c>
      <c r="AP140" s="37">
        <v>1</v>
      </c>
      <c r="AQ140" s="37">
        <v>0</v>
      </c>
      <c r="AR140" s="37">
        <v>0</v>
      </c>
      <c r="AS140" s="4">
        <v>20</v>
      </c>
      <c r="AT140" s="9"/>
    </row>
    <row r="141" spans="37:46">
      <c r="AK141" s="37" t="s">
        <v>238</v>
      </c>
      <c r="AL141" s="37">
        <v>0</v>
      </c>
      <c r="AM141" s="37">
        <v>0</v>
      </c>
      <c r="AN141" s="37">
        <v>2</v>
      </c>
      <c r="AO141" s="37">
        <v>1</v>
      </c>
      <c r="AP141" s="37">
        <v>1</v>
      </c>
      <c r="AQ141" s="37">
        <v>0</v>
      </c>
      <c r="AR141" s="37">
        <v>0</v>
      </c>
      <c r="AS141" s="4">
        <v>21</v>
      </c>
      <c r="AT141" s="9"/>
    </row>
    <row r="142" spans="37:46">
      <c r="AK142" s="37" t="s">
        <v>240</v>
      </c>
      <c r="AL142" s="37">
        <v>0</v>
      </c>
      <c r="AM142" s="37">
        <v>4</v>
      </c>
      <c r="AN142" s="37">
        <v>1</v>
      </c>
      <c r="AO142" s="37">
        <v>1</v>
      </c>
      <c r="AP142" s="37">
        <v>1</v>
      </c>
      <c r="AQ142" s="37">
        <v>0</v>
      </c>
      <c r="AR142" s="37">
        <v>0</v>
      </c>
      <c r="AS142" s="4">
        <v>22</v>
      </c>
      <c r="AT142" s="9"/>
    </row>
    <row r="143" spans="37:46">
      <c r="AK143" s="37" t="s">
        <v>242</v>
      </c>
      <c r="AL143" s="37">
        <v>0</v>
      </c>
      <c r="AM143" s="37">
        <v>1</v>
      </c>
      <c r="AN143" s="37">
        <v>1</v>
      </c>
      <c r="AO143" s="37">
        <v>1</v>
      </c>
      <c r="AP143" s="37">
        <v>1</v>
      </c>
      <c r="AQ143" s="37">
        <v>0</v>
      </c>
      <c r="AR143" s="37">
        <v>0</v>
      </c>
      <c r="AS143" s="4">
        <v>23</v>
      </c>
      <c r="AT143" s="9"/>
    </row>
    <row r="144" spans="37:46">
      <c r="AK144" s="154" t="s">
        <v>94</v>
      </c>
      <c r="AL144" s="154">
        <v>0</v>
      </c>
      <c r="AM144" s="154">
        <v>0</v>
      </c>
      <c r="AN144" s="154">
        <v>0</v>
      </c>
      <c r="AO144" s="154">
        <v>0</v>
      </c>
      <c r="AP144" s="154">
        <v>0</v>
      </c>
      <c r="AQ144" s="154">
        <v>0</v>
      </c>
      <c r="AR144" s="154">
        <v>0</v>
      </c>
      <c r="AS144" s="151">
        <v>24</v>
      </c>
      <c r="AT144" s="9"/>
    </row>
    <row r="145" spans="37:46">
      <c r="AK145" s="154" t="s">
        <v>257</v>
      </c>
      <c r="AL145" s="154">
        <v>0</v>
      </c>
      <c r="AM145" s="154">
        <v>0</v>
      </c>
      <c r="AN145" s="154">
        <v>0</v>
      </c>
      <c r="AO145" s="154">
        <v>0</v>
      </c>
      <c r="AP145" s="154">
        <v>0</v>
      </c>
      <c r="AQ145" s="154">
        <v>0</v>
      </c>
      <c r="AR145" s="154">
        <v>0</v>
      </c>
      <c r="AS145" s="151">
        <v>25</v>
      </c>
      <c r="AT145" s="9"/>
    </row>
    <row r="146" spans="37:46">
      <c r="AT146" s="9"/>
    </row>
    <row r="147" spans="37:46">
      <c r="AO147" s="9"/>
      <c r="AP147" s="9"/>
      <c r="AQ147" s="9"/>
      <c r="AR147" s="9"/>
      <c r="AS147" s="9"/>
      <c r="AT147" s="9"/>
    </row>
    <row r="148" spans="37:46">
      <c r="AO148" s="9"/>
      <c r="AP148" s="9"/>
      <c r="AQ148" s="9"/>
      <c r="AR148" s="9"/>
      <c r="AS148" s="9"/>
      <c r="AT148" s="9"/>
    </row>
    <row r="149" spans="37:46">
      <c r="AO149" s="9"/>
      <c r="AP149" s="9"/>
      <c r="AQ149" s="9"/>
      <c r="AR149" s="9"/>
      <c r="AS149" s="9"/>
      <c r="AT149" s="9"/>
    </row>
    <row r="150" spans="37:46">
      <c r="AO150" s="9"/>
      <c r="AP150" s="9"/>
      <c r="AQ150" s="9"/>
      <c r="AR150" s="9"/>
      <c r="AS150" s="9"/>
      <c r="AT150" s="9"/>
    </row>
    <row r="151" spans="37:46">
      <c r="AO151" s="9"/>
      <c r="AP151" s="9"/>
      <c r="AQ151" s="9"/>
      <c r="AR151" s="9"/>
      <c r="AS151" s="9"/>
      <c r="AT151" s="9"/>
    </row>
    <row r="152" spans="37:46">
      <c r="AO152" s="9"/>
      <c r="AP152" s="9"/>
      <c r="AQ152" s="9"/>
      <c r="AR152" s="9"/>
      <c r="AS152" s="9"/>
      <c r="AT152" s="9"/>
    </row>
    <row r="153" spans="37:46">
      <c r="AO153" s="9"/>
      <c r="AP153" s="9"/>
      <c r="AQ153" s="9"/>
      <c r="AR153" s="9"/>
      <c r="AS153" s="9"/>
      <c r="AT153" s="9"/>
    </row>
    <row r="154" spans="37:46">
      <c r="AO154" s="9"/>
      <c r="AP154" s="9"/>
      <c r="AQ154" s="9"/>
      <c r="AR154" s="9"/>
      <c r="AS154" s="9"/>
      <c r="AT154" s="9"/>
    </row>
    <row r="155" spans="37:46">
      <c r="AO155" s="9"/>
      <c r="AP155" s="9"/>
      <c r="AQ155" s="9"/>
      <c r="AR155" s="9"/>
      <c r="AS155" s="9"/>
      <c r="AT155" s="9"/>
    </row>
    <row r="156" spans="37:46">
      <c r="AO156" s="9"/>
      <c r="AP156" s="9"/>
      <c r="AQ156" s="9"/>
      <c r="AR156" s="9"/>
      <c r="AS156" s="9"/>
      <c r="AT156" s="9"/>
    </row>
    <row r="157" spans="37:46">
      <c r="AO157" s="9"/>
      <c r="AP157" s="9"/>
      <c r="AQ157" s="9"/>
      <c r="AR157" s="9"/>
      <c r="AS157" s="9"/>
      <c r="AT157" s="9"/>
    </row>
    <row r="158" spans="37:46">
      <c r="AO158" s="9"/>
      <c r="AP158" s="9"/>
      <c r="AQ158" s="9"/>
      <c r="AR158" s="9"/>
      <c r="AS158" s="9"/>
      <c r="AT158" s="9"/>
    </row>
    <row r="159" spans="37:46">
      <c r="AO159" s="9"/>
      <c r="AP159" s="9"/>
      <c r="AQ159" s="9"/>
      <c r="AR159" s="9"/>
      <c r="AS159" s="9"/>
      <c r="AT159" s="9"/>
    </row>
    <row r="160" spans="37:46">
      <c r="AO160" s="9"/>
      <c r="AP160" s="9"/>
      <c r="AQ160" s="9"/>
      <c r="AR160" s="9"/>
      <c r="AS160" s="9"/>
      <c r="AT160" s="9"/>
    </row>
    <row r="161" spans="41:46">
      <c r="AO161" s="9"/>
      <c r="AP161" s="9"/>
      <c r="AQ161" s="9"/>
      <c r="AR161" s="9"/>
      <c r="AS161" s="9"/>
      <c r="AT161" s="9"/>
    </row>
    <row r="162" spans="41:46">
      <c r="AO162" s="9"/>
      <c r="AP162" s="9"/>
      <c r="AQ162" s="9"/>
      <c r="AR162" s="9"/>
      <c r="AS162" s="9"/>
      <c r="AT162" s="9"/>
    </row>
    <row r="163" spans="41:46">
      <c r="AO163" s="9"/>
      <c r="AP163" s="9"/>
      <c r="AQ163" s="9"/>
      <c r="AR163" s="9"/>
      <c r="AS163" s="9"/>
      <c r="AT163" s="9"/>
    </row>
    <row r="164" spans="41:46">
      <c r="AO164" s="9"/>
      <c r="AP164" s="9"/>
      <c r="AQ164" s="9"/>
      <c r="AR164" s="9"/>
      <c r="AS164" s="9"/>
      <c r="AT164" s="9"/>
    </row>
    <row r="165" spans="41:46">
      <c r="AO165" s="9"/>
      <c r="AP165" s="9"/>
      <c r="AQ165" s="9"/>
      <c r="AR165" s="9"/>
      <c r="AS165" s="9"/>
      <c r="AT165" s="9"/>
    </row>
    <row r="166" spans="41:46">
      <c r="AO166" s="9"/>
      <c r="AP166" s="9"/>
      <c r="AQ166" s="9"/>
      <c r="AR166" s="9"/>
      <c r="AS166" s="9"/>
      <c r="AT166" s="9"/>
    </row>
    <row r="167" spans="41:46">
      <c r="AO167" s="9"/>
      <c r="AP167" s="9"/>
      <c r="AQ167" s="9"/>
      <c r="AR167" s="9"/>
      <c r="AS167" s="9"/>
      <c r="AT167" s="9"/>
    </row>
    <row r="168" spans="41:46">
      <c r="AO168" s="9"/>
      <c r="AP168" s="9"/>
      <c r="AQ168" s="9"/>
      <c r="AR168" s="9"/>
      <c r="AS168" s="9"/>
      <c r="AT168" s="9"/>
    </row>
    <row r="169" spans="41:46">
      <c r="AO169" s="9"/>
      <c r="AP169" s="9"/>
      <c r="AQ169" s="9"/>
      <c r="AR169" s="9"/>
      <c r="AS169" s="9"/>
      <c r="AT169" s="9"/>
    </row>
    <row r="170" spans="41:46">
      <c r="AO170" s="9"/>
      <c r="AP170" s="9"/>
      <c r="AQ170" s="9"/>
      <c r="AR170" s="9"/>
      <c r="AS170" s="9"/>
      <c r="AT170" s="9"/>
    </row>
    <row r="171" spans="41:46">
      <c r="AO171" s="9"/>
      <c r="AP171" s="9"/>
      <c r="AQ171" s="9"/>
      <c r="AR171" s="9"/>
      <c r="AS171" s="9"/>
      <c r="AT171" s="9"/>
    </row>
    <row r="172" spans="41:46">
      <c r="AO172" s="9"/>
      <c r="AP172" s="9"/>
      <c r="AQ172" s="9"/>
      <c r="AR172" s="9"/>
      <c r="AS172" s="9"/>
      <c r="AT172" s="9"/>
    </row>
    <row r="173" spans="41:46">
      <c r="AO173" s="9"/>
      <c r="AP173" s="9"/>
      <c r="AQ173" s="9"/>
      <c r="AR173" s="9"/>
      <c r="AS173" s="9"/>
      <c r="AT173" s="9"/>
    </row>
    <row r="174" spans="41:46">
      <c r="AO174" s="9"/>
      <c r="AP174" s="9"/>
      <c r="AQ174" s="9"/>
      <c r="AR174" s="9"/>
      <c r="AS174" s="9"/>
      <c r="AT174" s="9"/>
    </row>
    <row r="175" spans="41:46">
      <c r="AO175" s="9"/>
      <c r="AP175" s="9"/>
      <c r="AQ175" s="9"/>
      <c r="AR175" s="9"/>
      <c r="AS175" s="9"/>
      <c r="AT175" s="9"/>
    </row>
    <row r="176" spans="41:46">
      <c r="AO176" s="9"/>
      <c r="AP176" s="9"/>
      <c r="AQ176" s="9"/>
      <c r="AR176" s="9"/>
      <c r="AS176" s="9"/>
      <c r="AT176" s="9"/>
    </row>
    <row r="177" spans="41:46">
      <c r="AO177" s="9"/>
      <c r="AP177" s="9"/>
      <c r="AQ177" s="9"/>
      <c r="AR177" s="9"/>
      <c r="AS177" s="9"/>
      <c r="AT177" s="9"/>
    </row>
    <row r="178" spans="41:46">
      <c r="AO178" s="9"/>
      <c r="AP178" s="9"/>
      <c r="AQ178" s="9"/>
      <c r="AR178" s="9"/>
      <c r="AS178" s="9"/>
      <c r="AT178" s="9"/>
    </row>
    <row r="179" spans="41:46">
      <c r="AO179" s="9"/>
      <c r="AP179" s="9"/>
      <c r="AQ179" s="9"/>
      <c r="AR179" s="9"/>
      <c r="AS179" s="9"/>
      <c r="AT179" s="9"/>
    </row>
    <row r="180" spans="41:46">
      <c r="AO180" s="9"/>
      <c r="AP180" s="9"/>
      <c r="AQ180" s="9"/>
      <c r="AR180" s="9"/>
      <c r="AS180" s="9"/>
      <c r="AT180" s="9"/>
    </row>
    <row r="181" spans="41:46">
      <c r="AO181" s="9"/>
      <c r="AP181" s="9"/>
      <c r="AQ181" s="9"/>
      <c r="AR181" s="9"/>
      <c r="AS181" s="9"/>
      <c r="AT181" s="9"/>
    </row>
    <row r="182" spans="41:46">
      <c r="AO182" s="9"/>
      <c r="AP182" s="9"/>
      <c r="AQ182" s="9"/>
      <c r="AR182" s="9"/>
      <c r="AS182" s="9"/>
      <c r="AT182" s="9"/>
    </row>
    <row r="183" spans="41:46">
      <c r="AO183" s="9"/>
      <c r="AP183" s="9"/>
      <c r="AQ183" s="9"/>
      <c r="AR183" s="9"/>
      <c r="AS183" s="9"/>
      <c r="AT183" s="9"/>
    </row>
    <row r="184" spans="41:46">
      <c r="AO184" s="9"/>
      <c r="AP184" s="9"/>
      <c r="AQ184" s="9"/>
      <c r="AR184" s="9"/>
      <c r="AS184" s="9"/>
      <c r="AT184" s="9"/>
    </row>
    <row r="185" spans="41:46">
      <c r="AO185" s="9"/>
      <c r="AP185" s="9"/>
      <c r="AQ185" s="9"/>
      <c r="AR185" s="9"/>
      <c r="AS185" s="9"/>
      <c r="AT185" s="9"/>
    </row>
    <row r="186" spans="41:46">
      <c r="AO186" s="9"/>
      <c r="AP186" s="9"/>
      <c r="AQ186" s="9"/>
      <c r="AR186" s="9"/>
      <c r="AS186" s="9"/>
      <c r="AT186" s="9"/>
    </row>
    <row r="187" spans="41:46">
      <c r="AO187" s="9"/>
      <c r="AP187" s="9"/>
      <c r="AQ187" s="9"/>
      <c r="AR187" s="9"/>
      <c r="AS187" s="9"/>
      <c r="AT187" s="9"/>
    </row>
    <row r="188" spans="41:46">
      <c r="AO188" s="9"/>
      <c r="AP188" s="9"/>
      <c r="AQ188" s="9"/>
      <c r="AR188" s="9"/>
      <c r="AS188" s="9"/>
      <c r="AT188" s="9"/>
    </row>
    <row r="189" spans="41:46">
      <c r="AO189" s="9"/>
      <c r="AP189" s="9"/>
      <c r="AQ189" s="9"/>
      <c r="AR189" s="9"/>
      <c r="AS189" s="9"/>
      <c r="AT189" s="9"/>
    </row>
    <row r="190" spans="41:46">
      <c r="AO190" s="9"/>
      <c r="AP190" s="9"/>
      <c r="AQ190" s="9"/>
      <c r="AR190" s="9"/>
      <c r="AS190" s="9"/>
      <c r="AT190" s="9"/>
    </row>
    <row r="191" spans="41:46">
      <c r="AO191" s="9"/>
      <c r="AP191" s="9"/>
      <c r="AQ191" s="9"/>
      <c r="AR191" s="9"/>
      <c r="AS191" s="9"/>
      <c r="AT191" s="9"/>
    </row>
    <row r="192" spans="41:46">
      <c r="AO192" s="9"/>
      <c r="AP192" s="9"/>
      <c r="AQ192" s="9"/>
      <c r="AR192" s="9"/>
      <c r="AS192" s="9"/>
      <c r="AT192" s="9"/>
    </row>
    <row r="193" spans="41:46">
      <c r="AO193" s="9"/>
      <c r="AP193" s="9"/>
      <c r="AQ193" s="9"/>
      <c r="AR193" s="9"/>
      <c r="AS193" s="9"/>
      <c r="AT193" s="9"/>
    </row>
    <row r="194" spans="41:46">
      <c r="AO194" s="9"/>
      <c r="AP194" s="9"/>
      <c r="AQ194" s="9"/>
      <c r="AR194" s="9"/>
      <c r="AS194" s="9"/>
      <c r="AT194" s="9"/>
    </row>
    <row r="195" spans="41:46">
      <c r="AO195" s="9"/>
      <c r="AP195" s="9"/>
      <c r="AQ195" s="9"/>
      <c r="AR195" s="9"/>
      <c r="AS195" s="9"/>
      <c r="AT195" s="9"/>
    </row>
    <row r="196" spans="41:46">
      <c r="AO196" s="9"/>
      <c r="AP196" s="9"/>
      <c r="AQ196" s="9"/>
      <c r="AR196" s="9"/>
      <c r="AS196" s="9"/>
      <c r="AT196" s="9"/>
    </row>
    <row r="197" spans="41:46">
      <c r="AO197" s="9"/>
      <c r="AP197" s="9"/>
      <c r="AQ197" s="9"/>
      <c r="AR197" s="9"/>
      <c r="AS197" s="9"/>
      <c r="AT197" s="9"/>
    </row>
    <row r="198" spans="41:46">
      <c r="AO198" s="9"/>
      <c r="AP198" s="9"/>
      <c r="AQ198" s="9"/>
      <c r="AR198" s="9"/>
      <c r="AS198" s="9"/>
      <c r="AT198" s="9"/>
    </row>
    <row r="199" spans="41:46">
      <c r="AO199" s="9"/>
      <c r="AP199" s="9"/>
      <c r="AQ199" s="9"/>
      <c r="AR199" s="9"/>
      <c r="AS199" s="9"/>
      <c r="AT199" s="9"/>
    </row>
    <row r="200" spans="41:46">
      <c r="AO200" s="9"/>
      <c r="AP200" s="9"/>
      <c r="AQ200" s="9"/>
      <c r="AR200" s="9"/>
      <c r="AS200" s="9"/>
      <c r="AT200" s="9"/>
    </row>
    <row r="201" spans="41:46">
      <c r="AO201" s="9"/>
      <c r="AP201" s="9"/>
      <c r="AQ201" s="9"/>
      <c r="AR201" s="9"/>
      <c r="AS201" s="9"/>
      <c r="AT201" s="9"/>
    </row>
    <row r="202" spans="41:46">
      <c r="AO202" s="9"/>
      <c r="AP202" s="9"/>
      <c r="AQ202" s="9"/>
      <c r="AR202" s="9"/>
      <c r="AS202" s="9"/>
      <c r="AT202" s="9"/>
    </row>
    <row r="203" spans="41:46">
      <c r="AO203" s="9"/>
      <c r="AP203" s="9"/>
      <c r="AQ203" s="9"/>
      <c r="AR203" s="9"/>
      <c r="AS203" s="9"/>
      <c r="AT203" s="9"/>
    </row>
    <row r="204" spans="41:46">
      <c r="AO204" s="9"/>
      <c r="AP204" s="9"/>
      <c r="AQ204" s="9"/>
      <c r="AR204" s="9"/>
      <c r="AS204" s="9"/>
      <c r="AT204" s="9"/>
    </row>
    <row r="205" spans="41:46">
      <c r="AO205" s="9"/>
      <c r="AP205" s="9"/>
      <c r="AQ205" s="9"/>
      <c r="AR205" s="9"/>
      <c r="AS205" s="9"/>
      <c r="AT205" s="9"/>
    </row>
    <row r="206" spans="41:46">
      <c r="AO206" s="9"/>
      <c r="AP206" s="9"/>
      <c r="AQ206" s="9"/>
      <c r="AR206" s="9"/>
      <c r="AS206" s="9"/>
      <c r="AT206" s="9"/>
    </row>
    <row r="207" spans="41:46">
      <c r="AO207" s="9"/>
      <c r="AP207" s="9"/>
      <c r="AQ207" s="9"/>
      <c r="AR207" s="9"/>
      <c r="AS207" s="9"/>
      <c r="AT207" s="9"/>
    </row>
    <row r="208" spans="41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9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50"/>
      <c r="N304" s="150"/>
      <c r="O304" s="150"/>
      <c r="P304" s="150"/>
      <c r="Q304" s="150"/>
      <c r="R304" s="150"/>
      <c r="S304" s="150"/>
      <c r="T304" s="1"/>
      <c r="U304" s="1"/>
      <c r="V304" s="150"/>
      <c r="W304" s="150"/>
      <c r="X304" s="150"/>
      <c r="Y304" s="150"/>
      <c r="Z304" s="150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>
      <c r="K305" s="35"/>
    </row>
    <row r="306" spans="1:1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1" spans="37:45">
      <c r="AK321" s="19"/>
      <c r="AL321" s="19"/>
      <c r="AM321" s="19"/>
      <c r="AN321" s="19"/>
      <c r="AO321" s="19"/>
      <c r="AP321" s="19"/>
      <c r="AQ321" s="19"/>
      <c r="AR321" s="19"/>
      <c r="AS321" s="19"/>
    </row>
    <row r="404" spans="36:36">
      <c r="AJ404" s="31"/>
    </row>
    <row r="405" spans="36:36">
      <c r="AJ405" s="31"/>
    </row>
  </sheetData>
  <phoneticPr fontId="20" type="noConversion"/>
  <conditionalFormatting sqref="M1:S1048576">
    <cfRule type="cellIs" dxfId="93" priority="1" operator="equal">
      <formula>"C1"</formula>
    </cfRule>
    <cfRule type="cellIs" dxfId="92" priority="2" operator="equal">
      <formula>"G6"</formula>
    </cfRule>
    <cfRule type="cellIs" dxfId="91" priority="3" operator="equal">
      <formula>"G5"</formula>
    </cfRule>
    <cfRule type="cellIs" dxfId="90" priority="4" operator="equal">
      <formula>"G4"</formula>
    </cfRule>
    <cfRule type="cellIs" dxfId="89" priority="5" operator="equal">
      <formula>"G3"</formula>
    </cfRule>
    <cfRule type="cellIs" dxfId="88" priority="6" operator="equal">
      <formula>"G2"</formula>
    </cfRule>
    <cfRule type="cellIs" dxfId="87" priority="7" operator="equal">
      <formula>"G1"</formula>
    </cfRule>
    <cfRule type="cellIs" dxfId="86" priority="8" operator="equal">
      <formula>"M5"</formula>
    </cfRule>
    <cfRule type="cellIs" dxfId="85" priority="9" operator="equal">
      <formula>"M4"</formula>
    </cfRule>
    <cfRule type="cellIs" dxfId="84" priority="10" operator="equal">
      <formula>"M3"</formula>
    </cfRule>
    <cfRule type="cellIs" dxfId="83" priority="11" operator="equal">
      <formula>"M6"</formula>
    </cfRule>
    <cfRule type="cellIs" dxfId="82" priority="12" operator="equal">
      <formula>"M2"</formula>
    </cfRule>
    <cfRule type="cellIs" dxfId="81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510D-A1B9-4661-9C13-9DCCFBE25FB7}">
  <sheetPr codeName="工作表10">
    <tabColor theme="3" tint="0.59999389629810485"/>
  </sheetPr>
  <dimension ref="A2:AT405"/>
  <sheetViews>
    <sheetView zoomScaleNormal="100" workbookViewId="0">
      <selection activeCell="AD19" sqref="AD19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50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>
      <c r="K2" s="33"/>
      <c r="L2" s="9" t="s">
        <v>52</v>
      </c>
      <c r="U2" s="9" t="s">
        <v>219</v>
      </c>
      <c r="AC2" s="9" t="s">
        <v>220</v>
      </c>
      <c r="AD2" s="166"/>
      <c r="AE2" s="166"/>
      <c r="AF2" s="166"/>
      <c r="AG2" s="166"/>
      <c r="AH2" s="166"/>
      <c r="AI2" s="166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50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265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>
      <c r="A4" s="149" t="str" cm="1">
        <f t="array" ref="A4:B29">Overview!$A$42:$B$67</f>
        <v>WW</v>
      </c>
      <c r="B4" s="149" t="str">
        <v>Wild</v>
      </c>
      <c r="C4" s="52">
        <f t="shared" ref="C4:C29" si="0">COUNTIF(M$4:M$304,$A4)</f>
        <v>0</v>
      </c>
      <c r="D4" s="52">
        <f t="shared" ref="D4:I19" si="1">COUNTIF(N$4:N$304,$A4)</f>
        <v>0</v>
      </c>
      <c r="E4" s="52">
        <f t="shared" si="1"/>
        <v>0</v>
      </c>
      <c r="F4" s="52">
        <f t="shared" si="1"/>
        <v>0</v>
      </c>
      <c r="G4" s="52">
        <f t="shared" si="1"/>
        <v>0</v>
      </c>
      <c r="H4" s="52">
        <f t="shared" si="1"/>
        <v>0</v>
      </c>
      <c r="I4" s="52">
        <f t="shared" si="1"/>
        <v>0</v>
      </c>
      <c r="J4" s="149">
        <v>0</v>
      </c>
      <c r="K4" s="34"/>
      <c r="L4" s="15">
        <v>0</v>
      </c>
      <c r="M4" s="156" t="s">
        <v>89</v>
      </c>
      <c r="N4" s="156" t="s">
        <v>89</v>
      </c>
      <c r="O4" s="156" t="s">
        <v>26</v>
      </c>
      <c r="P4" s="156" t="s">
        <v>64</v>
      </c>
      <c r="Q4" s="156" t="s">
        <v>18</v>
      </c>
      <c r="R4" s="156" t="s">
        <v>24</v>
      </c>
      <c r="S4" s="157" t="s">
        <v>24</v>
      </c>
      <c r="U4" s="158">
        <f t="shared" ref="U4:AA19" si="2">VLOOKUP(M4, $A$4:$J$29, 9, 0)</f>
        <v>7</v>
      </c>
      <c r="V4" s="158">
        <f t="shared" si="2"/>
        <v>7</v>
      </c>
      <c r="W4" s="158">
        <f t="shared" si="2"/>
        <v>7</v>
      </c>
      <c r="X4" s="158">
        <f t="shared" si="2"/>
        <v>14</v>
      </c>
      <c r="Y4" s="158">
        <f t="shared" si="2"/>
        <v>10</v>
      </c>
      <c r="Z4" s="158">
        <f t="shared" si="2"/>
        <v>11</v>
      </c>
      <c r="AA4" s="158">
        <f t="shared" si="2"/>
        <v>11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49">
        <v>3</v>
      </c>
      <c r="AK4" s="10" t="s">
        <v>68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4"/>
      <c r="L5" s="14">
        <v>1</v>
      </c>
      <c r="M5" s="38" t="s">
        <v>26</v>
      </c>
      <c r="N5" s="38" t="s">
        <v>28</v>
      </c>
      <c r="O5" s="38" t="s">
        <v>26</v>
      </c>
      <c r="P5" s="38" t="s">
        <v>24</v>
      </c>
      <c r="Q5" s="38" t="s">
        <v>228</v>
      </c>
      <c r="R5" s="38" t="s">
        <v>26</v>
      </c>
      <c r="S5" s="24" t="s">
        <v>24</v>
      </c>
      <c r="U5" s="37">
        <f t="shared" si="2"/>
        <v>7</v>
      </c>
      <c r="V5" s="37">
        <f t="shared" si="2"/>
        <v>15</v>
      </c>
      <c r="W5" s="37">
        <f t="shared" si="2"/>
        <v>7</v>
      </c>
      <c r="X5" s="37">
        <f t="shared" si="2"/>
        <v>11</v>
      </c>
      <c r="Y5" s="37">
        <f t="shared" si="2"/>
        <v>0</v>
      </c>
      <c r="Z5" s="37">
        <f t="shared" si="2"/>
        <v>7</v>
      </c>
      <c r="AA5" s="37">
        <f t="shared" si="2"/>
        <v>11</v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4">
        <v>1</v>
      </c>
      <c r="AK5" s="37" t="s">
        <v>19</v>
      </c>
      <c r="AL5" s="37">
        <v>5</v>
      </c>
      <c r="AM5" s="37">
        <v>3</v>
      </c>
      <c r="AN5" s="37">
        <v>3</v>
      </c>
      <c r="AO5" s="37">
        <v>5</v>
      </c>
      <c r="AP5" s="37">
        <v>5</v>
      </c>
      <c r="AQ5" s="37">
        <v>5</v>
      </c>
      <c r="AR5" s="37">
        <v>0</v>
      </c>
      <c r="AS5" s="4">
        <v>1</v>
      </c>
    </row>
    <row r="6" spans="1:45" ht="15.9" customHeight="1">
      <c r="A6" s="151" t="str">
        <v>M1</v>
      </c>
      <c r="B6" s="151" t="str">
        <v>M1</v>
      </c>
      <c r="C6" s="153">
        <f t="shared" si="0"/>
        <v>0</v>
      </c>
      <c r="D6" s="153">
        <f t="shared" si="1"/>
        <v>0</v>
      </c>
      <c r="E6" s="153">
        <f t="shared" si="1"/>
        <v>0</v>
      </c>
      <c r="F6" s="153">
        <f t="shared" si="1"/>
        <v>0</v>
      </c>
      <c r="G6" s="153">
        <f t="shared" si="1"/>
        <v>0</v>
      </c>
      <c r="H6" s="153">
        <f t="shared" si="1"/>
        <v>0</v>
      </c>
      <c r="I6" s="153">
        <f t="shared" si="1"/>
        <v>0</v>
      </c>
      <c r="J6" s="151">
        <v>2</v>
      </c>
      <c r="L6" s="15">
        <v>2</v>
      </c>
      <c r="M6" s="38" t="s">
        <v>28</v>
      </c>
      <c r="N6" s="38" t="s">
        <v>29</v>
      </c>
      <c r="O6" s="38" t="s">
        <v>21</v>
      </c>
      <c r="P6" s="38" t="s">
        <v>24</v>
      </c>
      <c r="Q6" s="38" t="s">
        <v>64</v>
      </c>
      <c r="R6" s="38" t="s">
        <v>64</v>
      </c>
      <c r="S6" s="24" t="s">
        <v>24</v>
      </c>
      <c r="U6" s="37">
        <f t="shared" si="2"/>
        <v>15</v>
      </c>
      <c r="V6" s="37">
        <f t="shared" si="2"/>
        <v>19</v>
      </c>
      <c r="W6" s="37">
        <f t="shared" si="2"/>
        <v>12</v>
      </c>
      <c r="X6" s="37">
        <f t="shared" si="2"/>
        <v>11</v>
      </c>
      <c r="Y6" s="37">
        <f t="shared" si="2"/>
        <v>14</v>
      </c>
      <c r="Z6" s="37">
        <f t="shared" si="2"/>
        <v>14</v>
      </c>
      <c r="AA6" s="37">
        <f t="shared" si="2"/>
        <v>11</v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4" t="s">
        <v>20</v>
      </c>
      <c r="AL6" s="154">
        <v>40</v>
      </c>
      <c r="AM6" s="154">
        <v>40</v>
      </c>
      <c r="AN6" s="154">
        <v>20</v>
      </c>
      <c r="AO6" s="154">
        <v>40</v>
      </c>
      <c r="AP6" s="154">
        <v>40</v>
      </c>
      <c r="AQ6" s="154">
        <v>1</v>
      </c>
      <c r="AR6" s="154">
        <v>1</v>
      </c>
      <c r="AS6" s="151">
        <v>2</v>
      </c>
    </row>
    <row r="7" spans="1:45" ht="15.9" customHeight="1">
      <c r="A7" s="151" t="str">
        <v>M2</v>
      </c>
      <c r="B7" s="151" t="str">
        <v>M2</v>
      </c>
      <c r="C7" s="153">
        <f t="shared" si="0"/>
        <v>1</v>
      </c>
      <c r="D7" s="153">
        <f t="shared" si="1"/>
        <v>12</v>
      </c>
      <c r="E7" s="153">
        <f t="shared" si="1"/>
        <v>7</v>
      </c>
      <c r="F7" s="153">
        <f t="shared" si="1"/>
        <v>3</v>
      </c>
      <c r="G7" s="153">
        <f t="shared" si="1"/>
        <v>9</v>
      </c>
      <c r="H7" s="153">
        <f t="shared" si="1"/>
        <v>0</v>
      </c>
      <c r="I7" s="153">
        <f t="shared" si="1"/>
        <v>12</v>
      </c>
      <c r="J7" s="151">
        <v>3</v>
      </c>
      <c r="L7" s="14">
        <v>3</v>
      </c>
      <c r="M7" s="38" t="s">
        <v>29</v>
      </c>
      <c r="N7" s="38" t="s">
        <v>27</v>
      </c>
      <c r="O7" s="38" t="s">
        <v>24</v>
      </c>
      <c r="P7" s="38" t="s">
        <v>24</v>
      </c>
      <c r="Q7" s="38" t="s">
        <v>64</v>
      </c>
      <c r="R7" s="38" t="s">
        <v>29</v>
      </c>
      <c r="S7" s="24" t="s">
        <v>24</v>
      </c>
      <c r="U7" s="37">
        <f t="shared" si="2"/>
        <v>19</v>
      </c>
      <c r="V7" s="37">
        <f t="shared" si="2"/>
        <v>12</v>
      </c>
      <c r="W7" s="37">
        <f t="shared" si="2"/>
        <v>11</v>
      </c>
      <c r="X7" s="37">
        <f t="shared" si="2"/>
        <v>11</v>
      </c>
      <c r="Y7" s="37">
        <f t="shared" si="2"/>
        <v>14</v>
      </c>
      <c r="Z7" s="37">
        <f t="shared" si="2"/>
        <v>19</v>
      </c>
      <c r="AA7" s="37">
        <f t="shared" si="2"/>
        <v>11</v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4" t="s">
        <v>21</v>
      </c>
      <c r="AL7" s="154">
        <v>10</v>
      </c>
      <c r="AM7" s="154">
        <v>32</v>
      </c>
      <c r="AN7" s="154">
        <v>40</v>
      </c>
      <c r="AO7" s="154">
        <v>40</v>
      </c>
      <c r="AP7" s="154">
        <v>1</v>
      </c>
      <c r="AQ7" s="154">
        <v>1</v>
      </c>
      <c r="AR7" s="154">
        <v>1</v>
      </c>
      <c r="AS7" s="151">
        <v>3</v>
      </c>
    </row>
    <row r="8" spans="1:45" ht="15.9" customHeight="1">
      <c r="A8" s="151" t="str">
        <v>M3</v>
      </c>
      <c r="B8" s="151" t="str">
        <v>M3</v>
      </c>
      <c r="C8" s="153">
        <f t="shared" si="0"/>
        <v>3</v>
      </c>
      <c r="D8" s="153">
        <f t="shared" si="1"/>
        <v>1</v>
      </c>
      <c r="E8" s="153">
        <f t="shared" si="1"/>
        <v>3</v>
      </c>
      <c r="F8" s="153">
        <f t="shared" si="1"/>
        <v>8</v>
      </c>
      <c r="G8" s="153">
        <f t="shared" si="1"/>
        <v>3</v>
      </c>
      <c r="H8" s="153">
        <f t="shared" si="1"/>
        <v>3</v>
      </c>
      <c r="I8" s="153">
        <f t="shared" si="1"/>
        <v>14</v>
      </c>
      <c r="J8" s="151">
        <v>4</v>
      </c>
      <c r="L8" s="15">
        <v>4</v>
      </c>
      <c r="M8" s="38" t="s">
        <v>26</v>
      </c>
      <c r="N8" s="38" t="s">
        <v>29</v>
      </c>
      <c r="O8" s="38" t="s">
        <v>226</v>
      </c>
      <c r="P8" s="38" t="s">
        <v>27</v>
      </c>
      <c r="Q8" s="38" t="s">
        <v>26</v>
      </c>
      <c r="R8" s="38" t="s">
        <v>29</v>
      </c>
      <c r="S8" s="24" t="s">
        <v>21</v>
      </c>
      <c r="U8" s="37">
        <f t="shared" si="2"/>
        <v>7</v>
      </c>
      <c r="V8" s="37">
        <f t="shared" si="2"/>
        <v>19</v>
      </c>
      <c r="W8" s="37">
        <f t="shared" si="2"/>
        <v>0</v>
      </c>
      <c r="X8" s="37">
        <f t="shared" si="2"/>
        <v>12</v>
      </c>
      <c r="Y8" s="37">
        <f t="shared" si="2"/>
        <v>7</v>
      </c>
      <c r="Z8" s="37">
        <f t="shared" si="2"/>
        <v>19</v>
      </c>
      <c r="AA8" s="37">
        <f t="shared" si="2"/>
        <v>12</v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4">
        <v>3</v>
      </c>
      <c r="AK8" s="154" t="s">
        <v>17</v>
      </c>
      <c r="AL8" s="154">
        <v>40</v>
      </c>
      <c r="AM8" s="154">
        <v>13</v>
      </c>
      <c r="AN8" s="154">
        <v>15</v>
      </c>
      <c r="AO8" s="154">
        <v>1</v>
      </c>
      <c r="AP8" s="154">
        <v>1</v>
      </c>
      <c r="AQ8" s="154">
        <v>40</v>
      </c>
      <c r="AR8" s="154">
        <v>1</v>
      </c>
      <c r="AS8" s="151">
        <v>4</v>
      </c>
    </row>
    <row r="9" spans="1:45" ht="15.9" customHeight="1">
      <c r="A9" s="151" t="str">
        <v>M4</v>
      </c>
      <c r="B9" s="151" t="str">
        <v>M4</v>
      </c>
      <c r="C9" s="153">
        <f t="shared" si="0"/>
        <v>8</v>
      </c>
      <c r="D9" s="153">
        <f t="shared" si="1"/>
        <v>1</v>
      </c>
      <c r="E9" s="153">
        <f t="shared" si="1"/>
        <v>16</v>
      </c>
      <c r="F9" s="153">
        <f t="shared" si="1"/>
        <v>3</v>
      </c>
      <c r="G9" s="153">
        <f t="shared" si="1"/>
        <v>15</v>
      </c>
      <c r="H9" s="153">
        <f t="shared" si="1"/>
        <v>5</v>
      </c>
      <c r="I9" s="153">
        <f t="shared" si="1"/>
        <v>10</v>
      </c>
      <c r="J9" s="151">
        <v>5</v>
      </c>
      <c r="L9" s="14">
        <v>5</v>
      </c>
      <c r="M9" s="38" t="s">
        <v>28</v>
      </c>
      <c r="N9" s="38" t="s">
        <v>21</v>
      </c>
      <c r="O9" s="38" t="s">
        <v>17</v>
      </c>
      <c r="P9" s="38" t="s">
        <v>27</v>
      </c>
      <c r="Q9" s="38" t="s">
        <v>26</v>
      </c>
      <c r="R9" s="38" t="s">
        <v>64</v>
      </c>
      <c r="S9" s="24" t="s">
        <v>21</v>
      </c>
      <c r="U9" s="37">
        <f t="shared" si="2"/>
        <v>15</v>
      </c>
      <c r="V9" s="37">
        <f t="shared" si="2"/>
        <v>12</v>
      </c>
      <c r="W9" s="37">
        <f t="shared" si="2"/>
        <v>14</v>
      </c>
      <c r="X9" s="37">
        <f t="shared" si="2"/>
        <v>12</v>
      </c>
      <c r="Y9" s="37">
        <f t="shared" si="2"/>
        <v>7</v>
      </c>
      <c r="Z9" s="37">
        <f t="shared" si="2"/>
        <v>14</v>
      </c>
      <c r="AA9" s="37">
        <f t="shared" si="2"/>
        <v>12</v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4" t="s">
        <v>18</v>
      </c>
      <c r="AL9" s="154">
        <v>10</v>
      </c>
      <c r="AM9" s="154">
        <v>40</v>
      </c>
      <c r="AN9" s="154">
        <v>40</v>
      </c>
      <c r="AO9" s="154">
        <v>40</v>
      </c>
      <c r="AP9" s="154">
        <v>8</v>
      </c>
      <c r="AQ9" s="154">
        <v>40</v>
      </c>
      <c r="AR9" s="154">
        <v>1</v>
      </c>
      <c r="AS9" s="151">
        <v>5</v>
      </c>
    </row>
    <row r="10" spans="1:45" ht="15.9" customHeight="1">
      <c r="A10" s="151" t="str">
        <v>M5</v>
      </c>
      <c r="B10" s="151" t="str">
        <v>M5</v>
      </c>
      <c r="C10" s="153">
        <f t="shared" si="0"/>
        <v>8</v>
      </c>
      <c r="D10" s="153">
        <f t="shared" si="1"/>
        <v>17</v>
      </c>
      <c r="E10" s="153">
        <f t="shared" si="1"/>
        <v>1</v>
      </c>
      <c r="F10" s="153">
        <f t="shared" si="1"/>
        <v>26</v>
      </c>
      <c r="G10" s="153">
        <f t="shared" si="1"/>
        <v>6</v>
      </c>
      <c r="H10" s="153">
        <f t="shared" si="1"/>
        <v>27</v>
      </c>
      <c r="I10" s="153">
        <f t="shared" si="1"/>
        <v>14</v>
      </c>
      <c r="J10" s="151">
        <v>6</v>
      </c>
      <c r="L10" s="15">
        <v>6</v>
      </c>
      <c r="M10" s="38" t="s">
        <v>26</v>
      </c>
      <c r="N10" s="38" t="s">
        <v>21</v>
      </c>
      <c r="O10" s="38" t="s">
        <v>24</v>
      </c>
      <c r="P10" s="38" t="s">
        <v>27</v>
      </c>
      <c r="Q10" s="38" t="s">
        <v>89</v>
      </c>
      <c r="R10" s="38" t="s">
        <v>64</v>
      </c>
      <c r="S10" s="24" t="s">
        <v>21</v>
      </c>
      <c r="U10" s="37">
        <f t="shared" si="2"/>
        <v>7</v>
      </c>
      <c r="V10" s="37">
        <f t="shared" si="2"/>
        <v>12</v>
      </c>
      <c r="W10" s="37">
        <f t="shared" si="2"/>
        <v>11</v>
      </c>
      <c r="X10" s="37">
        <f t="shared" si="2"/>
        <v>12</v>
      </c>
      <c r="Y10" s="37">
        <f t="shared" si="2"/>
        <v>7</v>
      </c>
      <c r="Z10" s="37">
        <f t="shared" si="2"/>
        <v>14</v>
      </c>
      <c r="AA10" s="37">
        <f t="shared" si="2"/>
        <v>12</v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4">
        <v>1</v>
      </c>
      <c r="AK10" s="154" t="s">
        <v>64</v>
      </c>
      <c r="AL10" s="154">
        <v>40</v>
      </c>
      <c r="AM10" s="154">
        <v>8</v>
      </c>
      <c r="AN10" s="154">
        <v>20</v>
      </c>
      <c r="AO10" s="154">
        <v>1</v>
      </c>
      <c r="AP10" s="154">
        <v>40</v>
      </c>
      <c r="AQ10" s="154">
        <v>1</v>
      </c>
      <c r="AR10" s="154">
        <v>1</v>
      </c>
      <c r="AS10" s="151">
        <v>6</v>
      </c>
    </row>
    <row r="11" spans="1:45" ht="15.9" customHeight="1">
      <c r="A11" s="151" t="str">
        <v>M6</v>
      </c>
      <c r="B11" s="151" t="str">
        <v>M6</v>
      </c>
      <c r="C11" s="153">
        <f t="shared" si="0"/>
        <v>13</v>
      </c>
      <c r="D11" s="153">
        <f t="shared" si="1"/>
        <v>10</v>
      </c>
      <c r="E11" s="153">
        <f t="shared" si="1"/>
        <v>1</v>
      </c>
      <c r="F11" s="153">
        <f t="shared" si="1"/>
        <v>3</v>
      </c>
      <c r="G11" s="153">
        <f t="shared" si="1"/>
        <v>28</v>
      </c>
      <c r="H11" s="153">
        <f t="shared" si="1"/>
        <v>3</v>
      </c>
      <c r="I11" s="153">
        <f t="shared" si="1"/>
        <v>7</v>
      </c>
      <c r="J11" s="151">
        <v>7</v>
      </c>
      <c r="L11" s="14">
        <v>7</v>
      </c>
      <c r="M11" s="38" t="s">
        <v>29</v>
      </c>
      <c r="N11" s="38" t="s">
        <v>89</v>
      </c>
      <c r="O11" s="38" t="s">
        <v>26</v>
      </c>
      <c r="P11" s="38" t="s">
        <v>29</v>
      </c>
      <c r="Q11" s="38" t="s">
        <v>28</v>
      </c>
      <c r="R11" s="38" t="s">
        <v>64</v>
      </c>
      <c r="S11" s="24" t="s">
        <v>21</v>
      </c>
      <c r="U11" s="37">
        <f t="shared" si="2"/>
        <v>19</v>
      </c>
      <c r="V11" s="37">
        <f t="shared" si="2"/>
        <v>7</v>
      </c>
      <c r="W11" s="37">
        <f t="shared" si="2"/>
        <v>7</v>
      </c>
      <c r="X11" s="37">
        <f t="shared" si="2"/>
        <v>19</v>
      </c>
      <c r="Y11" s="37">
        <f t="shared" si="2"/>
        <v>15</v>
      </c>
      <c r="Z11" s="37">
        <f t="shared" si="2"/>
        <v>14</v>
      </c>
      <c r="AA11" s="37">
        <f t="shared" si="2"/>
        <v>12</v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4" t="s">
        <v>89</v>
      </c>
      <c r="AL11" s="154">
        <v>10</v>
      </c>
      <c r="AM11" s="154">
        <v>40</v>
      </c>
      <c r="AN11" s="154">
        <v>40</v>
      </c>
      <c r="AO11" s="154">
        <v>40</v>
      </c>
      <c r="AP11" s="154">
        <v>8</v>
      </c>
      <c r="AQ11" s="154">
        <v>40</v>
      </c>
      <c r="AR11" s="154">
        <v>1</v>
      </c>
      <c r="AS11" s="151">
        <v>7</v>
      </c>
    </row>
    <row r="12" spans="1:45" ht="15.9" customHeight="1">
      <c r="A12" s="24" t="str">
        <v>A</v>
      </c>
      <c r="B12" s="37" t="str">
        <v>A</v>
      </c>
      <c r="C12" s="10">
        <f t="shared" si="0"/>
        <v>2</v>
      </c>
      <c r="D12" s="10">
        <f t="shared" si="1"/>
        <v>12</v>
      </c>
      <c r="E12" s="10">
        <f t="shared" si="1"/>
        <v>21</v>
      </c>
      <c r="F12" s="10">
        <f t="shared" si="1"/>
        <v>10</v>
      </c>
      <c r="G12" s="10">
        <f t="shared" si="1"/>
        <v>3</v>
      </c>
      <c r="H12" s="10">
        <f t="shared" si="1"/>
        <v>29</v>
      </c>
      <c r="I12" s="10">
        <f t="shared" si="1"/>
        <v>11</v>
      </c>
      <c r="J12" s="4">
        <v>8</v>
      </c>
      <c r="L12" s="15">
        <v>8</v>
      </c>
      <c r="M12" s="38" t="s">
        <v>64</v>
      </c>
      <c r="N12" s="38" t="s">
        <v>89</v>
      </c>
      <c r="O12" s="38" t="s">
        <v>26</v>
      </c>
      <c r="P12" s="38" t="s">
        <v>64</v>
      </c>
      <c r="Q12" s="38" t="s">
        <v>28</v>
      </c>
      <c r="R12" s="38" t="s">
        <v>89</v>
      </c>
      <c r="S12" s="24" t="s">
        <v>17</v>
      </c>
      <c r="U12" s="37">
        <f t="shared" si="2"/>
        <v>14</v>
      </c>
      <c r="V12" s="37">
        <f t="shared" si="2"/>
        <v>7</v>
      </c>
      <c r="W12" s="37">
        <f t="shared" si="2"/>
        <v>7</v>
      </c>
      <c r="X12" s="37">
        <f t="shared" si="2"/>
        <v>14</v>
      </c>
      <c r="Y12" s="37">
        <f t="shared" si="2"/>
        <v>15</v>
      </c>
      <c r="Z12" s="37">
        <f t="shared" si="2"/>
        <v>7</v>
      </c>
      <c r="AA12" s="37">
        <f t="shared" si="2"/>
        <v>14</v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4">
        <v>3</v>
      </c>
      <c r="AK12" s="37" t="s">
        <v>24</v>
      </c>
      <c r="AL12" s="37">
        <v>10</v>
      </c>
      <c r="AM12" s="37">
        <v>10</v>
      </c>
      <c r="AN12" s="37">
        <v>40</v>
      </c>
      <c r="AO12" s="37">
        <v>1</v>
      </c>
      <c r="AP12" s="37">
        <v>40</v>
      </c>
      <c r="AQ12" s="37">
        <v>1</v>
      </c>
      <c r="AR12" s="37">
        <v>1</v>
      </c>
      <c r="AS12" s="4">
        <v>8</v>
      </c>
    </row>
    <row r="13" spans="1:45" ht="15.9" customHeight="1">
      <c r="A13" s="24" t="str">
        <v>K</v>
      </c>
      <c r="B13" s="37" t="str">
        <v>K</v>
      </c>
      <c r="C13" s="10">
        <f t="shared" si="0"/>
        <v>19</v>
      </c>
      <c r="D13" s="10">
        <f t="shared" si="1"/>
        <v>2</v>
      </c>
      <c r="E13" s="10">
        <f t="shared" si="1"/>
        <v>19</v>
      </c>
      <c r="F13" s="10">
        <f t="shared" si="1"/>
        <v>4</v>
      </c>
      <c r="G13" s="10">
        <f t="shared" si="1"/>
        <v>16</v>
      </c>
      <c r="H13" s="10">
        <f t="shared" si="1"/>
        <v>7</v>
      </c>
      <c r="I13" s="10">
        <f t="shared" si="1"/>
        <v>7</v>
      </c>
      <c r="J13" s="4">
        <v>9</v>
      </c>
      <c r="L13" s="14">
        <v>9</v>
      </c>
      <c r="M13" s="38" t="s">
        <v>28</v>
      </c>
      <c r="N13" s="38" t="s">
        <v>230</v>
      </c>
      <c r="O13" s="38" t="s">
        <v>17</v>
      </c>
      <c r="P13" s="38" t="s">
        <v>27</v>
      </c>
      <c r="Q13" s="38" t="s">
        <v>89</v>
      </c>
      <c r="R13" s="38" t="s">
        <v>64</v>
      </c>
      <c r="S13" s="24" t="s">
        <v>17</v>
      </c>
      <c r="U13" s="37">
        <f t="shared" si="2"/>
        <v>15</v>
      </c>
      <c r="V13" s="37">
        <f t="shared" si="2"/>
        <v>0</v>
      </c>
      <c r="W13" s="37">
        <f t="shared" si="2"/>
        <v>14</v>
      </c>
      <c r="X13" s="37">
        <f t="shared" si="2"/>
        <v>12</v>
      </c>
      <c r="Y13" s="37">
        <f t="shared" si="2"/>
        <v>7</v>
      </c>
      <c r="Z13" s="37">
        <f t="shared" si="2"/>
        <v>14</v>
      </c>
      <c r="AA13" s="37">
        <f t="shared" si="2"/>
        <v>14</v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4">
        <v>1</v>
      </c>
      <c r="AK13" s="37" t="s">
        <v>26</v>
      </c>
      <c r="AL13" s="37">
        <v>40</v>
      </c>
      <c r="AM13" s="37">
        <v>8</v>
      </c>
      <c r="AN13" s="37">
        <v>25</v>
      </c>
      <c r="AO13" s="37">
        <v>10</v>
      </c>
      <c r="AP13" s="37">
        <v>1</v>
      </c>
      <c r="AQ13" s="37">
        <v>40</v>
      </c>
      <c r="AR13" s="37">
        <v>1</v>
      </c>
      <c r="AS13" s="4">
        <v>9</v>
      </c>
    </row>
    <row r="14" spans="1:45" ht="15.9" customHeight="1">
      <c r="A14" s="24" t="str">
        <v>Q</v>
      </c>
      <c r="B14" s="37" t="str">
        <v>Q</v>
      </c>
      <c r="C14" s="10">
        <f t="shared" si="0"/>
        <v>14</v>
      </c>
      <c r="D14" s="10">
        <f t="shared" si="1"/>
        <v>27</v>
      </c>
      <c r="E14" s="10">
        <f t="shared" si="1"/>
        <v>2</v>
      </c>
      <c r="F14" s="10">
        <f t="shared" si="1"/>
        <v>25</v>
      </c>
      <c r="G14" s="10">
        <f t="shared" si="1"/>
        <v>7</v>
      </c>
      <c r="H14" s="10">
        <f t="shared" si="1"/>
        <v>24</v>
      </c>
      <c r="I14" s="10">
        <f t="shared" si="1"/>
        <v>12</v>
      </c>
      <c r="J14" s="4">
        <v>10</v>
      </c>
      <c r="L14" s="15">
        <v>10</v>
      </c>
      <c r="M14" s="38" t="s">
        <v>28</v>
      </c>
      <c r="N14" s="38" t="s">
        <v>64</v>
      </c>
      <c r="O14" s="38" t="s">
        <v>28</v>
      </c>
      <c r="P14" s="38" t="s">
        <v>230</v>
      </c>
      <c r="Q14" s="38" t="s">
        <v>89</v>
      </c>
      <c r="R14" s="38" t="s">
        <v>64</v>
      </c>
      <c r="S14" s="24" t="s">
        <v>17</v>
      </c>
      <c r="U14" s="37">
        <f t="shared" si="2"/>
        <v>15</v>
      </c>
      <c r="V14" s="37">
        <f t="shared" si="2"/>
        <v>14</v>
      </c>
      <c r="W14" s="37">
        <f t="shared" si="2"/>
        <v>15</v>
      </c>
      <c r="X14" s="37">
        <f t="shared" si="2"/>
        <v>0</v>
      </c>
      <c r="Y14" s="37">
        <f t="shared" si="2"/>
        <v>7</v>
      </c>
      <c r="Z14" s="37">
        <f t="shared" si="2"/>
        <v>14</v>
      </c>
      <c r="AA14" s="37">
        <f t="shared" si="2"/>
        <v>14</v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10</v>
      </c>
      <c r="AM14" s="37">
        <v>40</v>
      </c>
      <c r="AN14" s="37">
        <v>40</v>
      </c>
      <c r="AO14" s="37">
        <v>10</v>
      </c>
      <c r="AP14" s="37">
        <v>40</v>
      </c>
      <c r="AQ14" s="37">
        <v>1</v>
      </c>
      <c r="AR14" s="37">
        <v>1</v>
      </c>
      <c r="AS14" s="4">
        <v>10</v>
      </c>
    </row>
    <row r="15" spans="1:45" ht="15.9" customHeight="1">
      <c r="A15" s="24" t="str">
        <v>J</v>
      </c>
      <c r="B15" s="37" t="str">
        <v>J</v>
      </c>
      <c r="C15" s="10">
        <f t="shared" si="0"/>
        <v>23</v>
      </c>
      <c r="D15" s="10">
        <f t="shared" si="1"/>
        <v>5</v>
      </c>
      <c r="E15" s="10">
        <f t="shared" si="1"/>
        <v>35</v>
      </c>
      <c r="F15" s="10">
        <f t="shared" si="1"/>
        <v>6</v>
      </c>
      <c r="G15" s="10">
        <f t="shared" si="1"/>
        <v>20</v>
      </c>
      <c r="H15" s="10">
        <f t="shared" si="1"/>
        <v>2</v>
      </c>
      <c r="I15" s="10">
        <f t="shared" si="1"/>
        <v>15</v>
      </c>
      <c r="J15" s="4">
        <v>11</v>
      </c>
      <c r="L15" s="14">
        <v>11</v>
      </c>
      <c r="M15" s="38" t="s">
        <v>29</v>
      </c>
      <c r="N15" s="38" t="s">
        <v>64</v>
      </c>
      <c r="O15" s="38" t="s">
        <v>28</v>
      </c>
      <c r="P15" s="38" t="s">
        <v>234</v>
      </c>
      <c r="Q15" s="38" t="s">
        <v>26</v>
      </c>
      <c r="R15" s="38" t="s">
        <v>89</v>
      </c>
      <c r="S15" s="24" t="s">
        <v>17</v>
      </c>
      <c r="U15" s="37">
        <f t="shared" si="2"/>
        <v>19</v>
      </c>
      <c r="V15" s="37">
        <f t="shared" si="2"/>
        <v>14</v>
      </c>
      <c r="W15" s="37">
        <f t="shared" si="2"/>
        <v>15</v>
      </c>
      <c r="X15" s="37">
        <f t="shared" si="2"/>
        <v>0</v>
      </c>
      <c r="Y15" s="37">
        <f t="shared" si="2"/>
        <v>7</v>
      </c>
      <c r="Z15" s="37">
        <f t="shared" si="2"/>
        <v>7</v>
      </c>
      <c r="AA15" s="37">
        <f t="shared" si="2"/>
        <v>14</v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4">
        <v>1</v>
      </c>
      <c r="AK15" s="37" t="s">
        <v>28</v>
      </c>
      <c r="AL15" s="37">
        <v>40</v>
      </c>
      <c r="AM15" s="37">
        <v>40</v>
      </c>
      <c r="AN15" s="37">
        <v>40</v>
      </c>
      <c r="AO15" s="37">
        <v>1</v>
      </c>
      <c r="AP15" s="37">
        <v>1</v>
      </c>
      <c r="AQ15" s="37">
        <v>1</v>
      </c>
      <c r="AR15" s="37">
        <v>1</v>
      </c>
      <c r="AS15" s="4">
        <v>11</v>
      </c>
    </row>
    <row r="16" spans="1:45" ht="15.9" customHeight="1">
      <c r="A16" s="37" t="str">
        <v>TE</v>
      </c>
      <c r="B16" s="37" t="str">
        <v>TE</v>
      </c>
      <c r="C16" s="10">
        <f t="shared" si="0"/>
        <v>30</v>
      </c>
      <c r="D16" s="10">
        <f t="shared" si="1"/>
        <v>16</v>
      </c>
      <c r="E16" s="10">
        <f t="shared" si="1"/>
        <v>5</v>
      </c>
      <c r="F16" s="10">
        <f t="shared" si="1"/>
        <v>19</v>
      </c>
      <c r="G16" s="10">
        <f t="shared" si="1"/>
        <v>5</v>
      </c>
      <c r="H16" s="10">
        <f t="shared" si="1"/>
        <v>21</v>
      </c>
      <c r="I16" s="10">
        <f t="shared" si="1"/>
        <v>19</v>
      </c>
      <c r="J16" s="4">
        <v>12</v>
      </c>
      <c r="L16" s="15">
        <v>12</v>
      </c>
      <c r="M16" s="38" t="s">
        <v>29</v>
      </c>
      <c r="N16" s="38" t="s">
        <v>27</v>
      </c>
      <c r="O16" s="38" t="s">
        <v>224</v>
      </c>
      <c r="P16" s="38" t="s">
        <v>24</v>
      </c>
      <c r="Q16" s="38" t="s">
        <v>26</v>
      </c>
      <c r="R16" s="38" t="s">
        <v>89</v>
      </c>
      <c r="S16" s="24" t="s">
        <v>18</v>
      </c>
      <c r="U16" s="37">
        <f t="shared" si="2"/>
        <v>19</v>
      </c>
      <c r="V16" s="37">
        <f t="shared" si="2"/>
        <v>12</v>
      </c>
      <c r="W16" s="37">
        <f t="shared" si="2"/>
        <v>0</v>
      </c>
      <c r="X16" s="37">
        <f t="shared" si="2"/>
        <v>11</v>
      </c>
      <c r="Y16" s="37">
        <f t="shared" si="2"/>
        <v>7</v>
      </c>
      <c r="Z16" s="37">
        <f t="shared" si="2"/>
        <v>7</v>
      </c>
      <c r="AA16" s="37">
        <f t="shared" si="2"/>
        <v>10</v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4">
        <v>3</v>
      </c>
      <c r="AK16" s="37" t="s">
        <v>29</v>
      </c>
      <c r="AL16" s="37">
        <v>5</v>
      </c>
      <c r="AM16" s="37">
        <v>40</v>
      </c>
      <c r="AN16" s="37">
        <v>20</v>
      </c>
      <c r="AO16" s="37">
        <v>1</v>
      </c>
      <c r="AP16" s="37">
        <v>1</v>
      </c>
      <c r="AQ16" s="37">
        <v>1</v>
      </c>
      <c r="AR16" s="37">
        <v>1</v>
      </c>
      <c r="AS16" s="4">
        <v>12</v>
      </c>
    </row>
    <row r="17" spans="1:45" ht="15.9" customHeight="1">
      <c r="A17" s="154" t="str">
        <v>G1</v>
      </c>
      <c r="B17" s="151" t="str">
        <v>Golden M1</v>
      </c>
      <c r="C17" s="153">
        <f t="shared" si="0"/>
        <v>0</v>
      </c>
      <c r="D17" s="153">
        <f t="shared" si="1"/>
        <v>0</v>
      </c>
      <c r="E17" s="153">
        <f t="shared" si="1"/>
        <v>0</v>
      </c>
      <c r="F17" s="153">
        <f t="shared" si="1"/>
        <v>0</v>
      </c>
      <c r="G17" s="153">
        <f t="shared" si="1"/>
        <v>0</v>
      </c>
      <c r="H17" s="153">
        <f t="shared" si="1"/>
        <v>0</v>
      </c>
      <c r="I17" s="153">
        <f t="shared" si="1"/>
        <v>0</v>
      </c>
      <c r="J17" s="151">
        <v>13</v>
      </c>
      <c r="L17" s="14">
        <v>13</v>
      </c>
      <c r="M17" s="38" t="s">
        <v>26</v>
      </c>
      <c r="N17" s="38" t="s">
        <v>27</v>
      </c>
      <c r="O17" s="38" t="s">
        <v>238</v>
      </c>
      <c r="P17" s="38" t="s">
        <v>24</v>
      </c>
      <c r="Q17" s="38" t="s">
        <v>89</v>
      </c>
      <c r="R17" s="38" t="s">
        <v>64</v>
      </c>
      <c r="S17" s="24" t="s">
        <v>18</v>
      </c>
      <c r="U17" s="37">
        <f t="shared" si="2"/>
        <v>7</v>
      </c>
      <c r="V17" s="37">
        <f t="shared" si="2"/>
        <v>12</v>
      </c>
      <c r="W17" s="37">
        <f t="shared" si="2"/>
        <v>0</v>
      </c>
      <c r="X17" s="37">
        <f t="shared" si="2"/>
        <v>11</v>
      </c>
      <c r="Y17" s="37">
        <f t="shared" si="2"/>
        <v>7</v>
      </c>
      <c r="Z17" s="37">
        <f t="shared" si="2"/>
        <v>14</v>
      </c>
      <c r="AA17" s="37">
        <f t="shared" si="2"/>
        <v>10</v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4" t="s">
        <v>222</v>
      </c>
      <c r="AL17" s="154">
        <v>0</v>
      </c>
      <c r="AM17" s="154">
        <v>12</v>
      </c>
      <c r="AN17" s="154">
        <v>3</v>
      </c>
      <c r="AO17" s="154">
        <v>5</v>
      </c>
      <c r="AP17" s="154">
        <v>3</v>
      </c>
      <c r="AQ17" s="154">
        <v>0</v>
      </c>
      <c r="AR17" s="154">
        <v>0</v>
      </c>
      <c r="AS17" s="151">
        <v>13</v>
      </c>
    </row>
    <row r="18" spans="1:45" s="150" customFormat="1" ht="15.9" customHeight="1">
      <c r="A18" s="154" t="str">
        <v>G2</v>
      </c>
      <c r="B18" s="151" t="str">
        <v>Golden M2</v>
      </c>
      <c r="C18" s="153">
        <f t="shared" si="0"/>
        <v>0</v>
      </c>
      <c r="D18" s="153">
        <f t="shared" si="1"/>
        <v>2</v>
      </c>
      <c r="E18" s="153">
        <f t="shared" si="1"/>
        <v>1</v>
      </c>
      <c r="F18" s="153">
        <f t="shared" si="1"/>
        <v>1</v>
      </c>
      <c r="G18" s="153">
        <f t="shared" si="1"/>
        <v>1</v>
      </c>
      <c r="H18" s="153">
        <f t="shared" si="1"/>
        <v>0</v>
      </c>
      <c r="I18" s="153">
        <f t="shared" si="1"/>
        <v>0</v>
      </c>
      <c r="J18" s="151">
        <v>14</v>
      </c>
      <c r="K18" s="32"/>
      <c r="L18" s="15">
        <v>14</v>
      </c>
      <c r="M18" s="38" t="s">
        <v>89</v>
      </c>
      <c r="N18" s="38" t="s">
        <v>232</v>
      </c>
      <c r="O18" s="38" t="s">
        <v>27</v>
      </c>
      <c r="P18" s="38" t="s">
        <v>89</v>
      </c>
      <c r="Q18" s="38" t="s">
        <v>89</v>
      </c>
      <c r="R18" s="38" t="s">
        <v>27</v>
      </c>
      <c r="S18" s="24" t="s">
        <v>18</v>
      </c>
      <c r="U18" s="37">
        <f t="shared" si="2"/>
        <v>7</v>
      </c>
      <c r="V18" s="37">
        <f t="shared" si="2"/>
        <v>0</v>
      </c>
      <c r="W18" s="37">
        <f t="shared" si="2"/>
        <v>12</v>
      </c>
      <c r="X18" s="37">
        <f t="shared" si="2"/>
        <v>7</v>
      </c>
      <c r="Y18" s="37">
        <f t="shared" si="2"/>
        <v>7</v>
      </c>
      <c r="Z18" s="37">
        <f t="shared" si="2"/>
        <v>12</v>
      </c>
      <c r="AA18" s="37">
        <f t="shared" si="2"/>
        <v>10</v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4">
        <v>1</v>
      </c>
      <c r="AK18" s="154" t="s">
        <v>224</v>
      </c>
      <c r="AL18" s="154">
        <v>0</v>
      </c>
      <c r="AM18" s="154">
        <v>8</v>
      </c>
      <c r="AN18" s="154">
        <v>15</v>
      </c>
      <c r="AO18" s="154">
        <v>2</v>
      </c>
      <c r="AP18" s="154">
        <v>2</v>
      </c>
      <c r="AQ18" s="154">
        <v>0</v>
      </c>
      <c r="AR18" s="154">
        <v>0</v>
      </c>
      <c r="AS18" s="151">
        <v>14</v>
      </c>
    </row>
    <row r="19" spans="1:45" ht="15.9" customHeight="1">
      <c r="A19" s="154" t="str">
        <v>G3</v>
      </c>
      <c r="B19" s="151" t="str">
        <v>Golden M3</v>
      </c>
      <c r="C19" s="153">
        <f t="shared" si="0"/>
        <v>0</v>
      </c>
      <c r="D19" s="153">
        <f t="shared" si="1"/>
        <v>0</v>
      </c>
      <c r="E19" s="153">
        <f t="shared" si="1"/>
        <v>1</v>
      </c>
      <c r="F19" s="153">
        <f t="shared" si="1"/>
        <v>1</v>
      </c>
      <c r="G19" s="153">
        <f t="shared" si="1"/>
        <v>1</v>
      </c>
      <c r="H19" s="153">
        <f t="shared" si="1"/>
        <v>0</v>
      </c>
      <c r="I19" s="153">
        <f t="shared" si="1"/>
        <v>0</v>
      </c>
      <c r="J19" s="151">
        <v>15</v>
      </c>
      <c r="K19" s="42"/>
      <c r="L19" s="14">
        <v>15</v>
      </c>
      <c r="M19" s="38" t="s">
        <v>28</v>
      </c>
      <c r="N19" s="38" t="s">
        <v>89</v>
      </c>
      <c r="O19" s="38" t="s">
        <v>18</v>
      </c>
      <c r="P19" s="38" t="s">
        <v>232</v>
      </c>
      <c r="Q19" s="38" t="s">
        <v>234</v>
      </c>
      <c r="R19" s="38" t="s">
        <v>64</v>
      </c>
      <c r="S19" s="24" t="s">
        <v>18</v>
      </c>
      <c r="U19" s="37">
        <f t="shared" si="2"/>
        <v>15</v>
      </c>
      <c r="V19" s="37">
        <f t="shared" si="2"/>
        <v>7</v>
      </c>
      <c r="W19" s="37">
        <f t="shared" si="2"/>
        <v>10</v>
      </c>
      <c r="X19" s="37">
        <f t="shared" si="2"/>
        <v>0</v>
      </c>
      <c r="Y19" s="37">
        <f t="shared" si="2"/>
        <v>0</v>
      </c>
      <c r="Z19" s="37">
        <f t="shared" si="2"/>
        <v>14</v>
      </c>
      <c r="AA19" s="37">
        <f t="shared" si="2"/>
        <v>10</v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4">
        <v>1</v>
      </c>
      <c r="AK19" s="154" t="s">
        <v>226</v>
      </c>
      <c r="AL19" s="154">
        <v>0</v>
      </c>
      <c r="AM19" s="154">
        <v>2</v>
      </c>
      <c r="AN19" s="154">
        <v>7</v>
      </c>
      <c r="AO19" s="154">
        <v>1</v>
      </c>
      <c r="AP19" s="154">
        <v>2</v>
      </c>
      <c r="AQ19" s="154">
        <v>0</v>
      </c>
      <c r="AR19" s="154">
        <v>0</v>
      </c>
      <c r="AS19" s="151">
        <v>15</v>
      </c>
    </row>
    <row r="20" spans="1:45" ht="15.9" customHeight="1">
      <c r="A20" s="154" t="str">
        <v>G4</v>
      </c>
      <c r="B20" s="151" t="str">
        <v>Golden M4</v>
      </c>
      <c r="C20" s="153">
        <f t="shared" si="0"/>
        <v>0</v>
      </c>
      <c r="D20" s="153">
        <f t="shared" ref="D20:D29" si="3">COUNTIF(N$4:N$304,$A20)</f>
        <v>1</v>
      </c>
      <c r="E20" s="153">
        <f t="shared" ref="E20:E29" si="4">COUNTIF(O$4:O$304,$A20)</f>
        <v>2</v>
      </c>
      <c r="F20" s="153">
        <f t="shared" ref="F20:F29" si="5">COUNTIF(P$4:P$304,$A20)</f>
        <v>1</v>
      </c>
      <c r="G20" s="153">
        <f t="shared" ref="G20:G29" si="6">COUNTIF(Q$4:Q$304,$A20)</f>
        <v>1</v>
      </c>
      <c r="H20" s="153">
        <f t="shared" ref="H20:H29" si="7">COUNTIF(R$4:R$304,$A20)</f>
        <v>0</v>
      </c>
      <c r="I20" s="153">
        <f t="shared" ref="I20:I29" si="8">COUNTIF(S$4:S$304,$A20)</f>
        <v>0</v>
      </c>
      <c r="J20" s="151">
        <v>16</v>
      </c>
      <c r="L20" s="15">
        <v>16</v>
      </c>
      <c r="M20" s="38" t="s">
        <v>29</v>
      </c>
      <c r="N20" s="38" t="s">
        <v>64</v>
      </c>
      <c r="O20" s="38" t="s">
        <v>18</v>
      </c>
      <c r="P20" s="38" t="s">
        <v>27</v>
      </c>
      <c r="Q20" s="38" t="s">
        <v>27</v>
      </c>
      <c r="R20" s="38" t="s">
        <v>64</v>
      </c>
      <c r="S20" s="24" t="s">
        <v>24</v>
      </c>
      <c r="U20" s="37">
        <f t="shared" ref="U20:AA56" si="9">VLOOKUP(M20, $A$4:$J$29, 9, 0)</f>
        <v>19</v>
      </c>
      <c r="V20" s="37">
        <f t="shared" si="9"/>
        <v>14</v>
      </c>
      <c r="W20" s="37">
        <f t="shared" si="9"/>
        <v>10</v>
      </c>
      <c r="X20" s="37">
        <f t="shared" si="9"/>
        <v>12</v>
      </c>
      <c r="Y20" s="37">
        <f t="shared" si="9"/>
        <v>12</v>
      </c>
      <c r="Z20" s="37">
        <f t="shared" si="9"/>
        <v>14</v>
      </c>
      <c r="AA20" s="37">
        <f t="shared" si="9"/>
        <v>11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4">
        <v>3</v>
      </c>
      <c r="AK20" s="154" t="s">
        <v>228</v>
      </c>
      <c r="AL20" s="154">
        <v>0</v>
      </c>
      <c r="AM20" s="154">
        <v>5</v>
      </c>
      <c r="AN20" s="154">
        <v>5</v>
      </c>
      <c r="AO20" s="154">
        <v>5</v>
      </c>
      <c r="AP20" s="154">
        <v>2</v>
      </c>
      <c r="AQ20" s="154">
        <v>0</v>
      </c>
      <c r="AR20" s="154">
        <v>0</v>
      </c>
      <c r="AS20" s="151">
        <v>16</v>
      </c>
    </row>
    <row r="21" spans="1:45" ht="15.9" customHeight="1">
      <c r="A21" s="154" t="str">
        <v>G5</v>
      </c>
      <c r="B21" s="151" t="str">
        <v>Golden M5</v>
      </c>
      <c r="C21" s="153">
        <f t="shared" si="0"/>
        <v>0</v>
      </c>
      <c r="D21" s="153">
        <f t="shared" si="3"/>
        <v>3</v>
      </c>
      <c r="E21" s="153">
        <f t="shared" si="4"/>
        <v>0</v>
      </c>
      <c r="F21" s="153">
        <f t="shared" si="5"/>
        <v>4</v>
      </c>
      <c r="G21" s="153">
        <f t="shared" si="6"/>
        <v>1</v>
      </c>
      <c r="H21" s="153">
        <f t="shared" si="7"/>
        <v>0</v>
      </c>
      <c r="I21" s="153">
        <f t="shared" si="8"/>
        <v>0</v>
      </c>
      <c r="J21" s="151">
        <v>17</v>
      </c>
      <c r="L21" s="14">
        <v>17</v>
      </c>
      <c r="M21" s="38" t="s">
        <v>64</v>
      </c>
      <c r="N21" s="38" t="s">
        <v>64</v>
      </c>
      <c r="O21" s="38" t="s">
        <v>228</v>
      </c>
      <c r="P21" s="38" t="s">
        <v>224</v>
      </c>
      <c r="Q21" s="38" t="s">
        <v>89</v>
      </c>
      <c r="R21" s="38" t="s">
        <v>64</v>
      </c>
      <c r="S21" s="24" t="s">
        <v>24</v>
      </c>
      <c r="U21" s="37">
        <f t="shared" si="9"/>
        <v>14</v>
      </c>
      <c r="V21" s="37">
        <f t="shared" si="9"/>
        <v>14</v>
      </c>
      <c r="W21" s="37">
        <f t="shared" si="9"/>
        <v>0</v>
      </c>
      <c r="X21" s="37">
        <f t="shared" si="9"/>
        <v>0</v>
      </c>
      <c r="Y21" s="37">
        <f t="shared" si="9"/>
        <v>7</v>
      </c>
      <c r="Z21" s="37">
        <f t="shared" si="9"/>
        <v>14</v>
      </c>
      <c r="AA21" s="37">
        <f t="shared" si="9"/>
        <v>11</v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4" t="s">
        <v>230</v>
      </c>
      <c r="AL21" s="154">
        <v>0</v>
      </c>
      <c r="AM21" s="154">
        <v>2</v>
      </c>
      <c r="AN21" s="154">
        <v>2</v>
      </c>
      <c r="AO21" s="154">
        <v>1</v>
      </c>
      <c r="AP21" s="154">
        <v>3</v>
      </c>
      <c r="AQ21" s="154">
        <v>0</v>
      </c>
      <c r="AR21" s="154">
        <v>0</v>
      </c>
      <c r="AS21" s="151">
        <v>17</v>
      </c>
    </row>
    <row r="22" spans="1:45" ht="15.9" customHeight="1">
      <c r="A22" s="154" t="str">
        <v>G6</v>
      </c>
      <c r="B22" s="151" t="str">
        <v>Golden M6</v>
      </c>
      <c r="C22" s="153">
        <f t="shared" si="0"/>
        <v>0</v>
      </c>
      <c r="D22" s="153">
        <f t="shared" si="3"/>
        <v>3</v>
      </c>
      <c r="E22" s="153">
        <f t="shared" si="4"/>
        <v>1</v>
      </c>
      <c r="F22" s="153">
        <f t="shared" si="5"/>
        <v>2</v>
      </c>
      <c r="G22" s="153">
        <f t="shared" si="6"/>
        <v>2</v>
      </c>
      <c r="H22" s="153">
        <f t="shared" si="7"/>
        <v>0</v>
      </c>
      <c r="I22" s="153">
        <f t="shared" si="8"/>
        <v>0</v>
      </c>
      <c r="J22" s="151">
        <v>18</v>
      </c>
      <c r="L22" s="15">
        <v>18</v>
      </c>
      <c r="M22" s="38" t="s">
        <v>29</v>
      </c>
      <c r="N22" s="38" t="s">
        <v>242</v>
      </c>
      <c r="O22" s="38" t="s">
        <v>26</v>
      </c>
      <c r="P22" s="38" t="s">
        <v>17</v>
      </c>
      <c r="Q22" s="38" t="s">
        <v>26</v>
      </c>
      <c r="R22" s="38" t="s">
        <v>18</v>
      </c>
      <c r="S22" s="38" t="s">
        <v>24</v>
      </c>
      <c r="U22" s="37">
        <f t="shared" si="9"/>
        <v>19</v>
      </c>
      <c r="V22" s="37">
        <f t="shared" si="9"/>
        <v>0</v>
      </c>
      <c r="W22" s="37">
        <f t="shared" si="9"/>
        <v>7</v>
      </c>
      <c r="X22" s="37">
        <f t="shared" si="9"/>
        <v>14</v>
      </c>
      <c r="Y22" s="37">
        <f t="shared" si="9"/>
        <v>7</v>
      </c>
      <c r="Z22" s="37">
        <f t="shared" si="9"/>
        <v>10</v>
      </c>
      <c r="AA22" s="37">
        <f t="shared" si="9"/>
        <v>11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4">
        <v>1</v>
      </c>
      <c r="AK22" s="154" t="s">
        <v>232</v>
      </c>
      <c r="AL22" s="154">
        <v>0</v>
      </c>
      <c r="AM22" s="154">
        <v>2</v>
      </c>
      <c r="AN22" s="154">
        <v>2</v>
      </c>
      <c r="AO22" s="154">
        <v>1</v>
      </c>
      <c r="AP22" s="154">
        <v>3</v>
      </c>
      <c r="AQ22" s="154">
        <v>0</v>
      </c>
      <c r="AR22" s="154">
        <v>0</v>
      </c>
      <c r="AS22" s="151">
        <v>18</v>
      </c>
    </row>
    <row r="23" spans="1:45" ht="15.9" customHeight="1">
      <c r="A23" s="37" t="str">
        <v>GA</v>
      </c>
      <c r="B23" s="4" t="str">
        <v>Golden A</v>
      </c>
      <c r="C23" s="10">
        <f t="shared" si="0"/>
        <v>0</v>
      </c>
      <c r="D23" s="10">
        <f t="shared" si="3"/>
        <v>1</v>
      </c>
      <c r="E23" s="10">
        <f t="shared" si="4"/>
        <v>2</v>
      </c>
      <c r="F23" s="10">
        <f t="shared" si="5"/>
        <v>1</v>
      </c>
      <c r="G23" s="10">
        <f t="shared" si="6"/>
        <v>1</v>
      </c>
      <c r="H23" s="10">
        <f t="shared" si="7"/>
        <v>0</v>
      </c>
      <c r="I23" s="10">
        <f t="shared" si="8"/>
        <v>0</v>
      </c>
      <c r="J23" s="4">
        <v>19</v>
      </c>
      <c r="L23" s="14">
        <v>19</v>
      </c>
      <c r="M23" s="38" t="s">
        <v>89</v>
      </c>
      <c r="N23" s="38" t="s">
        <v>27</v>
      </c>
      <c r="O23" s="38" t="s">
        <v>24</v>
      </c>
      <c r="P23" s="38" t="s">
        <v>17</v>
      </c>
      <c r="Q23" s="38" t="s">
        <v>27</v>
      </c>
      <c r="R23" s="38" t="s">
        <v>29</v>
      </c>
      <c r="S23" s="24" t="s">
        <v>24</v>
      </c>
      <c r="U23" s="37">
        <f t="shared" si="9"/>
        <v>7</v>
      </c>
      <c r="V23" s="37">
        <f t="shared" si="9"/>
        <v>12</v>
      </c>
      <c r="W23" s="37">
        <f t="shared" si="9"/>
        <v>11</v>
      </c>
      <c r="X23" s="37">
        <f t="shared" si="9"/>
        <v>14</v>
      </c>
      <c r="Y23" s="37">
        <f t="shared" si="9"/>
        <v>12</v>
      </c>
      <c r="Z23" s="37">
        <f t="shared" si="9"/>
        <v>19</v>
      </c>
      <c r="AA23" s="37">
        <f t="shared" si="9"/>
        <v>11</v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0</v>
      </c>
      <c r="AM23" s="37">
        <v>5</v>
      </c>
      <c r="AN23" s="37">
        <v>6</v>
      </c>
      <c r="AO23" s="37">
        <v>1</v>
      </c>
      <c r="AP23" s="37">
        <v>3</v>
      </c>
      <c r="AQ23" s="37">
        <v>0</v>
      </c>
      <c r="AR23" s="37">
        <v>0</v>
      </c>
      <c r="AS23" s="4">
        <v>19</v>
      </c>
    </row>
    <row r="24" spans="1:45" ht="15.9" customHeight="1">
      <c r="A24" s="37" t="str">
        <v>GK</v>
      </c>
      <c r="B24" s="4" t="str">
        <v>Golden K</v>
      </c>
      <c r="C24" s="10">
        <f t="shared" si="0"/>
        <v>0</v>
      </c>
      <c r="D24" s="10">
        <f t="shared" si="3"/>
        <v>1</v>
      </c>
      <c r="E24" s="10">
        <f t="shared" si="4"/>
        <v>1</v>
      </c>
      <c r="F24" s="10">
        <f t="shared" si="5"/>
        <v>1</v>
      </c>
      <c r="G24" s="10">
        <f t="shared" si="6"/>
        <v>1</v>
      </c>
      <c r="H24" s="10">
        <f t="shared" si="7"/>
        <v>0</v>
      </c>
      <c r="I24" s="10">
        <f t="shared" si="8"/>
        <v>0</v>
      </c>
      <c r="J24" s="4">
        <v>20</v>
      </c>
      <c r="L24" s="15">
        <v>20</v>
      </c>
      <c r="M24" s="38" t="s">
        <v>21</v>
      </c>
      <c r="N24" s="38" t="s">
        <v>27</v>
      </c>
      <c r="O24" s="38" t="s">
        <v>234</v>
      </c>
      <c r="P24" s="38" t="s">
        <v>27</v>
      </c>
      <c r="Q24" s="38" t="s">
        <v>26</v>
      </c>
      <c r="R24" s="38" t="s">
        <v>29</v>
      </c>
      <c r="S24" s="24" t="s">
        <v>27</v>
      </c>
      <c r="U24" s="37">
        <f t="shared" si="9"/>
        <v>12</v>
      </c>
      <c r="V24" s="37">
        <f t="shared" si="9"/>
        <v>12</v>
      </c>
      <c r="W24" s="37">
        <f t="shared" si="9"/>
        <v>0</v>
      </c>
      <c r="X24" s="37">
        <f t="shared" si="9"/>
        <v>12</v>
      </c>
      <c r="Y24" s="37">
        <f t="shared" si="9"/>
        <v>7</v>
      </c>
      <c r="Z24" s="37">
        <f t="shared" si="9"/>
        <v>19</v>
      </c>
      <c r="AA24" s="37">
        <f t="shared" si="9"/>
        <v>12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4">
        <v>3</v>
      </c>
      <c r="AK24" s="37" t="s">
        <v>236</v>
      </c>
      <c r="AL24" s="37">
        <v>0</v>
      </c>
      <c r="AM24" s="37">
        <v>2</v>
      </c>
      <c r="AN24" s="37">
        <v>6</v>
      </c>
      <c r="AO24" s="37">
        <v>2</v>
      </c>
      <c r="AP24" s="37">
        <v>2</v>
      </c>
      <c r="AQ24" s="37">
        <v>0</v>
      </c>
      <c r="AR24" s="37">
        <v>0</v>
      </c>
      <c r="AS24" s="4">
        <v>20</v>
      </c>
    </row>
    <row r="25" spans="1:45" ht="16.5" customHeight="1">
      <c r="A25" s="37" t="str">
        <v>GQ</v>
      </c>
      <c r="B25" s="4" t="str">
        <v>Golden Q</v>
      </c>
      <c r="C25" s="10">
        <f t="shared" si="0"/>
        <v>0</v>
      </c>
      <c r="D25" s="10">
        <f t="shared" si="3"/>
        <v>1</v>
      </c>
      <c r="E25" s="10">
        <f t="shared" si="4"/>
        <v>1</v>
      </c>
      <c r="F25" s="10">
        <f t="shared" si="5"/>
        <v>1</v>
      </c>
      <c r="G25" s="10">
        <f t="shared" si="6"/>
        <v>0</v>
      </c>
      <c r="H25" s="10">
        <f t="shared" si="7"/>
        <v>0</v>
      </c>
      <c r="I25" s="10">
        <f t="shared" si="8"/>
        <v>0</v>
      </c>
      <c r="J25" s="4">
        <v>21</v>
      </c>
      <c r="L25" s="14">
        <v>21</v>
      </c>
      <c r="M25" s="38" t="s">
        <v>27</v>
      </c>
      <c r="N25" s="38" t="s">
        <v>27</v>
      </c>
      <c r="O25" s="38" t="s">
        <v>18</v>
      </c>
      <c r="P25" s="38" t="s">
        <v>29</v>
      </c>
      <c r="Q25" s="38" t="s">
        <v>89</v>
      </c>
      <c r="R25" s="38" t="s">
        <v>29</v>
      </c>
      <c r="S25" s="24" t="s">
        <v>27</v>
      </c>
      <c r="U25" s="37">
        <f t="shared" si="9"/>
        <v>12</v>
      </c>
      <c r="V25" s="37">
        <f t="shared" si="9"/>
        <v>12</v>
      </c>
      <c r="W25" s="37">
        <f t="shared" si="9"/>
        <v>10</v>
      </c>
      <c r="X25" s="37">
        <f t="shared" si="9"/>
        <v>19</v>
      </c>
      <c r="Y25" s="37">
        <f t="shared" si="9"/>
        <v>7</v>
      </c>
      <c r="Z25" s="37">
        <f t="shared" si="9"/>
        <v>19</v>
      </c>
      <c r="AA25" s="37">
        <f t="shared" si="9"/>
        <v>12</v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4">
        <v>1</v>
      </c>
      <c r="AK25" s="37" t="s">
        <v>238</v>
      </c>
      <c r="AL25" s="37">
        <v>0</v>
      </c>
      <c r="AM25" s="37">
        <v>10</v>
      </c>
      <c r="AN25" s="37">
        <v>6</v>
      </c>
      <c r="AO25" s="37">
        <v>1</v>
      </c>
      <c r="AP25" s="37">
        <v>4</v>
      </c>
      <c r="AQ25" s="37">
        <v>0</v>
      </c>
      <c r="AR25" s="37">
        <v>0</v>
      </c>
      <c r="AS25" s="4">
        <v>21</v>
      </c>
    </row>
    <row r="26" spans="1:45" ht="16.5" customHeight="1">
      <c r="A26" s="37" t="str">
        <v>GJ</v>
      </c>
      <c r="B26" s="4" t="str">
        <v>Golden J</v>
      </c>
      <c r="C26" s="10">
        <f t="shared" si="0"/>
        <v>0</v>
      </c>
      <c r="D26" s="10">
        <f t="shared" si="3"/>
        <v>1</v>
      </c>
      <c r="E26" s="10">
        <f t="shared" si="4"/>
        <v>1</v>
      </c>
      <c r="F26" s="10">
        <f t="shared" si="5"/>
        <v>1</v>
      </c>
      <c r="G26" s="10">
        <f t="shared" si="6"/>
        <v>1</v>
      </c>
      <c r="H26" s="10">
        <f t="shared" si="7"/>
        <v>0</v>
      </c>
      <c r="I26" s="10">
        <f t="shared" si="8"/>
        <v>0</v>
      </c>
      <c r="J26" s="4">
        <v>22</v>
      </c>
      <c r="L26" s="15">
        <v>22</v>
      </c>
      <c r="M26" s="38" t="s">
        <v>27</v>
      </c>
      <c r="N26" s="38" t="s">
        <v>29</v>
      </c>
      <c r="O26" s="38" t="s">
        <v>18</v>
      </c>
      <c r="P26" s="38" t="s">
        <v>29</v>
      </c>
      <c r="Q26" s="38" t="s">
        <v>29</v>
      </c>
      <c r="R26" s="38" t="s">
        <v>18</v>
      </c>
      <c r="S26" s="24" t="s">
        <v>27</v>
      </c>
      <c r="U26" s="37">
        <f t="shared" si="9"/>
        <v>12</v>
      </c>
      <c r="V26" s="37">
        <f t="shared" si="9"/>
        <v>19</v>
      </c>
      <c r="W26" s="37">
        <f t="shared" si="9"/>
        <v>10</v>
      </c>
      <c r="X26" s="37">
        <f t="shared" si="9"/>
        <v>19</v>
      </c>
      <c r="Y26" s="37">
        <f t="shared" si="9"/>
        <v>19</v>
      </c>
      <c r="Z26" s="37">
        <f t="shared" si="9"/>
        <v>10</v>
      </c>
      <c r="AA26" s="37">
        <f t="shared" si="9"/>
        <v>12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0</v>
      </c>
      <c r="AM26" s="37">
        <v>5</v>
      </c>
      <c r="AN26" s="37">
        <v>6</v>
      </c>
      <c r="AO26" s="37">
        <v>1</v>
      </c>
      <c r="AP26" s="37">
        <v>2</v>
      </c>
      <c r="AQ26" s="37">
        <v>0</v>
      </c>
      <c r="AR26" s="37">
        <v>0</v>
      </c>
      <c r="AS26" s="4">
        <v>22</v>
      </c>
    </row>
    <row r="27" spans="1:45" ht="16.5" customHeight="1">
      <c r="A27" s="37" t="str">
        <v>GT</v>
      </c>
      <c r="B27" s="37" t="str">
        <v>Golden TE</v>
      </c>
      <c r="C27" s="10">
        <f t="shared" si="0"/>
        <v>0</v>
      </c>
      <c r="D27" s="10">
        <f t="shared" si="3"/>
        <v>1</v>
      </c>
      <c r="E27" s="10">
        <f t="shared" si="4"/>
        <v>1</v>
      </c>
      <c r="F27" s="10">
        <f t="shared" si="5"/>
        <v>1</v>
      </c>
      <c r="G27" s="10">
        <f t="shared" si="6"/>
        <v>0</v>
      </c>
      <c r="H27" s="10">
        <f t="shared" si="7"/>
        <v>0</v>
      </c>
      <c r="I27" s="10">
        <f t="shared" si="8"/>
        <v>0</v>
      </c>
      <c r="J27" s="4">
        <v>23</v>
      </c>
      <c r="L27" s="14">
        <v>23</v>
      </c>
      <c r="M27" s="38" t="s">
        <v>18</v>
      </c>
      <c r="N27" s="38" t="s">
        <v>29</v>
      </c>
      <c r="O27" s="38" t="s">
        <v>18</v>
      </c>
      <c r="P27" s="38" t="s">
        <v>29</v>
      </c>
      <c r="Q27" s="38" t="s">
        <v>18</v>
      </c>
      <c r="R27" s="38" t="s">
        <v>18</v>
      </c>
      <c r="S27" s="24" t="s">
        <v>27</v>
      </c>
      <c r="U27" s="37">
        <f t="shared" si="9"/>
        <v>10</v>
      </c>
      <c r="V27" s="37">
        <f t="shared" si="9"/>
        <v>19</v>
      </c>
      <c r="W27" s="37">
        <f t="shared" si="9"/>
        <v>10</v>
      </c>
      <c r="X27" s="37">
        <f t="shared" si="9"/>
        <v>19</v>
      </c>
      <c r="Y27" s="37">
        <f t="shared" si="9"/>
        <v>10</v>
      </c>
      <c r="Z27" s="37">
        <f t="shared" si="9"/>
        <v>10</v>
      </c>
      <c r="AA27" s="37">
        <f t="shared" si="9"/>
        <v>12</v>
      </c>
      <c r="AC27" s="18">
        <v>1</v>
      </c>
      <c r="AD27" s="18">
        <v>1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0</v>
      </c>
      <c r="AM27" s="37">
        <v>2</v>
      </c>
      <c r="AN27" s="37">
        <v>6</v>
      </c>
      <c r="AO27" s="37">
        <v>1</v>
      </c>
      <c r="AP27" s="37">
        <v>2</v>
      </c>
      <c r="AQ27" s="37">
        <v>0</v>
      </c>
      <c r="AR27" s="37">
        <v>0</v>
      </c>
      <c r="AS27" s="4">
        <v>23</v>
      </c>
    </row>
    <row r="28" spans="1:45" ht="16.5" customHeight="1">
      <c r="A28" s="154" t="str">
        <v>MY</v>
      </c>
      <c r="B28" s="154" t="str">
        <v>Mystery</v>
      </c>
      <c r="C28" s="153">
        <f t="shared" si="0"/>
        <v>0</v>
      </c>
      <c r="D28" s="153">
        <f t="shared" si="3"/>
        <v>3</v>
      </c>
      <c r="E28" s="153">
        <f t="shared" si="4"/>
        <v>0</v>
      </c>
      <c r="F28" s="153">
        <f t="shared" si="5"/>
        <v>0</v>
      </c>
      <c r="G28" s="153">
        <f t="shared" si="6"/>
        <v>0</v>
      </c>
      <c r="H28" s="153">
        <f t="shared" si="7"/>
        <v>0</v>
      </c>
      <c r="I28" s="153">
        <f t="shared" si="8"/>
        <v>0</v>
      </c>
      <c r="J28" s="151">
        <v>24</v>
      </c>
      <c r="L28" s="15">
        <v>24</v>
      </c>
      <c r="M28" s="38" t="s">
        <v>18</v>
      </c>
      <c r="N28" s="38" t="s">
        <v>29</v>
      </c>
      <c r="O28" s="38" t="s">
        <v>28</v>
      </c>
      <c r="P28" s="38" t="s">
        <v>64</v>
      </c>
      <c r="Q28" s="38" t="s">
        <v>17</v>
      </c>
      <c r="R28" s="38" t="s">
        <v>24</v>
      </c>
      <c r="S28" s="24" t="s">
        <v>29</v>
      </c>
      <c r="U28" s="37">
        <f t="shared" si="9"/>
        <v>10</v>
      </c>
      <c r="V28" s="37">
        <f t="shared" si="9"/>
        <v>19</v>
      </c>
      <c r="W28" s="37">
        <f t="shared" si="9"/>
        <v>15</v>
      </c>
      <c r="X28" s="37">
        <f t="shared" si="9"/>
        <v>14</v>
      </c>
      <c r="Y28" s="37">
        <f t="shared" si="9"/>
        <v>14</v>
      </c>
      <c r="Z28" s="37">
        <f t="shared" si="9"/>
        <v>11</v>
      </c>
      <c r="AA28" s="37">
        <f t="shared" si="9"/>
        <v>19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4">
        <v>3</v>
      </c>
      <c r="AK28" s="154" t="s">
        <v>94</v>
      </c>
      <c r="AL28" s="154">
        <v>0</v>
      </c>
      <c r="AM28" s="154">
        <v>10</v>
      </c>
      <c r="AN28" s="154">
        <v>10</v>
      </c>
      <c r="AO28" s="154">
        <v>10</v>
      </c>
      <c r="AP28" s="154">
        <v>10</v>
      </c>
      <c r="AQ28" s="154">
        <v>0</v>
      </c>
      <c r="AR28" s="154">
        <v>0</v>
      </c>
      <c r="AS28" s="151">
        <v>24</v>
      </c>
    </row>
    <row r="29" spans="1:45" ht="16.5" customHeight="1">
      <c r="A29" s="154" t="str">
        <v>GM</v>
      </c>
      <c r="B29" s="154" t="str">
        <v>Golden Mystery</v>
      </c>
      <c r="C29" s="153">
        <f t="shared" si="0"/>
        <v>0</v>
      </c>
      <c r="D29" s="153">
        <f t="shared" si="3"/>
        <v>1</v>
      </c>
      <c r="E29" s="153">
        <f t="shared" si="4"/>
        <v>0</v>
      </c>
      <c r="F29" s="153">
        <f t="shared" si="5"/>
        <v>0</v>
      </c>
      <c r="G29" s="153">
        <f t="shared" si="6"/>
        <v>0</v>
      </c>
      <c r="H29" s="153">
        <f t="shared" si="7"/>
        <v>0</v>
      </c>
      <c r="I29" s="153">
        <f t="shared" si="8"/>
        <v>0</v>
      </c>
      <c r="J29" s="151">
        <v>25</v>
      </c>
      <c r="L29" s="14">
        <v>25</v>
      </c>
      <c r="M29" s="38" t="s">
        <v>89</v>
      </c>
      <c r="N29" s="38" t="s">
        <v>89</v>
      </c>
      <c r="O29" s="38" t="s">
        <v>28</v>
      </c>
      <c r="P29" s="38" t="s">
        <v>64</v>
      </c>
      <c r="Q29" s="38" t="s">
        <v>29</v>
      </c>
      <c r="R29" s="38" t="s">
        <v>64</v>
      </c>
      <c r="S29" s="24" t="s">
        <v>29</v>
      </c>
      <c r="U29" s="37">
        <f t="shared" si="9"/>
        <v>7</v>
      </c>
      <c r="V29" s="37">
        <f t="shared" si="9"/>
        <v>7</v>
      </c>
      <c r="W29" s="37">
        <f t="shared" si="9"/>
        <v>15</v>
      </c>
      <c r="X29" s="37">
        <f t="shared" si="9"/>
        <v>14</v>
      </c>
      <c r="Y29" s="37">
        <f t="shared" si="9"/>
        <v>19</v>
      </c>
      <c r="Z29" s="37">
        <f t="shared" si="9"/>
        <v>14</v>
      </c>
      <c r="AA29" s="37">
        <f t="shared" si="9"/>
        <v>19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4" t="s">
        <v>257</v>
      </c>
      <c r="AL29" s="154">
        <v>0</v>
      </c>
      <c r="AM29" s="154">
        <v>1</v>
      </c>
      <c r="AN29" s="154">
        <v>1</v>
      </c>
      <c r="AO29" s="154">
        <v>1</v>
      </c>
      <c r="AP29" s="154">
        <v>1</v>
      </c>
      <c r="AQ29" s="154">
        <v>0</v>
      </c>
      <c r="AR29" s="154">
        <v>0</v>
      </c>
      <c r="AS29" s="151">
        <v>25</v>
      </c>
    </row>
    <row r="30" spans="1:45" ht="16.5" customHeight="1">
      <c r="A30" s="150"/>
      <c r="B30" s="150"/>
      <c r="C30" s="170">
        <f>SUM(C4:C29)</f>
        <v>121</v>
      </c>
      <c r="D30" s="170">
        <f t="shared" ref="D30:I30" si="10">SUM(D4:D29)</f>
        <v>121</v>
      </c>
      <c r="E30" s="170">
        <f t="shared" si="10"/>
        <v>121</v>
      </c>
      <c r="F30" s="170">
        <f t="shared" si="10"/>
        <v>121</v>
      </c>
      <c r="G30" s="170">
        <f t="shared" si="10"/>
        <v>121</v>
      </c>
      <c r="H30" s="170">
        <f t="shared" si="10"/>
        <v>121</v>
      </c>
      <c r="I30" s="170">
        <f t="shared" si="10"/>
        <v>121</v>
      </c>
      <c r="J30" s="13"/>
      <c r="L30" s="15">
        <v>26</v>
      </c>
      <c r="M30" s="38" t="s">
        <v>28</v>
      </c>
      <c r="N30" s="38" t="s">
        <v>89</v>
      </c>
      <c r="O30" s="38" t="s">
        <v>89</v>
      </c>
      <c r="P30" s="38" t="s">
        <v>27</v>
      </c>
      <c r="Q30" s="38" t="s">
        <v>27</v>
      </c>
      <c r="R30" s="38" t="s">
        <v>27</v>
      </c>
      <c r="S30" s="24" t="s">
        <v>29</v>
      </c>
      <c r="U30" s="37">
        <f t="shared" si="9"/>
        <v>15</v>
      </c>
      <c r="V30" s="37">
        <f t="shared" si="9"/>
        <v>7</v>
      </c>
      <c r="W30" s="37">
        <f t="shared" si="9"/>
        <v>7</v>
      </c>
      <c r="X30" s="37">
        <f t="shared" si="9"/>
        <v>12</v>
      </c>
      <c r="Y30" s="37">
        <f t="shared" si="9"/>
        <v>12</v>
      </c>
      <c r="Z30" s="37">
        <f t="shared" si="9"/>
        <v>12</v>
      </c>
      <c r="AA30" s="37">
        <f t="shared" si="9"/>
        <v>19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4">
        <v>1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28</v>
      </c>
      <c r="N31" s="38" t="s">
        <v>24</v>
      </c>
      <c r="O31" s="38" t="s">
        <v>17</v>
      </c>
      <c r="P31" s="38" t="s">
        <v>27</v>
      </c>
      <c r="Q31" s="38" t="s">
        <v>27</v>
      </c>
      <c r="R31" s="38" t="s">
        <v>64</v>
      </c>
      <c r="S31" s="24" t="s">
        <v>29</v>
      </c>
      <c r="U31" s="37">
        <f t="shared" si="9"/>
        <v>15</v>
      </c>
      <c r="V31" s="37">
        <f t="shared" si="9"/>
        <v>11</v>
      </c>
      <c r="W31" s="37">
        <f t="shared" si="9"/>
        <v>14</v>
      </c>
      <c r="X31" s="37">
        <f t="shared" si="9"/>
        <v>12</v>
      </c>
      <c r="Y31" s="37">
        <f t="shared" si="9"/>
        <v>12</v>
      </c>
      <c r="Z31" s="37">
        <f t="shared" si="9"/>
        <v>14</v>
      </c>
      <c r="AA31" s="37">
        <f t="shared" si="9"/>
        <v>19</v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27</v>
      </c>
      <c r="N32" s="38" t="s">
        <v>24</v>
      </c>
      <c r="O32" s="38" t="s">
        <v>228</v>
      </c>
      <c r="P32" s="38" t="s">
        <v>226</v>
      </c>
      <c r="Q32" s="38" t="s">
        <v>89</v>
      </c>
      <c r="R32" s="38" t="s">
        <v>24</v>
      </c>
      <c r="S32" s="24" t="s">
        <v>28</v>
      </c>
      <c r="U32" s="37">
        <f t="shared" si="9"/>
        <v>12</v>
      </c>
      <c r="V32" s="37">
        <f t="shared" si="9"/>
        <v>11</v>
      </c>
      <c r="W32" s="37">
        <f t="shared" si="9"/>
        <v>0</v>
      </c>
      <c r="X32" s="37">
        <f t="shared" si="9"/>
        <v>0</v>
      </c>
      <c r="Y32" s="37">
        <f t="shared" si="9"/>
        <v>7</v>
      </c>
      <c r="Z32" s="37">
        <f t="shared" si="9"/>
        <v>11</v>
      </c>
      <c r="AA32" s="37">
        <f t="shared" si="9"/>
        <v>15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4">
        <v>3</v>
      </c>
      <c r="AK32" s="16" t="s">
        <v>265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>
      <c r="B33" s="149" t="s">
        <v>72</v>
      </c>
      <c r="C33" s="155">
        <v>0</v>
      </c>
      <c r="D33" s="155">
        <v>105</v>
      </c>
      <c r="E33" s="155">
        <v>45</v>
      </c>
      <c r="F33" s="155">
        <v>175</v>
      </c>
      <c r="G33" s="155">
        <v>135</v>
      </c>
      <c r="H33" s="155">
        <v>0</v>
      </c>
      <c r="J33" s="13"/>
      <c r="L33" s="14">
        <v>29</v>
      </c>
      <c r="M33" s="38" t="s">
        <v>27</v>
      </c>
      <c r="N33" s="38" t="s">
        <v>24</v>
      </c>
      <c r="O33" s="38" t="s">
        <v>18</v>
      </c>
      <c r="P33" s="38" t="s">
        <v>27</v>
      </c>
      <c r="Q33" s="38" t="s">
        <v>89</v>
      </c>
      <c r="R33" s="38" t="s">
        <v>27</v>
      </c>
      <c r="S33" s="24" t="s">
        <v>28</v>
      </c>
      <c r="U33" s="37">
        <f t="shared" si="9"/>
        <v>12</v>
      </c>
      <c r="V33" s="37">
        <f t="shared" si="9"/>
        <v>11</v>
      </c>
      <c r="W33" s="37">
        <f t="shared" si="9"/>
        <v>10</v>
      </c>
      <c r="X33" s="37">
        <f t="shared" si="9"/>
        <v>12</v>
      </c>
      <c r="Y33" s="37">
        <f t="shared" si="9"/>
        <v>7</v>
      </c>
      <c r="Z33" s="37">
        <f t="shared" si="9"/>
        <v>12</v>
      </c>
      <c r="AA33" s="37">
        <f t="shared" si="9"/>
        <v>15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75</v>
      </c>
      <c r="C34" s="8">
        <v>0</v>
      </c>
      <c r="D34" s="8">
        <v>105</v>
      </c>
      <c r="E34" s="8">
        <v>45</v>
      </c>
      <c r="F34" s="8">
        <v>175</v>
      </c>
      <c r="G34" s="8">
        <v>135</v>
      </c>
      <c r="H34" s="8">
        <v>0</v>
      </c>
      <c r="L34" s="15">
        <v>30</v>
      </c>
      <c r="M34" s="38" t="s">
        <v>18</v>
      </c>
      <c r="N34" s="38" t="s">
        <v>28</v>
      </c>
      <c r="O34" s="38" t="s">
        <v>28</v>
      </c>
      <c r="P34" s="38" t="s">
        <v>26</v>
      </c>
      <c r="Q34" s="38" t="s">
        <v>26</v>
      </c>
      <c r="R34" s="38" t="s">
        <v>27</v>
      </c>
      <c r="S34" s="38" t="s">
        <v>28</v>
      </c>
      <c r="U34" s="37">
        <f t="shared" si="9"/>
        <v>10</v>
      </c>
      <c r="V34" s="37">
        <f t="shared" si="9"/>
        <v>15</v>
      </c>
      <c r="W34" s="37">
        <f t="shared" si="9"/>
        <v>15</v>
      </c>
      <c r="X34" s="37">
        <f t="shared" si="9"/>
        <v>7</v>
      </c>
      <c r="Y34" s="37">
        <f t="shared" si="9"/>
        <v>7</v>
      </c>
      <c r="Z34" s="37">
        <f t="shared" si="9"/>
        <v>12</v>
      </c>
      <c r="AA34" s="37">
        <f t="shared" si="9"/>
        <v>15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5</v>
      </c>
      <c r="AM34" s="37">
        <v>5</v>
      </c>
      <c r="AN34" s="37">
        <v>5</v>
      </c>
      <c r="AO34" s="37">
        <v>5</v>
      </c>
      <c r="AP34" s="37">
        <v>5</v>
      </c>
      <c r="AQ34" s="37">
        <v>5</v>
      </c>
      <c r="AR34" s="37">
        <v>0</v>
      </c>
      <c r="AS34" s="4">
        <v>1</v>
      </c>
    </row>
    <row r="35" spans="1:45" ht="16.5" customHeight="1">
      <c r="B35" s="4" t="s">
        <v>73</v>
      </c>
      <c r="C35" s="8">
        <v>0</v>
      </c>
      <c r="D35" s="8">
        <v>675</v>
      </c>
      <c r="E35" s="8">
        <v>195</v>
      </c>
      <c r="F35" s="8">
        <v>475</v>
      </c>
      <c r="G35" s="8">
        <v>1075</v>
      </c>
      <c r="H35" s="8">
        <v>0</v>
      </c>
      <c r="L35" s="14">
        <v>31</v>
      </c>
      <c r="M35" s="38" t="s">
        <v>89</v>
      </c>
      <c r="N35" s="38" t="s">
        <v>27</v>
      </c>
      <c r="O35" s="38" t="s">
        <v>28</v>
      </c>
      <c r="P35" s="38" t="s">
        <v>236</v>
      </c>
      <c r="Q35" s="38" t="s">
        <v>29</v>
      </c>
      <c r="R35" s="38" t="s">
        <v>29</v>
      </c>
      <c r="S35" s="24" t="s">
        <v>28</v>
      </c>
      <c r="U35" s="37">
        <f t="shared" si="9"/>
        <v>7</v>
      </c>
      <c r="V35" s="37">
        <f t="shared" si="9"/>
        <v>12</v>
      </c>
      <c r="W35" s="37">
        <f t="shared" si="9"/>
        <v>15</v>
      </c>
      <c r="X35" s="37">
        <f t="shared" si="9"/>
        <v>0</v>
      </c>
      <c r="Y35" s="37">
        <f t="shared" si="9"/>
        <v>19</v>
      </c>
      <c r="Z35" s="37">
        <f t="shared" si="9"/>
        <v>19</v>
      </c>
      <c r="AA35" s="37">
        <f t="shared" si="9"/>
        <v>15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4" t="s">
        <v>20</v>
      </c>
      <c r="AL35" s="154">
        <v>15</v>
      </c>
      <c r="AM35" s="154">
        <v>42</v>
      </c>
      <c r="AN35" s="154">
        <v>20</v>
      </c>
      <c r="AO35" s="154">
        <v>10</v>
      </c>
      <c r="AP35" s="154">
        <v>40</v>
      </c>
      <c r="AQ35" s="154">
        <v>5</v>
      </c>
      <c r="AR35" s="154">
        <v>1</v>
      </c>
      <c r="AS35" s="151">
        <v>2</v>
      </c>
    </row>
    <row r="36" spans="1:45" ht="16.5" customHeight="1">
      <c r="B36" s="4" t="s">
        <v>76</v>
      </c>
      <c r="C36" s="8">
        <v>0</v>
      </c>
      <c r="D36" s="8">
        <v>675</v>
      </c>
      <c r="E36" s="8">
        <v>195</v>
      </c>
      <c r="F36" s="8">
        <v>475</v>
      </c>
      <c r="G36" s="8">
        <v>1075</v>
      </c>
      <c r="H36" s="8">
        <v>0</v>
      </c>
      <c r="L36" s="15">
        <v>32</v>
      </c>
      <c r="M36" s="38" t="s">
        <v>89</v>
      </c>
      <c r="N36" s="38" t="s">
        <v>27</v>
      </c>
      <c r="O36" s="38" t="s">
        <v>24</v>
      </c>
      <c r="P36" s="38" t="s">
        <v>24</v>
      </c>
      <c r="Q36" s="38" t="s">
        <v>29</v>
      </c>
      <c r="R36" s="38" t="s">
        <v>28</v>
      </c>
      <c r="S36" s="24" t="s">
        <v>64</v>
      </c>
      <c r="U36" s="37">
        <f t="shared" si="9"/>
        <v>7</v>
      </c>
      <c r="V36" s="37">
        <f t="shared" si="9"/>
        <v>12</v>
      </c>
      <c r="W36" s="37">
        <f t="shared" si="9"/>
        <v>11</v>
      </c>
      <c r="X36" s="37">
        <f t="shared" si="9"/>
        <v>11</v>
      </c>
      <c r="Y36" s="37">
        <f t="shared" si="9"/>
        <v>19</v>
      </c>
      <c r="Z36" s="37">
        <f t="shared" si="9"/>
        <v>15</v>
      </c>
      <c r="AA36" s="37">
        <f t="shared" si="9"/>
        <v>14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4">
        <v>3</v>
      </c>
      <c r="AK36" s="154" t="s">
        <v>21</v>
      </c>
      <c r="AL36" s="154">
        <v>40</v>
      </c>
      <c r="AM36" s="154">
        <v>15</v>
      </c>
      <c r="AN36" s="154">
        <v>40</v>
      </c>
      <c r="AO36" s="154">
        <v>42</v>
      </c>
      <c r="AP36" s="154">
        <v>40</v>
      </c>
      <c r="AQ36" s="154">
        <v>5</v>
      </c>
      <c r="AR36" s="154">
        <v>1</v>
      </c>
      <c r="AS36" s="151">
        <v>3</v>
      </c>
    </row>
    <row r="37" spans="1:45" ht="16.5" customHeight="1">
      <c r="B37" s="4" t="s">
        <v>74</v>
      </c>
      <c r="C37" s="8">
        <v>0</v>
      </c>
      <c r="D37" s="8">
        <v>463</v>
      </c>
      <c r="E37" s="8">
        <v>303</v>
      </c>
      <c r="F37" s="8">
        <v>330</v>
      </c>
      <c r="G37" s="8">
        <v>727</v>
      </c>
      <c r="H37" s="8">
        <v>0</v>
      </c>
      <c r="L37" s="14">
        <v>33</v>
      </c>
      <c r="M37" s="38" t="s">
        <v>28</v>
      </c>
      <c r="N37" s="38" t="s">
        <v>27</v>
      </c>
      <c r="O37" s="38" t="s">
        <v>28</v>
      </c>
      <c r="P37" s="38" t="s">
        <v>27</v>
      </c>
      <c r="Q37" s="38" t="s">
        <v>26</v>
      </c>
      <c r="R37" s="38" t="s">
        <v>24</v>
      </c>
      <c r="S37" s="24" t="s">
        <v>64</v>
      </c>
      <c r="U37" s="37">
        <f t="shared" si="9"/>
        <v>15</v>
      </c>
      <c r="V37" s="37">
        <f t="shared" si="9"/>
        <v>12</v>
      </c>
      <c r="W37" s="37">
        <f t="shared" si="9"/>
        <v>15</v>
      </c>
      <c r="X37" s="37">
        <f t="shared" si="9"/>
        <v>12</v>
      </c>
      <c r="Y37" s="37">
        <f t="shared" si="9"/>
        <v>7</v>
      </c>
      <c r="Z37" s="37">
        <f t="shared" si="9"/>
        <v>11</v>
      </c>
      <c r="AA37" s="37">
        <f t="shared" si="9"/>
        <v>14</v>
      </c>
      <c r="AC37" s="18">
        <v>1</v>
      </c>
      <c r="AD37" s="18">
        <v>1</v>
      </c>
      <c r="AE37" s="18">
        <v>1</v>
      </c>
      <c r="AF37" s="18">
        <v>1</v>
      </c>
      <c r="AG37" s="18">
        <v>1</v>
      </c>
      <c r="AH37" s="18">
        <v>1</v>
      </c>
      <c r="AI37" s="4">
        <v>1</v>
      </c>
      <c r="AK37" s="154" t="s">
        <v>17</v>
      </c>
      <c r="AL37" s="154">
        <v>15</v>
      </c>
      <c r="AM37" s="154">
        <v>40</v>
      </c>
      <c r="AN37" s="154">
        <v>20</v>
      </c>
      <c r="AO37" s="154">
        <v>10</v>
      </c>
      <c r="AP37" s="154">
        <v>5</v>
      </c>
      <c r="AQ37" s="154">
        <v>40</v>
      </c>
      <c r="AR37" s="154">
        <v>1</v>
      </c>
      <c r="AS37" s="151">
        <v>4</v>
      </c>
    </row>
    <row r="38" spans="1:45" ht="16.5" customHeight="1">
      <c r="B38" s="4" t="s">
        <v>77</v>
      </c>
      <c r="C38" s="8">
        <v>0</v>
      </c>
      <c r="D38" s="8">
        <v>463</v>
      </c>
      <c r="E38" s="8">
        <v>303</v>
      </c>
      <c r="F38" s="8">
        <v>330</v>
      </c>
      <c r="G38" s="8">
        <v>727</v>
      </c>
      <c r="H38" s="8">
        <v>0</v>
      </c>
      <c r="L38" s="15">
        <v>34</v>
      </c>
      <c r="M38" s="38" t="s">
        <v>26</v>
      </c>
      <c r="N38" s="38" t="s">
        <v>64</v>
      </c>
      <c r="O38" s="38" t="s">
        <v>18</v>
      </c>
      <c r="P38" s="38" t="s">
        <v>29</v>
      </c>
      <c r="Q38" s="38" t="s">
        <v>26</v>
      </c>
      <c r="R38" s="38" t="s">
        <v>24</v>
      </c>
      <c r="S38" s="24" t="s">
        <v>64</v>
      </c>
      <c r="U38" s="37">
        <f t="shared" si="9"/>
        <v>7</v>
      </c>
      <c r="V38" s="37">
        <f t="shared" si="9"/>
        <v>14</v>
      </c>
      <c r="W38" s="37">
        <f t="shared" si="9"/>
        <v>10</v>
      </c>
      <c r="X38" s="37">
        <f t="shared" si="9"/>
        <v>19</v>
      </c>
      <c r="Y38" s="37">
        <f t="shared" si="9"/>
        <v>7</v>
      </c>
      <c r="Z38" s="37">
        <f t="shared" si="9"/>
        <v>11</v>
      </c>
      <c r="AA38" s="37">
        <f t="shared" si="9"/>
        <v>14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4">
        <v>1</v>
      </c>
      <c r="AK38" s="154" t="s">
        <v>18</v>
      </c>
      <c r="AL38" s="154">
        <v>40</v>
      </c>
      <c r="AM38" s="154">
        <v>15</v>
      </c>
      <c r="AN38" s="154">
        <v>40</v>
      </c>
      <c r="AO38" s="154">
        <v>10</v>
      </c>
      <c r="AP38" s="154">
        <v>5</v>
      </c>
      <c r="AQ38" s="154">
        <v>40</v>
      </c>
      <c r="AR38" s="154">
        <v>1</v>
      </c>
      <c r="AS38" s="151">
        <v>5</v>
      </c>
    </row>
    <row r="39" spans="1:45" ht="16.5" customHeight="1">
      <c r="B39" s="4" t="s">
        <v>78</v>
      </c>
      <c r="C39" s="8">
        <v>0</v>
      </c>
      <c r="D39" s="8">
        <v>463</v>
      </c>
      <c r="E39" s="8">
        <v>303</v>
      </c>
      <c r="F39" s="8">
        <v>330</v>
      </c>
      <c r="G39" s="8">
        <v>727</v>
      </c>
      <c r="H39" s="8">
        <v>0</v>
      </c>
      <c r="L39" s="14">
        <v>35</v>
      </c>
      <c r="M39" s="38" t="s">
        <v>64</v>
      </c>
      <c r="N39" s="38" t="s">
        <v>236</v>
      </c>
      <c r="O39" s="38" t="s">
        <v>18</v>
      </c>
      <c r="P39" s="38" t="s">
        <v>64</v>
      </c>
      <c r="Q39" s="38" t="s">
        <v>89</v>
      </c>
      <c r="R39" s="38" t="s">
        <v>24</v>
      </c>
      <c r="S39" s="24" t="s">
        <v>64</v>
      </c>
      <c r="U39" s="37">
        <f t="shared" si="9"/>
        <v>14</v>
      </c>
      <c r="V39" s="37">
        <f t="shared" si="9"/>
        <v>0</v>
      </c>
      <c r="W39" s="37">
        <f t="shared" si="9"/>
        <v>10</v>
      </c>
      <c r="X39" s="37">
        <f t="shared" si="9"/>
        <v>14</v>
      </c>
      <c r="Y39" s="37">
        <f t="shared" si="9"/>
        <v>7</v>
      </c>
      <c r="Z39" s="37">
        <f t="shared" si="9"/>
        <v>11</v>
      </c>
      <c r="AA39" s="37">
        <f t="shared" si="9"/>
        <v>14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4" t="s">
        <v>64</v>
      </c>
      <c r="AL39" s="154">
        <v>15</v>
      </c>
      <c r="AM39" s="154">
        <v>40</v>
      </c>
      <c r="AN39" s="154">
        <v>20</v>
      </c>
      <c r="AO39" s="154">
        <v>10</v>
      </c>
      <c r="AP39" s="154">
        <v>40</v>
      </c>
      <c r="AQ39" s="154">
        <v>5</v>
      </c>
      <c r="AR39" s="154">
        <v>1</v>
      </c>
      <c r="AS39" s="151">
        <v>6</v>
      </c>
    </row>
    <row r="40" spans="1:45" ht="16.5" customHeight="1">
      <c r="B40" s="4" t="s">
        <v>79</v>
      </c>
      <c r="C40" s="8">
        <v>0</v>
      </c>
      <c r="D40" s="8">
        <v>910</v>
      </c>
      <c r="E40" s="8">
        <v>610</v>
      </c>
      <c r="F40" s="8">
        <v>1373</v>
      </c>
      <c r="G40" s="8">
        <v>973</v>
      </c>
      <c r="H40" s="8">
        <v>0</v>
      </c>
      <c r="L40" s="15">
        <v>36</v>
      </c>
      <c r="M40" s="37" t="s">
        <v>29</v>
      </c>
      <c r="N40" s="37" t="s">
        <v>29</v>
      </c>
      <c r="O40" s="37" t="s">
        <v>28</v>
      </c>
      <c r="P40" s="37" t="s">
        <v>64</v>
      </c>
      <c r="Q40" s="37" t="s">
        <v>18</v>
      </c>
      <c r="R40" s="37" t="s">
        <v>26</v>
      </c>
      <c r="S40" s="37" t="s">
        <v>89</v>
      </c>
      <c r="U40" s="37">
        <f t="shared" si="9"/>
        <v>19</v>
      </c>
      <c r="V40" s="37">
        <f t="shared" si="9"/>
        <v>19</v>
      </c>
      <c r="W40" s="37">
        <f t="shared" si="9"/>
        <v>15</v>
      </c>
      <c r="X40" s="37">
        <f t="shared" si="9"/>
        <v>14</v>
      </c>
      <c r="Y40" s="37">
        <f t="shared" si="9"/>
        <v>10</v>
      </c>
      <c r="Z40" s="37">
        <f t="shared" si="9"/>
        <v>7</v>
      </c>
      <c r="AA40" s="37">
        <f t="shared" si="9"/>
        <v>7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4">
        <v>3</v>
      </c>
      <c r="AK40" s="154" t="s">
        <v>89</v>
      </c>
      <c r="AL40" s="154">
        <v>40</v>
      </c>
      <c r="AM40" s="154">
        <v>15</v>
      </c>
      <c r="AN40" s="154">
        <v>40</v>
      </c>
      <c r="AO40" s="154">
        <v>10</v>
      </c>
      <c r="AP40" s="154">
        <v>5</v>
      </c>
      <c r="AQ40" s="154">
        <v>40</v>
      </c>
      <c r="AR40" s="154">
        <v>1</v>
      </c>
      <c r="AS40" s="151">
        <v>7</v>
      </c>
    </row>
    <row r="41" spans="1:45" ht="16.5" customHeight="1">
      <c r="B41" s="4" t="s">
        <v>80</v>
      </c>
      <c r="C41" s="8">
        <v>0</v>
      </c>
      <c r="D41" s="8">
        <v>910</v>
      </c>
      <c r="E41" s="8">
        <v>610</v>
      </c>
      <c r="F41" s="8">
        <v>1373</v>
      </c>
      <c r="G41" s="8">
        <v>973</v>
      </c>
      <c r="H41" s="8">
        <v>0</v>
      </c>
      <c r="L41" s="14">
        <v>37</v>
      </c>
      <c r="M41" s="38" t="s">
        <v>89</v>
      </c>
      <c r="N41" s="38" t="s">
        <v>29</v>
      </c>
      <c r="O41" s="38" t="s">
        <v>28</v>
      </c>
      <c r="P41" s="38" t="s">
        <v>64</v>
      </c>
      <c r="Q41" s="38" t="s">
        <v>28</v>
      </c>
      <c r="R41" s="38" t="s">
        <v>26</v>
      </c>
      <c r="S41" s="24" t="s">
        <v>89</v>
      </c>
      <c r="U41" s="37">
        <f t="shared" si="9"/>
        <v>7</v>
      </c>
      <c r="V41" s="37">
        <f t="shared" si="9"/>
        <v>19</v>
      </c>
      <c r="W41" s="37">
        <f t="shared" si="9"/>
        <v>15</v>
      </c>
      <c r="X41" s="37">
        <f t="shared" si="9"/>
        <v>14</v>
      </c>
      <c r="Y41" s="37">
        <f t="shared" si="9"/>
        <v>15</v>
      </c>
      <c r="Z41" s="37">
        <f t="shared" si="9"/>
        <v>7</v>
      </c>
      <c r="AA41" s="37">
        <f t="shared" si="9"/>
        <v>7</v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1</v>
      </c>
      <c r="AK41" s="37" t="s">
        <v>24</v>
      </c>
      <c r="AL41" s="37">
        <v>40</v>
      </c>
      <c r="AM41" s="37">
        <v>15</v>
      </c>
      <c r="AN41" s="37">
        <v>40</v>
      </c>
      <c r="AO41" s="37">
        <v>10</v>
      </c>
      <c r="AP41" s="37">
        <v>10</v>
      </c>
      <c r="AQ41" s="37">
        <v>5</v>
      </c>
      <c r="AR41" s="37">
        <v>1</v>
      </c>
      <c r="AS41" s="4">
        <v>7</v>
      </c>
    </row>
    <row r="42" spans="1:45" ht="16.5" customHeight="1">
      <c r="B42" s="4" t="s">
        <v>81</v>
      </c>
      <c r="C42" s="8">
        <v>0</v>
      </c>
      <c r="D42" s="8">
        <v>910</v>
      </c>
      <c r="E42" s="8">
        <v>610</v>
      </c>
      <c r="F42" s="8">
        <v>1373</v>
      </c>
      <c r="G42" s="8">
        <v>973</v>
      </c>
      <c r="H42" s="8">
        <v>0</v>
      </c>
      <c r="L42" s="15">
        <v>38</v>
      </c>
      <c r="M42" s="38" t="s">
        <v>89</v>
      </c>
      <c r="N42" s="38" t="s">
        <v>29</v>
      </c>
      <c r="O42" s="38" t="s">
        <v>18</v>
      </c>
      <c r="P42" s="38" t="s">
        <v>27</v>
      </c>
      <c r="Q42" s="38" t="s">
        <v>28</v>
      </c>
      <c r="R42" s="38" t="s">
        <v>24</v>
      </c>
      <c r="S42" s="24" t="s">
        <v>89</v>
      </c>
      <c r="U42" s="37">
        <f t="shared" si="9"/>
        <v>7</v>
      </c>
      <c r="V42" s="37">
        <f t="shared" si="9"/>
        <v>19</v>
      </c>
      <c r="W42" s="37">
        <f t="shared" si="9"/>
        <v>10</v>
      </c>
      <c r="X42" s="37">
        <f t="shared" si="9"/>
        <v>12</v>
      </c>
      <c r="Y42" s="37">
        <f t="shared" si="9"/>
        <v>15</v>
      </c>
      <c r="Z42" s="37">
        <f t="shared" si="9"/>
        <v>11</v>
      </c>
      <c r="AA42" s="37">
        <f t="shared" si="9"/>
        <v>7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15</v>
      </c>
      <c r="AM42" s="37">
        <v>40</v>
      </c>
      <c r="AN42" s="37">
        <v>20</v>
      </c>
      <c r="AO42" s="37">
        <v>40</v>
      </c>
      <c r="AP42" s="37">
        <v>40</v>
      </c>
      <c r="AQ42" s="37">
        <v>40</v>
      </c>
      <c r="AR42" s="37">
        <v>1</v>
      </c>
      <c r="AS42" s="4">
        <v>8</v>
      </c>
    </row>
    <row r="43" spans="1:45" ht="16.5" customHeight="1">
      <c r="B43" s="4" t="s">
        <v>82</v>
      </c>
      <c r="C43" s="8">
        <v>0</v>
      </c>
      <c r="D43" s="8">
        <v>747</v>
      </c>
      <c r="E43" s="8">
        <v>1092</v>
      </c>
      <c r="F43" s="8">
        <v>780</v>
      </c>
      <c r="G43" s="8">
        <v>520</v>
      </c>
      <c r="H43" s="8">
        <v>0</v>
      </c>
      <c r="L43" s="14">
        <v>39</v>
      </c>
      <c r="M43" s="38" t="s">
        <v>28</v>
      </c>
      <c r="N43" s="38" t="s">
        <v>234</v>
      </c>
      <c r="O43" s="38" t="s">
        <v>29</v>
      </c>
      <c r="P43" s="38" t="s">
        <v>64</v>
      </c>
      <c r="Q43" s="38" t="s">
        <v>18</v>
      </c>
      <c r="R43" s="38" t="s">
        <v>24</v>
      </c>
      <c r="S43" s="24" t="s">
        <v>89</v>
      </c>
      <c r="U43" s="37">
        <f t="shared" si="9"/>
        <v>15</v>
      </c>
      <c r="V43" s="37">
        <f t="shared" si="9"/>
        <v>0</v>
      </c>
      <c r="W43" s="37">
        <f t="shared" si="9"/>
        <v>19</v>
      </c>
      <c r="X43" s="37">
        <f t="shared" si="9"/>
        <v>14</v>
      </c>
      <c r="Y43" s="37">
        <f t="shared" si="9"/>
        <v>10</v>
      </c>
      <c r="Z43" s="37">
        <f t="shared" si="9"/>
        <v>11</v>
      </c>
      <c r="AA43" s="37">
        <f t="shared" si="9"/>
        <v>7</v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40</v>
      </c>
      <c r="AM43" s="37">
        <v>15</v>
      </c>
      <c r="AN43" s="37">
        <v>40</v>
      </c>
      <c r="AO43" s="37">
        <v>10</v>
      </c>
      <c r="AP43" s="37">
        <v>5</v>
      </c>
      <c r="AQ43" s="37">
        <v>5</v>
      </c>
      <c r="AR43" s="37">
        <v>1</v>
      </c>
      <c r="AS43" s="4">
        <v>9</v>
      </c>
    </row>
    <row r="44" spans="1:45" ht="16.5" customHeight="1">
      <c r="B44" s="4" t="s">
        <v>83</v>
      </c>
      <c r="C44" s="8">
        <v>0</v>
      </c>
      <c r="D44" s="8">
        <v>747</v>
      </c>
      <c r="E44" s="8">
        <v>1092</v>
      </c>
      <c r="F44" s="8">
        <v>780</v>
      </c>
      <c r="G44" s="8">
        <v>520</v>
      </c>
      <c r="H44" s="8">
        <v>0</v>
      </c>
      <c r="L44" s="15">
        <v>40</v>
      </c>
      <c r="M44" s="38" t="s">
        <v>29</v>
      </c>
      <c r="N44" s="38" t="s">
        <v>24</v>
      </c>
      <c r="O44" s="38" t="s">
        <v>28</v>
      </c>
      <c r="P44" s="38" t="s">
        <v>29</v>
      </c>
      <c r="Q44" s="38" t="s">
        <v>18</v>
      </c>
      <c r="R44" s="38" t="s">
        <v>27</v>
      </c>
      <c r="S44" s="24" t="s">
        <v>64</v>
      </c>
      <c r="U44" s="37">
        <f t="shared" si="9"/>
        <v>19</v>
      </c>
      <c r="V44" s="37">
        <f t="shared" si="9"/>
        <v>11</v>
      </c>
      <c r="W44" s="37">
        <f t="shared" si="9"/>
        <v>15</v>
      </c>
      <c r="X44" s="37">
        <f t="shared" si="9"/>
        <v>19</v>
      </c>
      <c r="Y44" s="37">
        <f t="shared" si="9"/>
        <v>10</v>
      </c>
      <c r="Z44" s="37">
        <f t="shared" si="9"/>
        <v>12</v>
      </c>
      <c r="AA44" s="37">
        <f t="shared" si="9"/>
        <v>14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4">
        <v>3</v>
      </c>
      <c r="AK44" s="37" t="s">
        <v>28</v>
      </c>
      <c r="AL44" s="37">
        <v>15</v>
      </c>
      <c r="AM44" s="37">
        <v>40</v>
      </c>
      <c r="AN44" s="37">
        <v>35</v>
      </c>
      <c r="AO44" s="37">
        <v>10</v>
      </c>
      <c r="AP44" s="37">
        <v>5</v>
      </c>
      <c r="AQ44" s="37">
        <v>5</v>
      </c>
      <c r="AR44" s="37">
        <v>1</v>
      </c>
      <c r="AS44" s="4">
        <v>10</v>
      </c>
    </row>
    <row r="45" spans="1:45" ht="16.5" customHeight="1">
      <c r="B45" s="4" t="s">
        <v>84</v>
      </c>
      <c r="C45" s="8">
        <v>0</v>
      </c>
      <c r="D45" s="8">
        <v>747</v>
      </c>
      <c r="E45" s="8">
        <v>1092</v>
      </c>
      <c r="F45" s="8">
        <v>780</v>
      </c>
      <c r="G45" s="8">
        <v>520</v>
      </c>
      <c r="H45" s="8">
        <v>0</v>
      </c>
      <c r="L45" s="14">
        <v>41</v>
      </c>
      <c r="M45" s="38" t="s">
        <v>18</v>
      </c>
      <c r="N45" s="38" t="s">
        <v>24</v>
      </c>
      <c r="O45" s="38" t="s">
        <v>28</v>
      </c>
      <c r="P45" s="38" t="s">
        <v>29</v>
      </c>
      <c r="Q45" s="38" t="s">
        <v>64</v>
      </c>
      <c r="R45" s="38" t="s">
        <v>27</v>
      </c>
      <c r="S45" s="24" t="s">
        <v>64</v>
      </c>
      <c r="U45" s="37">
        <f t="shared" si="9"/>
        <v>10</v>
      </c>
      <c r="V45" s="37">
        <f t="shared" si="9"/>
        <v>11</v>
      </c>
      <c r="W45" s="37">
        <f t="shared" si="9"/>
        <v>15</v>
      </c>
      <c r="X45" s="37">
        <f t="shared" si="9"/>
        <v>19</v>
      </c>
      <c r="Y45" s="37">
        <f t="shared" si="9"/>
        <v>14</v>
      </c>
      <c r="Z45" s="37">
        <f t="shared" si="9"/>
        <v>12</v>
      </c>
      <c r="AA45" s="37">
        <f t="shared" si="9"/>
        <v>14</v>
      </c>
      <c r="AC45" s="18">
        <v>1</v>
      </c>
      <c r="AD45" s="18">
        <v>1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40</v>
      </c>
      <c r="AM45" s="37">
        <v>15</v>
      </c>
      <c r="AN45" s="37">
        <v>15</v>
      </c>
      <c r="AO45" s="37">
        <v>10</v>
      </c>
      <c r="AP45" s="37">
        <v>5</v>
      </c>
      <c r="AQ45" s="37">
        <v>5</v>
      </c>
      <c r="AR45" s="37">
        <v>1</v>
      </c>
      <c r="AS45" s="4">
        <v>11</v>
      </c>
    </row>
    <row r="46" spans="1:45" ht="16.5" customHeight="1">
      <c r="B46" s="4" t="s">
        <v>85</v>
      </c>
      <c r="C46" s="8">
        <v>0</v>
      </c>
      <c r="D46" s="8">
        <v>747</v>
      </c>
      <c r="E46" s="8">
        <v>1092</v>
      </c>
      <c r="F46" s="8">
        <v>780</v>
      </c>
      <c r="G46" s="8">
        <v>520</v>
      </c>
      <c r="H46" s="8">
        <v>0</v>
      </c>
      <c r="L46" s="15">
        <v>42</v>
      </c>
      <c r="M46" s="38" t="s">
        <v>27</v>
      </c>
      <c r="N46" s="38" t="s">
        <v>21</v>
      </c>
      <c r="O46" s="38" t="s">
        <v>232</v>
      </c>
      <c r="P46" s="38" t="s">
        <v>29</v>
      </c>
      <c r="Q46" s="38" t="s">
        <v>21</v>
      </c>
      <c r="R46" s="38" t="s">
        <v>24</v>
      </c>
      <c r="S46" s="24" t="s">
        <v>64</v>
      </c>
      <c r="U46" s="37">
        <f t="shared" si="9"/>
        <v>12</v>
      </c>
      <c r="V46" s="37">
        <f t="shared" si="9"/>
        <v>12</v>
      </c>
      <c r="W46" s="37">
        <f t="shared" si="9"/>
        <v>0</v>
      </c>
      <c r="X46" s="37">
        <f t="shared" si="9"/>
        <v>19</v>
      </c>
      <c r="Y46" s="37">
        <f t="shared" si="9"/>
        <v>12</v>
      </c>
      <c r="Z46" s="37">
        <f t="shared" si="9"/>
        <v>11</v>
      </c>
      <c r="AA46" s="37">
        <f t="shared" si="9"/>
        <v>14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4">
        <v>1</v>
      </c>
      <c r="AK46" s="154" t="s">
        <v>222</v>
      </c>
      <c r="AL46" s="154">
        <v>0</v>
      </c>
      <c r="AM46" s="154">
        <v>2</v>
      </c>
      <c r="AN46" s="154">
        <v>5</v>
      </c>
      <c r="AO46" s="154">
        <v>2</v>
      </c>
      <c r="AP46" s="154">
        <v>4</v>
      </c>
      <c r="AQ46" s="154">
        <v>0</v>
      </c>
      <c r="AR46" s="154">
        <v>0</v>
      </c>
      <c r="AS46" s="151">
        <v>12</v>
      </c>
    </row>
    <row r="47" spans="1:45" ht="16.5" customHeight="1">
      <c r="B47" s="4" t="s">
        <v>86</v>
      </c>
      <c r="C47" s="8">
        <v>1</v>
      </c>
      <c r="D47" s="8">
        <v>1340</v>
      </c>
      <c r="E47" s="8">
        <v>2410</v>
      </c>
      <c r="F47" s="8">
        <v>470</v>
      </c>
      <c r="G47" s="8">
        <v>400</v>
      </c>
      <c r="H47" s="8">
        <v>1</v>
      </c>
      <c r="L47" s="14">
        <v>43</v>
      </c>
      <c r="M47" s="38" t="s">
        <v>29</v>
      </c>
      <c r="N47" s="38" t="s">
        <v>21</v>
      </c>
      <c r="O47" s="38" t="s">
        <v>24</v>
      </c>
      <c r="P47" s="38" t="s">
        <v>27</v>
      </c>
      <c r="Q47" s="38" t="s">
        <v>89</v>
      </c>
      <c r="R47" s="38" t="s">
        <v>24</v>
      </c>
      <c r="S47" s="24" t="s">
        <v>21</v>
      </c>
      <c r="U47" s="37">
        <f t="shared" si="9"/>
        <v>19</v>
      </c>
      <c r="V47" s="37">
        <f t="shared" si="9"/>
        <v>12</v>
      </c>
      <c r="W47" s="37">
        <f t="shared" si="9"/>
        <v>11</v>
      </c>
      <c r="X47" s="37">
        <f t="shared" si="9"/>
        <v>12</v>
      </c>
      <c r="Y47" s="37">
        <f t="shared" si="9"/>
        <v>7</v>
      </c>
      <c r="Z47" s="37">
        <f t="shared" si="9"/>
        <v>11</v>
      </c>
      <c r="AA47" s="37">
        <f t="shared" si="9"/>
        <v>12</v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4">
        <v>3</v>
      </c>
      <c r="AK47" s="154" t="s">
        <v>224</v>
      </c>
      <c r="AL47" s="154">
        <v>0</v>
      </c>
      <c r="AM47" s="154">
        <v>2</v>
      </c>
      <c r="AN47" s="154">
        <v>2</v>
      </c>
      <c r="AO47" s="154">
        <v>2</v>
      </c>
      <c r="AP47" s="154">
        <v>2</v>
      </c>
      <c r="AQ47" s="154">
        <v>0</v>
      </c>
      <c r="AR47" s="154">
        <v>0</v>
      </c>
      <c r="AS47" s="151">
        <v>13</v>
      </c>
    </row>
    <row r="48" spans="1:45" ht="16.5" customHeight="1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26</v>
      </c>
      <c r="N48" s="38" t="s">
        <v>228</v>
      </c>
      <c r="O48" s="38" t="s">
        <v>26</v>
      </c>
      <c r="P48" s="38" t="s">
        <v>27</v>
      </c>
      <c r="Q48" s="38" t="s">
        <v>89</v>
      </c>
      <c r="R48" s="38" t="s">
        <v>26</v>
      </c>
      <c r="S48" s="24" t="s">
        <v>21</v>
      </c>
      <c r="U48" s="37">
        <f t="shared" si="9"/>
        <v>7</v>
      </c>
      <c r="V48" s="37">
        <f t="shared" si="9"/>
        <v>0</v>
      </c>
      <c r="W48" s="37">
        <f t="shared" si="9"/>
        <v>7</v>
      </c>
      <c r="X48" s="37">
        <f t="shared" si="9"/>
        <v>12</v>
      </c>
      <c r="Y48" s="37">
        <f t="shared" si="9"/>
        <v>7</v>
      </c>
      <c r="Z48" s="37">
        <f t="shared" si="9"/>
        <v>7</v>
      </c>
      <c r="AA48" s="37">
        <f t="shared" si="9"/>
        <v>12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4" t="s">
        <v>226</v>
      </c>
      <c r="AL48" s="154">
        <v>0</v>
      </c>
      <c r="AM48" s="154">
        <v>4</v>
      </c>
      <c r="AN48" s="154">
        <v>5</v>
      </c>
      <c r="AO48" s="154">
        <v>2</v>
      </c>
      <c r="AP48" s="154">
        <v>2</v>
      </c>
      <c r="AQ48" s="154">
        <v>0</v>
      </c>
      <c r="AR48" s="154">
        <v>0</v>
      </c>
      <c r="AS48" s="151">
        <v>14</v>
      </c>
    </row>
    <row r="49" spans="2:45" ht="16.5" customHeight="1">
      <c r="L49" s="14">
        <v>45</v>
      </c>
      <c r="M49" s="38" t="s">
        <v>26</v>
      </c>
      <c r="N49" s="38" t="s">
        <v>27</v>
      </c>
      <c r="O49" s="38" t="s">
        <v>236</v>
      </c>
      <c r="P49" s="38" t="s">
        <v>21</v>
      </c>
      <c r="Q49" s="38" t="s">
        <v>28</v>
      </c>
      <c r="R49" s="38" t="s">
        <v>26</v>
      </c>
      <c r="S49" s="24" t="s">
        <v>18</v>
      </c>
      <c r="U49" s="37">
        <f t="shared" si="9"/>
        <v>7</v>
      </c>
      <c r="V49" s="37">
        <f t="shared" si="9"/>
        <v>12</v>
      </c>
      <c r="W49" s="37">
        <f t="shared" si="9"/>
        <v>0</v>
      </c>
      <c r="X49" s="37">
        <f t="shared" si="9"/>
        <v>12</v>
      </c>
      <c r="Y49" s="37">
        <f t="shared" si="9"/>
        <v>15</v>
      </c>
      <c r="Z49" s="37">
        <f t="shared" si="9"/>
        <v>7</v>
      </c>
      <c r="AA49" s="37">
        <f t="shared" si="9"/>
        <v>10</v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4">
        <v>3</v>
      </c>
      <c r="AK49" s="154" t="s">
        <v>228</v>
      </c>
      <c r="AL49" s="154">
        <v>0</v>
      </c>
      <c r="AM49" s="154">
        <v>2</v>
      </c>
      <c r="AN49" s="154">
        <v>2</v>
      </c>
      <c r="AO49" s="154">
        <v>2</v>
      </c>
      <c r="AP49" s="154">
        <v>2</v>
      </c>
      <c r="AQ49" s="154">
        <v>0</v>
      </c>
      <c r="AR49" s="154">
        <v>0</v>
      </c>
      <c r="AS49" s="151">
        <v>15</v>
      </c>
    </row>
    <row r="50" spans="2:45" ht="16.5" customHeight="1">
      <c r="B50" s="165" t="s">
        <v>97</v>
      </c>
      <c r="C50" s="162" t="s">
        <v>259</v>
      </c>
      <c r="L50" s="15">
        <v>46</v>
      </c>
      <c r="M50" s="38" t="s">
        <v>28</v>
      </c>
      <c r="N50" s="38" t="s">
        <v>24</v>
      </c>
      <c r="O50" s="38" t="s">
        <v>21</v>
      </c>
      <c r="P50" s="38" t="s">
        <v>21</v>
      </c>
      <c r="Q50" s="38" t="s">
        <v>28</v>
      </c>
      <c r="R50" s="38" t="s">
        <v>64</v>
      </c>
      <c r="S50" s="24" t="s">
        <v>18</v>
      </c>
      <c r="U50" s="37">
        <f t="shared" si="9"/>
        <v>15</v>
      </c>
      <c r="V50" s="37">
        <f t="shared" si="9"/>
        <v>11</v>
      </c>
      <c r="W50" s="37">
        <f t="shared" si="9"/>
        <v>12</v>
      </c>
      <c r="X50" s="37">
        <f t="shared" si="9"/>
        <v>12</v>
      </c>
      <c r="Y50" s="37">
        <f t="shared" si="9"/>
        <v>15</v>
      </c>
      <c r="Z50" s="37">
        <f t="shared" si="9"/>
        <v>14</v>
      </c>
      <c r="AA50" s="37">
        <f t="shared" si="9"/>
        <v>10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4" t="s">
        <v>230</v>
      </c>
      <c r="AL50" s="154">
        <v>0</v>
      </c>
      <c r="AM50" s="154">
        <v>4</v>
      </c>
      <c r="AN50" s="154">
        <v>5</v>
      </c>
      <c r="AO50" s="154">
        <v>2</v>
      </c>
      <c r="AP50" s="154">
        <v>4</v>
      </c>
      <c r="AQ50" s="154">
        <v>0</v>
      </c>
      <c r="AR50" s="154">
        <v>0</v>
      </c>
      <c r="AS50" s="151">
        <v>16</v>
      </c>
    </row>
    <row r="51" spans="2:45" ht="16.5" customHeight="1">
      <c r="B51" s="163" t="s">
        <v>68</v>
      </c>
      <c r="C51" s="161">
        <v>0</v>
      </c>
      <c r="L51" s="14">
        <v>47</v>
      </c>
      <c r="M51" s="38" t="s">
        <v>27</v>
      </c>
      <c r="N51" s="38" t="s">
        <v>27</v>
      </c>
      <c r="O51" s="38" t="s">
        <v>24</v>
      </c>
      <c r="P51" s="38" t="s">
        <v>21</v>
      </c>
      <c r="Q51" s="38" t="s">
        <v>89</v>
      </c>
      <c r="R51" s="38" t="s">
        <v>64</v>
      </c>
      <c r="S51" s="24" t="s">
        <v>18</v>
      </c>
      <c r="U51" s="37">
        <f t="shared" si="9"/>
        <v>12</v>
      </c>
      <c r="V51" s="37">
        <f t="shared" si="9"/>
        <v>12</v>
      </c>
      <c r="W51" s="37">
        <f t="shared" si="9"/>
        <v>11</v>
      </c>
      <c r="X51" s="37">
        <f t="shared" si="9"/>
        <v>12</v>
      </c>
      <c r="Y51" s="37">
        <f t="shared" si="9"/>
        <v>7</v>
      </c>
      <c r="Z51" s="37">
        <f t="shared" si="9"/>
        <v>14</v>
      </c>
      <c r="AA51" s="37">
        <f t="shared" si="9"/>
        <v>10</v>
      </c>
      <c r="AC51" s="18">
        <v>1</v>
      </c>
      <c r="AD51" s="18">
        <v>1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4" t="s">
        <v>232</v>
      </c>
      <c r="AL51" s="154">
        <v>0</v>
      </c>
      <c r="AM51" s="154">
        <v>4</v>
      </c>
      <c r="AN51" s="154">
        <v>5</v>
      </c>
      <c r="AO51" s="154">
        <v>2</v>
      </c>
      <c r="AP51" s="154">
        <v>4</v>
      </c>
      <c r="AQ51" s="154">
        <v>0</v>
      </c>
      <c r="AR51" s="154">
        <v>0</v>
      </c>
      <c r="AS51" s="151">
        <v>17</v>
      </c>
    </row>
    <row r="52" spans="2:45" ht="16.5" customHeight="1">
      <c r="B52" s="164" t="s">
        <v>19</v>
      </c>
      <c r="C52" s="159">
        <v>0</v>
      </c>
      <c r="L52" s="15">
        <v>48</v>
      </c>
      <c r="M52" s="38" t="s">
        <v>29</v>
      </c>
      <c r="N52" s="38" t="s">
        <v>27</v>
      </c>
      <c r="O52" s="38" t="s">
        <v>24</v>
      </c>
      <c r="P52" s="38" t="s">
        <v>64</v>
      </c>
      <c r="Q52" s="38" t="s">
        <v>89</v>
      </c>
      <c r="R52" s="38" t="s">
        <v>27</v>
      </c>
      <c r="S52" s="24" t="s">
        <v>17</v>
      </c>
      <c r="U52" s="37">
        <f t="shared" si="9"/>
        <v>19</v>
      </c>
      <c r="V52" s="37">
        <f t="shared" si="9"/>
        <v>12</v>
      </c>
      <c r="W52" s="37">
        <f t="shared" si="9"/>
        <v>11</v>
      </c>
      <c r="X52" s="37">
        <f t="shared" si="9"/>
        <v>14</v>
      </c>
      <c r="Y52" s="37">
        <f t="shared" si="9"/>
        <v>7</v>
      </c>
      <c r="Z52" s="37">
        <f t="shared" si="9"/>
        <v>12</v>
      </c>
      <c r="AA52" s="37">
        <f t="shared" si="9"/>
        <v>14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4">
        <v>3</v>
      </c>
      <c r="AK52" s="37" t="s">
        <v>234</v>
      </c>
      <c r="AL52" s="37">
        <v>0</v>
      </c>
      <c r="AM52" s="37">
        <v>4</v>
      </c>
      <c r="AN52" s="37">
        <v>2</v>
      </c>
      <c r="AO52" s="37">
        <v>2</v>
      </c>
      <c r="AP52" s="37">
        <v>4</v>
      </c>
      <c r="AQ52" s="37">
        <v>0</v>
      </c>
      <c r="AR52" s="37">
        <v>0</v>
      </c>
      <c r="AS52" s="4">
        <v>17</v>
      </c>
    </row>
    <row r="53" spans="2:45" ht="16.5" customHeight="1">
      <c r="B53" s="164" t="s">
        <v>20</v>
      </c>
      <c r="C53" s="159">
        <v>2</v>
      </c>
      <c r="L53" s="14">
        <v>49</v>
      </c>
      <c r="M53" s="38" t="s">
        <v>28</v>
      </c>
      <c r="N53" s="38" t="s">
        <v>64</v>
      </c>
      <c r="O53" s="38" t="s">
        <v>28</v>
      </c>
      <c r="P53" s="38" t="s">
        <v>64</v>
      </c>
      <c r="Q53" s="38" t="s">
        <v>27</v>
      </c>
      <c r="R53" s="38" t="s">
        <v>27</v>
      </c>
      <c r="S53" s="24" t="s">
        <v>17</v>
      </c>
      <c r="U53" s="37">
        <f t="shared" si="9"/>
        <v>15</v>
      </c>
      <c r="V53" s="37">
        <f t="shared" si="9"/>
        <v>14</v>
      </c>
      <c r="W53" s="37">
        <f t="shared" si="9"/>
        <v>15</v>
      </c>
      <c r="X53" s="37">
        <f t="shared" si="9"/>
        <v>14</v>
      </c>
      <c r="Y53" s="37">
        <f t="shared" si="9"/>
        <v>12</v>
      </c>
      <c r="Z53" s="37">
        <f t="shared" si="9"/>
        <v>12</v>
      </c>
      <c r="AA53" s="37">
        <f t="shared" si="9"/>
        <v>14</v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1</v>
      </c>
      <c r="AI53" s="4">
        <v>1</v>
      </c>
      <c r="AK53" s="37" t="s">
        <v>236</v>
      </c>
      <c r="AL53" s="37">
        <v>0</v>
      </c>
      <c r="AM53" s="37">
        <v>4</v>
      </c>
      <c r="AN53" s="37">
        <v>2</v>
      </c>
      <c r="AO53" s="37">
        <v>4</v>
      </c>
      <c r="AP53" s="37">
        <v>2</v>
      </c>
      <c r="AQ53" s="37">
        <v>0</v>
      </c>
      <c r="AR53" s="37">
        <v>0</v>
      </c>
      <c r="AS53" s="4">
        <v>18</v>
      </c>
    </row>
    <row r="54" spans="2:45" ht="16.5" customHeight="1">
      <c r="B54" s="164" t="s">
        <v>21</v>
      </c>
      <c r="C54" s="159">
        <v>3</v>
      </c>
      <c r="L54" s="15">
        <v>50</v>
      </c>
      <c r="M54" s="38" t="s">
        <v>89</v>
      </c>
      <c r="N54" s="38" t="s">
        <v>64</v>
      </c>
      <c r="O54" s="38" t="s">
        <v>28</v>
      </c>
      <c r="P54" s="38" t="s">
        <v>17</v>
      </c>
      <c r="Q54" s="38" t="s">
        <v>21</v>
      </c>
      <c r="R54" s="38" t="s">
        <v>29</v>
      </c>
      <c r="S54" s="24" t="s">
        <v>17</v>
      </c>
      <c r="U54" s="37">
        <f t="shared" si="9"/>
        <v>7</v>
      </c>
      <c r="V54" s="37">
        <f t="shared" si="9"/>
        <v>14</v>
      </c>
      <c r="W54" s="37">
        <f t="shared" si="9"/>
        <v>15</v>
      </c>
      <c r="X54" s="37">
        <f t="shared" si="9"/>
        <v>14</v>
      </c>
      <c r="Y54" s="37">
        <f t="shared" si="9"/>
        <v>12</v>
      </c>
      <c r="Z54" s="37">
        <f t="shared" si="9"/>
        <v>19</v>
      </c>
      <c r="AA54" s="37">
        <f t="shared" si="9"/>
        <v>14</v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4">
        <v>1</v>
      </c>
      <c r="AK54" s="37" t="s">
        <v>238</v>
      </c>
      <c r="AL54" s="37">
        <v>0</v>
      </c>
      <c r="AM54" s="37">
        <v>4</v>
      </c>
      <c r="AN54" s="37">
        <v>5</v>
      </c>
      <c r="AO54" s="37">
        <v>2</v>
      </c>
      <c r="AP54" s="37">
        <v>2</v>
      </c>
      <c r="AQ54" s="37">
        <v>0</v>
      </c>
      <c r="AR54" s="37">
        <v>0</v>
      </c>
      <c r="AS54" s="4">
        <v>19</v>
      </c>
    </row>
    <row r="55" spans="2:45" ht="16.5" customHeight="1">
      <c r="B55" s="164" t="s">
        <v>17</v>
      </c>
      <c r="C55" s="159">
        <v>5</v>
      </c>
      <c r="L55" s="14">
        <v>51</v>
      </c>
      <c r="M55" s="38" t="s">
        <v>26</v>
      </c>
      <c r="N55" s="38" t="s">
        <v>230</v>
      </c>
      <c r="O55" s="38" t="s">
        <v>64</v>
      </c>
      <c r="P55" s="38" t="s">
        <v>17</v>
      </c>
      <c r="Q55" s="38" t="s">
        <v>21</v>
      </c>
      <c r="R55" s="38" t="s">
        <v>29</v>
      </c>
      <c r="S55" s="24" t="s">
        <v>64</v>
      </c>
      <c r="U55" s="37">
        <f t="shared" si="9"/>
        <v>7</v>
      </c>
      <c r="V55" s="37">
        <f t="shared" si="9"/>
        <v>0</v>
      </c>
      <c r="W55" s="37">
        <f t="shared" si="9"/>
        <v>14</v>
      </c>
      <c r="X55" s="37">
        <f t="shared" si="9"/>
        <v>14</v>
      </c>
      <c r="Y55" s="37">
        <f t="shared" si="9"/>
        <v>12</v>
      </c>
      <c r="Z55" s="37">
        <f t="shared" si="9"/>
        <v>19</v>
      </c>
      <c r="AA55" s="37">
        <f t="shared" si="9"/>
        <v>14</v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4">
        <v>3</v>
      </c>
      <c r="AK55" s="37" t="s">
        <v>240</v>
      </c>
      <c r="AL55" s="37">
        <v>0</v>
      </c>
      <c r="AM55" s="37">
        <v>2</v>
      </c>
      <c r="AN55" s="37">
        <v>7</v>
      </c>
      <c r="AO55" s="37">
        <v>2</v>
      </c>
      <c r="AP55" s="37">
        <v>2</v>
      </c>
      <c r="AQ55" s="37">
        <v>0</v>
      </c>
      <c r="AR55" s="37">
        <v>0</v>
      </c>
      <c r="AS55" s="4">
        <v>20</v>
      </c>
    </row>
    <row r="56" spans="2:45" ht="16.5" customHeight="1">
      <c r="B56" s="164" t="s">
        <v>18</v>
      </c>
      <c r="C56" s="159">
        <v>8</v>
      </c>
      <c r="L56" s="15">
        <v>52</v>
      </c>
      <c r="M56" s="38" t="s">
        <v>28</v>
      </c>
      <c r="N56" s="38" t="s">
        <v>27</v>
      </c>
      <c r="O56" s="38" t="s">
        <v>26</v>
      </c>
      <c r="P56" s="38" t="s">
        <v>28</v>
      </c>
      <c r="Q56" s="38" t="s">
        <v>28</v>
      </c>
      <c r="R56" s="38" t="s">
        <v>24</v>
      </c>
      <c r="S56" s="24" t="s">
        <v>64</v>
      </c>
      <c r="U56" s="37">
        <f t="shared" si="9"/>
        <v>15</v>
      </c>
      <c r="V56" s="37">
        <f t="shared" si="9"/>
        <v>12</v>
      </c>
      <c r="W56" s="37">
        <f t="shared" si="9"/>
        <v>7</v>
      </c>
      <c r="X56" s="37">
        <f t="shared" ref="X56:AA119" si="11">VLOOKUP(P56, $A$4:$J$29, 9, 0)</f>
        <v>15</v>
      </c>
      <c r="Y56" s="37">
        <f t="shared" si="11"/>
        <v>15</v>
      </c>
      <c r="Z56" s="37">
        <f t="shared" si="11"/>
        <v>11</v>
      </c>
      <c r="AA56" s="37">
        <f t="shared" si="11"/>
        <v>14</v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0</v>
      </c>
      <c r="AM56" s="37">
        <v>4</v>
      </c>
      <c r="AN56" s="37">
        <v>7</v>
      </c>
      <c r="AO56" s="37">
        <v>2</v>
      </c>
      <c r="AP56" s="37">
        <v>2</v>
      </c>
      <c r="AQ56" s="37">
        <v>0</v>
      </c>
      <c r="AR56" s="37">
        <v>0</v>
      </c>
      <c r="AS56" s="4">
        <v>21</v>
      </c>
    </row>
    <row r="57" spans="2:45" ht="16.5" customHeight="1">
      <c r="B57" s="164" t="s">
        <v>64</v>
      </c>
      <c r="C57" s="159">
        <v>12</v>
      </c>
      <c r="L57" s="14">
        <v>53</v>
      </c>
      <c r="M57" s="38" t="s">
        <v>28</v>
      </c>
      <c r="N57" s="38" t="s">
        <v>27</v>
      </c>
      <c r="O57" s="38" t="s">
        <v>26</v>
      </c>
      <c r="P57" s="38" t="s">
        <v>28</v>
      </c>
      <c r="Q57" s="38" t="s">
        <v>24</v>
      </c>
      <c r="R57" s="38" t="s">
        <v>27</v>
      </c>
      <c r="S57" s="24" t="s">
        <v>64</v>
      </c>
      <c r="U57" s="37">
        <f t="shared" ref="U57:Z120" si="12">VLOOKUP(M57, $A$4:$J$29, 9, 0)</f>
        <v>15</v>
      </c>
      <c r="V57" s="37">
        <f t="shared" si="12"/>
        <v>12</v>
      </c>
      <c r="W57" s="37">
        <f t="shared" si="12"/>
        <v>7</v>
      </c>
      <c r="X57" s="37">
        <f t="shared" si="11"/>
        <v>15</v>
      </c>
      <c r="Y57" s="37">
        <f t="shared" si="11"/>
        <v>11</v>
      </c>
      <c r="Z57" s="37">
        <f t="shared" si="11"/>
        <v>12</v>
      </c>
      <c r="AA57" s="37">
        <f t="shared" si="11"/>
        <v>14</v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4" t="s">
        <v>94</v>
      </c>
      <c r="AL57" s="154">
        <v>0</v>
      </c>
      <c r="AM57" s="154">
        <v>10</v>
      </c>
      <c r="AN57" s="154">
        <v>10</v>
      </c>
      <c r="AO57" s="154">
        <v>10</v>
      </c>
      <c r="AP57" s="154">
        <v>10</v>
      </c>
      <c r="AQ57" s="154">
        <v>0</v>
      </c>
      <c r="AR57" s="154">
        <v>0</v>
      </c>
      <c r="AS57" s="151">
        <v>24</v>
      </c>
    </row>
    <row r="58" spans="2:45" ht="16.5" customHeight="1">
      <c r="B58" s="164" t="s">
        <v>92</v>
      </c>
      <c r="C58" s="159">
        <v>10</v>
      </c>
      <c r="L58" s="15">
        <v>54</v>
      </c>
      <c r="M58" s="38" t="s">
        <v>18</v>
      </c>
      <c r="N58" s="38" t="s">
        <v>29</v>
      </c>
      <c r="O58" s="38" t="s">
        <v>18</v>
      </c>
      <c r="P58" s="38" t="s">
        <v>64</v>
      </c>
      <c r="Q58" s="38" t="s">
        <v>24</v>
      </c>
      <c r="R58" s="38" t="s">
        <v>27</v>
      </c>
      <c r="S58" s="24" t="s">
        <v>89</v>
      </c>
      <c r="U58" s="37">
        <f t="shared" si="12"/>
        <v>10</v>
      </c>
      <c r="V58" s="37">
        <f t="shared" si="12"/>
        <v>19</v>
      </c>
      <c r="W58" s="37">
        <f t="shared" si="12"/>
        <v>10</v>
      </c>
      <c r="X58" s="37">
        <f t="shared" si="11"/>
        <v>14</v>
      </c>
      <c r="Y58" s="37">
        <f t="shared" si="11"/>
        <v>11</v>
      </c>
      <c r="Z58" s="37">
        <f t="shared" si="11"/>
        <v>12</v>
      </c>
      <c r="AA58" s="37">
        <f t="shared" si="11"/>
        <v>7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3</v>
      </c>
      <c r="AK58" s="154" t="s">
        <v>257</v>
      </c>
      <c r="AL58" s="154">
        <v>0</v>
      </c>
      <c r="AM58" s="154">
        <v>1</v>
      </c>
      <c r="AN58" s="154">
        <v>1</v>
      </c>
      <c r="AO58" s="154">
        <v>1</v>
      </c>
      <c r="AP58" s="154">
        <v>1</v>
      </c>
      <c r="AQ58" s="154">
        <v>0</v>
      </c>
      <c r="AR58" s="154">
        <v>0</v>
      </c>
      <c r="AS58" s="151">
        <v>25</v>
      </c>
    </row>
    <row r="59" spans="2:45" ht="16.5" customHeight="1">
      <c r="B59" s="164" t="s">
        <v>93</v>
      </c>
      <c r="C59" s="159">
        <v>10</v>
      </c>
      <c r="L59" s="14">
        <v>55</v>
      </c>
      <c r="M59" s="38" t="s">
        <v>18</v>
      </c>
      <c r="N59" s="38" t="s">
        <v>28</v>
      </c>
      <c r="O59" s="38" t="s">
        <v>28</v>
      </c>
      <c r="P59" s="38" t="s">
        <v>64</v>
      </c>
      <c r="Q59" s="38" t="s">
        <v>21</v>
      </c>
      <c r="R59" s="38" t="s">
        <v>64</v>
      </c>
      <c r="S59" s="24" t="s">
        <v>89</v>
      </c>
      <c r="U59" s="37">
        <f t="shared" si="12"/>
        <v>10</v>
      </c>
      <c r="V59" s="37">
        <f t="shared" si="12"/>
        <v>15</v>
      </c>
      <c r="W59" s="37">
        <f t="shared" si="12"/>
        <v>15</v>
      </c>
      <c r="X59" s="37">
        <f t="shared" si="11"/>
        <v>14</v>
      </c>
      <c r="Y59" s="37">
        <f t="shared" si="11"/>
        <v>12</v>
      </c>
      <c r="Z59" s="37">
        <f t="shared" si="11"/>
        <v>14</v>
      </c>
      <c r="AA59" s="37">
        <f t="shared" si="11"/>
        <v>7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1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>
      <c r="B60" s="4" t="s">
        <v>37</v>
      </c>
      <c r="C60" s="160">
        <v>10</v>
      </c>
      <c r="L60" s="15">
        <v>56</v>
      </c>
      <c r="M60" s="38" t="s">
        <v>29</v>
      </c>
      <c r="N60" s="38" t="s">
        <v>28</v>
      </c>
      <c r="O60" s="38" t="s">
        <v>28</v>
      </c>
      <c r="P60" s="38" t="s">
        <v>230</v>
      </c>
      <c r="Q60" s="38" t="s">
        <v>21</v>
      </c>
      <c r="R60" s="38" t="s">
        <v>24</v>
      </c>
      <c r="S60" s="24" t="s">
        <v>89</v>
      </c>
      <c r="U60" s="37">
        <f t="shared" si="12"/>
        <v>19</v>
      </c>
      <c r="V60" s="37">
        <f t="shared" si="12"/>
        <v>15</v>
      </c>
      <c r="W60" s="37">
        <f t="shared" si="12"/>
        <v>15</v>
      </c>
      <c r="X60" s="37">
        <f t="shared" si="11"/>
        <v>0</v>
      </c>
      <c r="Y60" s="37">
        <f t="shared" si="11"/>
        <v>12</v>
      </c>
      <c r="Z60" s="37">
        <f t="shared" si="11"/>
        <v>11</v>
      </c>
      <c r="AA60" s="37">
        <f t="shared" si="11"/>
        <v>7</v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4">
        <v>1</v>
      </c>
      <c r="AK60" s="40" t="s">
        <v>260</v>
      </c>
    </row>
    <row r="61" spans="2:45">
      <c r="B61" s="4" t="s">
        <v>38</v>
      </c>
      <c r="C61" s="160">
        <v>10</v>
      </c>
      <c r="L61" s="14">
        <v>57</v>
      </c>
      <c r="M61" s="38" t="s">
        <v>29</v>
      </c>
      <c r="N61" s="38" t="s">
        <v>27</v>
      </c>
      <c r="O61" s="38" t="s">
        <v>29</v>
      </c>
      <c r="P61" s="38" t="s">
        <v>18</v>
      </c>
      <c r="Q61" s="38" t="s">
        <v>28</v>
      </c>
      <c r="R61" s="38" t="s">
        <v>26</v>
      </c>
      <c r="S61" s="24" t="s">
        <v>26</v>
      </c>
      <c r="U61" s="37">
        <f t="shared" si="12"/>
        <v>19</v>
      </c>
      <c r="V61" s="37">
        <f t="shared" si="12"/>
        <v>12</v>
      </c>
      <c r="W61" s="37">
        <f t="shared" si="12"/>
        <v>19</v>
      </c>
      <c r="X61" s="37">
        <f t="shared" si="11"/>
        <v>10</v>
      </c>
      <c r="Y61" s="37">
        <f t="shared" si="11"/>
        <v>15</v>
      </c>
      <c r="Z61" s="37">
        <f t="shared" si="11"/>
        <v>7</v>
      </c>
      <c r="AA61" s="37">
        <f t="shared" si="11"/>
        <v>7</v>
      </c>
      <c r="AC61" s="18">
        <v>1</v>
      </c>
      <c r="AD61" s="18">
        <v>1</v>
      </c>
      <c r="AE61" s="18">
        <v>1</v>
      </c>
      <c r="AF61" s="18">
        <v>1</v>
      </c>
      <c r="AG61" s="18">
        <v>1</v>
      </c>
      <c r="AH61" s="18">
        <v>1</v>
      </c>
      <c r="AI61" s="4">
        <v>1</v>
      </c>
      <c r="AK61" s="16" t="s">
        <v>265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>
      <c r="B62" s="4" t="s">
        <v>39</v>
      </c>
      <c r="C62" s="160">
        <v>10</v>
      </c>
      <c r="L62" s="15">
        <v>58</v>
      </c>
      <c r="M62" s="38" t="s">
        <v>89</v>
      </c>
      <c r="N62" s="38" t="s">
        <v>224</v>
      </c>
      <c r="O62" s="38" t="s">
        <v>24</v>
      </c>
      <c r="P62" s="38" t="s">
        <v>24</v>
      </c>
      <c r="Q62" s="38" t="s">
        <v>28</v>
      </c>
      <c r="R62" s="38" t="s">
        <v>24</v>
      </c>
      <c r="S62" s="24" t="s">
        <v>26</v>
      </c>
      <c r="U62" s="37">
        <f t="shared" si="12"/>
        <v>7</v>
      </c>
      <c r="V62" s="37">
        <f t="shared" si="12"/>
        <v>0</v>
      </c>
      <c r="W62" s="37">
        <f t="shared" si="12"/>
        <v>11</v>
      </c>
      <c r="X62" s="37">
        <f t="shared" si="11"/>
        <v>11</v>
      </c>
      <c r="Y62" s="37">
        <f t="shared" si="11"/>
        <v>15</v>
      </c>
      <c r="Z62" s="37">
        <f t="shared" si="11"/>
        <v>11</v>
      </c>
      <c r="AA62" s="37">
        <f t="shared" si="11"/>
        <v>7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4">
        <v>1</v>
      </c>
      <c r="AK62" s="10" t="s">
        <v>68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160">
        <v>10</v>
      </c>
      <c r="L63" s="14">
        <v>59</v>
      </c>
      <c r="M63" s="38" t="s">
        <v>26</v>
      </c>
      <c r="N63" s="38" t="s">
        <v>64</v>
      </c>
      <c r="O63" s="38" t="s">
        <v>29</v>
      </c>
      <c r="P63" s="38" t="s">
        <v>17</v>
      </c>
      <c r="Q63" s="38" t="s">
        <v>89</v>
      </c>
      <c r="R63" s="38" t="s">
        <v>64</v>
      </c>
      <c r="S63" s="38" t="s">
        <v>17</v>
      </c>
      <c r="U63" s="37">
        <f t="shared" si="12"/>
        <v>7</v>
      </c>
      <c r="V63" s="37">
        <f t="shared" si="12"/>
        <v>14</v>
      </c>
      <c r="W63" s="37">
        <f t="shared" si="12"/>
        <v>19</v>
      </c>
      <c r="X63" s="37">
        <f t="shared" si="11"/>
        <v>14</v>
      </c>
      <c r="Y63" s="37">
        <f t="shared" si="11"/>
        <v>7</v>
      </c>
      <c r="Z63" s="37">
        <f t="shared" si="11"/>
        <v>14</v>
      </c>
      <c r="AA63" s="37">
        <f t="shared" si="11"/>
        <v>14</v>
      </c>
      <c r="AC63" s="18">
        <v>1</v>
      </c>
      <c r="AD63" s="18">
        <v>1</v>
      </c>
      <c r="AE63" s="18">
        <v>1</v>
      </c>
      <c r="AF63" s="18">
        <v>1</v>
      </c>
      <c r="AG63" s="18">
        <v>1</v>
      </c>
      <c r="AH63" s="18">
        <v>1</v>
      </c>
      <c r="AI63" s="4">
        <v>3</v>
      </c>
      <c r="AK63" s="37" t="s">
        <v>19</v>
      </c>
      <c r="AL63" s="37">
        <v>5</v>
      </c>
      <c r="AM63" s="37">
        <v>5</v>
      </c>
      <c r="AN63" s="37">
        <v>5</v>
      </c>
      <c r="AO63" s="37">
        <v>5</v>
      </c>
      <c r="AP63" s="37">
        <v>5</v>
      </c>
      <c r="AQ63" s="37">
        <v>5</v>
      </c>
      <c r="AR63" s="37">
        <v>0</v>
      </c>
      <c r="AS63" s="4">
        <v>1</v>
      </c>
    </row>
    <row r="64" spans="2:45" ht="16.5" customHeight="1">
      <c r="L64" s="15">
        <v>60</v>
      </c>
      <c r="M64" s="38" t="s">
        <v>26</v>
      </c>
      <c r="N64" s="38" t="s">
        <v>230</v>
      </c>
      <c r="O64" s="38" t="s">
        <v>242</v>
      </c>
      <c r="P64" s="38" t="s">
        <v>17</v>
      </c>
      <c r="Q64" s="38" t="s">
        <v>28</v>
      </c>
      <c r="R64" s="38" t="s">
        <v>24</v>
      </c>
      <c r="S64" s="24" t="s">
        <v>17</v>
      </c>
      <c r="U64" s="37">
        <f t="shared" si="12"/>
        <v>7</v>
      </c>
      <c r="V64" s="37">
        <f t="shared" si="12"/>
        <v>0</v>
      </c>
      <c r="W64" s="37">
        <f t="shared" si="12"/>
        <v>0</v>
      </c>
      <c r="X64" s="37">
        <f t="shared" si="11"/>
        <v>14</v>
      </c>
      <c r="Y64" s="37">
        <f t="shared" si="11"/>
        <v>15</v>
      </c>
      <c r="Z64" s="37">
        <f t="shared" si="11"/>
        <v>11</v>
      </c>
      <c r="AA64" s="37">
        <f t="shared" si="11"/>
        <v>14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4">
        <v>1</v>
      </c>
      <c r="AK64" s="154" t="s">
        <v>20</v>
      </c>
      <c r="AL64" s="154">
        <v>40</v>
      </c>
      <c r="AM64" s="154">
        <v>1</v>
      </c>
      <c r="AN64" s="154">
        <v>10</v>
      </c>
      <c r="AO64" s="154">
        <v>1</v>
      </c>
      <c r="AP64" s="154">
        <v>40</v>
      </c>
      <c r="AQ64" s="154">
        <v>1</v>
      </c>
      <c r="AR64" s="154">
        <v>0</v>
      </c>
      <c r="AS64" s="151">
        <v>2</v>
      </c>
    </row>
    <row r="65" spans="2:45" ht="16.5" customHeight="1">
      <c r="L65" s="14">
        <v>61</v>
      </c>
      <c r="M65" s="38" t="s">
        <v>28</v>
      </c>
      <c r="N65" s="38" t="s">
        <v>24</v>
      </c>
      <c r="O65" s="38" t="s">
        <v>26</v>
      </c>
      <c r="P65" s="38" t="s">
        <v>17</v>
      </c>
      <c r="Q65" s="38" t="s">
        <v>28</v>
      </c>
      <c r="R65" s="38" t="s">
        <v>24</v>
      </c>
      <c r="S65" s="24" t="s">
        <v>17</v>
      </c>
      <c r="U65" s="37">
        <f t="shared" si="12"/>
        <v>15</v>
      </c>
      <c r="V65" s="37">
        <f t="shared" si="12"/>
        <v>11</v>
      </c>
      <c r="W65" s="37">
        <f t="shared" si="12"/>
        <v>7</v>
      </c>
      <c r="X65" s="37">
        <f t="shared" si="11"/>
        <v>14</v>
      </c>
      <c r="Y65" s="37">
        <f t="shared" si="11"/>
        <v>15</v>
      </c>
      <c r="Z65" s="37">
        <f t="shared" si="11"/>
        <v>11</v>
      </c>
      <c r="AA65" s="37">
        <f t="shared" si="11"/>
        <v>14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1</v>
      </c>
      <c r="AK65" s="154" t="s">
        <v>21</v>
      </c>
      <c r="AL65" s="154">
        <v>1</v>
      </c>
      <c r="AM65" s="154">
        <v>40</v>
      </c>
      <c r="AN65" s="154">
        <v>1</v>
      </c>
      <c r="AO65" s="154">
        <v>40</v>
      </c>
      <c r="AP65" s="154">
        <v>1</v>
      </c>
      <c r="AQ65" s="154">
        <v>1</v>
      </c>
      <c r="AR65" s="154">
        <v>1</v>
      </c>
      <c r="AS65" s="151">
        <v>3</v>
      </c>
    </row>
    <row r="66" spans="2:45" ht="16.5" customHeight="1">
      <c r="B66" s="165" t="s">
        <v>95</v>
      </c>
      <c r="C66" s="162" t="s">
        <v>259</v>
      </c>
      <c r="L66" s="15">
        <v>62</v>
      </c>
      <c r="M66" s="38" t="s">
        <v>26</v>
      </c>
      <c r="N66" s="38" t="s">
        <v>24</v>
      </c>
      <c r="O66" s="38" t="s">
        <v>26</v>
      </c>
      <c r="P66" s="38" t="s">
        <v>27</v>
      </c>
      <c r="Q66" s="38" t="s">
        <v>26</v>
      </c>
      <c r="R66" s="38" t="s">
        <v>26</v>
      </c>
      <c r="S66" s="24" t="s">
        <v>26</v>
      </c>
      <c r="U66" s="37">
        <f t="shared" si="12"/>
        <v>7</v>
      </c>
      <c r="V66" s="37">
        <f t="shared" si="12"/>
        <v>11</v>
      </c>
      <c r="W66" s="37">
        <f t="shared" si="12"/>
        <v>7</v>
      </c>
      <c r="X66" s="37">
        <f t="shared" si="11"/>
        <v>12</v>
      </c>
      <c r="Y66" s="37">
        <f t="shared" si="11"/>
        <v>7</v>
      </c>
      <c r="Z66" s="37">
        <f t="shared" si="11"/>
        <v>7</v>
      </c>
      <c r="AA66" s="37">
        <f t="shared" si="11"/>
        <v>7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4" t="s">
        <v>17</v>
      </c>
      <c r="AL66" s="154">
        <v>40</v>
      </c>
      <c r="AM66" s="154">
        <v>40</v>
      </c>
      <c r="AN66" s="154">
        <v>40</v>
      </c>
      <c r="AO66" s="154">
        <v>1</v>
      </c>
      <c r="AP66" s="154">
        <v>1</v>
      </c>
      <c r="AQ66" s="154">
        <v>40</v>
      </c>
      <c r="AR66" s="154">
        <v>1</v>
      </c>
      <c r="AS66" s="151">
        <v>4</v>
      </c>
    </row>
    <row r="67" spans="2:45" ht="16.5" customHeight="1">
      <c r="B67" s="163">
        <v>0</v>
      </c>
      <c r="C67" s="161">
        <v>0</v>
      </c>
      <c r="L67" s="14">
        <v>63</v>
      </c>
      <c r="M67" s="38" t="s">
        <v>29</v>
      </c>
      <c r="N67" s="38" t="s">
        <v>64</v>
      </c>
      <c r="O67" s="38" t="s">
        <v>26</v>
      </c>
      <c r="P67" s="38" t="s">
        <v>27</v>
      </c>
      <c r="Q67" s="38" t="s">
        <v>18</v>
      </c>
      <c r="R67" s="38" t="s">
        <v>29</v>
      </c>
      <c r="S67" s="24" t="s">
        <v>26</v>
      </c>
      <c r="U67" s="37">
        <f t="shared" si="12"/>
        <v>19</v>
      </c>
      <c r="V67" s="37">
        <f t="shared" si="12"/>
        <v>14</v>
      </c>
      <c r="W67" s="37">
        <f t="shared" si="12"/>
        <v>7</v>
      </c>
      <c r="X67" s="37">
        <f t="shared" si="11"/>
        <v>12</v>
      </c>
      <c r="Y67" s="37">
        <f t="shared" si="11"/>
        <v>10</v>
      </c>
      <c r="Z67" s="37">
        <f t="shared" si="11"/>
        <v>19</v>
      </c>
      <c r="AA67" s="37">
        <f t="shared" si="11"/>
        <v>7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4" t="s">
        <v>18</v>
      </c>
      <c r="AL67" s="154">
        <v>1</v>
      </c>
      <c r="AM67" s="154">
        <v>40</v>
      </c>
      <c r="AN67" s="154">
        <v>1</v>
      </c>
      <c r="AO67" s="154">
        <v>1</v>
      </c>
      <c r="AP67" s="154">
        <v>1</v>
      </c>
      <c r="AQ67" s="154">
        <v>40</v>
      </c>
      <c r="AR67" s="154">
        <v>1</v>
      </c>
      <c r="AS67" s="151">
        <v>5</v>
      </c>
    </row>
    <row r="68" spans="2:45" ht="16.5" customHeight="1">
      <c r="B68" s="164">
        <v>1</v>
      </c>
      <c r="C68" s="159">
        <v>0</v>
      </c>
      <c r="L68" s="15">
        <v>64</v>
      </c>
      <c r="M68" s="38" t="s">
        <v>17</v>
      </c>
      <c r="N68" s="38" t="s">
        <v>27</v>
      </c>
      <c r="O68" s="38" t="s">
        <v>18</v>
      </c>
      <c r="P68" s="38" t="s">
        <v>29</v>
      </c>
      <c r="Q68" s="38" t="s">
        <v>89</v>
      </c>
      <c r="R68" s="38" t="s">
        <v>29</v>
      </c>
      <c r="S68" s="24" t="s">
        <v>28</v>
      </c>
      <c r="U68" s="37">
        <f t="shared" si="12"/>
        <v>14</v>
      </c>
      <c r="V68" s="37">
        <f t="shared" si="12"/>
        <v>12</v>
      </c>
      <c r="W68" s="37">
        <f t="shared" si="12"/>
        <v>10</v>
      </c>
      <c r="X68" s="37">
        <f t="shared" si="11"/>
        <v>19</v>
      </c>
      <c r="Y68" s="37">
        <f t="shared" si="11"/>
        <v>7</v>
      </c>
      <c r="Z68" s="37">
        <f t="shared" si="11"/>
        <v>19</v>
      </c>
      <c r="AA68" s="37">
        <f t="shared" si="11"/>
        <v>15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3</v>
      </c>
      <c r="AK68" s="154" t="s">
        <v>64</v>
      </c>
      <c r="AL68" s="154">
        <v>1</v>
      </c>
      <c r="AM68" s="154">
        <v>1</v>
      </c>
      <c r="AN68" s="154">
        <v>40</v>
      </c>
      <c r="AO68" s="154">
        <v>1</v>
      </c>
      <c r="AP68" s="154">
        <v>40</v>
      </c>
      <c r="AQ68" s="154">
        <v>1</v>
      </c>
      <c r="AR68" s="154">
        <v>1</v>
      </c>
      <c r="AS68" s="151">
        <v>6</v>
      </c>
    </row>
    <row r="69" spans="2:45" ht="16.5" customHeight="1">
      <c r="B69" s="164">
        <v>2</v>
      </c>
      <c r="C69" s="159">
        <v>100</v>
      </c>
      <c r="L69" s="14">
        <v>65</v>
      </c>
      <c r="M69" s="38" t="s">
        <v>27</v>
      </c>
      <c r="N69" s="38" t="s">
        <v>27</v>
      </c>
      <c r="O69" s="38" t="s">
        <v>24</v>
      </c>
      <c r="P69" s="38" t="s">
        <v>29</v>
      </c>
      <c r="Q69" s="38" t="s">
        <v>89</v>
      </c>
      <c r="R69" s="38" t="s">
        <v>27</v>
      </c>
      <c r="S69" s="24" t="s">
        <v>28</v>
      </c>
      <c r="U69" s="37">
        <f t="shared" si="12"/>
        <v>12</v>
      </c>
      <c r="V69" s="37">
        <f t="shared" si="12"/>
        <v>12</v>
      </c>
      <c r="W69" s="37">
        <f t="shared" si="12"/>
        <v>11</v>
      </c>
      <c r="X69" s="37">
        <f t="shared" si="11"/>
        <v>19</v>
      </c>
      <c r="Y69" s="37">
        <f t="shared" si="11"/>
        <v>7</v>
      </c>
      <c r="Z69" s="37">
        <f t="shared" si="11"/>
        <v>12</v>
      </c>
      <c r="AA69" s="37">
        <f t="shared" si="11"/>
        <v>15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4" t="s">
        <v>89</v>
      </c>
      <c r="AL69" s="154">
        <v>1</v>
      </c>
      <c r="AM69" s="154">
        <v>40</v>
      </c>
      <c r="AN69" s="154">
        <v>1</v>
      </c>
      <c r="AO69" s="154">
        <v>40</v>
      </c>
      <c r="AP69" s="154">
        <v>1</v>
      </c>
      <c r="AQ69" s="154">
        <v>1</v>
      </c>
      <c r="AR69" s="154">
        <v>1</v>
      </c>
      <c r="AS69" s="151">
        <v>7</v>
      </c>
    </row>
    <row r="70" spans="2:45" ht="16.5" customHeight="1">
      <c r="B70" s="164">
        <v>3</v>
      </c>
      <c r="C70" s="159">
        <v>100</v>
      </c>
      <c r="L70" s="15">
        <v>66</v>
      </c>
      <c r="M70" s="38" t="s">
        <v>27</v>
      </c>
      <c r="N70" s="38" t="s">
        <v>29</v>
      </c>
      <c r="O70" s="38" t="s">
        <v>24</v>
      </c>
      <c r="P70" s="38" t="s">
        <v>29</v>
      </c>
      <c r="Q70" s="38" t="s">
        <v>18</v>
      </c>
      <c r="R70" s="38" t="s">
        <v>24</v>
      </c>
      <c r="S70" s="24" t="s">
        <v>28</v>
      </c>
      <c r="U70" s="37">
        <f t="shared" si="12"/>
        <v>12</v>
      </c>
      <c r="V70" s="37">
        <f t="shared" si="12"/>
        <v>19</v>
      </c>
      <c r="W70" s="37">
        <f t="shared" si="12"/>
        <v>11</v>
      </c>
      <c r="X70" s="37">
        <f t="shared" si="11"/>
        <v>19</v>
      </c>
      <c r="Y70" s="37">
        <f t="shared" si="11"/>
        <v>10</v>
      </c>
      <c r="Z70" s="37">
        <f t="shared" si="11"/>
        <v>11</v>
      </c>
      <c r="AA70" s="37">
        <f t="shared" si="11"/>
        <v>15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</v>
      </c>
      <c r="AM70" s="37">
        <v>1</v>
      </c>
      <c r="AN70" s="37">
        <v>1</v>
      </c>
      <c r="AO70" s="37">
        <v>1</v>
      </c>
      <c r="AP70" s="37">
        <v>35</v>
      </c>
      <c r="AQ70" s="37">
        <v>1</v>
      </c>
      <c r="AR70" s="37">
        <v>1</v>
      </c>
      <c r="AS70" s="4">
        <v>8</v>
      </c>
    </row>
    <row r="71" spans="2:45" ht="16.5" customHeight="1">
      <c r="B71" s="164">
        <v>4</v>
      </c>
      <c r="C71" s="159">
        <v>15</v>
      </c>
      <c r="L71" s="14">
        <v>67</v>
      </c>
      <c r="M71" s="38" t="s">
        <v>18</v>
      </c>
      <c r="N71" s="38" t="s">
        <v>27</v>
      </c>
      <c r="O71" s="38" t="s">
        <v>24</v>
      </c>
      <c r="P71" s="38" t="s">
        <v>26</v>
      </c>
      <c r="Q71" s="38" t="s">
        <v>18</v>
      </c>
      <c r="R71" s="38" t="s">
        <v>64</v>
      </c>
      <c r="S71" s="24" t="s">
        <v>29</v>
      </c>
      <c r="U71" s="37">
        <f t="shared" si="12"/>
        <v>10</v>
      </c>
      <c r="V71" s="37">
        <f t="shared" si="12"/>
        <v>12</v>
      </c>
      <c r="W71" s="37">
        <f t="shared" si="12"/>
        <v>11</v>
      </c>
      <c r="X71" s="37">
        <f t="shared" si="11"/>
        <v>7</v>
      </c>
      <c r="Y71" s="37">
        <f t="shared" si="11"/>
        <v>10</v>
      </c>
      <c r="Z71" s="37">
        <f t="shared" si="11"/>
        <v>14</v>
      </c>
      <c r="AA71" s="37">
        <f t="shared" si="11"/>
        <v>19</v>
      </c>
      <c r="AC71" s="18">
        <v>1</v>
      </c>
      <c r="AD71" s="18">
        <v>1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1</v>
      </c>
      <c r="AM71" s="37">
        <v>40</v>
      </c>
      <c r="AN71" s="37">
        <v>1</v>
      </c>
      <c r="AO71" s="37">
        <v>40</v>
      </c>
      <c r="AP71" s="37">
        <v>1</v>
      </c>
      <c r="AQ71" s="37">
        <v>40</v>
      </c>
      <c r="AR71" s="37">
        <v>1</v>
      </c>
      <c r="AS71" s="4">
        <v>9</v>
      </c>
    </row>
    <row r="72" spans="2:45" ht="16.5" customHeight="1">
      <c r="B72" s="164">
        <v>5</v>
      </c>
      <c r="C72" s="159">
        <v>0</v>
      </c>
      <c r="L72" s="15">
        <v>68</v>
      </c>
      <c r="M72" s="38" t="s">
        <v>18</v>
      </c>
      <c r="N72" s="38" t="s">
        <v>27</v>
      </c>
      <c r="O72" s="38" t="s">
        <v>28</v>
      </c>
      <c r="P72" s="38" t="s">
        <v>230</v>
      </c>
      <c r="Q72" s="38" t="s">
        <v>230</v>
      </c>
      <c r="R72" s="38" t="s">
        <v>64</v>
      </c>
      <c r="S72" s="24" t="s">
        <v>21</v>
      </c>
      <c r="U72" s="37">
        <f t="shared" si="12"/>
        <v>10</v>
      </c>
      <c r="V72" s="37">
        <f t="shared" si="12"/>
        <v>12</v>
      </c>
      <c r="W72" s="37">
        <f t="shared" si="12"/>
        <v>15</v>
      </c>
      <c r="X72" s="37">
        <f t="shared" si="11"/>
        <v>0</v>
      </c>
      <c r="Y72" s="37">
        <f t="shared" si="11"/>
        <v>0</v>
      </c>
      <c r="Z72" s="37">
        <f t="shared" si="11"/>
        <v>14</v>
      </c>
      <c r="AA72" s="37">
        <f t="shared" si="11"/>
        <v>12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4">
        <v>1</v>
      </c>
      <c r="AK72" s="37" t="s">
        <v>27</v>
      </c>
      <c r="AL72" s="37">
        <v>60</v>
      </c>
      <c r="AM72" s="37">
        <v>40</v>
      </c>
      <c r="AN72" s="37">
        <v>35</v>
      </c>
      <c r="AO72" s="37">
        <v>1</v>
      </c>
      <c r="AP72" s="37">
        <v>1</v>
      </c>
      <c r="AQ72" s="37">
        <v>1</v>
      </c>
      <c r="AR72" s="37">
        <v>1</v>
      </c>
      <c r="AS72" s="4">
        <v>10</v>
      </c>
    </row>
    <row r="73" spans="2:45" ht="16.5" customHeight="1">
      <c r="B73" s="164">
        <v>6</v>
      </c>
      <c r="C73" s="159">
        <v>0</v>
      </c>
      <c r="L73" s="14">
        <v>69</v>
      </c>
      <c r="M73" s="38" t="s">
        <v>26</v>
      </c>
      <c r="N73" s="38" t="s">
        <v>27</v>
      </c>
      <c r="O73" s="38" t="s">
        <v>28</v>
      </c>
      <c r="P73" s="38" t="s">
        <v>64</v>
      </c>
      <c r="Q73" s="38" t="s">
        <v>64</v>
      </c>
      <c r="R73" s="38" t="s">
        <v>29</v>
      </c>
      <c r="S73" s="24" t="s">
        <v>21</v>
      </c>
      <c r="U73" s="37">
        <f t="shared" si="12"/>
        <v>7</v>
      </c>
      <c r="V73" s="37">
        <f t="shared" si="12"/>
        <v>12</v>
      </c>
      <c r="W73" s="37">
        <f t="shared" si="12"/>
        <v>15</v>
      </c>
      <c r="X73" s="37">
        <f t="shared" si="11"/>
        <v>14</v>
      </c>
      <c r="Y73" s="37">
        <f t="shared" si="11"/>
        <v>14</v>
      </c>
      <c r="Z73" s="37">
        <f t="shared" si="11"/>
        <v>19</v>
      </c>
      <c r="AA73" s="37">
        <f t="shared" si="11"/>
        <v>12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4">
        <v>1</v>
      </c>
      <c r="AK73" s="37" t="s">
        <v>28</v>
      </c>
      <c r="AL73" s="37">
        <v>1</v>
      </c>
      <c r="AM73" s="37">
        <v>40</v>
      </c>
      <c r="AN73" s="37">
        <v>1</v>
      </c>
      <c r="AO73" s="37">
        <v>1</v>
      </c>
      <c r="AP73" s="37">
        <v>1</v>
      </c>
      <c r="AQ73" s="37">
        <v>1</v>
      </c>
      <c r="AR73" s="37">
        <v>1</v>
      </c>
      <c r="AS73" s="4">
        <v>11</v>
      </c>
    </row>
    <row r="74" spans="2:45" ht="16.5" customHeight="1">
      <c r="B74" s="164">
        <v>7</v>
      </c>
      <c r="C74" s="159">
        <v>0</v>
      </c>
      <c r="L74" s="15">
        <v>70</v>
      </c>
      <c r="M74" s="38" t="s">
        <v>29</v>
      </c>
      <c r="N74" s="38" t="s">
        <v>240</v>
      </c>
      <c r="O74" s="38" t="s">
        <v>28</v>
      </c>
      <c r="P74" s="38" t="s">
        <v>64</v>
      </c>
      <c r="Q74" s="38" t="s">
        <v>18</v>
      </c>
      <c r="R74" s="38" t="s">
        <v>28</v>
      </c>
      <c r="S74" s="24" t="s">
        <v>17</v>
      </c>
      <c r="U74" s="37">
        <f t="shared" si="12"/>
        <v>19</v>
      </c>
      <c r="V74" s="37">
        <f t="shared" si="12"/>
        <v>0</v>
      </c>
      <c r="W74" s="37">
        <f t="shared" si="12"/>
        <v>15</v>
      </c>
      <c r="X74" s="37">
        <f t="shared" si="11"/>
        <v>14</v>
      </c>
      <c r="Y74" s="37">
        <f t="shared" si="11"/>
        <v>10</v>
      </c>
      <c r="Z74" s="37">
        <f t="shared" si="11"/>
        <v>15</v>
      </c>
      <c r="AA74" s="37">
        <f t="shared" si="11"/>
        <v>14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4">
        <v>3</v>
      </c>
      <c r="AK74" s="37" t="s">
        <v>29</v>
      </c>
      <c r="AL74" s="37">
        <v>40</v>
      </c>
      <c r="AM74" s="37">
        <v>1</v>
      </c>
      <c r="AN74" s="37">
        <v>1</v>
      </c>
      <c r="AO74" s="37">
        <v>1</v>
      </c>
      <c r="AP74" s="37">
        <v>1</v>
      </c>
      <c r="AQ74" s="37">
        <v>1</v>
      </c>
      <c r="AR74" s="37">
        <v>1</v>
      </c>
      <c r="AS74" s="4">
        <v>12</v>
      </c>
    </row>
    <row r="75" spans="2:45" ht="16.5" customHeight="1">
      <c r="L75" s="14">
        <v>71</v>
      </c>
      <c r="M75" s="38" t="s">
        <v>29</v>
      </c>
      <c r="N75" s="38" t="s">
        <v>28</v>
      </c>
      <c r="O75" s="38" t="s">
        <v>26</v>
      </c>
      <c r="P75" s="38" t="s">
        <v>24</v>
      </c>
      <c r="Q75" s="38" t="s">
        <v>24</v>
      </c>
      <c r="R75" s="38" t="s">
        <v>24</v>
      </c>
      <c r="S75" s="24" t="s">
        <v>17</v>
      </c>
      <c r="U75" s="37">
        <f t="shared" si="12"/>
        <v>19</v>
      </c>
      <c r="V75" s="37">
        <f t="shared" si="12"/>
        <v>15</v>
      </c>
      <c r="W75" s="37">
        <f t="shared" si="12"/>
        <v>7</v>
      </c>
      <c r="X75" s="37">
        <f t="shared" si="11"/>
        <v>11</v>
      </c>
      <c r="Y75" s="37">
        <f t="shared" si="11"/>
        <v>11</v>
      </c>
      <c r="Z75" s="37">
        <f t="shared" si="11"/>
        <v>11</v>
      </c>
      <c r="AA75" s="37">
        <f t="shared" si="11"/>
        <v>14</v>
      </c>
      <c r="AC75" s="18">
        <v>1</v>
      </c>
      <c r="AD75" s="18">
        <v>1</v>
      </c>
      <c r="AE75" s="18">
        <v>1</v>
      </c>
      <c r="AF75" s="18">
        <v>1</v>
      </c>
      <c r="AG75" s="18">
        <v>1</v>
      </c>
      <c r="AH75" s="18">
        <v>1</v>
      </c>
      <c r="AI75" s="4">
        <v>1</v>
      </c>
      <c r="AK75" s="154" t="s">
        <v>222</v>
      </c>
      <c r="AL75" s="154">
        <v>0</v>
      </c>
      <c r="AM75" s="154">
        <v>2</v>
      </c>
      <c r="AN75" s="154">
        <v>2</v>
      </c>
      <c r="AO75" s="154">
        <v>1</v>
      </c>
      <c r="AP75" s="154">
        <v>2</v>
      </c>
      <c r="AQ75" s="154">
        <v>0</v>
      </c>
      <c r="AR75" s="154">
        <v>0</v>
      </c>
      <c r="AS75" s="151">
        <v>13</v>
      </c>
    </row>
    <row r="76" spans="2:45" ht="16.5" customHeight="1">
      <c r="L76" s="15">
        <v>72</v>
      </c>
      <c r="M76" s="38" t="s">
        <v>26</v>
      </c>
      <c r="N76" s="38" t="s">
        <v>232</v>
      </c>
      <c r="O76" s="38" t="s">
        <v>18</v>
      </c>
      <c r="P76" s="38" t="s">
        <v>64</v>
      </c>
      <c r="Q76" s="38" t="s">
        <v>18</v>
      </c>
      <c r="R76" s="38" t="s">
        <v>24</v>
      </c>
      <c r="S76" s="24" t="s">
        <v>17</v>
      </c>
      <c r="U76" s="37">
        <f t="shared" si="12"/>
        <v>7</v>
      </c>
      <c r="V76" s="37">
        <f t="shared" si="12"/>
        <v>0</v>
      </c>
      <c r="W76" s="37">
        <f t="shared" si="12"/>
        <v>10</v>
      </c>
      <c r="X76" s="37">
        <f t="shared" si="11"/>
        <v>14</v>
      </c>
      <c r="Y76" s="37">
        <f t="shared" si="11"/>
        <v>10</v>
      </c>
      <c r="Z76" s="37">
        <f t="shared" si="11"/>
        <v>11</v>
      </c>
      <c r="AA76" s="37">
        <f t="shared" si="11"/>
        <v>14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4">
        <v>1</v>
      </c>
      <c r="AK76" s="154" t="s">
        <v>224</v>
      </c>
      <c r="AL76" s="154">
        <v>0</v>
      </c>
      <c r="AM76" s="154">
        <v>1</v>
      </c>
      <c r="AN76" s="154">
        <v>1</v>
      </c>
      <c r="AO76" s="154">
        <v>2</v>
      </c>
      <c r="AP76" s="154">
        <v>1</v>
      </c>
      <c r="AQ76" s="154">
        <v>0</v>
      </c>
      <c r="AR76" s="154">
        <v>0</v>
      </c>
      <c r="AS76" s="151">
        <v>14</v>
      </c>
    </row>
    <row r="77" spans="2:45" ht="16.5" customHeight="1">
      <c r="L77" s="14">
        <v>73</v>
      </c>
      <c r="M77" s="38" t="s">
        <v>28</v>
      </c>
      <c r="N77" s="38" t="s">
        <v>24</v>
      </c>
      <c r="O77" s="38" t="s">
        <v>28</v>
      </c>
      <c r="P77" s="38" t="s">
        <v>28</v>
      </c>
      <c r="Q77" s="38" t="s">
        <v>17</v>
      </c>
      <c r="R77" s="38" t="s">
        <v>17</v>
      </c>
      <c r="S77" s="24" t="s">
        <v>27</v>
      </c>
      <c r="U77" s="37">
        <f t="shared" si="12"/>
        <v>15</v>
      </c>
      <c r="V77" s="37">
        <f t="shared" si="12"/>
        <v>11</v>
      </c>
      <c r="W77" s="37">
        <f t="shared" si="12"/>
        <v>15</v>
      </c>
      <c r="X77" s="37">
        <f t="shared" si="11"/>
        <v>15</v>
      </c>
      <c r="Y77" s="37">
        <f t="shared" si="11"/>
        <v>14</v>
      </c>
      <c r="Z77" s="37">
        <f t="shared" si="11"/>
        <v>14</v>
      </c>
      <c r="AA77" s="37">
        <f t="shared" si="11"/>
        <v>12</v>
      </c>
      <c r="AC77" s="18">
        <v>1</v>
      </c>
      <c r="AD77" s="18">
        <v>1</v>
      </c>
      <c r="AE77" s="18">
        <v>1</v>
      </c>
      <c r="AF77" s="18">
        <v>1</v>
      </c>
      <c r="AG77" s="18">
        <v>1</v>
      </c>
      <c r="AH77" s="18">
        <v>1</v>
      </c>
      <c r="AI77" s="4">
        <v>2</v>
      </c>
      <c r="AK77" s="154" t="s">
        <v>226</v>
      </c>
      <c r="AL77" s="154">
        <v>0</v>
      </c>
      <c r="AM77" s="154">
        <v>2</v>
      </c>
      <c r="AN77" s="154">
        <v>2</v>
      </c>
      <c r="AO77" s="154">
        <v>1</v>
      </c>
      <c r="AP77" s="154">
        <v>1</v>
      </c>
      <c r="AQ77" s="154">
        <v>0</v>
      </c>
      <c r="AR77" s="154">
        <v>0</v>
      </c>
      <c r="AS77" s="151">
        <v>15</v>
      </c>
    </row>
    <row r="78" spans="2:45" ht="16.5" customHeight="1">
      <c r="L78" s="15">
        <v>74</v>
      </c>
      <c r="M78" s="38" t="s">
        <v>64</v>
      </c>
      <c r="N78" s="38" t="s">
        <v>69</v>
      </c>
      <c r="O78" s="38" t="s">
        <v>28</v>
      </c>
      <c r="P78" s="38" t="s">
        <v>28</v>
      </c>
      <c r="Q78" s="38" t="s">
        <v>17</v>
      </c>
      <c r="R78" s="38" t="s">
        <v>17</v>
      </c>
      <c r="S78" s="24" t="s">
        <v>27</v>
      </c>
      <c r="U78" s="37">
        <f t="shared" si="12"/>
        <v>14</v>
      </c>
      <c r="V78" s="37">
        <f t="shared" si="12"/>
        <v>0</v>
      </c>
      <c r="W78" s="37">
        <f t="shared" si="12"/>
        <v>15</v>
      </c>
      <c r="X78" s="37">
        <f t="shared" si="11"/>
        <v>15</v>
      </c>
      <c r="Y78" s="37">
        <f t="shared" si="11"/>
        <v>14</v>
      </c>
      <c r="Z78" s="37">
        <f t="shared" si="11"/>
        <v>14</v>
      </c>
      <c r="AA78" s="37">
        <f t="shared" si="11"/>
        <v>12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4">
        <v>1</v>
      </c>
      <c r="AK78" s="154" t="s">
        <v>228</v>
      </c>
      <c r="AL78" s="154">
        <v>0</v>
      </c>
      <c r="AM78" s="154">
        <v>1</v>
      </c>
      <c r="AN78" s="154">
        <v>1</v>
      </c>
      <c r="AO78" s="154">
        <v>1</v>
      </c>
      <c r="AP78" s="154">
        <v>1</v>
      </c>
      <c r="AQ78" s="154">
        <v>0</v>
      </c>
      <c r="AR78" s="154">
        <v>0</v>
      </c>
      <c r="AS78" s="151">
        <v>16</v>
      </c>
    </row>
    <row r="79" spans="2:45" ht="16.5" customHeight="1">
      <c r="L79" s="14">
        <v>75</v>
      </c>
      <c r="M79" s="38" t="s">
        <v>29</v>
      </c>
      <c r="N79" s="38" t="s">
        <v>69</v>
      </c>
      <c r="O79" s="38" t="s">
        <v>24</v>
      </c>
      <c r="P79" s="38" t="s">
        <v>240</v>
      </c>
      <c r="Q79" s="38" t="s">
        <v>226</v>
      </c>
      <c r="R79" s="38" t="s">
        <v>17</v>
      </c>
      <c r="S79" s="24" t="s">
        <v>27</v>
      </c>
      <c r="U79" s="37">
        <f t="shared" si="12"/>
        <v>19</v>
      </c>
      <c r="V79" s="37">
        <f t="shared" si="12"/>
        <v>0</v>
      </c>
      <c r="W79" s="37">
        <f t="shared" si="12"/>
        <v>11</v>
      </c>
      <c r="X79" s="37">
        <f t="shared" si="11"/>
        <v>0</v>
      </c>
      <c r="Y79" s="37">
        <f t="shared" si="11"/>
        <v>0</v>
      </c>
      <c r="Z79" s="37">
        <f t="shared" si="11"/>
        <v>14</v>
      </c>
      <c r="AA79" s="37">
        <f t="shared" si="11"/>
        <v>12</v>
      </c>
      <c r="AC79" s="18">
        <v>1</v>
      </c>
      <c r="AD79" s="18">
        <v>1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4" t="s">
        <v>230</v>
      </c>
      <c r="AL79" s="154">
        <v>0</v>
      </c>
      <c r="AM79" s="154">
        <v>2</v>
      </c>
      <c r="AN79" s="154">
        <v>2</v>
      </c>
      <c r="AO79" s="154">
        <v>1</v>
      </c>
      <c r="AP79" s="154">
        <v>2</v>
      </c>
      <c r="AQ79" s="154">
        <v>0</v>
      </c>
      <c r="AR79" s="154">
        <v>0</v>
      </c>
      <c r="AS79" s="151">
        <v>17</v>
      </c>
    </row>
    <row r="80" spans="2:45">
      <c r="L80" s="15">
        <v>76</v>
      </c>
      <c r="M80" s="38" t="s">
        <v>29</v>
      </c>
      <c r="N80" s="38" t="s">
        <v>89</v>
      </c>
      <c r="O80" s="38" t="s">
        <v>26</v>
      </c>
      <c r="P80" s="38" t="s">
        <v>29</v>
      </c>
      <c r="Q80" s="38" t="s">
        <v>64</v>
      </c>
      <c r="R80" s="38" t="s">
        <v>64</v>
      </c>
      <c r="S80" s="38" t="s">
        <v>17</v>
      </c>
      <c r="U80" s="37">
        <f t="shared" si="12"/>
        <v>19</v>
      </c>
      <c r="V80" s="37">
        <f t="shared" si="12"/>
        <v>7</v>
      </c>
      <c r="W80" s="37">
        <f t="shared" si="12"/>
        <v>7</v>
      </c>
      <c r="X80" s="37">
        <f t="shared" si="11"/>
        <v>19</v>
      </c>
      <c r="Y80" s="37">
        <f t="shared" si="11"/>
        <v>14</v>
      </c>
      <c r="Z80" s="37">
        <f t="shared" si="11"/>
        <v>14</v>
      </c>
      <c r="AA80" s="37">
        <f t="shared" si="11"/>
        <v>14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4">
        <v>1</v>
      </c>
      <c r="AK80" s="154" t="s">
        <v>232</v>
      </c>
      <c r="AL80" s="154">
        <v>0</v>
      </c>
      <c r="AM80" s="154">
        <v>2</v>
      </c>
      <c r="AN80" s="154">
        <v>2</v>
      </c>
      <c r="AO80" s="154">
        <v>1</v>
      </c>
      <c r="AP80" s="154">
        <v>2</v>
      </c>
      <c r="AQ80" s="154">
        <v>0</v>
      </c>
      <c r="AR80" s="154">
        <v>0</v>
      </c>
      <c r="AS80" s="151">
        <v>18</v>
      </c>
    </row>
    <row r="81" spans="12:45">
      <c r="L81" s="14">
        <v>77</v>
      </c>
      <c r="M81" s="38" t="s">
        <v>27</v>
      </c>
      <c r="N81" s="38" t="s">
        <v>89</v>
      </c>
      <c r="O81" s="38" t="s">
        <v>26</v>
      </c>
      <c r="P81" s="38" t="s">
        <v>29</v>
      </c>
      <c r="Q81" s="38" t="s">
        <v>64</v>
      </c>
      <c r="R81" s="38" t="s">
        <v>64</v>
      </c>
      <c r="S81" s="24" t="s">
        <v>29</v>
      </c>
      <c r="U81" s="37">
        <f t="shared" si="12"/>
        <v>12</v>
      </c>
      <c r="V81" s="37">
        <f t="shared" si="12"/>
        <v>7</v>
      </c>
      <c r="W81" s="37">
        <f t="shared" si="12"/>
        <v>7</v>
      </c>
      <c r="X81" s="37">
        <f t="shared" si="11"/>
        <v>19</v>
      </c>
      <c r="Y81" s="37">
        <f t="shared" si="11"/>
        <v>14</v>
      </c>
      <c r="Z81" s="37">
        <f t="shared" si="11"/>
        <v>14</v>
      </c>
      <c r="AA81" s="37">
        <f t="shared" si="11"/>
        <v>19</v>
      </c>
      <c r="AC81" s="18">
        <v>1</v>
      </c>
      <c r="AD81" s="18">
        <v>1</v>
      </c>
      <c r="AE81" s="18">
        <v>1</v>
      </c>
      <c r="AF81" s="18">
        <v>1</v>
      </c>
      <c r="AG81" s="18">
        <v>1</v>
      </c>
      <c r="AH81" s="18">
        <v>1</v>
      </c>
      <c r="AI81" s="4">
        <v>3</v>
      </c>
      <c r="AK81" s="37" t="s">
        <v>234</v>
      </c>
      <c r="AL81" s="37">
        <v>0</v>
      </c>
      <c r="AM81" s="37">
        <v>2</v>
      </c>
      <c r="AN81" s="37">
        <v>1</v>
      </c>
      <c r="AO81" s="37">
        <v>1</v>
      </c>
      <c r="AP81" s="37">
        <v>7</v>
      </c>
      <c r="AQ81" s="37">
        <v>0</v>
      </c>
      <c r="AR81" s="37">
        <v>0</v>
      </c>
      <c r="AS81" s="4">
        <v>19</v>
      </c>
    </row>
    <row r="82" spans="12:45">
      <c r="L82" s="15">
        <v>78</v>
      </c>
      <c r="M82" s="38" t="s">
        <v>28</v>
      </c>
      <c r="N82" s="38" t="s">
        <v>21</v>
      </c>
      <c r="O82" s="38" t="s">
        <v>26</v>
      </c>
      <c r="P82" s="38" t="s">
        <v>24</v>
      </c>
      <c r="Q82" s="38" t="s">
        <v>89</v>
      </c>
      <c r="R82" s="38" t="s">
        <v>64</v>
      </c>
      <c r="S82" s="24" t="s">
        <v>29</v>
      </c>
      <c r="U82" s="37">
        <f t="shared" si="12"/>
        <v>15</v>
      </c>
      <c r="V82" s="37">
        <f t="shared" si="12"/>
        <v>12</v>
      </c>
      <c r="W82" s="37">
        <f t="shared" si="12"/>
        <v>7</v>
      </c>
      <c r="X82" s="37">
        <f t="shared" si="11"/>
        <v>11</v>
      </c>
      <c r="Y82" s="37">
        <f t="shared" si="11"/>
        <v>7</v>
      </c>
      <c r="Z82" s="37">
        <f t="shared" si="11"/>
        <v>14</v>
      </c>
      <c r="AA82" s="37">
        <f t="shared" si="11"/>
        <v>19</v>
      </c>
      <c r="AC82" s="18">
        <v>1</v>
      </c>
      <c r="AD82" s="18">
        <v>1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0</v>
      </c>
      <c r="AM82" s="37">
        <v>2</v>
      </c>
      <c r="AN82" s="37">
        <v>1</v>
      </c>
      <c r="AO82" s="37">
        <v>2</v>
      </c>
      <c r="AP82" s="37">
        <v>1</v>
      </c>
      <c r="AQ82" s="37">
        <v>0</v>
      </c>
      <c r="AR82" s="37">
        <v>0</v>
      </c>
      <c r="AS82" s="4">
        <v>20</v>
      </c>
    </row>
    <row r="83" spans="12:45">
      <c r="L83" s="14">
        <v>79</v>
      </c>
      <c r="M83" s="38" t="s">
        <v>64</v>
      </c>
      <c r="N83" s="38" t="s">
        <v>21</v>
      </c>
      <c r="O83" s="38" t="s">
        <v>18</v>
      </c>
      <c r="P83" s="38" t="s">
        <v>228</v>
      </c>
      <c r="Q83" s="38" t="s">
        <v>89</v>
      </c>
      <c r="R83" s="38" t="s">
        <v>29</v>
      </c>
      <c r="S83" s="24" t="s">
        <v>29</v>
      </c>
      <c r="U83" s="37">
        <f t="shared" si="12"/>
        <v>14</v>
      </c>
      <c r="V83" s="37">
        <f t="shared" si="12"/>
        <v>12</v>
      </c>
      <c r="W83" s="37">
        <f t="shared" si="12"/>
        <v>10</v>
      </c>
      <c r="X83" s="37">
        <f t="shared" si="11"/>
        <v>0</v>
      </c>
      <c r="Y83" s="37">
        <f t="shared" si="11"/>
        <v>7</v>
      </c>
      <c r="Z83" s="37">
        <f t="shared" si="11"/>
        <v>19</v>
      </c>
      <c r="AA83" s="37">
        <f t="shared" si="11"/>
        <v>19</v>
      </c>
      <c r="AC83" s="18">
        <v>1</v>
      </c>
      <c r="AD83" s="18">
        <v>1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0</v>
      </c>
      <c r="AM83" s="37">
        <v>2</v>
      </c>
      <c r="AN83" s="37">
        <v>7</v>
      </c>
      <c r="AO83" s="37">
        <v>1</v>
      </c>
      <c r="AP83" s="37">
        <v>1</v>
      </c>
      <c r="AQ83" s="37">
        <v>0</v>
      </c>
      <c r="AR83" s="37">
        <v>0</v>
      </c>
      <c r="AS83" s="4">
        <v>21</v>
      </c>
    </row>
    <row r="84" spans="12:45">
      <c r="L84" s="15">
        <v>80</v>
      </c>
      <c r="M84" s="38" t="s">
        <v>64</v>
      </c>
      <c r="N84" s="38" t="s">
        <v>26</v>
      </c>
      <c r="O84" s="38" t="s">
        <v>28</v>
      </c>
      <c r="P84" s="38" t="s">
        <v>18</v>
      </c>
      <c r="Q84" s="38" t="s">
        <v>232</v>
      </c>
      <c r="R84" s="38" t="s">
        <v>27</v>
      </c>
      <c r="S84" s="24" t="s">
        <v>24</v>
      </c>
      <c r="U84" s="37">
        <f t="shared" si="12"/>
        <v>14</v>
      </c>
      <c r="V84" s="37">
        <f t="shared" si="12"/>
        <v>7</v>
      </c>
      <c r="W84" s="37">
        <f t="shared" si="12"/>
        <v>15</v>
      </c>
      <c r="X84" s="37">
        <f t="shared" si="11"/>
        <v>10</v>
      </c>
      <c r="Y84" s="37">
        <f t="shared" si="11"/>
        <v>0</v>
      </c>
      <c r="Z84" s="37">
        <f t="shared" si="11"/>
        <v>12</v>
      </c>
      <c r="AA84" s="37">
        <f t="shared" si="11"/>
        <v>11</v>
      </c>
      <c r="AC84" s="18">
        <v>1</v>
      </c>
      <c r="AD84" s="18">
        <v>1</v>
      </c>
      <c r="AE84" s="18">
        <v>1</v>
      </c>
      <c r="AF84" s="18">
        <v>1</v>
      </c>
      <c r="AG84" s="18">
        <v>1</v>
      </c>
      <c r="AH84" s="18">
        <v>1</v>
      </c>
      <c r="AI84" s="4">
        <v>3</v>
      </c>
      <c r="AK84" s="37" t="s">
        <v>240</v>
      </c>
      <c r="AL84" s="37">
        <v>0</v>
      </c>
      <c r="AM84" s="37">
        <v>1</v>
      </c>
      <c r="AN84" s="37">
        <v>1</v>
      </c>
      <c r="AO84" s="37">
        <v>1</v>
      </c>
      <c r="AP84" s="37">
        <v>1</v>
      </c>
      <c r="AQ84" s="37">
        <v>0</v>
      </c>
      <c r="AR84" s="37">
        <v>0</v>
      </c>
      <c r="AS84" s="4">
        <v>22</v>
      </c>
    </row>
    <row r="85" spans="12:45">
      <c r="L85" s="14">
        <v>81</v>
      </c>
      <c r="M85" s="38" t="s">
        <v>28</v>
      </c>
      <c r="N85" s="38" t="s">
        <v>26</v>
      </c>
      <c r="O85" s="38" t="s">
        <v>21</v>
      </c>
      <c r="P85" s="38" t="s">
        <v>64</v>
      </c>
      <c r="Q85" s="38" t="s">
        <v>28</v>
      </c>
      <c r="R85" s="38" t="s">
        <v>27</v>
      </c>
      <c r="S85" s="24" t="s">
        <v>24</v>
      </c>
      <c r="U85" s="37">
        <f t="shared" si="12"/>
        <v>15</v>
      </c>
      <c r="V85" s="37">
        <f t="shared" si="12"/>
        <v>7</v>
      </c>
      <c r="W85" s="37">
        <f t="shared" si="12"/>
        <v>12</v>
      </c>
      <c r="X85" s="37">
        <f t="shared" si="11"/>
        <v>14</v>
      </c>
      <c r="Y85" s="37">
        <f t="shared" si="11"/>
        <v>15</v>
      </c>
      <c r="Z85" s="37">
        <f t="shared" si="11"/>
        <v>12</v>
      </c>
      <c r="AA85" s="37">
        <f t="shared" si="11"/>
        <v>11</v>
      </c>
      <c r="AC85" s="18">
        <v>1</v>
      </c>
      <c r="AD85" s="18">
        <v>1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0</v>
      </c>
      <c r="AM85" s="37">
        <v>2</v>
      </c>
      <c r="AN85" s="37">
        <v>1</v>
      </c>
      <c r="AO85" s="37">
        <v>1</v>
      </c>
      <c r="AP85" s="37">
        <v>1</v>
      </c>
      <c r="AQ85" s="37">
        <v>0</v>
      </c>
      <c r="AR85" s="37">
        <v>0</v>
      </c>
      <c r="AS85" s="4">
        <v>23</v>
      </c>
    </row>
    <row r="86" spans="12:45">
      <c r="L86" s="15">
        <v>82</v>
      </c>
      <c r="M86" s="38" t="s">
        <v>29</v>
      </c>
      <c r="N86" s="38" t="s">
        <v>27</v>
      </c>
      <c r="O86" s="38" t="s">
        <v>21</v>
      </c>
      <c r="P86" s="38" t="s">
        <v>27</v>
      </c>
      <c r="Q86" s="38" t="s">
        <v>28</v>
      </c>
      <c r="R86" s="38" t="s">
        <v>24</v>
      </c>
      <c r="S86" s="24" t="s">
        <v>24</v>
      </c>
      <c r="U86" s="37">
        <f t="shared" si="12"/>
        <v>19</v>
      </c>
      <c r="V86" s="37">
        <f t="shared" si="12"/>
        <v>12</v>
      </c>
      <c r="W86" s="37">
        <f t="shared" si="12"/>
        <v>12</v>
      </c>
      <c r="X86" s="37">
        <f t="shared" si="11"/>
        <v>12</v>
      </c>
      <c r="Y86" s="37">
        <f t="shared" si="11"/>
        <v>15</v>
      </c>
      <c r="Z86" s="37">
        <f t="shared" si="11"/>
        <v>11</v>
      </c>
      <c r="AA86" s="37">
        <f t="shared" si="11"/>
        <v>11</v>
      </c>
      <c r="AC86" s="18">
        <v>1</v>
      </c>
      <c r="AD86" s="18">
        <v>1</v>
      </c>
      <c r="AE86" s="18">
        <v>1</v>
      </c>
      <c r="AF86" s="18">
        <v>1</v>
      </c>
      <c r="AG86" s="18">
        <v>1</v>
      </c>
      <c r="AH86" s="18">
        <v>1</v>
      </c>
      <c r="AI86" s="4">
        <v>1</v>
      </c>
      <c r="AK86" s="154" t="s">
        <v>94</v>
      </c>
      <c r="AL86" s="154">
        <v>0</v>
      </c>
      <c r="AM86" s="154">
        <v>2</v>
      </c>
      <c r="AN86" s="154">
        <v>2</v>
      </c>
      <c r="AO86" s="154">
        <v>2</v>
      </c>
      <c r="AP86" s="154">
        <v>2</v>
      </c>
      <c r="AQ86" s="154">
        <v>0</v>
      </c>
      <c r="AR86" s="154">
        <v>0</v>
      </c>
      <c r="AS86" s="151">
        <v>24</v>
      </c>
    </row>
    <row r="87" spans="12:45">
      <c r="L87" s="14">
        <v>83</v>
      </c>
      <c r="M87" s="38" t="s">
        <v>28</v>
      </c>
      <c r="N87" s="38" t="s">
        <v>27</v>
      </c>
      <c r="O87" s="38" t="s">
        <v>21</v>
      </c>
      <c r="P87" s="38" t="s">
        <v>18</v>
      </c>
      <c r="Q87" s="38" t="s">
        <v>89</v>
      </c>
      <c r="R87" s="38" t="s">
        <v>29</v>
      </c>
      <c r="S87" s="24" t="s">
        <v>27</v>
      </c>
      <c r="U87" s="37">
        <f t="shared" si="12"/>
        <v>15</v>
      </c>
      <c r="V87" s="37">
        <f t="shared" si="12"/>
        <v>12</v>
      </c>
      <c r="W87" s="37">
        <f t="shared" si="12"/>
        <v>12</v>
      </c>
      <c r="X87" s="37">
        <f t="shared" si="11"/>
        <v>10</v>
      </c>
      <c r="Y87" s="37">
        <f t="shared" si="11"/>
        <v>7</v>
      </c>
      <c r="Z87" s="37">
        <f t="shared" si="11"/>
        <v>19</v>
      </c>
      <c r="AA87" s="37">
        <f t="shared" si="11"/>
        <v>12</v>
      </c>
      <c r="AC87" s="18">
        <v>1</v>
      </c>
      <c r="AD87" s="18">
        <v>1</v>
      </c>
      <c r="AE87" s="18">
        <v>1</v>
      </c>
      <c r="AF87" s="18">
        <v>1</v>
      </c>
      <c r="AG87" s="18">
        <v>1</v>
      </c>
      <c r="AH87" s="18">
        <v>1</v>
      </c>
      <c r="AI87" s="4">
        <v>1</v>
      </c>
      <c r="AK87" s="154" t="s">
        <v>257</v>
      </c>
      <c r="AL87" s="154">
        <v>0</v>
      </c>
      <c r="AM87" s="154">
        <v>0</v>
      </c>
      <c r="AN87" s="154">
        <v>0</v>
      </c>
      <c r="AO87" s="154">
        <v>0</v>
      </c>
      <c r="AP87" s="154">
        <v>0</v>
      </c>
      <c r="AQ87" s="154">
        <v>0</v>
      </c>
      <c r="AR87" s="154">
        <v>0</v>
      </c>
      <c r="AS87" s="151">
        <v>25</v>
      </c>
    </row>
    <row r="88" spans="12:45">
      <c r="L88" s="15">
        <v>84</v>
      </c>
      <c r="M88" s="38" t="s">
        <v>28</v>
      </c>
      <c r="N88" s="38" t="s">
        <v>64</v>
      </c>
      <c r="O88" s="38" t="s">
        <v>18</v>
      </c>
      <c r="P88" s="38" t="s">
        <v>27</v>
      </c>
      <c r="Q88" s="38" t="s">
        <v>21</v>
      </c>
      <c r="R88" s="38" t="s">
        <v>29</v>
      </c>
      <c r="S88" s="24" t="s">
        <v>27</v>
      </c>
      <c r="U88" s="37">
        <f t="shared" si="12"/>
        <v>15</v>
      </c>
      <c r="V88" s="37">
        <f t="shared" si="12"/>
        <v>14</v>
      </c>
      <c r="W88" s="37">
        <f t="shared" si="12"/>
        <v>10</v>
      </c>
      <c r="X88" s="37">
        <f t="shared" si="11"/>
        <v>12</v>
      </c>
      <c r="Y88" s="37">
        <f t="shared" si="11"/>
        <v>12</v>
      </c>
      <c r="Z88" s="37">
        <f t="shared" si="11"/>
        <v>19</v>
      </c>
      <c r="AA88" s="37">
        <f t="shared" si="11"/>
        <v>12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4">
        <v>1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>
      <c r="L89" s="14">
        <v>85</v>
      </c>
      <c r="M89" s="38" t="s">
        <v>29</v>
      </c>
      <c r="N89" s="38" t="s">
        <v>24</v>
      </c>
      <c r="O89" s="38" t="s">
        <v>234</v>
      </c>
      <c r="P89" s="38" t="s">
        <v>27</v>
      </c>
      <c r="Q89" s="38" t="s">
        <v>26</v>
      </c>
      <c r="R89" s="38" t="s">
        <v>24</v>
      </c>
      <c r="S89" s="24" t="s">
        <v>27</v>
      </c>
      <c r="U89" s="37">
        <f t="shared" si="12"/>
        <v>19</v>
      </c>
      <c r="V89" s="37">
        <f t="shared" si="12"/>
        <v>11</v>
      </c>
      <c r="W89" s="37">
        <f t="shared" si="12"/>
        <v>0</v>
      </c>
      <c r="X89" s="37">
        <f t="shared" si="11"/>
        <v>12</v>
      </c>
      <c r="Y89" s="37">
        <f t="shared" si="11"/>
        <v>7</v>
      </c>
      <c r="Z89" s="37">
        <f t="shared" si="11"/>
        <v>11</v>
      </c>
      <c r="AA89" s="37">
        <f t="shared" si="11"/>
        <v>12</v>
      </c>
      <c r="AC89" s="18">
        <v>1</v>
      </c>
      <c r="AD89" s="18">
        <v>1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>
      <c r="L90" s="15">
        <v>86</v>
      </c>
      <c r="M90" s="38" t="s">
        <v>29</v>
      </c>
      <c r="N90" s="38" t="s">
        <v>29</v>
      </c>
      <c r="O90" s="38" t="s">
        <v>24</v>
      </c>
      <c r="P90" s="38" t="s">
        <v>27</v>
      </c>
      <c r="Q90" s="38" t="s">
        <v>18</v>
      </c>
      <c r="R90" s="38" t="s">
        <v>64</v>
      </c>
      <c r="S90" s="24" t="s">
        <v>29</v>
      </c>
      <c r="U90" s="37">
        <f t="shared" si="12"/>
        <v>19</v>
      </c>
      <c r="V90" s="37">
        <f t="shared" si="12"/>
        <v>19</v>
      </c>
      <c r="W90" s="37">
        <f t="shared" si="12"/>
        <v>11</v>
      </c>
      <c r="X90" s="37">
        <f t="shared" si="11"/>
        <v>12</v>
      </c>
      <c r="Y90" s="37">
        <f t="shared" si="11"/>
        <v>10</v>
      </c>
      <c r="Z90" s="37">
        <f t="shared" si="11"/>
        <v>14</v>
      </c>
      <c r="AA90" s="37">
        <f t="shared" si="11"/>
        <v>19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4">
        <v>1</v>
      </c>
      <c r="AK90" s="16" t="s">
        <v>265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>
      <c r="L91" s="14">
        <v>87</v>
      </c>
      <c r="M91" s="38" t="s">
        <v>29</v>
      </c>
      <c r="N91" s="38" t="s">
        <v>29</v>
      </c>
      <c r="O91" s="38" t="s">
        <v>24</v>
      </c>
      <c r="P91" s="38" t="s">
        <v>29</v>
      </c>
      <c r="Q91" s="38" t="s">
        <v>27</v>
      </c>
      <c r="R91" s="38" t="s">
        <v>24</v>
      </c>
      <c r="S91" s="24" t="s">
        <v>64</v>
      </c>
      <c r="U91" s="37">
        <f t="shared" si="12"/>
        <v>19</v>
      </c>
      <c r="V91" s="37">
        <f t="shared" si="12"/>
        <v>19</v>
      </c>
      <c r="W91" s="37">
        <f t="shared" si="12"/>
        <v>11</v>
      </c>
      <c r="X91" s="37">
        <f t="shared" si="11"/>
        <v>19</v>
      </c>
      <c r="Y91" s="37">
        <f t="shared" si="11"/>
        <v>12</v>
      </c>
      <c r="Z91" s="37">
        <f t="shared" si="11"/>
        <v>11</v>
      </c>
      <c r="AA91" s="37">
        <f t="shared" si="11"/>
        <v>14</v>
      </c>
      <c r="AC91" s="18">
        <v>1</v>
      </c>
      <c r="AD91" s="18">
        <v>1</v>
      </c>
      <c r="AE91" s="18">
        <v>1</v>
      </c>
      <c r="AF91" s="18">
        <v>1</v>
      </c>
      <c r="AG91" s="18">
        <v>1</v>
      </c>
      <c r="AH91" s="18">
        <v>1</v>
      </c>
      <c r="AI91" s="4">
        <v>3</v>
      </c>
      <c r="AK91" s="10" t="s">
        <v>68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4">
        <v>0</v>
      </c>
    </row>
    <row r="92" spans="12:45">
      <c r="L92" s="15">
        <v>88</v>
      </c>
      <c r="M92" s="38" t="s">
        <v>29</v>
      </c>
      <c r="N92" s="38" t="s">
        <v>17</v>
      </c>
      <c r="O92" s="38" t="s">
        <v>28</v>
      </c>
      <c r="P92" s="38" t="s">
        <v>29</v>
      </c>
      <c r="Q92" s="38" t="s">
        <v>27</v>
      </c>
      <c r="R92" s="38" t="s">
        <v>24</v>
      </c>
      <c r="S92" s="24" t="s">
        <v>64</v>
      </c>
      <c r="U92" s="37">
        <f t="shared" si="12"/>
        <v>19</v>
      </c>
      <c r="V92" s="37">
        <f t="shared" si="12"/>
        <v>14</v>
      </c>
      <c r="W92" s="37">
        <f t="shared" si="12"/>
        <v>15</v>
      </c>
      <c r="X92" s="37">
        <f t="shared" si="11"/>
        <v>19</v>
      </c>
      <c r="Y92" s="37">
        <f t="shared" si="11"/>
        <v>12</v>
      </c>
      <c r="Z92" s="37">
        <f t="shared" si="11"/>
        <v>11</v>
      </c>
      <c r="AA92" s="37">
        <f t="shared" si="11"/>
        <v>14</v>
      </c>
      <c r="AC92" s="18">
        <v>1</v>
      </c>
      <c r="AD92" s="18">
        <v>1</v>
      </c>
      <c r="AE92" s="18">
        <v>1</v>
      </c>
      <c r="AF92" s="18">
        <v>1</v>
      </c>
      <c r="AG92" s="18">
        <v>1</v>
      </c>
      <c r="AH92" s="18">
        <v>1</v>
      </c>
      <c r="AI92" s="4">
        <v>1</v>
      </c>
      <c r="AK92" s="37" t="s">
        <v>19</v>
      </c>
      <c r="AL92" s="37">
        <v>5</v>
      </c>
      <c r="AM92" s="37">
        <v>5</v>
      </c>
      <c r="AN92" s="37">
        <v>5</v>
      </c>
      <c r="AO92" s="37">
        <v>5</v>
      </c>
      <c r="AP92" s="37">
        <v>5</v>
      </c>
      <c r="AQ92" s="37">
        <v>5</v>
      </c>
      <c r="AR92" s="37">
        <v>0</v>
      </c>
      <c r="AS92" s="4">
        <v>1</v>
      </c>
    </row>
    <row r="93" spans="12:45">
      <c r="L93" s="14">
        <v>89</v>
      </c>
      <c r="M93" s="38" t="s">
        <v>28</v>
      </c>
      <c r="N93" s="38" t="s">
        <v>21</v>
      </c>
      <c r="O93" s="38" t="s">
        <v>28</v>
      </c>
      <c r="P93" s="38" t="s">
        <v>29</v>
      </c>
      <c r="Q93" s="38" t="s">
        <v>26</v>
      </c>
      <c r="R93" s="38" t="s">
        <v>24</v>
      </c>
      <c r="S93" s="24" t="s">
        <v>64</v>
      </c>
      <c r="U93" s="37">
        <f t="shared" si="12"/>
        <v>15</v>
      </c>
      <c r="V93" s="37">
        <f t="shared" si="12"/>
        <v>12</v>
      </c>
      <c r="W93" s="37">
        <f t="shared" si="12"/>
        <v>15</v>
      </c>
      <c r="X93" s="37">
        <f t="shared" si="11"/>
        <v>19</v>
      </c>
      <c r="Y93" s="37">
        <f t="shared" si="11"/>
        <v>7</v>
      </c>
      <c r="Z93" s="37">
        <f t="shared" si="11"/>
        <v>11</v>
      </c>
      <c r="AA93" s="37">
        <f t="shared" si="11"/>
        <v>14</v>
      </c>
      <c r="AC93" s="18">
        <v>1</v>
      </c>
      <c r="AD93" s="18">
        <v>1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4" t="s">
        <v>20</v>
      </c>
      <c r="AL93" s="154">
        <v>20</v>
      </c>
      <c r="AM93" s="154">
        <v>0</v>
      </c>
      <c r="AN93" s="154">
        <v>4</v>
      </c>
      <c r="AO93" s="154">
        <v>1</v>
      </c>
      <c r="AP93" s="154">
        <v>50</v>
      </c>
      <c r="AQ93" s="154">
        <v>1</v>
      </c>
      <c r="AR93" s="154">
        <v>0</v>
      </c>
      <c r="AS93" s="151">
        <v>2</v>
      </c>
    </row>
    <row r="94" spans="12:45">
      <c r="L94" s="15">
        <v>90</v>
      </c>
      <c r="M94" s="38" t="s">
        <v>24</v>
      </c>
      <c r="N94" s="38" t="s">
        <v>21</v>
      </c>
      <c r="O94" s="38" t="s">
        <v>18</v>
      </c>
      <c r="P94" s="38" t="s">
        <v>64</v>
      </c>
      <c r="Q94" s="38" t="s">
        <v>26</v>
      </c>
      <c r="R94" s="38" t="s">
        <v>27</v>
      </c>
      <c r="S94" s="24" t="s">
        <v>64</v>
      </c>
      <c r="U94" s="37">
        <f t="shared" si="12"/>
        <v>11</v>
      </c>
      <c r="V94" s="37">
        <f t="shared" si="12"/>
        <v>12</v>
      </c>
      <c r="W94" s="37">
        <f t="shared" si="12"/>
        <v>10</v>
      </c>
      <c r="X94" s="37">
        <f t="shared" si="11"/>
        <v>14</v>
      </c>
      <c r="Y94" s="37">
        <f t="shared" si="11"/>
        <v>7</v>
      </c>
      <c r="Z94" s="37">
        <f t="shared" si="11"/>
        <v>12</v>
      </c>
      <c r="AA94" s="37">
        <f t="shared" si="11"/>
        <v>14</v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4">
        <v>1</v>
      </c>
      <c r="AK94" s="154" t="s">
        <v>21</v>
      </c>
      <c r="AL94" s="154">
        <v>1</v>
      </c>
      <c r="AM94" s="154">
        <v>50</v>
      </c>
      <c r="AN94" s="154">
        <v>1</v>
      </c>
      <c r="AO94" s="154">
        <v>50</v>
      </c>
      <c r="AP94" s="154">
        <v>1</v>
      </c>
      <c r="AQ94" s="154">
        <v>1</v>
      </c>
      <c r="AR94" s="154">
        <v>0</v>
      </c>
      <c r="AS94" s="151">
        <v>3</v>
      </c>
    </row>
    <row r="95" spans="12:45">
      <c r="L95" s="14">
        <v>91</v>
      </c>
      <c r="M95" s="38" t="s">
        <v>28</v>
      </c>
      <c r="N95" s="38" t="s">
        <v>24</v>
      </c>
      <c r="O95" s="38" t="s">
        <v>28</v>
      </c>
      <c r="P95" s="38" t="s">
        <v>64</v>
      </c>
      <c r="Q95" s="38" t="s">
        <v>236</v>
      </c>
      <c r="R95" s="38" t="s">
        <v>27</v>
      </c>
      <c r="S95" s="24" t="s">
        <v>29</v>
      </c>
      <c r="U95" s="37">
        <f t="shared" si="12"/>
        <v>15</v>
      </c>
      <c r="V95" s="37">
        <f t="shared" si="12"/>
        <v>11</v>
      </c>
      <c r="W95" s="37">
        <f t="shared" si="12"/>
        <v>15</v>
      </c>
      <c r="X95" s="37">
        <f t="shared" si="11"/>
        <v>14</v>
      </c>
      <c r="Y95" s="37">
        <f t="shared" si="11"/>
        <v>0</v>
      </c>
      <c r="Z95" s="37">
        <f t="shared" si="11"/>
        <v>12</v>
      </c>
      <c r="AA95" s="37">
        <f t="shared" si="11"/>
        <v>19</v>
      </c>
      <c r="AC95" s="18">
        <v>1</v>
      </c>
      <c r="AD95" s="18">
        <v>1</v>
      </c>
      <c r="AE95" s="18">
        <v>1</v>
      </c>
      <c r="AF95" s="18">
        <v>1</v>
      </c>
      <c r="AG95" s="18">
        <v>1</v>
      </c>
      <c r="AH95" s="18">
        <v>1</v>
      </c>
      <c r="AI95" s="4">
        <v>3</v>
      </c>
      <c r="AK95" s="154" t="s">
        <v>17</v>
      </c>
      <c r="AL95" s="154">
        <v>50</v>
      </c>
      <c r="AM95" s="154">
        <v>1</v>
      </c>
      <c r="AN95" s="154">
        <v>60</v>
      </c>
      <c r="AO95" s="154">
        <v>0</v>
      </c>
      <c r="AP95" s="154">
        <v>1</v>
      </c>
      <c r="AQ95" s="154">
        <v>50</v>
      </c>
      <c r="AR95" s="154">
        <v>1</v>
      </c>
      <c r="AS95" s="151">
        <v>4</v>
      </c>
    </row>
    <row r="96" spans="12:45">
      <c r="L96" s="15">
        <v>92</v>
      </c>
      <c r="M96" s="38" t="s">
        <v>64</v>
      </c>
      <c r="N96" s="38" t="s">
        <v>64</v>
      </c>
      <c r="O96" s="38" t="s">
        <v>28</v>
      </c>
      <c r="P96" s="38" t="s">
        <v>64</v>
      </c>
      <c r="Q96" s="38" t="s">
        <v>28</v>
      </c>
      <c r="R96" s="38" t="s">
        <v>64</v>
      </c>
      <c r="S96" s="24" t="s">
        <v>29</v>
      </c>
      <c r="U96" s="37">
        <f t="shared" si="12"/>
        <v>14</v>
      </c>
      <c r="V96" s="37">
        <f t="shared" si="12"/>
        <v>14</v>
      </c>
      <c r="W96" s="37">
        <f t="shared" si="12"/>
        <v>15</v>
      </c>
      <c r="X96" s="37">
        <f t="shared" si="11"/>
        <v>14</v>
      </c>
      <c r="Y96" s="37">
        <f t="shared" si="11"/>
        <v>15</v>
      </c>
      <c r="Z96" s="37">
        <f t="shared" si="11"/>
        <v>14</v>
      </c>
      <c r="AA96" s="37">
        <f t="shared" si="11"/>
        <v>19</v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4">
        <v>1</v>
      </c>
      <c r="AK96" s="154" t="s">
        <v>18</v>
      </c>
      <c r="AL96" s="154">
        <v>1</v>
      </c>
      <c r="AM96" s="154">
        <v>50</v>
      </c>
      <c r="AN96" s="154">
        <v>1</v>
      </c>
      <c r="AO96" s="154">
        <v>1</v>
      </c>
      <c r="AP96" s="154">
        <v>1</v>
      </c>
      <c r="AQ96" s="154">
        <v>50</v>
      </c>
      <c r="AR96" s="154">
        <v>1</v>
      </c>
      <c r="AS96" s="151">
        <v>5</v>
      </c>
    </row>
    <row r="97" spans="12:45">
      <c r="L97" s="14">
        <v>93</v>
      </c>
      <c r="M97" s="38" t="s">
        <v>24</v>
      </c>
      <c r="N97" s="38" t="s">
        <v>18</v>
      </c>
      <c r="O97" s="38" t="s">
        <v>29</v>
      </c>
      <c r="P97" s="38" t="s">
        <v>29</v>
      </c>
      <c r="Q97" s="38" t="s">
        <v>26</v>
      </c>
      <c r="R97" s="38" t="s">
        <v>64</v>
      </c>
      <c r="S97" s="24" t="s">
        <v>29</v>
      </c>
      <c r="U97" s="37">
        <f t="shared" si="12"/>
        <v>11</v>
      </c>
      <c r="V97" s="37">
        <f t="shared" si="12"/>
        <v>10</v>
      </c>
      <c r="W97" s="37">
        <f t="shared" si="12"/>
        <v>19</v>
      </c>
      <c r="X97" s="37">
        <f t="shared" si="11"/>
        <v>19</v>
      </c>
      <c r="Y97" s="37">
        <f t="shared" si="11"/>
        <v>7</v>
      </c>
      <c r="Z97" s="37">
        <f t="shared" si="11"/>
        <v>14</v>
      </c>
      <c r="AA97" s="37">
        <f t="shared" si="11"/>
        <v>19</v>
      </c>
      <c r="AC97" s="18">
        <v>1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1</v>
      </c>
      <c r="AK97" s="154" t="s">
        <v>64</v>
      </c>
      <c r="AL97" s="154">
        <v>60</v>
      </c>
      <c r="AM97" s="154">
        <v>1</v>
      </c>
      <c r="AN97" s="154">
        <v>50</v>
      </c>
      <c r="AO97" s="154">
        <v>1</v>
      </c>
      <c r="AP97" s="154">
        <v>50</v>
      </c>
      <c r="AQ97" s="154">
        <v>1</v>
      </c>
      <c r="AR97" s="154">
        <v>1</v>
      </c>
      <c r="AS97" s="151">
        <v>6</v>
      </c>
    </row>
    <row r="98" spans="12:45">
      <c r="L98" s="15">
        <v>94</v>
      </c>
      <c r="M98" s="38" t="s">
        <v>26</v>
      </c>
      <c r="N98" s="38" t="s">
        <v>224</v>
      </c>
      <c r="O98" s="38" t="s">
        <v>28</v>
      </c>
      <c r="P98" s="38" t="s">
        <v>29</v>
      </c>
      <c r="Q98" s="38" t="s">
        <v>26</v>
      </c>
      <c r="R98" s="38" t="s">
        <v>64</v>
      </c>
      <c r="S98" s="24" t="s">
        <v>28</v>
      </c>
      <c r="U98" s="37">
        <f t="shared" si="12"/>
        <v>7</v>
      </c>
      <c r="V98" s="37">
        <f t="shared" si="12"/>
        <v>0</v>
      </c>
      <c r="W98" s="37">
        <f t="shared" si="12"/>
        <v>15</v>
      </c>
      <c r="X98" s="37">
        <f t="shared" si="11"/>
        <v>19</v>
      </c>
      <c r="Y98" s="37">
        <f t="shared" si="11"/>
        <v>7</v>
      </c>
      <c r="Z98" s="37">
        <f t="shared" si="11"/>
        <v>14</v>
      </c>
      <c r="AA98" s="37">
        <f t="shared" si="11"/>
        <v>15</v>
      </c>
      <c r="AC98" s="18">
        <v>1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3</v>
      </c>
      <c r="AK98" s="154" t="s">
        <v>89</v>
      </c>
      <c r="AL98" s="154">
        <v>1</v>
      </c>
      <c r="AM98" s="154">
        <v>50</v>
      </c>
      <c r="AN98" s="154">
        <v>1</v>
      </c>
      <c r="AO98" s="154">
        <v>1</v>
      </c>
      <c r="AP98" s="154">
        <v>1</v>
      </c>
      <c r="AQ98" s="154">
        <v>50</v>
      </c>
      <c r="AR98" s="154">
        <v>1</v>
      </c>
      <c r="AS98" s="151">
        <v>7</v>
      </c>
    </row>
    <row r="99" spans="12:45">
      <c r="L99" s="14">
        <v>95</v>
      </c>
      <c r="M99" s="38" t="s">
        <v>26</v>
      </c>
      <c r="N99" s="38" t="s">
        <v>64</v>
      </c>
      <c r="O99" s="38" t="s">
        <v>28</v>
      </c>
      <c r="P99" s="38" t="s">
        <v>232</v>
      </c>
      <c r="Q99" s="38" t="s">
        <v>26</v>
      </c>
      <c r="R99" s="38" t="s">
        <v>29</v>
      </c>
      <c r="S99" s="24" t="s">
        <v>28</v>
      </c>
      <c r="U99" s="37">
        <f t="shared" si="12"/>
        <v>7</v>
      </c>
      <c r="V99" s="37">
        <f t="shared" si="12"/>
        <v>14</v>
      </c>
      <c r="W99" s="37">
        <f t="shared" si="12"/>
        <v>15</v>
      </c>
      <c r="X99" s="37">
        <f t="shared" si="11"/>
        <v>0</v>
      </c>
      <c r="Y99" s="37">
        <f t="shared" si="11"/>
        <v>7</v>
      </c>
      <c r="Z99" s="37">
        <f t="shared" si="11"/>
        <v>19</v>
      </c>
      <c r="AA99" s="37">
        <f t="shared" si="11"/>
        <v>15</v>
      </c>
      <c r="AC99" s="18">
        <v>1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1</v>
      </c>
      <c r="AK99" s="37" t="s">
        <v>24</v>
      </c>
      <c r="AL99" s="37">
        <v>0</v>
      </c>
      <c r="AM99" s="37">
        <v>1</v>
      </c>
      <c r="AN99" s="37">
        <v>40</v>
      </c>
      <c r="AO99" s="37">
        <v>1</v>
      </c>
      <c r="AP99" s="37">
        <v>50</v>
      </c>
      <c r="AQ99" s="37">
        <v>1</v>
      </c>
      <c r="AR99" s="37">
        <v>1</v>
      </c>
      <c r="AS99" s="4">
        <v>8</v>
      </c>
    </row>
    <row r="100" spans="12:45">
      <c r="L100" s="15">
        <v>96</v>
      </c>
      <c r="M100" s="38" t="s">
        <v>27</v>
      </c>
      <c r="N100" s="38" t="s">
        <v>64</v>
      </c>
      <c r="O100" s="38" t="s">
        <v>28</v>
      </c>
      <c r="P100" s="38" t="s">
        <v>89</v>
      </c>
      <c r="Q100" s="38" t="s">
        <v>89</v>
      </c>
      <c r="R100" s="38" t="s">
        <v>18</v>
      </c>
      <c r="S100" s="24" t="s">
        <v>28</v>
      </c>
      <c r="U100" s="37">
        <f t="shared" si="12"/>
        <v>12</v>
      </c>
      <c r="V100" s="37">
        <f t="shared" si="12"/>
        <v>14</v>
      </c>
      <c r="W100" s="37">
        <f t="shared" si="12"/>
        <v>15</v>
      </c>
      <c r="X100" s="37">
        <f t="shared" si="11"/>
        <v>7</v>
      </c>
      <c r="Y100" s="37">
        <f t="shared" si="11"/>
        <v>7</v>
      </c>
      <c r="Z100" s="37">
        <f t="shared" si="11"/>
        <v>10</v>
      </c>
      <c r="AA100" s="37">
        <f t="shared" si="11"/>
        <v>15</v>
      </c>
      <c r="AC100" s="18">
        <v>1</v>
      </c>
      <c r="AD100" s="18">
        <v>1</v>
      </c>
      <c r="AE100" s="18">
        <v>1</v>
      </c>
      <c r="AF100" s="18">
        <v>1</v>
      </c>
      <c r="AG100" s="18">
        <v>1</v>
      </c>
      <c r="AH100" s="18">
        <v>1</v>
      </c>
      <c r="AI100" s="4">
        <v>1</v>
      </c>
      <c r="AK100" s="37" t="s">
        <v>26</v>
      </c>
      <c r="AL100" s="37">
        <v>1</v>
      </c>
      <c r="AM100" s="37">
        <v>1</v>
      </c>
      <c r="AN100" s="37">
        <v>1</v>
      </c>
      <c r="AO100" s="37">
        <v>50</v>
      </c>
      <c r="AP100" s="37">
        <v>1</v>
      </c>
      <c r="AQ100" s="37">
        <v>50</v>
      </c>
      <c r="AR100" s="37">
        <v>1</v>
      </c>
      <c r="AS100" s="4">
        <v>9</v>
      </c>
    </row>
    <row r="101" spans="12:45">
      <c r="L101" s="14">
        <v>97</v>
      </c>
      <c r="M101" s="38" t="s">
        <v>29</v>
      </c>
      <c r="N101" s="38" t="s">
        <v>21</v>
      </c>
      <c r="O101" s="38" t="s">
        <v>24</v>
      </c>
      <c r="P101" s="38" t="s">
        <v>89</v>
      </c>
      <c r="Q101" s="38" t="s">
        <v>18</v>
      </c>
      <c r="R101" s="38" t="s">
        <v>18</v>
      </c>
      <c r="S101" s="24" t="s">
        <v>29</v>
      </c>
      <c r="U101" s="37">
        <f t="shared" si="12"/>
        <v>19</v>
      </c>
      <c r="V101" s="37">
        <f t="shared" si="12"/>
        <v>12</v>
      </c>
      <c r="W101" s="37">
        <f t="shared" si="12"/>
        <v>11</v>
      </c>
      <c r="X101" s="37">
        <f t="shared" si="11"/>
        <v>7</v>
      </c>
      <c r="Y101" s="37">
        <f t="shared" si="11"/>
        <v>10</v>
      </c>
      <c r="Z101" s="37">
        <f t="shared" si="11"/>
        <v>10</v>
      </c>
      <c r="AA101" s="37">
        <f t="shared" si="11"/>
        <v>19</v>
      </c>
      <c r="AC101" s="18">
        <v>1</v>
      </c>
      <c r="AD101" s="18">
        <v>1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20</v>
      </c>
      <c r="AM101" s="37">
        <v>1</v>
      </c>
      <c r="AN101" s="37">
        <v>15</v>
      </c>
      <c r="AO101" s="37">
        <v>1</v>
      </c>
      <c r="AP101" s="37">
        <v>1</v>
      </c>
      <c r="AQ101" s="37">
        <v>1</v>
      </c>
      <c r="AR101" s="37">
        <v>2</v>
      </c>
      <c r="AS101" s="4">
        <v>10</v>
      </c>
    </row>
    <row r="102" spans="12:45">
      <c r="L102" s="15">
        <v>98</v>
      </c>
      <c r="M102" s="38" t="s">
        <v>17</v>
      </c>
      <c r="N102" s="38" t="s">
        <v>89</v>
      </c>
      <c r="O102" s="38" t="s">
        <v>27</v>
      </c>
      <c r="P102" s="38" t="s">
        <v>27</v>
      </c>
      <c r="Q102" s="38" t="s">
        <v>28</v>
      </c>
      <c r="R102" s="38" t="s">
        <v>29</v>
      </c>
      <c r="S102" s="24" t="s">
        <v>18</v>
      </c>
      <c r="U102" s="37">
        <f t="shared" si="12"/>
        <v>14</v>
      </c>
      <c r="V102" s="37">
        <f t="shared" si="12"/>
        <v>7</v>
      </c>
      <c r="W102" s="37">
        <f t="shared" si="12"/>
        <v>12</v>
      </c>
      <c r="X102" s="37">
        <f t="shared" si="11"/>
        <v>12</v>
      </c>
      <c r="Y102" s="37">
        <f t="shared" si="11"/>
        <v>15</v>
      </c>
      <c r="Z102" s="37">
        <f t="shared" si="11"/>
        <v>19</v>
      </c>
      <c r="AA102" s="37">
        <f t="shared" si="11"/>
        <v>10</v>
      </c>
      <c r="AC102" s="18">
        <v>1</v>
      </c>
      <c r="AD102" s="18">
        <v>1</v>
      </c>
      <c r="AE102" s="18">
        <v>1</v>
      </c>
      <c r="AF102" s="18">
        <v>1</v>
      </c>
      <c r="AG102" s="18">
        <v>1</v>
      </c>
      <c r="AH102" s="18">
        <v>1</v>
      </c>
      <c r="AI102" s="4">
        <v>3</v>
      </c>
      <c r="AK102" s="37" t="s">
        <v>28</v>
      </c>
      <c r="AL102" s="37">
        <v>1</v>
      </c>
      <c r="AM102" s="37">
        <v>50</v>
      </c>
      <c r="AN102" s="37">
        <v>1</v>
      </c>
      <c r="AO102" s="37">
        <v>1</v>
      </c>
      <c r="AP102" s="37">
        <v>1</v>
      </c>
      <c r="AQ102" s="37">
        <v>1</v>
      </c>
      <c r="AR102" s="37">
        <v>1</v>
      </c>
      <c r="AS102" s="4">
        <v>11</v>
      </c>
    </row>
    <row r="103" spans="12:45">
      <c r="L103" s="14">
        <v>99</v>
      </c>
      <c r="M103" s="38" t="s">
        <v>28</v>
      </c>
      <c r="N103" s="38" t="s">
        <v>232</v>
      </c>
      <c r="O103" s="38" t="s">
        <v>26</v>
      </c>
      <c r="P103" s="38" t="s">
        <v>27</v>
      </c>
      <c r="Q103" s="38" t="s">
        <v>28</v>
      </c>
      <c r="R103" s="38" t="s">
        <v>29</v>
      </c>
      <c r="S103" s="24" t="s">
        <v>18</v>
      </c>
      <c r="U103" s="37">
        <f t="shared" si="12"/>
        <v>15</v>
      </c>
      <c r="V103" s="37">
        <f t="shared" si="12"/>
        <v>0</v>
      </c>
      <c r="W103" s="37">
        <f t="shared" si="12"/>
        <v>7</v>
      </c>
      <c r="X103" s="37">
        <f t="shared" si="11"/>
        <v>12</v>
      </c>
      <c r="Y103" s="37">
        <f t="shared" si="11"/>
        <v>15</v>
      </c>
      <c r="Z103" s="37">
        <f t="shared" si="11"/>
        <v>19</v>
      </c>
      <c r="AA103" s="37">
        <f t="shared" si="11"/>
        <v>10</v>
      </c>
      <c r="AC103" s="18">
        <v>1</v>
      </c>
      <c r="AD103" s="18">
        <v>1</v>
      </c>
      <c r="AE103" s="18">
        <v>1</v>
      </c>
      <c r="AF103" s="18">
        <v>1</v>
      </c>
      <c r="AG103" s="18">
        <v>1</v>
      </c>
      <c r="AH103" s="18">
        <v>1</v>
      </c>
      <c r="AI103" s="4">
        <v>1</v>
      </c>
      <c r="AK103" s="37" t="s">
        <v>29</v>
      </c>
      <c r="AL103" s="37">
        <v>50</v>
      </c>
      <c r="AM103" s="37">
        <v>1</v>
      </c>
      <c r="AN103" s="37">
        <v>1</v>
      </c>
      <c r="AO103" s="37">
        <v>1</v>
      </c>
      <c r="AP103" s="37">
        <v>1</v>
      </c>
      <c r="AQ103" s="37">
        <v>1</v>
      </c>
      <c r="AR103" s="37">
        <v>1</v>
      </c>
      <c r="AS103" s="4">
        <v>12</v>
      </c>
    </row>
    <row r="104" spans="12:45">
      <c r="L104" s="15">
        <v>100</v>
      </c>
      <c r="M104" s="38" t="s">
        <v>89</v>
      </c>
      <c r="N104" s="38" t="s">
        <v>64</v>
      </c>
      <c r="O104" s="38" t="s">
        <v>26</v>
      </c>
      <c r="P104" s="38" t="s">
        <v>238</v>
      </c>
      <c r="Q104" s="38" t="s">
        <v>18</v>
      </c>
      <c r="R104" s="38" t="s">
        <v>64</v>
      </c>
      <c r="S104" s="24" t="s">
        <v>18</v>
      </c>
      <c r="U104" s="37">
        <f t="shared" si="12"/>
        <v>7</v>
      </c>
      <c r="V104" s="37">
        <f t="shared" si="12"/>
        <v>14</v>
      </c>
      <c r="W104" s="37">
        <f t="shared" si="12"/>
        <v>7</v>
      </c>
      <c r="X104" s="37">
        <f t="shared" si="11"/>
        <v>0</v>
      </c>
      <c r="Y104" s="37">
        <f t="shared" si="11"/>
        <v>10</v>
      </c>
      <c r="Z104" s="37">
        <f t="shared" si="11"/>
        <v>14</v>
      </c>
      <c r="AA104" s="37">
        <f t="shared" si="11"/>
        <v>10</v>
      </c>
      <c r="AC104" s="18">
        <v>1</v>
      </c>
      <c r="AD104" s="18">
        <v>1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4" t="s">
        <v>222</v>
      </c>
      <c r="AL104" s="154">
        <v>0</v>
      </c>
      <c r="AM104" s="154">
        <v>2</v>
      </c>
      <c r="AN104" s="154">
        <v>2</v>
      </c>
      <c r="AO104" s="154">
        <v>1</v>
      </c>
      <c r="AP104" s="154">
        <v>2</v>
      </c>
      <c r="AQ104" s="154">
        <v>0</v>
      </c>
      <c r="AR104" s="154">
        <v>0</v>
      </c>
      <c r="AS104" s="151">
        <v>13</v>
      </c>
    </row>
    <row r="105" spans="12:45">
      <c r="L105" s="14">
        <v>101</v>
      </c>
      <c r="M105" s="38" t="s">
        <v>89</v>
      </c>
      <c r="N105" s="38" t="s">
        <v>69</v>
      </c>
      <c r="O105" s="38" t="s">
        <v>28</v>
      </c>
      <c r="P105" s="38" t="s">
        <v>64</v>
      </c>
      <c r="Q105" s="38" t="s">
        <v>240</v>
      </c>
      <c r="R105" s="38" t="s">
        <v>64</v>
      </c>
      <c r="S105" s="24" t="s">
        <v>28</v>
      </c>
      <c r="U105" s="37">
        <f t="shared" si="12"/>
        <v>7</v>
      </c>
      <c r="V105" s="37">
        <f t="shared" si="12"/>
        <v>0</v>
      </c>
      <c r="W105" s="37">
        <f t="shared" si="12"/>
        <v>15</v>
      </c>
      <c r="X105" s="37">
        <f t="shared" si="11"/>
        <v>14</v>
      </c>
      <c r="Y105" s="37">
        <f t="shared" si="11"/>
        <v>0</v>
      </c>
      <c r="Z105" s="37">
        <f t="shared" si="11"/>
        <v>14</v>
      </c>
      <c r="AA105" s="37">
        <f t="shared" si="11"/>
        <v>15</v>
      </c>
      <c r="AC105" s="18">
        <v>1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1</v>
      </c>
      <c r="AK105" s="154" t="s">
        <v>224</v>
      </c>
      <c r="AL105" s="154">
        <v>0</v>
      </c>
      <c r="AM105" s="154">
        <v>1</v>
      </c>
      <c r="AN105" s="154">
        <v>1</v>
      </c>
      <c r="AO105" s="154">
        <v>2</v>
      </c>
      <c r="AP105" s="154">
        <v>1</v>
      </c>
      <c r="AQ105" s="154">
        <v>0</v>
      </c>
      <c r="AR105" s="154">
        <v>0</v>
      </c>
      <c r="AS105" s="151">
        <v>14</v>
      </c>
    </row>
    <row r="106" spans="12:45">
      <c r="L106" s="15">
        <v>102</v>
      </c>
      <c r="M106" s="38" t="s">
        <v>26</v>
      </c>
      <c r="N106" s="38" t="s">
        <v>256</v>
      </c>
      <c r="O106" s="38" t="s">
        <v>28</v>
      </c>
      <c r="P106" s="38" t="s">
        <v>24</v>
      </c>
      <c r="Q106" s="38" t="s">
        <v>28</v>
      </c>
      <c r="R106" s="38" t="s">
        <v>27</v>
      </c>
      <c r="S106" s="24" t="s">
        <v>28</v>
      </c>
      <c r="U106" s="37">
        <f t="shared" si="12"/>
        <v>7</v>
      </c>
      <c r="V106" s="37">
        <f t="shared" si="12"/>
        <v>0</v>
      </c>
      <c r="W106" s="37">
        <f t="shared" si="12"/>
        <v>15</v>
      </c>
      <c r="X106" s="37">
        <f t="shared" si="11"/>
        <v>11</v>
      </c>
      <c r="Y106" s="37">
        <f t="shared" si="11"/>
        <v>15</v>
      </c>
      <c r="Z106" s="37">
        <f t="shared" si="11"/>
        <v>12</v>
      </c>
      <c r="AA106" s="37">
        <f t="shared" si="11"/>
        <v>15</v>
      </c>
      <c r="AC106" s="18">
        <v>1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1</v>
      </c>
      <c r="AK106" s="154" t="s">
        <v>226</v>
      </c>
      <c r="AL106" s="154">
        <v>0</v>
      </c>
      <c r="AM106" s="154">
        <v>2</v>
      </c>
      <c r="AN106" s="154">
        <v>2</v>
      </c>
      <c r="AO106" s="154">
        <v>1</v>
      </c>
      <c r="AP106" s="154">
        <v>1</v>
      </c>
      <c r="AQ106" s="154">
        <v>0</v>
      </c>
      <c r="AR106" s="154">
        <v>0</v>
      </c>
      <c r="AS106" s="151">
        <v>15</v>
      </c>
    </row>
    <row r="107" spans="12:45">
      <c r="L107" s="14">
        <v>103</v>
      </c>
      <c r="M107" s="38" t="s">
        <v>27</v>
      </c>
      <c r="N107" s="38" t="s">
        <v>64</v>
      </c>
      <c r="O107" s="38" t="s">
        <v>29</v>
      </c>
      <c r="P107" s="38" t="s">
        <v>27</v>
      </c>
      <c r="Q107" s="38" t="s">
        <v>28</v>
      </c>
      <c r="R107" s="38" t="s">
        <v>27</v>
      </c>
      <c r="S107" s="24" t="s">
        <v>21</v>
      </c>
      <c r="U107" s="37">
        <f t="shared" si="12"/>
        <v>12</v>
      </c>
      <c r="V107" s="37">
        <f t="shared" si="12"/>
        <v>14</v>
      </c>
      <c r="W107" s="37">
        <f t="shared" si="12"/>
        <v>19</v>
      </c>
      <c r="X107" s="37">
        <f t="shared" si="11"/>
        <v>12</v>
      </c>
      <c r="Y107" s="37">
        <f t="shared" si="11"/>
        <v>15</v>
      </c>
      <c r="Z107" s="37">
        <f t="shared" si="11"/>
        <v>12</v>
      </c>
      <c r="AA107" s="37">
        <f t="shared" si="11"/>
        <v>12</v>
      </c>
      <c r="AC107" s="18">
        <v>1</v>
      </c>
      <c r="AD107" s="18">
        <v>1</v>
      </c>
      <c r="AE107" s="18">
        <v>1</v>
      </c>
      <c r="AF107" s="18">
        <v>1</v>
      </c>
      <c r="AG107" s="18">
        <v>1</v>
      </c>
      <c r="AH107" s="18">
        <v>1</v>
      </c>
      <c r="AI107" s="4">
        <v>1</v>
      </c>
      <c r="AK107" s="154" t="s">
        <v>228</v>
      </c>
      <c r="AL107" s="154">
        <v>0</v>
      </c>
      <c r="AM107" s="154">
        <v>1</v>
      </c>
      <c r="AN107" s="154">
        <v>1</v>
      </c>
      <c r="AO107" s="154">
        <v>1</v>
      </c>
      <c r="AP107" s="154">
        <v>1</v>
      </c>
      <c r="AQ107" s="154">
        <v>0</v>
      </c>
      <c r="AR107" s="154">
        <v>0</v>
      </c>
      <c r="AS107" s="151">
        <v>16</v>
      </c>
    </row>
    <row r="108" spans="12:45">
      <c r="L108" s="15">
        <v>104</v>
      </c>
      <c r="M108" s="38" t="s">
        <v>26</v>
      </c>
      <c r="N108" s="38" t="s">
        <v>64</v>
      </c>
      <c r="O108" s="38" t="s">
        <v>21</v>
      </c>
      <c r="P108" s="38" t="s">
        <v>27</v>
      </c>
      <c r="Q108" s="38" t="s">
        <v>89</v>
      </c>
      <c r="R108" s="38" t="s">
        <v>29</v>
      </c>
      <c r="S108" s="24" t="s">
        <v>21</v>
      </c>
      <c r="U108" s="37">
        <f t="shared" si="12"/>
        <v>7</v>
      </c>
      <c r="V108" s="37">
        <f t="shared" si="12"/>
        <v>14</v>
      </c>
      <c r="W108" s="37">
        <f t="shared" si="12"/>
        <v>12</v>
      </c>
      <c r="X108" s="37">
        <f t="shared" si="11"/>
        <v>12</v>
      </c>
      <c r="Y108" s="37">
        <f t="shared" si="11"/>
        <v>7</v>
      </c>
      <c r="Z108" s="37">
        <f t="shared" si="11"/>
        <v>19</v>
      </c>
      <c r="AA108" s="37">
        <f t="shared" si="11"/>
        <v>12</v>
      </c>
      <c r="AC108" s="18">
        <v>1</v>
      </c>
      <c r="AD108" s="18">
        <v>1</v>
      </c>
      <c r="AE108" s="18">
        <v>1</v>
      </c>
      <c r="AF108" s="18">
        <v>1</v>
      </c>
      <c r="AG108" s="18">
        <v>1</v>
      </c>
      <c r="AH108" s="18">
        <v>1</v>
      </c>
      <c r="AI108" s="4">
        <v>1</v>
      </c>
      <c r="AK108" s="154" t="s">
        <v>230</v>
      </c>
      <c r="AL108" s="154">
        <v>0</v>
      </c>
      <c r="AM108" s="154">
        <v>2</v>
      </c>
      <c r="AN108" s="154">
        <v>2</v>
      </c>
      <c r="AO108" s="154">
        <v>1</v>
      </c>
      <c r="AP108" s="154">
        <v>2</v>
      </c>
      <c r="AQ108" s="154">
        <v>0</v>
      </c>
      <c r="AR108" s="154">
        <v>0</v>
      </c>
      <c r="AS108" s="151">
        <v>17</v>
      </c>
    </row>
    <row r="109" spans="12:45">
      <c r="L109" s="14">
        <v>105</v>
      </c>
      <c r="M109" s="38" t="s">
        <v>29</v>
      </c>
      <c r="N109" s="38" t="s">
        <v>29</v>
      </c>
      <c r="O109" s="38" t="s">
        <v>21</v>
      </c>
      <c r="P109" s="38" t="s">
        <v>17</v>
      </c>
      <c r="Q109" s="38" t="s">
        <v>28</v>
      </c>
      <c r="R109" s="38" t="s">
        <v>29</v>
      </c>
      <c r="S109" s="24" t="s">
        <v>29</v>
      </c>
      <c r="U109" s="37">
        <f t="shared" si="12"/>
        <v>19</v>
      </c>
      <c r="V109" s="37">
        <f t="shared" si="12"/>
        <v>19</v>
      </c>
      <c r="W109" s="37">
        <f t="shared" si="12"/>
        <v>12</v>
      </c>
      <c r="X109" s="37">
        <f t="shared" si="11"/>
        <v>14</v>
      </c>
      <c r="Y109" s="37">
        <f t="shared" si="11"/>
        <v>15</v>
      </c>
      <c r="Z109" s="37">
        <f t="shared" si="11"/>
        <v>19</v>
      </c>
      <c r="AA109" s="37">
        <f t="shared" si="11"/>
        <v>19</v>
      </c>
      <c r="AC109" s="18">
        <v>1</v>
      </c>
      <c r="AD109" s="18">
        <v>1</v>
      </c>
      <c r="AE109" s="18">
        <v>1</v>
      </c>
      <c r="AF109" s="18">
        <v>1</v>
      </c>
      <c r="AG109" s="18">
        <v>1</v>
      </c>
      <c r="AH109" s="18">
        <v>1</v>
      </c>
      <c r="AI109" s="4">
        <v>3</v>
      </c>
      <c r="AK109" s="154" t="s">
        <v>232</v>
      </c>
      <c r="AL109" s="154">
        <v>0</v>
      </c>
      <c r="AM109" s="154">
        <v>2</v>
      </c>
      <c r="AN109" s="154">
        <v>2</v>
      </c>
      <c r="AO109" s="154">
        <v>1</v>
      </c>
      <c r="AP109" s="154">
        <v>2</v>
      </c>
      <c r="AQ109" s="154">
        <v>0</v>
      </c>
      <c r="AR109" s="154">
        <v>0</v>
      </c>
      <c r="AS109" s="151">
        <v>18</v>
      </c>
    </row>
    <row r="110" spans="12:45">
      <c r="L110" s="15">
        <v>106</v>
      </c>
      <c r="M110" s="38" t="s">
        <v>29</v>
      </c>
      <c r="N110" s="38" t="s">
        <v>27</v>
      </c>
      <c r="O110" s="38" t="s">
        <v>28</v>
      </c>
      <c r="P110" s="38" t="s">
        <v>64</v>
      </c>
      <c r="Q110" s="38" t="s">
        <v>29</v>
      </c>
      <c r="R110" s="38" t="s">
        <v>24</v>
      </c>
      <c r="S110" s="24" t="s">
        <v>29</v>
      </c>
      <c r="U110" s="37">
        <f t="shared" si="12"/>
        <v>19</v>
      </c>
      <c r="V110" s="37">
        <f t="shared" si="12"/>
        <v>12</v>
      </c>
      <c r="W110" s="37">
        <f t="shared" si="12"/>
        <v>15</v>
      </c>
      <c r="X110" s="37">
        <f t="shared" si="11"/>
        <v>14</v>
      </c>
      <c r="Y110" s="37">
        <f t="shared" si="11"/>
        <v>19</v>
      </c>
      <c r="Z110" s="37">
        <f t="shared" si="11"/>
        <v>11</v>
      </c>
      <c r="AA110" s="37">
        <f t="shared" si="11"/>
        <v>19</v>
      </c>
      <c r="AC110" s="18">
        <v>1</v>
      </c>
      <c r="AD110" s="18">
        <v>1</v>
      </c>
      <c r="AE110" s="18">
        <v>1</v>
      </c>
      <c r="AF110" s="18">
        <v>1</v>
      </c>
      <c r="AG110" s="18">
        <v>1</v>
      </c>
      <c r="AH110" s="18">
        <v>1</v>
      </c>
      <c r="AI110" s="4">
        <v>1</v>
      </c>
      <c r="AK110" s="37" t="s">
        <v>234</v>
      </c>
      <c r="AL110" s="37">
        <v>0</v>
      </c>
      <c r="AM110" s="37">
        <v>2</v>
      </c>
      <c r="AN110" s="37">
        <v>1</v>
      </c>
      <c r="AO110" s="37">
        <v>1</v>
      </c>
      <c r="AP110" s="37">
        <v>2</v>
      </c>
      <c r="AQ110" s="37">
        <v>0</v>
      </c>
      <c r="AR110" s="37">
        <v>0</v>
      </c>
      <c r="AS110" s="4">
        <v>19</v>
      </c>
    </row>
    <row r="111" spans="12:45">
      <c r="L111" s="14">
        <v>107</v>
      </c>
      <c r="M111" s="38" t="s">
        <v>17</v>
      </c>
      <c r="N111" s="38" t="s">
        <v>27</v>
      </c>
      <c r="O111" s="38" t="s">
        <v>28</v>
      </c>
      <c r="P111" s="38" t="s">
        <v>28</v>
      </c>
      <c r="Q111" s="38" t="s">
        <v>18</v>
      </c>
      <c r="R111" s="38" t="s">
        <v>24</v>
      </c>
      <c r="S111" s="24" t="s">
        <v>29</v>
      </c>
      <c r="U111" s="37">
        <f t="shared" si="12"/>
        <v>14</v>
      </c>
      <c r="V111" s="37">
        <f t="shared" si="12"/>
        <v>12</v>
      </c>
      <c r="W111" s="37">
        <f t="shared" si="12"/>
        <v>15</v>
      </c>
      <c r="X111" s="37">
        <f t="shared" si="11"/>
        <v>15</v>
      </c>
      <c r="Y111" s="37">
        <f t="shared" si="11"/>
        <v>10</v>
      </c>
      <c r="Z111" s="37">
        <f t="shared" si="11"/>
        <v>11</v>
      </c>
      <c r="AA111" s="37">
        <f t="shared" si="11"/>
        <v>19</v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0</v>
      </c>
      <c r="AM111" s="37">
        <v>2</v>
      </c>
      <c r="AN111" s="37">
        <v>1</v>
      </c>
      <c r="AO111" s="37">
        <v>2</v>
      </c>
      <c r="AP111" s="37">
        <v>1</v>
      </c>
      <c r="AQ111" s="37">
        <v>0</v>
      </c>
      <c r="AR111" s="37">
        <v>0</v>
      </c>
      <c r="AS111" s="4">
        <v>20</v>
      </c>
    </row>
    <row r="112" spans="12:45">
      <c r="L112" s="15">
        <v>108</v>
      </c>
      <c r="M112" s="38" t="s">
        <v>27</v>
      </c>
      <c r="N112" s="38" t="s">
        <v>21</v>
      </c>
      <c r="O112" s="38" t="s">
        <v>28</v>
      </c>
      <c r="P112" s="38" t="s">
        <v>29</v>
      </c>
      <c r="Q112" s="38" t="s">
        <v>232</v>
      </c>
      <c r="R112" s="38" t="s">
        <v>29</v>
      </c>
      <c r="S112" s="24" t="s">
        <v>28</v>
      </c>
      <c r="U112" s="37">
        <f t="shared" si="12"/>
        <v>12</v>
      </c>
      <c r="V112" s="37">
        <f t="shared" si="12"/>
        <v>12</v>
      </c>
      <c r="W112" s="37">
        <f t="shared" si="12"/>
        <v>15</v>
      </c>
      <c r="X112" s="37">
        <f t="shared" si="11"/>
        <v>19</v>
      </c>
      <c r="Y112" s="37">
        <f t="shared" si="11"/>
        <v>0</v>
      </c>
      <c r="Z112" s="37">
        <f t="shared" si="11"/>
        <v>19</v>
      </c>
      <c r="AA112" s="37">
        <f t="shared" si="11"/>
        <v>15</v>
      </c>
      <c r="AC112" s="18">
        <v>1</v>
      </c>
      <c r="AD112" s="18">
        <v>1</v>
      </c>
      <c r="AE112" s="18">
        <v>1</v>
      </c>
      <c r="AF112" s="18">
        <v>1</v>
      </c>
      <c r="AG112" s="18">
        <v>1</v>
      </c>
      <c r="AH112" s="18">
        <v>1</v>
      </c>
      <c r="AI112" s="4">
        <v>3</v>
      </c>
      <c r="AK112" s="37" t="s">
        <v>238</v>
      </c>
      <c r="AL112" s="37">
        <v>0</v>
      </c>
      <c r="AM112" s="37">
        <v>2</v>
      </c>
      <c r="AN112" s="37">
        <v>2</v>
      </c>
      <c r="AO112" s="37">
        <v>1</v>
      </c>
      <c r="AP112" s="37">
        <v>1</v>
      </c>
      <c r="AQ112" s="37">
        <v>0</v>
      </c>
      <c r="AR112" s="37">
        <v>0</v>
      </c>
      <c r="AS112" s="4">
        <v>21</v>
      </c>
    </row>
    <row r="113" spans="12:46">
      <c r="L113" s="14">
        <v>109</v>
      </c>
      <c r="M113" s="38" t="s">
        <v>27</v>
      </c>
      <c r="N113" s="38" t="s">
        <v>24</v>
      </c>
      <c r="O113" s="38" t="s">
        <v>24</v>
      </c>
      <c r="P113" s="38" t="s">
        <v>64</v>
      </c>
      <c r="Q113" s="38" t="s">
        <v>89</v>
      </c>
      <c r="R113" s="38" t="s">
        <v>29</v>
      </c>
      <c r="S113" s="38" t="s">
        <v>28</v>
      </c>
      <c r="U113" s="37">
        <f t="shared" si="12"/>
        <v>12</v>
      </c>
      <c r="V113" s="37">
        <f t="shared" si="12"/>
        <v>11</v>
      </c>
      <c r="W113" s="37">
        <f t="shared" si="12"/>
        <v>11</v>
      </c>
      <c r="X113" s="37">
        <f t="shared" si="11"/>
        <v>14</v>
      </c>
      <c r="Y113" s="37">
        <f t="shared" si="11"/>
        <v>7</v>
      </c>
      <c r="Z113" s="37">
        <f t="shared" si="11"/>
        <v>19</v>
      </c>
      <c r="AA113" s="37">
        <f t="shared" si="11"/>
        <v>15</v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4">
        <v>1</v>
      </c>
      <c r="AK113" s="37" t="s">
        <v>240</v>
      </c>
      <c r="AL113" s="37">
        <v>0</v>
      </c>
      <c r="AM113" s="37">
        <v>1</v>
      </c>
      <c r="AN113" s="37">
        <v>1</v>
      </c>
      <c r="AO113" s="37">
        <v>1</v>
      </c>
      <c r="AP113" s="37">
        <v>1</v>
      </c>
      <c r="AQ113" s="37">
        <v>0</v>
      </c>
      <c r="AR113" s="37">
        <v>0</v>
      </c>
      <c r="AS113" s="4">
        <v>22</v>
      </c>
    </row>
    <row r="114" spans="12:46">
      <c r="L114" s="15">
        <v>110</v>
      </c>
      <c r="M114" s="38" t="s">
        <v>28</v>
      </c>
      <c r="N114" s="38" t="s">
        <v>64</v>
      </c>
      <c r="O114" s="38" t="s">
        <v>24</v>
      </c>
      <c r="P114" s="38" t="s">
        <v>64</v>
      </c>
      <c r="Q114" s="38" t="s">
        <v>28</v>
      </c>
      <c r="R114" s="38" t="s">
        <v>27</v>
      </c>
      <c r="S114" s="24" t="s">
        <v>28</v>
      </c>
      <c r="U114" s="37">
        <f t="shared" si="12"/>
        <v>15</v>
      </c>
      <c r="V114" s="37">
        <f t="shared" si="12"/>
        <v>14</v>
      </c>
      <c r="W114" s="37">
        <f t="shared" si="12"/>
        <v>11</v>
      </c>
      <c r="X114" s="37">
        <f t="shared" si="11"/>
        <v>14</v>
      </c>
      <c r="Y114" s="37">
        <f t="shared" si="11"/>
        <v>15</v>
      </c>
      <c r="Z114" s="37">
        <f t="shared" si="11"/>
        <v>12</v>
      </c>
      <c r="AA114" s="37">
        <f t="shared" si="11"/>
        <v>15</v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0</v>
      </c>
      <c r="AM114" s="37">
        <v>2</v>
      </c>
      <c r="AN114" s="37">
        <v>1</v>
      </c>
      <c r="AO114" s="37">
        <v>1</v>
      </c>
      <c r="AP114" s="37">
        <v>1</v>
      </c>
      <c r="AQ114" s="37">
        <v>0</v>
      </c>
      <c r="AR114" s="37">
        <v>0</v>
      </c>
      <c r="AS114" s="4">
        <v>23</v>
      </c>
    </row>
    <row r="115" spans="12:46">
      <c r="L115" s="14">
        <v>111</v>
      </c>
      <c r="M115" s="38" t="s">
        <v>89</v>
      </c>
      <c r="N115" s="38" t="s">
        <v>27</v>
      </c>
      <c r="O115" s="38" t="s">
        <v>240</v>
      </c>
      <c r="P115" s="38" t="s">
        <v>26</v>
      </c>
      <c r="Q115" s="38" t="s">
        <v>89</v>
      </c>
      <c r="R115" s="38" t="s">
        <v>24</v>
      </c>
      <c r="S115" s="24" t="s">
        <v>21</v>
      </c>
      <c r="U115" s="37">
        <f t="shared" si="12"/>
        <v>7</v>
      </c>
      <c r="V115" s="37">
        <f t="shared" si="12"/>
        <v>12</v>
      </c>
      <c r="W115" s="37">
        <f t="shared" si="12"/>
        <v>0</v>
      </c>
      <c r="X115" s="37">
        <f t="shared" si="11"/>
        <v>7</v>
      </c>
      <c r="Y115" s="37">
        <f t="shared" si="11"/>
        <v>7</v>
      </c>
      <c r="Z115" s="37">
        <f t="shared" si="11"/>
        <v>11</v>
      </c>
      <c r="AA115" s="37">
        <f t="shared" si="11"/>
        <v>12</v>
      </c>
      <c r="AC115" s="18">
        <v>1</v>
      </c>
      <c r="AD115" s="18">
        <v>1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4" t="s">
        <v>94</v>
      </c>
      <c r="AL115" s="154">
        <v>0</v>
      </c>
      <c r="AM115" s="154">
        <v>2</v>
      </c>
      <c r="AN115" s="154">
        <v>2</v>
      </c>
      <c r="AO115" s="154">
        <v>2</v>
      </c>
      <c r="AP115" s="154">
        <v>2</v>
      </c>
      <c r="AQ115" s="154">
        <v>0</v>
      </c>
      <c r="AR115" s="154">
        <v>0</v>
      </c>
      <c r="AS115" s="151">
        <v>24</v>
      </c>
    </row>
    <row r="116" spans="12:46">
      <c r="L116" s="15">
        <v>112</v>
      </c>
      <c r="M116" s="38" t="s">
        <v>29</v>
      </c>
      <c r="N116" s="38" t="s">
        <v>27</v>
      </c>
      <c r="O116" s="38" t="s">
        <v>28</v>
      </c>
      <c r="P116" s="38" t="s">
        <v>242</v>
      </c>
      <c r="Q116" s="38" t="s">
        <v>89</v>
      </c>
      <c r="R116" s="38" t="s">
        <v>27</v>
      </c>
      <c r="S116" s="24" t="s">
        <v>21</v>
      </c>
      <c r="U116" s="37">
        <f t="shared" si="12"/>
        <v>19</v>
      </c>
      <c r="V116" s="37">
        <f t="shared" si="12"/>
        <v>12</v>
      </c>
      <c r="W116" s="37">
        <f t="shared" si="12"/>
        <v>15</v>
      </c>
      <c r="X116" s="37">
        <f t="shared" si="11"/>
        <v>0</v>
      </c>
      <c r="Y116" s="37">
        <f t="shared" si="11"/>
        <v>7</v>
      </c>
      <c r="Z116" s="37">
        <f t="shared" si="11"/>
        <v>12</v>
      </c>
      <c r="AA116" s="37">
        <f t="shared" si="11"/>
        <v>12</v>
      </c>
      <c r="AC116" s="18">
        <v>1</v>
      </c>
      <c r="AD116" s="18">
        <v>1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4" t="s">
        <v>257</v>
      </c>
      <c r="AL116" s="154">
        <v>0</v>
      </c>
      <c r="AM116" s="154">
        <v>0</v>
      </c>
      <c r="AN116" s="154">
        <v>0</v>
      </c>
      <c r="AO116" s="154">
        <v>0</v>
      </c>
      <c r="AP116" s="154">
        <v>0</v>
      </c>
      <c r="AQ116" s="154">
        <v>0</v>
      </c>
      <c r="AR116" s="154">
        <v>0</v>
      </c>
      <c r="AS116" s="151">
        <v>25</v>
      </c>
    </row>
    <row r="117" spans="12:46">
      <c r="L117" s="14">
        <v>113</v>
      </c>
      <c r="M117" s="38" t="s">
        <v>29</v>
      </c>
      <c r="N117" s="38" t="s">
        <v>21</v>
      </c>
      <c r="O117" s="38" t="s">
        <v>24</v>
      </c>
      <c r="P117" s="38" t="s">
        <v>28</v>
      </c>
      <c r="Q117" s="38" t="s">
        <v>89</v>
      </c>
      <c r="R117" s="38" t="s">
        <v>27</v>
      </c>
      <c r="S117" s="24" t="s">
        <v>27</v>
      </c>
      <c r="U117" s="37">
        <f t="shared" si="12"/>
        <v>19</v>
      </c>
      <c r="V117" s="37">
        <f t="shared" si="12"/>
        <v>12</v>
      </c>
      <c r="W117" s="37">
        <f t="shared" si="12"/>
        <v>11</v>
      </c>
      <c r="X117" s="37">
        <f t="shared" si="11"/>
        <v>15</v>
      </c>
      <c r="Y117" s="37">
        <f t="shared" si="11"/>
        <v>7</v>
      </c>
      <c r="Z117" s="37">
        <f t="shared" si="11"/>
        <v>12</v>
      </c>
      <c r="AA117" s="37">
        <f t="shared" si="11"/>
        <v>12</v>
      </c>
      <c r="AC117" s="18">
        <v>1</v>
      </c>
      <c r="AD117" s="18">
        <v>1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>
      <c r="L118" s="15">
        <v>114</v>
      </c>
      <c r="M118" s="38" t="s">
        <v>27</v>
      </c>
      <c r="N118" s="38" t="s">
        <v>21</v>
      </c>
      <c r="O118" s="38" t="s">
        <v>26</v>
      </c>
      <c r="P118" s="38" t="s">
        <v>26</v>
      </c>
      <c r="Q118" s="38" t="s">
        <v>18</v>
      </c>
      <c r="R118" s="38" t="s">
        <v>24</v>
      </c>
      <c r="S118" s="24" t="s">
        <v>27</v>
      </c>
      <c r="U118" s="37">
        <f t="shared" si="12"/>
        <v>12</v>
      </c>
      <c r="V118" s="37">
        <f t="shared" si="12"/>
        <v>12</v>
      </c>
      <c r="W118" s="37">
        <f t="shared" si="12"/>
        <v>7</v>
      </c>
      <c r="X118" s="37">
        <f t="shared" si="11"/>
        <v>7</v>
      </c>
      <c r="Y118" s="37">
        <f t="shared" si="11"/>
        <v>10</v>
      </c>
      <c r="Z118" s="37">
        <f t="shared" si="11"/>
        <v>11</v>
      </c>
      <c r="AA118" s="37">
        <f t="shared" si="11"/>
        <v>12</v>
      </c>
      <c r="AC118" s="18">
        <v>1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1</v>
      </c>
      <c r="AK118" s="40" t="s">
        <v>262</v>
      </c>
    </row>
    <row r="119" spans="12:46">
      <c r="L119" s="14">
        <v>115</v>
      </c>
      <c r="M119" s="38" t="s">
        <v>29</v>
      </c>
      <c r="N119" s="38" t="s">
        <v>89</v>
      </c>
      <c r="O119" s="38" t="s">
        <v>18</v>
      </c>
      <c r="P119" s="38" t="s">
        <v>230</v>
      </c>
      <c r="Q119" s="38" t="s">
        <v>224</v>
      </c>
      <c r="R119" s="38" t="s">
        <v>24</v>
      </c>
      <c r="S119" s="24" t="s">
        <v>29</v>
      </c>
      <c r="U119" s="37">
        <f t="shared" si="12"/>
        <v>19</v>
      </c>
      <c r="V119" s="37">
        <f t="shared" si="12"/>
        <v>7</v>
      </c>
      <c r="W119" s="37">
        <f t="shared" si="12"/>
        <v>10</v>
      </c>
      <c r="X119" s="37">
        <f t="shared" si="11"/>
        <v>0</v>
      </c>
      <c r="Y119" s="37">
        <f t="shared" si="11"/>
        <v>0</v>
      </c>
      <c r="Z119" s="37">
        <f t="shared" si="11"/>
        <v>11</v>
      </c>
      <c r="AA119" s="37">
        <f t="shared" ref="AA119:AA124" si="13">VLOOKUP(S119, $A$4:$J$29, 9, 0)</f>
        <v>19</v>
      </c>
      <c r="AC119" s="18">
        <v>1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3</v>
      </c>
      <c r="AK119" s="16" t="s">
        <v>265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>
      <c r="L120" s="15">
        <v>116</v>
      </c>
      <c r="M120" s="38" t="s">
        <v>29</v>
      </c>
      <c r="N120" s="38" t="s">
        <v>29</v>
      </c>
      <c r="O120" s="38" t="s">
        <v>24</v>
      </c>
      <c r="P120" s="38" t="s">
        <v>64</v>
      </c>
      <c r="Q120" s="38" t="s">
        <v>21</v>
      </c>
      <c r="R120" s="38" t="s">
        <v>27</v>
      </c>
      <c r="S120" s="24" t="s">
        <v>29</v>
      </c>
      <c r="U120" s="37">
        <f t="shared" si="12"/>
        <v>19</v>
      </c>
      <c r="V120" s="37">
        <f t="shared" si="12"/>
        <v>19</v>
      </c>
      <c r="W120" s="37">
        <f t="shared" si="12"/>
        <v>11</v>
      </c>
      <c r="X120" s="37">
        <f t="shared" si="12"/>
        <v>14</v>
      </c>
      <c r="Y120" s="37">
        <f t="shared" si="12"/>
        <v>12</v>
      </c>
      <c r="Z120" s="37">
        <f t="shared" si="12"/>
        <v>12</v>
      </c>
      <c r="AA120" s="37">
        <f t="shared" si="13"/>
        <v>19</v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1</v>
      </c>
      <c r="AK120" s="10" t="s">
        <v>68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4">
        <v>0</v>
      </c>
    </row>
    <row r="121" spans="12:46">
      <c r="L121" s="14">
        <v>117</v>
      </c>
      <c r="M121" s="38" t="s">
        <v>64</v>
      </c>
      <c r="N121" s="38" t="s">
        <v>29</v>
      </c>
      <c r="O121" s="38" t="s">
        <v>24</v>
      </c>
      <c r="P121" s="38" t="s">
        <v>27</v>
      </c>
      <c r="Q121" s="38" t="s">
        <v>21</v>
      </c>
      <c r="R121" s="38" t="s">
        <v>27</v>
      </c>
      <c r="S121" s="24" t="s">
        <v>29</v>
      </c>
      <c r="U121" s="37">
        <f t="shared" ref="U121:Z124" si="14">VLOOKUP(M121, $A$4:$J$29, 9, 0)</f>
        <v>14</v>
      </c>
      <c r="V121" s="37">
        <f t="shared" si="14"/>
        <v>19</v>
      </c>
      <c r="W121" s="37">
        <f t="shared" si="14"/>
        <v>11</v>
      </c>
      <c r="X121" s="37">
        <f t="shared" si="14"/>
        <v>12</v>
      </c>
      <c r="Y121" s="37">
        <f t="shared" si="14"/>
        <v>12</v>
      </c>
      <c r="Z121" s="37">
        <f t="shared" si="14"/>
        <v>12</v>
      </c>
      <c r="AA121" s="37">
        <f t="shared" si="13"/>
        <v>19</v>
      </c>
      <c r="AC121" s="18">
        <v>1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5</v>
      </c>
      <c r="AM121" s="37">
        <v>5</v>
      </c>
      <c r="AN121" s="37">
        <v>5</v>
      </c>
      <c r="AO121" s="37">
        <v>5</v>
      </c>
      <c r="AP121" s="37">
        <v>5</v>
      </c>
      <c r="AQ121" s="37">
        <v>5</v>
      </c>
      <c r="AR121" s="37">
        <v>0</v>
      </c>
      <c r="AS121" s="4">
        <v>1</v>
      </c>
    </row>
    <row r="122" spans="12:46">
      <c r="L122" s="15">
        <v>118</v>
      </c>
      <c r="M122" s="38" t="s">
        <v>29</v>
      </c>
      <c r="N122" s="38" t="s">
        <v>238</v>
      </c>
      <c r="O122" s="38" t="s">
        <v>28</v>
      </c>
      <c r="P122" s="38" t="s">
        <v>27</v>
      </c>
      <c r="Q122" s="38" t="s">
        <v>89</v>
      </c>
      <c r="R122" s="38" t="s">
        <v>27</v>
      </c>
      <c r="S122" s="24" t="s">
        <v>26</v>
      </c>
      <c r="U122" s="37">
        <f t="shared" si="14"/>
        <v>19</v>
      </c>
      <c r="V122" s="37">
        <f t="shared" si="14"/>
        <v>0</v>
      </c>
      <c r="W122" s="37">
        <f t="shared" si="14"/>
        <v>15</v>
      </c>
      <c r="X122" s="37">
        <f t="shared" si="14"/>
        <v>12</v>
      </c>
      <c r="Y122" s="37">
        <f t="shared" si="14"/>
        <v>7</v>
      </c>
      <c r="Z122" s="37">
        <f t="shared" si="14"/>
        <v>12</v>
      </c>
      <c r="AA122" s="37">
        <f t="shared" si="13"/>
        <v>7</v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3</v>
      </c>
      <c r="AK122" s="154" t="s">
        <v>20</v>
      </c>
      <c r="AL122" s="154">
        <v>40</v>
      </c>
      <c r="AM122" s="154">
        <v>0</v>
      </c>
      <c r="AN122" s="154">
        <v>1</v>
      </c>
      <c r="AO122" s="154">
        <v>1</v>
      </c>
      <c r="AP122" s="154">
        <v>70</v>
      </c>
      <c r="AQ122" s="154">
        <v>1</v>
      </c>
      <c r="AR122" s="154">
        <v>0</v>
      </c>
      <c r="AS122" s="151">
        <v>2</v>
      </c>
    </row>
    <row r="123" spans="12:46">
      <c r="L123" s="14">
        <v>119</v>
      </c>
      <c r="M123" s="38" t="s">
        <v>26</v>
      </c>
      <c r="N123" s="38" t="s">
        <v>27</v>
      </c>
      <c r="O123" s="38" t="s">
        <v>26</v>
      </c>
      <c r="P123" s="38" t="s">
        <v>64</v>
      </c>
      <c r="Q123" s="38" t="s">
        <v>21</v>
      </c>
      <c r="R123" s="38" t="s">
        <v>24</v>
      </c>
      <c r="S123" s="24" t="s">
        <v>26</v>
      </c>
      <c r="U123" s="37">
        <f t="shared" si="14"/>
        <v>7</v>
      </c>
      <c r="V123" s="37">
        <f t="shared" si="14"/>
        <v>12</v>
      </c>
      <c r="W123" s="37">
        <f t="shared" si="14"/>
        <v>7</v>
      </c>
      <c r="X123" s="37">
        <f t="shared" si="14"/>
        <v>14</v>
      </c>
      <c r="Y123" s="37">
        <f t="shared" si="14"/>
        <v>12</v>
      </c>
      <c r="Z123" s="37">
        <f t="shared" si="14"/>
        <v>11</v>
      </c>
      <c r="AA123" s="37">
        <f t="shared" si="13"/>
        <v>7</v>
      </c>
      <c r="AC123" s="18">
        <v>1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1</v>
      </c>
      <c r="AK123" s="154" t="s">
        <v>21</v>
      </c>
      <c r="AL123" s="154">
        <v>1</v>
      </c>
      <c r="AM123" s="154">
        <v>70</v>
      </c>
      <c r="AN123" s="154">
        <v>1</v>
      </c>
      <c r="AO123" s="154">
        <v>70</v>
      </c>
      <c r="AP123" s="154">
        <v>1</v>
      </c>
      <c r="AQ123" s="154">
        <v>1</v>
      </c>
      <c r="AR123" s="154">
        <v>0</v>
      </c>
      <c r="AS123" s="151">
        <v>3</v>
      </c>
    </row>
    <row r="124" spans="12:46">
      <c r="L124" s="15">
        <v>120</v>
      </c>
      <c r="M124" s="38" t="s">
        <v>26</v>
      </c>
      <c r="N124" s="38" t="s">
        <v>29</v>
      </c>
      <c r="O124" s="38" t="s">
        <v>24</v>
      </c>
      <c r="P124" s="38" t="s">
        <v>64</v>
      </c>
      <c r="Q124" s="38" t="s">
        <v>89</v>
      </c>
      <c r="R124" s="38" t="s">
        <v>27</v>
      </c>
      <c r="S124" s="24" t="s">
        <v>26</v>
      </c>
      <c r="U124" s="37">
        <f t="shared" si="14"/>
        <v>7</v>
      </c>
      <c r="V124" s="37">
        <f t="shared" si="14"/>
        <v>19</v>
      </c>
      <c r="W124" s="37">
        <f t="shared" si="14"/>
        <v>11</v>
      </c>
      <c r="X124" s="37">
        <f t="shared" si="14"/>
        <v>14</v>
      </c>
      <c r="Y124" s="37">
        <f t="shared" si="14"/>
        <v>7</v>
      </c>
      <c r="Z124" s="37">
        <f t="shared" si="14"/>
        <v>12</v>
      </c>
      <c r="AA124" s="37">
        <f t="shared" si="13"/>
        <v>7</v>
      </c>
      <c r="AC124" s="18">
        <v>1</v>
      </c>
      <c r="AD124" s="18">
        <v>1</v>
      </c>
      <c r="AE124" s="18">
        <v>1</v>
      </c>
      <c r="AF124" s="18">
        <v>1</v>
      </c>
      <c r="AG124" s="18">
        <v>1</v>
      </c>
      <c r="AH124" s="18">
        <v>1</v>
      </c>
      <c r="AI124" s="4">
        <v>1</v>
      </c>
      <c r="AK124" s="154" t="s">
        <v>17</v>
      </c>
      <c r="AL124" s="154">
        <v>0</v>
      </c>
      <c r="AM124" s="154">
        <v>1</v>
      </c>
      <c r="AN124" s="154">
        <v>5</v>
      </c>
      <c r="AO124" s="154">
        <v>0</v>
      </c>
      <c r="AP124" s="154">
        <v>1</v>
      </c>
      <c r="AQ124" s="154">
        <v>70</v>
      </c>
      <c r="AR124" s="154">
        <v>1</v>
      </c>
      <c r="AS124" s="151">
        <v>4</v>
      </c>
    </row>
    <row r="125" spans="12:46">
      <c r="AC125" s="31"/>
      <c r="AD125" s="31"/>
      <c r="AE125" s="31"/>
      <c r="AF125" s="31"/>
      <c r="AG125" s="31"/>
      <c r="AH125" s="31"/>
      <c r="AI125" s="31"/>
      <c r="AK125" s="154" t="s">
        <v>18</v>
      </c>
      <c r="AL125" s="154">
        <v>1</v>
      </c>
      <c r="AM125" s="154">
        <v>70</v>
      </c>
      <c r="AN125" s="154">
        <v>1</v>
      </c>
      <c r="AO125" s="154">
        <v>1</v>
      </c>
      <c r="AP125" s="154">
        <v>1</v>
      </c>
      <c r="AQ125" s="154">
        <v>70</v>
      </c>
      <c r="AR125" s="154">
        <v>1</v>
      </c>
      <c r="AS125" s="151">
        <v>5</v>
      </c>
    </row>
    <row r="126" spans="12:46">
      <c r="AK126" s="154" t="s">
        <v>64</v>
      </c>
      <c r="AL126" s="154">
        <v>5</v>
      </c>
      <c r="AM126" s="154">
        <v>1</v>
      </c>
      <c r="AN126" s="154">
        <v>70</v>
      </c>
      <c r="AO126" s="154">
        <v>1</v>
      </c>
      <c r="AP126" s="154">
        <v>70</v>
      </c>
      <c r="AQ126" s="154">
        <v>1</v>
      </c>
      <c r="AR126" s="154">
        <v>1</v>
      </c>
      <c r="AS126" s="151">
        <v>6</v>
      </c>
    </row>
    <row r="127" spans="12:46">
      <c r="AK127" s="154" t="s">
        <v>89</v>
      </c>
      <c r="AL127" s="154">
        <v>1</v>
      </c>
      <c r="AM127" s="154">
        <v>70</v>
      </c>
      <c r="AN127" s="154">
        <v>1</v>
      </c>
      <c r="AO127" s="154">
        <v>1</v>
      </c>
      <c r="AP127" s="154">
        <v>1</v>
      </c>
      <c r="AQ127" s="154">
        <v>70</v>
      </c>
      <c r="AR127" s="154">
        <v>1</v>
      </c>
      <c r="AS127" s="151">
        <v>7</v>
      </c>
    </row>
    <row r="128" spans="12:46">
      <c r="AK128" s="37" t="s">
        <v>24</v>
      </c>
      <c r="AL128" s="37">
        <v>0</v>
      </c>
      <c r="AM128" s="37">
        <v>1</v>
      </c>
      <c r="AN128" s="37">
        <v>1</v>
      </c>
      <c r="AO128" s="37">
        <v>1</v>
      </c>
      <c r="AP128" s="37">
        <v>70</v>
      </c>
      <c r="AQ128" s="37">
        <v>1</v>
      </c>
      <c r="AR128" s="37">
        <v>1</v>
      </c>
      <c r="AS128" s="4">
        <v>8</v>
      </c>
      <c r="AT128" s="9"/>
    </row>
    <row r="129" spans="37:46">
      <c r="AK129" s="37" t="s">
        <v>26</v>
      </c>
      <c r="AL129" s="37">
        <v>1</v>
      </c>
      <c r="AM129" s="37">
        <v>1</v>
      </c>
      <c r="AN129" s="37">
        <v>1</v>
      </c>
      <c r="AO129" s="37">
        <v>70</v>
      </c>
      <c r="AP129" s="37">
        <v>1</v>
      </c>
      <c r="AQ129" s="37">
        <v>70</v>
      </c>
      <c r="AR129" s="37">
        <v>1</v>
      </c>
      <c r="AS129" s="4">
        <v>9</v>
      </c>
      <c r="AT129" s="9"/>
    </row>
    <row r="130" spans="37:46">
      <c r="AK130" s="37" t="s">
        <v>27</v>
      </c>
      <c r="AL130" s="37">
        <v>0</v>
      </c>
      <c r="AM130" s="37">
        <v>1</v>
      </c>
      <c r="AN130" s="37">
        <v>5</v>
      </c>
      <c r="AO130" s="37">
        <v>1</v>
      </c>
      <c r="AP130" s="37">
        <v>1</v>
      </c>
      <c r="AQ130" s="37">
        <v>1</v>
      </c>
      <c r="AR130" s="37">
        <v>3</v>
      </c>
      <c r="AS130" s="4">
        <v>10</v>
      </c>
      <c r="AT130" s="9"/>
    </row>
    <row r="131" spans="37:46">
      <c r="AK131" s="37" t="s">
        <v>28</v>
      </c>
      <c r="AL131" s="37">
        <v>1</v>
      </c>
      <c r="AM131" s="37">
        <v>70</v>
      </c>
      <c r="AN131" s="37">
        <v>1</v>
      </c>
      <c r="AO131" s="37">
        <v>1</v>
      </c>
      <c r="AP131" s="37">
        <v>1</v>
      </c>
      <c r="AQ131" s="37">
        <v>1</v>
      </c>
      <c r="AR131" s="37">
        <v>1</v>
      </c>
      <c r="AS131" s="4">
        <v>11</v>
      </c>
      <c r="AT131" s="9"/>
    </row>
    <row r="132" spans="37:46">
      <c r="AK132" s="37" t="s">
        <v>29</v>
      </c>
      <c r="AL132" s="37">
        <v>70</v>
      </c>
      <c r="AM132" s="37">
        <v>1</v>
      </c>
      <c r="AN132" s="37">
        <v>1</v>
      </c>
      <c r="AO132" s="37">
        <v>1</v>
      </c>
      <c r="AP132" s="37">
        <v>1</v>
      </c>
      <c r="AQ132" s="37">
        <v>1</v>
      </c>
      <c r="AR132" s="37">
        <v>1</v>
      </c>
      <c r="AS132" s="4">
        <v>12</v>
      </c>
      <c r="AT132" s="9"/>
    </row>
    <row r="133" spans="37:46">
      <c r="AK133" s="154" t="s">
        <v>222</v>
      </c>
      <c r="AL133" s="154">
        <v>0</v>
      </c>
      <c r="AM133" s="154">
        <v>1</v>
      </c>
      <c r="AN133" s="154">
        <v>0</v>
      </c>
      <c r="AO133" s="154">
        <v>1</v>
      </c>
      <c r="AP133" s="154">
        <v>1</v>
      </c>
      <c r="AQ133" s="154">
        <v>0</v>
      </c>
      <c r="AR133" s="154">
        <v>0</v>
      </c>
      <c r="AS133" s="151">
        <v>13</v>
      </c>
      <c r="AT133" s="9"/>
    </row>
    <row r="134" spans="37:46">
      <c r="AK134" s="154" t="s">
        <v>224</v>
      </c>
      <c r="AL134" s="154">
        <v>0</v>
      </c>
      <c r="AM134" s="154">
        <v>2</v>
      </c>
      <c r="AN134" s="154">
        <v>1</v>
      </c>
      <c r="AO134" s="154">
        <v>2</v>
      </c>
      <c r="AP134" s="154">
        <v>1</v>
      </c>
      <c r="AQ134" s="154">
        <v>0</v>
      </c>
      <c r="AR134" s="154">
        <v>0</v>
      </c>
      <c r="AS134" s="151">
        <v>14</v>
      </c>
      <c r="AT134" s="9"/>
    </row>
    <row r="135" spans="37:46">
      <c r="AK135" s="154" t="s">
        <v>226</v>
      </c>
      <c r="AL135" s="154">
        <v>0</v>
      </c>
      <c r="AM135" s="154">
        <v>1</v>
      </c>
      <c r="AN135" s="154">
        <v>2</v>
      </c>
      <c r="AO135" s="154">
        <v>1</v>
      </c>
      <c r="AP135" s="154">
        <v>1</v>
      </c>
      <c r="AQ135" s="154">
        <v>0</v>
      </c>
      <c r="AR135" s="154">
        <v>0</v>
      </c>
      <c r="AS135" s="151">
        <v>15</v>
      </c>
      <c r="AT135" s="9"/>
    </row>
    <row r="136" spans="37:46">
      <c r="AK136" s="154" t="s">
        <v>228</v>
      </c>
      <c r="AL136" s="154">
        <v>0</v>
      </c>
      <c r="AM136" s="154">
        <v>2</v>
      </c>
      <c r="AN136" s="154">
        <v>1</v>
      </c>
      <c r="AO136" s="154">
        <v>1</v>
      </c>
      <c r="AP136" s="154">
        <v>1</v>
      </c>
      <c r="AQ136" s="154">
        <v>0</v>
      </c>
      <c r="AR136" s="154">
        <v>0</v>
      </c>
      <c r="AS136" s="151">
        <v>16</v>
      </c>
      <c r="AT136" s="9"/>
    </row>
    <row r="137" spans="37:46">
      <c r="AK137" s="154" t="s">
        <v>230</v>
      </c>
      <c r="AL137" s="154">
        <v>0</v>
      </c>
      <c r="AM137" s="154">
        <v>0</v>
      </c>
      <c r="AN137" s="154">
        <v>2</v>
      </c>
      <c r="AO137" s="154">
        <v>1</v>
      </c>
      <c r="AP137" s="154">
        <v>2</v>
      </c>
      <c r="AQ137" s="154">
        <v>0</v>
      </c>
      <c r="AR137" s="154">
        <v>0</v>
      </c>
      <c r="AS137" s="151">
        <v>17</v>
      </c>
      <c r="AT137" s="9"/>
    </row>
    <row r="138" spans="37:46">
      <c r="AK138" s="154" t="s">
        <v>232</v>
      </c>
      <c r="AL138" s="154">
        <v>0</v>
      </c>
      <c r="AM138" s="154">
        <v>2</v>
      </c>
      <c r="AN138" s="154">
        <v>1</v>
      </c>
      <c r="AO138" s="154">
        <v>1</v>
      </c>
      <c r="AP138" s="154">
        <v>2</v>
      </c>
      <c r="AQ138" s="154">
        <v>0</v>
      </c>
      <c r="AR138" s="154">
        <v>0</v>
      </c>
      <c r="AS138" s="151">
        <v>18</v>
      </c>
      <c r="AT138" s="9"/>
    </row>
    <row r="139" spans="37:46">
      <c r="AK139" s="37" t="s">
        <v>234</v>
      </c>
      <c r="AL139" s="37">
        <v>0</v>
      </c>
      <c r="AM139" s="37">
        <v>2</v>
      </c>
      <c r="AN139" s="37">
        <v>1</v>
      </c>
      <c r="AO139" s="37">
        <v>1</v>
      </c>
      <c r="AP139" s="37">
        <v>2</v>
      </c>
      <c r="AQ139" s="37">
        <v>0</v>
      </c>
      <c r="AR139" s="37">
        <v>0</v>
      </c>
      <c r="AS139" s="4">
        <v>19</v>
      </c>
      <c r="AT139" s="9"/>
    </row>
    <row r="140" spans="37:46">
      <c r="AK140" s="37" t="s">
        <v>236</v>
      </c>
      <c r="AL140" s="37">
        <v>0</v>
      </c>
      <c r="AM140" s="37">
        <v>2</v>
      </c>
      <c r="AN140" s="37">
        <v>1</v>
      </c>
      <c r="AO140" s="37">
        <v>2</v>
      </c>
      <c r="AP140" s="37">
        <v>1</v>
      </c>
      <c r="AQ140" s="37">
        <v>0</v>
      </c>
      <c r="AR140" s="37">
        <v>0</v>
      </c>
      <c r="AS140" s="4">
        <v>20</v>
      </c>
      <c r="AT140" s="9"/>
    </row>
    <row r="141" spans="37:46">
      <c r="AK141" s="37" t="s">
        <v>238</v>
      </c>
      <c r="AL141" s="37">
        <v>0</v>
      </c>
      <c r="AM141" s="37">
        <v>0</v>
      </c>
      <c r="AN141" s="37">
        <v>2</v>
      </c>
      <c r="AO141" s="37">
        <v>1</v>
      </c>
      <c r="AP141" s="37">
        <v>1</v>
      </c>
      <c r="AQ141" s="37">
        <v>0</v>
      </c>
      <c r="AR141" s="37">
        <v>0</v>
      </c>
      <c r="AS141" s="4">
        <v>21</v>
      </c>
      <c r="AT141" s="9"/>
    </row>
    <row r="142" spans="37:46">
      <c r="AK142" s="37" t="s">
        <v>240</v>
      </c>
      <c r="AL142" s="37">
        <v>0</v>
      </c>
      <c r="AM142" s="37">
        <v>4</v>
      </c>
      <c r="AN142" s="37">
        <v>1</v>
      </c>
      <c r="AO142" s="37">
        <v>1</v>
      </c>
      <c r="AP142" s="37">
        <v>1</v>
      </c>
      <c r="AQ142" s="37">
        <v>0</v>
      </c>
      <c r="AR142" s="37">
        <v>0</v>
      </c>
      <c r="AS142" s="4">
        <v>22</v>
      </c>
      <c r="AT142" s="9"/>
    </row>
    <row r="143" spans="37:46">
      <c r="AK143" s="37" t="s">
        <v>242</v>
      </c>
      <c r="AL143" s="37">
        <v>0</v>
      </c>
      <c r="AM143" s="37">
        <v>1</v>
      </c>
      <c r="AN143" s="37">
        <v>1</v>
      </c>
      <c r="AO143" s="37">
        <v>1</v>
      </c>
      <c r="AP143" s="37">
        <v>1</v>
      </c>
      <c r="AQ143" s="37">
        <v>0</v>
      </c>
      <c r="AR143" s="37">
        <v>0</v>
      </c>
      <c r="AS143" s="4">
        <v>23</v>
      </c>
      <c r="AT143" s="9"/>
    </row>
    <row r="144" spans="37:46">
      <c r="AK144" s="154" t="s">
        <v>94</v>
      </c>
      <c r="AL144" s="154">
        <v>0</v>
      </c>
      <c r="AM144" s="154">
        <v>0</v>
      </c>
      <c r="AN144" s="154">
        <v>0</v>
      </c>
      <c r="AO144" s="154">
        <v>0</v>
      </c>
      <c r="AP144" s="154">
        <v>0</v>
      </c>
      <c r="AQ144" s="154">
        <v>0</v>
      </c>
      <c r="AR144" s="154">
        <v>0</v>
      </c>
      <c r="AS144" s="151">
        <v>24</v>
      </c>
      <c r="AT144" s="9"/>
    </row>
    <row r="145" spans="37:46">
      <c r="AK145" s="154" t="s">
        <v>257</v>
      </c>
      <c r="AL145" s="154">
        <v>0</v>
      </c>
      <c r="AM145" s="154">
        <v>0</v>
      </c>
      <c r="AN145" s="154">
        <v>0</v>
      </c>
      <c r="AO145" s="154">
        <v>0</v>
      </c>
      <c r="AP145" s="154">
        <v>0</v>
      </c>
      <c r="AQ145" s="154">
        <v>0</v>
      </c>
      <c r="AR145" s="154">
        <v>0</v>
      </c>
      <c r="AS145" s="151">
        <v>25</v>
      </c>
      <c r="AT145" s="9"/>
    </row>
    <row r="146" spans="37:46">
      <c r="AT146" s="9"/>
    </row>
    <row r="147" spans="37:46">
      <c r="AO147" s="9"/>
      <c r="AP147" s="9"/>
      <c r="AQ147" s="9"/>
      <c r="AR147" s="9"/>
      <c r="AS147" s="9"/>
      <c r="AT147" s="9"/>
    </row>
    <row r="148" spans="37:46">
      <c r="AO148" s="9"/>
      <c r="AP148" s="9"/>
      <c r="AQ148" s="9"/>
      <c r="AR148" s="9"/>
      <c r="AS148" s="9"/>
      <c r="AT148" s="9"/>
    </row>
    <row r="149" spans="37:46">
      <c r="AO149" s="9"/>
      <c r="AP149" s="9"/>
      <c r="AQ149" s="9"/>
      <c r="AR149" s="9"/>
      <c r="AS149" s="9"/>
      <c r="AT149" s="9"/>
    </row>
    <row r="150" spans="37:46">
      <c r="AO150" s="9"/>
      <c r="AP150" s="9"/>
      <c r="AQ150" s="9"/>
      <c r="AR150" s="9"/>
      <c r="AS150" s="9"/>
      <c r="AT150" s="9"/>
    </row>
    <row r="151" spans="37:46">
      <c r="AO151" s="9"/>
      <c r="AP151" s="9"/>
      <c r="AQ151" s="9"/>
      <c r="AR151" s="9"/>
      <c r="AS151" s="9"/>
      <c r="AT151" s="9"/>
    </row>
    <row r="152" spans="37:46">
      <c r="AO152" s="9"/>
      <c r="AP152" s="9"/>
      <c r="AQ152" s="9"/>
      <c r="AR152" s="9"/>
      <c r="AS152" s="9"/>
      <c r="AT152" s="9"/>
    </row>
    <row r="153" spans="37:46">
      <c r="AO153" s="9"/>
      <c r="AP153" s="9"/>
      <c r="AQ153" s="9"/>
      <c r="AR153" s="9"/>
      <c r="AS153" s="9"/>
      <c r="AT153" s="9"/>
    </row>
    <row r="154" spans="37:46">
      <c r="AO154" s="9"/>
      <c r="AP154" s="9"/>
      <c r="AQ154" s="9"/>
      <c r="AR154" s="9"/>
      <c r="AS154" s="9"/>
      <c r="AT154" s="9"/>
    </row>
    <row r="155" spans="37:46">
      <c r="AO155" s="9"/>
      <c r="AP155" s="9"/>
      <c r="AQ155" s="9"/>
      <c r="AR155" s="9"/>
      <c r="AS155" s="9"/>
      <c r="AT155" s="9"/>
    </row>
    <row r="156" spans="37:46">
      <c r="AO156" s="9"/>
      <c r="AP156" s="9"/>
      <c r="AQ156" s="9"/>
      <c r="AR156" s="9"/>
      <c r="AS156" s="9"/>
      <c r="AT156" s="9"/>
    </row>
    <row r="157" spans="37:46">
      <c r="AO157" s="9"/>
      <c r="AP157" s="9"/>
      <c r="AQ157" s="9"/>
      <c r="AR157" s="9"/>
      <c r="AS157" s="9"/>
      <c r="AT157" s="9"/>
    </row>
    <row r="158" spans="37:46">
      <c r="AO158" s="9"/>
      <c r="AP158" s="9"/>
      <c r="AQ158" s="9"/>
      <c r="AR158" s="9"/>
      <c r="AS158" s="9"/>
      <c r="AT158" s="9"/>
    </row>
    <row r="159" spans="37:46">
      <c r="AO159" s="9"/>
      <c r="AP159" s="9"/>
      <c r="AQ159" s="9"/>
      <c r="AR159" s="9"/>
      <c r="AS159" s="9"/>
      <c r="AT159" s="9"/>
    </row>
    <row r="160" spans="37:46">
      <c r="AO160" s="9"/>
      <c r="AP160" s="9"/>
      <c r="AQ160" s="9"/>
      <c r="AR160" s="9"/>
      <c r="AS160" s="9"/>
      <c r="AT160" s="9"/>
    </row>
    <row r="161" spans="41:46">
      <c r="AO161" s="9"/>
      <c r="AP161" s="9"/>
      <c r="AQ161" s="9"/>
      <c r="AR161" s="9"/>
      <c r="AS161" s="9"/>
      <c r="AT161" s="9"/>
    </row>
    <row r="162" spans="41:46">
      <c r="AO162" s="9"/>
      <c r="AP162" s="9"/>
      <c r="AQ162" s="9"/>
      <c r="AR162" s="9"/>
      <c r="AS162" s="9"/>
      <c r="AT162" s="9"/>
    </row>
    <row r="163" spans="41:46">
      <c r="AO163" s="9"/>
      <c r="AP163" s="9"/>
      <c r="AQ163" s="9"/>
      <c r="AR163" s="9"/>
      <c r="AS163" s="9"/>
      <c r="AT163" s="9"/>
    </row>
    <row r="164" spans="41:46">
      <c r="AO164" s="9"/>
      <c r="AP164" s="9"/>
      <c r="AQ164" s="9"/>
      <c r="AR164" s="9"/>
      <c r="AS164" s="9"/>
      <c r="AT164" s="9"/>
    </row>
    <row r="165" spans="41:46">
      <c r="AO165" s="9"/>
      <c r="AP165" s="9"/>
      <c r="AQ165" s="9"/>
      <c r="AR165" s="9"/>
      <c r="AS165" s="9"/>
      <c r="AT165" s="9"/>
    </row>
    <row r="166" spans="41:46">
      <c r="AO166" s="9"/>
      <c r="AP166" s="9"/>
      <c r="AQ166" s="9"/>
      <c r="AR166" s="9"/>
      <c r="AS166" s="9"/>
      <c r="AT166" s="9"/>
    </row>
    <row r="167" spans="41:46">
      <c r="AO167" s="9"/>
      <c r="AP167" s="9"/>
      <c r="AQ167" s="9"/>
      <c r="AR167" s="9"/>
      <c r="AS167" s="9"/>
      <c r="AT167" s="9"/>
    </row>
    <row r="168" spans="41:46">
      <c r="AO168" s="9"/>
      <c r="AP168" s="9"/>
      <c r="AQ168" s="9"/>
      <c r="AR168" s="9"/>
      <c r="AS168" s="9"/>
      <c r="AT168" s="9"/>
    </row>
    <row r="169" spans="41:46">
      <c r="AO169" s="9"/>
      <c r="AP169" s="9"/>
      <c r="AQ169" s="9"/>
      <c r="AR169" s="9"/>
      <c r="AS169" s="9"/>
      <c r="AT169" s="9"/>
    </row>
    <row r="170" spans="41:46">
      <c r="AO170" s="9"/>
      <c r="AP170" s="9"/>
      <c r="AQ170" s="9"/>
      <c r="AR170" s="9"/>
      <c r="AS170" s="9"/>
      <c r="AT170" s="9"/>
    </row>
    <row r="171" spans="41:46">
      <c r="AO171" s="9"/>
      <c r="AP171" s="9"/>
      <c r="AQ171" s="9"/>
      <c r="AR171" s="9"/>
      <c r="AS171" s="9"/>
      <c r="AT171" s="9"/>
    </row>
    <row r="172" spans="41:46">
      <c r="AO172" s="9"/>
      <c r="AP172" s="9"/>
      <c r="AQ172" s="9"/>
      <c r="AR172" s="9"/>
      <c r="AS172" s="9"/>
      <c r="AT172" s="9"/>
    </row>
    <row r="173" spans="41:46">
      <c r="AO173" s="9"/>
      <c r="AP173" s="9"/>
      <c r="AQ173" s="9"/>
      <c r="AR173" s="9"/>
      <c r="AS173" s="9"/>
      <c r="AT173" s="9"/>
    </row>
    <row r="174" spans="41:46">
      <c r="AO174" s="9"/>
      <c r="AP174" s="9"/>
      <c r="AQ174" s="9"/>
      <c r="AR174" s="9"/>
      <c r="AS174" s="9"/>
      <c r="AT174" s="9"/>
    </row>
    <row r="175" spans="41:46">
      <c r="AO175" s="9"/>
      <c r="AP175" s="9"/>
      <c r="AQ175" s="9"/>
      <c r="AR175" s="9"/>
      <c r="AS175" s="9"/>
      <c r="AT175" s="9"/>
    </row>
    <row r="176" spans="41:46">
      <c r="AO176" s="9"/>
      <c r="AP176" s="9"/>
      <c r="AQ176" s="9"/>
      <c r="AR176" s="9"/>
      <c r="AS176" s="9"/>
      <c r="AT176" s="9"/>
    </row>
    <row r="177" spans="41:46">
      <c r="AO177" s="9"/>
      <c r="AP177" s="9"/>
      <c r="AQ177" s="9"/>
      <c r="AR177" s="9"/>
      <c r="AS177" s="9"/>
      <c r="AT177" s="9"/>
    </row>
    <row r="178" spans="41:46">
      <c r="AO178" s="9"/>
      <c r="AP178" s="9"/>
      <c r="AQ178" s="9"/>
      <c r="AR178" s="9"/>
      <c r="AS178" s="9"/>
      <c r="AT178" s="9"/>
    </row>
    <row r="179" spans="41:46">
      <c r="AO179" s="9"/>
      <c r="AP179" s="9"/>
      <c r="AQ179" s="9"/>
      <c r="AR179" s="9"/>
      <c r="AS179" s="9"/>
      <c r="AT179" s="9"/>
    </row>
    <row r="180" spans="41:46">
      <c r="AO180" s="9"/>
      <c r="AP180" s="9"/>
      <c r="AQ180" s="9"/>
      <c r="AR180" s="9"/>
      <c r="AS180" s="9"/>
      <c r="AT180" s="9"/>
    </row>
    <row r="181" spans="41:46">
      <c r="AO181" s="9"/>
      <c r="AP181" s="9"/>
      <c r="AQ181" s="9"/>
      <c r="AR181" s="9"/>
      <c r="AS181" s="9"/>
      <c r="AT181" s="9"/>
    </row>
    <row r="182" spans="41:46">
      <c r="AO182" s="9"/>
      <c r="AP182" s="9"/>
      <c r="AQ182" s="9"/>
      <c r="AR182" s="9"/>
      <c r="AS182" s="9"/>
      <c r="AT182" s="9"/>
    </row>
    <row r="183" spans="41:46">
      <c r="AO183" s="9"/>
      <c r="AP183" s="9"/>
      <c r="AQ183" s="9"/>
      <c r="AR183" s="9"/>
      <c r="AS183" s="9"/>
      <c r="AT183" s="9"/>
    </row>
    <row r="184" spans="41:46">
      <c r="AO184" s="9"/>
      <c r="AP184" s="9"/>
      <c r="AQ184" s="9"/>
      <c r="AR184" s="9"/>
      <c r="AS184" s="9"/>
      <c r="AT184" s="9"/>
    </row>
    <row r="185" spans="41:46">
      <c r="AO185" s="9"/>
      <c r="AP185" s="9"/>
      <c r="AQ185" s="9"/>
      <c r="AR185" s="9"/>
      <c r="AS185" s="9"/>
      <c r="AT185" s="9"/>
    </row>
    <row r="186" spans="41:46">
      <c r="AO186" s="9"/>
      <c r="AP186" s="9"/>
      <c r="AQ186" s="9"/>
      <c r="AR186" s="9"/>
      <c r="AS186" s="9"/>
      <c r="AT186" s="9"/>
    </row>
    <row r="187" spans="41:46">
      <c r="AO187" s="9"/>
      <c r="AP187" s="9"/>
      <c r="AQ187" s="9"/>
      <c r="AR187" s="9"/>
      <c r="AS187" s="9"/>
      <c r="AT187" s="9"/>
    </row>
    <row r="188" spans="41:46">
      <c r="AO188" s="9"/>
      <c r="AP188" s="9"/>
      <c r="AQ188" s="9"/>
      <c r="AR188" s="9"/>
      <c r="AS188" s="9"/>
      <c r="AT188" s="9"/>
    </row>
    <row r="189" spans="41:46">
      <c r="AO189" s="9"/>
      <c r="AP189" s="9"/>
      <c r="AQ189" s="9"/>
      <c r="AR189" s="9"/>
      <c r="AS189" s="9"/>
      <c r="AT189" s="9"/>
    </row>
    <row r="190" spans="41:46">
      <c r="AO190" s="9"/>
      <c r="AP190" s="9"/>
      <c r="AQ190" s="9"/>
      <c r="AR190" s="9"/>
      <c r="AS190" s="9"/>
      <c r="AT190" s="9"/>
    </row>
    <row r="191" spans="41:46">
      <c r="AO191" s="9"/>
      <c r="AP191" s="9"/>
      <c r="AQ191" s="9"/>
      <c r="AR191" s="9"/>
      <c r="AS191" s="9"/>
      <c r="AT191" s="9"/>
    </row>
    <row r="192" spans="41:46">
      <c r="AO192" s="9"/>
      <c r="AP192" s="9"/>
      <c r="AQ192" s="9"/>
      <c r="AR192" s="9"/>
      <c r="AS192" s="9"/>
      <c r="AT192" s="9"/>
    </row>
    <row r="193" spans="41:46">
      <c r="AO193" s="9"/>
      <c r="AP193" s="9"/>
      <c r="AQ193" s="9"/>
      <c r="AR193" s="9"/>
      <c r="AS193" s="9"/>
      <c r="AT193" s="9"/>
    </row>
    <row r="194" spans="41:46">
      <c r="AO194" s="9"/>
      <c r="AP194" s="9"/>
      <c r="AQ194" s="9"/>
      <c r="AR194" s="9"/>
      <c r="AS194" s="9"/>
      <c r="AT194" s="9"/>
    </row>
    <row r="195" spans="41:46">
      <c r="AO195" s="9"/>
      <c r="AP195" s="9"/>
      <c r="AQ195" s="9"/>
      <c r="AR195" s="9"/>
      <c r="AS195" s="9"/>
      <c r="AT195" s="9"/>
    </row>
    <row r="196" spans="41:46">
      <c r="AO196" s="9"/>
      <c r="AP196" s="9"/>
      <c r="AQ196" s="9"/>
      <c r="AR196" s="9"/>
      <c r="AS196" s="9"/>
      <c r="AT196" s="9"/>
    </row>
    <row r="197" spans="41:46">
      <c r="AO197" s="9"/>
      <c r="AP197" s="9"/>
      <c r="AQ197" s="9"/>
      <c r="AR197" s="9"/>
      <c r="AS197" s="9"/>
      <c r="AT197" s="9"/>
    </row>
    <row r="198" spans="41:46">
      <c r="AO198" s="9"/>
      <c r="AP198" s="9"/>
      <c r="AQ198" s="9"/>
      <c r="AR198" s="9"/>
      <c r="AS198" s="9"/>
      <c r="AT198" s="9"/>
    </row>
    <row r="199" spans="41:46">
      <c r="AO199" s="9"/>
      <c r="AP199" s="9"/>
      <c r="AQ199" s="9"/>
      <c r="AR199" s="9"/>
      <c r="AS199" s="9"/>
      <c r="AT199" s="9"/>
    </row>
    <row r="200" spans="41:46">
      <c r="AO200" s="9"/>
      <c r="AP200" s="9"/>
      <c r="AQ200" s="9"/>
      <c r="AR200" s="9"/>
      <c r="AS200" s="9"/>
      <c r="AT200" s="9"/>
    </row>
    <row r="201" spans="41:46">
      <c r="AO201" s="9"/>
      <c r="AP201" s="9"/>
      <c r="AQ201" s="9"/>
      <c r="AR201" s="9"/>
      <c r="AS201" s="9"/>
      <c r="AT201" s="9"/>
    </row>
    <row r="202" spans="41:46">
      <c r="AO202" s="9"/>
      <c r="AP202" s="9"/>
      <c r="AQ202" s="9"/>
      <c r="AR202" s="9"/>
      <c r="AS202" s="9"/>
      <c r="AT202" s="9"/>
    </row>
    <row r="203" spans="41:46">
      <c r="AO203" s="9"/>
      <c r="AP203" s="9"/>
      <c r="AQ203" s="9"/>
      <c r="AR203" s="9"/>
      <c r="AS203" s="9"/>
      <c r="AT203" s="9"/>
    </row>
    <row r="204" spans="41:46">
      <c r="AO204" s="9"/>
      <c r="AP204" s="9"/>
      <c r="AQ204" s="9"/>
      <c r="AR204" s="9"/>
      <c r="AS204" s="9"/>
      <c r="AT204" s="9"/>
    </row>
    <row r="205" spans="41:46">
      <c r="AO205" s="9"/>
      <c r="AP205" s="9"/>
      <c r="AQ205" s="9"/>
      <c r="AR205" s="9"/>
      <c r="AS205" s="9"/>
      <c r="AT205" s="9"/>
    </row>
    <row r="206" spans="41:46">
      <c r="AO206" s="9"/>
      <c r="AP206" s="9"/>
      <c r="AQ206" s="9"/>
      <c r="AR206" s="9"/>
      <c r="AS206" s="9"/>
      <c r="AT206" s="9"/>
    </row>
    <row r="207" spans="41:46">
      <c r="AO207" s="9"/>
      <c r="AP207" s="9"/>
      <c r="AQ207" s="9"/>
      <c r="AR207" s="9"/>
      <c r="AS207" s="9"/>
      <c r="AT207" s="9"/>
    </row>
    <row r="208" spans="41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9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50"/>
      <c r="N304" s="150"/>
      <c r="O304" s="150"/>
      <c r="P304" s="150"/>
      <c r="Q304" s="150"/>
      <c r="R304" s="150"/>
      <c r="S304" s="150"/>
      <c r="T304" s="1"/>
      <c r="U304" s="1"/>
      <c r="V304" s="150"/>
      <c r="W304" s="150"/>
      <c r="X304" s="150"/>
      <c r="Y304" s="150"/>
      <c r="Z304" s="150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>
      <c r="K305" s="35"/>
    </row>
    <row r="306" spans="1:1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1" spans="37:45">
      <c r="AK321" s="19"/>
      <c r="AL321" s="19"/>
      <c r="AM321" s="19"/>
      <c r="AN321" s="19"/>
      <c r="AO321" s="19"/>
      <c r="AP321" s="19"/>
      <c r="AQ321" s="19"/>
      <c r="AR321" s="19"/>
      <c r="AS321" s="19"/>
    </row>
    <row r="404" spans="36:36">
      <c r="AJ404" s="31"/>
    </row>
    <row r="405" spans="36:36">
      <c r="AJ405" s="31"/>
    </row>
  </sheetData>
  <phoneticPr fontId="20" type="noConversion"/>
  <conditionalFormatting sqref="M1:S1048576">
    <cfRule type="cellIs" dxfId="80" priority="1" operator="equal">
      <formula>"C1"</formula>
    </cfRule>
    <cfRule type="cellIs" dxfId="79" priority="2" operator="equal">
      <formula>"G6"</formula>
    </cfRule>
    <cfRule type="cellIs" dxfId="78" priority="3" operator="equal">
      <formula>"G5"</formula>
    </cfRule>
    <cfRule type="cellIs" dxfId="77" priority="4" operator="equal">
      <formula>"G4"</formula>
    </cfRule>
    <cfRule type="cellIs" dxfId="76" priority="5" operator="equal">
      <formula>"G3"</formula>
    </cfRule>
    <cfRule type="cellIs" dxfId="75" priority="6" operator="equal">
      <formula>"G2"</formula>
    </cfRule>
    <cfRule type="cellIs" dxfId="74" priority="7" operator="equal">
      <formula>"G1"</formula>
    </cfRule>
    <cfRule type="cellIs" dxfId="73" priority="8" operator="equal">
      <formula>"M5"</formula>
    </cfRule>
    <cfRule type="cellIs" dxfId="72" priority="9" operator="equal">
      <formula>"M4"</formula>
    </cfRule>
    <cfRule type="cellIs" dxfId="71" priority="10" operator="equal">
      <formula>"M3"</formula>
    </cfRule>
    <cfRule type="cellIs" dxfId="70" priority="11" operator="equal">
      <formula>"M6"</formula>
    </cfRule>
    <cfRule type="cellIs" dxfId="69" priority="12" operator="equal">
      <formula>"M2"</formula>
    </cfRule>
    <cfRule type="cellIs" dxfId="68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CE08-782B-4540-A29F-2FB0CA58565D}">
  <sheetPr codeName="工作表11">
    <tabColor theme="3" tint="0.59999389629810485"/>
  </sheetPr>
  <dimension ref="A2:AT405"/>
  <sheetViews>
    <sheetView zoomScaleNormal="100" workbookViewId="0">
      <selection activeCell="C30" sqref="C30:I30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50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>
      <c r="K2" s="33"/>
      <c r="L2" s="9" t="s">
        <v>52</v>
      </c>
      <c r="U2" s="9" t="s">
        <v>219</v>
      </c>
      <c r="AC2" s="9" t="s">
        <v>220</v>
      </c>
      <c r="AD2" s="166"/>
      <c r="AE2" s="166"/>
      <c r="AF2" s="166"/>
      <c r="AG2" s="166"/>
      <c r="AH2" s="166"/>
      <c r="AI2" s="166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50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265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>
      <c r="A4" s="149" t="str" cm="1">
        <f t="array" ref="A4:B29">Overview!$A$42:$B$67</f>
        <v>WW</v>
      </c>
      <c r="B4" s="149" t="str">
        <v>Wild</v>
      </c>
      <c r="C4" s="52">
        <f t="shared" ref="C4:C29" si="0">COUNTIF(M$4:M$304,$A4)</f>
        <v>0</v>
      </c>
      <c r="D4" s="52">
        <f t="shared" ref="D4:I19" si="1">COUNTIF(N$4:N$304,$A4)</f>
        <v>0</v>
      </c>
      <c r="E4" s="52">
        <f t="shared" si="1"/>
        <v>0</v>
      </c>
      <c r="F4" s="52">
        <f t="shared" si="1"/>
        <v>0</v>
      </c>
      <c r="G4" s="52">
        <f t="shared" si="1"/>
        <v>0</v>
      </c>
      <c r="H4" s="52">
        <f t="shared" si="1"/>
        <v>0</v>
      </c>
      <c r="I4" s="52">
        <f t="shared" si="1"/>
        <v>0</v>
      </c>
      <c r="J4" s="149">
        <v>0</v>
      </c>
      <c r="K4" s="34"/>
      <c r="L4" s="15">
        <v>0</v>
      </c>
      <c r="M4" s="156" t="s">
        <v>89</v>
      </c>
      <c r="N4" s="156" t="s">
        <v>89</v>
      </c>
      <c r="O4" s="156" t="s">
        <v>26</v>
      </c>
      <c r="P4" s="156" t="s">
        <v>64</v>
      </c>
      <c r="Q4" s="156" t="s">
        <v>18</v>
      </c>
      <c r="R4" s="156" t="s">
        <v>24</v>
      </c>
      <c r="S4" s="157" t="s">
        <v>24</v>
      </c>
      <c r="U4" s="158">
        <f t="shared" ref="U4:AA19" si="2">VLOOKUP(M4, $A$4:$J$29, 9, 0)</f>
        <v>8</v>
      </c>
      <c r="V4" s="158">
        <f t="shared" si="2"/>
        <v>8</v>
      </c>
      <c r="W4" s="158">
        <f t="shared" si="2"/>
        <v>7</v>
      </c>
      <c r="X4" s="158">
        <f t="shared" si="2"/>
        <v>13</v>
      </c>
      <c r="Y4" s="158">
        <f t="shared" si="2"/>
        <v>10</v>
      </c>
      <c r="Z4" s="158">
        <f t="shared" si="2"/>
        <v>11</v>
      </c>
      <c r="AA4" s="158">
        <f t="shared" si="2"/>
        <v>11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49">
        <v>3</v>
      </c>
      <c r="AK4" s="10" t="s">
        <v>68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4"/>
      <c r="L5" s="14">
        <v>1</v>
      </c>
      <c r="M5" s="38" t="s">
        <v>26</v>
      </c>
      <c r="N5" s="38" t="s">
        <v>28</v>
      </c>
      <c r="O5" s="38" t="s">
        <v>26</v>
      </c>
      <c r="P5" s="38" t="s">
        <v>24</v>
      </c>
      <c r="Q5" s="38" t="s">
        <v>228</v>
      </c>
      <c r="R5" s="38" t="s">
        <v>26</v>
      </c>
      <c r="S5" s="24" t="s">
        <v>24</v>
      </c>
      <c r="U5" s="37">
        <f t="shared" si="2"/>
        <v>7</v>
      </c>
      <c r="V5" s="37">
        <f t="shared" si="2"/>
        <v>15</v>
      </c>
      <c r="W5" s="37">
        <f t="shared" si="2"/>
        <v>7</v>
      </c>
      <c r="X5" s="37">
        <f t="shared" si="2"/>
        <v>11</v>
      </c>
      <c r="Y5" s="37">
        <f t="shared" si="2"/>
        <v>0</v>
      </c>
      <c r="Z5" s="37">
        <f t="shared" si="2"/>
        <v>7</v>
      </c>
      <c r="AA5" s="37">
        <f t="shared" si="2"/>
        <v>11</v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4">
        <v>1</v>
      </c>
      <c r="AK5" s="37" t="s">
        <v>19</v>
      </c>
      <c r="AL5" s="37">
        <v>5</v>
      </c>
      <c r="AM5" s="37">
        <v>3</v>
      </c>
      <c r="AN5" s="37">
        <v>3</v>
      </c>
      <c r="AO5" s="37">
        <v>5</v>
      </c>
      <c r="AP5" s="37">
        <v>5</v>
      </c>
      <c r="AQ5" s="37">
        <v>5</v>
      </c>
      <c r="AR5" s="37">
        <v>0</v>
      </c>
      <c r="AS5" s="4">
        <v>1</v>
      </c>
    </row>
    <row r="6" spans="1:45" ht="15.9" customHeight="1">
      <c r="A6" s="151" t="str">
        <v>M1</v>
      </c>
      <c r="B6" s="151" t="str">
        <v>M1</v>
      </c>
      <c r="C6" s="153">
        <f t="shared" si="0"/>
        <v>1</v>
      </c>
      <c r="D6" s="153">
        <f t="shared" si="1"/>
        <v>0</v>
      </c>
      <c r="E6" s="153">
        <f t="shared" si="1"/>
        <v>1</v>
      </c>
      <c r="F6" s="153">
        <f t="shared" si="1"/>
        <v>1</v>
      </c>
      <c r="G6" s="153">
        <f t="shared" si="1"/>
        <v>0</v>
      </c>
      <c r="H6" s="153">
        <f t="shared" si="1"/>
        <v>1</v>
      </c>
      <c r="I6" s="153">
        <f t="shared" si="1"/>
        <v>1</v>
      </c>
      <c r="J6" s="151">
        <v>2</v>
      </c>
      <c r="L6" s="15">
        <v>2</v>
      </c>
      <c r="M6" s="38" t="s">
        <v>28</v>
      </c>
      <c r="N6" s="38" t="s">
        <v>29</v>
      </c>
      <c r="O6" s="38" t="s">
        <v>21</v>
      </c>
      <c r="P6" s="38" t="s">
        <v>24</v>
      </c>
      <c r="Q6" s="38" t="s">
        <v>64</v>
      </c>
      <c r="R6" s="38" t="s">
        <v>64</v>
      </c>
      <c r="S6" s="24" t="s">
        <v>24</v>
      </c>
      <c r="U6" s="37">
        <f t="shared" si="2"/>
        <v>15</v>
      </c>
      <c r="V6" s="37">
        <f t="shared" si="2"/>
        <v>18</v>
      </c>
      <c r="W6" s="37">
        <f t="shared" si="2"/>
        <v>12</v>
      </c>
      <c r="X6" s="37">
        <f t="shared" si="2"/>
        <v>11</v>
      </c>
      <c r="Y6" s="37">
        <f t="shared" si="2"/>
        <v>13</v>
      </c>
      <c r="Z6" s="37">
        <f t="shared" si="2"/>
        <v>13</v>
      </c>
      <c r="AA6" s="37">
        <f t="shared" si="2"/>
        <v>11</v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4" t="s">
        <v>20</v>
      </c>
      <c r="AL6" s="154">
        <v>40</v>
      </c>
      <c r="AM6" s="154">
        <v>40</v>
      </c>
      <c r="AN6" s="154">
        <v>20</v>
      </c>
      <c r="AO6" s="154">
        <v>40</v>
      </c>
      <c r="AP6" s="154">
        <v>40</v>
      </c>
      <c r="AQ6" s="154">
        <v>1</v>
      </c>
      <c r="AR6" s="154">
        <v>1</v>
      </c>
      <c r="AS6" s="151">
        <v>2</v>
      </c>
    </row>
    <row r="7" spans="1:45" ht="15.9" customHeight="1">
      <c r="A7" s="151" t="str">
        <v>M2</v>
      </c>
      <c r="B7" s="151" t="str">
        <v>M2</v>
      </c>
      <c r="C7" s="153">
        <f t="shared" si="0"/>
        <v>1</v>
      </c>
      <c r="D7" s="153">
        <f t="shared" si="1"/>
        <v>12</v>
      </c>
      <c r="E7" s="153">
        <f t="shared" si="1"/>
        <v>7</v>
      </c>
      <c r="F7" s="153">
        <f t="shared" si="1"/>
        <v>3</v>
      </c>
      <c r="G7" s="153">
        <f t="shared" si="1"/>
        <v>9</v>
      </c>
      <c r="H7" s="153">
        <f t="shared" si="1"/>
        <v>0</v>
      </c>
      <c r="I7" s="153">
        <f t="shared" si="1"/>
        <v>12</v>
      </c>
      <c r="J7" s="151">
        <v>3</v>
      </c>
      <c r="L7" s="14">
        <v>3</v>
      </c>
      <c r="M7" s="38" t="s">
        <v>29</v>
      </c>
      <c r="N7" s="38" t="s">
        <v>27</v>
      </c>
      <c r="O7" s="38" t="s">
        <v>24</v>
      </c>
      <c r="P7" s="38" t="s">
        <v>24</v>
      </c>
      <c r="Q7" s="38" t="s">
        <v>64</v>
      </c>
      <c r="R7" s="38" t="s">
        <v>29</v>
      </c>
      <c r="S7" s="24" t="s">
        <v>24</v>
      </c>
      <c r="U7" s="37">
        <f t="shared" si="2"/>
        <v>18</v>
      </c>
      <c r="V7" s="37">
        <f t="shared" si="2"/>
        <v>12</v>
      </c>
      <c r="W7" s="37">
        <f t="shared" si="2"/>
        <v>11</v>
      </c>
      <c r="X7" s="37">
        <f t="shared" si="2"/>
        <v>11</v>
      </c>
      <c r="Y7" s="37">
        <f t="shared" si="2"/>
        <v>13</v>
      </c>
      <c r="Z7" s="37">
        <f t="shared" si="2"/>
        <v>18</v>
      </c>
      <c r="AA7" s="37">
        <f t="shared" si="2"/>
        <v>11</v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4" t="s">
        <v>21</v>
      </c>
      <c r="AL7" s="154">
        <v>10</v>
      </c>
      <c r="AM7" s="154">
        <v>32</v>
      </c>
      <c r="AN7" s="154">
        <v>40</v>
      </c>
      <c r="AO7" s="154">
        <v>40</v>
      </c>
      <c r="AP7" s="154">
        <v>1</v>
      </c>
      <c r="AQ7" s="154">
        <v>1</v>
      </c>
      <c r="AR7" s="154">
        <v>1</v>
      </c>
      <c r="AS7" s="151">
        <v>3</v>
      </c>
    </row>
    <row r="8" spans="1:45" ht="15.9" customHeight="1">
      <c r="A8" s="151" t="str">
        <v>M3</v>
      </c>
      <c r="B8" s="151" t="str">
        <v>M3</v>
      </c>
      <c r="C8" s="153">
        <f t="shared" si="0"/>
        <v>3</v>
      </c>
      <c r="D8" s="153">
        <f t="shared" si="1"/>
        <v>1</v>
      </c>
      <c r="E8" s="153">
        <f t="shared" si="1"/>
        <v>3</v>
      </c>
      <c r="F8" s="153">
        <f t="shared" si="1"/>
        <v>8</v>
      </c>
      <c r="G8" s="153">
        <f t="shared" si="1"/>
        <v>3</v>
      </c>
      <c r="H8" s="153">
        <f t="shared" si="1"/>
        <v>3</v>
      </c>
      <c r="I8" s="153">
        <f t="shared" si="1"/>
        <v>14</v>
      </c>
      <c r="J8" s="151">
        <v>4</v>
      </c>
      <c r="L8" s="15">
        <v>4</v>
      </c>
      <c r="M8" s="38" t="s">
        <v>26</v>
      </c>
      <c r="N8" s="38" t="s">
        <v>29</v>
      </c>
      <c r="O8" s="38" t="s">
        <v>226</v>
      </c>
      <c r="P8" s="38" t="s">
        <v>27</v>
      </c>
      <c r="Q8" s="38" t="s">
        <v>26</v>
      </c>
      <c r="R8" s="38" t="s">
        <v>29</v>
      </c>
      <c r="S8" s="24" t="s">
        <v>21</v>
      </c>
      <c r="U8" s="37">
        <f t="shared" si="2"/>
        <v>7</v>
      </c>
      <c r="V8" s="37">
        <f t="shared" si="2"/>
        <v>18</v>
      </c>
      <c r="W8" s="37">
        <f t="shared" si="2"/>
        <v>0</v>
      </c>
      <c r="X8" s="37">
        <f t="shared" si="2"/>
        <v>12</v>
      </c>
      <c r="Y8" s="37">
        <f t="shared" si="2"/>
        <v>7</v>
      </c>
      <c r="Z8" s="37">
        <f t="shared" si="2"/>
        <v>18</v>
      </c>
      <c r="AA8" s="37">
        <f t="shared" si="2"/>
        <v>12</v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4">
        <v>3</v>
      </c>
      <c r="AK8" s="154" t="s">
        <v>17</v>
      </c>
      <c r="AL8" s="154">
        <v>40</v>
      </c>
      <c r="AM8" s="154">
        <v>13</v>
      </c>
      <c r="AN8" s="154">
        <v>15</v>
      </c>
      <c r="AO8" s="154">
        <v>1</v>
      </c>
      <c r="AP8" s="154">
        <v>1</v>
      </c>
      <c r="AQ8" s="154">
        <v>40</v>
      </c>
      <c r="AR8" s="154">
        <v>1</v>
      </c>
      <c r="AS8" s="151">
        <v>4</v>
      </c>
    </row>
    <row r="9" spans="1:45" ht="15.9" customHeight="1">
      <c r="A9" s="151" t="str">
        <v>M4</v>
      </c>
      <c r="B9" s="151" t="str">
        <v>M4</v>
      </c>
      <c r="C9" s="153">
        <f t="shared" si="0"/>
        <v>8</v>
      </c>
      <c r="D9" s="153">
        <f t="shared" si="1"/>
        <v>1</v>
      </c>
      <c r="E9" s="153">
        <f t="shared" si="1"/>
        <v>16</v>
      </c>
      <c r="F9" s="153">
        <f t="shared" si="1"/>
        <v>3</v>
      </c>
      <c r="G9" s="153">
        <f t="shared" si="1"/>
        <v>15</v>
      </c>
      <c r="H9" s="153">
        <f t="shared" si="1"/>
        <v>5</v>
      </c>
      <c r="I9" s="153">
        <f t="shared" si="1"/>
        <v>10</v>
      </c>
      <c r="J9" s="151">
        <v>5</v>
      </c>
      <c r="L9" s="14">
        <v>5</v>
      </c>
      <c r="M9" s="38" t="s">
        <v>28</v>
      </c>
      <c r="N9" s="38" t="s">
        <v>21</v>
      </c>
      <c r="O9" s="38" t="s">
        <v>17</v>
      </c>
      <c r="P9" s="38" t="s">
        <v>27</v>
      </c>
      <c r="Q9" s="38" t="s">
        <v>26</v>
      </c>
      <c r="R9" s="38" t="s">
        <v>64</v>
      </c>
      <c r="S9" s="24" t="s">
        <v>21</v>
      </c>
      <c r="U9" s="37">
        <f t="shared" si="2"/>
        <v>15</v>
      </c>
      <c r="V9" s="37">
        <f t="shared" si="2"/>
        <v>12</v>
      </c>
      <c r="W9" s="37">
        <f t="shared" si="2"/>
        <v>14</v>
      </c>
      <c r="X9" s="37">
        <f t="shared" si="2"/>
        <v>12</v>
      </c>
      <c r="Y9" s="37">
        <f t="shared" si="2"/>
        <v>7</v>
      </c>
      <c r="Z9" s="37">
        <f t="shared" si="2"/>
        <v>13</v>
      </c>
      <c r="AA9" s="37">
        <f t="shared" si="2"/>
        <v>12</v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4" t="s">
        <v>18</v>
      </c>
      <c r="AL9" s="154">
        <v>10</v>
      </c>
      <c r="AM9" s="154">
        <v>40</v>
      </c>
      <c r="AN9" s="154">
        <v>40</v>
      </c>
      <c r="AO9" s="154">
        <v>40</v>
      </c>
      <c r="AP9" s="154">
        <v>8</v>
      </c>
      <c r="AQ9" s="154">
        <v>40</v>
      </c>
      <c r="AR9" s="154">
        <v>1</v>
      </c>
      <c r="AS9" s="151">
        <v>5</v>
      </c>
    </row>
    <row r="10" spans="1:45" ht="15.9" customHeight="1">
      <c r="A10" s="151" t="str">
        <v>M5</v>
      </c>
      <c r="B10" s="151" t="str">
        <v>M5</v>
      </c>
      <c r="C10" s="153">
        <f t="shared" si="0"/>
        <v>8</v>
      </c>
      <c r="D10" s="153">
        <f t="shared" si="1"/>
        <v>17</v>
      </c>
      <c r="E10" s="153">
        <f t="shared" si="1"/>
        <v>1</v>
      </c>
      <c r="F10" s="153">
        <f t="shared" si="1"/>
        <v>26</v>
      </c>
      <c r="G10" s="153">
        <f t="shared" si="1"/>
        <v>6</v>
      </c>
      <c r="H10" s="153">
        <f t="shared" si="1"/>
        <v>27</v>
      </c>
      <c r="I10" s="153">
        <f t="shared" si="1"/>
        <v>13</v>
      </c>
      <c r="J10" s="151">
        <v>6</v>
      </c>
      <c r="L10" s="15">
        <v>6</v>
      </c>
      <c r="M10" s="38" t="s">
        <v>26</v>
      </c>
      <c r="N10" s="38" t="s">
        <v>21</v>
      </c>
      <c r="O10" s="38" t="s">
        <v>24</v>
      </c>
      <c r="P10" s="38" t="s">
        <v>27</v>
      </c>
      <c r="Q10" s="38" t="s">
        <v>89</v>
      </c>
      <c r="R10" s="38" t="s">
        <v>64</v>
      </c>
      <c r="S10" s="24" t="s">
        <v>21</v>
      </c>
      <c r="U10" s="37">
        <f t="shared" si="2"/>
        <v>7</v>
      </c>
      <c r="V10" s="37">
        <f t="shared" si="2"/>
        <v>12</v>
      </c>
      <c r="W10" s="37">
        <f t="shared" si="2"/>
        <v>11</v>
      </c>
      <c r="X10" s="37">
        <f t="shared" si="2"/>
        <v>12</v>
      </c>
      <c r="Y10" s="37">
        <f t="shared" si="2"/>
        <v>8</v>
      </c>
      <c r="Z10" s="37">
        <f t="shared" si="2"/>
        <v>13</v>
      </c>
      <c r="AA10" s="37">
        <f t="shared" si="2"/>
        <v>12</v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4">
        <v>1</v>
      </c>
      <c r="AK10" s="154" t="s">
        <v>64</v>
      </c>
      <c r="AL10" s="154">
        <v>40</v>
      </c>
      <c r="AM10" s="154">
        <v>8</v>
      </c>
      <c r="AN10" s="154">
        <v>20</v>
      </c>
      <c r="AO10" s="154">
        <v>1</v>
      </c>
      <c r="AP10" s="154">
        <v>40</v>
      </c>
      <c r="AQ10" s="154">
        <v>1</v>
      </c>
      <c r="AR10" s="154">
        <v>1</v>
      </c>
      <c r="AS10" s="151">
        <v>6</v>
      </c>
    </row>
    <row r="11" spans="1:45" ht="15.9" customHeight="1">
      <c r="A11" s="151" t="str">
        <v>M6</v>
      </c>
      <c r="B11" s="151" t="str">
        <v>M6</v>
      </c>
      <c r="C11" s="153">
        <f t="shared" si="0"/>
        <v>13</v>
      </c>
      <c r="D11" s="153">
        <f t="shared" si="1"/>
        <v>10</v>
      </c>
      <c r="E11" s="153">
        <f t="shared" si="1"/>
        <v>1</v>
      </c>
      <c r="F11" s="153">
        <f t="shared" si="1"/>
        <v>3</v>
      </c>
      <c r="G11" s="153">
        <f t="shared" si="1"/>
        <v>28</v>
      </c>
      <c r="H11" s="153">
        <f t="shared" si="1"/>
        <v>2</v>
      </c>
      <c r="I11" s="153">
        <f t="shared" si="1"/>
        <v>8</v>
      </c>
      <c r="J11" s="151">
        <v>7</v>
      </c>
      <c r="L11" s="14">
        <v>7</v>
      </c>
      <c r="M11" s="38" t="s">
        <v>29</v>
      </c>
      <c r="N11" s="38" t="s">
        <v>89</v>
      </c>
      <c r="O11" s="38" t="s">
        <v>26</v>
      </c>
      <c r="P11" s="38" t="s">
        <v>29</v>
      </c>
      <c r="Q11" s="38" t="s">
        <v>28</v>
      </c>
      <c r="R11" s="38" t="s">
        <v>64</v>
      </c>
      <c r="S11" s="24" t="s">
        <v>21</v>
      </c>
      <c r="U11" s="37">
        <f t="shared" si="2"/>
        <v>18</v>
      </c>
      <c r="V11" s="37">
        <f t="shared" si="2"/>
        <v>8</v>
      </c>
      <c r="W11" s="37">
        <f t="shared" si="2"/>
        <v>7</v>
      </c>
      <c r="X11" s="37">
        <f t="shared" si="2"/>
        <v>18</v>
      </c>
      <c r="Y11" s="37">
        <f t="shared" si="2"/>
        <v>15</v>
      </c>
      <c r="Z11" s="37">
        <f t="shared" si="2"/>
        <v>13</v>
      </c>
      <c r="AA11" s="37">
        <f t="shared" si="2"/>
        <v>12</v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4" t="s">
        <v>89</v>
      </c>
      <c r="AL11" s="154">
        <v>10</v>
      </c>
      <c r="AM11" s="154">
        <v>40</v>
      </c>
      <c r="AN11" s="154">
        <v>40</v>
      </c>
      <c r="AO11" s="154">
        <v>40</v>
      </c>
      <c r="AP11" s="154">
        <v>8</v>
      </c>
      <c r="AQ11" s="154">
        <v>40</v>
      </c>
      <c r="AR11" s="154">
        <v>1</v>
      </c>
      <c r="AS11" s="151">
        <v>7</v>
      </c>
    </row>
    <row r="12" spans="1:45" ht="15.9" customHeight="1">
      <c r="A12" s="24" t="str">
        <v>A</v>
      </c>
      <c r="B12" s="37" t="str">
        <v>A</v>
      </c>
      <c r="C12" s="10">
        <f t="shared" si="0"/>
        <v>2</v>
      </c>
      <c r="D12" s="10">
        <f t="shared" si="1"/>
        <v>12</v>
      </c>
      <c r="E12" s="10">
        <f t="shared" si="1"/>
        <v>21</v>
      </c>
      <c r="F12" s="10">
        <f t="shared" si="1"/>
        <v>9</v>
      </c>
      <c r="G12" s="10">
        <f t="shared" si="1"/>
        <v>3</v>
      </c>
      <c r="H12" s="10">
        <f t="shared" si="1"/>
        <v>29</v>
      </c>
      <c r="I12" s="10">
        <f t="shared" si="1"/>
        <v>11</v>
      </c>
      <c r="J12" s="4">
        <v>8</v>
      </c>
      <c r="L12" s="15">
        <v>8</v>
      </c>
      <c r="M12" s="38" t="s">
        <v>64</v>
      </c>
      <c r="N12" s="38" t="s">
        <v>89</v>
      </c>
      <c r="O12" s="38" t="s">
        <v>20</v>
      </c>
      <c r="P12" s="38" t="s">
        <v>64</v>
      </c>
      <c r="Q12" s="38" t="s">
        <v>28</v>
      </c>
      <c r="R12" s="38" t="s">
        <v>89</v>
      </c>
      <c r="S12" s="24" t="s">
        <v>17</v>
      </c>
      <c r="U12" s="37">
        <f t="shared" si="2"/>
        <v>13</v>
      </c>
      <c r="V12" s="37">
        <f t="shared" si="2"/>
        <v>8</v>
      </c>
      <c r="W12" s="37">
        <f t="shared" si="2"/>
        <v>1</v>
      </c>
      <c r="X12" s="37">
        <f t="shared" si="2"/>
        <v>13</v>
      </c>
      <c r="Y12" s="37">
        <f t="shared" si="2"/>
        <v>15</v>
      </c>
      <c r="Z12" s="37">
        <f t="shared" si="2"/>
        <v>8</v>
      </c>
      <c r="AA12" s="37">
        <f t="shared" si="2"/>
        <v>14</v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4">
        <v>3</v>
      </c>
      <c r="AK12" s="37" t="s">
        <v>24</v>
      </c>
      <c r="AL12" s="37">
        <v>10</v>
      </c>
      <c r="AM12" s="37">
        <v>10</v>
      </c>
      <c r="AN12" s="37">
        <v>40</v>
      </c>
      <c r="AO12" s="37">
        <v>1</v>
      </c>
      <c r="AP12" s="37">
        <v>40</v>
      </c>
      <c r="AQ12" s="37">
        <v>1</v>
      </c>
      <c r="AR12" s="37">
        <v>1</v>
      </c>
      <c r="AS12" s="4">
        <v>8</v>
      </c>
    </row>
    <row r="13" spans="1:45" ht="15.9" customHeight="1">
      <c r="A13" s="24" t="str">
        <v>K</v>
      </c>
      <c r="B13" s="37" t="str">
        <v>K</v>
      </c>
      <c r="C13" s="10">
        <f t="shared" si="0"/>
        <v>19</v>
      </c>
      <c r="D13" s="10">
        <f t="shared" si="1"/>
        <v>2</v>
      </c>
      <c r="E13" s="10">
        <f t="shared" si="1"/>
        <v>18</v>
      </c>
      <c r="F13" s="10">
        <f t="shared" si="1"/>
        <v>4</v>
      </c>
      <c r="G13" s="10">
        <f t="shared" si="1"/>
        <v>16</v>
      </c>
      <c r="H13" s="10">
        <f t="shared" si="1"/>
        <v>7</v>
      </c>
      <c r="I13" s="10">
        <f t="shared" si="1"/>
        <v>7</v>
      </c>
      <c r="J13" s="4">
        <v>9</v>
      </c>
      <c r="L13" s="14">
        <v>9</v>
      </c>
      <c r="M13" s="38" t="s">
        <v>28</v>
      </c>
      <c r="N13" s="38" t="s">
        <v>230</v>
      </c>
      <c r="O13" s="38" t="s">
        <v>17</v>
      </c>
      <c r="P13" s="38" t="s">
        <v>27</v>
      </c>
      <c r="Q13" s="38" t="s">
        <v>89</v>
      </c>
      <c r="R13" s="38" t="s">
        <v>64</v>
      </c>
      <c r="S13" s="24" t="s">
        <v>17</v>
      </c>
      <c r="U13" s="37">
        <f t="shared" si="2"/>
        <v>15</v>
      </c>
      <c r="V13" s="37">
        <f t="shared" si="2"/>
        <v>0</v>
      </c>
      <c r="W13" s="37">
        <f t="shared" si="2"/>
        <v>14</v>
      </c>
      <c r="X13" s="37">
        <f t="shared" si="2"/>
        <v>12</v>
      </c>
      <c r="Y13" s="37">
        <f t="shared" si="2"/>
        <v>8</v>
      </c>
      <c r="Z13" s="37">
        <f t="shared" si="2"/>
        <v>13</v>
      </c>
      <c r="AA13" s="37">
        <f t="shared" si="2"/>
        <v>14</v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4">
        <v>1</v>
      </c>
      <c r="AK13" s="37" t="s">
        <v>26</v>
      </c>
      <c r="AL13" s="37">
        <v>40</v>
      </c>
      <c r="AM13" s="37">
        <v>8</v>
      </c>
      <c r="AN13" s="37">
        <v>25</v>
      </c>
      <c r="AO13" s="37">
        <v>10</v>
      </c>
      <c r="AP13" s="37">
        <v>1</v>
      </c>
      <c r="AQ13" s="37">
        <v>40</v>
      </c>
      <c r="AR13" s="37">
        <v>1</v>
      </c>
      <c r="AS13" s="4">
        <v>9</v>
      </c>
    </row>
    <row r="14" spans="1:45" ht="15.9" customHeight="1">
      <c r="A14" s="24" t="str">
        <v>Q</v>
      </c>
      <c r="B14" s="37" t="str">
        <v>Q</v>
      </c>
      <c r="C14" s="10">
        <f t="shared" si="0"/>
        <v>14</v>
      </c>
      <c r="D14" s="10">
        <f t="shared" si="1"/>
        <v>27</v>
      </c>
      <c r="E14" s="10">
        <f t="shared" si="1"/>
        <v>2</v>
      </c>
      <c r="F14" s="10">
        <f t="shared" si="1"/>
        <v>25</v>
      </c>
      <c r="G14" s="10">
        <f t="shared" si="1"/>
        <v>7</v>
      </c>
      <c r="H14" s="10">
        <f t="shared" si="1"/>
        <v>24</v>
      </c>
      <c r="I14" s="10">
        <f t="shared" si="1"/>
        <v>12</v>
      </c>
      <c r="J14" s="4">
        <v>10</v>
      </c>
      <c r="L14" s="15">
        <v>10</v>
      </c>
      <c r="M14" s="38" t="s">
        <v>28</v>
      </c>
      <c r="N14" s="38" t="s">
        <v>64</v>
      </c>
      <c r="O14" s="38" t="s">
        <v>28</v>
      </c>
      <c r="P14" s="38" t="s">
        <v>230</v>
      </c>
      <c r="Q14" s="38" t="s">
        <v>89</v>
      </c>
      <c r="R14" s="38" t="s">
        <v>64</v>
      </c>
      <c r="S14" s="24" t="s">
        <v>17</v>
      </c>
      <c r="U14" s="37">
        <f t="shared" si="2"/>
        <v>15</v>
      </c>
      <c r="V14" s="37">
        <f t="shared" si="2"/>
        <v>13</v>
      </c>
      <c r="W14" s="37">
        <f t="shared" si="2"/>
        <v>15</v>
      </c>
      <c r="X14" s="37">
        <f t="shared" si="2"/>
        <v>0</v>
      </c>
      <c r="Y14" s="37">
        <f t="shared" si="2"/>
        <v>8</v>
      </c>
      <c r="Z14" s="37">
        <f t="shared" si="2"/>
        <v>13</v>
      </c>
      <c r="AA14" s="37">
        <f t="shared" si="2"/>
        <v>14</v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10</v>
      </c>
      <c r="AM14" s="37">
        <v>40</v>
      </c>
      <c r="AN14" s="37">
        <v>40</v>
      </c>
      <c r="AO14" s="37">
        <v>10</v>
      </c>
      <c r="AP14" s="37">
        <v>40</v>
      </c>
      <c r="AQ14" s="37">
        <v>1</v>
      </c>
      <c r="AR14" s="37">
        <v>1</v>
      </c>
      <c r="AS14" s="4">
        <v>10</v>
      </c>
    </row>
    <row r="15" spans="1:45" ht="15.9" customHeight="1">
      <c r="A15" s="24" t="str">
        <v>J</v>
      </c>
      <c r="B15" s="37" t="str">
        <v>J</v>
      </c>
      <c r="C15" s="10">
        <f t="shared" si="0"/>
        <v>23</v>
      </c>
      <c r="D15" s="10">
        <f t="shared" si="1"/>
        <v>5</v>
      </c>
      <c r="E15" s="10">
        <f t="shared" si="1"/>
        <v>35</v>
      </c>
      <c r="F15" s="10">
        <f t="shared" si="1"/>
        <v>6</v>
      </c>
      <c r="G15" s="10">
        <f t="shared" si="1"/>
        <v>20</v>
      </c>
      <c r="H15" s="10">
        <f t="shared" si="1"/>
        <v>2</v>
      </c>
      <c r="I15" s="10">
        <f t="shared" si="1"/>
        <v>15</v>
      </c>
      <c r="J15" s="4">
        <v>11</v>
      </c>
      <c r="L15" s="14">
        <v>11</v>
      </c>
      <c r="M15" s="38" t="s">
        <v>20</v>
      </c>
      <c r="N15" s="38" t="s">
        <v>64</v>
      </c>
      <c r="O15" s="38" t="s">
        <v>28</v>
      </c>
      <c r="P15" s="38" t="s">
        <v>234</v>
      </c>
      <c r="Q15" s="38" t="s">
        <v>26</v>
      </c>
      <c r="R15" s="38" t="s">
        <v>20</v>
      </c>
      <c r="S15" s="24" t="s">
        <v>17</v>
      </c>
      <c r="U15" s="37">
        <f t="shared" si="2"/>
        <v>1</v>
      </c>
      <c r="V15" s="37">
        <f t="shared" si="2"/>
        <v>13</v>
      </c>
      <c r="W15" s="37">
        <f t="shared" si="2"/>
        <v>15</v>
      </c>
      <c r="X15" s="37">
        <f t="shared" si="2"/>
        <v>0</v>
      </c>
      <c r="Y15" s="37">
        <f t="shared" si="2"/>
        <v>7</v>
      </c>
      <c r="Z15" s="37">
        <f t="shared" si="2"/>
        <v>1</v>
      </c>
      <c r="AA15" s="37">
        <f t="shared" si="2"/>
        <v>14</v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4">
        <v>1</v>
      </c>
      <c r="AK15" s="37" t="s">
        <v>28</v>
      </c>
      <c r="AL15" s="37">
        <v>40</v>
      </c>
      <c r="AM15" s="37">
        <v>40</v>
      </c>
      <c r="AN15" s="37">
        <v>40</v>
      </c>
      <c r="AO15" s="37">
        <v>1</v>
      </c>
      <c r="AP15" s="37">
        <v>1</v>
      </c>
      <c r="AQ15" s="37">
        <v>1</v>
      </c>
      <c r="AR15" s="37">
        <v>1</v>
      </c>
      <c r="AS15" s="4">
        <v>11</v>
      </c>
    </row>
    <row r="16" spans="1:45" ht="15.9" customHeight="1">
      <c r="A16" s="37" t="str">
        <v>TE</v>
      </c>
      <c r="B16" s="37" t="str">
        <v>TE</v>
      </c>
      <c r="C16" s="10">
        <f t="shared" si="0"/>
        <v>29</v>
      </c>
      <c r="D16" s="10">
        <f t="shared" si="1"/>
        <v>16</v>
      </c>
      <c r="E16" s="10">
        <f t="shared" si="1"/>
        <v>5</v>
      </c>
      <c r="F16" s="10">
        <f t="shared" si="1"/>
        <v>19</v>
      </c>
      <c r="G16" s="10">
        <f t="shared" si="1"/>
        <v>5</v>
      </c>
      <c r="H16" s="10">
        <f t="shared" si="1"/>
        <v>21</v>
      </c>
      <c r="I16" s="10">
        <f t="shared" si="1"/>
        <v>18</v>
      </c>
      <c r="J16" s="4">
        <v>12</v>
      </c>
      <c r="L16" s="15">
        <v>12</v>
      </c>
      <c r="M16" s="38" t="s">
        <v>29</v>
      </c>
      <c r="N16" s="38" t="s">
        <v>27</v>
      </c>
      <c r="O16" s="38" t="s">
        <v>224</v>
      </c>
      <c r="P16" s="38" t="s">
        <v>20</v>
      </c>
      <c r="Q16" s="38" t="s">
        <v>26</v>
      </c>
      <c r="R16" s="38" t="s">
        <v>89</v>
      </c>
      <c r="S16" s="24" t="s">
        <v>18</v>
      </c>
      <c r="U16" s="37">
        <f t="shared" si="2"/>
        <v>18</v>
      </c>
      <c r="V16" s="37">
        <f t="shared" si="2"/>
        <v>12</v>
      </c>
      <c r="W16" s="37">
        <f t="shared" si="2"/>
        <v>0</v>
      </c>
      <c r="X16" s="37">
        <f t="shared" si="2"/>
        <v>1</v>
      </c>
      <c r="Y16" s="37">
        <f t="shared" si="2"/>
        <v>7</v>
      </c>
      <c r="Z16" s="37">
        <f t="shared" si="2"/>
        <v>8</v>
      </c>
      <c r="AA16" s="37">
        <f t="shared" si="2"/>
        <v>10</v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4">
        <v>3</v>
      </c>
      <c r="AK16" s="37" t="s">
        <v>29</v>
      </c>
      <c r="AL16" s="37">
        <v>5</v>
      </c>
      <c r="AM16" s="37">
        <v>40</v>
      </c>
      <c r="AN16" s="37">
        <v>20</v>
      </c>
      <c r="AO16" s="37">
        <v>1</v>
      </c>
      <c r="AP16" s="37">
        <v>1</v>
      </c>
      <c r="AQ16" s="37">
        <v>1</v>
      </c>
      <c r="AR16" s="37">
        <v>1</v>
      </c>
      <c r="AS16" s="4">
        <v>12</v>
      </c>
    </row>
    <row r="17" spans="1:45" ht="15.9" customHeight="1">
      <c r="A17" s="154" t="str">
        <v>G1</v>
      </c>
      <c r="B17" s="151" t="str">
        <v>Golden M1</v>
      </c>
      <c r="C17" s="153">
        <f t="shared" si="0"/>
        <v>0</v>
      </c>
      <c r="D17" s="153">
        <f t="shared" si="1"/>
        <v>0</v>
      </c>
      <c r="E17" s="153">
        <f t="shared" si="1"/>
        <v>0</v>
      </c>
      <c r="F17" s="153">
        <f t="shared" si="1"/>
        <v>0</v>
      </c>
      <c r="G17" s="153">
        <f t="shared" si="1"/>
        <v>0</v>
      </c>
      <c r="H17" s="153">
        <f t="shared" si="1"/>
        <v>0</v>
      </c>
      <c r="I17" s="153">
        <f t="shared" si="1"/>
        <v>0</v>
      </c>
      <c r="J17" s="151">
        <v>13</v>
      </c>
      <c r="L17" s="14">
        <v>13</v>
      </c>
      <c r="M17" s="38" t="s">
        <v>26</v>
      </c>
      <c r="N17" s="38" t="s">
        <v>27</v>
      </c>
      <c r="O17" s="38" t="s">
        <v>238</v>
      </c>
      <c r="P17" s="38" t="s">
        <v>24</v>
      </c>
      <c r="Q17" s="38" t="s">
        <v>89</v>
      </c>
      <c r="R17" s="38" t="s">
        <v>64</v>
      </c>
      <c r="S17" s="24" t="s">
        <v>18</v>
      </c>
      <c r="U17" s="37">
        <f t="shared" si="2"/>
        <v>7</v>
      </c>
      <c r="V17" s="37">
        <f t="shared" si="2"/>
        <v>12</v>
      </c>
      <c r="W17" s="37">
        <f t="shared" si="2"/>
        <v>0</v>
      </c>
      <c r="X17" s="37">
        <f t="shared" si="2"/>
        <v>11</v>
      </c>
      <c r="Y17" s="37">
        <f t="shared" si="2"/>
        <v>8</v>
      </c>
      <c r="Z17" s="37">
        <f t="shared" si="2"/>
        <v>13</v>
      </c>
      <c r="AA17" s="37">
        <f t="shared" si="2"/>
        <v>10</v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4" t="s">
        <v>222</v>
      </c>
      <c r="AL17" s="154">
        <v>0</v>
      </c>
      <c r="AM17" s="154">
        <v>12</v>
      </c>
      <c r="AN17" s="154">
        <v>3</v>
      </c>
      <c r="AO17" s="154">
        <v>5</v>
      </c>
      <c r="AP17" s="154">
        <v>3</v>
      </c>
      <c r="AQ17" s="154">
        <v>0</v>
      </c>
      <c r="AR17" s="154">
        <v>0</v>
      </c>
      <c r="AS17" s="151">
        <v>13</v>
      </c>
    </row>
    <row r="18" spans="1:45" s="150" customFormat="1" ht="15.9" customHeight="1">
      <c r="A18" s="154" t="str">
        <v>G2</v>
      </c>
      <c r="B18" s="151" t="str">
        <v>Golden M2</v>
      </c>
      <c r="C18" s="153">
        <f t="shared" si="0"/>
        <v>0</v>
      </c>
      <c r="D18" s="153">
        <f t="shared" si="1"/>
        <v>2</v>
      </c>
      <c r="E18" s="153">
        <f t="shared" si="1"/>
        <v>1</v>
      </c>
      <c r="F18" s="153">
        <f t="shared" si="1"/>
        <v>1</v>
      </c>
      <c r="G18" s="153">
        <f t="shared" si="1"/>
        <v>1</v>
      </c>
      <c r="H18" s="153">
        <f t="shared" si="1"/>
        <v>0</v>
      </c>
      <c r="I18" s="153">
        <f t="shared" si="1"/>
        <v>0</v>
      </c>
      <c r="J18" s="151">
        <v>14</v>
      </c>
      <c r="K18" s="32"/>
      <c r="L18" s="15">
        <v>14</v>
      </c>
      <c r="M18" s="38" t="s">
        <v>89</v>
      </c>
      <c r="N18" s="38" t="s">
        <v>232</v>
      </c>
      <c r="O18" s="38" t="s">
        <v>27</v>
      </c>
      <c r="P18" s="38" t="s">
        <v>89</v>
      </c>
      <c r="Q18" s="38" t="s">
        <v>89</v>
      </c>
      <c r="R18" s="38" t="s">
        <v>27</v>
      </c>
      <c r="S18" s="24" t="s">
        <v>18</v>
      </c>
      <c r="U18" s="37">
        <f t="shared" si="2"/>
        <v>8</v>
      </c>
      <c r="V18" s="37">
        <f t="shared" si="2"/>
        <v>0</v>
      </c>
      <c r="W18" s="37">
        <f t="shared" si="2"/>
        <v>12</v>
      </c>
      <c r="X18" s="37">
        <f t="shared" si="2"/>
        <v>8</v>
      </c>
      <c r="Y18" s="37">
        <f t="shared" si="2"/>
        <v>8</v>
      </c>
      <c r="Z18" s="37">
        <f t="shared" si="2"/>
        <v>12</v>
      </c>
      <c r="AA18" s="37">
        <f t="shared" si="2"/>
        <v>10</v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4">
        <v>1</v>
      </c>
      <c r="AK18" s="154" t="s">
        <v>224</v>
      </c>
      <c r="AL18" s="154">
        <v>0</v>
      </c>
      <c r="AM18" s="154">
        <v>8</v>
      </c>
      <c r="AN18" s="154">
        <v>15</v>
      </c>
      <c r="AO18" s="154">
        <v>2</v>
      </c>
      <c r="AP18" s="154">
        <v>2</v>
      </c>
      <c r="AQ18" s="154">
        <v>0</v>
      </c>
      <c r="AR18" s="154">
        <v>0</v>
      </c>
      <c r="AS18" s="151">
        <v>14</v>
      </c>
    </row>
    <row r="19" spans="1:45" ht="15.9" customHeight="1">
      <c r="A19" s="154" t="str">
        <v>G3</v>
      </c>
      <c r="B19" s="151" t="str">
        <v>Golden M3</v>
      </c>
      <c r="C19" s="153">
        <f t="shared" si="0"/>
        <v>0</v>
      </c>
      <c r="D19" s="153">
        <f t="shared" si="1"/>
        <v>0</v>
      </c>
      <c r="E19" s="153">
        <f t="shared" si="1"/>
        <v>1</v>
      </c>
      <c r="F19" s="153">
        <f t="shared" si="1"/>
        <v>1</v>
      </c>
      <c r="G19" s="153">
        <f t="shared" si="1"/>
        <v>1</v>
      </c>
      <c r="H19" s="153">
        <f t="shared" si="1"/>
        <v>0</v>
      </c>
      <c r="I19" s="153">
        <f t="shared" si="1"/>
        <v>0</v>
      </c>
      <c r="J19" s="151">
        <v>15</v>
      </c>
      <c r="K19" s="42"/>
      <c r="L19" s="14">
        <v>15</v>
      </c>
      <c r="M19" s="38" t="s">
        <v>28</v>
      </c>
      <c r="N19" s="38" t="s">
        <v>89</v>
      </c>
      <c r="O19" s="38" t="s">
        <v>18</v>
      </c>
      <c r="P19" s="38" t="s">
        <v>232</v>
      </c>
      <c r="Q19" s="38" t="s">
        <v>234</v>
      </c>
      <c r="R19" s="38" t="s">
        <v>64</v>
      </c>
      <c r="S19" s="24" t="s">
        <v>18</v>
      </c>
      <c r="U19" s="37">
        <f t="shared" si="2"/>
        <v>15</v>
      </c>
      <c r="V19" s="37">
        <f t="shared" si="2"/>
        <v>8</v>
      </c>
      <c r="W19" s="37">
        <f t="shared" si="2"/>
        <v>10</v>
      </c>
      <c r="X19" s="37">
        <f t="shared" si="2"/>
        <v>0</v>
      </c>
      <c r="Y19" s="37">
        <f t="shared" si="2"/>
        <v>0</v>
      </c>
      <c r="Z19" s="37">
        <f t="shared" si="2"/>
        <v>13</v>
      </c>
      <c r="AA19" s="37">
        <f t="shared" si="2"/>
        <v>10</v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4">
        <v>1</v>
      </c>
      <c r="AK19" s="154" t="s">
        <v>226</v>
      </c>
      <c r="AL19" s="154">
        <v>0</v>
      </c>
      <c r="AM19" s="154">
        <v>2</v>
      </c>
      <c r="AN19" s="154">
        <v>7</v>
      </c>
      <c r="AO19" s="154">
        <v>1</v>
      </c>
      <c r="AP19" s="154">
        <v>2</v>
      </c>
      <c r="AQ19" s="154">
        <v>0</v>
      </c>
      <c r="AR19" s="154">
        <v>0</v>
      </c>
      <c r="AS19" s="151">
        <v>15</v>
      </c>
    </row>
    <row r="20" spans="1:45" ht="15.9" customHeight="1">
      <c r="A20" s="154" t="str">
        <v>G4</v>
      </c>
      <c r="B20" s="151" t="str">
        <v>Golden M4</v>
      </c>
      <c r="C20" s="153">
        <f t="shared" si="0"/>
        <v>0</v>
      </c>
      <c r="D20" s="153">
        <f t="shared" ref="D20:D29" si="3">COUNTIF(N$4:N$304,$A20)</f>
        <v>1</v>
      </c>
      <c r="E20" s="153">
        <f t="shared" ref="E20:E29" si="4">COUNTIF(O$4:O$304,$A20)</f>
        <v>2</v>
      </c>
      <c r="F20" s="153">
        <f t="shared" ref="F20:F29" si="5">COUNTIF(P$4:P$304,$A20)</f>
        <v>1</v>
      </c>
      <c r="G20" s="153">
        <f t="shared" ref="G20:G29" si="6">COUNTIF(Q$4:Q$304,$A20)</f>
        <v>1</v>
      </c>
      <c r="H20" s="153">
        <f t="shared" ref="H20:H29" si="7">COUNTIF(R$4:R$304,$A20)</f>
        <v>0</v>
      </c>
      <c r="I20" s="153">
        <f t="shared" ref="I20:I29" si="8">COUNTIF(S$4:S$304,$A20)</f>
        <v>0</v>
      </c>
      <c r="J20" s="151">
        <v>16</v>
      </c>
      <c r="L20" s="15">
        <v>16</v>
      </c>
      <c r="M20" s="38" t="s">
        <v>29</v>
      </c>
      <c r="N20" s="38" t="s">
        <v>64</v>
      </c>
      <c r="O20" s="38" t="s">
        <v>18</v>
      </c>
      <c r="P20" s="38" t="s">
        <v>27</v>
      </c>
      <c r="Q20" s="38" t="s">
        <v>27</v>
      </c>
      <c r="R20" s="38" t="s">
        <v>64</v>
      </c>
      <c r="S20" s="24" t="s">
        <v>24</v>
      </c>
      <c r="U20" s="37">
        <f t="shared" ref="U20:AA56" si="9">VLOOKUP(M20, $A$4:$J$29, 9, 0)</f>
        <v>18</v>
      </c>
      <c r="V20" s="37">
        <f t="shared" si="9"/>
        <v>13</v>
      </c>
      <c r="W20" s="37">
        <f t="shared" si="9"/>
        <v>10</v>
      </c>
      <c r="X20" s="37">
        <f t="shared" si="9"/>
        <v>12</v>
      </c>
      <c r="Y20" s="37">
        <f t="shared" si="9"/>
        <v>12</v>
      </c>
      <c r="Z20" s="37">
        <f t="shared" si="9"/>
        <v>13</v>
      </c>
      <c r="AA20" s="37">
        <f t="shared" si="9"/>
        <v>11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4">
        <v>3</v>
      </c>
      <c r="AK20" s="154" t="s">
        <v>228</v>
      </c>
      <c r="AL20" s="154">
        <v>0</v>
      </c>
      <c r="AM20" s="154">
        <v>5</v>
      </c>
      <c r="AN20" s="154">
        <v>5</v>
      </c>
      <c r="AO20" s="154">
        <v>5</v>
      </c>
      <c r="AP20" s="154">
        <v>2</v>
      </c>
      <c r="AQ20" s="154">
        <v>0</v>
      </c>
      <c r="AR20" s="154">
        <v>0</v>
      </c>
      <c r="AS20" s="151">
        <v>16</v>
      </c>
    </row>
    <row r="21" spans="1:45" ht="15.9" customHeight="1">
      <c r="A21" s="154" t="str">
        <v>G5</v>
      </c>
      <c r="B21" s="151" t="str">
        <v>Golden M5</v>
      </c>
      <c r="C21" s="153">
        <f t="shared" si="0"/>
        <v>0</v>
      </c>
      <c r="D21" s="153">
        <f t="shared" si="3"/>
        <v>3</v>
      </c>
      <c r="E21" s="153">
        <f t="shared" si="4"/>
        <v>0</v>
      </c>
      <c r="F21" s="153">
        <f t="shared" si="5"/>
        <v>4</v>
      </c>
      <c r="G21" s="153">
        <f t="shared" si="6"/>
        <v>1</v>
      </c>
      <c r="H21" s="153">
        <f t="shared" si="7"/>
        <v>0</v>
      </c>
      <c r="I21" s="153">
        <f t="shared" si="8"/>
        <v>0</v>
      </c>
      <c r="J21" s="151">
        <v>17</v>
      </c>
      <c r="L21" s="14">
        <v>17</v>
      </c>
      <c r="M21" s="38" t="s">
        <v>64</v>
      </c>
      <c r="N21" s="38" t="s">
        <v>64</v>
      </c>
      <c r="O21" s="38" t="s">
        <v>228</v>
      </c>
      <c r="P21" s="38" t="s">
        <v>224</v>
      </c>
      <c r="Q21" s="38" t="s">
        <v>89</v>
      </c>
      <c r="R21" s="38" t="s">
        <v>64</v>
      </c>
      <c r="S21" s="24" t="s">
        <v>24</v>
      </c>
      <c r="U21" s="37">
        <f t="shared" si="9"/>
        <v>13</v>
      </c>
      <c r="V21" s="37">
        <f t="shared" si="9"/>
        <v>13</v>
      </c>
      <c r="W21" s="37">
        <f t="shared" si="9"/>
        <v>0</v>
      </c>
      <c r="X21" s="37">
        <f t="shared" si="9"/>
        <v>0</v>
      </c>
      <c r="Y21" s="37">
        <f t="shared" si="9"/>
        <v>8</v>
      </c>
      <c r="Z21" s="37">
        <f t="shared" si="9"/>
        <v>13</v>
      </c>
      <c r="AA21" s="37">
        <f t="shared" si="9"/>
        <v>11</v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4" t="s">
        <v>230</v>
      </c>
      <c r="AL21" s="154">
        <v>0</v>
      </c>
      <c r="AM21" s="154">
        <v>2</v>
      </c>
      <c r="AN21" s="154">
        <v>2</v>
      </c>
      <c r="AO21" s="154">
        <v>1</v>
      </c>
      <c r="AP21" s="154">
        <v>3</v>
      </c>
      <c r="AQ21" s="154">
        <v>0</v>
      </c>
      <c r="AR21" s="154">
        <v>0</v>
      </c>
      <c r="AS21" s="151">
        <v>17</v>
      </c>
    </row>
    <row r="22" spans="1:45" ht="15.9" customHeight="1">
      <c r="A22" s="154" t="str">
        <v>G6</v>
      </c>
      <c r="B22" s="151" t="str">
        <v>Golden M6</v>
      </c>
      <c r="C22" s="153">
        <f t="shared" si="0"/>
        <v>0</v>
      </c>
      <c r="D22" s="153">
        <f t="shared" si="3"/>
        <v>3</v>
      </c>
      <c r="E22" s="153">
        <f t="shared" si="4"/>
        <v>1</v>
      </c>
      <c r="F22" s="153">
        <f t="shared" si="5"/>
        <v>2</v>
      </c>
      <c r="G22" s="153">
        <f t="shared" si="6"/>
        <v>2</v>
      </c>
      <c r="H22" s="153">
        <f t="shared" si="7"/>
        <v>0</v>
      </c>
      <c r="I22" s="153">
        <f t="shared" si="8"/>
        <v>0</v>
      </c>
      <c r="J22" s="151">
        <v>18</v>
      </c>
      <c r="L22" s="15">
        <v>18</v>
      </c>
      <c r="M22" s="38" t="s">
        <v>29</v>
      </c>
      <c r="N22" s="38" t="s">
        <v>242</v>
      </c>
      <c r="O22" s="38" t="s">
        <v>26</v>
      </c>
      <c r="P22" s="38" t="s">
        <v>17</v>
      </c>
      <c r="Q22" s="38" t="s">
        <v>26</v>
      </c>
      <c r="R22" s="38" t="s">
        <v>18</v>
      </c>
      <c r="S22" s="38" t="s">
        <v>24</v>
      </c>
      <c r="U22" s="37">
        <f t="shared" si="9"/>
        <v>18</v>
      </c>
      <c r="V22" s="37">
        <f t="shared" si="9"/>
        <v>0</v>
      </c>
      <c r="W22" s="37">
        <f t="shared" si="9"/>
        <v>7</v>
      </c>
      <c r="X22" s="37">
        <f t="shared" si="9"/>
        <v>14</v>
      </c>
      <c r="Y22" s="37">
        <f t="shared" si="9"/>
        <v>7</v>
      </c>
      <c r="Z22" s="37">
        <f t="shared" si="9"/>
        <v>10</v>
      </c>
      <c r="AA22" s="37">
        <f t="shared" si="9"/>
        <v>11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4">
        <v>1</v>
      </c>
      <c r="AK22" s="154" t="s">
        <v>232</v>
      </c>
      <c r="AL22" s="154">
        <v>0</v>
      </c>
      <c r="AM22" s="154">
        <v>2</v>
      </c>
      <c r="AN22" s="154">
        <v>2</v>
      </c>
      <c r="AO22" s="154">
        <v>1</v>
      </c>
      <c r="AP22" s="154">
        <v>3</v>
      </c>
      <c r="AQ22" s="154">
        <v>0</v>
      </c>
      <c r="AR22" s="154">
        <v>0</v>
      </c>
      <c r="AS22" s="151">
        <v>18</v>
      </c>
    </row>
    <row r="23" spans="1:45" ht="15.9" customHeight="1">
      <c r="A23" s="37" t="str">
        <v>GA</v>
      </c>
      <c r="B23" s="4" t="str">
        <v>Golden A</v>
      </c>
      <c r="C23" s="10">
        <f t="shared" si="0"/>
        <v>0</v>
      </c>
      <c r="D23" s="10">
        <f t="shared" si="3"/>
        <v>1</v>
      </c>
      <c r="E23" s="10">
        <f t="shared" si="4"/>
        <v>2</v>
      </c>
      <c r="F23" s="10">
        <f t="shared" si="5"/>
        <v>1</v>
      </c>
      <c r="G23" s="10">
        <f t="shared" si="6"/>
        <v>1</v>
      </c>
      <c r="H23" s="10">
        <f t="shared" si="7"/>
        <v>0</v>
      </c>
      <c r="I23" s="10">
        <f t="shared" si="8"/>
        <v>0</v>
      </c>
      <c r="J23" s="4">
        <v>19</v>
      </c>
      <c r="L23" s="14">
        <v>19</v>
      </c>
      <c r="M23" s="38" t="s">
        <v>89</v>
      </c>
      <c r="N23" s="38" t="s">
        <v>27</v>
      </c>
      <c r="O23" s="38" t="s">
        <v>24</v>
      </c>
      <c r="P23" s="38" t="s">
        <v>17</v>
      </c>
      <c r="Q23" s="38" t="s">
        <v>27</v>
      </c>
      <c r="R23" s="38" t="s">
        <v>29</v>
      </c>
      <c r="S23" s="24" t="s">
        <v>24</v>
      </c>
      <c r="U23" s="37">
        <f t="shared" si="9"/>
        <v>8</v>
      </c>
      <c r="V23" s="37">
        <f t="shared" si="9"/>
        <v>12</v>
      </c>
      <c r="W23" s="37">
        <f t="shared" si="9"/>
        <v>11</v>
      </c>
      <c r="X23" s="37">
        <f t="shared" si="9"/>
        <v>14</v>
      </c>
      <c r="Y23" s="37">
        <f t="shared" si="9"/>
        <v>12</v>
      </c>
      <c r="Z23" s="37">
        <f t="shared" si="9"/>
        <v>18</v>
      </c>
      <c r="AA23" s="37">
        <f t="shared" si="9"/>
        <v>11</v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0</v>
      </c>
      <c r="AM23" s="37">
        <v>5</v>
      </c>
      <c r="AN23" s="37">
        <v>6</v>
      </c>
      <c r="AO23" s="37">
        <v>1</v>
      </c>
      <c r="AP23" s="37">
        <v>3</v>
      </c>
      <c r="AQ23" s="37">
        <v>0</v>
      </c>
      <c r="AR23" s="37">
        <v>0</v>
      </c>
      <c r="AS23" s="4">
        <v>19</v>
      </c>
    </row>
    <row r="24" spans="1:45" ht="15.9" customHeight="1">
      <c r="A24" s="37" t="str">
        <v>GK</v>
      </c>
      <c r="B24" s="4" t="str">
        <v>Golden K</v>
      </c>
      <c r="C24" s="10">
        <f t="shared" si="0"/>
        <v>0</v>
      </c>
      <c r="D24" s="10">
        <f t="shared" si="3"/>
        <v>1</v>
      </c>
      <c r="E24" s="10">
        <f t="shared" si="4"/>
        <v>1</v>
      </c>
      <c r="F24" s="10">
        <f t="shared" si="5"/>
        <v>1</v>
      </c>
      <c r="G24" s="10">
        <f t="shared" si="6"/>
        <v>1</v>
      </c>
      <c r="H24" s="10">
        <f t="shared" si="7"/>
        <v>0</v>
      </c>
      <c r="I24" s="10">
        <f t="shared" si="8"/>
        <v>0</v>
      </c>
      <c r="J24" s="4">
        <v>20</v>
      </c>
      <c r="L24" s="15">
        <v>20</v>
      </c>
      <c r="M24" s="38" t="s">
        <v>21</v>
      </c>
      <c r="N24" s="38" t="s">
        <v>27</v>
      </c>
      <c r="O24" s="38" t="s">
        <v>234</v>
      </c>
      <c r="P24" s="38" t="s">
        <v>27</v>
      </c>
      <c r="Q24" s="38" t="s">
        <v>26</v>
      </c>
      <c r="R24" s="38" t="s">
        <v>29</v>
      </c>
      <c r="S24" s="24" t="s">
        <v>27</v>
      </c>
      <c r="U24" s="37">
        <f t="shared" si="9"/>
        <v>12</v>
      </c>
      <c r="V24" s="37">
        <f t="shared" si="9"/>
        <v>12</v>
      </c>
      <c r="W24" s="37">
        <f t="shared" si="9"/>
        <v>0</v>
      </c>
      <c r="X24" s="37">
        <f t="shared" si="9"/>
        <v>12</v>
      </c>
      <c r="Y24" s="37">
        <f t="shared" si="9"/>
        <v>7</v>
      </c>
      <c r="Z24" s="37">
        <f t="shared" si="9"/>
        <v>18</v>
      </c>
      <c r="AA24" s="37">
        <f t="shared" si="9"/>
        <v>12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4">
        <v>3</v>
      </c>
      <c r="AK24" s="37" t="s">
        <v>236</v>
      </c>
      <c r="AL24" s="37">
        <v>0</v>
      </c>
      <c r="AM24" s="37">
        <v>2</v>
      </c>
      <c r="AN24" s="37">
        <v>6</v>
      </c>
      <c r="AO24" s="37">
        <v>2</v>
      </c>
      <c r="AP24" s="37">
        <v>2</v>
      </c>
      <c r="AQ24" s="37">
        <v>0</v>
      </c>
      <c r="AR24" s="37">
        <v>0</v>
      </c>
      <c r="AS24" s="4">
        <v>20</v>
      </c>
    </row>
    <row r="25" spans="1:45" ht="16.5" customHeight="1">
      <c r="A25" s="37" t="str">
        <v>GQ</v>
      </c>
      <c r="B25" s="4" t="str">
        <v>Golden Q</v>
      </c>
      <c r="C25" s="10">
        <f t="shared" si="0"/>
        <v>0</v>
      </c>
      <c r="D25" s="10">
        <f t="shared" si="3"/>
        <v>1</v>
      </c>
      <c r="E25" s="10">
        <f t="shared" si="4"/>
        <v>1</v>
      </c>
      <c r="F25" s="10">
        <f t="shared" si="5"/>
        <v>1</v>
      </c>
      <c r="G25" s="10">
        <f t="shared" si="6"/>
        <v>0</v>
      </c>
      <c r="H25" s="10">
        <f t="shared" si="7"/>
        <v>0</v>
      </c>
      <c r="I25" s="10">
        <f t="shared" si="8"/>
        <v>0</v>
      </c>
      <c r="J25" s="4">
        <v>21</v>
      </c>
      <c r="L25" s="14">
        <v>21</v>
      </c>
      <c r="M25" s="38" t="s">
        <v>27</v>
      </c>
      <c r="N25" s="38" t="s">
        <v>27</v>
      </c>
      <c r="O25" s="38" t="s">
        <v>18</v>
      </c>
      <c r="P25" s="38" t="s">
        <v>29</v>
      </c>
      <c r="Q25" s="38" t="s">
        <v>89</v>
      </c>
      <c r="R25" s="38" t="s">
        <v>29</v>
      </c>
      <c r="S25" s="24" t="s">
        <v>27</v>
      </c>
      <c r="U25" s="37">
        <f t="shared" si="9"/>
        <v>12</v>
      </c>
      <c r="V25" s="37">
        <f t="shared" si="9"/>
        <v>12</v>
      </c>
      <c r="W25" s="37">
        <f t="shared" si="9"/>
        <v>10</v>
      </c>
      <c r="X25" s="37">
        <f t="shared" si="9"/>
        <v>18</v>
      </c>
      <c r="Y25" s="37">
        <f t="shared" si="9"/>
        <v>8</v>
      </c>
      <c r="Z25" s="37">
        <f t="shared" si="9"/>
        <v>18</v>
      </c>
      <c r="AA25" s="37">
        <f t="shared" si="9"/>
        <v>12</v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4">
        <v>1</v>
      </c>
      <c r="AK25" s="37" t="s">
        <v>238</v>
      </c>
      <c r="AL25" s="37">
        <v>0</v>
      </c>
      <c r="AM25" s="37">
        <v>10</v>
      </c>
      <c r="AN25" s="37">
        <v>6</v>
      </c>
      <c r="AO25" s="37">
        <v>1</v>
      </c>
      <c r="AP25" s="37">
        <v>4</v>
      </c>
      <c r="AQ25" s="37">
        <v>0</v>
      </c>
      <c r="AR25" s="37">
        <v>0</v>
      </c>
      <c r="AS25" s="4">
        <v>21</v>
      </c>
    </row>
    <row r="26" spans="1:45" ht="16.5" customHeight="1">
      <c r="A26" s="37" t="str">
        <v>GJ</v>
      </c>
      <c r="B26" s="4" t="str">
        <v>Golden J</v>
      </c>
      <c r="C26" s="10">
        <f t="shared" si="0"/>
        <v>0</v>
      </c>
      <c r="D26" s="10">
        <f t="shared" si="3"/>
        <v>1</v>
      </c>
      <c r="E26" s="10">
        <f t="shared" si="4"/>
        <v>1</v>
      </c>
      <c r="F26" s="10">
        <f t="shared" si="5"/>
        <v>1</v>
      </c>
      <c r="G26" s="10">
        <f t="shared" si="6"/>
        <v>1</v>
      </c>
      <c r="H26" s="10">
        <f t="shared" si="7"/>
        <v>0</v>
      </c>
      <c r="I26" s="10">
        <f t="shared" si="8"/>
        <v>0</v>
      </c>
      <c r="J26" s="4">
        <v>22</v>
      </c>
      <c r="L26" s="15">
        <v>22</v>
      </c>
      <c r="M26" s="38" t="s">
        <v>27</v>
      </c>
      <c r="N26" s="38" t="s">
        <v>29</v>
      </c>
      <c r="O26" s="38" t="s">
        <v>18</v>
      </c>
      <c r="P26" s="38" t="s">
        <v>29</v>
      </c>
      <c r="Q26" s="38" t="s">
        <v>29</v>
      </c>
      <c r="R26" s="38" t="s">
        <v>18</v>
      </c>
      <c r="S26" s="24" t="s">
        <v>27</v>
      </c>
      <c r="U26" s="37">
        <f t="shared" si="9"/>
        <v>12</v>
      </c>
      <c r="V26" s="37">
        <f t="shared" si="9"/>
        <v>18</v>
      </c>
      <c r="W26" s="37">
        <f t="shared" si="9"/>
        <v>10</v>
      </c>
      <c r="X26" s="37">
        <f t="shared" si="9"/>
        <v>18</v>
      </c>
      <c r="Y26" s="37">
        <f t="shared" si="9"/>
        <v>18</v>
      </c>
      <c r="Z26" s="37">
        <f t="shared" si="9"/>
        <v>10</v>
      </c>
      <c r="AA26" s="37">
        <f t="shared" si="9"/>
        <v>12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0</v>
      </c>
      <c r="AM26" s="37">
        <v>5</v>
      </c>
      <c r="AN26" s="37">
        <v>6</v>
      </c>
      <c r="AO26" s="37">
        <v>1</v>
      </c>
      <c r="AP26" s="37">
        <v>2</v>
      </c>
      <c r="AQ26" s="37">
        <v>0</v>
      </c>
      <c r="AR26" s="37">
        <v>0</v>
      </c>
      <c r="AS26" s="4">
        <v>22</v>
      </c>
    </row>
    <row r="27" spans="1:45" ht="16.5" customHeight="1">
      <c r="A27" s="37" t="str">
        <v>GT</v>
      </c>
      <c r="B27" s="37" t="str">
        <v>Golden TE</v>
      </c>
      <c r="C27" s="10">
        <f t="shared" si="0"/>
        <v>0</v>
      </c>
      <c r="D27" s="10">
        <f t="shared" si="3"/>
        <v>1</v>
      </c>
      <c r="E27" s="10">
        <f t="shared" si="4"/>
        <v>1</v>
      </c>
      <c r="F27" s="10">
        <f t="shared" si="5"/>
        <v>1</v>
      </c>
      <c r="G27" s="10">
        <f t="shared" si="6"/>
        <v>0</v>
      </c>
      <c r="H27" s="10">
        <f t="shared" si="7"/>
        <v>0</v>
      </c>
      <c r="I27" s="10">
        <f t="shared" si="8"/>
        <v>0</v>
      </c>
      <c r="J27" s="4">
        <v>23</v>
      </c>
      <c r="L27" s="14">
        <v>23</v>
      </c>
      <c r="M27" s="38" t="s">
        <v>18</v>
      </c>
      <c r="N27" s="38" t="s">
        <v>29</v>
      </c>
      <c r="O27" s="38" t="s">
        <v>18</v>
      </c>
      <c r="P27" s="38" t="s">
        <v>29</v>
      </c>
      <c r="Q27" s="38" t="s">
        <v>18</v>
      </c>
      <c r="R27" s="38" t="s">
        <v>18</v>
      </c>
      <c r="S27" s="24" t="s">
        <v>27</v>
      </c>
      <c r="U27" s="37">
        <f t="shared" si="9"/>
        <v>10</v>
      </c>
      <c r="V27" s="37">
        <f t="shared" si="9"/>
        <v>18</v>
      </c>
      <c r="W27" s="37">
        <f t="shared" si="9"/>
        <v>10</v>
      </c>
      <c r="X27" s="37">
        <f t="shared" si="9"/>
        <v>18</v>
      </c>
      <c r="Y27" s="37">
        <f t="shared" si="9"/>
        <v>10</v>
      </c>
      <c r="Z27" s="37">
        <f t="shared" si="9"/>
        <v>10</v>
      </c>
      <c r="AA27" s="37">
        <f t="shared" si="9"/>
        <v>12</v>
      </c>
      <c r="AC27" s="18">
        <v>1</v>
      </c>
      <c r="AD27" s="18">
        <v>1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0</v>
      </c>
      <c r="AM27" s="37">
        <v>2</v>
      </c>
      <c r="AN27" s="37">
        <v>6</v>
      </c>
      <c r="AO27" s="37">
        <v>1</v>
      </c>
      <c r="AP27" s="37">
        <v>2</v>
      </c>
      <c r="AQ27" s="37">
        <v>0</v>
      </c>
      <c r="AR27" s="37">
        <v>0</v>
      </c>
      <c r="AS27" s="4">
        <v>23</v>
      </c>
    </row>
    <row r="28" spans="1:45" ht="16.5" customHeight="1">
      <c r="A28" s="154" t="str">
        <v>MY</v>
      </c>
      <c r="B28" s="154" t="str">
        <v>Mystery</v>
      </c>
      <c r="C28" s="153">
        <f t="shared" si="0"/>
        <v>0</v>
      </c>
      <c r="D28" s="153">
        <f t="shared" si="3"/>
        <v>3</v>
      </c>
      <c r="E28" s="153">
        <f t="shared" si="4"/>
        <v>0</v>
      </c>
      <c r="F28" s="153">
        <f t="shared" si="5"/>
        <v>0</v>
      </c>
      <c r="G28" s="153">
        <f t="shared" si="6"/>
        <v>0</v>
      </c>
      <c r="H28" s="153">
        <f t="shared" si="7"/>
        <v>0</v>
      </c>
      <c r="I28" s="153">
        <f t="shared" si="8"/>
        <v>0</v>
      </c>
      <c r="J28" s="151">
        <v>24</v>
      </c>
      <c r="L28" s="15">
        <v>24</v>
      </c>
      <c r="M28" s="38" t="s">
        <v>18</v>
      </c>
      <c r="N28" s="38" t="s">
        <v>29</v>
      </c>
      <c r="O28" s="38" t="s">
        <v>28</v>
      </c>
      <c r="P28" s="38" t="s">
        <v>64</v>
      </c>
      <c r="Q28" s="38" t="s">
        <v>17</v>
      </c>
      <c r="R28" s="38" t="s">
        <v>24</v>
      </c>
      <c r="S28" s="24" t="s">
        <v>20</v>
      </c>
      <c r="U28" s="37">
        <f t="shared" si="9"/>
        <v>10</v>
      </c>
      <c r="V28" s="37">
        <f t="shared" si="9"/>
        <v>18</v>
      </c>
      <c r="W28" s="37">
        <f t="shared" si="9"/>
        <v>15</v>
      </c>
      <c r="X28" s="37">
        <f t="shared" si="9"/>
        <v>13</v>
      </c>
      <c r="Y28" s="37">
        <f t="shared" si="9"/>
        <v>14</v>
      </c>
      <c r="Z28" s="37">
        <f t="shared" si="9"/>
        <v>11</v>
      </c>
      <c r="AA28" s="37">
        <f t="shared" si="9"/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4">
        <v>3</v>
      </c>
      <c r="AK28" s="154" t="s">
        <v>94</v>
      </c>
      <c r="AL28" s="154">
        <v>0</v>
      </c>
      <c r="AM28" s="154">
        <v>10</v>
      </c>
      <c r="AN28" s="154">
        <v>10</v>
      </c>
      <c r="AO28" s="154">
        <v>10</v>
      </c>
      <c r="AP28" s="154">
        <v>10</v>
      </c>
      <c r="AQ28" s="154">
        <v>0</v>
      </c>
      <c r="AR28" s="154">
        <v>0</v>
      </c>
      <c r="AS28" s="151">
        <v>24</v>
      </c>
    </row>
    <row r="29" spans="1:45" ht="16.5" customHeight="1">
      <c r="A29" s="154" t="str">
        <v>GM</v>
      </c>
      <c r="B29" s="154" t="str">
        <v>Golden Mystery</v>
      </c>
      <c r="C29" s="153">
        <f t="shared" si="0"/>
        <v>0</v>
      </c>
      <c r="D29" s="153">
        <f t="shared" si="3"/>
        <v>1</v>
      </c>
      <c r="E29" s="153">
        <f t="shared" si="4"/>
        <v>0</v>
      </c>
      <c r="F29" s="153">
        <f t="shared" si="5"/>
        <v>0</v>
      </c>
      <c r="G29" s="153">
        <f t="shared" si="6"/>
        <v>0</v>
      </c>
      <c r="H29" s="153">
        <f t="shared" si="7"/>
        <v>0</v>
      </c>
      <c r="I29" s="153">
        <f t="shared" si="8"/>
        <v>0</v>
      </c>
      <c r="J29" s="151">
        <v>25</v>
      </c>
      <c r="L29" s="14">
        <v>25</v>
      </c>
      <c r="M29" s="38" t="s">
        <v>89</v>
      </c>
      <c r="N29" s="38" t="s">
        <v>89</v>
      </c>
      <c r="O29" s="38" t="s">
        <v>28</v>
      </c>
      <c r="P29" s="38" t="s">
        <v>64</v>
      </c>
      <c r="Q29" s="38" t="s">
        <v>29</v>
      </c>
      <c r="R29" s="38" t="s">
        <v>64</v>
      </c>
      <c r="S29" s="24" t="s">
        <v>29</v>
      </c>
      <c r="U29" s="37">
        <f t="shared" si="9"/>
        <v>8</v>
      </c>
      <c r="V29" s="37">
        <f t="shared" si="9"/>
        <v>8</v>
      </c>
      <c r="W29" s="37">
        <f t="shared" si="9"/>
        <v>15</v>
      </c>
      <c r="X29" s="37">
        <f t="shared" si="9"/>
        <v>13</v>
      </c>
      <c r="Y29" s="37">
        <f t="shared" si="9"/>
        <v>18</v>
      </c>
      <c r="Z29" s="37">
        <f t="shared" si="9"/>
        <v>13</v>
      </c>
      <c r="AA29" s="37">
        <f t="shared" si="9"/>
        <v>18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4" t="s">
        <v>257</v>
      </c>
      <c r="AL29" s="154">
        <v>0</v>
      </c>
      <c r="AM29" s="154">
        <v>1</v>
      </c>
      <c r="AN29" s="154">
        <v>1</v>
      </c>
      <c r="AO29" s="154">
        <v>1</v>
      </c>
      <c r="AP29" s="154">
        <v>1</v>
      </c>
      <c r="AQ29" s="154">
        <v>0</v>
      </c>
      <c r="AR29" s="154">
        <v>0</v>
      </c>
      <c r="AS29" s="151">
        <v>25</v>
      </c>
    </row>
    <row r="30" spans="1:45" ht="16.5" customHeight="1">
      <c r="A30" s="150"/>
      <c r="B30" s="150"/>
      <c r="C30" s="170">
        <f>SUM(C4:C29)</f>
        <v>121</v>
      </c>
      <c r="D30" s="170">
        <f t="shared" ref="D30:I30" si="10">SUM(D4:D29)</f>
        <v>121</v>
      </c>
      <c r="E30" s="170">
        <f t="shared" si="10"/>
        <v>121</v>
      </c>
      <c r="F30" s="170">
        <f t="shared" si="10"/>
        <v>121</v>
      </c>
      <c r="G30" s="170">
        <f t="shared" si="10"/>
        <v>121</v>
      </c>
      <c r="H30" s="170">
        <f t="shared" si="10"/>
        <v>121</v>
      </c>
      <c r="I30" s="170">
        <f t="shared" si="10"/>
        <v>121</v>
      </c>
      <c r="J30" s="13"/>
      <c r="L30" s="15">
        <v>26</v>
      </c>
      <c r="M30" s="38" t="s">
        <v>28</v>
      </c>
      <c r="N30" s="38" t="s">
        <v>89</v>
      </c>
      <c r="O30" s="38" t="s">
        <v>89</v>
      </c>
      <c r="P30" s="38" t="s">
        <v>27</v>
      </c>
      <c r="Q30" s="38" t="s">
        <v>27</v>
      </c>
      <c r="R30" s="38" t="s">
        <v>27</v>
      </c>
      <c r="S30" s="24" t="s">
        <v>29</v>
      </c>
      <c r="U30" s="37">
        <f t="shared" si="9"/>
        <v>15</v>
      </c>
      <c r="V30" s="37">
        <f t="shared" si="9"/>
        <v>8</v>
      </c>
      <c r="W30" s="37">
        <f t="shared" si="9"/>
        <v>8</v>
      </c>
      <c r="X30" s="37">
        <f t="shared" si="9"/>
        <v>12</v>
      </c>
      <c r="Y30" s="37">
        <f t="shared" si="9"/>
        <v>12</v>
      </c>
      <c r="Z30" s="37">
        <f t="shared" si="9"/>
        <v>12</v>
      </c>
      <c r="AA30" s="37">
        <f t="shared" si="9"/>
        <v>18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4">
        <v>1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28</v>
      </c>
      <c r="N31" s="38" t="s">
        <v>24</v>
      </c>
      <c r="O31" s="38" t="s">
        <v>17</v>
      </c>
      <c r="P31" s="38" t="s">
        <v>27</v>
      </c>
      <c r="Q31" s="38" t="s">
        <v>27</v>
      </c>
      <c r="R31" s="38" t="s">
        <v>64</v>
      </c>
      <c r="S31" s="24" t="s">
        <v>29</v>
      </c>
      <c r="U31" s="37">
        <f t="shared" si="9"/>
        <v>15</v>
      </c>
      <c r="V31" s="37">
        <f t="shared" si="9"/>
        <v>11</v>
      </c>
      <c r="W31" s="37">
        <f t="shared" si="9"/>
        <v>14</v>
      </c>
      <c r="X31" s="37">
        <f t="shared" si="9"/>
        <v>12</v>
      </c>
      <c r="Y31" s="37">
        <f t="shared" si="9"/>
        <v>12</v>
      </c>
      <c r="Z31" s="37">
        <f t="shared" si="9"/>
        <v>13</v>
      </c>
      <c r="AA31" s="37">
        <f t="shared" si="9"/>
        <v>18</v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27</v>
      </c>
      <c r="N32" s="38" t="s">
        <v>24</v>
      </c>
      <c r="O32" s="38" t="s">
        <v>228</v>
      </c>
      <c r="P32" s="38" t="s">
        <v>226</v>
      </c>
      <c r="Q32" s="38" t="s">
        <v>89</v>
      </c>
      <c r="R32" s="38" t="s">
        <v>24</v>
      </c>
      <c r="S32" s="24" t="s">
        <v>28</v>
      </c>
      <c r="U32" s="37">
        <f t="shared" si="9"/>
        <v>12</v>
      </c>
      <c r="V32" s="37">
        <f t="shared" si="9"/>
        <v>11</v>
      </c>
      <c r="W32" s="37">
        <f t="shared" si="9"/>
        <v>0</v>
      </c>
      <c r="X32" s="37">
        <f t="shared" si="9"/>
        <v>0</v>
      </c>
      <c r="Y32" s="37">
        <f t="shared" si="9"/>
        <v>8</v>
      </c>
      <c r="Z32" s="37">
        <f t="shared" si="9"/>
        <v>11</v>
      </c>
      <c r="AA32" s="37">
        <f t="shared" si="9"/>
        <v>15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4">
        <v>3</v>
      </c>
      <c r="AK32" s="16" t="s">
        <v>265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>
      <c r="B33" s="149" t="s">
        <v>72</v>
      </c>
      <c r="C33" s="155">
        <v>0</v>
      </c>
      <c r="D33" s="155">
        <v>105</v>
      </c>
      <c r="E33" s="155">
        <v>45</v>
      </c>
      <c r="F33" s="155">
        <v>175</v>
      </c>
      <c r="G33" s="155">
        <v>135</v>
      </c>
      <c r="H33" s="155">
        <v>0</v>
      </c>
      <c r="J33" s="13"/>
      <c r="L33" s="14">
        <v>29</v>
      </c>
      <c r="M33" s="38" t="s">
        <v>27</v>
      </c>
      <c r="N33" s="38" t="s">
        <v>24</v>
      </c>
      <c r="O33" s="38" t="s">
        <v>18</v>
      </c>
      <c r="P33" s="38" t="s">
        <v>27</v>
      </c>
      <c r="Q33" s="38" t="s">
        <v>89</v>
      </c>
      <c r="R33" s="38" t="s">
        <v>27</v>
      </c>
      <c r="S33" s="24" t="s">
        <v>28</v>
      </c>
      <c r="U33" s="37">
        <f t="shared" si="9"/>
        <v>12</v>
      </c>
      <c r="V33" s="37">
        <f t="shared" si="9"/>
        <v>11</v>
      </c>
      <c r="W33" s="37">
        <f t="shared" si="9"/>
        <v>10</v>
      </c>
      <c r="X33" s="37">
        <f t="shared" si="9"/>
        <v>12</v>
      </c>
      <c r="Y33" s="37">
        <f t="shared" si="9"/>
        <v>8</v>
      </c>
      <c r="Z33" s="37">
        <f t="shared" si="9"/>
        <v>12</v>
      </c>
      <c r="AA33" s="37">
        <f t="shared" si="9"/>
        <v>15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75</v>
      </c>
      <c r="C34" s="8">
        <v>0</v>
      </c>
      <c r="D34" s="8">
        <v>105</v>
      </c>
      <c r="E34" s="8">
        <v>45</v>
      </c>
      <c r="F34" s="8">
        <v>175</v>
      </c>
      <c r="G34" s="8">
        <v>135</v>
      </c>
      <c r="H34" s="8">
        <v>0</v>
      </c>
      <c r="L34" s="15">
        <v>30</v>
      </c>
      <c r="M34" s="38" t="s">
        <v>18</v>
      </c>
      <c r="N34" s="38" t="s">
        <v>28</v>
      </c>
      <c r="O34" s="38" t="s">
        <v>28</v>
      </c>
      <c r="P34" s="38" t="s">
        <v>26</v>
      </c>
      <c r="Q34" s="38" t="s">
        <v>26</v>
      </c>
      <c r="R34" s="38" t="s">
        <v>27</v>
      </c>
      <c r="S34" s="38" t="s">
        <v>28</v>
      </c>
      <c r="U34" s="37">
        <f t="shared" si="9"/>
        <v>10</v>
      </c>
      <c r="V34" s="37">
        <f t="shared" si="9"/>
        <v>15</v>
      </c>
      <c r="W34" s="37">
        <f t="shared" si="9"/>
        <v>15</v>
      </c>
      <c r="X34" s="37">
        <f t="shared" si="9"/>
        <v>7</v>
      </c>
      <c r="Y34" s="37">
        <f t="shared" si="9"/>
        <v>7</v>
      </c>
      <c r="Z34" s="37">
        <f t="shared" si="9"/>
        <v>12</v>
      </c>
      <c r="AA34" s="37">
        <f t="shared" si="9"/>
        <v>15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5</v>
      </c>
      <c r="AM34" s="37">
        <v>5</v>
      </c>
      <c r="AN34" s="37">
        <v>5</v>
      </c>
      <c r="AO34" s="37">
        <v>5</v>
      </c>
      <c r="AP34" s="37">
        <v>5</v>
      </c>
      <c r="AQ34" s="37">
        <v>5</v>
      </c>
      <c r="AR34" s="37">
        <v>0</v>
      </c>
      <c r="AS34" s="4">
        <v>1</v>
      </c>
    </row>
    <row r="35" spans="1:45" ht="16.5" customHeight="1">
      <c r="B35" s="4" t="s">
        <v>73</v>
      </c>
      <c r="C35" s="8">
        <v>0</v>
      </c>
      <c r="D35" s="8">
        <v>675</v>
      </c>
      <c r="E35" s="8">
        <v>195</v>
      </c>
      <c r="F35" s="8">
        <v>475</v>
      </c>
      <c r="G35" s="8">
        <v>1075</v>
      </c>
      <c r="H35" s="8">
        <v>0</v>
      </c>
      <c r="L35" s="14">
        <v>31</v>
      </c>
      <c r="M35" s="38" t="s">
        <v>89</v>
      </c>
      <c r="N35" s="38" t="s">
        <v>27</v>
      </c>
      <c r="O35" s="38" t="s">
        <v>28</v>
      </c>
      <c r="P35" s="38" t="s">
        <v>236</v>
      </c>
      <c r="Q35" s="38" t="s">
        <v>29</v>
      </c>
      <c r="R35" s="38" t="s">
        <v>29</v>
      </c>
      <c r="S35" s="24" t="s">
        <v>28</v>
      </c>
      <c r="U35" s="37">
        <f t="shared" si="9"/>
        <v>8</v>
      </c>
      <c r="V35" s="37">
        <f t="shared" si="9"/>
        <v>12</v>
      </c>
      <c r="W35" s="37">
        <f t="shared" si="9"/>
        <v>15</v>
      </c>
      <c r="X35" s="37">
        <f t="shared" si="9"/>
        <v>0</v>
      </c>
      <c r="Y35" s="37">
        <f t="shared" si="9"/>
        <v>18</v>
      </c>
      <c r="Z35" s="37">
        <f t="shared" si="9"/>
        <v>18</v>
      </c>
      <c r="AA35" s="37">
        <f t="shared" si="9"/>
        <v>15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4" t="s">
        <v>20</v>
      </c>
      <c r="AL35" s="154">
        <v>15</v>
      </c>
      <c r="AM35" s="154">
        <v>42</v>
      </c>
      <c r="AN35" s="154">
        <v>20</v>
      </c>
      <c r="AO35" s="154">
        <v>10</v>
      </c>
      <c r="AP35" s="154">
        <v>40</v>
      </c>
      <c r="AQ35" s="154">
        <v>5</v>
      </c>
      <c r="AR35" s="154">
        <v>1</v>
      </c>
      <c r="AS35" s="151">
        <v>2</v>
      </c>
    </row>
    <row r="36" spans="1:45" ht="16.5" customHeight="1">
      <c r="B36" s="4" t="s">
        <v>76</v>
      </c>
      <c r="C36" s="8">
        <v>0</v>
      </c>
      <c r="D36" s="8">
        <v>675</v>
      </c>
      <c r="E36" s="8">
        <v>195</v>
      </c>
      <c r="F36" s="8">
        <v>475</v>
      </c>
      <c r="G36" s="8">
        <v>1075</v>
      </c>
      <c r="H36" s="8">
        <v>0</v>
      </c>
      <c r="L36" s="15">
        <v>32</v>
      </c>
      <c r="M36" s="38" t="s">
        <v>89</v>
      </c>
      <c r="N36" s="38" t="s">
        <v>27</v>
      </c>
      <c r="O36" s="38" t="s">
        <v>24</v>
      </c>
      <c r="P36" s="38" t="s">
        <v>24</v>
      </c>
      <c r="Q36" s="38" t="s">
        <v>29</v>
      </c>
      <c r="R36" s="38" t="s">
        <v>28</v>
      </c>
      <c r="S36" s="24" t="s">
        <v>89</v>
      </c>
      <c r="U36" s="37">
        <f t="shared" si="9"/>
        <v>8</v>
      </c>
      <c r="V36" s="37">
        <f t="shared" si="9"/>
        <v>12</v>
      </c>
      <c r="W36" s="37">
        <f t="shared" si="9"/>
        <v>11</v>
      </c>
      <c r="X36" s="37">
        <f t="shared" si="9"/>
        <v>11</v>
      </c>
      <c r="Y36" s="37">
        <f t="shared" si="9"/>
        <v>18</v>
      </c>
      <c r="Z36" s="37">
        <f t="shared" si="9"/>
        <v>15</v>
      </c>
      <c r="AA36" s="37">
        <f t="shared" si="9"/>
        <v>8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4">
        <v>3</v>
      </c>
      <c r="AK36" s="154" t="s">
        <v>21</v>
      </c>
      <c r="AL36" s="154">
        <v>40</v>
      </c>
      <c r="AM36" s="154">
        <v>15</v>
      </c>
      <c r="AN36" s="154">
        <v>40</v>
      </c>
      <c r="AO36" s="154">
        <v>42</v>
      </c>
      <c r="AP36" s="154">
        <v>40</v>
      </c>
      <c r="AQ36" s="154">
        <v>5</v>
      </c>
      <c r="AR36" s="154">
        <v>1</v>
      </c>
      <c r="AS36" s="151">
        <v>3</v>
      </c>
    </row>
    <row r="37" spans="1:45" ht="16.5" customHeight="1">
      <c r="B37" s="4" t="s">
        <v>74</v>
      </c>
      <c r="C37" s="8">
        <v>0</v>
      </c>
      <c r="D37" s="8">
        <v>463</v>
      </c>
      <c r="E37" s="8">
        <v>303</v>
      </c>
      <c r="F37" s="8">
        <v>330</v>
      </c>
      <c r="G37" s="8">
        <v>727</v>
      </c>
      <c r="H37" s="8">
        <v>0</v>
      </c>
      <c r="L37" s="14">
        <v>33</v>
      </c>
      <c r="M37" s="38" t="s">
        <v>28</v>
      </c>
      <c r="N37" s="38" t="s">
        <v>27</v>
      </c>
      <c r="O37" s="38" t="s">
        <v>28</v>
      </c>
      <c r="P37" s="38" t="s">
        <v>27</v>
      </c>
      <c r="Q37" s="38" t="s">
        <v>26</v>
      </c>
      <c r="R37" s="38" t="s">
        <v>24</v>
      </c>
      <c r="S37" s="24" t="s">
        <v>64</v>
      </c>
      <c r="U37" s="37">
        <f t="shared" si="9"/>
        <v>15</v>
      </c>
      <c r="V37" s="37">
        <f t="shared" si="9"/>
        <v>12</v>
      </c>
      <c r="W37" s="37">
        <f t="shared" si="9"/>
        <v>15</v>
      </c>
      <c r="X37" s="37">
        <f t="shared" si="9"/>
        <v>12</v>
      </c>
      <c r="Y37" s="37">
        <f t="shared" si="9"/>
        <v>7</v>
      </c>
      <c r="Z37" s="37">
        <f t="shared" si="9"/>
        <v>11</v>
      </c>
      <c r="AA37" s="37">
        <f t="shared" si="9"/>
        <v>13</v>
      </c>
      <c r="AC37" s="18">
        <v>1</v>
      </c>
      <c r="AD37" s="18">
        <v>1</v>
      </c>
      <c r="AE37" s="18">
        <v>1</v>
      </c>
      <c r="AF37" s="18">
        <v>1</v>
      </c>
      <c r="AG37" s="18">
        <v>1</v>
      </c>
      <c r="AH37" s="18">
        <v>1</v>
      </c>
      <c r="AI37" s="4">
        <v>1</v>
      </c>
      <c r="AK37" s="154" t="s">
        <v>17</v>
      </c>
      <c r="AL37" s="154">
        <v>15</v>
      </c>
      <c r="AM37" s="154">
        <v>40</v>
      </c>
      <c r="AN37" s="154">
        <v>20</v>
      </c>
      <c r="AO37" s="154">
        <v>10</v>
      </c>
      <c r="AP37" s="154">
        <v>5</v>
      </c>
      <c r="AQ37" s="154">
        <v>40</v>
      </c>
      <c r="AR37" s="154">
        <v>1</v>
      </c>
      <c r="AS37" s="151">
        <v>4</v>
      </c>
    </row>
    <row r="38" spans="1:45" ht="16.5" customHeight="1">
      <c r="B38" s="4" t="s">
        <v>77</v>
      </c>
      <c r="C38" s="8">
        <v>0</v>
      </c>
      <c r="D38" s="8">
        <v>463</v>
      </c>
      <c r="E38" s="8">
        <v>303</v>
      </c>
      <c r="F38" s="8">
        <v>330</v>
      </c>
      <c r="G38" s="8">
        <v>727</v>
      </c>
      <c r="H38" s="8">
        <v>0</v>
      </c>
      <c r="L38" s="15">
        <v>34</v>
      </c>
      <c r="M38" s="38" t="s">
        <v>26</v>
      </c>
      <c r="N38" s="38" t="s">
        <v>64</v>
      </c>
      <c r="O38" s="38" t="s">
        <v>18</v>
      </c>
      <c r="P38" s="38" t="s">
        <v>29</v>
      </c>
      <c r="Q38" s="38" t="s">
        <v>26</v>
      </c>
      <c r="R38" s="38" t="s">
        <v>24</v>
      </c>
      <c r="S38" s="24" t="s">
        <v>64</v>
      </c>
      <c r="U38" s="37">
        <f t="shared" si="9"/>
        <v>7</v>
      </c>
      <c r="V38" s="37">
        <f t="shared" si="9"/>
        <v>13</v>
      </c>
      <c r="W38" s="37">
        <f t="shared" si="9"/>
        <v>10</v>
      </c>
      <c r="X38" s="37">
        <f t="shared" si="9"/>
        <v>18</v>
      </c>
      <c r="Y38" s="37">
        <f t="shared" si="9"/>
        <v>7</v>
      </c>
      <c r="Z38" s="37">
        <f t="shared" si="9"/>
        <v>11</v>
      </c>
      <c r="AA38" s="37">
        <f t="shared" si="9"/>
        <v>13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4">
        <v>1</v>
      </c>
      <c r="AK38" s="154" t="s">
        <v>18</v>
      </c>
      <c r="AL38" s="154">
        <v>40</v>
      </c>
      <c r="AM38" s="154">
        <v>15</v>
      </c>
      <c r="AN38" s="154">
        <v>40</v>
      </c>
      <c r="AO38" s="154">
        <v>10</v>
      </c>
      <c r="AP38" s="154">
        <v>5</v>
      </c>
      <c r="AQ38" s="154">
        <v>40</v>
      </c>
      <c r="AR38" s="154">
        <v>1</v>
      </c>
      <c r="AS38" s="151">
        <v>5</v>
      </c>
    </row>
    <row r="39" spans="1:45" ht="16.5" customHeight="1">
      <c r="B39" s="4" t="s">
        <v>78</v>
      </c>
      <c r="C39" s="8">
        <v>0</v>
      </c>
      <c r="D39" s="8">
        <v>463</v>
      </c>
      <c r="E39" s="8">
        <v>303</v>
      </c>
      <c r="F39" s="8">
        <v>330</v>
      </c>
      <c r="G39" s="8">
        <v>727</v>
      </c>
      <c r="H39" s="8">
        <v>0</v>
      </c>
      <c r="L39" s="14">
        <v>35</v>
      </c>
      <c r="M39" s="38" t="s">
        <v>64</v>
      </c>
      <c r="N39" s="38" t="s">
        <v>236</v>
      </c>
      <c r="O39" s="38" t="s">
        <v>18</v>
      </c>
      <c r="P39" s="38" t="s">
        <v>64</v>
      </c>
      <c r="Q39" s="38" t="s">
        <v>89</v>
      </c>
      <c r="R39" s="38" t="s">
        <v>24</v>
      </c>
      <c r="S39" s="24" t="s">
        <v>64</v>
      </c>
      <c r="U39" s="37">
        <f t="shared" si="9"/>
        <v>13</v>
      </c>
      <c r="V39" s="37">
        <f t="shared" si="9"/>
        <v>0</v>
      </c>
      <c r="W39" s="37">
        <f t="shared" si="9"/>
        <v>10</v>
      </c>
      <c r="X39" s="37">
        <f t="shared" si="9"/>
        <v>13</v>
      </c>
      <c r="Y39" s="37">
        <f t="shared" si="9"/>
        <v>8</v>
      </c>
      <c r="Z39" s="37">
        <f t="shared" si="9"/>
        <v>11</v>
      </c>
      <c r="AA39" s="37">
        <f t="shared" si="9"/>
        <v>13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4" t="s">
        <v>64</v>
      </c>
      <c r="AL39" s="154">
        <v>15</v>
      </c>
      <c r="AM39" s="154">
        <v>40</v>
      </c>
      <c r="AN39" s="154">
        <v>20</v>
      </c>
      <c r="AO39" s="154">
        <v>10</v>
      </c>
      <c r="AP39" s="154">
        <v>40</v>
      </c>
      <c r="AQ39" s="154">
        <v>5</v>
      </c>
      <c r="AR39" s="154">
        <v>1</v>
      </c>
      <c r="AS39" s="151">
        <v>6</v>
      </c>
    </row>
    <row r="40" spans="1:45" ht="16.5" customHeight="1">
      <c r="B40" s="4" t="s">
        <v>79</v>
      </c>
      <c r="C40" s="8">
        <v>0</v>
      </c>
      <c r="D40" s="8">
        <v>910</v>
      </c>
      <c r="E40" s="8">
        <v>610</v>
      </c>
      <c r="F40" s="8">
        <v>1373</v>
      </c>
      <c r="G40" s="8">
        <v>973</v>
      </c>
      <c r="H40" s="8">
        <v>0</v>
      </c>
      <c r="L40" s="15">
        <v>36</v>
      </c>
      <c r="M40" s="37" t="s">
        <v>29</v>
      </c>
      <c r="N40" s="37" t="s">
        <v>29</v>
      </c>
      <c r="O40" s="37" t="s">
        <v>28</v>
      </c>
      <c r="P40" s="37" t="s">
        <v>64</v>
      </c>
      <c r="Q40" s="37" t="s">
        <v>18</v>
      </c>
      <c r="R40" s="37" t="s">
        <v>26</v>
      </c>
      <c r="S40" s="37" t="s">
        <v>89</v>
      </c>
      <c r="U40" s="37">
        <f t="shared" si="9"/>
        <v>18</v>
      </c>
      <c r="V40" s="37">
        <f t="shared" si="9"/>
        <v>18</v>
      </c>
      <c r="W40" s="37">
        <f t="shared" si="9"/>
        <v>15</v>
      </c>
      <c r="X40" s="37">
        <f t="shared" si="9"/>
        <v>13</v>
      </c>
      <c r="Y40" s="37">
        <f t="shared" si="9"/>
        <v>10</v>
      </c>
      <c r="Z40" s="37">
        <f t="shared" si="9"/>
        <v>7</v>
      </c>
      <c r="AA40" s="37">
        <f t="shared" si="9"/>
        <v>8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4">
        <v>3</v>
      </c>
      <c r="AK40" s="154" t="s">
        <v>89</v>
      </c>
      <c r="AL40" s="154">
        <v>40</v>
      </c>
      <c r="AM40" s="154">
        <v>15</v>
      </c>
      <c r="AN40" s="154">
        <v>40</v>
      </c>
      <c r="AO40" s="154">
        <v>10</v>
      </c>
      <c r="AP40" s="154">
        <v>5</v>
      </c>
      <c r="AQ40" s="154">
        <v>40</v>
      </c>
      <c r="AR40" s="154">
        <v>1</v>
      </c>
      <c r="AS40" s="151">
        <v>7</v>
      </c>
    </row>
    <row r="41" spans="1:45" ht="16.5" customHeight="1">
      <c r="B41" s="4" t="s">
        <v>80</v>
      </c>
      <c r="C41" s="8">
        <v>0</v>
      </c>
      <c r="D41" s="8">
        <v>910</v>
      </c>
      <c r="E41" s="8">
        <v>610</v>
      </c>
      <c r="F41" s="8">
        <v>1373</v>
      </c>
      <c r="G41" s="8">
        <v>973</v>
      </c>
      <c r="H41" s="8">
        <v>0</v>
      </c>
      <c r="L41" s="14">
        <v>37</v>
      </c>
      <c r="M41" s="38" t="s">
        <v>89</v>
      </c>
      <c r="N41" s="38" t="s">
        <v>29</v>
      </c>
      <c r="O41" s="38" t="s">
        <v>28</v>
      </c>
      <c r="P41" s="38" t="s">
        <v>64</v>
      </c>
      <c r="Q41" s="38" t="s">
        <v>28</v>
      </c>
      <c r="R41" s="38" t="s">
        <v>26</v>
      </c>
      <c r="S41" s="24" t="s">
        <v>89</v>
      </c>
      <c r="U41" s="37">
        <f t="shared" si="9"/>
        <v>8</v>
      </c>
      <c r="V41" s="37">
        <f t="shared" si="9"/>
        <v>18</v>
      </c>
      <c r="W41" s="37">
        <f t="shared" si="9"/>
        <v>15</v>
      </c>
      <c r="X41" s="37">
        <f t="shared" si="9"/>
        <v>13</v>
      </c>
      <c r="Y41" s="37">
        <f t="shared" si="9"/>
        <v>15</v>
      </c>
      <c r="Z41" s="37">
        <f t="shared" si="9"/>
        <v>7</v>
      </c>
      <c r="AA41" s="37">
        <f t="shared" si="9"/>
        <v>8</v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1</v>
      </c>
      <c r="AK41" s="37" t="s">
        <v>24</v>
      </c>
      <c r="AL41" s="37">
        <v>40</v>
      </c>
      <c r="AM41" s="37">
        <v>15</v>
      </c>
      <c r="AN41" s="37">
        <v>40</v>
      </c>
      <c r="AO41" s="37">
        <v>10</v>
      </c>
      <c r="AP41" s="37">
        <v>10</v>
      </c>
      <c r="AQ41" s="37">
        <v>5</v>
      </c>
      <c r="AR41" s="37">
        <v>1</v>
      </c>
      <c r="AS41" s="4">
        <v>7</v>
      </c>
    </row>
    <row r="42" spans="1:45" ht="16.5" customHeight="1">
      <c r="B42" s="4" t="s">
        <v>81</v>
      </c>
      <c r="C42" s="8">
        <v>0</v>
      </c>
      <c r="D42" s="8">
        <v>910</v>
      </c>
      <c r="E42" s="8">
        <v>610</v>
      </c>
      <c r="F42" s="8">
        <v>1373</v>
      </c>
      <c r="G42" s="8">
        <v>973</v>
      </c>
      <c r="H42" s="8">
        <v>0</v>
      </c>
      <c r="L42" s="15">
        <v>38</v>
      </c>
      <c r="M42" s="38" t="s">
        <v>89</v>
      </c>
      <c r="N42" s="38" t="s">
        <v>29</v>
      </c>
      <c r="O42" s="38" t="s">
        <v>18</v>
      </c>
      <c r="P42" s="38" t="s">
        <v>27</v>
      </c>
      <c r="Q42" s="38" t="s">
        <v>28</v>
      </c>
      <c r="R42" s="38" t="s">
        <v>24</v>
      </c>
      <c r="S42" s="24" t="s">
        <v>89</v>
      </c>
      <c r="U42" s="37">
        <f t="shared" si="9"/>
        <v>8</v>
      </c>
      <c r="V42" s="37">
        <f t="shared" si="9"/>
        <v>18</v>
      </c>
      <c r="W42" s="37">
        <f t="shared" si="9"/>
        <v>10</v>
      </c>
      <c r="X42" s="37">
        <f t="shared" si="9"/>
        <v>12</v>
      </c>
      <c r="Y42" s="37">
        <f t="shared" si="9"/>
        <v>15</v>
      </c>
      <c r="Z42" s="37">
        <f t="shared" si="9"/>
        <v>11</v>
      </c>
      <c r="AA42" s="37">
        <f t="shared" si="9"/>
        <v>8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15</v>
      </c>
      <c r="AM42" s="37">
        <v>40</v>
      </c>
      <c r="AN42" s="37">
        <v>20</v>
      </c>
      <c r="AO42" s="37">
        <v>40</v>
      </c>
      <c r="AP42" s="37">
        <v>40</v>
      </c>
      <c r="AQ42" s="37">
        <v>40</v>
      </c>
      <c r="AR42" s="37">
        <v>1</v>
      </c>
      <c r="AS42" s="4">
        <v>8</v>
      </c>
    </row>
    <row r="43" spans="1:45" ht="16.5" customHeight="1">
      <c r="B43" s="4" t="s">
        <v>82</v>
      </c>
      <c r="C43" s="8">
        <v>0</v>
      </c>
      <c r="D43" s="8">
        <v>747</v>
      </c>
      <c r="E43" s="8">
        <v>1092</v>
      </c>
      <c r="F43" s="8">
        <v>780</v>
      </c>
      <c r="G43" s="8">
        <v>520</v>
      </c>
      <c r="H43" s="8">
        <v>0</v>
      </c>
      <c r="L43" s="14">
        <v>39</v>
      </c>
      <c r="M43" s="38" t="s">
        <v>28</v>
      </c>
      <c r="N43" s="38" t="s">
        <v>234</v>
      </c>
      <c r="O43" s="38" t="s">
        <v>29</v>
      </c>
      <c r="P43" s="38" t="s">
        <v>64</v>
      </c>
      <c r="Q43" s="38" t="s">
        <v>18</v>
      </c>
      <c r="R43" s="38" t="s">
        <v>24</v>
      </c>
      <c r="S43" s="24" t="s">
        <v>89</v>
      </c>
      <c r="U43" s="37">
        <f t="shared" si="9"/>
        <v>15</v>
      </c>
      <c r="V43" s="37">
        <f t="shared" si="9"/>
        <v>0</v>
      </c>
      <c r="W43" s="37">
        <f t="shared" si="9"/>
        <v>18</v>
      </c>
      <c r="X43" s="37">
        <f t="shared" si="9"/>
        <v>13</v>
      </c>
      <c r="Y43" s="37">
        <f t="shared" si="9"/>
        <v>10</v>
      </c>
      <c r="Z43" s="37">
        <f t="shared" si="9"/>
        <v>11</v>
      </c>
      <c r="AA43" s="37">
        <f t="shared" si="9"/>
        <v>8</v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40</v>
      </c>
      <c r="AM43" s="37">
        <v>15</v>
      </c>
      <c r="AN43" s="37">
        <v>40</v>
      </c>
      <c r="AO43" s="37">
        <v>10</v>
      </c>
      <c r="AP43" s="37">
        <v>5</v>
      </c>
      <c r="AQ43" s="37">
        <v>5</v>
      </c>
      <c r="AR43" s="37">
        <v>1</v>
      </c>
      <c r="AS43" s="4">
        <v>9</v>
      </c>
    </row>
    <row r="44" spans="1:45" ht="16.5" customHeight="1">
      <c r="B44" s="4" t="s">
        <v>83</v>
      </c>
      <c r="C44" s="8">
        <v>0</v>
      </c>
      <c r="D44" s="8">
        <v>747</v>
      </c>
      <c r="E44" s="8">
        <v>1092</v>
      </c>
      <c r="F44" s="8">
        <v>780</v>
      </c>
      <c r="G44" s="8">
        <v>520</v>
      </c>
      <c r="H44" s="8">
        <v>0</v>
      </c>
      <c r="L44" s="15">
        <v>40</v>
      </c>
      <c r="M44" s="38" t="s">
        <v>29</v>
      </c>
      <c r="N44" s="38" t="s">
        <v>24</v>
      </c>
      <c r="O44" s="38" t="s">
        <v>28</v>
      </c>
      <c r="P44" s="38" t="s">
        <v>29</v>
      </c>
      <c r="Q44" s="38" t="s">
        <v>18</v>
      </c>
      <c r="R44" s="38" t="s">
        <v>27</v>
      </c>
      <c r="S44" s="24" t="s">
        <v>64</v>
      </c>
      <c r="U44" s="37">
        <f t="shared" si="9"/>
        <v>18</v>
      </c>
      <c r="V44" s="37">
        <f t="shared" si="9"/>
        <v>11</v>
      </c>
      <c r="W44" s="37">
        <f t="shared" si="9"/>
        <v>15</v>
      </c>
      <c r="X44" s="37">
        <f t="shared" si="9"/>
        <v>18</v>
      </c>
      <c r="Y44" s="37">
        <f t="shared" si="9"/>
        <v>10</v>
      </c>
      <c r="Z44" s="37">
        <f t="shared" si="9"/>
        <v>12</v>
      </c>
      <c r="AA44" s="37">
        <f t="shared" si="9"/>
        <v>13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4">
        <v>3</v>
      </c>
      <c r="AK44" s="37" t="s">
        <v>28</v>
      </c>
      <c r="AL44" s="37">
        <v>15</v>
      </c>
      <c r="AM44" s="37">
        <v>40</v>
      </c>
      <c r="AN44" s="37">
        <v>35</v>
      </c>
      <c r="AO44" s="37">
        <v>10</v>
      </c>
      <c r="AP44" s="37">
        <v>5</v>
      </c>
      <c r="AQ44" s="37">
        <v>5</v>
      </c>
      <c r="AR44" s="37">
        <v>1</v>
      </c>
      <c r="AS44" s="4">
        <v>10</v>
      </c>
    </row>
    <row r="45" spans="1:45" ht="16.5" customHeight="1">
      <c r="B45" s="4" t="s">
        <v>84</v>
      </c>
      <c r="C45" s="8">
        <v>0</v>
      </c>
      <c r="D45" s="8">
        <v>747</v>
      </c>
      <c r="E45" s="8">
        <v>1092</v>
      </c>
      <c r="F45" s="8">
        <v>780</v>
      </c>
      <c r="G45" s="8">
        <v>520</v>
      </c>
      <c r="H45" s="8">
        <v>0</v>
      </c>
      <c r="L45" s="14">
        <v>41</v>
      </c>
      <c r="M45" s="38" t="s">
        <v>18</v>
      </c>
      <c r="N45" s="38" t="s">
        <v>24</v>
      </c>
      <c r="O45" s="38" t="s">
        <v>28</v>
      </c>
      <c r="P45" s="38" t="s">
        <v>29</v>
      </c>
      <c r="Q45" s="38" t="s">
        <v>64</v>
      </c>
      <c r="R45" s="38" t="s">
        <v>27</v>
      </c>
      <c r="S45" s="24" t="s">
        <v>64</v>
      </c>
      <c r="U45" s="37">
        <f t="shared" si="9"/>
        <v>10</v>
      </c>
      <c r="V45" s="37">
        <f t="shared" si="9"/>
        <v>11</v>
      </c>
      <c r="W45" s="37">
        <f t="shared" si="9"/>
        <v>15</v>
      </c>
      <c r="X45" s="37">
        <f t="shared" si="9"/>
        <v>18</v>
      </c>
      <c r="Y45" s="37">
        <f t="shared" si="9"/>
        <v>13</v>
      </c>
      <c r="Z45" s="37">
        <f t="shared" si="9"/>
        <v>12</v>
      </c>
      <c r="AA45" s="37">
        <f t="shared" si="9"/>
        <v>13</v>
      </c>
      <c r="AC45" s="18">
        <v>1</v>
      </c>
      <c r="AD45" s="18">
        <v>1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40</v>
      </c>
      <c r="AM45" s="37">
        <v>15</v>
      </c>
      <c r="AN45" s="37">
        <v>15</v>
      </c>
      <c r="AO45" s="37">
        <v>10</v>
      </c>
      <c r="AP45" s="37">
        <v>5</v>
      </c>
      <c r="AQ45" s="37">
        <v>5</v>
      </c>
      <c r="AR45" s="37">
        <v>1</v>
      </c>
      <c r="AS45" s="4">
        <v>11</v>
      </c>
    </row>
    <row r="46" spans="1:45" ht="16.5" customHeight="1">
      <c r="B46" s="4" t="s">
        <v>85</v>
      </c>
      <c r="C46" s="8">
        <v>0</v>
      </c>
      <c r="D46" s="8">
        <v>747</v>
      </c>
      <c r="E46" s="8">
        <v>1092</v>
      </c>
      <c r="F46" s="8">
        <v>780</v>
      </c>
      <c r="G46" s="8">
        <v>520</v>
      </c>
      <c r="H46" s="8">
        <v>0</v>
      </c>
      <c r="L46" s="15">
        <v>42</v>
      </c>
      <c r="M46" s="38" t="s">
        <v>27</v>
      </c>
      <c r="N46" s="38" t="s">
        <v>21</v>
      </c>
      <c r="O46" s="38" t="s">
        <v>232</v>
      </c>
      <c r="P46" s="38" t="s">
        <v>29</v>
      </c>
      <c r="Q46" s="38" t="s">
        <v>21</v>
      </c>
      <c r="R46" s="38" t="s">
        <v>24</v>
      </c>
      <c r="S46" s="24" t="s">
        <v>64</v>
      </c>
      <c r="U46" s="37">
        <f t="shared" si="9"/>
        <v>12</v>
      </c>
      <c r="V46" s="37">
        <f t="shared" si="9"/>
        <v>12</v>
      </c>
      <c r="W46" s="37">
        <f t="shared" si="9"/>
        <v>0</v>
      </c>
      <c r="X46" s="37">
        <f t="shared" si="9"/>
        <v>18</v>
      </c>
      <c r="Y46" s="37">
        <f t="shared" si="9"/>
        <v>12</v>
      </c>
      <c r="Z46" s="37">
        <f t="shared" si="9"/>
        <v>11</v>
      </c>
      <c r="AA46" s="37">
        <f t="shared" si="9"/>
        <v>13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4">
        <v>1</v>
      </c>
      <c r="AK46" s="154" t="s">
        <v>222</v>
      </c>
      <c r="AL46" s="154">
        <v>0</v>
      </c>
      <c r="AM46" s="154">
        <v>2</v>
      </c>
      <c r="AN46" s="154">
        <v>5</v>
      </c>
      <c r="AO46" s="154">
        <v>2</v>
      </c>
      <c r="AP46" s="154">
        <v>4</v>
      </c>
      <c r="AQ46" s="154">
        <v>0</v>
      </c>
      <c r="AR46" s="154">
        <v>0</v>
      </c>
      <c r="AS46" s="151">
        <v>12</v>
      </c>
    </row>
    <row r="47" spans="1:45" ht="16.5" customHeight="1">
      <c r="B47" s="4" t="s">
        <v>86</v>
      </c>
      <c r="C47" s="8">
        <v>1</v>
      </c>
      <c r="D47" s="8">
        <v>1340</v>
      </c>
      <c r="E47" s="8">
        <v>2410</v>
      </c>
      <c r="F47" s="8">
        <v>470</v>
      </c>
      <c r="G47" s="8">
        <v>400</v>
      </c>
      <c r="H47" s="8">
        <v>1</v>
      </c>
      <c r="L47" s="14">
        <v>43</v>
      </c>
      <c r="M47" s="38" t="s">
        <v>29</v>
      </c>
      <c r="N47" s="38" t="s">
        <v>21</v>
      </c>
      <c r="O47" s="38" t="s">
        <v>24</v>
      </c>
      <c r="P47" s="38" t="s">
        <v>27</v>
      </c>
      <c r="Q47" s="38" t="s">
        <v>89</v>
      </c>
      <c r="R47" s="38" t="s">
        <v>24</v>
      </c>
      <c r="S47" s="24" t="s">
        <v>21</v>
      </c>
      <c r="U47" s="37">
        <f t="shared" si="9"/>
        <v>18</v>
      </c>
      <c r="V47" s="37">
        <f t="shared" si="9"/>
        <v>12</v>
      </c>
      <c r="W47" s="37">
        <f t="shared" si="9"/>
        <v>11</v>
      </c>
      <c r="X47" s="37">
        <f t="shared" si="9"/>
        <v>12</v>
      </c>
      <c r="Y47" s="37">
        <f t="shared" si="9"/>
        <v>8</v>
      </c>
      <c r="Z47" s="37">
        <f t="shared" si="9"/>
        <v>11</v>
      </c>
      <c r="AA47" s="37">
        <f t="shared" si="9"/>
        <v>12</v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4">
        <v>3</v>
      </c>
      <c r="AK47" s="154" t="s">
        <v>224</v>
      </c>
      <c r="AL47" s="154">
        <v>0</v>
      </c>
      <c r="AM47" s="154">
        <v>2</v>
      </c>
      <c r="AN47" s="154">
        <v>2</v>
      </c>
      <c r="AO47" s="154">
        <v>2</v>
      </c>
      <c r="AP47" s="154">
        <v>2</v>
      </c>
      <c r="AQ47" s="154">
        <v>0</v>
      </c>
      <c r="AR47" s="154">
        <v>0</v>
      </c>
      <c r="AS47" s="151">
        <v>13</v>
      </c>
    </row>
    <row r="48" spans="1:45" ht="16.5" customHeight="1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26</v>
      </c>
      <c r="N48" s="38" t="s">
        <v>228</v>
      </c>
      <c r="O48" s="38" t="s">
        <v>26</v>
      </c>
      <c r="P48" s="38" t="s">
        <v>27</v>
      </c>
      <c r="Q48" s="38" t="s">
        <v>89</v>
      </c>
      <c r="R48" s="38" t="s">
        <v>26</v>
      </c>
      <c r="S48" s="24" t="s">
        <v>21</v>
      </c>
      <c r="U48" s="37">
        <f t="shared" si="9"/>
        <v>7</v>
      </c>
      <c r="V48" s="37">
        <f t="shared" si="9"/>
        <v>0</v>
      </c>
      <c r="W48" s="37">
        <f t="shared" si="9"/>
        <v>7</v>
      </c>
      <c r="X48" s="37">
        <f t="shared" si="9"/>
        <v>12</v>
      </c>
      <c r="Y48" s="37">
        <f t="shared" si="9"/>
        <v>8</v>
      </c>
      <c r="Z48" s="37">
        <f t="shared" si="9"/>
        <v>7</v>
      </c>
      <c r="AA48" s="37">
        <f t="shared" si="9"/>
        <v>12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4" t="s">
        <v>226</v>
      </c>
      <c r="AL48" s="154">
        <v>0</v>
      </c>
      <c r="AM48" s="154">
        <v>4</v>
      </c>
      <c r="AN48" s="154">
        <v>5</v>
      </c>
      <c r="AO48" s="154">
        <v>2</v>
      </c>
      <c r="AP48" s="154">
        <v>2</v>
      </c>
      <c r="AQ48" s="154">
        <v>0</v>
      </c>
      <c r="AR48" s="154">
        <v>0</v>
      </c>
      <c r="AS48" s="151">
        <v>14</v>
      </c>
    </row>
    <row r="49" spans="2:45" ht="16.5" customHeight="1">
      <c r="L49" s="14">
        <v>45</v>
      </c>
      <c r="M49" s="38" t="s">
        <v>26</v>
      </c>
      <c r="N49" s="38" t="s">
        <v>27</v>
      </c>
      <c r="O49" s="38" t="s">
        <v>236</v>
      </c>
      <c r="P49" s="38" t="s">
        <v>21</v>
      </c>
      <c r="Q49" s="38" t="s">
        <v>28</v>
      </c>
      <c r="R49" s="38" t="s">
        <v>26</v>
      </c>
      <c r="S49" s="24" t="s">
        <v>18</v>
      </c>
      <c r="U49" s="37">
        <f t="shared" si="9"/>
        <v>7</v>
      </c>
      <c r="V49" s="37">
        <f t="shared" si="9"/>
        <v>12</v>
      </c>
      <c r="W49" s="37">
        <f t="shared" si="9"/>
        <v>0</v>
      </c>
      <c r="X49" s="37">
        <f t="shared" si="9"/>
        <v>12</v>
      </c>
      <c r="Y49" s="37">
        <f t="shared" si="9"/>
        <v>15</v>
      </c>
      <c r="Z49" s="37">
        <f t="shared" si="9"/>
        <v>7</v>
      </c>
      <c r="AA49" s="37">
        <f t="shared" si="9"/>
        <v>10</v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4">
        <v>3</v>
      </c>
      <c r="AK49" s="154" t="s">
        <v>228</v>
      </c>
      <c r="AL49" s="154">
        <v>0</v>
      </c>
      <c r="AM49" s="154">
        <v>2</v>
      </c>
      <c r="AN49" s="154">
        <v>2</v>
      </c>
      <c r="AO49" s="154">
        <v>2</v>
      </c>
      <c r="AP49" s="154">
        <v>2</v>
      </c>
      <c r="AQ49" s="154">
        <v>0</v>
      </c>
      <c r="AR49" s="154">
        <v>0</v>
      </c>
      <c r="AS49" s="151">
        <v>15</v>
      </c>
    </row>
    <row r="50" spans="2:45" ht="16.5" customHeight="1">
      <c r="B50" s="165" t="s">
        <v>97</v>
      </c>
      <c r="C50" s="162" t="s">
        <v>259</v>
      </c>
      <c r="L50" s="15">
        <v>46</v>
      </c>
      <c r="M50" s="38" t="s">
        <v>28</v>
      </c>
      <c r="N50" s="38" t="s">
        <v>24</v>
      </c>
      <c r="O50" s="38" t="s">
        <v>21</v>
      </c>
      <c r="P50" s="38" t="s">
        <v>21</v>
      </c>
      <c r="Q50" s="38" t="s">
        <v>28</v>
      </c>
      <c r="R50" s="38" t="s">
        <v>64</v>
      </c>
      <c r="S50" s="24" t="s">
        <v>18</v>
      </c>
      <c r="U50" s="37">
        <f t="shared" si="9"/>
        <v>15</v>
      </c>
      <c r="V50" s="37">
        <f t="shared" si="9"/>
        <v>11</v>
      </c>
      <c r="W50" s="37">
        <f t="shared" si="9"/>
        <v>12</v>
      </c>
      <c r="X50" s="37">
        <f t="shared" si="9"/>
        <v>12</v>
      </c>
      <c r="Y50" s="37">
        <f t="shared" si="9"/>
        <v>15</v>
      </c>
      <c r="Z50" s="37">
        <f t="shared" si="9"/>
        <v>13</v>
      </c>
      <c r="AA50" s="37">
        <f t="shared" si="9"/>
        <v>10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4" t="s">
        <v>230</v>
      </c>
      <c r="AL50" s="154">
        <v>0</v>
      </c>
      <c r="AM50" s="154">
        <v>4</v>
      </c>
      <c r="AN50" s="154">
        <v>5</v>
      </c>
      <c r="AO50" s="154">
        <v>2</v>
      </c>
      <c r="AP50" s="154">
        <v>4</v>
      </c>
      <c r="AQ50" s="154">
        <v>0</v>
      </c>
      <c r="AR50" s="154">
        <v>0</v>
      </c>
      <c r="AS50" s="151">
        <v>16</v>
      </c>
    </row>
    <row r="51" spans="2:45" ht="16.5" customHeight="1">
      <c r="B51" s="163" t="s">
        <v>68</v>
      </c>
      <c r="C51" s="161">
        <v>0</v>
      </c>
      <c r="L51" s="14">
        <v>47</v>
      </c>
      <c r="M51" s="38" t="s">
        <v>27</v>
      </c>
      <c r="N51" s="38" t="s">
        <v>27</v>
      </c>
      <c r="O51" s="38" t="s">
        <v>24</v>
      </c>
      <c r="P51" s="38" t="s">
        <v>21</v>
      </c>
      <c r="Q51" s="38" t="s">
        <v>89</v>
      </c>
      <c r="R51" s="38" t="s">
        <v>64</v>
      </c>
      <c r="S51" s="24" t="s">
        <v>18</v>
      </c>
      <c r="U51" s="37">
        <f t="shared" si="9"/>
        <v>12</v>
      </c>
      <c r="V51" s="37">
        <f t="shared" si="9"/>
        <v>12</v>
      </c>
      <c r="W51" s="37">
        <f t="shared" si="9"/>
        <v>11</v>
      </c>
      <c r="X51" s="37">
        <f t="shared" si="9"/>
        <v>12</v>
      </c>
      <c r="Y51" s="37">
        <f t="shared" si="9"/>
        <v>8</v>
      </c>
      <c r="Z51" s="37">
        <f t="shared" si="9"/>
        <v>13</v>
      </c>
      <c r="AA51" s="37">
        <f t="shared" si="9"/>
        <v>10</v>
      </c>
      <c r="AC51" s="18">
        <v>1</v>
      </c>
      <c r="AD51" s="18">
        <v>1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4" t="s">
        <v>232</v>
      </c>
      <c r="AL51" s="154">
        <v>0</v>
      </c>
      <c r="AM51" s="154">
        <v>4</v>
      </c>
      <c r="AN51" s="154">
        <v>5</v>
      </c>
      <c r="AO51" s="154">
        <v>2</v>
      </c>
      <c r="AP51" s="154">
        <v>4</v>
      </c>
      <c r="AQ51" s="154">
        <v>0</v>
      </c>
      <c r="AR51" s="154">
        <v>0</v>
      </c>
      <c r="AS51" s="151">
        <v>17</v>
      </c>
    </row>
    <row r="52" spans="2:45" ht="16.5" customHeight="1">
      <c r="B52" s="164" t="s">
        <v>19</v>
      </c>
      <c r="C52" s="159">
        <v>0</v>
      </c>
      <c r="L52" s="15">
        <v>48</v>
      </c>
      <c r="M52" s="38" t="s">
        <v>29</v>
      </c>
      <c r="N52" s="38" t="s">
        <v>27</v>
      </c>
      <c r="O52" s="38" t="s">
        <v>24</v>
      </c>
      <c r="P52" s="38" t="s">
        <v>64</v>
      </c>
      <c r="Q52" s="38" t="s">
        <v>89</v>
      </c>
      <c r="R52" s="38" t="s">
        <v>27</v>
      </c>
      <c r="S52" s="24" t="s">
        <v>17</v>
      </c>
      <c r="U52" s="37">
        <f t="shared" si="9"/>
        <v>18</v>
      </c>
      <c r="V52" s="37">
        <f t="shared" si="9"/>
        <v>12</v>
      </c>
      <c r="W52" s="37">
        <f t="shared" si="9"/>
        <v>11</v>
      </c>
      <c r="X52" s="37">
        <f t="shared" si="9"/>
        <v>13</v>
      </c>
      <c r="Y52" s="37">
        <f t="shared" si="9"/>
        <v>8</v>
      </c>
      <c r="Z52" s="37">
        <f t="shared" si="9"/>
        <v>12</v>
      </c>
      <c r="AA52" s="37">
        <f t="shared" si="9"/>
        <v>14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4">
        <v>3</v>
      </c>
      <c r="AK52" s="37" t="s">
        <v>234</v>
      </c>
      <c r="AL52" s="37">
        <v>0</v>
      </c>
      <c r="AM52" s="37">
        <v>4</v>
      </c>
      <c r="AN52" s="37">
        <v>2</v>
      </c>
      <c r="AO52" s="37">
        <v>2</v>
      </c>
      <c r="AP52" s="37">
        <v>4</v>
      </c>
      <c r="AQ52" s="37">
        <v>0</v>
      </c>
      <c r="AR52" s="37">
        <v>0</v>
      </c>
      <c r="AS52" s="4">
        <v>17</v>
      </c>
    </row>
    <row r="53" spans="2:45" ht="16.5" customHeight="1">
      <c r="B53" s="164" t="s">
        <v>20</v>
      </c>
      <c r="C53" s="159">
        <v>2</v>
      </c>
      <c r="L53" s="14">
        <v>49</v>
      </c>
      <c r="M53" s="38" t="s">
        <v>28</v>
      </c>
      <c r="N53" s="38" t="s">
        <v>64</v>
      </c>
      <c r="O53" s="38" t="s">
        <v>28</v>
      </c>
      <c r="P53" s="38" t="s">
        <v>64</v>
      </c>
      <c r="Q53" s="38" t="s">
        <v>27</v>
      </c>
      <c r="R53" s="38" t="s">
        <v>27</v>
      </c>
      <c r="S53" s="24" t="s">
        <v>17</v>
      </c>
      <c r="U53" s="37">
        <f t="shared" si="9"/>
        <v>15</v>
      </c>
      <c r="V53" s="37">
        <f t="shared" si="9"/>
        <v>13</v>
      </c>
      <c r="W53" s="37">
        <f t="shared" si="9"/>
        <v>15</v>
      </c>
      <c r="X53" s="37">
        <f t="shared" si="9"/>
        <v>13</v>
      </c>
      <c r="Y53" s="37">
        <f t="shared" si="9"/>
        <v>12</v>
      </c>
      <c r="Z53" s="37">
        <f t="shared" si="9"/>
        <v>12</v>
      </c>
      <c r="AA53" s="37">
        <f t="shared" si="9"/>
        <v>14</v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1</v>
      </c>
      <c r="AI53" s="4">
        <v>1</v>
      </c>
      <c r="AK53" s="37" t="s">
        <v>236</v>
      </c>
      <c r="AL53" s="37">
        <v>0</v>
      </c>
      <c r="AM53" s="37">
        <v>4</v>
      </c>
      <c r="AN53" s="37">
        <v>2</v>
      </c>
      <c r="AO53" s="37">
        <v>4</v>
      </c>
      <c r="AP53" s="37">
        <v>2</v>
      </c>
      <c r="AQ53" s="37">
        <v>0</v>
      </c>
      <c r="AR53" s="37">
        <v>0</v>
      </c>
      <c r="AS53" s="4">
        <v>18</v>
      </c>
    </row>
    <row r="54" spans="2:45" ht="16.5" customHeight="1">
      <c r="B54" s="164" t="s">
        <v>21</v>
      </c>
      <c r="C54" s="159">
        <v>3</v>
      </c>
      <c r="L54" s="15">
        <v>50</v>
      </c>
      <c r="M54" s="38" t="s">
        <v>89</v>
      </c>
      <c r="N54" s="38" t="s">
        <v>64</v>
      </c>
      <c r="O54" s="38" t="s">
        <v>28</v>
      </c>
      <c r="P54" s="38" t="s">
        <v>17</v>
      </c>
      <c r="Q54" s="38" t="s">
        <v>21</v>
      </c>
      <c r="R54" s="38" t="s">
        <v>29</v>
      </c>
      <c r="S54" s="24" t="s">
        <v>17</v>
      </c>
      <c r="U54" s="37">
        <f t="shared" si="9"/>
        <v>8</v>
      </c>
      <c r="V54" s="37">
        <f t="shared" si="9"/>
        <v>13</v>
      </c>
      <c r="W54" s="37">
        <f t="shared" si="9"/>
        <v>15</v>
      </c>
      <c r="X54" s="37">
        <f t="shared" si="9"/>
        <v>14</v>
      </c>
      <c r="Y54" s="37">
        <f t="shared" si="9"/>
        <v>12</v>
      </c>
      <c r="Z54" s="37">
        <f t="shared" si="9"/>
        <v>18</v>
      </c>
      <c r="AA54" s="37">
        <f t="shared" si="9"/>
        <v>14</v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4">
        <v>1</v>
      </c>
      <c r="AK54" s="37" t="s">
        <v>238</v>
      </c>
      <c r="AL54" s="37">
        <v>0</v>
      </c>
      <c r="AM54" s="37">
        <v>4</v>
      </c>
      <c r="AN54" s="37">
        <v>5</v>
      </c>
      <c r="AO54" s="37">
        <v>2</v>
      </c>
      <c r="AP54" s="37">
        <v>2</v>
      </c>
      <c r="AQ54" s="37">
        <v>0</v>
      </c>
      <c r="AR54" s="37">
        <v>0</v>
      </c>
      <c r="AS54" s="4">
        <v>19</v>
      </c>
    </row>
    <row r="55" spans="2:45" ht="16.5" customHeight="1">
      <c r="B55" s="164" t="s">
        <v>17</v>
      </c>
      <c r="C55" s="159">
        <v>5</v>
      </c>
      <c r="L55" s="14">
        <v>51</v>
      </c>
      <c r="M55" s="38" t="s">
        <v>26</v>
      </c>
      <c r="N55" s="38" t="s">
        <v>230</v>
      </c>
      <c r="O55" s="38" t="s">
        <v>64</v>
      </c>
      <c r="P55" s="38" t="s">
        <v>17</v>
      </c>
      <c r="Q55" s="38" t="s">
        <v>21</v>
      </c>
      <c r="R55" s="38" t="s">
        <v>29</v>
      </c>
      <c r="S55" s="24" t="s">
        <v>64</v>
      </c>
      <c r="U55" s="37">
        <f t="shared" si="9"/>
        <v>7</v>
      </c>
      <c r="V55" s="37">
        <f t="shared" si="9"/>
        <v>0</v>
      </c>
      <c r="W55" s="37">
        <f t="shared" si="9"/>
        <v>13</v>
      </c>
      <c r="X55" s="37">
        <f t="shared" si="9"/>
        <v>14</v>
      </c>
      <c r="Y55" s="37">
        <f t="shared" si="9"/>
        <v>12</v>
      </c>
      <c r="Z55" s="37">
        <f t="shared" si="9"/>
        <v>18</v>
      </c>
      <c r="AA55" s="37">
        <f t="shared" si="9"/>
        <v>13</v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4">
        <v>3</v>
      </c>
      <c r="AK55" s="37" t="s">
        <v>240</v>
      </c>
      <c r="AL55" s="37">
        <v>0</v>
      </c>
      <c r="AM55" s="37">
        <v>2</v>
      </c>
      <c r="AN55" s="37">
        <v>7</v>
      </c>
      <c r="AO55" s="37">
        <v>2</v>
      </c>
      <c r="AP55" s="37">
        <v>2</v>
      </c>
      <c r="AQ55" s="37">
        <v>0</v>
      </c>
      <c r="AR55" s="37">
        <v>0</v>
      </c>
      <c r="AS55" s="4">
        <v>20</v>
      </c>
    </row>
    <row r="56" spans="2:45" ht="16.5" customHeight="1">
      <c r="B56" s="164" t="s">
        <v>18</v>
      </c>
      <c r="C56" s="159">
        <v>8</v>
      </c>
      <c r="L56" s="15">
        <v>52</v>
      </c>
      <c r="M56" s="38" t="s">
        <v>28</v>
      </c>
      <c r="N56" s="38" t="s">
        <v>27</v>
      </c>
      <c r="O56" s="38" t="s">
        <v>26</v>
      </c>
      <c r="P56" s="38" t="s">
        <v>28</v>
      </c>
      <c r="Q56" s="38" t="s">
        <v>28</v>
      </c>
      <c r="R56" s="38" t="s">
        <v>24</v>
      </c>
      <c r="S56" s="24" t="s">
        <v>64</v>
      </c>
      <c r="U56" s="37">
        <f t="shared" si="9"/>
        <v>15</v>
      </c>
      <c r="V56" s="37">
        <f t="shared" si="9"/>
        <v>12</v>
      </c>
      <c r="W56" s="37">
        <f t="shared" si="9"/>
        <v>7</v>
      </c>
      <c r="X56" s="37">
        <f t="shared" ref="X56:AA119" si="11">VLOOKUP(P56, $A$4:$J$29, 9, 0)</f>
        <v>15</v>
      </c>
      <c r="Y56" s="37">
        <f t="shared" si="11"/>
        <v>15</v>
      </c>
      <c r="Z56" s="37">
        <f t="shared" si="11"/>
        <v>11</v>
      </c>
      <c r="AA56" s="37">
        <f t="shared" si="11"/>
        <v>13</v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0</v>
      </c>
      <c r="AM56" s="37">
        <v>4</v>
      </c>
      <c r="AN56" s="37">
        <v>7</v>
      </c>
      <c r="AO56" s="37">
        <v>2</v>
      </c>
      <c r="AP56" s="37">
        <v>2</v>
      </c>
      <c r="AQ56" s="37">
        <v>0</v>
      </c>
      <c r="AR56" s="37">
        <v>0</v>
      </c>
      <c r="AS56" s="4">
        <v>21</v>
      </c>
    </row>
    <row r="57" spans="2:45" ht="16.5" customHeight="1">
      <c r="B57" s="164" t="s">
        <v>64</v>
      </c>
      <c r="C57" s="159">
        <v>12</v>
      </c>
      <c r="L57" s="14">
        <v>53</v>
      </c>
      <c r="M57" s="38" t="s">
        <v>28</v>
      </c>
      <c r="N57" s="38" t="s">
        <v>27</v>
      </c>
      <c r="O57" s="38" t="s">
        <v>26</v>
      </c>
      <c r="P57" s="38" t="s">
        <v>28</v>
      </c>
      <c r="Q57" s="38" t="s">
        <v>24</v>
      </c>
      <c r="R57" s="38" t="s">
        <v>27</v>
      </c>
      <c r="S57" s="24" t="s">
        <v>64</v>
      </c>
      <c r="U57" s="37">
        <f t="shared" ref="U57:Z120" si="12">VLOOKUP(M57, $A$4:$J$29, 9, 0)</f>
        <v>15</v>
      </c>
      <c r="V57" s="37">
        <f t="shared" si="12"/>
        <v>12</v>
      </c>
      <c r="W57" s="37">
        <f t="shared" si="12"/>
        <v>7</v>
      </c>
      <c r="X57" s="37">
        <f t="shared" si="11"/>
        <v>15</v>
      </c>
      <c r="Y57" s="37">
        <f t="shared" si="11"/>
        <v>11</v>
      </c>
      <c r="Z57" s="37">
        <f t="shared" si="11"/>
        <v>12</v>
      </c>
      <c r="AA57" s="37">
        <f t="shared" si="11"/>
        <v>13</v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4" t="s">
        <v>94</v>
      </c>
      <c r="AL57" s="154">
        <v>0</v>
      </c>
      <c r="AM57" s="154">
        <v>10</v>
      </c>
      <c r="AN57" s="154">
        <v>10</v>
      </c>
      <c r="AO57" s="154">
        <v>10</v>
      </c>
      <c r="AP57" s="154">
        <v>10</v>
      </c>
      <c r="AQ57" s="154">
        <v>0</v>
      </c>
      <c r="AR57" s="154">
        <v>0</v>
      </c>
      <c r="AS57" s="151">
        <v>24</v>
      </c>
    </row>
    <row r="58" spans="2:45" ht="16.5" customHeight="1">
      <c r="B58" s="164" t="s">
        <v>92</v>
      </c>
      <c r="C58" s="159">
        <v>10</v>
      </c>
      <c r="L58" s="15">
        <v>54</v>
      </c>
      <c r="M58" s="38" t="s">
        <v>18</v>
      </c>
      <c r="N58" s="38" t="s">
        <v>29</v>
      </c>
      <c r="O58" s="38" t="s">
        <v>18</v>
      </c>
      <c r="P58" s="38" t="s">
        <v>64</v>
      </c>
      <c r="Q58" s="38" t="s">
        <v>24</v>
      </c>
      <c r="R58" s="38" t="s">
        <v>27</v>
      </c>
      <c r="S58" s="24" t="s">
        <v>89</v>
      </c>
      <c r="U58" s="37">
        <f t="shared" si="12"/>
        <v>10</v>
      </c>
      <c r="V58" s="37">
        <f t="shared" si="12"/>
        <v>18</v>
      </c>
      <c r="W58" s="37">
        <f t="shared" si="12"/>
        <v>10</v>
      </c>
      <c r="X58" s="37">
        <f t="shared" si="11"/>
        <v>13</v>
      </c>
      <c r="Y58" s="37">
        <f t="shared" si="11"/>
        <v>11</v>
      </c>
      <c r="Z58" s="37">
        <f t="shared" si="11"/>
        <v>12</v>
      </c>
      <c r="AA58" s="37">
        <f t="shared" si="11"/>
        <v>8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3</v>
      </c>
      <c r="AK58" s="154" t="s">
        <v>257</v>
      </c>
      <c r="AL58" s="154">
        <v>0</v>
      </c>
      <c r="AM58" s="154">
        <v>1</v>
      </c>
      <c r="AN58" s="154">
        <v>1</v>
      </c>
      <c r="AO58" s="154">
        <v>1</v>
      </c>
      <c r="AP58" s="154">
        <v>1</v>
      </c>
      <c r="AQ58" s="154">
        <v>0</v>
      </c>
      <c r="AR58" s="154">
        <v>0</v>
      </c>
      <c r="AS58" s="151">
        <v>25</v>
      </c>
    </row>
    <row r="59" spans="2:45" ht="16.5" customHeight="1">
      <c r="B59" s="164" t="s">
        <v>93</v>
      </c>
      <c r="C59" s="159">
        <v>10</v>
      </c>
      <c r="L59" s="14">
        <v>55</v>
      </c>
      <c r="M59" s="38" t="s">
        <v>18</v>
      </c>
      <c r="N59" s="38" t="s">
        <v>28</v>
      </c>
      <c r="O59" s="38" t="s">
        <v>28</v>
      </c>
      <c r="P59" s="38" t="s">
        <v>64</v>
      </c>
      <c r="Q59" s="38" t="s">
        <v>21</v>
      </c>
      <c r="R59" s="38" t="s">
        <v>64</v>
      </c>
      <c r="S59" s="24" t="s">
        <v>89</v>
      </c>
      <c r="U59" s="37">
        <f t="shared" si="12"/>
        <v>10</v>
      </c>
      <c r="V59" s="37">
        <f t="shared" si="12"/>
        <v>15</v>
      </c>
      <c r="W59" s="37">
        <f t="shared" si="12"/>
        <v>15</v>
      </c>
      <c r="X59" s="37">
        <f t="shared" si="11"/>
        <v>13</v>
      </c>
      <c r="Y59" s="37">
        <f t="shared" si="11"/>
        <v>12</v>
      </c>
      <c r="Z59" s="37">
        <f t="shared" si="11"/>
        <v>13</v>
      </c>
      <c r="AA59" s="37">
        <f t="shared" si="11"/>
        <v>8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1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>
      <c r="B60" s="4" t="s">
        <v>37</v>
      </c>
      <c r="C60" s="160">
        <v>10</v>
      </c>
      <c r="L60" s="15">
        <v>56</v>
      </c>
      <c r="M60" s="38" t="s">
        <v>29</v>
      </c>
      <c r="N60" s="38" t="s">
        <v>28</v>
      </c>
      <c r="O60" s="38" t="s">
        <v>28</v>
      </c>
      <c r="P60" s="38" t="s">
        <v>230</v>
      </c>
      <c r="Q60" s="38" t="s">
        <v>21</v>
      </c>
      <c r="R60" s="38" t="s">
        <v>24</v>
      </c>
      <c r="S60" s="24" t="s">
        <v>89</v>
      </c>
      <c r="U60" s="37">
        <f t="shared" si="12"/>
        <v>18</v>
      </c>
      <c r="V60" s="37">
        <f t="shared" si="12"/>
        <v>15</v>
      </c>
      <c r="W60" s="37">
        <f t="shared" si="12"/>
        <v>15</v>
      </c>
      <c r="X60" s="37">
        <f t="shared" si="11"/>
        <v>0</v>
      </c>
      <c r="Y60" s="37">
        <f t="shared" si="11"/>
        <v>12</v>
      </c>
      <c r="Z60" s="37">
        <f t="shared" si="11"/>
        <v>11</v>
      </c>
      <c r="AA60" s="37">
        <f t="shared" si="11"/>
        <v>8</v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4">
        <v>1</v>
      </c>
      <c r="AK60" s="40" t="s">
        <v>260</v>
      </c>
    </row>
    <row r="61" spans="2:45">
      <c r="B61" s="4" t="s">
        <v>38</v>
      </c>
      <c r="C61" s="160">
        <v>10</v>
      </c>
      <c r="L61" s="14">
        <v>57</v>
      </c>
      <c r="M61" s="38" t="s">
        <v>29</v>
      </c>
      <c r="N61" s="38" t="s">
        <v>27</v>
      </c>
      <c r="O61" s="38" t="s">
        <v>29</v>
      </c>
      <c r="P61" s="38" t="s">
        <v>18</v>
      </c>
      <c r="Q61" s="38" t="s">
        <v>28</v>
      </c>
      <c r="R61" s="38" t="s">
        <v>26</v>
      </c>
      <c r="S61" s="24" t="s">
        <v>26</v>
      </c>
      <c r="U61" s="37">
        <f t="shared" si="12"/>
        <v>18</v>
      </c>
      <c r="V61" s="37">
        <f t="shared" si="12"/>
        <v>12</v>
      </c>
      <c r="W61" s="37">
        <f t="shared" si="12"/>
        <v>18</v>
      </c>
      <c r="X61" s="37">
        <f t="shared" si="11"/>
        <v>10</v>
      </c>
      <c r="Y61" s="37">
        <f t="shared" si="11"/>
        <v>15</v>
      </c>
      <c r="Z61" s="37">
        <f t="shared" si="11"/>
        <v>7</v>
      </c>
      <c r="AA61" s="37">
        <f t="shared" si="11"/>
        <v>7</v>
      </c>
      <c r="AC61" s="18">
        <v>1</v>
      </c>
      <c r="AD61" s="18">
        <v>1</v>
      </c>
      <c r="AE61" s="18">
        <v>1</v>
      </c>
      <c r="AF61" s="18">
        <v>1</v>
      </c>
      <c r="AG61" s="18">
        <v>1</v>
      </c>
      <c r="AH61" s="18">
        <v>1</v>
      </c>
      <c r="AI61" s="4">
        <v>1</v>
      </c>
      <c r="AK61" s="16" t="s">
        <v>265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>
      <c r="B62" s="4" t="s">
        <v>39</v>
      </c>
      <c r="C62" s="160">
        <v>10</v>
      </c>
      <c r="L62" s="15">
        <v>58</v>
      </c>
      <c r="M62" s="38" t="s">
        <v>89</v>
      </c>
      <c r="N62" s="38" t="s">
        <v>224</v>
      </c>
      <c r="O62" s="38" t="s">
        <v>24</v>
      </c>
      <c r="P62" s="38" t="s">
        <v>24</v>
      </c>
      <c r="Q62" s="38" t="s">
        <v>28</v>
      </c>
      <c r="R62" s="38" t="s">
        <v>24</v>
      </c>
      <c r="S62" s="24" t="s">
        <v>26</v>
      </c>
      <c r="U62" s="37">
        <f t="shared" si="12"/>
        <v>8</v>
      </c>
      <c r="V62" s="37">
        <f t="shared" si="12"/>
        <v>0</v>
      </c>
      <c r="W62" s="37">
        <f t="shared" si="12"/>
        <v>11</v>
      </c>
      <c r="X62" s="37">
        <f t="shared" si="11"/>
        <v>11</v>
      </c>
      <c r="Y62" s="37">
        <f t="shared" si="11"/>
        <v>15</v>
      </c>
      <c r="Z62" s="37">
        <f t="shared" si="11"/>
        <v>11</v>
      </c>
      <c r="AA62" s="37">
        <f t="shared" si="11"/>
        <v>7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4">
        <v>1</v>
      </c>
      <c r="AK62" s="10" t="s">
        <v>68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160">
        <v>10</v>
      </c>
      <c r="L63" s="14">
        <v>59</v>
      </c>
      <c r="M63" s="38" t="s">
        <v>26</v>
      </c>
      <c r="N63" s="38" t="s">
        <v>64</v>
      </c>
      <c r="O63" s="38" t="s">
        <v>29</v>
      </c>
      <c r="P63" s="38" t="s">
        <v>17</v>
      </c>
      <c r="Q63" s="38" t="s">
        <v>89</v>
      </c>
      <c r="R63" s="38" t="s">
        <v>64</v>
      </c>
      <c r="S63" s="38" t="s">
        <v>17</v>
      </c>
      <c r="U63" s="37">
        <f t="shared" si="12"/>
        <v>7</v>
      </c>
      <c r="V63" s="37">
        <f t="shared" si="12"/>
        <v>13</v>
      </c>
      <c r="W63" s="37">
        <f t="shared" si="12"/>
        <v>18</v>
      </c>
      <c r="X63" s="37">
        <f t="shared" si="11"/>
        <v>14</v>
      </c>
      <c r="Y63" s="37">
        <f t="shared" si="11"/>
        <v>8</v>
      </c>
      <c r="Z63" s="37">
        <f t="shared" si="11"/>
        <v>13</v>
      </c>
      <c r="AA63" s="37">
        <f t="shared" si="11"/>
        <v>14</v>
      </c>
      <c r="AC63" s="18">
        <v>1</v>
      </c>
      <c r="AD63" s="18">
        <v>1</v>
      </c>
      <c r="AE63" s="18">
        <v>1</v>
      </c>
      <c r="AF63" s="18">
        <v>1</v>
      </c>
      <c r="AG63" s="18">
        <v>1</v>
      </c>
      <c r="AH63" s="18">
        <v>1</v>
      </c>
      <c r="AI63" s="4">
        <v>3</v>
      </c>
      <c r="AK63" s="37" t="s">
        <v>19</v>
      </c>
      <c r="AL63" s="37">
        <v>5</v>
      </c>
      <c r="AM63" s="37">
        <v>5</v>
      </c>
      <c r="AN63" s="37">
        <v>5</v>
      </c>
      <c r="AO63" s="37">
        <v>5</v>
      </c>
      <c r="AP63" s="37">
        <v>5</v>
      </c>
      <c r="AQ63" s="37">
        <v>5</v>
      </c>
      <c r="AR63" s="37">
        <v>0</v>
      </c>
      <c r="AS63" s="4">
        <v>1</v>
      </c>
    </row>
    <row r="64" spans="2:45" ht="16.5" customHeight="1">
      <c r="L64" s="15">
        <v>60</v>
      </c>
      <c r="M64" s="38" t="s">
        <v>26</v>
      </c>
      <c r="N64" s="38" t="s">
        <v>230</v>
      </c>
      <c r="O64" s="38" t="s">
        <v>242</v>
      </c>
      <c r="P64" s="38" t="s">
        <v>17</v>
      </c>
      <c r="Q64" s="38" t="s">
        <v>28</v>
      </c>
      <c r="R64" s="38" t="s">
        <v>24</v>
      </c>
      <c r="S64" s="24" t="s">
        <v>17</v>
      </c>
      <c r="U64" s="37">
        <f t="shared" si="12"/>
        <v>7</v>
      </c>
      <c r="V64" s="37">
        <f t="shared" si="12"/>
        <v>0</v>
      </c>
      <c r="W64" s="37">
        <f t="shared" si="12"/>
        <v>0</v>
      </c>
      <c r="X64" s="37">
        <f t="shared" si="11"/>
        <v>14</v>
      </c>
      <c r="Y64" s="37">
        <f t="shared" si="11"/>
        <v>15</v>
      </c>
      <c r="Z64" s="37">
        <f t="shared" si="11"/>
        <v>11</v>
      </c>
      <c r="AA64" s="37">
        <f t="shared" si="11"/>
        <v>14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4">
        <v>1</v>
      </c>
      <c r="AK64" s="154" t="s">
        <v>20</v>
      </c>
      <c r="AL64" s="154">
        <v>40</v>
      </c>
      <c r="AM64" s="154">
        <v>1</v>
      </c>
      <c r="AN64" s="154">
        <v>10</v>
      </c>
      <c r="AO64" s="154">
        <v>1</v>
      </c>
      <c r="AP64" s="154">
        <v>40</v>
      </c>
      <c r="AQ64" s="154">
        <v>1</v>
      </c>
      <c r="AR64" s="154">
        <v>0</v>
      </c>
      <c r="AS64" s="151">
        <v>2</v>
      </c>
    </row>
    <row r="65" spans="2:45" ht="16.5" customHeight="1">
      <c r="L65" s="14">
        <v>61</v>
      </c>
      <c r="M65" s="38" t="s">
        <v>28</v>
      </c>
      <c r="N65" s="38" t="s">
        <v>24</v>
      </c>
      <c r="O65" s="38" t="s">
        <v>26</v>
      </c>
      <c r="P65" s="38" t="s">
        <v>17</v>
      </c>
      <c r="Q65" s="38" t="s">
        <v>28</v>
      </c>
      <c r="R65" s="38" t="s">
        <v>24</v>
      </c>
      <c r="S65" s="24" t="s">
        <v>17</v>
      </c>
      <c r="U65" s="37">
        <f t="shared" si="12"/>
        <v>15</v>
      </c>
      <c r="V65" s="37">
        <f t="shared" si="12"/>
        <v>11</v>
      </c>
      <c r="W65" s="37">
        <f t="shared" si="12"/>
        <v>7</v>
      </c>
      <c r="X65" s="37">
        <f t="shared" si="11"/>
        <v>14</v>
      </c>
      <c r="Y65" s="37">
        <f t="shared" si="11"/>
        <v>15</v>
      </c>
      <c r="Z65" s="37">
        <f t="shared" si="11"/>
        <v>11</v>
      </c>
      <c r="AA65" s="37">
        <f t="shared" si="11"/>
        <v>14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1</v>
      </c>
      <c r="AK65" s="154" t="s">
        <v>21</v>
      </c>
      <c r="AL65" s="154">
        <v>1</v>
      </c>
      <c r="AM65" s="154">
        <v>40</v>
      </c>
      <c r="AN65" s="154">
        <v>1</v>
      </c>
      <c r="AO65" s="154">
        <v>40</v>
      </c>
      <c r="AP65" s="154">
        <v>1</v>
      </c>
      <c r="AQ65" s="154">
        <v>1</v>
      </c>
      <c r="AR65" s="154">
        <v>1</v>
      </c>
      <c r="AS65" s="151">
        <v>3</v>
      </c>
    </row>
    <row r="66" spans="2:45" ht="16.5" customHeight="1">
      <c r="B66" s="165" t="s">
        <v>95</v>
      </c>
      <c r="C66" s="162" t="s">
        <v>259</v>
      </c>
      <c r="L66" s="15">
        <v>62</v>
      </c>
      <c r="M66" s="38" t="s">
        <v>26</v>
      </c>
      <c r="N66" s="38" t="s">
        <v>24</v>
      </c>
      <c r="O66" s="38" t="s">
        <v>26</v>
      </c>
      <c r="P66" s="38" t="s">
        <v>27</v>
      </c>
      <c r="Q66" s="38" t="s">
        <v>26</v>
      </c>
      <c r="R66" s="38" t="s">
        <v>26</v>
      </c>
      <c r="S66" s="24" t="s">
        <v>26</v>
      </c>
      <c r="U66" s="37">
        <f t="shared" si="12"/>
        <v>7</v>
      </c>
      <c r="V66" s="37">
        <f t="shared" si="12"/>
        <v>11</v>
      </c>
      <c r="W66" s="37">
        <f t="shared" si="12"/>
        <v>7</v>
      </c>
      <c r="X66" s="37">
        <f t="shared" si="11"/>
        <v>12</v>
      </c>
      <c r="Y66" s="37">
        <f t="shared" si="11"/>
        <v>7</v>
      </c>
      <c r="Z66" s="37">
        <f t="shared" si="11"/>
        <v>7</v>
      </c>
      <c r="AA66" s="37">
        <f t="shared" si="11"/>
        <v>7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4" t="s">
        <v>17</v>
      </c>
      <c r="AL66" s="154">
        <v>40</v>
      </c>
      <c r="AM66" s="154">
        <v>40</v>
      </c>
      <c r="AN66" s="154">
        <v>40</v>
      </c>
      <c r="AO66" s="154">
        <v>1</v>
      </c>
      <c r="AP66" s="154">
        <v>1</v>
      </c>
      <c r="AQ66" s="154">
        <v>40</v>
      </c>
      <c r="AR66" s="154">
        <v>1</v>
      </c>
      <c r="AS66" s="151">
        <v>4</v>
      </c>
    </row>
    <row r="67" spans="2:45" ht="16.5" customHeight="1">
      <c r="B67" s="163">
        <v>0</v>
      </c>
      <c r="C67" s="161">
        <v>500</v>
      </c>
      <c r="L67" s="14">
        <v>63</v>
      </c>
      <c r="M67" s="38" t="s">
        <v>29</v>
      </c>
      <c r="N67" s="38" t="s">
        <v>64</v>
      </c>
      <c r="O67" s="38" t="s">
        <v>26</v>
      </c>
      <c r="P67" s="38" t="s">
        <v>27</v>
      </c>
      <c r="Q67" s="38" t="s">
        <v>18</v>
      </c>
      <c r="R67" s="38" t="s">
        <v>29</v>
      </c>
      <c r="S67" s="24" t="s">
        <v>26</v>
      </c>
      <c r="U67" s="37">
        <f t="shared" si="12"/>
        <v>18</v>
      </c>
      <c r="V67" s="37">
        <f t="shared" si="12"/>
        <v>13</v>
      </c>
      <c r="W67" s="37">
        <f t="shared" si="12"/>
        <v>7</v>
      </c>
      <c r="X67" s="37">
        <f t="shared" si="11"/>
        <v>12</v>
      </c>
      <c r="Y67" s="37">
        <f t="shared" si="11"/>
        <v>10</v>
      </c>
      <c r="Z67" s="37">
        <f t="shared" si="11"/>
        <v>18</v>
      </c>
      <c r="AA67" s="37">
        <f t="shared" si="11"/>
        <v>7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4" t="s">
        <v>18</v>
      </c>
      <c r="AL67" s="154">
        <v>1</v>
      </c>
      <c r="AM67" s="154">
        <v>40</v>
      </c>
      <c r="AN67" s="154">
        <v>1</v>
      </c>
      <c r="AO67" s="154">
        <v>1</v>
      </c>
      <c r="AP67" s="154">
        <v>1</v>
      </c>
      <c r="AQ67" s="154">
        <v>40</v>
      </c>
      <c r="AR67" s="154">
        <v>1</v>
      </c>
      <c r="AS67" s="151">
        <v>5</v>
      </c>
    </row>
    <row r="68" spans="2:45" ht="16.5" customHeight="1">
      <c r="B68" s="164">
        <v>1</v>
      </c>
      <c r="C68" s="159">
        <v>200</v>
      </c>
      <c r="L68" s="15">
        <v>64</v>
      </c>
      <c r="M68" s="38" t="s">
        <v>17</v>
      </c>
      <c r="N68" s="38" t="s">
        <v>27</v>
      </c>
      <c r="O68" s="38" t="s">
        <v>18</v>
      </c>
      <c r="P68" s="38" t="s">
        <v>29</v>
      </c>
      <c r="Q68" s="38" t="s">
        <v>89</v>
      </c>
      <c r="R68" s="38" t="s">
        <v>29</v>
      </c>
      <c r="S68" s="24" t="s">
        <v>28</v>
      </c>
      <c r="U68" s="37">
        <f t="shared" si="12"/>
        <v>14</v>
      </c>
      <c r="V68" s="37">
        <f t="shared" si="12"/>
        <v>12</v>
      </c>
      <c r="W68" s="37">
        <f t="shared" si="12"/>
        <v>10</v>
      </c>
      <c r="X68" s="37">
        <f t="shared" si="11"/>
        <v>18</v>
      </c>
      <c r="Y68" s="37">
        <f t="shared" si="11"/>
        <v>8</v>
      </c>
      <c r="Z68" s="37">
        <f t="shared" si="11"/>
        <v>18</v>
      </c>
      <c r="AA68" s="37">
        <f t="shared" si="11"/>
        <v>15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3</v>
      </c>
      <c r="AK68" s="154" t="s">
        <v>64</v>
      </c>
      <c r="AL68" s="154">
        <v>1</v>
      </c>
      <c r="AM68" s="154">
        <v>1</v>
      </c>
      <c r="AN68" s="154">
        <v>40</v>
      </c>
      <c r="AO68" s="154">
        <v>1</v>
      </c>
      <c r="AP68" s="154">
        <v>40</v>
      </c>
      <c r="AQ68" s="154">
        <v>1</v>
      </c>
      <c r="AR68" s="154">
        <v>1</v>
      </c>
      <c r="AS68" s="151">
        <v>6</v>
      </c>
    </row>
    <row r="69" spans="2:45" ht="16.5" customHeight="1">
      <c r="B69" s="164">
        <v>2</v>
      </c>
      <c r="C69" s="159">
        <v>0</v>
      </c>
      <c r="L69" s="14">
        <v>65</v>
      </c>
      <c r="M69" s="38" t="s">
        <v>27</v>
      </c>
      <c r="N69" s="38" t="s">
        <v>27</v>
      </c>
      <c r="O69" s="38" t="s">
        <v>24</v>
      </c>
      <c r="P69" s="38" t="s">
        <v>29</v>
      </c>
      <c r="Q69" s="38" t="s">
        <v>89</v>
      </c>
      <c r="R69" s="38" t="s">
        <v>27</v>
      </c>
      <c r="S69" s="24" t="s">
        <v>28</v>
      </c>
      <c r="U69" s="37">
        <f t="shared" si="12"/>
        <v>12</v>
      </c>
      <c r="V69" s="37">
        <f t="shared" si="12"/>
        <v>12</v>
      </c>
      <c r="W69" s="37">
        <f t="shared" si="12"/>
        <v>11</v>
      </c>
      <c r="X69" s="37">
        <f t="shared" si="11"/>
        <v>18</v>
      </c>
      <c r="Y69" s="37">
        <f t="shared" si="11"/>
        <v>8</v>
      </c>
      <c r="Z69" s="37">
        <f t="shared" si="11"/>
        <v>12</v>
      </c>
      <c r="AA69" s="37">
        <f t="shared" si="11"/>
        <v>15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4" t="s">
        <v>89</v>
      </c>
      <c r="AL69" s="154">
        <v>1</v>
      </c>
      <c r="AM69" s="154">
        <v>40</v>
      </c>
      <c r="AN69" s="154">
        <v>1</v>
      </c>
      <c r="AO69" s="154">
        <v>40</v>
      </c>
      <c r="AP69" s="154">
        <v>1</v>
      </c>
      <c r="AQ69" s="154">
        <v>1</v>
      </c>
      <c r="AR69" s="154">
        <v>1</v>
      </c>
      <c r="AS69" s="151">
        <v>7</v>
      </c>
    </row>
    <row r="70" spans="2:45" ht="16.5" customHeight="1">
      <c r="B70" s="164">
        <v>3</v>
      </c>
      <c r="C70" s="159">
        <v>0</v>
      </c>
      <c r="L70" s="15">
        <v>66</v>
      </c>
      <c r="M70" s="38" t="s">
        <v>27</v>
      </c>
      <c r="N70" s="38" t="s">
        <v>29</v>
      </c>
      <c r="O70" s="38" t="s">
        <v>24</v>
      </c>
      <c r="P70" s="38" t="s">
        <v>29</v>
      </c>
      <c r="Q70" s="38" t="s">
        <v>18</v>
      </c>
      <c r="R70" s="38" t="s">
        <v>24</v>
      </c>
      <c r="S70" s="24" t="s">
        <v>28</v>
      </c>
      <c r="U70" s="37">
        <f t="shared" si="12"/>
        <v>12</v>
      </c>
      <c r="V70" s="37">
        <f t="shared" si="12"/>
        <v>18</v>
      </c>
      <c r="W70" s="37">
        <f t="shared" si="12"/>
        <v>11</v>
      </c>
      <c r="X70" s="37">
        <f t="shared" si="11"/>
        <v>18</v>
      </c>
      <c r="Y70" s="37">
        <f t="shared" si="11"/>
        <v>10</v>
      </c>
      <c r="Z70" s="37">
        <f t="shared" si="11"/>
        <v>11</v>
      </c>
      <c r="AA70" s="37">
        <f t="shared" si="11"/>
        <v>15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</v>
      </c>
      <c r="AM70" s="37">
        <v>1</v>
      </c>
      <c r="AN70" s="37">
        <v>1</v>
      </c>
      <c r="AO70" s="37">
        <v>1</v>
      </c>
      <c r="AP70" s="37">
        <v>35</v>
      </c>
      <c r="AQ70" s="37">
        <v>1</v>
      </c>
      <c r="AR70" s="37">
        <v>1</v>
      </c>
      <c r="AS70" s="4">
        <v>8</v>
      </c>
    </row>
    <row r="71" spans="2:45" ht="16.5" customHeight="1">
      <c r="B71" s="164">
        <v>4</v>
      </c>
      <c r="C71" s="159">
        <v>0</v>
      </c>
      <c r="L71" s="14">
        <v>67</v>
      </c>
      <c r="M71" s="38" t="s">
        <v>18</v>
      </c>
      <c r="N71" s="38" t="s">
        <v>27</v>
      </c>
      <c r="O71" s="38" t="s">
        <v>24</v>
      </c>
      <c r="P71" s="38" t="s">
        <v>26</v>
      </c>
      <c r="Q71" s="38" t="s">
        <v>18</v>
      </c>
      <c r="R71" s="38" t="s">
        <v>64</v>
      </c>
      <c r="S71" s="24" t="s">
        <v>29</v>
      </c>
      <c r="U71" s="37">
        <f t="shared" si="12"/>
        <v>10</v>
      </c>
      <c r="V71" s="37">
        <f t="shared" si="12"/>
        <v>12</v>
      </c>
      <c r="W71" s="37">
        <f t="shared" si="12"/>
        <v>11</v>
      </c>
      <c r="X71" s="37">
        <f t="shared" si="11"/>
        <v>7</v>
      </c>
      <c r="Y71" s="37">
        <f t="shared" si="11"/>
        <v>10</v>
      </c>
      <c r="Z71" s="37">
        <f t="shared" si="11"/>
        <v>13</v>
      </c>
      <c r="AA71" s="37">
        <f t="shared" si="11"/>
        <v>18</v>
      </c>
      <c r="AC71" s="18">
        <v>1</v>
      </c>
      <c r="AD71" s="18">
        <v>1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1</v>
      </c>
      <c r="AM71" s="37">
        <v>40</v>
      </c>
      <c r="AN71" s="37">
        <v>1</v>
      </c>
      <c r="AO71" s="37">
        <v>40</v>
      </c>
      <c r="AP71" s="37">
        <v>1</v>
      </c>
      <c r="AQ71" s="37">
        <v>40</v>
      </c>
      <c r="AR71" s="37">
        <v>1</v>
      </c>
      <c r="AS71" s="4">
        <v>9</v>
      </c>
    </row>
    <row r="72" spans="2:45" ht="16.5" customHeight="1">
      <c r="B72" s="164">
        <v>5</v>
      </c>
      <c r="C72" s="159">
        <v>0</v>
      </c>
      <c r="L72" s="15">
        <v>68</v>
      </c>
      <c r="M72" s="38" t="s">
        <v>18</v>
      </c>
      <c r="N72" s="38" t="s">
        <v>27</v>
      </c>
      <c r="O72" s="38" t="s">
        <v>28</v>
      </c>
      <c r="P72" s="38" t="s">
        <v>230</v>
      </c>
      <c r="Q72" s="38" t="s">
        <v>230</v>
      </c>
      <c r="R72" s="38" t="s">
        <v>64</v>
      </c>
      <c r="S72" s="24" t="s">
        <v>21</v>
      </c>
      <c r="U72" s="37">
        <f t="shared" si="12"/>
        <v>10</v>
      </c>
      <c r="V72" s="37">
        <f t="shared" si="12"/>
        <v>12</v>
      </c>
      <c r="W72" s="37">
        <f t="shared" si="12"/>
        <v>15</v>
      </c>
      <c r="X72" s="37">
        <f t="shared" si="11"/>
        <v>0</v>
      </c>
      <c r="Y72" s="37">
        <f t="shared" si="11"/>
        <v>0</v>
      </c>
      <c r="Z72" s="37">
        <f t="shared" si="11"/>
        <v>13</v>
      </c>
      <c r="AA72" s="37">
        <f t="shared" si="11"/>
        <v>12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4">
        <v>1</v>
      </c>
      <c r="AK72" s="37" t="s">
        <v>27</v>
      </c>
      <c r="AL72" s="37">
        <v>60</v>
      </c>
      <c r="AM72" s="37">
        <v>40</v>
      </c>
      <c r="AN72" s="37">
        <v>35</v>
      </c>
      <c r="AO72" s="37">
        <v>1</v>
      </c>
      <c r="AP72" s="37">
        <v>1</v>
      </c>
      <c r="AQ72" s="37">
        <v>1</v>
      </c>
      <c r="AR72" s="37">
        <v>1</v>
      </c>
      <c r="AS72" s="4">
        <v>10</v>
      </c>
    </row>
    <row r="73" spans="2:45" ht="16.5" customHeight="1">
      <c r="B73" s="164">
        <v>6</v>
      </c>
      <c r="C73" s="159">
        <v>0</v>
      </c>
      <c r="L73" s="14">
        <v>69</v>
      </c>
      <c r="M73" s="38" t="s">
        <v>26</v>
      </c>
      <c r="N73" s="38" t="s">
        <v>27</v>
      </c>
      <c r="O73" s="38" t="s">
        <v>28</v>
      </c>
      <c r="P73" s="38" t="s">
        <v>64</v>
      </c>
      <c r="Q73" s="38" t="s">
        <v>64</v>
      </c>
      <c r="R73" s="38" t="s">
        <v>29</v>
      </c>
      <c r="S73" s="24" t="s">
        <v>21</v>
      </c>
      <c r="U73" s="37">
        <f t="shared" si="12"/>
        <v>7</v>
      </c>
      <c r="V73" s="37">
        <f t="shared" si="12"/>
        <v>12</v>
      </c>
      <c r="W73" s="37">
        <f t="shared" si="12"/>
        <v>15</v>
      </c>
      <c r="X73" s="37">
        <f t="shared" si="11"/>
        <v>13</v>
      </c>
      <c r="Y73" s="37">
        <f t="shared" si="11"/>
        <v>13</v>
      </c>
      <c r="Z73" s="37">
        <f t="shared" si="11"/>
        <v>18</v>
      </c>
      <c r="AA73" s="37">
        <f t="shared" si="11"/>
        <v>12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4">
        <v>1</v>
      </c>
      <c r="AK73" s="37" t="s">
        <v>28</v>
      </c>
      <c r="AL73" s="37">
        <v>1</v>
      </c>
      <c r="AM73" s="37">
        <v>40</v>
      </c>
      <c r="AN73" s="37">
        <v>1</v>
      </c>
      <c r="AO73" s="37">
        <v>1</v>
      </c>
      <c r="AP73" s="37">
        <v>1</v>
      </c>
      <c r="AQ73" s="37">
        <v>1</v>
      </c>
      <c r="AR73" s="37">
        <v>1</v>
      </c>
      <c r="AS73" s="4">
        <v>11</v>
      </c>
    </row>
    <row r="74" spans="2:45" ht="16.5" customHeight="1">
      <c r="B74" s="164">
        <v>7</v>
      </c>
      <c r="C74" s="159">
        <v>0</v>
      </c>
      <c r="L74" s="15">
        <v>70</v>
      </c>
      <c r="M74" s="38" t="s">
        <v>29</v>
      </c>
      <c r="N74" s="38" t="s">
        <v>240</v>
      </c>
      <c r="O74" s="38" t="s">
        <v>28</v>
      </c>
      <c r="P74" s="38" t="s">
        <v>64</v>
      </c>
      <c r="Q74" s="38" t="s">
        <v>18</v>
      </c>
      <c r="R74" s="38" t="s">
        <v>28</v>
      </c>
      <c r="S74" s="24" t="s">
        <v>17</v>
      </c>
      <c r="U74" s="37">
        <f t="shared" si="12"/>
        <v>18</v>
      </c>
      <c r="V74" s="37">
        <f t="shared" si="12"/>
        <v>0</v>
      </c>
      <c r="W74" s="37">
        <f t="shared" si="12"/>
        <v>15</v>
      </c>
      <c r="X74" s="37">
        <f t="shared" si="11"/>
        <v>13</v>
      </c>
      <c r="Y74" s="37">
        <f t="shared" si="11"/>
        <v>10</v>
      </c>
      <c r="Z74" s="37">
        <f t="shared" si="11"/>
        <v>15</v>
      </c>
      <c r="AA74" s="37">
        <f t="shared" si="11"/>
        <v>14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4">
        <v>3</v>
      </c>
      <c r="AK74" s="37" t="s">
        <v>29</v>
      </c>
      <c r="AL74" s="37">
        <v>40</v>
      </c>
      <c r="AM74" s="37">
        <v>1</v>
      </c>
      <c r="AN74" s="37">
        <v>1</v>
      </c>
      <c r="AO74" s="37">
        <v>1</v>
      </c>
      <c r="AP74" s="37">
        <v>1</v>
      </c>
      <c r="AQ74" s="37">
        <v>1</v>
      </c>
      <c r="AR74" s="37">
        <v>1</v>
      </c>
      <c r="AS74" s="4">
        <v>12</v>
      </c>
    </row>
    <row r="75" spans="2:45" ht="16.5" customHeight="1">
      <c r="L75" s="14">
        <v>71</v>
      </c>
      <c r="M75" s="38" t="s">
        <v>29</v>
      </c>
      <c r="N75" s="38" t="s">
        <v>28</v>
      </c>
      <c r="O75" s="38" t="s">
        <v>26</v>
      </c>
      <c r="P75" s="38" t="s">
        <v>24</v>
      </c>
      <c r="Q75" s="38" t="s">
        <v>24</v>
      </c>
      <c r="R75" s="38" t="s">
        <v>24</v>
      </c>
      <c r="S75" s="24" t="s">
        <v>17</v>
      </c>
      <c r="U75" s="37">
        <f t="shared" si="12"/>
        <v>18</v>
      </c>
      <c r="V75" s="37">
        <f t="shared" si="12"/>
        <v>15</v>
      </c>
      <c r="W75" s="37">
        <f t="shared" si="12"/>
        <v>7</v>
      </c>
      <c r="X75" s="37">
        <f t="shared" si="11"/>
        <v>11</v>
      </c>
      <c r="Y75" s="37">
        <f t="shared" si="11"/>
        <v>11</v>
      </c>
      <c r="Z75" s="37">
        <f t="shared" si="11"/>
        <v>11</v>
      </c>
      <c r="AA75" s="37">
        <f t="shared" si="11"/>
        <v>14</v>
      </c>
      <c r="AC75" s="18">
        <v>1</v>
      </c>
      <c r="AD75" s="18">
        <v>1</v>
      </c>
      <c r="AE75" s="18">
        <v>1</v>
      </c>
      <c r="AF75" s="18">
        <v>1</v>
      </c>
      <c r="AG75" s="18">
        <v>1</v>
      </c>
      <c r="AH75" s="18">
        <v>1</v>
      </c>
      <c r="AI75" s="4">
        <v>1</v>
      </c>
      <c r="AK75" s="154" t="s">
        <v>222</v>
      </c>
      <c r="AL75" s="154">
        <v>0</v>
      </c>
      <c r="AM75" s="154">
        <v>2</v>
      </c>
      <c r="AN75" s="154">
        <v>2</v>
      </c>
      <c r="AO75" s="154">
        <v>1</v>
      </c>
      <c r="AP75" s="154">
        <v>2</v>
      </c>
      <c r="AQ75" s="154">
        <v>0</v>
      </c>
      <c r="AR75" s="154">
        <v>0</v>
      </c>
      <c r="AS75" s="151">
        <v>13</v>
      </c>
    </row>
    <row r="76" spans="2:45" ht="16.5" customHeight="1">
      <c r="L76" s="15">
        <v>72</v>
      </c>
      <c r="M76" s="38" t="s">
        <v>26</v>
      </c>
      <c r="N76" s="38" t="s">
        <v>232</v>
      </c>
      <c r="O76" s="38" t="s">
        <v>18</v>
      </c>
      <c r="P76" s="38" t="s">
        <v>64</v>
      </c>
      <c r="Q76" s="38" t="s">
        <v>18</v>
      </c>
      <c r="R76" s="38" t="s">
        <v>24</v>
      </c>
      <c r="S76" s="24" t="s">
        <v>17</v>
      </c>
      <c r="U76" s="37">
        <f t="shared" si="12"/>
        <v>7</v>
      </c>
      <c r="V76" s="37">
        <f t="shared" si="12"/>
        <v>0</v>
      </c>
      <c r="W76" s="37">
        <f t="shared" si="12"/>
        <v>10</v>
      </c>
      <c r="X76" s="37">
        <f t="shared" si="11"/>
        <v>13</v>
      </c>
      <c r="Y76" s="37">
        <f t="shared" si="11"/>
        <v>10</v>
      </c>
      <c r="Z76" s="37">
        <f t="shared" si="11"/>
        <v>11</v>
      </c>
      <c r="AA76" s="37">
        <f t="shared" si="11"/>
        <v>14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4">
        <v>1</v>
      </c>
      <c r="AK76" s="154" t="s">
        <v>224</v>
      </c>
      <c r="AL76" s="154">
        <v>0</v>
      </c>
      <c r="AM76" s="154">
        <v>1</v>
      </c>
      <c r="AN76" s="154">
        <v>1</v>
      </c>
      <c r="AO76" s="154">
        <v>2</v>
      </c>
      <c r="AP76" s="154">
        <v>1</v>
      </c>
      <c r="AQ76" s="154">
        <v>0</v>
      </c>
      <c r="AR76" s="154">
        <v>0</v>
      </c>
      <c r="AS76" s="151">
        <v>14</v>
      </c>
    </row>
    <row r="77" spans="2:45" ht="16.5" customHeight="1">
      <c r="L77" s="14">
        <v>73</v>
      </c>
      <c r="M77" s="38" t="s">
        <v>28</v>
      </c>
      <c r="N77" s="38" t="s">
        <v>24</v>
      </c>
      <c r="O77" s="38" t="s">
        <v>28</v>
      </c>
      <c r="P77" s="38" t="s">
        <v>28</v>
      </c>
      <c r="Q77" s="38" t="s">
        <v>17</v>
      </c>
      <c r="R77" s="38" t="s">
        <v>17</v>
      </c>
      <c r="S77" s="24" t="s">
        <v>27</v>
      </c>
      <c r="U77" s="37">
        <f t="shared" si="12"/>
        <v>15</v>
      </c>
      <c r="V77" s="37">
        <f t="shared" si="12"/>
        <v>11</v>
      </c>
      <c r="W77" s="37">
        <f t="shared" si="12"/>
        <v>15</v>
      </c>
      <c r="X77" s="37">
        <f t="shared" si="11"/>
        <v>15</v>
      </c>
      <c r="Y77" s="37">
        <f t="shared" si="11"/>
        <v>14</v>
      </c>
      <c r="Z77" s="37">
        <f t="shared" si="11"/>
        <v>14</v>
      </c>
      <c r="AA77" s="37">
        <f t="shared" si="11"/>
        <v>12</v>
      </c>
      <c r="AC77" s="18">
        <v>1</v>
      </c>
      <c r="AD77" s="18">
        <v>1</v>
      </c>
      <c r="AE77" s="18">
        <v>1</v>
      </c>
      <c r="AF77" s="18">
        <v>1</v>
      </c>
      <c r="AG77" s="18">
        <v>1</v>
      </c>
      <c r="AH77" s="18">
        <v>1</v>
      </c>
      <c r="AI77" s="4">
        <v>2</v>
      </c>
      <c r="AK77" s="154" t="s">
        <v>226</v>
      </c>
      <c r="AL77" s="154">
        <v>0</v>
      </c>
      <c r="AM77" s="154">
        <v>2</v>
      </c>
      <c r="AN77" s="154">
        <v>2</v>
      </c>
      <c r="AO77" s="154">
        <v>1</v>
      </c>
      <c r="AP77" s="154">
        <v>1</v>
      </c>
      <c r="AQ77" s="154">
        <v>0</v>
      </c>
      <c r="AR77" s="154">
        <v>0</v>
      </c>
      <c r="AS77" s="151">
        <v>15</v>
      </c>
    </row>
    <row r="78" spans="2:45" ht="16.5" customHeight="1">
      <c r="L78" s="15">
        <v>74</v>
      </c>
      <c r="M78" s="38" t="s">
        <v>64</v>
      </c>
      <c r="N78" s="38" t="s">
        <v>69</v>
      </c>
      <c r="O78" s="38" t="s">
        <v>28</v>
      </c>
      <c r="P78" s="38" t="s">
        <v>28</v>
      </c>
      <c r="Q78" s="38" t="s">
        <v>17</v>
      </c>
      <c r="R78" s="38" t="s">
        <v>17</v>
      </c>
      <c r="S78" s="24" t="s">
        <v>27</v>
      </c>
      <c r="U78" s="37">
        <f t="shared" si="12"/>
        <v>13</v>
      </c>
      <c r="V78" s="37">
        <f t="shared" si="12"/>
        <v>0</v>
      </c>
      <c r="W78" s="37">
        <f t="shared" si="12"/>
        <v>15</v>
      </c>
      <c r="X78" s="37">
        <f t="shared" si="11"/>
        <v>15</v>
      </c>
      <c r="Y78" s="37">
        <f t="shared" si="11"/>
        <v>14</v>
      </c>
      <c r="Z78" s="37">
        <f t="shared" si="11"/>
        <v>14</v>
      </c>
      <c r="AA78" s="37">
        <f t="shared" si="11"/>
        <v>12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4">
        <v>1</v>
      </c>
      <c r="AK78" s="154" t="s">
        <v>228</v>
      </c>
      <c r="AL78" s="154">
        <v>0</v>
      </c>
      <c r="AM78" s="154">
        <v>1</v>
      </c>
      <c r="AN78" s="154">
        <v>1</v>
      </c>
      <c r="AO78" s="154">
        <v>1</v>
      </c>
      <c r="AP78" s="154">
        <v>1</v>
      </c>
      <c r="AQ78" s="154">
        <v>0</v>
      </c>
      <c r="AR78" s="154">
        <v>0</v>
      </c>
      <c r="AS78" s="151">
        <v>16</v>
      </c>
    </row>
    <row r="79" spans="2:45" ht="16.5" customHeight="1">
      <c r="L79" s="14">
        <v>75</v>
      </c>
      <c r="M79" s="38" t="s">
        <v>29</v>
      </c>
      <c r="N79" s="38" t="s">
        <v>69</v>
      </c>
      <c r="O79" s="38" t="s">
        <v>24</v>
      </c>
      <c r="P79" s="38" t="s">
        <v>240</v>
      </c>
      <c r="Q79" s="38" t="s">
        <v>226</v>
      </c>
      <c r="R79" s="38" t="s">
        <v>17</v>
      </c>
      <c r="S79" s="24" t="s">
        <v>27</v>
      </c>
      <c r="U79" s="37">
        <f t="shared" si="12"/>
        <v>18</v>
      </c>
      <c r="V79" s="37">
        <f t="shared" si="12"/>
        <v>0</v>
      </c>
      <c r="W79" s="37">
        <f t="shared" si="12"/>
        <v>11</v>
      </c>
      <c r="X79" s="37">
        <f t="shared" si="11"/>
        <v>0</v>
      </c>
      <c r="Y79" s="37">
        <f t="shared" si="11"/>
        <v>0</v>
      </c>
      <c r="Z79" s="37">
        <f t="shared" si="11"/>
        <v>14</v>
      </c>
      <c r="AA79" s="37">
        <f t="shared" si="11"/>
        <v>12</v>
      </c>
      <c r="AC79" s="18">
        <v>1</v>
      </c>
      <c r="AD79" s="18">
        <v>1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4" t="s">
        <v>230</v>
      </c>
      <c r="AL79" s="154">
        <v>0</v>
      </c>
      <c r="AM79" s="154">
        <v>2</v>
      </c>
      <c r="AN79" s="154">
        <v>2</v>
      </c>
      <c r="AO79" s="154">
        <v>1</v>
      </c>
      <c r="AP79" s="154">
        <v>2</v>
      </c>
      <c r="AQ79" s="154">
        <v>0</v>
      </c>
      <c r="AR79" s="154">
        <v>0</v>
      </c>
      <c r="AS79" s="151">
        <v>17</v>
      </c>
    </row>
    <row r="80" spans="2:45">
      <c r="L80" s="15">
        <v>76</v>
      </c>
      <c r="M80" s="38" t="s">
        <v>29</v>
      </c>
      <c r="N80" s="38" t="s">
        <v>89</v>
      </c>
      <c r="O80" s="38" t="s">
        <v>26</v>
      </c>
      <c r="P80" s="38" t="s">
        <v>29</v>
      </c>
      <c r="Q80" s="38" t="s">
        <v>64</v>
      </c>
      <c r="R80" s="38" t="s">
        <v>64</v>
      </c>
      <c r="S80" s="38" t="s">
        <v>17</v>
      </c>
      <c r="U80" s="37">
        <f t="shared" si="12"/>
        <v>18</v>
      </c>
      <c r="V80" s="37">
        <f t="shared" si="12"/>
        <v>8</v>
      </c>
      <c r="W80" s="37">
        <f t="shared" si="12"/>
        <v>7</v>
      </c>
      <c r="X80" s="37">
        <f t="shared" si="11"/>
        <v>18</v>
      </c>
      <c r="Y80" s="37">
        <f t="shared" si="11"/>
        <v>13</v>
      </c>
      <c r="Z80" s="37">
        <f t="shared" si="11"/>
        <v>13</v>
      </c>
      <c r="AA80" s="37">
        <f t="shared" si="11"/>
        <v>14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4">
        <v>1</v>
      </c>
      <c r="AK80" s="154" t="s">
        <v>232</v>
      </c>
      <c r="AL80" s="154">
        <v>0</v>
      </c>
      <c r="AM80" s="154">
        <v>2</v>
      </c>
      <c r="AN80" s="154">
        <v>2</v>
      </c>
      <c r="AO80" s="154">
        <v>1</v>
      </c>
      <c r="AP80" s="154">
        <v>2</v>
      </c>
      <c r="AQ80" s="154">
        <v>0</v>
      </c>
      <c r="AR80" s="154">
        <v>0</v>
      </c>
      <c r="AS80" s="151">
        <v>18</v>
      </c>
    </row>
    <row r="81" spans="12:45">
      <c r="L81" s="14">
        <v>77</v>
      </c>
      <c r="M81" s="38" t="s">
        <v>27</v>
      </c>
      <c r="N81" s="38" t="s">
        <v>89</v>
      </c>
      <c r="O81" s="38" t="s">
        <v>26</v>
      </c>
      <c r="P81" s="38" t="s">
        <v>29</v>
      </c>
      <c r="Q81" s="38" t="s">
        <v>64</v>
      </c>
      <c r="R81" s="38" t="s">
        <v>64</v>
      </c>
      <c r="S81" s="24" t="s">
        <v>29</v>
      </c>
      <c r="U81" s="37">
        <f t="shared" si="12"/>
        <v>12</v>
      </c>
      <c r="V81" s="37">
        <f t="shared" si="12"/>
        <v>8</v>
      </c>
      <c r="W81" s="37">
        <f t="shared" si="12"/>
        <v>7</v>
      </c>
      <c r="X81" s="37">
        <f t="shared" si="11"/>
        <v>18</v>
      </c>
      <c r="Y81" s="37">
        <f t="shared" si="11"/>
        <v>13</v>
      </c>
      <c r="Z81" s="37">
        <f t="shared" si="11"/>
        <v>13</v>
      </c>
      <c r="AA81" s="37">
        <f t="shared" si="11"/>
        <v>18</v>
      </c>
      <c r="AC81" s="18">
        <v>1</v>
      </c>
      <c r="AD81" s="18">
        <v>1</v>
      </c>
      <c r="AE81" s="18">
        <v>1</v>
      </c>
      <c r="AF81" s="18">
        <v>1</v>
      </c>
      <c r="AG81" s="18">
        <v>1</v>
      </c>
      <c r="AH81" s="18">
        <v>1</v>
      </c>
      <c r="AI81" s="4">
        <v>3</v>
      </c>
      <c r="AK81" s="37" t="s">
        <v>234</v>
      </c>
      <c r="AL81" s="37">
        <v>0</v>
      </c>
      <c r="AM81" s="37">
        <v>2</v>
      </c>
      <c r="AN81" s="37">
        <v>1</v>
      </c>
      <c r="AO81" s="37">
        <v>1</v>
      </c>
      <c r="AP81" s="37">
        <v>7</v>
      </c>
      <c r="AQ81" s="37">
        <v>0</v>
      </c>
      <c r="AR81" s="37">
        <v>0</v>
      </c>
      <c r="AS81" s="4">
        <v>19</v>
      </c>
    </row>
    <row r="82" spans="12:45">
      <c r="L82" s="15">
        <v>78</v>
      </c>
      <c r="M82" s="38" t="s">
        <v>28</v>
      </c>
      <c r="N82" s="38" t="s">
        <v>21</v>
      </c>
      <c r="O82" s="38" t="s">
        <v>26</v>
      </c>
      <c r="P82" s="38" t="s">
        <v>24</v>
      </c>
      <c r="Q82" s="38" t="s">
        <v>89</v>
      </c>
      <c r="R82" s="38" t="s">
        <v>64</v>
      </c>
      <c r="S82" s="24" t="s">
        <v>29</v>
      </c>
      <c r="U82" s="37">
        <f t="shared" si="12"/>
        <v>15</v>
      </c>
      <c r="V82" s="37">
        <f t="shared" si="12"/>
        <v>12</v>
      </c>
      <c r="W82" s="37">
        <f t="shared" si="12"/>
        <v>7</v>
      </c>
      <c r="X82" s="37">
        <f t="shared" si="11"/>
        <v>11</v>
      </c>
      <c r="Y82" s="37">
        <f t="shared" si="11"/>
        <v>8</v>
      </c>
      <c r="Z82" s="37">
        <f t="shared" si="11"/>
        <v>13</v>
      </c>
      <c r="AA82" s="37">
        <f t="shared" si="11"/>
        <v>18</v>
      </c>
      <c r="AC82" s="18">
        <v>1</v>
      </c>
      <c r="AD82" s="18">
        <v>1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0</v>
      </c>
      <c r="AM82" s="37">
        <v>2</v>
      </c>
      <c r="AN82" s="37">
        <v>1</v>
      </c>
      <c r="AO82" s="37">
        <v>2</v>
      </c>
      <c r="AP82" s="37">
        <v>1</v>
      </c>
      <c r="AQ82" s="37">
        <v>0</v>
      </c>
      <c r="AR82" s="37">
        <v>0</v>
      </c>
      <c r="AS82" s="4">
        <v>20</v>
      </c>
    </row>
    <row r="83" spans="12:45">
      <c r="L83" s="14">
        <v>79</v>
      </c>
      <c r="M83" s="38" t="s">
        <v>64</v>
      </c>
      <c r="N83" s="38" t="s">
        <v>21</v>
      </c>
      <c r="O83" s="38" t="s">
        <v>18</v>
      </c>
      <c r="P83" s="38" t="s">
        <v>228</v>
      </c>
      <c r="Q83" s="38" t="s">
        <v>89</v>
      </c>
      <c r="R83" s="38" t="s">
        <v>29</v>
      </c>
      <c r="S83" s="24" t="s">
        <v>29</v>
      </c>
      <c r="U83" s="37">
        <f t="shared" si="12"/>
        <v>13</v>
      </c>
      <c r="V83" s="37">
        <f t="shared" si="12"/>
        <v>12</v>
      </c>
      <c r="W83" s="37">
        <f t="shared" si="12"/>
        <v>10</v>
      </c>
      <c r="X83" s="37">
        <f t="shared" si="11"/>
        <v>0</v>
      </c>
      <c r="Y83" s="37">
        <f t="shared" si="11"/>
        <v>8</v>
      </c>
      <c r="Z83" s="37">
        <f t="shared" si="11"/>
        <v>18</v>
      </c>
      <c r="AA83" s="37">
        <f t="shared" si="11"/>
        <v>18</v>
      </c>
      <c r="AC83" s="18">
        <v>1</v>
      </c>
      <c r="AD83" s="18">
        <v>1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0</v>
      </c>
      <c r="AM83" s="37">
        <v>2</v>
      </c>
      <c r="AN83" s="37">
        <v>7</v>
      </c>
      <c r="AO83" s="37">
        <v>1</v>
      </c>
      <c r="AP83" s="37">
        <v>1</v>
      </c>
      <c r="AQ83" s="37">
        <v>0</v>
      </c>
      <c r="AR83" s="37">
        <v>0</v>
      </c>
      <c r="AS83" s="4">
        <v>21</v>
      </c>
    </row>
    <row r="84" spans="12:45">
      <c r="L84" s="15">
        <v>80</v>
      </c>
      <c r="M84" s="38" t="s">
        <v>64</v>
      </c>
      <c r="N84" s="38" t="s">
        <v>26</v>
      </c>
      <c r="O84" s="38" t="s">
        <v>28</v>
      </c>
      <c r="P84" s="38" t="s">
        <v>18</v>
      </c>
      <c r="Q84" s="38" t="s">
        <v>232</v>
      </c>
      <c r="R84" s="38" t="s">
        <v>27</v>
      </c>
      <c r="S84" s="24" t="s">
        <v>24</v>
      </c>
      <c r="U84" s="37">
        <f t="shared" si="12"/>
        <v>13</v>
      </c>
      <c r="V84" s="37">
        <f t="shared" si="12"/>
        <v>7</v>
      </c>
      <c r="W84" s="37">
        <f t="shared" si="12"/>
        <v>15</v>
      </c>
      <c r="X84" s="37">
        <f t="shared" si="11"/>
        <v>10</v>
      </c>
      <c r="Y84" s="37">
        <f t="shared" si="11"/>
        <v>0</v>
      </c>
      <c r="Z84" s="37">
        <f t="shared" si="11"/>
        <v>12</v>
      </c>
      <c r="AA84" s="37">
        <f t="shared" si="11"/>
        <v>11</v>
      </c>
      <c r="AC84" s="18">
        <v>1</v>
      </c>
      <c r="AD84" s="18">
        <v>1</v>
      </c>
      <c r="AE84" s="18">
        <v>1</v>
      </c>
      <c r="AF84" s="18">
        <v>1</v>
      </c>
      <c r="AG84" s="18">
        <v>1</v>
      </c>
      <c r="AH84" s="18">
        <v>1</v>
      </c>
      <c r="AI84" s="4">
        <v>3</v>
      </c>
      <c r="AK84" s="37" t="s">
        <v>240</v>
      </c>
      <c r="AL84" s="37">
        <v>0</v>
      </c>
      <c r="AM84" s="37">
        <v>1</v>
      </c>
      <c r="AN84" s="37">
        <v>1</v>
      </c>
      <c r="AO84" s="37">
        <v>1</v>
      </c>
      <c r="AP84" s="37">
        <v>1</v>
      </c>
      <c r="AQ84" s="37">
        <v>0</v>
      </c>
      <c r="AR84" s="37">
        <v>0</v>
      </c>
      <c r="AS84" s="4">
        <v>22</v>
      </c>
    </row>
    <row r="85" spans="12:45">
      <c r="L85" s="14">
        <v>81</v>
      </c>
      <c r="M85" s="38" t="s">
        <v>28</v>
      </c>
      <c r="N85" s="38" t="s">
        <v>26</v>
      </c>
      <c r="O85" s="38" t="s">
        <v>21</v>
      </c>
      <c r="P85" s="38" t="s">
        <v>64</v>
      </c>
      <c r="Q85" s="38" t="s">
        <v>28</v>
      </c>
      <c r="R85" s="38" t="s">
        <v>27</v>
      </c>
      <c r="S85" s="24" t="s">
        <v>24</v>
      </c>
      <c r="U85" s="37">
        <f t="shared" si="12"/>
        <v>15</v>
      </c>
      <c r="V85" s="37">
        <f t="shared" si="12"/>
        <v>7</v>
      </c>
      <c r="W85" s="37">
        <f t="shared" si="12"/>
        <v>12</v>
      </c>
      <c r="X85" s="37">
        <f t="shared" si="11"/>
        <v>13</v>
      </c>
      <c r="Y85" s="37">
        <f t="shared" si="11"/>
        <v>15</v>
      </c>
      <c r="Z85" s="37">
        <f t="shared" si="11"/>
        <v>12</v>
      </c>
      <c r="AA85" s="37">
        <f t="shared" si="11"/>
        <v>11</v>
      </c>
      <c r="AC85" s="18">
        <v>1</v>
      </c>
      <c r="AD85" s="18">
        <v>1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0</v>
      </c>
      <c r="AM85" s="37">
        <v>2</v>
      </c>
      <c r="AN85" s="37">
        <v>1</v>
      </c>
      <c r="AO85" s="37">
        <v>1</v>
      </c>
      <c r="AP85" s="37">
        <v>1</v>
      </c>
      <c r="AQ85" s="37">
        <v>0</v>
      </c>
      <c r="AR85" s="37">
        <v>0</v>
      </c>
      <c r="AS85" s="4">
        <v>23</v>
      </c>
    </row>
    <row r="86" spans="12:45">
      <c r="L86" s="15">
        <v>82</v>
      </c>
      <c r="M86" s="38" t="s">
        <v>29</v>
      </c>
      <c r="N86" s="38" t="s">
        <v>27</v>
      </c>
      <c r="O86" s="38" t="s">
        <v>21</v>
      </c>
      <c r="P86" s="38" t="s">
        <v>27</v>
      </c>
      <c r="Q86" s="38" t="s">
        <v>28</v>
      </c>
      <c r="R86" s="38" t="s">
        <v>24</v>
      </c>
      <c r="S86" s="24" t="s">
        <v>24</v>
      </c>
      <c r="U86" s="37">
        <f t="shared" si="12"/>
        <v>18</v>
      </c>
      <c r="V86" s="37">
        <f t="shared" si="12"/>
        <v>12</v>
      </c>
      <c r="W86" s="37">
        <f t="shared" si="12"/>
        <v>12</v>
      </c>
      <c r="X86" s="37">
        <f t="shared" si="11"/>
        <v>12</v>
      </c>
      <c r="Y86" s="37">
        <f t="shared" si="11"/>
        <v>15</v>
      </c>
      <c r="Z86" s="37">
        <f t="shared" si="11"/>
        <v>11</v>
      </c>
      <c r="AA86" s="37">
        <f t="shared" si="11"/>
        <v>11</v>
      </c>
      <c r="AC86" s="18">
        <v>1</v>
      </c>
      <c r="AD86" s="18">
        <v>1</v>
      </c>
      <c r="AE86" s="18">
        <v>1</v>
      </c>
      <c r="AF86" s="18">
        <v>1</v>
      </c>
      <c r="AG86" s="18">
        <v>1</v>
      </c>
      <c r="AH86" s="18">
        <v>1</v>
      </c>
      <c r="AI86" s="4">
        <v>1</v>
      </c>
      <c r="AK86" s="154" t="s">
        <v>94</v>
      </c>
      <c r="AL86" s="154">
        <v>0</v>
      </c>
      <c r="AM86" s="154">
        <v>0</v>
      </c>
      <c r="AN86" s="154">
        <v>0</v>
      </c>
      <c r="AO86" s="154">
        <v>0</v>
      </c>
      <c r="AP86" s="154">
        <v>0</v>
      </c>
      <c r="AQ86" s="154">
        <v>0</v>
      </c>
      <c r="AR86" s="154">
        <v>0</v>
      </c>
      <c r="AS86" s="151">
        <v>24</v>
      </c>
    </row>
    <row r="87" spans="12:45">
      <c r="L87" s="14">
        <v>83</v>
      </c>
      <c r="M87" s="38" t="s">
        <v>28</v>
      </c>
      <c r="N87" s="38" t="s">
        <v>27</v>
      </c>
      <c r="O87" s="38" t="s">
        <v>21</v>
      </c>
      <c r="P87" s="38" t="s">
        <v>18</v>
      </c>
      <c r="Q87" s="38" t="s">
        <v>89</v>
      </c>
      <c r="R87" s="38" t="s">
        <v>29</v>
      </c>
      <c r="S87" s="24" t="s">
        <v>27</v>
      </c>
      <c r="U87" s="37">
        <f t="shared" si="12"/>
        <v>15</v>
      </c>
      <c r="V87" s="37">
        <f t="shared" si="12"/>
        <v>12</v>
      </c>
      <c r="W87" s="37">
        <f t="shared" si="12"/>
        <v>12</v>
      </c>
      <c r="X87" s="37">
        <f t="shared" si="11"/>
        <v>10</v>
      </c>
      <c r="Y87" s="37">
        <f t="shared" si="11"/>
        <v>8</v>
      </c>
      <c r="Z87" s="37">
        <f t="shared" si="11"/>
        <v>18</v>
      </c>
      <c r="AA87" s="37">
        <f t="shared" si="11"/>
        <v>12</v>
      </c>
      <c r="AC87" s="18">
        <v>1</v>
      </c>
      <c r="AD87" s="18">
        <v>1</v>
      </c>
      <c r="AE87" s="18">
        <v>1</v>
      </c>
      <c r="AF87" s="18">
        <v>1</v>
      </c>
      <c r="AG87" s="18">
        <v>1</v>
      </c>
      <c r="AH87" s="18">
        <v>1</v>
      </c>
      <c r="AI87" s="4">
        <v>1</v>
      </c>
      <c r="AK87" s="154" t="s">
        <v>257</v>
      </c>
      <c r="AL87" s="154">
        <v>0</v>
      </c>
      <c r="AM87" s="154">
        <v>0</v>
      </c>
      <c r="AN87" s="154">
        <v>0</v>
      </c>
      <c r="AO87" s="154">
        <v>0</v>
      </c>
      <c r="AP87" s="154">
        <v>0</v>
      </c>
      <c r="AQ87" s="154">
        <v>0</v>
      </c>
      <c r="AR87" s="154">
        <v>0</v>
      </c>
      <c r="AS87" s="151">
        <v>25</v>
      </c>
    </row>
    <row r="88" spans="12:45">
      <c r="L88" s="15">
        <v>84</v>
      </c>
      <c r="M88" s="38" t="s">
        <v>28</v>
      </c>
      <c r="N88" s="38" t="s">
        <v>64</v>
      </c>
      <c r="O88" s="38" t="s">
        <v>18</v>
      </c>
      <c r="P88" s="38" t="s">
        <v>27</v>
      </c>
      <c r="Q88" s="38" t="s">
        <v>21</v>
      </c>
      <c r="R88" s="38" t="s">
        <v>29</v>
      </c>
      <c r="S88" s="24" t="s">
        <v>27</v>
      </c>
      <c r="U88" s="37">
        <f t="shared" si="12"/>
        <v>15</v>
      </c>
      <c r="V88" s="37">
        <f t="shared" si="12"/>
        <v>13</v>
      </c>
      <c r="W88" s="37">
        <f t="shared" si="12"/>
        <v>10</v>
      </c>
      <c r="X88" s="37">
        <f t="shared" si="11"/>
        <v>12</v>
      </c>
      <c r="Y88" s="37">
        <f t="shared" si="11"/>
        <v>12</v>
      </c>
      <c r="Z88" s="37">
        <f t="shared" si="11"/>
        <v>18</v>
      </c>
      <c r="AA88" s="37">
        <f t="shared" si="11"/>
        <v>12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4">
        <v>1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>
      <c r="L89" s="14">
        <v>85</v>
      </c>
      <c r="M89" s="38" t="s">
        <v>29</v>
      </c>
      <c r="N89" s="38" t="s">
        <v>24</v>
      </c>
      <c r="O89" s="38" t="s">
        <v>234</v>
      </c>
      <c r="P89" s="38" t="s">
        <v>27</v>
      </c>
      <c r="Q89" s="38" t="s">
        <v>26</v>
      </c>
      <c r="R89" s="38" t="s">
        <v>24</v>
      </c>
      <c r="S89" s="24" t="s">
        <v>27</v>
      </c>
      <c r="U89" s="37">
        <f t="shared" si="12"/>
        <v>18</v>
      </c>
      <c r="V89" s="37">
        <f t="shared" si="12"/>
        <v>11</v>
      </c>
      <c r="W89" s="37">
        <f t="shared" si="12"/>
        <v>0</v>
      </c>
      <c r="X89" s="37">
        <f t="shared" si="11"/>
        <v>12</v>
      </c>
      <c r="Y89" s="37">
        <f t="shared" si="11"/>
        <v>7</v>
      </c>
      <c r="Z89" s="37">
        <f t="shared" si="11"/>
        <v>11</v>
      </c>
      <c r="AA89" s="37">
        <f t="shared" si="11"/>
        <v>12</v>
      </c>
      <c r="AC89" s="18">
        <v>1</v>
      </c>
      <c r="AD89" s="18">
        <v>1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>
      <c r="L90" s="15">
        <v>86</v>
      </c>
      <c r="M90" s="38" t="s">
        <v>29</v>
      </c>
      <c r="N90" s="38" t="s">
        <v>29</v>
      </c>
      <c r="O90" s="38" t="s">
        <v>24</v>
      </c>
      <c r="P90" s="38" t="s">
        <v>27</v>
      </c>
      <c r="Q90" s="38" t="s">
        <v>18</v>
      </c>
      <c r="R90" s="38" t="s">
        <v>64</v>
      </c>
      <c r="S90" s="24" t="s">
        <v>29</v>
      </c>
      <c r="U90" s="37">
        <f t="shared" si="12"/>
        <v>18</v>
      </c>
      <c r="V90" s="37">
        <f t="shared" si="12"/>
        <v>18</v>
      </c>
      <c r="W90" s="37">
        <f t="shared" si="12"/>
        <v>11</v>
      </c>
      <c r="X90" s="37">
        <f t="shared" si="11"/>
        <v>12</v>
      </c>
      <c r="Y90" s="37">
        <f t="shared" si="11"/>
        <v>10</v>
      </c>
      <c r="Z90" s="37">
        <f t="shared" si="11"/>
        <v>13</v>
      </c>
      <c r="AA90" s="37">
        <f t="shared" si="11"/>
        <v>18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4">
        <v>1</v>
      </c>
      <c r="AK90" s="16" t="s">
        <v>265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>
      <c r="L91" s="14">
        <v>87</v>
      </c>
      <c r="M91" s="38" t="s">
        <v>29</v>
      </c>
      <c r="N91" s="38" t="s">
        <v>29</v>
      </c>
      <c r="O91" s="38" t="s">
        <v>24</v>
      </c>
      <c r="P91" s="38" t="s">
        <v>29</v>
      </c>
      <c r="Q91" s="38" t="s">
        <v>27</v>
      </c>
      <c r="R91" s="38" t="s">
        <v>24</v>
      </c>
      <c r="S91" s="24" t="s">
        <v>64</v>
      </c>
      <c r="U91" s="37">
        <f t="shared" si="12"/>
        <v>18</v>
      </c>
      <c r="V91" s="37">
        <f t="shared" si="12"/>
        <v>18</v>
      </c>
      <c r="W91" s="37">
        <f t="shared" si="12"/>
        <v>11</v>
      </c>
      <c r="X91" s="37">
        <f t="shared" si="11"/>
        <v>18</v>
      </c>
      <c r="Y91" s="37">
        <f t="shared" si="11"/>
        <v>12</v>
      </c>
      <c r="Z91" s="37">
        <f t="shared" si="11"/>
        <v>11</v>
      </c>
      <c r="AA91" s="37">
        <f t="shared" si="11"/>
        <v>13</v>
      </c>
      <c r="AC91" s="18">
        <v>1</v>
      </c>
      <c r="AD91" s="18">
        <v>1</v>
      </c>
      <c r="AE91" s="18">
        <v>1</v>
      </c>
      <c r="AF91" s="18">
        <v>1</v>
      </c>
      <c r="AG91" s="18">
        <v>1</v>
      </c>
      <c r="AH91" s="18">
        <v>1</v>
      </c>
      <c r="AI91" s="4">
        <v>3</v>
      </c>
      <c r="AK91" s="10" t="s">
        <v>68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4">
        <v>0</v>
      </c>
    </row>
    <row r="92" spans="12:45">
      <c r="L92" s="15">
        <v>88</v>
      </c>
      <c r="M92" s="38" t="s">
        <v>29</v>
      </c>
      <c r="N92" s="38" t="s">
        <v>17</v>
      </c>
      <c r="O92" s="38" t="s">
        <v>28</v>
      </c>
      <c r="P92" s="38" t="s">
        <v>29</v>
      </c>
      <c r="Q92" s="38" t="s">
        <v>27</v>
      </c>
      <c r="R92" s="38" t="s">
        <v>24</v>
      </c>
      <c r="S92" s="24" t="s">
        <v>64</v>
      </c>
      <c r="U92" s="37">
        <f t="shared" si="12"/>
        <v>18</v>
      </c>
      <c r="V92" s="37">
        <f t="shared" si="12"/>
        <v>14</v>
      </c>
      <c r="W92" s="37">
        <f t="shared" si="12"/>
        <v>15</v>
      </c>
      <c r="X92" s="37">
        <f t="shared" si="11"/>
        <v>18</v>
      </c>
      <c r="Y92" s="37">
        <f t="shared" si="11"/>
        <v>12</v>
      </c>
      <c r="Z92" s="37">
        <f t="shared" si="11"/>
        <v>11</v>
      </c>
      <c r="AA92" s="37">
        <f t="shared" si="11"/>
        <v>13</v>
      </c>
      <c r="AC92" s="18">
        <v>1</v>
      </c>
      <c r="AD92" s="18">
        <v>1</v>
      </c>
      <c r="AE92" s="18">
        <v>1</v>
      </c>
      <c r="AF92" s="18">
        <v>1</v>
      </c>
      <c r="AG92" s="18">
        <v>1</v>
      </c>
      <c r="AH92" s="18">
        <v>1</v>
      </c>
      <c r="AI92" s="4">
        <v>1</v>
      </c>
      <c r="AK92" s="37" t="s">
        <v>19</v>
      </c>
      <c r="AL92" s="37">
        <v>5</v>
      </c>
      <c r="AM92" s="37">
        <v>5</v>
      </c>
      <c r="AN92" s="37">
        <v>5</v>
      </c>
      <c r="AO92" s="37">
        <v>5</v>
      </c>
      <c r="AP92" s="37">
        <v>5</v>
      </c>
      <c r="AQ92" s="37">
        <v>5</v>
      </c>
      <c r="AR92" s="37">
        <v>0</v>
      </c>
      <c r="AS92" s="4">
        <v>1</v>
      </c>
    </row>
    <row r="93" spans="12:45">
      <c r="L93" s="14">
        <v>89</v>
      </c>
      <c r="M93" s="38" t="s">
        <v>28</v>
      </c>
      <c r="N93" s="38" t="s">
        <v>21</v>
      </c>
      <c r="O93" s="38" t="s">
        <v>28</v>
      </c>
      <c r="P93" s="38" t="s">
        <v>29</v>
      </c>
      <c r="Q93" s="38" t="s">
        <v>26</v>
      </c>
      <c r="R93" s="38" t="s">
        <v>24</v>
      </c>
      <c r="S93" s="24" t="s">
        <v>64</v>
      </c>
      <c r="U93" s="37">
        <f t="shared" si="12"/>
        <v>15</v>
      </c>
      <c r="V93" s="37">
        <f t="shared" si="12"/>
        <v>12</v>
      </c>
      <c r="W93" s="37">
        <f t="shared" si="12"/>
        <v>15</v>
      </c>
      <c r="X93" s="37">
        <f t="shared" si="11"/>
        <v>18</v>
      </c>
      <c r="Y93" s="37">
        <f t="shared" si="11"/>
        <v>7</v>
      </c>
      <c r="Z93" s="37">
        <f t="shared" si="11"/>
        <v>11</v>
      </c>
      <c r="AA93" s="37">
        <f t="shared" si="11"/>
        <v>13</v>
      </c>
      <c r="AC93" s="18">
        <v>1</v>
      </c>
      <c r="AD93" s="18">
        <v>1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4" t="s">
        <v>20</v>
      </c>
      <c r="AL93" s="154">
        <v>20</v>
      </c>
      <c r="AM93" s="154">
        <v>0</v>
      </c>
      <c r="AN93" s="154">
        <v>4</v>
      </c>
      <c r="AO93" s="154">
        <v>1</v>
      </c>
      <c r="AP93" s="154">
        <v>50</v>
      </c>
      <c r="AQ93" s="154">
        <v>1</v>
      </c>
      <c r="AR93" s="154">
        <v>0</v>
      </c>
      <c r="AS93" s="151">
        <v>2</v>
      </c>
    </row>
    <row r="94" spans="12:45">
      <c r="L94" s="15">
        <v>90</v>
      </c>
      <c r="M94" s="38" t="s">
        <v>24</v>
      </c>
      <c r="N94" s="38" t="s">
        <v>21</v>
      </c>
      <c r="O94" s="38" t="s">
        <v>18</v>
      </c>
      <c r="P94" s="38" t="s">
        <v>64</v>
      </c>
      <c r="Q94" s="38" t="s">
        <v>26</v>
      </c>
      <c r="R94" s="38" t="s">
        <v>27</v>
      </c>
      <c r="S94" s="24" t="s">
        <v>64</v>
      </c>
      <c r="U94" s="37">
        <f t="shared" si="12"/>
        <v>11</v>
      </c>
      <c r="V94" s="37">
        <f t="shared" si="12"/>
        <v>12</v>
      </c>
      <c r="W94" s="37">
        <f t="shared" si="12"/>
        <v>10</v>
      </c>
      <c r="X94" s="37">
        <f t="shared" si="11"/>
        <v>13</v>
      </c>
      <c r="Y94" s="37">
        <f t="shared" si="11"/>
        <v>7</v>
      </c>
      <c r="Z94" s="37">
        <f t="shared" si="11"/>
        <v>12</v>
      </c>
      <c r="AA94" s="37">
        <f t="shared" si="11"/>
        <v>13</v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4">
        <v>1</v>
      </c>
      <c r="AK94" s="154" t="s">
        <v>21</v>
      </c>
      <c r="AL94" s="154">
        <v>1</v>
      </c>
      <c r="AM94" s="154">
        <v>50</v>
      </c>
      <c r="AN94" s="154">
        <v>1</v>
      </c>
      <c r="AO94" s="154">
        <v>50</v>
      </c>
      <c r="AP94" s="154">
        <v>1</v>
      </c>
      <c r="AQ94" s="154">
        <v>1</v>
      </c>
      <c r="AR94" s="154">
        <v>0</v>
      </c>
      <c r="AS94" s="151">
        <v>3</v>
      </c>
    </row>
    <row r="95" spans="12:45">
      <c r="L95" s="14">
        <v>91</v>
      </c>
      <c r="M95" s="38" t="s">
        <v>28</v>
      </c>
      <c r="N95" s="38" t="s">
        <v>24</v>
      </c>
      <c r="O95" s="38" t="s">
        <v>28</v>
      </c>
      <c r="P95" s="38" t="s">
        <v>64</v>
      </c>
      <c r="Q95" s="38" t="s">
        <v>236</v>
      </c>
      <c r="R95" s="38" t="s">
        <v>27</v>
      </c>
      <c r="S95" s="24" t="s">
        <v>29</v>
      </c>
      <c r="U95" s="37">
        <f t="shared" si="12"/>
        <v>15</v>
      </c>
      <c r="V95" s="37">
        <f t="shared" si="12"/>
        <v>11</v>
      </c>
      <c r="W95" s="37">
        <f t="shared" si="12"/>
        <v>15</v>
      </c>
      <c r="X95" s="37">
        <f t="shared" si="11"/>
        <v>13</v>
      </c>
      <c r="Y95" s="37">
        <f t="shared" si="11"/>
        <v>0</v>
      </c>
      <c r="Z95" s="37">
        <f t="shared" si="11"/>
        <v>12</v>
      </c>
      <c r="AA95" s="37">
        <f t="shared" si="11"/>
        <v>18</v>
      </c>
      <c r="AC95" s="18">
        <v>1</v>
      </c>
      <c r="AD95" s="18">
        <v>1</v>
      </c>
      <c r="AE95" s="18">
        <v>1</v>
      </c>
      <c r="AF95" s="18">
        <v>1</v>
      </c>
      <c r="AG95" s="18">
        <v>1</v>
      </c>
      <c r="AH95" s="18">
        <v>1</v>
      </c>
      <c r="AI95" s="4">
        <v>3</v>
      </c>
      <c r="AK95" s="154" t="s">
        <v>17</v>
      </c>
      <c r="AL95" s="154">
        <v>50</v>
      </c>
      <c r="AM95" s="154">
        <v>1</v>
      </c>
      <c r="AN95" s="154">
        <v>60</v>
      </c>
      <c r="AO95" s="154">
        <v>0</v>
      </c>
      <c r="AP95" s="154">
        <v>1</v>
      </c>
      <c r="AQ95" s="154">
        <v>50</v>
      </c>
      <c r="AR95" s="154">
        <v>1</v>
      </c>
      <c r="AS95" s="151">
        <v>4</v>
      </c>
    </row>
    <row r="96" spans="12:45">
      <c r="L96" s="15">
        <v>92</v>
      </c>
      <c r="M96" s="38" t="s">
        <v>64</v>
      </c>
      <c r="N96" s="38" t="s">
        <v>64</v>
      </c>
      <c r="O96" s="38" t="s">
        <v>28</v>
      </c>
      <c r="P96" s="38" t="s">
        <v>64</v>
      </c>
      <c r="Q96" s="38" t="s">
        <v>28</v>
      </c>
      <c r="R96" s="38" t="s">
        <v>64</v>
      </c>
      <c r="S96" s="24" t="s">
        <v>29</v>
      </c>
      <c r="U96" s="37">
        <f t="shared" si="12"/>
        <v>13</v>
      </c>
      <c r="V96" s="37">
        <f t="shared" si="12"/>
        <v>13</v>
      </c>
      <c r="W96" s="37">
        <f t="shared" si="12"/>
        <v>15</v>
      </c>
      <c r="X96" s="37">
        <f t="shared" si="11"/>
        <v>13</v>
      </c>
      <c r="Y96" s="37">
        <f t="shared" si="11"/>
        <v>15</v>
      </c>
      <c r="Z96" s="37">
        <f t="shared" si="11"/>
        <v>13</v>
      </c>
      <c r="AA96" s="37">
        <f t="shared" si="11"/>
        <v>18</v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4">
        <v>1</v>
      </c>
      <c r="AK96" s="154" t="s">
        <v>18</v>
      </c>
      <c r="AL96" s="154">
        <v>1</v>
      </c>
      <c r="AM96" s="154">
        <v>50</v>
      </c>
      <c r="AN96" s="154">
        <v>1</v>
      </c>
      <c r="AO96" s="154">
        <v>1</v>
      </c>
      <c r="AP96" s="154">
        <v>1</v>
      </c>
      <c r="AQ96" s="154">
        <v>50</v>
      </c>
      <c r="AR96" s="154">
        <v>1</v>
      </c>
      <c r="AS96" s="151">
        <v>5</v>
      </c>
    </row>
    <row r="97" spans="12:45">
      <c r="L97" s="14">
        <v>93</v>
      </c>
      <c r="M97" s="38" t="s">
        <v>24</v>
      </c>
      <c r="N97" s="38" t="s">
        <v>18</v>
      </c>
      <c r="O97" s="38" t="s">
        <v>29</v>
      </c>
      <c r="P97" s="38" t="s">
        <v>29</v>
      </c>
      <c r="Q97" s="38" t="s">
        <v>26</v>
      </c>
      <c r="R97" s="38" t="s">
        <v>64</v>
      </c>
      <c r="S97" s="24" t="s">
        <v>29</v>
      </c>
      <c r="U97" s="37">
        <f t="shared" si="12"/>
        <v>11</v>
      </c>
      <c r="V97" s="37">
        <f t="shared" si="12"/>
        <v>10</v>
      </c>
      <c r="W97" s="37">
        <f t="shared" si="12"/>
        <v>18</v>
      </c>
      <c r="X97" s="37">
        <f t="shared" si="11"/>
        <v>18</v>
      </c>
      <c r="Y97" s="37">
        <f t="shared" si="11"/>
        <v>7</v>
      </c>
      <c r="Z97" s="37">
        <f t="shared" si="11"/>
        <v>13</v>
      </c>
      <c r="AA97" s="37">
        <f t="shared" si="11"/>
        <v>18</v>
      </c>
      <c r="AC97" s="18">
        <v>1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1</v>
      </c>
      <c r="AK97" s="154" t="s">
        <v>64</v>
      </c>
      <c r="AL97" s="154">
        <v>60</v>
      </c>
      <c r="AM97" s="154">
        <v>1</v>
      </c>
      <c r="AN97" s="154">
        <v>50</v>
      </c>
      <c r="AO97" s="154">
        <v>1</v>
      </c>
      <c r="AP97" s="154">
        <v>50</v>
      </c>
      <c r="AQ97" s="154">
        <v>1</v>
      </c>
      <c r="AR97" s="154">
        <v>1</v>
      </c>
      <c r="AS97" s="151">
        <v>6</v>
      </c>
    </row>
    <row r="98" spans="12:45">
      <c r="L98" s="15">
        <v>94</v>
      </c>
      <c r="M98" s="38" t="s">
        <v>26</v>
      </c>
      <c r="N98" s="38" t="s">
        <v>224</v>
      </c>
      <c r="O98" s="38" t="s">
        <v>28</v>
      </c>
      <c r="P98" s="38" t="s">
        <v>29</v>
      </c>
      <c r="Q98" s="38" t="s">
        <v>26</v>
      </c>
      <c r="R98" s="38" t="s">
        <v>64</v>
      </c>
      <c r="S98" s="24" t="s">
        <v>28</v>
      </c>
      <c r="U98" s="37">
        <f t="shared" si="12"/>
        <v>7</v>
      </c>
      <c r="V98" s="37">
        <f t="shared" si="12"/>
        <v>0</v>
      </c>
      <c r="W98" s="37">
        <f t="shared" si="12"/>
        <v>15</v>
      </c>
      <c r="X98" s="37">
        <f t="shared" si="11"/>
        <v>18</v>
      </c>
      <c r="Y98" s="37">
        <f t="shared" si="11"/>
        <v>7</v>
      </c>
      <c r="Z98" s="37">
        <f t="shared" si="11"/>
        <v>13</v>
      </c>
      <c r="AA98" s="37">
        <f t="shared" si="11"/>
        <v>15</v>
      </c>
      <c r="AC98" s="18">
        <v>1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3</v>
      </c>
      <c r="AK98" s="154" t="s">
        <v>89</v>
      </c>
      <c r="AL98" s="154">
        <v>1</v>
      </c>
      <c r="AM98" s="154">
        <v>50</v>
      </c>
      <c r="AN98" s="154">
        <v>1</v>
      </c>
      <c r="AO98" s="154">
        <v>1</v>
      </c>
      <c r="AP98" s="154">
        <v>1</v>
      </c>
      <c r="AQ98" s="154">
        <v>50</v>
      </c>
      <c r="AR98" s="154">
        <v>1</v>
      </c>
      <c r="AS98" s="151">
        <v>7</v>
      </c>
    </row>
    <row r="99" spans="12:45">
      <c r="L99" s="14">
        <v>95</v>
      </c>
      <c r="M99" s="38" t="s">
        <v>26</v>
      </c>
      <c r="N99" s="38" t="s">
        <v>64</v>
      </c>
      <c r="O99" s="38" t="s">
        <v>28</v>
      </c>
      <c r="P99" s="38" t="s">
        <v>232</v>
      </c>
      <c r="Q99" s="38" t="s">
        <v>26</v>
      </c>
      <c r="R99" s="38" t="s">
        <v>29</v>
      </c>
      <c r="S99" s="24" t="s">
        <v>28</v>
      </c>
      <c r="U99" s="37">
        <f t="shared" si="12"/>
        <v>7</v>
      </c>
      <c r="V99" s="37">
        <f t="shared" si="12"/>
        <v>13</v>
      </c>
      <c r="W99" s="37">
        <f t="shared" si="12"/>
        <v>15</v>
      </c>
      <c r="X99" s="37">
        <f t="shared" si="11"/>
        <v>0</v>
      </c>
      <c r="Y99" s="37">
        <f t="shared" si="11"/>
        <v>7</v>
      </c>
      <c r="Z99" s="37">
        <f t="shared" si="11"/>
        <v>18</v>
      </c>
      <c r="AA99" s="37">
        <f t="shared" si="11"/>
        <v>15</v>
      </c>
      <c r="AC99" s="18">
        <v>1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1</v>
      </c>
      <c r="AK99" s="37" t="s">
        <v>24</v>
      </c>
      <c r="AL99" s="37">
        <v>0</v>
      </c>
      <c r="AM99" s="37">
        <v>1</v>
      </c>
      <c r="AN99" s="37">
        <v>40</v>
      </c>
      <c r="AO99" s="37">
        <v>1</v>
      </c>
      <c r="AP99" s="37">
        <v>50</v>
      </c>
      <c r="AQ99" s="37">
        <v>1</v>
      </c>
      <c r="AR99" s="37">
        <v>1</v>
      </c>
      <c r="AS99" s="4">
        <v>8</v>
      </c>
    </row>
    <row r="100" spans="12:45">
      <c r="L100" s="15">
        <v>96</v>
      </c>
      <c r="M100" s="38" t="s">
        <v>27</v>
      </c>
      <c r="N100" s="38" t="s">
        <v>64</v>
      </c>
      <c r="O100" s="38" t="s">
        <v>28</v>
      </c>
      <c r="P100" s="38" t="s">
        <v>89</v>
      </c>
      <c r="Q100" s="38" t="s">
        <v>89</v>
      </c>
      <c r="R100" s="38" t="s">
        <v>18</v>
      </c>
      <c r="S100" s="24" t="s">
        <v>28</v>
      </c>
      <c r="U100" s="37">
        <f t="shared" si="12"/>
        <v>12</v>
      </c>
      <c r="V100" s="37">
        <f t="shared" si="12"/>
        <v>13</v>
      </c>
      <c r="W100" s="37">
        <f t="shared" si="12"/>
        <v>15</v>
      </c>
      <c r="X100" s="37">
        <f t="shared" si="11"/>
        <v>8</v>
      </c>
      <c r="Y100" s="37">
        <f t="shared" si="11"/>
        <v>8</v>
      </c>
      <c r="Z100" s="37">
        <f t="shared" si="11"/>
        <v>10</v>
      </c>
      <c r="AA100" s="37">
        <f t="shared" si="11"/>
        <v>15</v>
      </c>
      <c r="AC100" s="18">
        <v>1</v>
      </c>
      <c r="AD100" s="18">
        <v>1</v>
      </c>
      <c r="AE100" s="18">
        <v>1</v>
      </c>
      <c r="AF100" s="18">
        <v>1</v>
      </c>
      <c r="AG100" s="18">
        <v>1</v>
      </c>
      <c r="AH100" s="18">
        <v>1</v>
      </c>
      <c r="AI100" s="4">
        <v>1</v>
      </c>
      <c r="AK100" s="37" t="s">
        <v>26</v>
      </c>
      <c r="AL100" s="37">
        <v>1</v>
      </c>
      <c r="AM100" s="37">
        <v>1</v>
      </c>
      <c r="AN100" s="37">
        <v>1</v>
      </c>
      <c r="AO100" s="37">
        <v>50</v>
      </c>
      <c r="AP100" s="37">
        <v>1</v>
      </c>
      <c r="AQ100" s="37">
        <v>50</v>
      </c>
      <c r="AR100" s="37">
        <v>1</v>
      </c>
      <c r="AS100" s="4">
        <v>9</v>
      </c>
    </row>
    <row r="101" spans="12:45">
      <c r="L101" s="14">
        <v>97</v>
      </c>
      <c r="M101" s="38" t="s">
        <v>29</v>
      </c>
      <c r="N101" s="38" t="s">
        <v>21</v>
      </c>
      <c r="O101" s="38" t="s">
        <v>24</v>
      </c>
      <c r="P101" s="38" t="s">
        <v>89</v>
      </c>
      <c r="Q101" s="38" t="s">
        <v>18</v>
      </c>
      <c r="R101" s="38" t="s">
        <v>18</v>
      </c>
      <c r="S101" s="24" t="s">
        <v>29</v>
      </c>
      <c r="U101" s="37">
        <f t="shared" si="12"/>
        <v>18</v>
      </c>
      <c r="V101" s="37">
        <f t="shared" si="12"/>
        <v>12</v>
      </c>
      <c r="W101" s="37">
        <f t="shared" si="12"/>
        <v>11</v>
      </c>
      <c r="X101" s="37">
        <f t="shared" si="11"/>
        <v>8</v>
      </c>
      <c r="Y101" s="37">
        <f t="shared" si="11"/>
        <v>10</v>
      </c>
      <c r="Z101" s="37">
        <f t="shared" si="11"/>
        <v>10</v>
      </c>
      <c r="AA101" s="37">
        <f t="shared" si="11"/>
        <v>18</v>
      </c>
      <c r="AC101" s="18">
        <v>1</v>
      </c>
      <c r="AD101" s="18">
        <v>1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20</v>
      </c>
      <c r="AM101" s="37">
        <v>1</v>
      </c>
      <c r="AN101" s="37">
        <v>15</v>
      </c>
      <c r="AO101" s="37">
        <v>1</v>
      </c>
      <c r="AP101" s="37">
        <v>1</v>
      </c>
      <c r="AQ101" s="37">
        <v>1</v>
      </c>
      <c r="AR101" s="37">
        <v>2</v>
      </c>
      <c r="AS101" s="4">
        <v>10</v>
      </c>
    </row>
    <row r="102" spans="12:45">
      <c r="L102" s="15">
        <v>98</v>
      </c>
      <c r="M102" s="38" t="s">
        <v>17</v>
      </c>
      <c r="N102" s="38" t="s">
        <v>89</v>
      </c>
      <c r="O102" s="38" t="s">
        <v>27</v>
      </c>
      <c r="P102" s="38" t="s">
        <v>27</v>
      </c>
      <c r="Q102" s="38" t="s">
        <v>28</v>
      </c>
      <c r="R102" s="38" t="s">
        <v>29</v>
      </c>
      <c r="S102" s="24" t="s">
        <v>18</v>
      </c>
      <c r="U102" s="37">
        <f t="shared" si="12"/>
        <v>14</v>
      </c>
      <c r="V102" s="37">
        <f t="shared" si="12"/>
        <v>8</v>
      </c>
      <c r="W102" s="37">
        <f t="shared" si="12"/>
        <v>12</v>
      </c>
      <c r="X102" s="37">
        <f t="shared" si="11"/>
        <v>12</v>
      </c>
      <c r="Y102" s="37">
        <f t="shared" si="11"/>
        <v>15</v>
      </c>
      <c r="Z102" s="37">
        <f t="shared" si="11"/>
        <v>18</v>
      </c>
      <c r="AA102" s="37">
        <f t="shared" si="11"/>
        <v>10</v>
      </c>
      <c r="AC102" s="18">
        <v>1</v>
      </c>
      <c r="AD102" s="18">
        <v>1</v>
      </c>
      <c r="AE102" s="18">
        <v>1</v>
      </c>
      <c r="AF102" s="18">
        <v>1</v>
      </c>
      <c r="AG102" s="18">
        <v>1</v>
      </c>
      <c r="AH102" s="18">
        <v>1</v>
      </c>
      <c r="AI102" s="4">
        <v>3</v>
      </c>
      <c r="AK102" s="37" t="s">
        <v>28</v>
      </c>
      <c r="AL102" s="37">
        <v>1</v>
      </c>
      <c r="AM102" s="37">
        <v>50</v>
      </c>
      <c r="AN102" s="37">
        <v>1</v>
      </c>
      <c r="AO102" s="37">
        <v>1</v>
      </c>
      <c r="AP102" s="37">
        <v>1</v>
      </c>
      <c r="AQ102" s="37">
        <v>1</v>
      </c>
      <c r="AR102" s="37">
        <v>1</v>
      </c>
      <c r="AS102" s="4">
        <v>11</v>
      </c>
    </row>
    <row r="103" spans="12:45">
      <c r="L103" s="14">
        <v>99</v>
      </c>
      <c r="M103" s="38" t="s">
        <v>28</v>
      </c>
      <c r="N103" s="38" t="s">
        <v>232</v>
      </c>
      <c r="O103" s="38" t="s">
        <v>26</v>
      </c>
      <c r="P103" s="38" t="s">
        <v>27</v>
      </c>
      <c r="Q103" s="38" t="s">
        <v>28</v>
      </c>
      <c r="R103" s="38" t="s">
        <v>29</v>
      </c>
      <c r="S103" s="24" t="s">
        <v>18</v>
      </c>
      <c r="U103" s="37">
        <f t="shared" si="12"/>
        <v>15</v>
      </c>
      <c r="V103" s="37">
        <f t="shared" si="12"/>
        <v>0</v>
      </c>
      <c r="W103" s="37">
        <f t="shared" si="12"/>
        <v>7</v>
      </c>
      <c r="X103" s="37">
        <f t="shared" si="11"/>
        <v>12</v>
      </c>
      <c r="Y103" s="37">
        <f t="shared" si="11"/>
        <v>15</v>
      </c>
      <c r="Z103" s="37">
        <f t="shared" si="11"/>
        <v>18</v>
      </c>
      <c r="AA103" s="37">
        <f t="shared" si="11"/>
        <v>10</v>
      </c>
      <c r="AC103" s="18">
        <v>1</v>
      </c>
      <c r="AD103" s="18">
        <v>1</v>
      </c>
      <c r="AE103" s="18">
        <v>1</v>
      </c>
      <c r="AF103" s="18">
        <v>1</v>
      </c>
      <c r="AG103" s="18">
        <v>1</v>
      </c>
      <c r="AH103" s="18">
        <v>1</v>
      </c>
      <c r="AI103" s="4">
        <v>1</v>
      </c>
      <c r="AK103" s="37" t="s">
        <v>29</v>
      </c>
      <c r="AL103" s="37">
        <v>50</v>
      </c>
      <c r="AM103" s="37">
        <v>1</v>
      </c>
      <c r="AN103" s="37">
        <v>1</v>
      </c>
      <c r="AO103" s="37">
        <v>1</v>
      </c>
      <c r="AP103" s="37">
        <v>1</v>
      </c>
      <c r="AQ103" s="37">
        <v>1</v>
      </c>
      <c r="AR103" s="37">
        <v>1</v>
      </c>
      <c r="AS103" s="4">
        <v>12</v>
      </c>
    </row>
    <row r="104" spans="12:45">
      <c r="L104" s="15">
        <v>100</v>
      </c>
      <c r="M104" s="38" t="s">
        <v>89</v>
      </c>
      <c r="N104" s="38" t="s">
        <v>64</v>
      </c>
      <c r="O104" s="38" t="s">
        <v>26</v>
      </c>
      <c r="P104" s="38" t="s">
        <v>238</v>
      </c>
      <c r="Q104" s="38" t="s">
        <v>18</v>
      </c>
      <c r="R104" s="38" t="s">
        <v>64</v>
      </c>
      <c r="S104" s="24" t="s">
        <v>18</v>
      </c>
      <c r="U104" s="37">
        <f t="shared" si="12"/>
        <v>8</v>
      </c>
      <c r="V104" s="37">
        <f t="shared" si="12"/>
        <v>13</v>
      </c>
      <c r="W104" s="37">
        <f t="shared" si="12"/>
        <v>7</v>
      </c>
      <c r="X104" s="37">
        <f t="shared" si="11"/>
        <v>0</v>
      </c>
      <c r="Y104" s="37">
        <f t="shared" si="11"/>
        <v>10</v>
      </c>
      <c r="Z104" s="37">
        <f t="shared" si="11"/>
        <v>13</v>
      </c>
      <c r="AA104" s="37">
        <f t="shared" si="11"/>
        <v>10</v>
      </c>
      <c r="AC104" s="18">
        <v>1</v>
      </c>
      <c r="AD104" s="18">
        <v>1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4" t="s">
        <v>222</v>
      </c>
      <c r="AL104" s="154">
        <v>0</v>
      </c>
      <c r="AM104" s="154">
        <v>2</v>
      </c>
      <c r="AN104" s="154">
        <v>2</v>
      </c>
      <c r="AO104" s="154">
        <v>1</v>
      </c>
      <c r="AP104" s="154">
        <v>2</v>
      </c>
      <c r="AQ104" s="154">
        <v>0</v>
      </c>
      <c r="AR104" s="154">
        <v>0</v>
      </c>
      <c r="AS104" s="151">
        <v>13</v>
      </c>
    </row>
    <row r="105" spans="12:45">
      <c r="L105" s="14">
        <v>101</v>
      </c>
      <c r="M105" s="38" t="s">
        <v>89</v>
      </c>
      <c r="N105" s="38" t="s">
        <v>69</v>
      </c>
      <c r="O105" s="38" t="s">
        <v>28</v>
      </c>
      <c r="P105" s="38" t="s">
        <v>64</v>
      </c>
      <c r="Q105" s="38" t="s">
        <v>240</v>
      </c>
      <c r="R105" s="38" t="s">
        <v>64</v>
      </c>
      <c r="S105" s="24" t="s">
        <v>28</v>
      </c>
      <c r="U105" s="37">
        <f t="shared" si="12"/>
        <v>8</v>
      </c>
      <c r="V105" s="37">
        <f t="shared" si="12"/>
        <v>0</v>
      </c>
      <c r="W105" s="37">
        <f t="shared" si="12"/>
        <v>15</v>
      </c>
      <c r="X105" s="37">
        <f t="shared" si="11"/>
        <v>13</v>
      </c>
      <c r="Y105" s="37">
        <f t="shared" si="11"/>
        <v>0</v>
      </c>
      <c r="Z105" s="37">
        <f t="shared" si="11"/>
        <v>13</v>
      </c>
      <c r="AA105" s="37">
        <f t="shared" si="11"/>
        <v>15</v>
      </c>
      <c r="AC105" s="18">
        <v>1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1</v>
      </c>
      <c r="AK105" s="154" t="s">
        <v>224</v>
      </c>
      <c r="AL105" s="154">
        <v>0</v>
      </c>
      <c r="AM105" s="154">
        <v>1</v>
      </c>
      <c r="AN105" s="154">
        <v>1</v>
      </c>
      <c r="AO105" s="154">
        <v>2</v>
      </c>
      <c r="AP105" s="154">
        <v>1</v>
      </c>
      <c r="AQ105" s="154">
        <v>0</v>
      </c>
      <c r="AR105" s="154">
        <v>0</v>
      </c>
      <c r="AS105" s="151">
        <v>14</v>
      </c>
    </row>
    <row r="106" spans="12:45">
      <c r="L106" s="15">
        <v>102</v>
      </c>
      <c r="M106" s="38" t="s">
        <v>26</v>
      </c>
      <c r="N106" s="38" t="s">
        <v>256</v>
      </c>
      <c r="O106" s="38" t="s">
        <v>28</v>
      </c>
      <c r="P106" s="38" t="s">
        <v>24</v>
      </c>
      <c r="Q106" s="38" t="s">
        <v>28</v>
      </c>
      <c r="R106" s="38" t="s">
        <v>27</v>
      </c>
      <c r="S106" s="24" t="s">
        <v>28</v>
      </c>
      <c r="U106" s="37">
        <f t="shared" si="12"/>
        <v>7</v>
      </c>
      <c r="V106" s="37">
        <f t="shared" si="12"/>
        <v>0</v>
      </c>
      <c r="W106" s="37">
        <f t="shared" si="12"/>
        <v>15</v>
      </c>
      <c r="X106" s="37">
        <f t="shared" si="11"/>
        <v>11</v>
      </c>
      <c r="Y106" s="37">
        <f t="shared" si="11"/>
        <v>15</v>
      </c>
      <c r="Z106" s="37">
        <f t="shared" si="11"/>
        <v>12</v>
      </c>
      <c r="AA106" s="37">
        <f t="shared" si="11"/>
        <v>15</v>
      </c>
      <c r="AC106" s="18">
        <v>1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1</v>
      </c>
      <c r="AK106" s="154" t="s">
        <v>226</v>
      </c>
      <c r="AL106" s="154">
        <v>0</v>
      </c>
      <c r="AM106" s="154">
        <v>2</v>
      </c>
      <c r="AN106" s="154">
        <v>2</v>
      </c>
      <c r="AO106" s="154">
        <v>1</v>
      </c>
      <c r="AP106" s="154">
        <v>1</v>
      </c>
      <c r="AQ106" s="154">
        <v>0</v>
      </c>
      <c r="AR106" s="154">
        <v>0</v>
      </c>
      <c r="AS106" s="151">
        <v>15</v>
      </c>
    </row>
    <row r="107" spans="12:45">
      <c r="L107" s="14">
        <v>103</v>
      </c>
      <c r="M107" s="38" t="s">
        <v>27</v>
      </c>
      <c r="N107" s="38" t="s">
        <v>64</v>
      </c>
      <c r="O107" s="38" t="s">
        <v>29</v>
      </c>
      <c r="P107" s="38" t="s">
        <v>27</v>
      </c>
      <c r="Q107" s="38" t="s">
        <v>28</v>
      </c>
      <c r="R107" s="38" t="s">
        <v>27</v>
      </c>
      <c r="S107" s="24" t="s">
        <v>21</v>
      </c>
      <c r="U107" s="37">
        <f t="shared" si="12"/>
        <v>12</v>
      </c>
      <c r="V107" s="37">
        <f t="shared" si="12"/>
        <v>13</v>
      </c>
      <c r="W107" s="37">
        <f t="shared" si="12"/>
        <v>18</v>
      </c>
      <c r="X107" s="37">
        <f t="shared" si="11"/>
        <v>12</v>
      </c>
      <c r="Y107" s="37">
        <f t="shared" si="11"/>
        <v>15</v>
      </c>
      <c r="Z107" s="37">
        <f t="shared" si="11"/>
        <v>12</v>
      </c>
      <c r="AA107" s="37">
        <f t="shared" si="11"/>
        <v>12</v>
      </c>
      <c r="AC107" s="18">
        <v>1</v>
      </c>
      <c r="AD107" s="18">
        <v>1</v>
      </c>
      <c r="AE107" s="18">
        <v>1</v>
      </c>
      <c r="AF107" s="18">
        <v>1</v>
      </c>
      <c r="AG107" s="18">
        <v>1</v>
      </c>
      <c r="AH107" s="18">
        <v>1</v>
      </c>
      <c r="AI107" s="4">
        <v>1</v>
      </c>
      <c r="AK107" s="154" t="s">
        <v>228</v>
      </c>
      <c r="AL107" s="154">
        <v>0</v>
      </c>
      <c r="AM107" s="154">
        <v>1</v>
      </c>
      <c r="AN107" s="154">
        <v>1</v>
      </c>
      <c r="AO107" s="154">
        <v>1</v>
      </c>
      <c r="AP107" s="154">
        <v>1</v>
      </c>
      <c r="AQ107" s="154">
        <v>0</v>
      </c>
      <c r="AR107" s="154">
        <v>0</v>
      </c>
      <c r="AS107" s="151">
        <v>16</v>
      </c>
    </row>
    <row r="108" spans="12:45">
      <c r="L108" s="15">
        <v>104</v>
      </c>
      <c r="M108" s="38" t="s">
        <v>26</v>
      </c>
      <c r="N108" s="38" t="s">
        <v>64</v>
      </c>
      <c r="O108" s="38" t="s">
        <v>21</v>
      </c>
      <c r="P108" s="38" t="s">
        <v>27</v>
      </c>
      <c r="Q108" s="38" t="s">
        <v>89</v>
      </c>
      <c r="R108" s="38" t="s">
        <v>29</v>
      </c>
      <c r="S108" s="24" t="s">
        <v>21</v>
      </c>
      <c r="U108" s="37">
        <f t="shared" si="12"/>
        <v>7</v>
      </c>
      <c r="V108" s="37">
        <f t="shared" si="12"/>
        <v>13</v>
      </c>
      <c r="W108" s="37">
        <f t="shared" si="12"/>
        <v>12</v>
      </c>
      <c r="X108" s="37">
        <f t="shared" si="11"/>
        <v>12</v>
      </c>
      <c r="Y108" s="37">
        <f t="shared" si="11"/>
        <v>8</v>
      </c>
      <c r="Z108" s="37">
        <f t="shared" si="11"/>
        <v>18</v>
      </c>
      <c r="AA108" s="37">
        <f t="shared" si="11"/>
        <v>12</v>
      </c>
      <c r="AC108" s="18">
        <v>1</v>
      </c>
      <c r="AD108" s="18">
        <v>1</v>
      </c>
      <c r="AE108" s="18">
        <v>1</v>
      </c>
      <c r="AF108" s="18">
        <v>1</v>
      </c>
      <c r="AG108" s="18">
        <v>1</v>
      </c>
      <c r="AH108" s="18">
        <v>1</v>
      </c>
      <c r="AI108" s="4">
        <v>1</v>
      </c>
      <c r="AK108" s="154" t="s">
        <v>230</v>
      </c>
      <c r="AL108" s="154">
        <v>0</v>
      </c>
      <c r="AM108" s="154">
        <v>2</v>
      </c>
      <c r="AN108" s="154">
        <v>2</v>
      </c>
      <c r="AO108" s="154">
        <v>1</v>
      </c>
      <c r="AP108" s="154">
        <v>2</v>
      </c>
      <c r="AQ108" s="154">
        <v>0</v>
      </c>
      <c r="AR108" s="154">
        <v>0</v>
      </c>
      <c r="AS108" s="151">
        <v>17</v>
      </c>
    </row>
    <row r="109" spans="12:45">
      <c r="L109" s="14">
        <v>105</v>
      </c>
      <c r="M109" s="38" t="s">
        <v>29</v>
      </c>
      <c r="N109" s="38" t="s">
        <v>29</v>
      </c>
      <c r="O109" s="38" t="s">
        <v>21</v>
      </c>
      <c r="P109" s="38" t="s">
        <v>17</v>
      </c>
      <c r="Q109" s="38" t="s">
        <v>28</v>
      </c>
      <c r="R109" s="38" t="s">
        <v>29</v>
      </c>
      <c r="S109" s="24" t="s">
        <v>29</v>
      </c>
      <c r="U109" s="37">
        <f t="shared" si="12"/>
        <v>18</v>
      </c>
      <c r="V109" s="37">
        <f t="shared" si="12"/>
        <v>18</v>
      </c>
      <c r="W109" s="37">
        <f t="shared" si="12"/>
        <v>12</v>
      </c>
      <c r="X109" s="37">
        <f t="shared" si="11"/>
        <v>14</v>
      </c>
      <c r="Y109" s="37">
        <f t="shared" si="11"/>
        <v>15</v>
      </c>
      <c r="Z109" s="37">
        <f t="shared" si="11"/>
        <v>18</v>
      </c>
      <c r="AA109" s="37">
        <f t="shared" si="11"/>
        <v>18</v>
      </c>
      <c r="AC109" s="18">
        <v>1</v>
      </c>
      <c r="AD109" s="18">
        <v>1</v>
      </c>
      <c r="AE109" s="18">
        <v>1</v>
      </c>
      <c r="AF109" s="18">
        <v>1</v>
      </c>
      <c r="AG109" s="18">
        <v>1</v>
      </c>
      <c r="AH109" s="18">
        <v>1</v>
      </c>
      <c r="AI109" s="4">
        <v>3</v>
      </c>
      <c r="AK109" s="154" t="s">
        <v>232</v>
      </c>
      <c r="AL109" s="154">
        <v>0</v>
      </c>
      <c r="AM109" s="154">
        <v>2</v>
      </c>
      <c r="AN109" s="154">
        <v>2</v>
      </c>
      <c r="AO109" s="154">
        <v>1</v>
      </c>
      <c r="AP109" s="154">
        <v>2</v>
      </c>
      <c r="AQ109" s="154">
        <v>0</v>
      </c>
      <c r="AR109" s="154">
        <v>0</v>
      </c>
      <c r="AS109" s="151">
        <v>18</v>
      </c>
    </row>
    <row r="110" spans="12:45">
      <c r="L110" s="15">
        <v>106</v>
      </c>
      <c r="M110" s="38" t="s">
        <v>29</v>
      </c>
      <c r="N110" s="38" t="s">
        <v>27</v>
      </c>
      <c r="O110" s="38" t="s">
        <v>28</v>
      </c>
      <c r="P110" s="38" t="s">
        <v>64</v>
      </c>
      <c r="Q110" s="38" t="s">
        <v>29</v>
      </c>
      <c r="R110" s="38" t="s">
        <v>24</v>
      </c>
      <c r="S110" s="24" t="s">
        <v>29</v>
      </c>
      <c r="U110" s="37">
        <f t="shared" si="12"/>
        <v>18</v>
      </c>
      <c r="V110" s="37">
        <f t="shared" si="12"/>
        <v>12</v>
      </c>
      <c r="W110" s="37">
        <f t="shared" si="12"/>
        <v>15</v>
      </c>
      <c r="X110" s="37">
        <f t="shared" si="11"/>
        <v>13</v>
      </c>
      <c r="Y110" s="37">
        <f t="shared" si="11"/>
        <v>18</v>
      </c>
      <c r="Z110" s="37">
        <f t="shared" si="11"/>
        <v>11</v>
      </c>
      <c r="AA110" s="37">
        <f t="shared" si="11"/>
        <v>18</v>
      </c>
      <c r="AC110" s="18">
        <v>1</v>
      </c>
      <c r="AD110" s="18">
        <v>1</v>
      </c>
      <c r="AE110" s="18">
        <v>1</v>
      </c>
      <c r="AF110" s="18">
        <v>1</v>
      </c>
      <c r="AG110" s="18">
        <v>1</v>
      </c>
      <c r="AH110" s="18">
        <v>1</v>
      </c>
      <c r="AI110" s="4">
        <v>1</v>
      </c>
      <c r="AK110" s="37" t="s">
        <v>234</v>
      </c>
      <c r="AL110" s="37">
        <v>0</v>
      </c>
      <c r="AM110" s="37">
        <v>2</v>
      </c>
      <c r="AN110" s="37">
        <v>1</v>
      </c>
      <c r="AO110" s="37">
        <v>1</v>
      </c>
      <c r="AP110" s="37">
        <v>2</v>
      </c>
      <c r="AQ110" s="37">
        <v>0</v>
      </c>
      <c r="AR110" s="37">
        <v>0</v>
      </c>
      <c r="AS110" s="4">
        <v>19</v>
      </c>
    </row>
    <row r="111" spans="12:45">
      <c r="L111" s="14">
        <v>107</v>
      </c>
      <c r="M111" s="38" t="s">
        <v>17</v>
      </c>
      <c r="N111" s="38" t="s">
        <v>27</v>
      </c>
      <c r="O111" s="38" t="s">
        <v>28</v>
      </c>
      <c r="P111" s="38" t="s">
        <v>28</v>
      </c>
      <c r="Q111" s="38" t="s">
        <v>18</v>
      </c>
      <c r="R111" s="38" t="s">
        <v>24</v>
      </c>
      <c r="S111" s="24" t="s">
        <v>29</v>
      </c>
      <c r="U111" s="37">
        <f t="shared" si="12"/>
        <v>14</v>
      </c>
      <c r="V111" s="37">
        <f t="shared" si="12"/>
        <v>12</v>
      </c>
      <c r="W111" s="37">
        <f t="shared" si="12"/>
        <v>15</v>
      </c>
      <c r="X111" s="37">
        <f t="shared" si="11"/>
        <v>15</v>
      </c>
      <c r="Y111" s="37">
        <f t="shared" si="11"/>
        <v>10</v>
      </c>
      <c r="Z111" s="37">
        <f t="shared" si="11"/>
        <v>11</v>
      </c>
      <c r="AA111" s="37">
        <f t="shared" si="11"/>
        <v>18</v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0</v>
      </c>
      <c r="AM111" s="37">
        <v>2</v>
      </c>
      <c r="AN111" s="37">
        <v>1</v>
      </c>
      <c r="AO111" s="37">
        <v>2</v>
      </c>
      <c r="AP111" s="37">
        <v>1</v>
      </c>
      <c r="AQ111" s="37">
        <v>0</v>
      </c>
      <c r="AR111" s="37">
        <v>0</v>
      </c>
      <c r="AS111" s="4">
        <v>20</v>
      </c>
    </row>
    <row r="112" spans="12:45">
      <c r="L112" s="15">
        <v>108</v>
      </c>
      <c r="M112" s="38" t="s">
        <v>27</v>
      </c>
      <c r="N112" s="38" t="s">
        <v>21</v>
      </c>
      <c r="O112" s="38" t="s">
        <v>28</v>
      </c>
      <c r="P112" s="38" t="s">
        <v>29</v>
      </c>
      <c r="Q112" s="38" t="s">
        <v>232</v>
      </c>
      <c r="R112" s="38" t="s">
        <v>29</v>
      </c>
      <c r="S112" s="24" t="s">
        <v>28</v>
      </c>
      <c r="U112" s="37">
        <f t="shared" si="12"/>
        <v>12</v>
      </c>
      <c r="V112" s="37">
        <f t="shared" si="12"/>
        <v>12</v>
      </c>
      <c r="W112" s="37">
        <f t="shared" si="12"/>
        <v>15</v>
      </c>
      <c r="X112" s="37">
        <f t="shared" si="11"/>
        <v>18</v>
      </c>
      <c r="Y112" s="37">
        <f t="shared" si="11"/>
        <v>0</v>
      </c>
      <c r="Z112" s="37">
        <f t="shared" si="11"/>
        <v>18</v>
      </c>
      <c r="AA112" s="37">
        <f t="shared" si="11"/>
        <v>15</v>
      </c>
      <c r="AC112" s="18">
        <v>1</v>
      </c>
      <c r="AD112" s="18">
        <v>1</v>
      </c>
      <c r="AE112" s="18">
        <v>1</v>
      </c>
      <c r="AF112" s="18">
        <v>1</v>
      </c>
      <c r="AG112" s="18">
        <v>1</v>
      </c>
      <c r="AH112" s="18">
        <v>1</v>
      </c>
      <c r="AI112" s="4">
        <v>3</v>
      </c>
      <c r="AK112" s="37" t="s">
        <v>238</v>
      </c>
      <c r="AL112" s="37">
        <v>0</v>
      </c>
      <c r="AM112" s="37">
        <v>2</v>
      </c>
      <c r="AN112" s="37">
        <v>2</v>
      </c>
      <c r="AO112" s="37">
        <v>1</v>
      </c>
      <c r="AP112" s="37">
        <v>1</v>
      </c>
      <c r="AQ112" s="37">
        <v>0</v>
      </c>
      <c r="AR112" s="37">
        <v>0</v>
      </c>
      <c r="AS112" s="4">
        <v>21</v>
      </c>
    </row>
    <row r="113" spans="12:46">
      <c r="L113" s="14">
        <v>109</v>
      </c>
      <c r="M113" s="38" t="s">
        <v>27</v>
      </c>
      <c r="N113" s="38" t="s">
        <v>24</v>
      </c>
      <c r="O113" s="38" t="s">
        <v>24</v>
      </c>
      <c r="P113" s="38" t="s">
        <v>64</v>
      </c>
      <c r="Q113" s="38" t="s">
        <v>89</v>
      </c>
      <c r="R113" s="38" t="s">
        <v>29</v>
      </c>
      <c r="S113" s="38" t="s">
        <v>28</v>
      </c>
      <c r="U113" s="37">
        <f t="shared" si="12"/>
        <v>12</v>
      </c>
      <c r="V113" s="37">
        <f t="shared" si="12"/>
        <v>11</v>
      </c>
      <c r="W113" s="37">
        <f t="shared" si="12"/>
        <v>11</v>
      </c>
      <c r="X113" s="37">
        <f t="shared" si="11"/>
        <v>13</v>
      </c>
      <c r="Y113" s="37">
        <f t="shared" si="11"/>
        <v>8</v>
      </c>
      <c r="Z113" s="37">
        <f t="shared" si="11"/>
        <v>18</v>
      </c>
      <c r="AA113" s="37">
        <f t="shared" si="11"/>
        <v>15</v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4">
        <v>1</v>
      </c>
      <c r="AK113" s="37" t="s">
        <v>240</v>
      </c>
      <c r="AL113" s="37">
        <v>0</v>
      </c>
      <c r="AM113" s="37">
        <v>1</v>
      </c>
      <c r="AN113" s="37">
        <v>1</v>
      </c>
      <c r="AO113" s="37">
        <v>1</v>
      </c>
      <c r="AP113" s="37">
        <v>1</v>
      </c>
      <c r="AQ113" s="37">
        <v>0</v>
      </c>
      <c r="AR113" s="37">
        <v>0</v>
      </c>
      <c r="AS113" s="4">
        <v>22</v>
      </c>
    </row>
    <row r="114" spans="12:46">
      <c r="L114" s="15">
        <v>110</v>
      </c>
      <c r="M114" s="38" t="s">
        <v>28</v>
      </c>
      <c r="N114" s="38" t="s">
        <v>64</v>
      </c>
      <c r="O114" s="38" t="s">
        <v>24</v>
      </c>
      <c r="P114" s="38" t="s">
        <v>64</v>
      </c>
      <c r="Q114" s="38" t="s">
        <v>28</v>
      </c>
      <c r="R114" s="38" t="s">
        <v>27</v>
      </c>
      <c r="S114" s="24" t="s">
        <v>28</v>
      </c>
      <c r="U114" s="37">
        <f t="shared" si="12"/>
        <v>15</v>
      </c>
      <c r="V114" s="37">
        <f t="shared" si="12"/>
        <v>13</v>
      </c>
      <c r="W114" s="37">
        <f t="shared" si="12"/>
        <v>11</v>
      </c>
      <c r="X114" s="37">
        <f t="shared" si="11"/>
        <v>13</v>
      </c>
      <c r="Y114" s="37">
        <f t="shared" si="11"/>
        <v>15</v>
      </c>
      <c r="Z114" s="37">
        <f t="shared" si="11"/>
        <v>12</v>
      </c>
      <c r="AA114" s="37">
        <f t="shared" si="11"/>
        <v>15</v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0</v>
      </c>
      <c r="AM114" s="37">
        <v>2</v>
      </c>
      <c r="AN114" s="37">
        <v>1</v>
      </c>
      <c r="AO114" s="37">
        <v>1</v>
      </c>
      <c r="AP114" s="37">
        <v>1</v>
      </c>
      <c r="AQ114" s="37">
        <v>0</v>
      </c>
      <c r="AR114" s="37">
        <v>0</v>
      </c>
      <c r="AS114" s="4">
        <v>23</v>
      </c>
    </row>
    <row r="115" spans="12:46">
      <c r="L115" s="14">
        <v>111</v>
      </c>
      <c r="M115" s="38" t="s">
        <v>89</v>
      </c>
      <c r="N115" s="38" t="s">
        <v>27</v>
      </c>
      <c r="O115" s="38" t="s">
        <v>240</v>
      </c>
      <c r="P115" s="38" t="s">
        <v>26</v>
      </c>
      <c r="Q115" s="38" t="s">
        <v>89</v>
      </c>
      <c r="R115" s="38" t="s">
        <v>24</v>
      </c>
      <c r="S115" s="24" t="s">
        <v>21</v>
      </c>
      <c r="U115" s="37">
        <f t="shared" si="12"/>
        <v>8</v>
      </c>
      <c r="V115" s="37">
        <f t="shared" si="12"/>
        <v>12</v>
      </c>
      <c r="W115" s="37">
        <f t="shared" si="12"/>
        <v>0</v>
      </c>
      <c r="X115" s="37">
        <f t="shared" si="11"/>
        <v>7</v>
      </c>
      <c r="Y115" s="37">
        <f t="shared" si="11"/>
        <v>8</v>
      </c>
      <c r="Z115" s="37">
        <f t="shared" si="11"/>
        <v>11</v>
      </c>
      <c r="AA115" s="37">
        <f t="shared" si="11"/>
        <v>12</v>
      </c>
      <c r="AC115" s="18">
        <v>1</v>
      </c>
      <c r="AD115" s="18">
        <v>1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4" t="s">
        <v>94</v>
      </c>
      <c r="AL115" s="154">
        <v>0</v>
      </c>
      <c r="AM115" s="154">
        <v>0</v>
      </c>
      <c r="AN115" s="154">
        <v>0</v>
      </c>
      <c r="AO115" s="154">
        <v>0</v>
      </c>
      <c r="AP115" s="154">
        <v>0</v>
      </c>
      <c r="AQ115" s="154">
        <v>0</v>
      </c>
      <c r="AR115" s="154">
        <v>0</v>
      </c>
      <c r="AS115" s="151">
        <v>24</v>
      </c>
    </row>
    <row r="116" spans="12:46">
      <c r="L116" s="15">
        <v>112</v>
      </c>
      <c r="M116" s="38" t="s">
        <v>29</v>
      </c>
      <c r="N116" s="38" t="s">
        <v>27</v>
      </c>
      <c r="O116" s="38" t="s">
        <v>28</v>
      </c>
      <c r="P116" s="38" t="s">
        <v>242</v>
      </c>
      <c r="Q116" s="38" t="s">
        <v>89</v>
      </c>
      <c r="R116" s="38" t="s">
        <v>27</v>
      </c>
      <c r="S116" s="24" t="s">
        <v>21</v>
      </c>
      <c r="U116" s="37">
        <f t="shared" si="12"/>
        <v>18</v>
      </c>
      <c r="V116" s="37">
        <f t="shared" si="12"/>
        <v>12</v>
      </c>
      <c r="W116" s="37">
        <f t="shared" si="12"/>
        <v>15</v>
      </c>
      <c r="X116" s="37">
        <f t="shared" si="11"/>
        <v>0</v>
      </c>
      <c r="Y116" s="37">
        <f t="shared" si="11"/>
        <v>8</v>
      </c>
      <c r="Z116" s="37">
        <f t="shared" si="11"/>
        <v>12</v>
      </c>
      <c r="AA116" s="37">
        <f t="shared" si="11"/>
        <v>12</v>
      </c>
      <c r="AC116" s="18">
        <v>1</v>
      </c>
      <c r="AD116" s="18">
        <v>1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4" t="s">
        <v>257</v>
      </c>
      <c r="AL116" s="154">
        <v>0</v>
      </c>
      <c r="AM116" s="154">
        <v>0</v>
      </c>
      <c r="AN116" s="154">
        <v>0</v>
      </c>
      <c r="AO116" s="154">
        <v>0</v>
      </c>
      <c r="AP116" s="154">
        <v>0</v>
      </c>
      <c r="AQ116" s="154">
        <v>0</v>
      </c>
      <c r="AR116" s="154">
        <v>0</v>
      </c>
      <c r="AS116" s="151">
        <v>25</v>
      </c>
    </row>
    <row r="117" spans="12:46">
      <c r="L117" s="14">
        <v>113</v>
      </c>
      <c r="M117" s="38" t="s">
        <v>29</v>
      </c>
      <c r="N117" s="38" t="s">
        <v>21</v>
      </c>
      <c r="O117" s="38" t="s">
        <v>24</v>
      </c>
      <c r="P117" s="38" t="s">
        <v>28</v>
      </c>
      <c r="Q117" s="38" t="s">
        <v>89</v>
      </c>
      <c r="R117" s="38" t="s">
        <v>27</v>
      </c>
      <c r="S117" s="24" t="s">
        <v>27</v>
      </c>
      <c r="U117" s="37">
        <f t="shared" si="12"/>
        <v>18</v>
      </c>
      <c r="V117" s="37">
        <f t="shared" si="12"/>
        <v>12</v>
      </c>
      <c r="W117" s="37">
        <f t="shared" si="12"/>
        <v>11</v>
      </c>
      <c r="X117" s="37">
        <f t="shared" si="11"/>
        <v>15</v>
      </c>
      <c r="Y117" s="37">
        <f t="shared" si="11"/>
        <v>8</v>
      </c>
      <c r="Z117" s="37">
        <f t="shared" si="11"/>
        <v>12</v>
      </c>
      <c r="AA117" s="37">
        <f t="shared" si="11"/>
        <v>12</v>
      </c>
      <c r="AC117" s="18">
        <v>1</v>
      </c>
      <c r="AD117" s="18">
        <v>1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>
      <c r="L118" s="15">
        <v>114</v>
      </c>
      <c r="M118" s="38" t="s">
        <v>27</v>
      </c>
      <c r="N118" s="38" t="s">
        <v>21</v>
      </c>
      <c r="O118" s="38" t="s">
        <v>26</v>
      </c>
      <c r="P118" s="38" t="s">
        <v>26</v>
      </c>
      <c r="Q118" s="38" t="s">
        <v>18</v>
      </c>
      <c r="R118" s="38" t="s">
        <v>24</v>
      </c>
      <c r="S118" s="24" t="s">
        <v>27</v>
      </c>
      <c r="U118" s="37">
        <f t="shared" si="12"/>
        <v>12</v>
      </c>
      <c r="V118" s="37">
        <f t="shared" si="12"/>
        <v>12</v>
      </c>
      <c r="W118" s="37">
        <f t="shared" si="12"/>
        <v>7</v>
      </c>
      <c r="X118" s="37">
        <f t="shared" si="11"/>
        <v>7</v>
      </c>
      <c r="Y118" s="37">
        <f t="shared" si="11"/>
        <v>10</v>
      </c>
      <c r="Z118" s="37">
        <f t="shared" si="11"/>
        <v>11</v>
      </c>
      <c r="AA118" s="37">
        <f t="shared" si="11"/>
        <v>12</v>
      </c>
      <c r="AC118" s="18">
        <v>1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1</v>
      </c>
      <c r="AK118" s="40" t="s">
        <v>262</v>
      </c>
    </row>
    <row r="119" spans="12:46">
      <c r="L119" s="14">
        <v>115</v>
      </c>
      <c r="M119" s="38" t="s">
        <v>29</v>
      </c>
      <c r="N119" s="38" t="s">
        <v>89</v>
      </c>
      <c r="O119" s="38" t="s">
        <v>18</v>
      </c>
      <c r="P119" s="38" t="s">
        <v>230</v>
      </c>
      <c r="Q119" s="38" t="s">
        <v>224</v>
      </c>
      <c r="R119" s="38" t="s">
        <v>24</v>
      </c>
      <c r="S119" s="24" t="s">
        <v>29</v>
      </c>
      <c r="U119" s="37">
        <f t="shared" si="12"/>
        <v>18</v>
      </c>
      <c r="V119" s="37">
        <f t="shared" si="12"/>
        <v>8</v>
      </c>
      <c r="W119" s="37">
        <f t="shared" si="12"/>
        <v>10</v>
      </c>
      <c r="X119" s="37">
        <f t="shared" si="11"/>
        <v>0</v>
      </c>
      <c r="Y119" s="37">
        <f t="shared" si="11"/>
        <v>0</v>
      </c>
      <c r="Z119" s="37">
        <f t="shared" si="11"/>
        <v>11</v>
      </c>
      <c r="AA119" s="37">
        <f t="shared" ref="AA119:AA124" si="13">VLOOKUP(S119, $A$4:$J$29, 9, 0)</f>
        <v>18</v>
      </c>
      <c r="AC119" s="18">
        <v>1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3</v>
      </c>
      <c r="AK119" s="16" t="s">
        <v>265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>
      <c r="L120" s="15">
        <v>116</v>
      </c>
      <c r="M120" s="38" t="s">
        <v>29</v>
      </c>
      <c r="N120" s="38" t="s">
        <v>29</v>
      </c>
      <c r="O120" s="38" t="s">
        <v>24</v>
      </c>
      <c r="P120" s="38" t="s">
        <v>64</v>
      </c>
      <c r="Q120" s="38" t="s">
        <v>21</v>
      </c>
      <c r="R120" s="38" t="s">
        <v>27</v>
      </c>
      <c r="S120" s="24" t="s">
        <v>29</v>
      </c>
      <c r="U120" s="37">
        <f t="shared" si="12"/>
        <v>18</v>
      </c>
      <c r="V120" s="37">
        <f t="shared" si="12"/>
        <v>18</v>
      </c>
      <c r="W120" s="37">
        <f t="shared" si="12"/>
        <v>11</v>
      </c>
      <c r="X120" s="37">
        <f t="shared" si="12"/>
        <v>13</v>
      </c>
      <c r="Y120" s="37">
        <f t="shared" si="12"/>
        <v>12</v>
      </c>
      <c r="Z120" s="37">
        <f t="shared" si="12"/>
        <v>12</v>
      </c>
      <c r="AA120" s="37">
        <f t="shared" si="13"/>
        <v>18</v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1</v>
      </c>
      <c r="AK120" s="10" t="s">
        <v>68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4">
        <v>0</v>
      </c>
    </row>
    <row r="121" spans="12:46">
      <c r="L121" s="14">
        <v>117</v>
      </c>
      <c r="M121" s="38" t="s">
        <v>64</v>
      </c>
      <c r="N121" s="38" t="s">
        <v>29</v>
      </c>
      <c r="O121" s="38" t="s">
        <v>24</v>
      </c>
      <c r="P121" s="38" t="s">
        <v>27</v>
      </c>
      <c r="Q121" s="38" t="s">
        <v>21</v>
      </c>
      <c r="R121" s="38" t="s">
        <v>27</v>
      </c>
      <c r="S121" s="24" t="s">
        <v>29</v>
      </c>
      <c r="U121" s="37">
        <f t="shared" ref="U121:Z124" si="14">VLOOKUP(M121, $A$4:$J$29, 9, 0)</f>
        <v>13</v>
      </c>
      <c r="V121" s="37">
        <f t="shared" si="14"/>
        <v>18</v>
      </c>
      <c r="W121" s="37">
        <f t="shared" si="14"/>
        <v>11</v>
      </c>
      <c r="X121" s="37">
        <f t="shared" si="14"/>
        <v>12</v>
      </c>
      <c r="Y121" s="37">
        <f t="shared" si="14"/>
        <v>12</v>
      </c>
      <c r="Z121" s="37">
        <f t="shared" si="14"/>
        <v>12</v>
      </c>
      <c r="AA121" s="37">
        <f t="shared" si="13"/>
        <v>18</v>
      </c>
      <c r="AC121" s="18">
        <v>1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5</v>
      </c>
      <c r="AM121" s="37">
        <v>5</v>
      </c>
      <c r="AN121" s="37">
        <v>5</v>
      </c>
      <c r="AO121" s="37">
        <v>5</v>
      </c>
      <c r="AP121" s="37">
        <v>5</v>
      </c>
      <c r="AQ121" s="37">
        <v>5</v>
      </c>
      <c r="AR121" s="37">
        <v>0</v>
      </c>
      <c r="AS121" s="4">
        <v>1</v>
      </c>
    </row>
    <row r="122" spans="12:46">
      <c r="L122" s="15">
        <v>118</v>
      </c>
      <c r="M122" s="38" t="s">
        <v>29</v>
      </c>
      <c r="N122" s="38" t="s">
        <v>238</v>
      </c>
      <c r="O122" s="38" t="s">
        <v>28</v>
      </c>
      <c r="P122" s="38" t="s">
        <v>27</v>
      </c>
      <c r="Q122" s="38" t="s">
        <v>89</v>
      </c>
      <c r="R122" s="38" t="s">
        <v>27</v>
      </c>
      <c r="S122" s="24" t="s">
        <v>26</v>
      </c>
      <c r="U122" s="37">
        <f t="shared" si="14"/>
        <v>18</v>
      </c>
      <c r="V122" s="37">
        <f t="shared" si="14"/>
        <v>0</v>
      </c>
      <c r="W122" s="37">
        <f t="shared" si="14"/>
        <v>15</v>
      </c>
      <c r="X122" s="37">
        <f t="shared" si="14"/>
        <v>12</v>
      </c>
      <c r="Y122" s="37">
        <f t="shared" si="14"/>
        <v>8</v>
      </c>
      <c r="Z122" s="37">
        <f t="shared" si="14"/>
        <v>12</v>
      </c>
      <c r="AA122" s="37">
        <f t="shared" si="13"/>
        <v>7</v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3</v>
      </c>
      <c r="AK122" s="154" t="s">
        <v>20</v>
      </c>
      <c r="AL122" s="154">
        <v>40</v>
      </c>
      <c r="AM122" s="154">
        <v>0</v>
      </c>
      <c r="AN122" s="154">
        <v>1</v>
      </c>
      <c r="AO122" s="154">
        <v>1</v>
      </c>
      <c r="AP122" s="154">
        <v>70</v>
      </c>
      <c r="AQ122" s="154">
        <v>1</v>
      </c>
      <c r="AR122" s="154">
        <v>0</v>
      </c>
      <c r="AS122" s="151">
        <v>2</v>
      </c>
    </row>
    <row r="123" spans="12:46">
      <c r="L123" s="14">
        <v>119</v>
      </c>
      <c r="M123" s="38" t="s">
        <v>26</v>
      </c>
      <c r="N123" s="38" t="s">
        <v>27</v>
      </c>
      <c r="O123" s="38" t="s">
        <v>26</v>
      </c>
      <c r="P123" s="38" t="s">
        <v>64</v>
      </c>
      <c r="Q123" s="38" t="s">
        <v>21</v>
      </c>
      <c r="R123" s="38" t="s">
        <v>24</v>
      </c>
      <c r="S123" s="24" t="s">
        <v>26</v>
      </c>
      <c r="U123" s="37">
        <f t="shared" si="14"/>
        <v>7</v>
      </c>
      <c r="V123" s="37">
        <f t="shared" si="14"/>
        <v>12</v>
      </c>
      <c r="W123" s="37">
        <f t="shared" si="14"/>
        <v>7</v>
      </c>
      <c r="X123" s="37">
        <f t="shared" si="14"/>
        <v>13</v>
      </c>
      <c r="Y123" s="37">
        <f t="shared" si="14"/>
        <v>12</v>
      </c>
      <c r="Z123" s="37">
        <f t="shared" si="14"/>
        <v>11</v>
      </c>
      <c r="AA123" s="37">
        <f t="shared" si="13"/>
        <v>7</v>
      </c>
      <c r="AC123" s="18">
        <v>1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1</v>
      </c>
      <c r="AK123" s="154" t="s">
        <v>21</v>
      </c>
      <c r="AL123" s="154">
        <v>1</v>
      </c>
      <c r="AM123" s="154">
        <v>70</v>
      </c>
      <c r="AN123" s="154">
        <v>1</v>
      </c>
      <c r="AO123" s="154">
        <v>70</v>
      </c>
      <c r="AP123" s="154">
        <v>1</v>
      </c>
      <c r="AQ123" s="154">
        <v>1</v>
      </c>
      <c r="AR123" s="154">
        <v>0</v>
      </c>
      <c r="AS123" s="151">
        <v>3</v>
      </c>
    </row>
    <row r="124" spans="12:46">
      <c r="L124" s="15">
        <v>120</v>
      </c>
      <c r="M124" s="38" t="s">
        <v>26</v>
      </c>
      <c r="N124" s="38" t="s">
        <v>29</v>
      </c>
      <c r="O124" s="38" t="s">
        <v>24</v>
      </c>
      <c r="P124" s="38" t="s">
        <v>64</v>
      </c>
      <c r="Q124" s="38" t="s">
        <v>89</v>
      </c>
      <c r="R124" s="38" t="s">
        <v>27</v>
      </c>
      <c r="S124" s="24" t="s">
        <v>26</v>
      </c>
      <c r="U124" s="37">
        <f t="shared" si="14"/>
        <v>7</v>
      </c>
      <c r="V124" s="37">
        <f t="shared" si="14"/>
        <v>18</v>
      </c>
      <c r="W124" s="37">
        <f t="shared" si="14"/>
        <v>11</v>
      </c>
      <c r="X124" s="37">
        <f t="shared" si="14"/>
        <v>13</v>
      </c>
      <c r="Y124" s="37">
        <f t="shared" si="14"/>
        <v>8</v>
      </c>
      <c r="Z124" s="37">
        <f t="shared" si="14"/>
        <v>12</v>
      </c>
      <c r="AA124" s="37">
        <f t="shared" si="13"/>
        <v>7</v>
      </c>
      <c r="AC124" s="18">
        <v>1</v>
      </c>
      <c r="AD124" s="18">
        <v>1</v>
      </c>
      <c r="AE124" s="18">
        <v>1</v>
      </c>
      <c r="AF124" s="18">
        <v>1</v>
      </c>
      <c r="AG124" s="18">
        <v>1</v>
      </c>
      <c r="AH124" s="18">
        <v>1</v>
      </c>
      <c r="AI124" s="4">
        <v>1</v>
      </c>
      <c r="AK124" s="154" t="s">
        <v>17</v>
      </c>
      <c r="AL124" s="154">
        <v>0</v>
      </c>
      <c r="AM124" s="154">
        <v>1</v>
      </c>
      <c r="AN124" s="154">
        <v>5</v>
      </c>
      <c r="AO124" s="154">
        <v>0</v>
      </c>
      <c r="AP124" s="154">
        <v>1</v>
      </c>
      <c r="AQ124" s="154">
        <v>70</v>
      </c>
      <c r="AR124" s="154">
        <v>1</v>
      </c>
      <c r="AS124" s="151">
        <v>4</v>
      </c>
    </row>
    <row r="125" spans="12:46">
      <c r="AC125" s="31"/>
      <c r="AD125" s="31"/>
      <c r="AE125" s="31"/>
      <c r="AF125" s="31"/>
      <c r="AG125" s="31"/>
      <c r="AH125" s="31"/>
      <c r="AI125" s="31"/>
      <c r="AK125" s="154" t="s">
        <v>18</v>
      </c>
      <c r="AL125" s="154">
        <v>1</v>
      </c>
      <c r="AM125" s="154">
        <v>70</v>
      </c>
      <c r="AN125" s="154">
        <v>1</v>
      </c>
      <c r="AO125" s="154">
        <v>1</v>
      </c>
      <c r="AP125" s="154">
        <v>1</v>
      </c>
      <c r="AQ125" s="154">
        <v>70</v>
      </c>
      <c r="AR125" s="154">
        <v>1</v>
      </c>
      <c r="AS125" s="151">
        <v>5</v>
      </c>
    </row>
    <row r="126" spans="12:46">
      <c r="AK126" s="154" t="s">
        <v>64</v>
      </c>
      <c r="AL126" s="154">
        <v>5</v>
      </c>
      <c r="AM126" s="154">
        <v>1</v>
      </c>
      <c r="AN126" s="154">
        <v>70</v>
      </c>
      <c r="AO126" s="154">
        <v>1</v>
      </c>
      <c r="AP126" s="154">
        <v>70</v>
      </c>
      <c r="AQ126" s="154">
        <v>1</v>
      </c>
      <c r="AR126" s="154">
        <v>1</v>
      </c>
      <c r="AS126" s="151">
        <v>6</v>
      </c>
    </row>
    <row r="127" spans="12:46">
      <c r="AK127" s="154" t="s">
        <v>89</v>
      </c>
      <c r="AL127" s="154">
        <v>1</v>
      </c>
      <c r="AM127" s="154">
        <v>70</v>
      </c>
      <c r="AN127" s="154">
        <v>1</v>
      </c>
      <c r="AO127" s="154">
        <v>1</v>
      </c>
      <c r="AP127" s="154">
        <v>1</v>
      </c>
      <c r="AQ127" s="154">
        <v>70</v>
      </c>
      <c r="AR127" s="154">
        <v>1</v>
      </c>
      <c r="AS127" s="151">
        <v>7</v>
      </c>
    </row>
    <row r="128" spans="12:46">
      <c r="AK128" s="37" t="s">
        <v>24</v>
      </c>
      <c r="AL128" s="37">
        <v>0</v>
      </c>
      <c r="AM128" s="37">
        <v>1</v>
      </c>
      <c r="AN128" s="37">
        <v>1</v>
      </c>
      <c r="AO128" s="37">
        <v>1</v>
      </c>
      <c r="AP128" s="37">
        <v>70</v>
      </c>
      <c r="AQ128" s="37">
        <v>1</v>
      </c>
      <c r="AR128" s="37">
        <v>1</v>
      </c>
      <c r="AS128" s="4">
        <v>8</v>
      </c>
      <c r="AT128" s="9"/>
    </row>
    <row r="129" spans="37:46">
      <c r="AK129" s="37" t="s">
        <v>26</v>
      </c>
      <c r="AL129" s="37">
        <v>1</v>
      </c>
      <c r="AM129" s="37">
        <v>1</v>
      </c>
      <c r="AN129" s="37">
        <v>1</v>
      </c>
      <c r="AO129" s="37">
        <v>70</v>
      </c>
      <c r="AP129" s="37">
        <v>1</v>
      </c>
      <c r="AQ129" s="37">
        <v>70</v>
      </c>
      <c r="AR129" s="37">
        <v>1</v>
      </c>
      <c r="AS129" s="4">
        <v>9</v>
      </c>
      <c r="AT129" s="9"/>
    </row>
    <row r="130" spans="37:46">
      <c r="AK130" s="37" t="s">
        <v>27</v>
      </c>
      <c r="AL130" s="37">
        <v>0</v>
      </c>
      <c r="AM130" s="37">
        <v>1</v>
      </c>
      <c r="AN130" s="37">
        <v>5</v>
      </c>
      <c r="AO130" s="37">
        <v>1</v>
      </c>
      <c r="AP130" s="37">
        <v>1</v>
      </c>
      <c r="AQ130" s="37">
        <v>1</v>
      </c>
      <c r="AR130" s="37">
        <v>3</v>
      </c>
      <c r="AS130" s="4">
        <v>10</v>
      </c>
      <c r="AT130" s="9"/>
    </row>
    <row r="131" spans="37:46">
      <c r="AK131" s="37" t="s">
        <v>28</v>
      </c>
      <c r="AL131" s="37">
        <v>1</v>
      </c>
      <c r="AM131" s="37">
        <v>70</v>
      </c>
      <c r="AN131" s="37">
        <v>1</v>
      </c>
      <c r="AO131" s="37">
        <v>1</v>
      </c>
      <c r="AP131" s="37">
        <v>1</v>
      </c>
      <c r="AQ131" s="37">
        <v>1</v>
      </c>
      <c r="AR131" s="37">
        <v>1</v>
      </c>
      <c r="AS131" s="4">
        <v>11</v>
      </c>
      <c r="AT131" s="9"/>
    </row>
    <row r="132" spans="37:46">
      <c r="AK132" s="37" t="s">
        <v>29</v>
      </c>
      <c r="AL132" s="37">
        <v>70</v>
      </c>
      <c r="AM132" s="37">
        <v>1</v>
      </c>
      <c r="AN132" s="37">
        <v>1</v>
      </c>
      <c r="AO132" s="37">
        <v>1</v>
      </c>
      <c r="AP132" s="37">
        <v>1</v>
      </c>
      <c r="AQ132" s="37">
        <v>1</v>
      </c>
      <c r="AR132" s="37">
        <v>1</v>
      </c>
      <c r="AS132" s="4">
        <v>12</v>
      </c>
      <c r="AT132" s="9"/>
    </row>
    <row r="133" spans="37:46">
      <c r="AK133" s="154" t="s">
        <v>222</v>
      </c>
      <c r="AL133" s="154">
        <v>0</v>
      </c>
      <c r="AM133" s="154">
        <v>1</v>
      </c>
      <c r="AN133" s="154">
        <v>0</v>
      </c>
      <c r="AO133" s="154">
        <v>1</v>
      </c>
      <c r="AP133" s="154">
        <v>1</v>
      </c>
      <c r="AQ133" s="154">
        <v>0</v>
      </c>
      <c r="AR133" s="154">
        <v>0</v>
      </c>
      <c r="AS133" s="151">
        <v>13</v>
      </c>
      <c r="AT133" s="9"/>
    </row>
    <row r="134" spans="37:46">
      <c r="AK134" s="154" t="s">
        <v>224</v>
      </c>
      <c r="AL134" s="154">
        <v>0</v>
      </c>
      <c r="AM134" s="154">
        <v>2</v>
      </c>
      <c r="AN134" s="154">
        <v>1</v>
      </c>
      <c r="AO134" s="154">
        <v>2</v>
      </c>
      <c r="AP134" s="154">
        <v>1</v>
      </c>
      <c r="AQ134" s="154">
        <v>0</v>
      </c>
      <c r="AR134" s="154">
        <v>0</v>
      </c>
      <c r="AS134" s="151">
        <v>14</v>
      </c>
      <c r="AT134" s="9"/>
    </row>
    <row r="135" spans="37:46">
      <c r="AK135" s="154" t="s">
        <v>226</v>
      </c>
      <c r="AL135" s="154">
        <v>0</v>
      </c>
      <c r="AM135" s="154">
        <v>1</v>
      </c>
      <c r="AN135" s="154">
        <v>2</v>
      </c>
      <c r="AO135" s="154">
        <v>1</v>
      </c>
      <c r="AP135" s="154">
        <v>1</v>
      </c>
      <c r="AQ135" s="154">
        <v>0</v>
      </c>
      <c r="AR135" s="154">
        <v>0</v>
      </c>
      <c r="AS135" s="151">
        <v>15</v>
      </c>
      <c r="AT135" s="9"/>
    </row>
    <row r="136" spans="37:46">
      <c r="AK136" s="154" t="s">
        <v>228</v>
      </c>
      <c r="AL136" s="154">
        <v>0</v>
      </c>
      <c r="AM136" s="154">
        <v>2</v>
      </c>
      <c r="AN136" s="154">
        <v>1</v>
      </c>
      <c r="AO136" s="154">
        <v>1</v>
      </c>
      <c r="AP136" s="154">
        <v>1</v>
      </c>
      <c r="AQ136" s="154">
        <v>0</v>
      </c>
      <c r="AR136" s="154">
        <v>0</v>
      </c>
      <c r="AS136" s="151">
        <v>16</v>
      </c>
      <c r="AT136" s="9"/>
    </row>
    <row r="137" spans="37:46">
      <c r="AK137" s="154" t="s">
        <v>230</v>
      </c>
      <c r="AL137" s="154">
        <v>0</v>
      </c>
      <c r="AM137" s="154">
        <v>0</v>
      </c>
      <c r="AN137" s="154">
        <v>2</v>
      </c>
      <c r="AO137" s="154">
        <v>1</v>
      </c>
      <c r="AP137" s="154">
        <v>2</v>
      </c>
      <c r="AQ137" s="154">
        <v>0</v>
      </c>
      <c r="AR137" s="154">
        <v>0</v>
      </c>
      <c r="AS137" s="151">
        <v>17</v>
      </c>
      <c r="AT137" s="9"/>
    </row>
    <row r="138" spans="37:46">
      <c r="AK138" s="154" t="s">
        <v>232</v>
      </c>
      <c r="AL138" s="154">
        <v>0</v>
      </c>
      <c r="AM138" s="154">
        <v>2</v>
      </c>
      <c r="AN138" s="154">
        <v>1</v>
      </c>
      <c r="AO138" s="154">
        <v>1</v>
      </c>
      <c r="AP138" s="154">
        <v>2</v>
      </c>
      <c r="AQ138" s="154">
        <v>0</v>
      </c>
      <c r="AR138" s="154">
        <v>0</v>
      </c>
      <c r="AS138" s="151">
        <v>18</v>
      </c>
      <c r="AT138" s="9"/>
    </row>
    <row r="139" spans="37:46">
      <c r="AK139" s="37" t="s">
        <v>234</v>
      </c>
      <c r="AL139" s="37">
        <v>0</v>
      </c>
      <c r="AM139" s="37">
        <v>2</v>
      </c>
      <c r="AN139" s="37">
        <v>1</v>
      </c>
      <c r="AO139" s="37">
        <v>1</v>
      </c>
      <c r="AP139" s="37">
        <v>2</v>
      </c>
      <c r="AQ139" s="37">
        <v>0</v>
      </c>
      <c r="AR139" s="37">
        <v>0</v>
      </c>
      <c r="AS139" s="4">
        <v>19</v>
      </c>
      <c r="AT139" s="9"/>
    </row>
    <row r="140" spans="37:46">
      <c r="AK140" s="37" t="s">
        <v>236</v>
      </c>
      <c r="AL140" s="37">
        <v>0</v>
      </c>
      <c r="AM140" s="37">
        <v>2</v>
      </c>
      <c r="AN140" s="37">
        <v>1</v>
      </c>
      <c r="AO140" s="37">
        <v>2</v>
      </c>
      <c r="AP140" s="37">
        <v>1</v>
      </c>
      <c r="AQ140" s="37">
        <v>0</v>
      </c>
      <c r="AR140" s="37">
        <v>0</v>
      </c>
      <c r="AS140" s="4">
        <v>20</v>
      </c>
      <c r="AT140" s="9"/>
    </row>
    <row r="141" spans="37:46">
      <c r="AK141" s="37" t="s">
        <v>238</v>
      </c>
      <c r="AL141" s="37">
        <v>0</v>
      </c>
      <c r="AM141" s="37">
        <v>0</v>
      </c>
      <c r="AN141" s="37">
        <v>2</v>
      </c>
      <c r="AO141" s="37">
        <v>1</v>
      </c>
      <c r="AP141" s="37">
        <v>1</v>
      </c>
      <c r="AQ141" s="37">
        <v>0</v>
      </c>
      <c r="AR141" s="37">
        <v>0</v>
      </c>
      <c r="AS141" s="4">
        <v>21</v>
      </c>
      <c r="AT141" s="9"/>
    </row>
    <row r="142" spans="37:46">
      <c r="AK142" s="37" t="s">
        <v>240</v>
      </c>
      <c r="AL142" s="37">
        <v>0</v>
      </c>
      <c r="AM142" s="37">
        <v>4</v>
      </c>
      <c r="AN142" s="37">
        <v>1</v>
      </c>
      <c r="AO142" s="37">
        <v>1</v>
      </c>
      <c r="AP142" s="37">
        <v>1</v>
      </c>
      <c r="AQ142" s="37">
        <v>0</v>
      </c>
      <c r="AR142" s="37">
        <v>0</v>
      </c>
      <c r="AS142" s="4">
        <v>22</v>
      </c>
      <c r="AT142" s="9"/>
    </row>
    <row r="143" spans="37:46">
      <c r="AK143" s="37" t="s">
        <v>242</v>
      </c>
      <c r="AL143" s="37">
        <v>0</v>
      </c>
      <c r="AM143" s="37">
        <v>1</v>
      </c>
      <c r="AN143" s="37">
        <v>1</v>
      </c>
      <c r="AO143" s="37">
        <v>1</v>
      </c>
      <c r="AP143" s="37">
        <v>1</v>
      </c>
      <c r="AQ143" s="37">
        <v>0</v>
      </c>
      <c r="AR143" s="37">
        <v>0</v>
      </c>
      <c r="AS143" s="4">
        <v>23</v>
      </c>
      <c r="AT143" s="9"/>
    </row>
    <row r="144" spans="37:46">
      <c r="AK144" s="154" t="s">
        <v>94</v>
      </c>
      <c r="AL144" s="154">
        <v>0</v>
      </c>
      <c r="AM144" s="154">
        <v>0</v>
      </c>
      <c r="AN144" s="154">
        <v>0</v>
      </c>
      <c r="AO144" s="154">
        <v>0</v>
      </c>
      <c r="AP144" s="154">
        <v>0</v>
      </c>
      <c r="AQ144" s="154">
        <v>0</v>
      </c>
      <c r="AR144" s="154">
        <v>0</v>
      </c>
      <c r="AS144" s="151">
        <v>24</v>
      </c>
      <c r="AT144" s="9"/>
    </row>
    <row r="145" spans="37:46">
      <c r="AK145" s="154" t="s">
        <v>257</v>
      </c>
      <c r="AL145" s="154">
        <v>0</v>
      </c>
      <c r="AM145" s="154">
        <v>0</v>
      </c>
      <c r="AN145" s="154">
        <v>0</v>
      </c>
      <c r="AO145" s="154">
        <v>0</v>
      </c>
      <c r="AP145" s="154">
        <v>0</v>
      </c>
      <c r="AQ145" s="154">
        <v>0</v>
      </c>
      <c r="AR145" s="154">
        <v>0</v>
      </c>
      <c r="AS145" s="151">
        <v>25</v>
      </c>
      <c r="AT145" s="9"/>
    </row>
    <row r="146" spans="37:46">
      <c r="AT146" s="9"/>
    </row>
    <row r="147" spans="37:46">
      <c r="AO147" s="9"/>
      <c r="AP147" s="9"/>
      <c r="AQ147" s="9"/>
      <c r="AR147" s="9"/>
      <c r="AS147" s="9"/>
      <c r="AT147" s="9"/>
    </row>
    <row r="148" spans="37:46">
      <c r="AO148" s="9"/>
      <c r="AP148" s="9"/>
      <c r="AQ148" s="9"/>
      <c r="AR148" s="9"/>
      <c r="AS148" s="9"/>
      <c r="AT148" s="9"/>
    </row>
    <row r="149" spans="37:46">
      <c r="AO149" s="9"/>
      <c r="AP149" s="9"/>
      <c r="AQ149" s="9"/>
      <c r="AR149" s="9"/>
      <c r="AS149" s="9"/>
      <c r="AT149" s="9"/>
    </row>
    <row r="150" spans="37:46">
      <c r="AO150" s="9"/>
      <c r="AP150" s="9"/>
      <c r="AQ150" s="9"/>
      <c r="AR150" s="9"/>
      <c r="AS150" s="9"/>
      <c r="AT150" s="9"/>
    </row>
    <row r="151" spans="37:46">
      <c r="AO151" s="9"/>
      <c r="AP151" s="9"/>
      <c r="AQ151" s="9"/>
      <c r="AR151" s="9"/>
      <c r="AS151" s="9"/>
      <c r="AT151" s="9"/>
    </row>
    <row r="152" spans="37:46">
      <c r="AO152" s="9"/>
      <c r="AP152" s="9"/>
      <c r="AQ152" s="9"/>
      <c r="AR152" s="9"/>
      <c r="AS152" s="9"/>
      <c r="AT152" s="9"/>
    </row>
    <row r="153" spans="37:46">
      <c r="AO153" s="9"/>
      <c r="AP153" s="9"/>
      <c r="AQ153" s="9"/>
      <c r="AR153" s="9"/>
      <c r="AS153" s="9"/>
      <c r="AT153" s="9"/>
    </row>
    <row r="154" spans="37:46">
      <c r="AO154" s="9"/>
      <c r="AP154" s="9"/>
      <c r="AQ154" s="9"/>
      <c r="AR154" s="9"/>
      <c r="AS154" s="9"/>
      <c r="AT154" s="9"/>
    </row>
    <row r="155" spans="37:46">
      <c r="AO155" s="9"/>
      <c r="AP155" s="9"/>
      <c r="AQ155" s="9"/>
      <c r="AR155" s="9"/>
      <c r="AS155" s="9"/>
      <c r="AT155" s="9"/>
    </row>
    <row r="156" spans="37:46">
      <c r="AO156" s="9"/>
      <c r="AP156" s="9"/>
      <c r="AQ156" s="9"/>
      <c r="AR156" s="9"/>
      <c r="AS156" s="9"/>
      <c r="AT156" s="9"/>
    </row>
    <row r="157" spans="37:46">
      <c r="AO157" s="9"/>
      <c r="AP157" s="9"/>
      <c r="AQ157" s="9"/>
      <c r="AR157" s="9"/>
      <c r="AS157" s="9"/>
      <c r="AT157" s="9"/>
    </row>
    <row r="158" spans="37:46">
      <c r="AO158" s="9"/>
      <c r="AP158" s="9"/>
      <c r="AQ158" s="9"/>
      <c r="AR158" s="9"/>
      <c r="AS158" s="9"/>
      <c r="AT158" s="9"/>
    </row>
    <row r="159" spans="37:46">
      <c r="AO159" s="9"/>
      <c r="AP159" s="9"/>
      <c r="AQ159" s="9"/>
      <c r="AR159" s="9"/>
      <c r="AS159" s="9"/>
      <c r="AT159" s="9"/>
    </row>
    <row r="160" spans="37:46">
      <c r="AO160" s="9"/>
      <c r="AP160" s="9"/>
      <c r="AQ160" s="9"/>
      <c r="AR160" s="9"/>
      <c r="AS160" s="9"/>
      <c r="AT160" s="9"/>
    </row>
    <row r="161" spans="41:46">
      <c r="AO161" s="9"/>
      <c r="AP161" s="9"/>
      <c r="AQ161" s="9"/>
      <c r="AR161" s="9"/>
      <c r="AS161" s="9"/>
      <c r="AT161" s="9"/>
    </row>
    <row r="162" spans="41:46">
      <c r="AO162" s="9"/>
      <c r="AP162" s="9"/>
      <c r="AQ162" s="9"/>
      <c r="AR162" s="9"/>
      <c r="AS162" s="9"/>
      <c r="AT162" s="9"/>
    </row>
    <row r="163" spans="41:46">
      <c r="AO163" s="9"/>
      <c r="AP163" s="9"/>
      <c r="AQ163" s="9"/>
      <c r="AR163" s="9"/>
      <c r="AS163" s="9"/>
      <c r="AT163" s="9"/>
    </row>
    <row r="164" spans="41:46">
      <c r="AO164" s="9"/>
      <c r="AP164" s="9"/>
      <c r="AQ164" s="9"/>
      <c r="AR164" s="9"/>
      <c r="AS164" s="9"/>
      <c r="AT164" s="9"/>
    </row>
    <row r="165" spans="41:46">
      <c r="AO165" s="9"/>
      <c r="AP165" s="9"/>
      <c r="AQ165" s="9"/>
      <c r="AR165" s="9"/>
      <c r="AS165" s="9"/>
      <c r="AT165" s="9"/>
    </row>
    <row r="166" spans="41:46">
      <c r="AO166" s="9"/>
      <c r="AP166" s="9"/>
      <c r="AQ166" s="9"/>
      <c r="AR166" s="9"/>
      <c r="AS166" s="9"/>
      <c r="AT166" s="9"/>
    </row>
    <row r="167" spans="41:46">
      <c r="AO167" s="9"/>
      <c r="AP167" s="9"/>
      <c r="AQ167" s="9"/>
      <c r="AR167" s="9"/>
      <c r="AS167" s="9"/>
      <c r="AT167" s="9"/>
    </row>
    <row r="168" spans="41:46">
      <c r="AO168" s="9"/>
      <c r="AP168" s="9"/>
      <c r="AQ168" s="9"/>
      <c r="AR168" s="9"/>
      <c r="AS168" s="9"/>
      <c r="AT168" s="9"/>
    </row>
    <row r="169" spans="41:46">
      <c r="AO169" s="9"/>
      <c r="AP169" s="9"/>
      <c r="AQ169" s="9"/>
      <c r="AR169" s="9"/>
      <c r="AS169" s="9"/>
      <c r="AT169" s="9"/>
    </row>
    <row r="170" spans="41:46">
      <c r="AO170" s="9"/>
      <c r="AP170" s="9"/>
      <c r="AQ170" s="9"/>
      <c r="AR170" s="9"/>
      <c r="AS170" s="9"/>
      <c r="AT170" s="9"/>
    </row>
    <row r="171" spans="41:46">
      <c r="AO171" s="9"/>
      <c r="AP171" s="9"/>
      <c r="AQ171" s="9"/>
      <c r="AR171" s="9"/>
      <c r="AS171" s="9"/>
      <c r="AT171" s="9"/>
    </row>
    <row r="172" spans="41:46">
      <c r="AO172" s="9"/>
      <c r="AP172" s="9"/>
      <c r="AQ172" s="9"/>
      <c r="AR172" s="9"/>
      <c r="AS172" s="9"/>
      <c r="AT172" s="9"/>
    </row>
    <row r="173" spans="41:46">
      <c r="AO173" s="9"/>
      <c r="AP173" s="9"/>
      <c r="AQ173" s="9"/>
      <c r="AR173" s="9"/>
      <c r="AS173" s="9"/>
      <c r="AT173" s="9"/>
    </row>
    <row r="174" spans="41:46">
      <c r="AO174" s="9"/>
      <c r="AP174" s="9"/>
      <c r="AQ174" s="9"/>
      <c r="AR174" s="9"/>
      <c r="AS174" s="9"/>
      <c r="AT174" s="9"/>
    </row>
    <row r="175" spans="41:46">
      <c r="AO175" s="9"/>
      <c r="AP175" s="9"/>
      <c r="AQ175" s="9"/>
      <c r="AR175" s="9"/>
      <c r="AS175" s="9"/>
      <c r="AT175" s="9"/>
    </row>
    <row r="176" spans="41:46">
      <c r="AO176" s="9"/>
      <c r="AP176" s="9"/>
      <c r="AQ176" s="9"/>
      <c r="AR176" s="9"/>
      <c r="AS176" s="9"/>
      <c r="AT176" s="9"/>
    </row>
    <row r="177" spans="41:46">
      <c r="AO177" s="9"/>
      <c r="AP177" s="9"/>
      <c r="AQ177" s="9"/>
      <c r="AR177" s="9"/>
      <c r="AS177" s="9"/>
      <c r="AT177" s="9"/>
    </row>
    <row r="178" spans="41:46">
      <c r="AO178" s="9"/>
      <c r="AP178" s="9"/>
      <c r="AQ178" s="9"/>
      <c r="AR178" s="9"/>
      <c r="AS178" s="9"/>
      <c r="AT178" s="9"/>
    </row>
    <row r="179" spans="41:46">
      <c r="AO179" s="9"/>
      <c r="AP179" s="9"/>
      <c r="AQ179" s="9"/>
      <c r="AR179" s="9"/>
      <c r="AS179" s="9"/>
      <c r="AT179" s="9"/>
    </row>
    <row r="180" spans="41:46">
      <c r="AO180" s="9"/>
      <c r="AP180" s="9"/>
      <c r="AQ180" s="9"/>
      <c r="AR180" s="9"/>
      <c r="AS180" s="9"/>
      <c r="AT180" s="9"/>
    </row>
    <row r="181" spans="41:46">
      <c r="AO181" s="9"/>
      <c r="AP181" s="9"/>
      <c r="AQ181" s="9"/>
      <c r="AR181" s="9"/>
      <c r="AS181" s="9"/>
      <c r="AT181" s="9"/>
    </row>
    <row r="182" spans="41:46">
      <c r="AO182" s="9"/>
      <c r="AP182" s="9"/>
      <c r="AQ182" s="9"/>
      <c r="AR182" s="9"/>
      <c r="AS182" s="9"/>
      <c r="AT182" s="9"/>
    </row>
    <row r="183" spans="41:46">
      <c r="AO183" s="9"/>
      <c r="AP183" s="9"/>
      <c r="AQ183" s="9"/>
      <c r="AR183" s="9"/>
      <c r="AS183" s="9"/>
      <c r="AT183" s="9"/>
    </row>
    <row r="184" spans="41:46">
      <c r="AO184" s="9"/>
      <c r="AP184" s="9"/>
      <c r="AQ184" s="9"/>
      <c r="AR184" s="9"/>
      <c r="AS184" s="9"/>
      <c r="AT184" s="9"/>
    </row>
    <row r="185" spans="41:46">
      <c r="AO185" s="9"/>
      <c r="AP185" s="9"/>
      <c r="AQ185" s="9"/>
      <c r="AR185" s="9"/>
      <c r="AS185" s="9"/>
      <c r="AT185" s="9"/>
    </row>
    <row r="186" spans="41:46">
      <c r="AO186" s="9"/>
      <c r="AP186" s="9"/>
      <c r="AQ186" s="9"/>
      <c r="AR186" s="9"/>
      <c r="AS186" s="9"/>
      <c r="AT186" s="9"/>
    </row>
    <row r="187" spans="41:46">
      <c r="AO187" s="9"/>
      <c r="AP187" s="9"/>
      <c r="AQ187" s="9"/>
      <c r="AR187" s="9"/>
      <c r="AS187" s="9"/>
      <c r="AT187" s="9"/>
    </row>
    <row r="188" spans="41:46">
      <c r="AO188" s="9"/>
      <c r="AP188" s="9"/>
      <c r="AQ188" s="9"/>
      <c r="AR188" s="9"/>
      <c r="AS188" s="9"/>
      <c r="AT188" s="9"/>
    </row>
    <row r="189" spans="41:46">
      <c r="AO189" s="9"/>
      <c r="AP189" s="9"/>
      <c r="AQ189" s="9"/>
      <c r="AR189" s="9"/>
      <c r="AS189" s="9"/>
      <c r="AT189" s="9"/>
    </row>
    <row r="190" spans="41:46">
      <c r="AO190" s="9"/>
      <c r="AP190" s="9"/>
      <c r="AQ190" s="9"/>
      <c r="AR190" s="9"/>
      <c r="AS190" s="9"/>
      <c r="AT190" s="9"/>
    </row>
    <row r="191" spans="41:46">
      <c r="AO191" s="9"/>
      <c r="AP191" s="9"/>
      <c r="AQ191" s="9"/>
      <c r="AR191" s="9"/>
      <c r="AS191" s="9"/>
      <c r="AT191" s="9"/>
    </row>
    <row r="192" spans="41:46">
      <c r="AO192" s="9"/>
      <c r="AP192" s="9"/>
      <c r="AQ192" s="9"/>
      <c r="AR192" s="9"/>
      <c r="AS192" s="9"/>
      <c r="AT192" s="9"/>
    </row>
    <row r="193" spans="41:46">
      <c r="AO193" s="9"/>
      <c r="AP193" s="9"/>
      <c r="AQ193" s="9"/>
      <c r="AR193" s="9"/>
      <c r="AS193" s="9"/>
      <c r="AT193" s="9"/>
    </row>
    <row r="194" spans="41:46">
      <c r="AO194" s="9"/>
      <c r="AP194" s="9"/>
      <c r="AQ194" s="9"/>
      <c r="AR194" s="9"/>
      <c r="AS194" s="9"/>
      <c r="AT194" s="9"/>
    </row>
    <row r="195" spans="41:46">
      <c r="AO195" s="9"/>
      <c r="AP195" s="9"/>
      <c r="AQ195" s="9"/>
      <c r="AR195" s="9"/>
      <c r="AS195" s="9"/>
      <c r="AT195" s="9"/>
    </row>
    <row r="196" spans="41:46">
      <c r="AO196" s="9"/>
      <c r="AP196" s="9"/>
      <c r="AQ196" s="9"/>
      <c r="AR196" s="9"/>
      <c r="AS196" s="9"/>
      <c r="AT196" s="9"/>
    </row>
    <row r="197" spans="41:46">
      <c r="AO197" s="9"/>
      <c r="AP197" s="9"/>
      <c r="AQ197" s="9"/>
      <c r="AR197" s="9"/>
      <c r="AS197" s="9"/>
      <c r="AT197" s="9"/>
    </row>
    <row r="198" spans="41:46">
      <c r="AO198" s="9"/>
      <c r="AP198" s="9"/>
      <c r="AQ198" s="9"/>
      <c r="AR198" s="9"/>
      <c r="AS198" s="9"/>
      <c r="AT198" s="9"/>
    </row>
    <row r="199" spans="41:46">
      <c r="AO199" s="9"/>
      <c r="AP199" s="9"/>
      <c r="AQ199" s="9"/>
      <c r="AR199" s="9"/>
      <c r="AS199" s="9"/>
      <c r="AT199" s="9"/>
    </row>
    <row r="200" spans="41:46">
      <c r="AO200" s="9"/>
      <c r="AP200" s="9"/>
      <c r="AQ200" s="9"/>
      <c r="AR200" s="9"/>
      <c r="AS200" s="9"/>
      <c r="AT200" s="9"/>
    </row>
    <row r="201" spans="41:46">
      <c r="AO201" s="9"/>
      <c r="AP201" s="9"/>
      <c r="AQ201" s="9"/>
      <c r="AR201" s="9"/>
      <c r="AS201" s="9"/>
      <c r="AT201" s="9"/>
    </row>
    <row r="202" spans="41:46">
      <c r="AO202" s="9"/>
      <c r="AP202" s="9"/>
      <c r="AQ202" s="9"/>
      <c r="AR202" s="9"/>
      <c r="AS202" s="9"/>
      <c r="AT202" s="9"/>
    </row>
    <row r="203" spans="41:46">
      <c r="AO203" s="9"/>
      <c r="AP203" s="9"/>
      <c r="AQ203" s="9"/>
      <c r="AR203" s="9"/>
      <c r="AS203" s="9"/>
      <c r="AT203" s="9"/>
    </row>
    <row r="204" spans="41:46">
      <c r="AO204" s="9"/>
      <c r="AP204" s="9"/>
      <c r="AQ204" s="9"/>
      <c r="AR204" s="9"/>
      <c r="AS204" s="9"/>
      <c r="AT204" s="9"/>
    </row>
    <row r="205" spans="41:46">
      <c r="AO205" s="9"/>
      <c r="AP205" s="9"/>
      <c r="AQ205" s="9"/>
      <c r="AR205" s="9"/>
      <c r="AS205" s="9"/>
      <c r="AT205" s="9"/>
    </row>
    <row r="206" spans="41:46">
      <c r="AO206" s="9"/>
      <c r="AP206" s="9"/>
      <c r="AQ206" s="9"/>
      <c r="AR206" s="9"/>
      <c r="AS206" s="9"/>
      <c r="AT206" s="9"/>
    </row>
    <row r="207" spans="41:46">
      <c r="AO207" s="9"/>
      <c r="AP207" s="9"/>
      <c r="AQ207" s="9"/>
      <c r="AR207" s="9"/>
      <c r="AS207" s="9"/>
      <c r="AT207" s="9"/>
    </row>
    <row r="208" spans="41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9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50"/>
      <c r="N304" s="150"/>
      <c r="O304" s="150"/>
      <c r="P304" s="150"/>
      <c r="Q304" s="150"/>
      <c r="R304" s="150"/>
      <c r="S304" s="150"/>
      <c r="T304" s="1"/>
      <c r="U304" s="1"/>
      <c r="V304" s="150"/>
      <c r="W304" s="150"/>
      <c r="X304" s="150"/>
      <c r="Y304" s="150"/>
      <c r="Z304" s="150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>
      <c r="K305" s="35"/>
    </row>
    <row r="306" spans="1:1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1" spans="37:45">
      <c r="AK321" s="19"/>
      <c r="AL321" s="19"/>
      <c r="AM321" s="19"/>
      <c r="AN321" s="19"/>
      <c r="AO321" s="19"/>
      <c r="AP321" s="19"/>
      <c r="AQ321" s="19"/>
      <c r="AR321" s="19"/>
      <c r="AS321" s="19"/>
    </row>
    <row r="404" spans="36:36">
      <c r="AJ404" s="31"/>
    </row>
    <row r="405" spans="36:36">
      <c r="AJ405" s="31"/>
    </row>
  </sheetData>
  <phoneticPr fontId="20" type="noConversion"/>
  <conditionalFormatting sqref="M1:S1048576">
    <cfRule type="cellIs" dxfId="67" priority="1" operator="equal">
      <formula>"C1"</formula>
    </cfRule>
    <cfRule type="cellIs" dxfId="66" priority="2" operator="equal">
      <formula>"G6"</formula>
    </cfRule>
    <cfRule type="cellIs" dxfId="65" priority="3" operator="equal">
      <formula>"G5"</formula>
    </cfRule>
    <cfRule type="cellIs" dxfId="64" priority="4" operator="equal">
      <formula>"G4"</formula>
    </cfRule>
    <cfRule type="cellIs" dxfId="63" priority="5" operator="equal">
      <formula>"G3"</formula>
    </cfRule>
    <cfRule type="cellIs" dxfId="62" priority="6" operator="equal">
      <formula>"G2"</formula>
    </cfRule>
    <cfRule type="cellIs" dxfId="61" priority="7" operator="equal">
      <formula>"G1"</formula>
    </cfRule>
    <cfRule type="cellIs" dxfId="60" priority="8" operator="equal">
      <formula>"M5"</formula>
    </cfRule>
    <cfRule type="cellIs" dxfId="59" priority="9" operator="equal">
      <formula>"M4"</formula>
    </cfRule>
    <cfRule type="cellIs" dxfId="58" priority="10" operator="equal">
      <formula>"M3"</formula>
    </cfRule>
    <cfRule type="cellIs" dxfId="57" priority="11" operator="equal">
      <formula>"M6"</formula>
    </cfRule>
    <cfRule type="cellIs" dxfId="56" priority="12" operator="equal">
      <formula>"M2"</formula>
    </cfRule>
    <cfRule type="cellIs" dxfId="55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7484-7395-4EF1-9374-B1D18EFB6B2E}">
  <sheetPr codeName="工作表13">
    <tabColor theme="3" tint="0.59999389629810485"/>
  </sheetPr>
  <dimension ref="A2:AT405"/>
  <sheetViews>
    <sheetView zoomScaleNormal="100" workbookViewId="0">
      <selection activeCell="L26" sqref="L26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50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>
      <c r="K2" s="33"/>
      <c r="L2" s="9" t="s">
        <v>52</v>
      </c>
      <c r="U2" s="9" t="s">
        <v>219</v>
      </c>
      <c r="AC2" s="9" t="s">
        <v>220</v>
      </c>
      <c r="AD2" s="166"/>
      <c r="AE2" s="166"/>
      <c r="AF2" s="166"/>
      <c r="AG2" s="166"/>
      <c r="AH2" s="166"/>
      <c r="AI2" s="166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50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265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>
      <c r="A4" s="149" t="str" cm="1">
        <f t="array" ref="A4:B29">Overview!$A$42:$B$67</f>
        <v>WW</v>
      </c>
      <c r="B4" s="149" t="str">
        <v>Wild</v>
      </c>
      <c r="C4" s="52">
        <f t="shared" ref="C4:C29" si="0">COUNTIF(M$4:M$304,$A4)</f>
        <v>0</v>
      </c>
      <c r="D4" s="52">
        <f t="shared" ref="D4:I19" si="1">COUNTIF(N$4:N$304,$A4)</f>
        <v>0</v>
      </c>
      <c r="E4" s="52">
        <f t="shared" si="1"/>
        <v>0</v>
      </c>
      <c r="F4" s="52">
        <f t="shared" si="1"/>
        <v>0</v>
      </c>
      <c r="G4" s="52">
        <f t="shared" si="1"/>
        <v>0</v>
      </c>
      <c r="H4" s="52">
        <f t="shared" si="1"/>
        <v>0</v>
      </c>
      <c r="I4" s="52">
        <f t="shared" si="1"/>
        <v>0</v>
      </c>
      <c r="J4" s="149">
        <v>0</v>
      </c>
      <c r="K4" s="34"/>
      <c r="L4" s="15">
        <v>0</v>
      </c>
      <c r="M4" s="156" t="s">
        <v>18</v>
      </c>
      <c r="N4" s="156" t="s">
        <v>234</v>
      </c>
      <c r="O4" s="156" t="s">
        <v>20</v>
      </c>
      <c r="P4" s="156" t="s">
        <v>24</v>
      </c>
      <c r="Q4" s="156" t="s">
        <v>224</v>
      </c>
      <c r="R4" s="156" t="s">
        <v>89</v>
      </c>
      <c r="S4" s="157" t="s">
        <v>89</v>
      </c>
      <c r="U4" s="158">
        <f t="shared" ref="U4:AA19" si="2">VLOOKUP(M4, $A$4:$J$29, 9, 0)</f>
        <v>3</v>
      </c>
      <c r="V4" s="158">
        <f t="shared" si="2"/>
        <v>0</v>
      </c>
      <c r="W4" s="158">
        <f t="shared" si="2"/>
        <v>4</v>
      </c>
      <c r="X4" s="158">
        <f t="shared" si="2"/>
        <v>19</v>
      </c>
      <c r="Y4" s="158">
        <f t="shared" si="2"/>
        <v>0</v>
      </c>
      <c r="Z4" s="158">
        <f t="shared" si="2"/>
        <v>16</v>
      </c>
      <c r="AA4" s="158">
        <f t="shared" si="2"/>
        <v>16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49">
        <v>3</v>
      </c>
      <c r="AK4" s="10" t="s">
        <v>68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4"/>
      <c r="L5" s="14">
        <v>1</v>
      </c>
      <c r="M5" s="38" t="s">
        <v>18</v>
      </c>
      <c r="N5" s="38" t="s">
        <v>234</v>
      </c>
      <c r="O5" s="38" t="s">
        <v>29</v>
      </c>
      <c r="P5" s="38" t="s">
        <v>222</v>
      </c>
      <c r="Q5" s="38" t="s">
        <v>224</v>
      </c>
      <c r="R5" s="38" t="s">
        <v>24</v>
      </c>
      <c r="S5" s="24" t="s">
        <v>89</v>
      </c>
      <c r="U5" s="37">
        <f t="shared" si="2"/>
        <v>3</v>
      </c>
      <c r="V5" s="37">
        <f t="shared" si="2"/>
        <v>0</v>
      </c>
      <c r="W5" s="37">
        <f t="shared" si="2"/>
        <v>23</v>
      </c>
      <c r="X5" s="37">
        <f t="shared" si="2"/>
        <v>0</v>
      </c>
      <c r="Y5" s="37">
        <f t="shared" si="2"/>
        <v>0</v>
      </c>
      <c r="Z5" s="37">
        <f t="shared" si="2"/>
        <v>19</v>
      </c>
      <c r="AA5" s="37">
        <f t="shared" si="2"/>
        <v>16</v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4">
        <v>1</v>
      </c>
      <c r="AK5" s="37" t="s">
        <v>19</v>
      </c>
      <c r="AL5" s="37">
        <v>5</v>
      </c>
      <c r="AM5" s="37">
        <v>3</v>
      </c>
      <c r="AN5" s="37">
        <v>3</v>
      </c>
      <c r="AO5" s="37">
        <v>5</v>
      </c>
      <c r="AP5" s="37">
        <v>5</v>
      </c>
      <c r="AQ5" s="37">
        <v>5</v>
      </c>
      <c r="AR5" s="37">
        <v>0</v>
      </c>
      <c r="AS5" s="4">
        <v>1</v>
      </c>
    </row>
    <row r="6" spans="1:45" ht="15.9" customHeight="1">
      <c r="A6" s="151" t="str">
        <v>M1</v>
      </c>
      <c r="B6" s="151" t="str">
        <v>M1</v>
      </c>
      <c r="C6" s="153">
        <f t="shared" si="0"/>
        <v>0</v>
      </c>
      <c r="D6" s="153">
        <f t="shared" si="1"/>
        <v>9</v>
      </c>
      <c r="E6" s="153">
        <f t="shared" si="1"/>
        <v>3</v>
      </c>
      <c r="F6" s="153">
        <f t="shared" si="1"/>
        <v>0</v>
      </c>
      <c r="G6" s="153">
        <f t="shared" si="1"/>
        <v>0</v>
      </c>
      <c r="H6" s="153">
        <f t="shared" si="1"/>
        <v>0</v>
      </c>
      <c r="I6" s="153">
        <f t="shared" si="1"/>
        <v>4</v>
      </c>
      <c r="J6" s="151">
        <v>2</v>
      </c>
      <c r="L6" s="15">
        <v>2</v>
      </c>
      <c r="M6" s="38" t="s">
        <v>27</v>
      </c>
      <c r="N6" s="38" t="s">
        <v>234</v>
      </c>
      <c r="O6" s="38" t="s">
        <v>29</v>
      </c>
      <c r="P6" s="38" t="s">
        <v>222</v>
      </c>
      <c r="Q6" s="38" t="s">
        <v>224</v>
      </c>
      <c r="R6" s="38" t="s">
        <v>18</v>
      </c>
      <c r="S6" s="24" t="s">
        <v>89</v>
      </c>
      <c r="U6" s="37">
        <f t="shared" si="2"/>
        <v>8</v>
      </c>
      <c r="V6" s="37">
        <f t="shared" si="2"/>
        <v>0</v>
      </c>
      <c r="W6" s="37">
        <f t="shared" si="2"/>
        <v>23</v>
      </c>
      <c r="X6" s="37">
        <f t="shared" si="2"/>
        <v>0</v>
      </c>
      <c r="Y6" s="37">
        <f t="shared" si="2"/>
        <v>0</v>
      </c>
      <c r="Z6" s="37">
        <f t="shared" si="2"/>
        <v>3</v>
      </c>
      <c r="AA6" s="37">
        <f t="shared" si="2"/>
        <v>16</v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4" t="s">
        <v>20</v>
      </c>
      <c r="AL6" s="154">
        <v>40</v>
      </c>
      <c r="AM6" s="154">
        <v>40</v>
      </c>
      <c r="AN6" s="154">
        <v>20</v>
      </c>
      <c r="AO6" s="154">
        <v>40</v>
      </c>
      <c r="AP6" s="154">
        <v>40</v>
      </c>
      <c r="AQ6" s="154">
        <v>1</v>
      </c>
      <c r="AR6" s="154">
        <v>1</v>
      </c>
      <c r="AS6" s="151">
        <v>2</v>
      </c>
    </row>
    <row r="7" spans="1:45" ht="15.9" customHeight="1">
      <c r="A7" s="151" t="str">
        <v>M2</v>
      </c>
      <c r="B7" s="151" t="str">
        <v>M2</v>
      </c>
      <c r="C7" s="153">
        <f t="shared" si="0"/>
        <v>12</v>
      </c>
      <c r="D7" s="153">
        <f t="shared" si="1"/>
        <v>8</v>
      </c>
      <c r="E7" s="153">
        <f t="shared" si="1"/>
        <v>10</v>
      </c>
      <c r="F7" s="153">
        <f t="shared" si="1"/>
        <v>0</v>
      </c>
      <c r="G7" s="153">
        <f t="shared" si="1"/>
        <v>13</v>
      </c>
      <c r="H7" s="153">
        <f t="shared" si="1"/>
        <v>0</v>
      </c>
      <c r="I7" s="153">
        <f t="shared" si="1"/>
        <v>6</v>
      </c>
      <c r="J7" s="151">
        <v>3</v>
      </c>
      <c r="L7" s="14">
        <v>3</v>
      </c>
      <c r="M7" s="38" t="s">
        <v>27</v>
      </c>
      <c r="N7" s="38" t="s">
        <v>20</v>
      </c>
      <c r="O7" s="38" t="s">
        <v>29</v>
      </c>
      <c r="P7" s="38" t="s">
        <v>222</v>
      </c>
      <c r="Q7" s="38" t="s">
        <v>228</v>
      </c>
      <c r="R7" s="38" t="s">
        <v>27</v>
      </c>
      <c r="S7" s="24" t="s">
        <v>89</v>
      </c>
      <c r="U7" s="37">
        <f t="shared" si="2"/>
        <v>8</v>
      </c>
      <c r="V7" s="37">
        <f t="shared" si="2"/>
        <v>4</v>
      </c>
      <c r="W7" s="37">
        <f t="shared" si="2"/>
        <v>23</v>
      </c>
      <c r="X7" s="37">
        <f t="shared" si="2"/>
        <v>0</v>
      </c>
      <c r="Y7" s="37">
        <f t="shared" si="2"/>
        <v>0</v>
      </c>
      <c r="Z7" s="37">
        <f t="shared" si="2"/>
        <v>8</v>
      </c>
      <c r="AA7" s="37">
        <f t="shared" si="2"/>
        <v>16</v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4" t="s">
        <v>21</v>
      </c>
      <c r="AL7" s="154">
        <v>10</v>
      </c>
      <c r="AM7" s="154">
        <v>32</v>
      </c>
      <c r="AN7" s="154">
        <v>40</v>
      </c>
      <c r="AO7" s="154">
        <v>40</v>
      </c>
      <c r="AP7" s="154">
        <v>1</v>
      </c>
      <c r="AQ7" s="154">
        <v>1</v>
      </c>
      <c r="AR7" s="154">
        <v>1</v>
      </c>
      <c r="AS7" s="151">
        <v>3</v>
      </c>
    </row>
    <row r="8" spans="1:45" ht="15.9" customHeight="1">
      <c r="A8" s="151" t="str">
        <v>M3</v>
      </c>
      <c r="B8" s="151" t="str">
        <v>M3</v>
      </c>
      <c r="C8" s="153">
        <f t="shared" si="0"/>
        <v>3</v>
      </c>
      <c r="D8" s="153">
        <f t="shared" si="1"/>
        <v>10</v>
      </c>
      <c r="E8" s="153">
        <f t="shared" si="1"/>
        <v>0</v>
      </c>
      <c r="F8" s="153">
        <f t="shared" si="1"/>
        <v>9</v>
      </c>
      <c r="G8" s="153">
        <f t="shared" si="1"/>
        <v>11</v>
      </c>
      <c r="H8" s="153">
        <f t="shared" si="1"/>
        <v>6</v>
      </c>
      <c r="I8" s="153">
        <f t="shared" si="1"/>
        <v>10</v>
      </c>
      <c r="J8" s="151">
        <v>4</v>
      </c>
      <c r="L8" s="15">
        <v>4</v>
      </c>
      <c r="M8" s="38" t="s">
        <v>28</v>
      </c>
      <c r="N8" s="38" t="s">
        <v>20</v>
      </c>
      <c r="O8" s="38" t="s">
        <v>89</v>
      </c>
      <c r="P8" s="38" t="s">
        <v>24</v>
      </c>
      <c r="Q8" s="38" t="s">
        <v>228</v>
      </c>
      <c r="R8" s="38" t="s">
        <v>28</v>
      </c>
      <c r="S8" s="24" t="s">
        <v>20</v>
      </c>
      <c r="U8" s="37">
        <f t="shared" si="2"/>
        <v>11</v>
      </c>
      <c r="V8" s="37">
        <f t="shared" si="2"/>
        <v>4</v>
      </c>
      <c r="W8" s="37">
        <f t="shared" si="2"/>
        <v>16</v>
      </c>
      <c r="X8" s="37">
        <f t="shared" si="2"/>
        <v>19</v>
      </c>
      <c r="Y8" s="37">
        <f t="shared" si="2"/>
        <v>0</v>
      </c>
      <c r="Z8" s="37">
        <f t="shared" si="2"/>
        <v>11</v>
      </c>
      <c r="AA8" s="37">
        <f t="shared" si="2"/>
        <v>4</v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4">
        <v>3</v>
      </c>
      <c r="AK8" s="154" t="s">
        <v>17</v>
      </c>
      <c r="AL8" s="154">
        <v>40</v>
      </c>
      <c r="AM8" s="154">
        <v>13</v>
      </c>
      <c r="AN8" s="154">
        <v>15</v>
      </c>
      <c r="AO8" s="154">
        <v>1</v>
      </c>
      <c r="AP8" s="154">
        <v>1</v>
      </c>
      <c r="AQ8" s="154">
        <v>40</v>
      </c>
      <c r="AR8" s="154">
        <v>1</v>
      </c>
      <c r="AS8" s="151">
        <v>4</v>
      </c>
    </row>
    <row r="9" spans="1:45" ht="15.9" customHeight="1">
      <c r="A9" s="151" t="str">
        <v>M4</v>
      </c>
      <c r="B9" s="151" t="str">
        <v>M4</v>
      </c>
      <c r="C9" s="153">
        <f t="shared" si="0"/>
        <v>15</v>
      </c>
      <c r="D9" s="153">
        <f t="shared" si="1"/>
        <v>1</v>
      </c>
      <c r="E9" s="153">
        <f t="shared" si="1"/>
        <v>9</v>
      </c>
      <c r="F9" s="153">
        <f t="shared" si="1"/>
        <v>2</v>
      </c>
      <c r="G9" s="153">
        <f t="shared" si="1"/>
        <v>10</v>
      </c>
      <c r="H9" s="153">
        <f t="shared" si="1"/>
        <v>11</v>
      </c>
      <c r="I9" s="153">
        <f t="shared" si="1"/>
        <v>3</v>
      </c>
      <c r="J9" s="151">
        <v>5</v>
      </c>
      <c r="L9" s="14">
        <v>5</v>
      </c>
      <c r="M9" s="38" t="s">
        <v>27</v>
      </c>
      <c r="N9" s="38" t="s">
        <v>20</v>
      </c>
      <c r="O9" s="38" t="s">
        <v>89</v>
      </c>
      <c r="P9" s="38" t="s">
        <v>26</v>
      </c>
      <c r="Q9" s="38" t="s">
        <v>27</v>
      </c>
      <c r="R9" s="38" t="s">
        <v>28</v>
      </c>
      <c r="S9" s="24" t="s">
        <v>20</v>
      </c>
      <c r="U9" s="37">
        <f t="shared" si="2"/>
        <v>8</v>
      </c>
      <c r="V9" s="37">
        <f t="shared" si="2"/>
        <v>4</v>
      </c>
      <c r="W9" s="37">
        <f t="shared" si="2"/>
        <v>16</v>
      </c>
      <c r="X9" s="37">
        <f t="shared" si="2"/>
        <v>17</v>
      </c>
      <c r="Y9" s="37">
        <f t="shared" si="2"/>
        <v>8</v>
      </c>
      <c r="Z9" s="37">
        <f t="shared" si="2"/>
        <v>11</v>
      </c>
      <c r="AA9" s="37">
        <f t="shared" si="2"/>
        <v>4</v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4" t="s">
        <v>18</v>
      </c>
      <c r="AL9" s="154">
        <v>10</v>
      </c>
      <c r="AM9" s="154">
        <v>40</v>
      </c>
      <c r="AN9" s="154">
        <v>40</v>
      </c>
      <c r="AO9" s="154">
        <v>40</v>
      </c>
      <c r="AP9" s="154">
        <v>8</v>
      </c>
      <c r="AQ9" s="154">
        <v>40</v>
      </c>
      <c r="AR9" s="154">
        <v>1</v>
      </c>
      <c r="AS9" s="151">
        <v>5</v>
      </c>
    </row>
    <row r="10" spans="1:45" ht="15.9" customHeight="1">
      <c r="A10" s="151" t="str">
        <v>M5</v>
      </c>
      <c r="B10" s="151" t="str">
        <v>M5</v>
      </c>
      <c r="C10" s="153">
        <f t="shared" si="0"/>
        <v>14</v>
      </c>
      <c r="D10" s="153">
        <f t="shared" si="1"/>
        <v>9</v>
      </c>
      <c r="E10" s="153">
        <f t="shared" si="1"/>
        <v>4</v>
      </c>
      <c r="F10" s="153">
        <f t="shared" si="1"/>
        <v>25</v>
      </c>
      <c r="G10" s="153">
        <f t="shared" si="1"/>
        <v>6</v>
      </c>
      <c r="H10" s="153">
        <f t="shared" si="1"/>
        <v>20</v>
      </c>
      <c r="I10" s="153">
        <f t="shared" si="1"/>
        <v>4</v>
      </c>
      <c r="J10" s="151">
        <v>6</v>
      </c>
      <c r="L10" s="15">
        <v>6</v>
      </c>
      <c r="M10" s="38" t="s">
        <v>21</v>
      </c>
      <c r="N10" s="38" t="s">
        <v>17</v>
      </c>
      <c r="O10" s="38" t="s">
        <v>27</v>
      </c>
      <c r="P10" s="38" t="s">
        <v>26</v>
      </c>
      <c r="Q10" s="38" t="s">
        <v>17</v>
      </c>
      <c r="R10" s="38" t="s">
        <v>89</v>
      </c>
      <c r="S10" s="24" t="s">
        <v>20</v>
      </c>
      <c r="U10" s="37">
        <f t="shared" si="2"/>
        <v>6</v>
      </c>
      <c r="V10" s="37">
        <f t="shared" si="2"/>
        <v>10</v>
      </c>
      <c r="W10" s="37">
        <f t="shared" si="2"/>
        <v>8</v>
      </c>
      <c r="X10" s="37">
        <f t="shared" si="2"/>
        <v>17</v>
      </c>
      <c r="Y10" s="37">
        <f t="shared" si="2"/>
        <v>10</v>
      </c>
      <c r="Z10" s="37">
        <f t="shared" si="2"/>
        <v>16</v>
      </c>
      <c r="AA10" s="37">
        <f t="shared" si="2"/>
        <v>4</v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4">
        <v>1</v>
      </c>
      <c r="AK10" s="154" t="s">
        <v>64</v>
      </c>
      <c r="AL10" s="154">
        <v>40</v>
      </c>
      <c r="AM10" s="154">
        <v>8</v>
      </c>
      <c r="AN10" s="154">
        <v>20</v>
      </c>
      <c r="AO10" s="154">
        <v>1</v>
      </c>
      <c r="AP10" s="154">
        <v>40</v>
      </c>
      <c r="AQ10" s="154">
        <v>1</v>
      </c>
      <c r="AR10" s="154">
        <v>1</v>
      </c>
      <c r="AS10" s="151">
        <v>6</v>
      </c>
    </row>
    <row r="11" spans="1:45" ht="15.9" customHeight="1">
      <c r="A11" s="151" t="str">
        <v>M6</v>
      </c>
      <c r="B11" s="151" t="str">
        <v>M6</v>
      </c>
      <c r="C11" s="153">
        <f t="shared" si="0"/>
        <v>3</v>
      </c>
      <c r="D11" s="153">
        <f t="shared" si="1"/>
        <v>13</v>
      </c>
      <c r="E11" s="153">
        <f t="shared" si="1"/>
        <v>11</v>
      </c>
      <c r="F11" s="153">
        <f t="shared" si="1"/>
        <v>8</v>
      </c>
      <c r="G11" s="153">
        <f t="shared" si="1"/>
        <v>16</v>
      </c>
      <c r="H11" s="153">
        <f t="shared" si="1"/>
        <v>12</v>
      </c>
      <c r="I11" s="153">
        <f t="shared" si="1"/>
        <v>16</v>
      </c>
      <c r="J11" s="151">
        <v>7</v>
      </c>
      <c r="L11" s="14">
        <v>7</v>
      </c>
      <c r="M11" s="38" t="s">
        <v>18</v>
      </c>
      <c r="N11" s="38" t="s">
        <v>17</v>
      </c>
      <c r="O11" s="38" t="s">
        <v>27</v>
      </c>
      <c r="P11" s="38" t="s">
        <v>26</v>
      </c>
      <c r="Q11" s="38" t="s">
        <v>17</v>
      </c>
      <c r="R11" s="38" t="s">
        <v>26</v>
      </c>
      <c r="S11" s="24" t="s">
        <v>20</v>
      </c>
      <c r="U11" s="37">
        <f t="shared" si="2"/>
        <v>3</v>
      </c>
      <c r="V11" s="37">
        <f t="shared" si="2"/>
        <v>10</v>
      </c>
      <c r="W11" s="37">
        <f t="shared" si="2"/>
        <v>8</v>
      </c>
      <c r="X11" s="37">
        <f t="shared" si="2"/>
        <v>17</v>
      </c>
      <c r="Y11" s="37">
        <f t="shared" si="2"/>
        <v>10</v>
      </c>
      <c r="Z11" s="37">
        <f t="shared" si="2"/>
        <v>17</v>
      </c>
      <c r="AA11" s="37">
        <f t="shared" si="2"/>
        <v>4</v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4" t="s">
        <v>89</v>
      </c>
      <c r="AL11" s="154">
        <v>10</v>
      </c>
      <c r="AM11" s="154">
        <v>40</v>
      </c>
      <c r="AN11" s="154">
        <v>40</v>
      </c>
      <c r="AO11" s="154">
        <v>40</v>
      </c>
      <c r="AP11" s="154">
        <v>8</v>
      </c>
      <c r="AQ11" s="154">
        <v>40</v>
      </c>
      <c r="AR11" s="154">
        <v>1</v>
      </c>
      <c r="AS11" s="151">
        <v>7</v>
      </c>
    </row>
    <row r="12" spans="1:45" ht="15.9" customHeight="1">
      <c r="A12" s="24" t="str">
        <v>A</v>
      </c>
      <c r="B12" s="37" t="str">
        <v>A</v>
      </c>
      <c r="C12" s="10">
        <f t="shared" si="0"/>
        <v>2</v>
      </c>
      <c r="D12" s="10">
        <f t="shared" si="1"/>
        <v>13</v>
      </c>
      <c r="E12" s="10">
        <f t="shared" si="1"/>
        <v>13</v>
      </c>
      <c r="F12" s="10">
        <f t="shared" si="1"/>
        <v>7</v>
      </c>
      <c r="G12" s="10">
        <f t="shared" si="1"/>
        <v>4</v>
      </c>
      <c r="H12" s="10">
        <f t="shared" si="1"/>
        <v>19</v>
      </c>
      <c r="I12" s="10">
        <f t="shared" si="1"/>
        <v>19</v>
      </c>
      <c r="J12" s="4">
        <v>8</v>
      </c>
      <c r="L12" s="15">
        <v>8</v>
      </c>
      <c r="M12" s="38" t="s">
        <v>18</v>
      </c>
      <c r="N12" s="38" t="s">
        <v>17</v>
      </c>
      <c r="O12" s="38" t="s">
        <v>20</v>
      </c>
      <c r="P12" s="38" t="s">
        <v>232</v>
      </c>
      <c r="Q12" s="38" t="s">
        <v>17</v>
      </c>
      <c r="R12" s="38" t="s">
        <v>18</v>
      </c>
      <c r="S12" s="24" t="s">
        <v>26</v>
      </c>
      <c r="U12" s="37">
        <f t="shared" si="2"/>
        <v>3</v>
      </c>
      <c r="V12" s="37">
        <f t="shared" si="2"/>
        <v>10</v>
      </c>
      <c r="W12" s="37">
        <f t="shared" si="2"/>
        <v>4</v>
      </c>
      <c r="X12" s="37">
        <f t="shared" si="2"/>
        <v>0</v>
      </c>
      <c r="Y12" s="37">
        <f t="shared" si="2"/>
        <v>10</v>
      </c>
      <c r="Z12" s="37">
        <f t="shared" si="2"/>
        <v>3</v>
      </c>
      <c r="AA12" s="37">
        <f t="shared" si="2"/>
        <v>17</v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4">
        <v>3</v>
      </c>
      <c r="AK12" s="37" t="s">
        <v>24</v>
      </c>
      <c r="AL12" s="37">
        <v>10</v>
      </c>
      <c r="AM12" s="37">
        <v>10</v>
      </c>
      <c r="AN12" s="37">
        <v>40</v>
      </c>
      <c r="AO12" s="37">
        <v>1</v>
      </c>
      <c r="AP12" s="37">
        <v>40</v>
      </c>
      <c r="AQ12" s="37">
        <v>1</v>
      </c>
      <c r="AR12" s="37">
        <v>1</v>
      </c>
      <c r="AS12" s="4">
        <v>8</v>
      </c>
    </row>
    <row r="13" spans="1:45" ht="15.9" customHeight="1">
      <c r="A13" s="24" t="str">
        <v>K</v>
      </c>
      <c r="B13" s="37" t="str">
        <v>K</v>
      </c>
      <c r="C13" s="10">
        <f t="shared" si="0"/>
        <v>10</v>
      </c>
      <c r="D13" s="10">
        <f t="shared" si="1"/>
        <v>7</v>
      </c>
      <c r="E13" s="10">
        <f t="shared" si="1"/>
        <v>24</v>
      </c>
      <c r="F13" s="10">
        <f t="shared" si="1"/>
        <v>15</v>
      </c>
      <c r="G13" s="10">
        <f t="shared" si="1"/>
        <v>10</v>
      </c>
      <c r="H13" s="10">
        <f t="shared" si="1"/>
        <v>10</v>
      </c>
      <c r="I13" s="10">
        <f t="shared" si="1"/>
        <v>17</v>
      </c>
      <c r="J13" s="4">
        <v>9</v>
      </c>
      <c r="L13" s="14">
        <v>9</v>
      </c>
      <c r="M13" s="38" t="s">
        <v>28</v>
      </c>
      <c r="N13" s="38" t="s">
        <v>89</v>
      </c>
      <c r="O13" s="38" t="s">
        <v>21</v>
      </c>
      <c r="P13" s="38" t="s">
        <v>232</v>
      </c>
      <c r="Q13" s="38" t="s">
        <v>64</v>
      </c>
      <c r="R13" s="38" t="s">
        <v>89</v>
      </c>
      <c r="S13" s="24" t="s">
        <v>26</v>
      </c>
      <c r="U13" s="37">
        <f t="shared" si="2"/>
        <v>11</v>
      </c>
      <c r="V13" s="37">
        <f t="shared" si="2"/>
        <v>16</v>
      </c>
      <c r="W13" s="37">
        <f t="shared" si="2"/>
        <v>6</v>
      </c>
      <c r="X13" s="37">
        <f t="shared" si="2"/>
        <v>0</v>
      </c>
      <c r="Y13" s="37">
        <f t="shared" si="2"/>
        <v>4</v>
      </c>
      <c r="Z13" s="37">
        <f t="shared" si="2"/>
        <v>16</v>
      </c>
      <c r="AA13" s="37">
        <f t="shared" si="2"/>
        <v>17</v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4">
        <v>1</v>
      </c>
      <c r="AK13" s="37" t="s">
        <v>26</v>
      </c>
      <c r="AL13" s="37">
        <v>40</v>
      </c>
      <c r="AM13" s="37">
        <v>8</v>
      </c>
      <c r="AN13" s="37">
        <v>25</v>
      </c>
      <c r="AO13" s="37">
        <v>10</v>
      </c>
      <c r="AP13" s="37">
        <v>1</v>
      </c>
      <c r="AQ13" s="37">
        <v>40</v>
      </c>
      <c r="AR13" s="37">
        <v>1</v>
      </c>
      <c r="AS13" s="4">
        <v>9</v>
      </c>
    </row>
    <row r="14" spans="1:45" ht="15.9" customHeight="1">
      <c r="A14" s="24" t="str">
        <v>Q</v>
      </c>
      <c r="B14" s="37" t="str">
        <v>Q</v>
      </c>
      <c r="C14" s="10">
        <f t="shared" si="0"/>
        <v>21</v>
      </c>
      <c r="D14" s="10">
        <f t="shared" si="1"/>
        <v>12</v>
      </c>
      <c r="E14" s="10">
        <f t="shared" si="1"/>
        <v>7</v>
      </c>
      <c r="F14" s="10">
        <f t="shared" si="1"/>
        <v>12</v>
      </c>
      <c r="G14" s="10">
        <f t="shared" si="1"/>
        <v>5</v>
      </c>
      <c r="H14" s="10">
        <f t="shared" si="1"/>
        <v>23</v>
      </c>
      <c r="I14" s="10">
        <f t="shared" si="1"/>
        <v>8</v>
      </c>
      <c r="J14" s="4">
        <v>10</v>
      </c>
      <c r="L14" s="15">
        <v>10</v>
      </c>
      <c r="M14" s="38" t="s">
        <v>21</v>
      </c>
      <c r="N14" s="38" t="s">
        <v>89</v>
      </c>
      <c r="O14" s="38" t="s">
        <v>26</v>
      </c>
      <c r="P14" s="38" t="s">
        <v>17</v>
      </c>
      <c r="Q14" s="38" t="s">
        <v>21</v>
      </c>
      <c r="R14" s="38" t="s">
        <v>27</v>
      </c>
      <c r="S14" s="24" t="s">
        <v>26</v>
      </c>
      <c r="U14" s="37">
        <f t="shared" si="2"/>
        <v>6</v>
      </c>
      <c r="V14" s="37">
        <f t="shared" si="2"/>
        <v>16</v>
      </c>
      <c r="W14" s="37">
        <f t="shared" si="2"/>
        <v>17</v>
      </c>
      <c r="X14" s="37">
        <f t="shared" si="2"/>
        <v>10</v>
      </c>
      <c r="Y14" s="37">
        <f t="shared" si="2"/>
        <v>6</v>
      </c>
      <c r="Z14" s="37">
        <f t="shared" si="2"/>
        <v>8</v>
      </c>
      <c r="AA14" s="37">
        <f t="shared" si="2"/>
        <v>17</v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10</v>
      </c>
      <c r="AM14" s="37">
        <v>40</v>
      </c>
      <c r="AN14" s="37">
        <v>40</v>
      </c>
      <c r="AO14" s="37">
        <v>10</v>
      </c>
      <c r="AP14" s="37">
        <v>40</v>
      </c>
      <c r="AQ14" s="37">
        <v>1</v>
      </c>
      <c r="AR14" s="37">
        <v>1</v>
      </c>
      <c r="AS14" s="4">
        <v>10</v>
      </c>
    </row>
    <row r="15" spans="1:45" ht="15.9" customHeight="1">
      <c r="A15" s="24" t="str">
        <v>J</v>
      </c>
      <c r="B15" s="37" t="str">
        <v>J</v>
      </c>
      <c r="C15" s="10">
        <f t="shared" si="0"/>
        <v>23</v>
      </c>
      <c r="D15" s="10">
        <f t="shared" si="1"/>
        <v>1</v>
      </c>
      <c r="E15" s="10">
        <f t="shared" si="1"/>
        <v>20</v>
      </c>
      <c r="F15" s="10">
        <f t="shared" si="1"/>
        <v>4</v>
      </c>
      <c r="G15" s="10">
        <f t="shared" si="1"/>
        <v>11</v>
      </c>
      <c r="H15" s="10">
        <f t="shared" si="1"/>
        <v>7</v>
      </c>
      <c r="I15" s="10">
        <f t="shared" si="1"/>
        <v>11</v>
      </c>
      <c r="J15" s="4">
        <v>11</v>
      </c>
      <c r="L15" s="14">
        <v>11</v>
      </c>
      <c r="M15" s="38" t="s">
        <v>64</v>
      </c>
      <c r="N15" s="38" t="s">
        <v>26</v>
      </c>
      <c r="O15" s="38" t="s">
        <v>20</v>
      </c>
      <c r="P15" s="38" t="s">
        <v>17</v>
      </c>
      <c r="Q15" s="38" t="s">
        <v>236</v>
      </c>
      <c r="R15" s="38" t="s">
        <v>64</v>
      </c>
      <c r="S15" s="24" t="s">
        <v>26</v>
      </c>
      <c r="U15" s="37">
        <f t="shared" si="2"/>
        <v>4</v>
      </c>
      <c r="V15" s="37">
        <f t="shared" si="2"/>
        <v>17</v>
      </c>
      <c r="W15" s="37">
        <f t="shared" si="2"/>
        <v>4</v>
      </c>
      <c r="X15" s="37">
        <f t="shared" si="2"/>
        <v>10</v>
      </c>
      <c r="Y15" s="37">
        <f t="shared" si="2"/>
        <v>0</v>
      </c>
      <c r="Z15" s="37">
        <f t="shared" si="2"/>
        <v>4</v>
      </c>
      <c r="AA15" s="37">
        <f t="shared" si="2"/>
        <v>17</v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4">
        <v>1</v>
      </c>
      <c r="AK15" s="37" t="s">
        <v>28</v>
      </c>
      <c r="AL15" s="37">
        <v>40</v>
      </c>
      <c r="AM15" s="37">
        <v>40</v>
      </c>
      <c r="AN15" s="37">
        <v>40</v>
      </c>
      <c r="AO15" s="37">
        <v>1</v>
      </c>
      <c r="AP15" s="37">
        <v>1</v>
      </c>
      <c r="AQ15" s="37">
        <v>1</v>
      </c>
      <c r="AR15" s="37">
        <v>1</v>
      </c>
      <c r="AS15" s="4">
        <v>11</v>
      </c>
    </row>
    <row r="16" spans="1:45" ht="15.9" customHeight="1">
      <c r="A16" s="37" t="str">
        <v>TE</v>
      </c>
      <c r="B16" s="37" t="str">
        <v>TE</v>
      </c>
      <c r="C16" s="10">
        <f t="shared" si="0"/>
        <v>18</v>
      </c>
      <c r="D16" s="10">
        <f t="shared" si="1"/>
        <v>7</v>
      </c>
      <c r="E16" s="10">
        <f t="shared" si="1"/>
        <v>11</v>
      </c>
      <c r="F16" s="10">
        <f t="shared" si="1"/>
        <v>11</v>
      </c>
      <c r="G16" s="10">
        <f t="shared" si="1"/>
        <v>1</v>
      </c>
      <c r="H16" s="10">
        <f t="shared" si="1"/>
        <v>13</v>
      </c>
      <c r="I16" s="10">
        <f t="shared" si="1"/>
        <v>23</v>
      </c>
      <c r="J16" s="4">
        <v>12</v>
      </c>
      <c r="L16" s="15">
        <v>12</v>
      </c>
      <c r="M16" s="38" t="s">
        <v>64</v>
      </c>
      <c r="N16" s="38" t="s">
        <v>226</v>
      </c>
      <c r="O16" s="38" t="s">
        <v>228</v>
      </c>
      <c r="P16" s="38" t="s">
        <v>26</v>
      </c>
      <c r="Q16" s="38" t="s">
        <v>236</v>
      </c>
      <c r="R16" s="38" t="s">
        <v>26</v>
      </c>
      <c r="S16" s="24" t="s">
        <v>89</v>
      </c>
      <c r="U16" s="37">
        <f t="shared" si="2"/>
        <v>4</v>
      </c>
      <c r="V16" s="37">
        <f t="shared" si="2"/>
        <v>0</v>
      </c>
      <c r="W16" s="37">
        <f t="shared" si="2"/>
        <v>0</v>
      </c>
      <c r="X16" s="37">
        <f t="shared" si="2"/>
        <v>17</v>
      </c>
      <c r="Y16" s="37">
        <f t="shared" si="2"/>
        <v>0</v>
      </c>
      <c r="Z16" s="37">
        <f t="shared" si="2"/>
        <v>17</v>
      </c>
      <c r="AA16" s="37">
        <f t="shared" si="2"/>
        <v>16</v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4">
        <v>3</v>
      </c>
      <c r="AK16" s="37" t="s">
        <v>29</v>
      </c>
      <c r="AL16" s="37">
        <v>5</v>
      </c>
      <c r="AM16" s="37">
        <v>40</v>
      </c>
      <c r="AN16" s="37">
        <v>20</v>
      </c>
      <c r="AO16" s="37">
        <v>1</v>
      </c>
      <c r="AP16" s="37">
        <v>1</v>
      </c>
      <c r="AQ16" s="37">
        <v>1</v>
      </c>
      <c r="AR16" s="37">
        <v>1</v>
      </c>
      <c r="AS16" s="4">
        <v>12</v>
      </c>
    </row>
    <row r="17" spans="1:45" ht="15.9" customHeight="1">
      <c r="A17" s="154" t="str">
        <v>G1</v>
      </c>
      <c r="B17" s="151" t="str">
        <v>Golden M1</v>
      </c>
      <c r="C17" s="153">
        <f t="shared" si="0"/>
        <v>0</v>
      </c>
      <c r="D17" s="153">
        <f t="shared" si="1"/>
        <v>3</v>
      </c>
      <c r="E17" s="153">
        <f t="shared" si="1"/>
        <v>0</v>
      </c>
      <c r="F17" s="153">
        <f t="shared" si="1"/>
        <v>9</v>
      </c>
      <c r="G17" s="153">
        <f t="shared" si="1"/>
        <v>0</v>
      </c>
      <c r="H17" s="153">
        <f t="shared" si="1"/>
        <v>0</v>
      </c>
      <c r="I17" s="153">
        <f t="shared" si="1"/>
        <v>0</v>
      </c>
      <c r="J17" s="151">
        <v>13</v>
      </c>
      <c r="L17" s="14">
        <v>13</v>
      </c>
      <c r="M17" s="38" t="s">
        <v>28</v>
      </c>
      <c r="N17" s="38" t="s">
        <v>226</v>
      </c>
      <c r="O17" s="38" t="s">
        <v>228</v>
      </c>
      <c r="P17" s="38" t="s">
        <v>89</v>
      </c>
      <c r="Q17" s="38" t="s">
        <v>24</v>
      </c>
      <c r="R17" s="38" t="s">
        <v>89</v>
      </c>
      <c r="S17" s="24" t="s">
        <v>89</v>
      </c>
      <c r="U17" s="37">
        <f t="shared" si="2"/>
        <v>11</v>
      </c>
      <c r="V17" s="37">
        <f t="shared" si="2"/>
        <v>0</v>
      </c>
      <c r="W17" s="37">
        <f t="shared" si="2"/>
        <v>0</v>
      </c>
      <c r="X17" s="37">
        <f t="shared" si="2"/>
        <v>16</v>
      </c>
      <c r="Y17" s="37">
        <f t="shared" si="2"/>
        <v>19</v>
      </c>
      <c r="Z17" s="37">
        <f t="shared" si="2"/>
        <v>16</v>
      </c>
      <c r="AA17" s="37">
        <f t="shared" si="2"/>
        <v>16</v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4" t="s">
        <v>222</v>
      </c>
      <c r="AL17" s="154">
        <v>0</v>
      </c>
      <c r="AM17" s="154">
        <v>12</v>
      </c>
      <c r="AN17" s="154">
        <v>3</v>
      </c>
      <c r="AO17" s="154">
        <v>5</v>
      </c>
      <c r="AP17" s="154">
        <v>3</v>
      </c>
      <c r="AQ17" s="154">
        <v>0</v>
      </c>
      <c r="AR17" s="154">
        <v>0</v>
      </c>
      <c r="AS17" s="151">
        <v>13</v>
      </c>
    </row>
    <row r="18" spans="1:45" s="150" customFormat="1" ht="15.9" customHeight="1">
      <c r="A18" s="154" t="str">
        <v>G2</v>
      </c>
      <c r="B18" s="151" t="str">
        <v>Golden M2</v>
      </c>
      <c r="C18" s="153">
        <f t="shared" si="0"/>
        <v>0</v>
      </c>
      <c r="D18" s="153">
        <f t="shared" si="1"/>
        <v>1</v>
      </c>
      <c r="E18" s="153">
        <f t="shared" si="1"/>
        <v>0</v>
      </c>
      <c r="F18" s="153">
        <f t="shared" si="1"/>
        <v>0</v>
      </c>
      <c r="G18" s="153">
        <f t="shared" si="1"/>
        <v>10</v>
      </c>
      <c r="H18" s="153">
        <f t="shared" si="1"/>
        <v>0</v>
      </c>
      <c r="I18" s="153">
        <f t="shared" si="1"/>
        <v>0</v>
      </c>
      <c r="J18" s="151">
        <v>14</v>
      </c>
      <c r="K18" s="32"/>
      <c r="L18" s="15">
        <v>14</v>
      </c>
      <c r="M18" s="38" t="s">
        <v>28</v>
      </c>
      <c r="N18" s="38" t="s">
        <v>26</v>
      </c>
      <c r="O18" s="38" t="s">
        <v>18</v>
      </c>
      <c r="P18" s="38" t="s">
        <v>89</v>
      </c>
      <c r="Q18" s="38" t="s">
        <v>89</v>
      </c>
      <c r="R18" s="38" t="s">
        <v>64</v>
      </c>
      <c r="S18" s="24" t="s">
        <v>89</v>
      </c>
      <c r="U18" s="37">
        <f t="shared" si="2"/>
        <v>11</v>
      </c>
      <c r="V18" s="37">
        <f t="shared" si="2"/>
        <v>17</v>
      </c>
      <c r="W18" s="37">
        <f t="shared" si="2"/>
        <v>3</v>
      </c>
      <c r="X18" s="37">
        <f t="shared" si="2"/>
        <v>16</v>
      </c>
      <c r="Y18" s="37">
        <f t="shared" si="2"/>
        <v>16</v>
      </c>
      <c r="Z18" s="37">
        <f t="shared" si="2"/>
        <v>4</v>
      </c>
      <c r="AA18" s="37">
        <f t="shared" si="2"/>
        <v>16</v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4">
        <v>1</v>
      </c>
      <c r="AK18" s="154" t="s">
        <v>224</v>
      </c>
      <c r="AL18" s="154">
        <v>0</v>
      </c>
      <c r="AM18" s="154">
        <v>8</v>
      </c>
      <c r="AN18" s="154">
        <v>15</v>
      </c>
      <c r="AO18" s="154">
        <v>2</v>
      </c>
      <c r="AP18" s="154">
        <v>2</v>
      </c>
      <c r="AQ18" s="154">
        <v>0</v>
      </c>
      <c r="AR18" s="154">
        <v>0</v>
      </c>
      <c r="AS18" s="151">
        <v>14</v>
      </c>
    </row>
    <row r="19" spans="1:45" ht="15.9" customHeight="1">
      <c r="A19" s="154" t="str">
        <v>G3</v>
      </c>
      <c r="B19" s="151" t="str">
        <v>Golden M3</v>
      </c>
      <c r="C19" s="153">
        <f t="shared" si="0"/>
        <v>0</v>
      </c>
      <c r="D19" s="153">
        <f t="shared" si="1"/>
        <v>6</v>
      </c>
      <c r="E19" s="153">
        <f t="shared" si="1"/>
        <v>0</v>
      </c>
      <c r="F19" s="153">
        <f t="shared" si="1"/>
        <v>6</v>
      </c>
      <c r="G19" s="153">
        <f t="shared" si="1"/>
        <v>1</v>
      </c>
      <c r="H19" s="153">
        <f t="shared" si="1"/>
        <v>0</v>
      </c>
      <c r="I19" s="153">
        <f t="shared" si="1"/>
        <v>0</v>
      </c>
      <c r="J19" s="151">
        <v>15</v>
      </c>
      <c r="K19" s="42"/>
      <c r="L19" s="14">
        <v>15</v>
      </c>
      <c r="M19" s="38" t="s">
        <v>64</v>
      </c>
      <c r="N19" s="38" t="s">
        <v>20</v>
      </c>
      <c r="O19" s="38" t="s">
        <v>26</v>
      </c>
      <c r="P19" s="38" t="s">
        <v>64</v>
      </c>
      <c r="Q19" s="38" t="s">
        <v>228</v>
      </c>
      <c r="R19" s="38" t="s">
        <v>17</v>
      </c>
      <c r="S19" s="24" t="s">
        <v>89</v>
      </c>
      <c r="U19" s="37">
        <f t="shared" si="2"/>
        <v>4</v>
      </c>
      <c r="V19" s="37">
        <f t="shared" si="2"/>
        <v>4</v>
      </c>
      <c r="W19" s="37">
        <f t="shared" si="2"/>
        <v>17</v>
      </c>
      <c r="X19" s="37">
        <f t="shared" si="2"/>
        <v>4</v>
      </c>
      <c r="Y19" s="37">
        <f t="shared" si="2"/>
        <v>0</v>
      </c>
      <c r="Z19" s="37">
        <f t="shared" si="2"/>
        <v>10</v>
      </c>
      <c r="AA19" s="37">
        <f t="shared" si="2"/>
        <v>16</v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4">
        <v>1</v>
      </c>
      <c r="AK19" s="154" t="s">
        <v>226</v>
      </c>
      <c r="AL19" s="154">
        <v>0</v>
      </c>
      <c r="AM19" s="154">
        <v>2</v>
      </c>
      <c r="AN19" s="154">
        <v>7</v>
      </c>
      <c r="AO19" s="154">
        <v>1</v>
      </c>
      <c r="AP19" s="154">
        <v>2</v>
      </c>
      <c r="AQ19" s="154">
        <v>0</v>
      </c>
      <c r="AR19" s="154">
        <v>0</v>
      </c>
      <c r="AS19" s="151">
        <v>15</v>
      </c>
    </row>
    <row r="20" spans="1:45" ht="15.9" customHeight="1">
      <c r="A20" s="154" t="str">
        <v>G4</v>
      </c>
      <c r="B20" s="151" t="str">
        <v>Golden M4</v>
      </c>
      <c r="C20" s="153">
        <f t="shared" si="0"/>
        <v>0</v>
      </c>
      <c r="D20" s="153">
        <f t="shared" ref="D20:D29" si="3">COUNTIF(N$4:N$304,$A20)</f>
        <v>0</v>
      </c>
      <c r="E20" s="153">
        <f t="shared" ref="E20:E29" si="4">COUNTIF(O$4:O$304,$A20)</f>
        <v>6</v>
      </c>
      <c r="F20" s="153">
        <f t="shared" ref="F20:F29" si="5">COUNTIF(P$4:P$304,$A20)</f>
        <v>1</v>
      </c>
      <c r="G20" s="153">
        <f t="shared" ref="G20:G29" si="6">COUNTIF(Q$4:Q$304,$A20)</f>
        <v>12</v>
      </c>
      <c r="H20" s="153">
        <f t="shared" ref="H20:H29" si="7">COUNTIF(R$4:R$304,$A20)</f>
        <v>0</v>
      </c>
      <c r="I20" s="153">
        <f t="shared" ref="I20:I29" si="8">COUNTIF(S$4:S$304,$A20)</f>
        <v>0</v>
      </c>
      <c r="J20" s="151">
        <v>16</v>
      </c>
      <c r="L20" s="15">
        <v>16</v>
      </c>
      <c r="M20" s="38" t="s">
        <v>18</v>
      </c>
      <c r="N20" s="38" t="s">
        <v>236</v>
      </c>
      <c r="O20" s="38" t="s">
        <v>26</v>
      </c>
      <c r="P20" s="38" t="s">
        <v>64</v>
      </c>
      <c r="Q20" s="38" t="s">
        <v>228</v>
      </c>
      <c r="R20" s="38" t="s">
        <v>18</v>
      </c>
      <c r="S20" s="24" t="s">
        <v>24</v>
      </c>
      <c r="U20" s="37">
        <f t="shared" ref="U20:AA56" si="9">VLOOKUP(M20, $A$4:$J$29, 9, 0)</f>
        <v>3</v>
      </c>
      <c r="V20" s="37">
        <f t="shared" si="9"/>
        <v>0</v>
      </c>
      <c r="W20" s="37">
        <f t="shared" si="9"/>
        <v>17</v>
      </c>
      <c r="X20" s="37">
        <f t="shared" si="9"/>
        <v>4</v>
      </c>
      <c r="Y20" s="37">
        <f t="shared" si="9"/>
        <v>0</v>
      </c>
      <c r="Z20" s="37">
        <f t="shared" si="9"/>
        <v>3</v>
      </c>
      <c r="AA20" s="37">
        <f t="shared" si="9"/>
        <v>19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4">
        <v>3</v>
      </c>
      <c r="AK20" s="154" t="s">
        <v>228</v>
      </c>
      <c r="AL20" s="154">
        <v>0</v>
      </c>
      <c r="AM20" s="154">
        <v>5</v>
      </c>
      <c r="AN20" s="154">
        <v>5</v>
      </c>
      <c r="AO20" s="154">
        <v>5</v>
      </c>
      <c r="AP20" s="154">
        <v>2</v>
      </c>
      <c r="AQ20" s="154">
        <v>0</v>
      </c>
      <c r="AR20" s="154">
        <v>0</v>
      </c>
      <c r="AS20" s="151">
        <v>16</v>
      </c>
    </row>
    <row r="21" spans="1:45" ht="15.9" customHeight="1">
      <c r="A21" s="154" t="str">
        <v>G5</v>
      </c>
      <c r="B21" s="151" t="str">
        <v>Golden M5</v>
      </c>
      <c r="C21" s="153">
        <f t="shared" si="0"/>
        <v>0</v>
      </c>
      <c r="D21" s="153">
        <f t="shared" si="3"/>
        <v>1</v>
      </c>
      <c r="E21" s="153">
        <f t="shared" si="4"/>
        <v>0</v>
      </c>
      <c r="F21" s="153">
        <f t="shared" si="5"/>
        <v>2</v>
      </c>
      <c r="G21" s="153">
        <f t="shared" si="6"/>
        <v>1</v>
      </c>
      <c r="H21" s="153">
        <f t="shared" si="7"/>
        <v>0</v>
      </c>
      <c r="I21" s="153">
        <f t="shared" si="8"/>
        <v>0</v>
      </c>
      <c r="J21" s="151">
        <v>17</v>
      </c>
      <c r="L21" s="14">
        <v>17</v>
      </c>
      <c r="M21" s="38" t="s">
        <v>27</v>
      </c>
      <c r="N21" s="38" t="s">
        <v>236</v>
      </c>
      <c r="O21" s="38" t="s">
        <v>26</v>
      </c>
      <c r="P21" s="38" t="s">
        <v>64</v>
      </c>
      <c r="Q21" s="38" t="s">
        <v>21</v>
      </c>
      <c r="R21" s="38" t="s">
        <v>27</v>
      </c>
      <c r="S21" s="24" t="s">
        <v>24</v>
      </c>
      <c r="U21" s="37">
        <f t="shared" si="9"/>
        <v>8</v>
      </c>
      <c r="V21" s="37">
        <f t="shared" si="9"/>
        <v>0</v>
      </c>
      <c r="W21" s="37">
        <f t="shared" si="9"/>
        <v>17</v>
      </c>
      <c r="X21" s="37">
        <f t="shared" si="9"/>
        <v>4</v>
      </c>
      <c r="Y21" s="37">
        <f t="shared" si="9"/>
        <v>6</v>
      </c>
      <c r="Z21" s="37">
        <f t="shared" si="9"/>
        <v>8</v>
      </c>
      <c r="AA21" s="37">
        <f t="shared" si="9"/>
        <v>19</v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4" t="s">
        <v>230</v>
      </c>
      <c r="AL21" s="154">
        <v>0</v>
      </c>
      <c r="AM21" s="154">
        <v>2</v>
      </c>
      <c r="AN21" s="154">
        <v>2</v>
      </c>
      <c r="AO21" s="154">
        <v>1</v>
      </c>
      <c r="AP21" s="154">
        <v>3</v>
      </c>
      <c r="AQ21" s="154">
        <v>0</v>
      </c>
      <c r="AR21" s="154">
        <v>0</v>
      </c>
      <c r="AS21" s="151">
        <v>17</v>
      </c>
    </row>
    <row r="22" spans="1:45" ht="15.9" customHeight="1">
      <c r="A22" s="154" t="str">
        <v>G6</v>
      </c>
      <c r="B22" s="151" t="str">
        <v>Golden M6</v>
      </c>
      <c r="C22" s="153">
        <f t="shared" si="0"/>
        <v>0</v>
      </c>
      <c r="D22" s="153">
        <f t="shared" si="3"/>
        <v>2</v>
      </c>
      <c r="E22" s="153">
        <f t="shared" si="4"/>
        <v>0</v>
      </c>
      <c r="F22" s="153">
        <f t="shared" si="5"/>
        <v>7</v>
      </c>
      <c r="G22" s="153">
        <f t="shared" si="6"/>
        <v>2</v>
      </c>
      <c r="H22" s="153">
        <f t="shared" si="7"/>
        <v>0</v>
      </c>
      <c r="I22" s="153">
        <f t="shared" si="8"/>
        <v>0</v>
      </c>
      <c r="J22" s="151">
        <v>18</v>
      </c>
      <c r="L22" s="15">
        <v>18</v>
      </c>
      <c r="M22" s="38" t="s">
        <v>27</v>
      </c>
      <c r="N22" s="38" t="s">
        <v>26</v>
      </c>
      <c r="O22" s="38" t="s">
        <v>64</v>
      </c>
      <c r="P22" s="38" t="s">
        <v>226</v>
      </c>
      <c r="Q22" s="38" t="s">
        <v>21</v>
      </c>
      <c r="R22" s="38" t="s">
        <v>64</v>
      </c>
      <c r="S22" s="38" t="s">
        <v>24</v>
      </c>
      <c r="U22" s="37">
        <f t="shared" si="9"/>
        <v>8</v>
      </c>
      <c r="V22" s="37">
        <f t="shared" si="9"/>
        <v>17</v>
      </c>
      <c r="W22" s="37">
        <f t="shared" si="9"/>
        <v>4</v>
      </c>
      <c r="X22" s="37">
        <f t="shared" si="9"/>
        <v>0</v>
      </c>
      <c r="Y22" s="37">
        <f t="shared" si="9"/>
        <v>6</v>
      </c>
      <c r="Z22" s="37">
        <f t="shared" si="9"/>
        <v>4</v>
      </c>
      <c r="AA22" s="37">
        <f t="shared" si="9"/>
        <v>19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4">
        <v>1</v>
      </c>
      <c r="AK22" s="154" t="s">
        <v>232</v>
      </c>
      <c r="AL22" s="154">
        <v>0</v>
      </c>
      <c r="AM22" s="154">
        <v>2</v>
      </c>
      <c r="AN22" s="154">
        <v>2</v>
      </c>
      <c r="AO22" s="154">
        <v>1</v>
      </c>
      <c r="AP22" s="154">
        <v>3</v>
      </c>
      <c r="AQ22" s="154">
        <v>0</v>
      </c>
      <c r="AR22" s="154">
        <v>0</v>
      </c>
      <c r="AS22" s="151">
        <v>18</v>
      </c>
    </row>
    <row r="23" spans="1:45" ht="15.9" customHeight="1">
      <c r="A23" s="37" t="str">
        <v>GA</v>
      </c>
      <c r="B23" s="4" t="str">
        <v>Golden A</v>
      </c>
      <c r="C23" s="10">
        <f t="shared" si="0"/>
        <v>0</v>
      </c>
      <c r="D23" s="10">
        <f t="shared" si="3"/>
        <v>6</v>
      </c>
      <c r="E23" s="10">
        <f t="shared" si="4"/>
        <v>1</v>
      </c>
      <c r="F23" s="10">
        <f t="shared" si="5"/>
        <v>0</v>
      </c>
      <c r="G23" s="10">
        <f t="shared" si="6"/>
        <v>0</v>
      </c>
      <c r="H23" s="10">
        <f t="shared" si="7"/>
        <v>0</v>
      </c>
      <c r="I23" s="10">
        <f t="shared" si="8"/>
        <v>0</v>
      </c>
      <c r="J23" s="4">
        <v>19</v>
      </c>
      <c r="L23" s="14">
        <v>19</v>
      </c>
      <c r="M23" s="38" t="s">
        <v>21</v>
      </c>
      <c r="N23" s="38" t="s">
        <v>89</v>
      </c>
      <c r="O23" s="38" t="s">
        <v>89</v>
      </c>
      <c r="P23" s="38" t="s">
        <v>226</v>
      </c>
      <c r="Q23" s="38" t="s">
        <v>26</v>
      </c>
      <c r="R23" s="38" t="s">
        <v>26</v>
      </c>
      <c r="S23" s="24" t="s">
        <v>24</v>
      </c>
      <c r="U23" s="37">
        <f t="shared" si="9"/>
        <v>6</v>
      </c>
      <c r="V23" s="37">
        <f t="shared" si="9"/>
        <v>16</v>
      </c>
      <c r="W23" s="37">
        <f t="shared" si="9"/>
        <v>16</v>
      </c>
      <c r="X23" s="37">
        <f t="shared" si="9"/>
        <v>0</v>
      </c>
      <c r="Y23" s="37">
        <f t="shared" si="9"/>
        <v>17</v>
      </c>
      <c r="Z23" s="37">
        <f t="shared" si="9"/>
        <v>17</v>
      </c>
      <c r="AA23" s="37">
        <f t="shared" si="9"/>
        <v>19</v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0</v>
      </c>
      <c r="AM23" s="37">
        <v>5</v>
      </c>
      <c r="AN23" s="37">
        <v>6</v>
      </c>
      <c r="AO23" s="37">
        <v>1</v>
      </c>
      <c r="AP23" s="37">
        <v>3</v>
      </c>
      <c r="AQ23" s="37">
        <v>0</v>
      </c>
      <c r="AR23" s="37">
        <v>0</v>
      </c>
      <c r="AS23" s="4">
        <v>19</v>
      </c>
    </row>
    <row r="24" spans="1:45" ht="15.9" customHeight="1">
      <c r="A24" s="37" t="str">
        <v>GK</v>
      </c>
      <c r="B24" s="4" t="str">
        <v>Golden K</v>
      </c>
      <c r="C24" s="10">
        <f t="shared" si="0"/>
        <v>0</v>
      </c>
      <c r="D24" s="10">
        <f t="shared" si="3"/>
        <v>6</v>
      </c>
      <c r="E24" s="10">
        <f t="shared" si="4"/>
        <v>0</v>
      </c>
      <c r="F24" s="10">
        <f t="shared" si="5"/>
        <v>0</v>
      </c>
      <c r="G24" s="10">
        <f t="shared" si="6"/>
        <v>7</v>
      </c>
      <c r="H24" s="10">
        <f t="shared" si="7"/>
        <v>0</v>
      </c>
      <c r="I24" s="10">
        <f t="shared" si="8"/>
        <v>0</v>
      </c>
      <c r="J24" s="4">
        <v>20</v>
      </c>
      <c r="L24" s="15">
        <v>20</v>
      </c>
      <c r="M24" s="38" t="s">
        <v>21</v>
      </c>
      <c r="N24" s="38" t="s">
        <v>234</v>
      </c>
      <c r="O24" s="38" t="s">
        <v>89</v>
      </c>
      <c r="P24" s="38" t="s">
        <v>64</v>
      </c>
      <c r="Q24" s="38" t="s">
        <v>224</v>
      </c>
      <c r="R24" s="38" t="s">
        <v>89</v>
      </c>
      <c r="S24" s="24" t="s">
        <v>17</v>
      </c>
      <c r="U24" s="37">
        <f t="shared" si="9"/>
        <v>6</v>
      </c>
      <c r="V24" s="37">
        <f t="shared" si="9"/>
        <v>0</v>
      </c>
      <c r="W24" s="37">
        <f t="shared" si="9"/>
        <v>16</v>
      </c>
      <c r="X24" s="37">
        <f t="shared" si="9"/>
        <v>4</v>
      </c>
      <c r="Y24" s="37">
        <f t="shared" si="9"/>
        <v>0</v>
      </c>
      <c r="Z24" s="37">
        <f t="shared" si="9"/>
        <v>16</v>
      </c>
      <c r="AA24" s="37">
        <f t="shared" si="9"/>
        <v>10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4">
        <v>3</v>
      </c>
      <c r="AK24" s="37" t="s">
        <v>236</v>
      </c>
      <c r="AL24" s="37">
        <v>0</v>
      </c>
      <c r="AM24" s="37">
        <v>2</v>
      </c>
      <c r="AN24" s="37">
        <v>6</v>
      </c>
      <c r="AO24" s="37">
        <v>2</v>
      </c>
      <c r="AP24" s="37">
        <v>2</v>
      </c>
      <c r="AQ24" s="37">
        <v>0</v>
      </c>
      <c r="AR24" s="37">
        <v>0</v>
      </c>
      <c r="AS24" s="4">
        <v>20</v>
      </c>
    </row>
    <row r="25" spans="1:45" ht="16.5" customHeight="1">
      <c r="A25" s="37" t="str">
        <v>GQ</v>
      </c>
      <c r="B25" s="4" t="str">
        <v>Golden Q</v>
      </c>
      <c r="C25" s="10">
        <f t="shared" si="0"/>
        <v>0</v>
      </c>
      <c r="D25" s="10">
        <f t="shared" si="3"/>
        <v>1</v>
      </c>
      <c r="E25" s="10">
        <f t="shared" si="4"/>
        <v>0</v>
      </c>
      <c r="F25" s="10">
        <f t="shared" si="5"/>
        <v>1</v>
      </c>
      <c r="G25" s="10">
        <f t="shared" si="6"/>
        <v>0</v>
      </c>
      <c r="H25" s="10">
        <f t="shared" si="7"/>
        <v>0</v>
      </c>
      <c r="I25" s="10">
        <f t="shared" si="8"/>
        <v>0</v>
      </c>
      <c r="J25" s="4">
        <v>21</v>
      </c>
      <c r="L25" s="14">
        <v>21</v>
      </c>
      <c r="M25" s="38" t="s">
        <v>18</v>
      </c>
      <c r="N25" s="38" t="s">
        <v>234</v>
      </c>
      <c r="O25" s="38" t="s">
        <v>29</v>
      </c>
      <c r="P25" s="38" t="s">
        <v>222</v>
      </c>
      <c r="Q25" s="38" t="s">
        <v>224</v>
      </c>
      <c r="R25" s="38" t="s">
        <v>24</v>
      </c>
      <c r="S25" s="24" t="s">
        <v>17</v>
      </c>
      <c r="U25" s="37">
        <f t="shared" si="9"/>
        <v>3</v>
      </c>
      <c r="V25" s="37">
        <f t="shared" si="9"/>
        <v>0</v>
      </c>
      <c r="W25" s="37">
        <f t="shared" si="9"/>
        <v>23</v>
      </c>
      <c r="X25" s="37">
        <f t="shared" si="9"/>
        <v>0</v>
      </c>
      <c r="Y25" s="37">
        <f t="shared" si="9"/>
        <v>0</v>
      </c>
      <c r="Z25" s="37">
        <f t="shared" si="9"/>
        <v>19</v>
      </c>
      <c r="AA25" s="37">
        <f t="shared" si="9"/>
        <v>10</v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4">
        <v>1</v>
      </c>
      <c r="AK25" s="37" t="s">
        <v>238</v>
      </c>
      <c r="AL25" s="37">
        <v>0</v>
      </c>
      <c r="AM25" s="37">
        <v>10</v>
      </c>
      <c r="AN25" s="37">
        <v>6</v>
      </c>
      <c r="AO25" s="37">
        <v>1</v>
      </c>
      <c r="AP25" s="37">
        <v>4</v>
      </c>
      <c r="AQ25" s="37">
        <v>0</v>
      </c>
      <c r="AR25" s="37">
        <v>0</v>
      </c>
      <c r="AS25" s="4">
        <v>21</v>
      </c>
    </row>
    <row r="26" spans="1:45" ht="16.5" customHeight="1">
      <c r="A26" s="37" t="str">
        <v>GJ</v>
      </c>
      <c r="B26" s="4" t="str">
        <v>Golden J</v>
      </c>
      <c r="C26" s="10">
        <f t="shared" si="0"/>
        <v>0</v>
      </c>
      <c r="D26" s="10">
        <f t="shared" si="3"/>
        <v>1</v>
      </c>
      <c r="E26" s="10">
        <f t="shared" si="4"/>
        <v>1</v>
      </c>
      <c r="F26" s="10">
        <f t="shared" si="5"/>
        <v>1</v>
      </c>
      <c r="G26" s="10">
        <f t="shared" si="6"/>
        <v>1</v>
      </c>
      <c r="H26" s="10">
        <f t="shared" si="7"/>
        <v>0</v>
      </c>
      <c r="I26" s="10">
        <f t="shared" si="8"/>
        <v>0</v>
      </c>
      <c r="J26" s="4">
        <v>22</v>
      </c>
      <c r="L26" s="15">
        <v>22</v>
      </c>
      <c r="M26" s="38" t="s">
        <v>27</v>
      </c>
      <c r="N26" s="38" t="s">
        <v>234</v>
      </c>
      <c r="O26" s="38" t="s">
        <v>29</v>
      </c>
      <c r="P26" s="38" t="s">
        <v>222</v>
      </c>
      <c r="Q26" s="38" t="s">
        <v>224</v>
      </c>
      <c r="R26" s="38" t="s">
        <v>18</v>
      </c>
      <c r="S26" s="24" t="s">
        <v>17</v>
      </c>
      <c r="U26" s="37">
        <f t="shared" si="9"/>
        <v>8</v>
      </c>
      <c r="V26" s="37">
        <f t="shared" si="9"/>
        <v>0</v>
      </c>
      <c r="W26" s="37">
        <f t="shared" si="9"/>
        <v>23</v>
      </c>
      <c r="X26" s="37">
        <f t="shared" si="9"/>
        <v>0</v>
      </c>
      <c r="Y26" s="37">
        <f t="shared" si="9"/>
        <v>0</v>
      </c>
      <c r="Z26" s="37">
        <f t="shared" si="9"/>
        <v>3</v>
      </c>
      <c r="AA26" s="37">
        <f t="shared" si="9"/>
        <v>10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0</v>
      </c>
      <c r="AM26" s="37">
        <v>5</v>
      </c>
      <c r="AN26" s="37">
        <v>6</v>
      </c>
      <c r="AO26" s="37">
        <v>1</v>
      </c>
      <c r="AP26" s="37">
        <v>2</v>
      </c>
      <c r="AQ26" s="37">
        <v>0</v>
      </c>
      <c r="AR26" s="37">
        <v>0</v>
      </c>
      <c r="AS26" s="4">
        <v>22</v>
      </c>
    </row>
    <row r="27" spans="1:45" ht="16.5" customHeight="1">
      <c r="A27" s="37" t="str">
        <v>GT</v>
      </c>
      <c r="B27" s="37" t="str">
        <v>Golden TE</v>
      </c>
      <c r="C27" s="10">
        <f t="shared" si="0"/>
        <v>0</v>
      </c>
      <c r="D27" s="10">
        <f t="shared" si="3"/>
        <v>0</v>
      </c>
      <c r="E27" s="10">
        <f t="shared" si="4"/>
        <v>1</v>
      </c>
      <c r="F27" s="10">
        <f t="shared" si="5"/>
        <v>1</v>
      </c>
      <c r="G27" s="10">
        <f t="shared" si="6"/>
        <v>0</v>
      </c>
      <c r="H27" s="10">
        <f t="shared" si="7"/>
        <v>0</v>
      </c>
      <c r="I27" s="10">
        <f t="shared" si="8"/>
        <v>0</v>
      </c>
      <c r="J27" s="4">
        <v>23</v>
      </c>
      <c r="L27" s="14">
        <v>23</v>
      </c>
      <c r="M27" s="38" t="s">
        <v>27</v>
      </c>
      <c r="N27" s="38" t="s">
        <v>20</v>
      </c>
      <c r="O27" s="38" t="s">
        <v>29</v>
      </c>
      <c r="P27" s="38" t="s">
        <v>222</v>
      </c>
      <c r="Q27" s="38" t="s">
        <v>228</v>
      </c>
      <c r="R27" s="38" t="s">
        <v>27</v>
      </c>
      <c r="S27" s="24" t="s">
        <v>17</v>
      </c>
      <c r="U27" s="37">
        <f t="shared" si="9"/>
        <v>8</v>
      </c>
      <c r="V27" s="37">
        <f t="shared" si="9"/>
        <v>4</v>
      </c>
      <c r="W27" s="37">
        <f t="shared" si="9"/>
        <v>23</v>
      </c>
      <c r="X27" s="37">
        <f t="shared" si="9"/>
        <v>0</v>
      </c>
      <c r="Y27" s="37">
        <f t="shared" si="9"/>
        <v>0</v>
      </c>
      <c r="Z27" s="37">
        <f t="shared" si="9"/>
        <v>8</v>
      </c>
      <c r="AA27" s="37">
        <f t="shared" si="9"/>
        <v>10</v>
      </c>
      <c r="AC27" s="18">
        <v>1</v>
      </c>
      <c r="AD27" s="18">
        <v>1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0</v>
      </c>
      <c r="AM27" s="37">
        <v>2</v>
      </c>
      <c r="AN27" s="37">
        <v>6</v>
      </c>
      <c r="AO27" s="37">
        <v>1</v>
      </c>
      <c r="AP27" s="37">
        <v>2</v>
      </c>
      <c r="AQ27" s="37">
        <v>0</v>
      </c>
      <c r="AR27" s="37">
        <v>0</v>
      </c>
      <c r="AS27" s="4">
        <v>23</v>
      </c>
    </row>
    <row r="28" spans="1:45" ht="16.5" customHeight="1">
      <c r="A28" s="154" t="str">
        <v>MY</v>
      </c>
      <c r="B28" s="154" t="str">
        <v>Mystery</v>
      </c>
      <c r="C28" s="153">
        <f t="shared" si="0"/>
        <v>0</v>
      </c>
      <c r="D28" s="153">
        <f t="shared" si="3"/>
        <v>3</v>
      </c>
      <c r="E28" s="153">
        <f t="shared" si="4"/>
        <v>0</v>
      </c>
      <c r="F28" s="153">
        <f t="shared" si="5"/>
        <v>0</v>
      </c>
      <c r="G28" s="153">
        <f t="shared" si="6"/>
        <v>0</v>
      </c>
      <c r="H28" s="153">
        <f t="shared" si="7"/>
        <v>0</v>
      </c>
      <c r="I28" s="153">
        <f t="shared" si="8"/>
        <v>0</v>
      </c>
      <c r="J28" s="151">
        <v>24</v>
      </c>
      <c r="L28" s="15">
        <v>24</v>
      </c>
      <c r="M28" s="38" t="s">
        <v>28</v>
      </c>
      <c r="N28" s="38" t="s">
        <v>20</v>
      </c>
      <c r="O28" s="38" t="s">
        <v>89</v>
      </c>
      <c r="P28" s="38" t="s">
        <v>24</v>
      </c>
      <c r="Q28" s="38" t="s">
        <v>228</v>
      </c>
      <c r="R28" s="38" t="s">
        <v>28</v>
      </c>
      <c r="S28" s="24" t="s">
        <v>29</v>
      </c>
      <c r="U28" s="37">
        <f t="shared" si="9"/>
        <v>11</v>
      </c>
      <c r="V28" s="37">
        <f t="shared" si="9"/>
        <v>4</v>
      </c>
      <c r="W28" s="37">
        <f t="shared" si="9"/>
        <v>16</v>
      </c>
      <c r="X28" s="37">
        <f t="shared" si="9"/>
        <v>19</v>
      </c>
      <c r="Y28" s="37">
        <f t="shared" si="9"/>
        <v>0</v>
      </c>
      <c r="Z28" s="37">
        <f t="shared" si="9"/>
        <v>11</v>
      </c>
      <c r="AA28" s="37">
        <f t="shared" si="9"/>
        <v>23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4">
        <v>3</v>
      </c>
      <c r="AK28" s="154" t="s">
        <v>94</v>
      </c>
      <c r="AL28" s="154">
        <v>0</v>
      </c>
      <c r="AM28" s="154">
        <v>10</v>
      </c>
      <c r="AN28" s="154">
        <v>10</v>
      </c>
      <c r="AO28" s="154">
        <v>10</v>
      </c>
      <c r="AP28" s="154">
        <v>10</v>
      </c>
      <c r="AQ28" s="154">
        <v>0</v>
      </c>
      <c r="AR28" s="154">
        <v>0</v>
      </c>
      <c r="AS28" s="151">
        <v>24</v>
      </c>
    </row>
    <row r="29" spans="1:45" ht="16.5" customHeight="1">
      <c r="A29" s="154" t="str">
        <v>GM</v>
      </c>
      <c r="B29" s="154" t="str">
        <v>Golden Mystery</v>
      </c>
      <c r="C29" s="153">
        <f t="shared" si="0"/>
        <v>0</v>
      </c>
      <c r="D29" s="153">
        <f t="shared" si="3"/>
        <v>1</v>
      </c>
      <c r="E29" s="153">
        <f t="shared" si="4"/>
        <v>0</v>
      </c>
      <c r="F29" s="153">
        <f t="shared" si="5"/>
        <v>0</v>
      </c>
      <c r="G29" s="153">
        <f t="shared" si="6"/>
        <v>0</v>
      </c>
      <c r="H29" s="153">
        <f t="shared" si="7"/>
        <v>0</v>
      </c>
      <c r="I29" s="153">
        <f t="shared" si="8"/>
        <v>0</v>
      </c>
      <c r="J29" s="151">
        <v>25</v>
      </c>
      <c r="L29" s="14">
        <v>25</v>
      </c>
      <c r="M29" s="38" t="s">
        <v>21</v>
      </c>
      <c r="N29" s="38" t="s">
        <v>20</v>
      </c>
      <c r="O29" s="38" t="s">
        <v>89</v>
      </c>
      <c r="P29" s="38" t="s">
        <v>26</v>
      </c>
      <c r="Q29" s="38" t="s">
        <v>27</v>
      </c>
      <c r="R29" s="38" t="s">
        <v>28</v>
      </c>
      <c r="S29" s="24" t="s">
        <v>29</v>
      </c>
      <c r="U29" s="37">
        <f t="shared" si="9"/>
        <v>6</v>
      </c>
      <c r="V29" s="37">
        <f t="shared" si="9"/>
        <v>4</v>
      </c>
      <c r="W29" s="37">
        <f t="shared" si="9"/>
        <v>16</v>
      </c>
      <c r="X29" s="37">
        <f t="shared" si="9"/>
        <v>17</v>
      </c>
      <c r="Y29" s="37">
        <f t="shared" si="9"/>
        <v>8</v>
      </c>
      <c r="Z29" s="37">
        <f t="shared" si="9"/>
        <v>11</v>
      </c>
      <c r="AA29" s="37">
        <f t="shared" si="9"/>
        <v>23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4" t="s">
        <v>257</v>
      </c>
      <c r="AL29" s="154">
        <v>0</v>
      </c>
      <c r="AM29" s="154">
        <v>1</v>
      </c>
      <c r="AN29" s="154">
        <v>1</v>
      </c>
      <c r="AO29" s="154">
        <v>1</v>
      </c>
      <c r="AP29" s="154">
        <v>1</v>
      </c>
      <c r="AQ29" s="154">
        <v>0</v>
      </c>
      <c r="AR29" s="154">
        <v>0</v>
      </c>
      <c r="AS29" s="151">
        <v>25</v>
      </c>
    </row>
    <row r="30" spans="1:45" ht="16.5" customHeight="1">
      <c r="A30" s="150"/>
      <c r="B30" s="150"/>
      <c r="C30" s="170">
        <f>SUM(C4:C29)</f>
        <v>121</v>
      </c>
      <c r="D30" s="170">
        <f t="shared" ref="D30:I30" si="10">SUM(D4:D29)</f>
        <v>121</v>
      </c>
      <c r="E30" s="170">
        <f t="shared" si="10"/>
        <v>121</v>
      </c>
      <c r="F30" s="170">
        <f t="shared" si="10"/>
        <v>121</v>
      </c>
      <c r="G30" s="170">
        <f t="shared" si="10"/>
        <v>121</v>
      </c>
      <c r="H30" s="170">
        <f t="shared" si="10"/>
        <v>121</v>
      </c>
      <c r="I30" s="170">
        <f t="shared" si="10"/>
        <v>121</v>
      </c>
      <c r="J30" s="13"/>
      <c r="L30" s="15">
        <v>26</v>
      </c>
      <c r="M30" s="38" t="s">
        <v>21</v>
      </c>
      <c r="N30" s="38" t="s">
        <v>17</v>
      </c>
      <c r="O30" s="38" t="s">
        <v>27</v>
      </c>
      <c r="P30" s="38" t="s">
        <v>26</v>
      </c>
      <c r="Q30" s="38" t="s">
        <v>17</v>
      </c>
      <c r="R30" s="38" t="s">
        <v>89</v>
      </c>
      <c r="S30" s="24" t="s">
        <v>29</v>
      </c>
      <c r="U30" s="37">
        <f t="shared" si="9"/>
        <v>6</v>
      </c>
      <c r="V30" s="37">
        <f t="shared" si="9"/>
        <v>10</v>
      </c>
      <c r="W30" s="37">
        <f t="shared" si="9"/>
        <v>8</v>
      </c>
      <c r="X30" s="37">
        <f t="shared" si="9"/>
        <v>17</v>
      </c>
      <c r="Y30" s="37">
        <f t="shared" si="9"/>
        <v>10</v>
      </c>
      <c r="Z30" s="37">
        <f t="shared" si="9"/>
        <v>16</v>
      </c>
      <c r="AA30" s="37">
        <f t="shared" si="9"/>
        <v>23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4">
        <v>1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18</v>
      </c>
      <c r="N31" s="38" t="s">
        <v>17</v>
      </c>
      <c r="O31" s="38" t="s">
        <v>27</v>
      </c>
      <c r="P31" s="38" t="s">
        <v>26</v>
      </c>
      <c r="Q31" s="38" t="s">
        <v>17</v>
      </c>
      <c r="R31" s="38" t="s">
        <v>26</v>
      </c>
      <c r="S31" s="24" t="s">
        <v>29</v>
      </c>
      <c r="U31" s="37">
        <f t="shared" si="9"/>
        <v>3</v>
      </c>
      <c r="V31" s="37">
        <f t="shared" si="9"/>
        <v>10</v>
      </c>
      <c r="W31" s="37">
        <f t="shared" si="9"/>
        <v>8</v>
      </c>
      <c r="X31" s="37">
        <f t="shared" si="9"/>
        <v>17</v>
      </c>
      <c r="Y31" s="37">
        <f t="shared" si="9"/>
        <v>10</v>
      </c>
      <c r="Z31" s="37">
        <f t="shared" si="9"/>
        <v>17</v>
      </c>
      <c r="AA31" s="37">
        <f t="shared" si="9"/>
        <v>23</v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18</v>
      </c>
      <c r="N32" s="38" t="s">
        <v>17</v>
      </c>
      <c r="O32" s="38" t="s">
        <v>21</v>
      </c>
      <c r="P32" s="38" t="s">
        <v>232</v>
      </c>
      <c r="Q32" s="38" t="s">
        <v>17</v>
      </c>
      <c r="R32" s="38" t="s">
        <v>18</v>
      </c>
      <c r="S32" s="24" t="s">
        <v>24</v>
      </c>
      <c r="U32" s="37">
        <f t="shared" si="9"/>
        <v>3</v>
      </c>
      <c r="V32" s="37">
        <f t="shared" si="9"/>
        <v>10</v>
      </c>
      <c r="W32" s="37">
        <f t="shared" si="9"/>
        <v>6</v>
      </c>
      <c r="X32" s="37">
        <f t="shared" si="9"/>
        <v>0</v>
      </c>
      <c r="Y32" s="37">
        <f t="shared" si="9"/>
        <v>10</v>
      </c>
      <c r="Z32" s="37">
        <f t="shared" si="9"/>
        <v>3</v>
      </c>
      <c r="AA32" s="37">
        <f t="shared" si="9"/>
        <v>19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4">
        <v>3</v>
      </c>
      <c r="AK32" s="16" t="s">
        <v>265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>
      <c r="B33" s="149" t="s">
        <v>72</v>
      </c>
      <c r="C33" s="155">
        <v>0</v>
      </c>
      <c r="D33" s="155">
        <v>390</v>
      </c>
      <c r="E33" s="155">
        <v>390</v>
      </c>
      <c r="F33" s="155">
        <v>185</v>
      </c>
      <c r="G33" s="155">
        <v>120</v>
      </c>
      <c r="H33" s="155">
        <v>0</v>
      </c>
      <c r="J33" s="13"/>
      <c r="L33" s="14">
        <v>29</v>
      </c>
      <c r="M33" s="38" t="s">
        <v>28</v>
      </c>
      <c r="N33" s="38" t="s">
        <v>89</v>
      </c>
      <c r="O33" s="38" t="s">
        <v>21</v>
      </c>
      <c r="P33" s="38" t="s">
        <v>232</v>
      </c>
      <c r="Q33" s="38" t="s">
        <v>64</v>
      </c>
      <c r="R33" s="38" t="s">
        <v>89</v>
      </c>
      <c r="S33" s="24" t="s">
        <v>24</v>
      </c>
      <c r="U33" s="37">
        <f t="shared" si="9"/>
        <v>11</v>
      </c>
      <c r="V33" s="37">
        <f t="shared" si="9"/>
        <v>16</v>
      </c>
      <c r="W33" s="37">
        <f t="shared" si="9"/>
        <v>6</v>
      </c>
      <c r="X33" s="37">
        <f t="shared" si="9"/>
        <v>0</v>
      </c>
      <c r="Y33" s="37">
        <f t="shared" si="9"/>
        <v>4</v>
      </c>
      <c r="Z33" s="37">
        <f t="shared" si="9"/>
        <v>16</v>
      </c>
      <c r="AA33" s="37">
        <f t="shared" si="9"/>
        <v>19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75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5">
        <v>30</v>
      </c>
      <c r="M34" s="38" t="s">
        <v>64</v>
      </c>
      <c r="N34" s="38" t="s">
        <v>89</v>
      </c>
      <c r="O34" s="38" t="s">
        <v>26</v>
      </c>
      <c r="P34" s="38" t="s">
        <v>17</v>
      </c>
      <c r="Q34" s="38" t="s">
        <v>21</v>
      </c>
      <c r="R34" s="38" t="s">
        <v>27</v>
      </c>
      <c r="S34" s="38" t="s">
        <v>24</v>
      </c>
      <c r="U34" s="37">
        <f t="shared" si="9"/>
        <v>4</v>
      </c>
      <c r="V34" s="37">
        <f t="shared" si="9"/>
        <v>16</v>
      </c>
      <c r="W34" s="37">
        <f t="shared" si="9"/>
        <v>17</v>
      </c>
      <c r="X34" s="37">
        <f t="shared" si="9"/>
        <v>10</v>
      </c>
      <c r="Y34" s="37">
        <f t="shared" si="9"/>
        <v>6</v>
      </c>
      <c r="Z34" s="37">
        <f t="shared" si="9"/>
        <v>8</v>
      </c>
      <c r="AA34" s="37">
        <f t="shared" si="9"/>
        <v>19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5</v>
      </c>
      <c r="AM34" s="37">
        <v>5</v>
      </c>
      <c r="AN34" s="37">
        <v>5</v>
      </c>
      <c r="AO34" s="37">
        <v>5</v>
      </c>
      <c r="AP34" s="37">
        <v>5</v>
      </c>
      <c r="AQ34" s="37">
        <v>5</v>
      </c>
      <c r="AR34" s="37">
        <v>0</v>
      </c>
      <c r="AS34" s="4">
        <v>1</v>
      </c>
    </row>
    <row r="35" spans="1:45" ht="16.5" customHeight="1">
      <c r="B35" s="4" t="s">
        <v>73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4">
        <v>31</v>
      </c>
      <c r="M35" s="38" t="s">
        <v>64</v>
      </c>
      <c r="N35" s="38" t="s">
        <v>24</v>
      </c>
      <c r="O35" s="38" t="s">
        <v>26</v>
      </c>
      <c r="P35" s="38" t="s">
        <v>17</v>
      </c>
      <c r="Q35" s="38" t="s">
        <v>236</v>
      </c>
      <c r="R35" s="38" t="s">
        <v>64</v>
      </c>
      <c r="S35" s="24" t="s">
        <v>24</v>
      </c>
      <c r="U35" s="37">
        <f t="shared" si="9"/>
        <v>4</v>
      </c>
      <c r="V35" s="37">
        <f t="shared" si="9"/>
        <v>19</v>
      </c>
      <c r="W35" s="37">
        <f t="shared" si="9"/>
        <v>17</v>
      </c>
      <c r="X35" s="37">
        <f t="shared" si="9"/>
        <v>10</v>
      </c>
      <c r="Y35" s="37">
        <f t="shared" si="9"/>
        <v>0</v>
      </c>
      <c r="Z35" s="37">
        <f t="shared" si="9"/>
        <v>4</v>
      </c>
      <c r="AA35" s="37">
        <f t="shared" si="9"/>
        <v>19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4" t="s">
        <v>20</v>
      </c>
      <c r="AL35" s="154">
        <v>15</v>
      </c>
      <c r="AM35" s="154">
        <v>42</v>
      </c>
      <c r="AN35" s="154">
        <v>20</v>
      </c>
      <c r="AO35" s="154">
        <v>10</v>
      </c>
      <c r="AP35" s="154">
        <v>40</v>
      </c>
      <c r="AQ35" s="154">
        <v>5</v>
      </c>
      <c r="AR35" s="154">
        <v>1</v>
      </c>
      <c r="AS35" s="151">
        <v>2</v>
      </c>
    </row>
    <row r="36" spans="1:45" ht="16.5" customHeight="1">
      <c r="B36" s="4" t="s">
        <v>76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5">
        <v>32</v>
      </c>
      <c r="M36" s="38" t="s">
        <v>64</v>
      </c>
      <c r="N36" s="38" t="s">
        <v>226</v>
      </c>
      <c r="O36" s="38" t="s">
        <v>228</v>
      </c>
      <c r="P36" s="38" t="s">
        <v>26</v>
      </c>
      <c r="Q36" s="38" t="s">
        <v>236</v>
      </c>
      <c r="R36" s="38" t="s">
        <v>26</v>
      </c>
      <c r="S36" s="24" t="s">
        <v>26</v>
      </c>
      <c r="U36" s="37">
        <f t="shared" si="9"/>
        <v>4</v>
      </c>
      <c r="V36" s="37">
        <f t="shared" si="9"/>
        <v>0</v>
      </c>
      <c r="W36" s="37">
        <f t="shared" si="9"/>
        <v>0</v>
      </c>
      <c r="X36" s="37">
        <f t="shared" si="9"/>
        <v>17</v>
      </c>
      <c r="Y36" s="37">
        <f t="shared" si="9"/>
        <v>0</v>
      </c>
      <c r="Z36" s="37">
        <f t="shared" si="9"/>
        <v>17</v>
      </c>
      <c r="AA36" s="37">
        <f t="shared" si="9"/>
        <v>17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4">
        <v>3</v>
      </c>
      <c r="AK36" s="154" t="s">
        <v>21</v>
      </c>
      <c r="AL36" s="154">
        <v>40</v>
      </c>
      <c r="AM36" s="154">
        <v>15</v>
      </c>
      <c r="AN36" s="154">
        <v>40</v>
      </c>
      <c r="AO36" s="154">
        <v>42</v>
      </c>
      <c r="AP36" s="154">
        <v>40</v>
      </c>
      <c r="AQ36" s="154">
        <v>5</v>
      </c>
      <c r="AR36" s="154">
        <v>1</v>
      </c>
      <c r="AS36" s="151">
        <v>3</v>
      </c>
    </row>
    <row r="37" spans="1:45" ht="16.5" customHeight="1">
      <c r="B37" s="4" t="s">
        <v>74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4">
        <v>33</v>
      </c>
      <c r="M37" s="38" t="s">
        <v>28</v>
      </c>
      <c r="N37" s="38" t="s">
        <v>226</v>
      </c>
      <c r="O37" s="38" t="s">
        <v>228</v>
      </c>
      <c r="P37" s="38" t="s">
        <v>89</v>
      </c>
      <c r="Q37" s="38" t="s">
        <v>24</v>
      </c>
      <c r="R37" s="38" t="s">
        <v>89</v>
      </c>
      <c r="S37" s="24" t="s">
        <v>26</v>
      </c>
      <c r="U37" s="37">
        <f t="shared" si="9"/>
        <v>11</v>
      </c>
      <c r="V37" s="37">
        <f t="shared" si="9"/>
        <v>0</v>
      </c>
      <c r="W37" s="37">
        <f t="shared" si="9"/>
        <v>0</v>
      </c>
      <c r="X37" s="37">
        <f t="shared" si="9"/>
        <v>16</v>
      </c>
      <c r="Y37" s="37">
        <f t="shared" si="9"/>
        <v>19</v>
      </c>
      <c r="Z37" s="37">
        <f t="shared" si="9"/>
        <v>16</v>
      </c>
      <c r="AA37" s="37">
        <f t="shared" si="9"/>
        <v>17</v>
      </c>
      <c r="AC37" s="18">
        <v>1</v>
      </c>
      <c r="AD37" s="18">
        <v>1</v>
      </c>
      <c r="AE37" s="18">
        <v>1</v>
      </c>
      <c r="AF37" s="18">
        <v>1</v>
      </c>
      <c r="AG37" s="18">
        <v>1</v>
      </c>
      <c r="AH37" s="18">
        <v>1</v>
      </c>
      <c r="AI37" s="4">
        <v>1</v>
      </c>
      <c r="AK37" s="154" t="s">
        <v>17</v>
      </c>
      <c r="AL37" s="154">
        <v>15</v>
      </c>
      <c r="AM37" s="154">
        <v>40</v>
      </c>
      <c r="AN37" s="154">
        <v>20</v>
      </c>
      <c r="AO37" s="154">
        <v>10</v>
      </c>
      <c r="AP37" s="154">
        <v>5</v>
      </c>
      <c r="AQ37" s="154">
        <v>40</v>
      </c>
      <c r="AR37" s="154">
        <v>1</v>
      </c>
      <c r="AS37" s="151">
        <v>4</v>
      </c>
    </row>
    <row r="38" spans="1:45" ht="16.5" customHeight="1">
      <c r="B38" s="4" t="s">
        <v>77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5">
        <v>34</v>
      </c>
      <c r="M38" s="38" t="s">
        <v>28</v>
      </c>
      <c r="N38" s="38" t="s">
        <v>26</v>
      </c>
      <c r="O38" s="38" t="s">
        <v>18</v>
      </c>
      <c r="P38" s="38" t="s">
        <v>89</v>
      </c>
      <c r="Q38" s="38" t="s">
        <v>89</v>
      </c>
      <c r="R38" s="38" t="s">
        <v>64</v>
      </c>
      <c r="S38" s="24" t="s">
        <v>26</v>
      </c>
      <c r="U38" s="37">
        <f t="shared" si="9"/>
        <v>11</v>
      </c>
      <c r="V38" s="37">
        <f t="shared" si="9"/>
        <v>17</v>
      </c>
      <c r="W38" s="37">
        <f t="shared" si="9"/>
        <v>3</v>
      </c>
      <c r="X38" s="37">
        <f t="shared" si="9"/>
        <v>16</v>
      </c>
      <c r="Y38" s="37">
        <f t="shared" si="9"/>
        <v>16</v>
      </c>
      <c r="Z38" s="37">
        <f t="shared" si="9"/>
        <v>4</v>
      </c>
      <c r="AA38" s="37">
        <f t="shared" si="9"/>
        <v>17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4">
        <v>1</v>
      </c>
      <c r="AK38" s="154" t="s">
        <v>18</v>
      </c>
      <c r="AL38" s="154">
        <v>40</v>
      </c>
      <c r="AM38" s="154">
        <v>15</v>
      </c>
      <c r="AN38" s="154">
        <v>40</v>
      </c>
      <c r="AO38" s="154">
        <v>10</v>
      </c>
      <c r="AP38" s="154">
        <v>5</v>
      </c>
      <c r="AQ38" s="154">
        <v>40</v>
      </c>
      <c r="AR38" s="154">
        <v>1</v>
      </c>
      <c r="AS38" s="151">
        <v>5</v>
      </c>
    </row>
    <row r="39" spans="1:45" ht="16.5" customHeight="1">
      <c r="B39" s="4" t="s">
        <v>78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4">
        <v>35</v>
      </c>
      <c r="M39" s="38" t="s">
        <v>21</v>
      </c>
      <c r="N39" s="38" t="s">
        <v>20</v>
      </c>
      <c r="O39" s="38" t="s">
        <v>26</v>
      </c>
      <c r="P39" s="38" t="s">
        <v>64</v>
      </c>
      <c r="Q39" s="38" t="s">
        <v>228</v>
      </c>
      <c r="R39" s="38" t="s">
        <v>17</v>
      </c>
      <c r="S39" s="24" t="s">
        <v>26</v>
      </c>
      <c r="U39" s="37">
        <f t="shared" si="9"/>
        <v>6</v>
      </c>
      <c r="V39" s="37">
        <f t="shared" si="9"/>
        <v>4</v>
      </c>
      <c r="W39" s="37">
        <f t="shared" si="9"/>
        <v>17</v>
      </c>
      <c r="X39" s="37">
        <f t="shared" si="9"/>
        <v>4</v>
      </c>
      <c r="Y39" s="37">
        <f t="shared" si="9"/>
        <v>0</v>
      </c>
      <c r="Z39" s="37">
        <f t="shared" si="9"/>
        <v>10</v>
      </c>
      <c r="AA39" s="37">
        <f t="shared" si="9"/>
        <v>17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4" t="s">
        <v>64</v>
      </c>
      <c r="AL39" s="154">
        <v>15</v>
      </c>
      <c r="AM39" s="154">
        <v>40</v>
      </c>
      <c r="AN39" s="154">
        <v>20</v>
      </c>
      <c r="AO39" s="154">
        <v>10</v>
      </c>
      <c r="AP39" s="154">
        <v>40</v>
      </c>
      <c r="AQ39" s="154">
        <v>5</v>
      </c>
      <c r="AR39" s="154">
        <v>1</v>
      </c>
      <c r="AS39" s="151">
        <v>6</v>
      </c>
    </row>
    <row r="40" spans="1:45" ht="16.5" customHeight="1">
      <c r="B40" s="4" t="s">
        <v>79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5">
        <v>36</v>
      </c>
      <c r="M40" s="37" t="s">
        <v>18</v>
      </c>
      <c r="N40" s="37" t="s">
        <v>236</v>
      </c>
      <c r="O40" s="37" t="s">
        <v>26</v>
      </c>
      <c r="P40" s="37" t="s">
        <v>64</v>
      </c>
      <c r="Q40" s="37" t="s">
        <v>228</v>
      </c>
      <c r="R40" s="37" t="s">
        <v>18</v>
      </c>
      <c r="S40" s="37" t="s">
        <v>89</v>
      </c>
      <c r="U40" s="37">
        <f t="shared" si="9"/>
        <v>3</v>
      </c>
      <c r="V40" s="37">
        <f t="shared" si="9"/>
        <v>0</v>
      </c>
      <c r="W40" s="37">
        <f t="shared" si="9"/>
        <v>17</v>
      </c>
      <c r="X40" s="37">
        <f t="shared" si="9"/>
        <v>4</v>
      </c>
      <c r="Y40" s="37">
        <f t="shared" si="9"/>
        <v>0</v>
      </c>
      <c r="Z40" s="37">
        <f t="shared" si="9"/>
        <v>3</v>
      </c>
      <c r="AA40" s="37">
        <f t="shared" si="9"/>
        <v>16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4">
        <v>3</v>
      </c>
      <c r="AK40" s="154" t="s">
        <v>89</v>
      </c>
      <c r="AL40" s="154">
        <v>40</v>
      </c>
      <c r="AM40" s="154">
        <v>15</v>
      </c>
      <c r="AN40" s="154">
        <v>40</v>
      </c>
      <c r="AO40" s="154">
        <v>10</v>
      </c>
      <c r="AP40" s="154">
        <v>5</v>
      </c>
      <c r="AQ40" s="154">
        <v>40</v>
      </c>
      <c r="AR40" s="154">
        <v>1</v>
      </c>
      <c r="AS40" s="151">
        <v>7</v>
      </c>
    </row>
    <row r="41" spans="1:45" ht="16.5" customHeight="1">
      <c r="B41" s="4" t="s">
        <v>80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4">
        <v>37</v>
      </c>
      <c r="M41" s="38" t="s">
        <v>27</v>
      </c>
      <c r="N41" s="38" t="s">
        <v>236</v>
      </c>
      <c r="O41" s="38" t="s">
        <v>64</v>
      </c>
      <c r="P41" s="38" t="s">
        <v>64</v>
      </c>
      <c r="Q41" s="38" t="s">
        <v>21</v>
      </c>
      <c r="R41" s="38" t="s">
        <v>27</v>
      </c>
      <c r="S41" s="24" t="s">
        <v>89</v>
      </c>
      <c r="U41" s="37">
        <f t="shared" si="9"/>
        <v>8</v>
      </c>
      <c r="V41" s="37">
        <f t="shared" si="9"/>
        <v>0</v>
      </c>
      <c r="W41" s="37">
        <f t="shared" si="9"/>
        <v>4</v>
      </c>
      <c r="X41" s="37">
        <f t="shared" si="9"/>
        <v>4</v>
      </c>
      <c r="Y41" s="37">
        <f t="shared" si="9"/>
        <v>6</v>
      </c>
      <c r="Z41" s="37">
        <f t="shared" si="9"/>
        <v>8</v>
      </c>
      <c r="AA41" s="37">
        <f t="shared" si="9"/>
        <v>16</v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1</v>
      </c>
      <c r="AK41" s="37" t="s">
        <v>24</v>
      </c>
      <c r="AL41" s="37">
        <v>40</v>
      </c>
      <c r="AM41" s="37">
        <v>15</v>
      </c>
      <c r="AN41" s="37">
        <v>40</v>
      </c>
      <c r="AO41" s="37">
        <v>10</v>
      </c>
      <c r="AP41" s="37">
        <v>10</v>
      </c>
      <c r="AQ41" s="37">
        <v>5</v>
      </c>
      <c r="AR41" s="37">
        <v>1</v>
      </c>
      <c r="AS41" s="4">
        <v>7</v>
      </c>
    </row>
    <row r="42" spans="1:45" ht="16.5" customHeight="1">
      <c r="B42" s="4" t="s">
        <v>81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5">
        <v>38</v>
      </c>
      <c r="M42" s="38" t="s">
        <v>27</v>
      </c>
      <c r="N42" s="38" t="s">
        <v>24</v>
      </c>
      <c r="O42" s="38" t="s">
        <v>64</v>
      </c>
      <c r="P42" s="38" t="s">
        <v>226</v>
      </c>
      <c r="Q42" s="38" t="s">
        <v>21</v>
      </c>
      <c r="R42" s="38" t="s">
        <v>64</v>
      </c>
      <c r="S42" s="24" t="s">
        <v>89</v>
      </c>
      <c r="U42" s="37">
        <f t="shared" si="9"/>
        <v>8</v>
      </c>
      <c r="V42" s="37">
        <f t="shared" si="9"/>
        <v>19</v>
      </c>
      <c r="W42" s="37">
        <f t="shared" si="9"/>
        <v>4</v>
      </c>
      <c r="X42" s="37">
        <f t="shared" si="9"/>
        <v>0</v>
      </c>
      <c r="Y42" s="37">
        <f t="shared" si="9"/>
        <v>6</v>
      </c>
      <c r="Z42" s="37">
        <f t="shared" si="9"/>
        <v>4</v>
      </c>
      <c r="AA42" s="37">
        <f t="shared" si="9"/>
        <v>16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15</v>
      </c>
      <c r="AM42" s="37">
        <v>40</v>
      </c>
      <c r="AN42" s="37">
        <v>20</v>
      </c>
      <c r="AO42" s="37">
        <v>40</v>
      </c>
      <c r="AP42" s="37">
        <v>40</v>
      </c>
      <c r="AQ42" s="37">
        <v>40</v>
      </c>
      <c r="AR42" s="37">
        <v>1</v>
      </c>
      <c r="AS42" s="4">
        <v>8</v>
      </c>
    </row>
    <row r="43" spans="1:45" ht="16.5" customHeight="1">
      <c r="B43" s="4" t="s">
        <v>82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4">
        <v>39</v>
      </c>
      <c r="M43" s="38" t="s">
        <v>21</v>
      </c>
      <c r="N43" s="38" t="s">
        <v>89</v>
      </c>
      <c r="O43" s="38" t="s">
        <v>89</v>
      </c>
      <c r="P43" s="38" t="s">
        <v>226</v>
      </c>
      <c r="Q43" s="38" t="s">
        <v>26</v>
      </c>
      <c r="R43" s="38" t="s">
        <v>26</v>
      </c>
      <c r="S43" s="24" t="s">
        <v>89</v>
      </c>
      <c r="U43" s="37">
        <f t="shared" si="9"/>
        <v>6</v>
      </c>
      <c r="V43" s="37">
        <f t="shared" si="9"/>
        <v>16</v>
      </c>
      <c r="W43" s="37">
        <f t="shared" si="9"/>
        <v>16</v>
      </c>
      <c r="X43" s="37">
        <f t="shared" si="9"/>
        <v>0</v>
      </c>
      <c r="Y43" s="37">
        <f t="shared" si="9"/>
        <v>17</v>
      </c>
      <c r="Z43" s="37">
        <f t="shared" si="9"/>
        <v>17</v>
      </c>
      <c r="AA43" s="37">
        <f t="shared" si="9"/>
        <v>16</v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40</v>
      </c>
      <c r="AM43" s="37">
        <v>15</v>
      </c>
      <c r="AN43" s="37">
        <v>40</v>
      </c>
      <c r="AO43" s="37">
        <v>10</v>
      </c>
      <c r="AP43" s="37">
        <v>5</v>
      </c>
      <c r="AQ43" s="37">
        <v>5</v>
      </c>
      <c r="AR43" s="37">
        <v>1</v>
      </c>
      <c r="AS43" s="4">
        <v>9</v>
      </c>
    </row>
    <row r="44" spans="1:45" ht="16.5" customHeight="1">
      <c r="B44" s="4" t="s">
        <v>83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5">
        <v>40</v>
      </c>
      <c r="M44" s="38" t="s">
        <v>21</v>
      </c>
      <c r="N44" s="38" t="s">
        <v>222</v>
      </c>
      <c r="O44" s="38" t="s">
        <v>89</v>
      </c>
      <c r="P44" s="38" t="s">
        <v>64</v>
      </c>
      <c r="Q44" s="38" t="s">
        <v>224</v>
      </c>
      <c r="R44" s="38" t="s">
        <v>89</v>
      </c>
      <c r="S44" s="24" t="s">
        <v>24</v>
      </c>
      <c r="U44" s="37">
        <f t="shared" si="9"/>
        <v>6</v>
      </c>
      <c r="V44" s="37">
        <f t="shared" si="9"/>
        <v>0</v>
      </c>
      <c r="W44" s="37">
        <f t="shared" si="9"/>
        <v>16</v>
      </c>
      <c r="X44" s="37">
        <f t="shared" si="9"/>
        <v>4</v>
      </c>
      <c r="Y44" s="37">
        <f t="shared" si="9"/>
        <v>0</v>
      </c>
      <c r="Z44" s="37">
        <f t="shared" si="9"/>
        <v>16</v>
      </c>
      <c r="AA44" s="37">
        <f t="shared" si="9"/>
        <v>19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4">
        <v>3</v>
      </c>
      <c r="AK44" s="37" t="s">
        <v>28</v>
      </c>
      <c r="AL44" s="37">
        <v>15</v>
      </c>
      <c r="AM44" s="37">
        <v>40</v>
      </c>
      <c r="AN44" s="37">
        <v>35</v>
      </c>
      <c r="AO44" s="37">
        <v>10</v>
      </c>
      <c r="AP44" s="37">
        <v>5</v>
      </c>
      <c r="AQ44" s="37">
        <v>5</v>
      </c>
      <c r="AR44" s="37">
        <v>1</v>
      </c>
      <c r="AS44" s="4">
        <v>10</v>
      </c>
    </row>
    <row r="45" spans="1:45" ht="16.5" customHeight="1">
      <c r="B45" s="4" t="s">
        <v>84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4">
        <v>41</v>
      </c>
      <c r="M45" s="38" t="s">
        <v>18</v>
      </c>
      <c r="N45" s="38" t="s">
        <v>222</v>
      </c>
      <c r="O45" s="38" t="s">
        <v>29</v>
      </c>
      <c r="P45" s="38" t="s">
        <v>222</v>
      </c>
      <c r="Q45" s="38" t="s">
        <v>224</v>
      </c>
      <c r="R45" s="38" t="s">
        <v>24</v>
      </c>
      <c r="S45" s="24" t="s">
        <v>24</v>
      </c>
      <c r="U45" s="37">
        <f t="shared" si="9"/>
        <v>3</v>
      </c>
      <c r="V45" s="37">
        <f t="shared" si="9"/>
        <v>0</v>
      </c>
      <c r="W45" s="37">
        <f t="shared" si="9"/>
        <v>23</v>
      </c>
      <c r="X45" s="37">
        <f t="shared" si="9"/>
        <v>0</v>
      </c>
      <c r="Y45" s="37">
        <f t="shared" si="9"/>
        <v>0</v>
      </c>
      <c r="Z45" s="37">
        <f t="shared" si="9"/>
        <v>19</v>
      </c>
      <c r="AA45" s="37">
        <f t="shared" si="9"/>
        <v>19</v>
      </c>
      <c r="AC45" s="18">
        <v>1</v>
      </c>
      <c r="AD45" s="18">
        <v>1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40</v>
      </c>
      <c r="AM45" s="37">
        <v>15</v>
      </c>
      <c r="AN45" s="37">
        <v>15</v>
      </c>
      <c r="AO45" s="37">
        <v>10</v>
      </c>
      <c r="AP45" s="37">
        <v>5</v>
      </c>
      <c r="AQ45" s="37">
        <v>5</v>
      </c>
      <c r="AR45" s="37">
        <v>1</v>
      </c>
      <c r="AS45" s="4">
        <v>11</v>
      </c>
    </row>
    <row r="46" spans="1:45" ht="16.5" customHeight="1">
      <c r="B46" s="4" t="s">
        <v>85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5">
        <v>42</v>
      </c>
      <c r="M46" s="38" t="s">
        <v>27</v>
      </c>
      <c r="N46" s="38" t="s">
        <v>222</v>
      </c>
      <c r="O46" s="38" t="s">
        <v>29</v>
      </c>
      <c r="P46" s="38" t="s">
        <v>222</v>
      </c>
      <c r="Q46" s="38" t="s">
        <v>224</v>
      </c>
      <c r="R46" s="38" t="s">
        <v>18</v>
      </c>
      <c r="S46" s="24" t="s">
        <v>24</v>
      </c>
      <c r="U46" s="37">
        <f t="shared" si="9"/>
        <v>8</v>
      </c>
      <c r="V46" s="37">
        <f t="shared" si="9"/>
        <v>0</v>
      </c>
      <c r="W46" s="37">
        <f t="shared" si="9"/>
        <v>23</v>
      </c>
      <c r="X46" s="37">
        <f t="shared" si="9"/>
        <v>0</v>
      </c>
      <c r="Y46" s="37">
        <f t="shared" si="9"/>
        <v>0</v>
      </c>
      <c r="Z46" s="37">
        <f t="shared" si="9"/>
        <v>3</v>
      </c>
      <c r="AA46" s="37">
        <f t="shared" si="9"/>
        <v>19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4">
        <v>1</v>
      </c>
      <c r="AK46" s="154" t="s">
        <v>222</v>
      </c>
      <c r="AL46" s="154">
        <v>0</v>
      </c>
      <c r="AM46" s="154">
        <v>2</v>
      </c>
      <c r="AN46" s="154">
        <v>5</v>
      </c>
      <c r="AO46" s="154">
        <v>2</v>
      </c>
      <c r="AP46" s="154">
        <v>4</v>
      </c>
      <c r="AQ46" s="154">
        <v>0</v>
      </c>
      <c r="AR46" s="154">
        <v>0</v>
      </c>
      <c r="AS46" s="151">
        <v>12</v>
      </c>
    </row>
    <row r="47" spans="1:45" ht="16.5" customHeight="1">
      <c r="B47" s="4" t="s">
        <v>86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4">
        <v>43</v>
      </c>
      <c r="M47" s="38" t="s">
        <v>27</v>
      </c>
      <c r="N47" s="38" t="s">
        <v>24</v>
      </c>
      <c r="O47" s="38" t="s">
        <v>29</v>
      </c>
      <c r="P47" s="38" t="s">
        <v>222</v>
      </c>
      <c r="Q47" s="38" t="s">
        <v>228</v>
      </c>
      <c r="R47" s="38" t="s">
        <v>27</v>
      </c>
      <c r="S47" s="24" t="s">
        <v>24</v>
      </c>
      <c r="U47" s="37">
        <f t="shared" si="9"/>
        <v>8</v>
      </c>
      <c r="V47" s="37">
        <f t="shared" si="9"/>
        <v>19</v>
      </c>
      <c r="W47" s="37">
        <f t="shared" si="9"/>
        <v>23</v>
      </c>
      <c r="X47" s="37">
        <f t="shared" si="9"/>
        <v>0</v>
      </c>
      <c r="Y47" s="37">
        <f t="shared" si="9"/>
        <v>0</v>
      </c>
      <c r="Z47" s="37">
        <f t="shared" si="9"/>
        <v>8</v>
      </c>
      <c r="AA47" s="37">
        <f t="shared" si="9"/>
        <v>19</v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4">
        <v>3</v>
      </c>
      <c r="AK47" s="154" t="s">
        <v>224</v>
      </c>
      <c r="AL47" s="154">
        <v>0</v>
      </c>
      <c r="AM47" s="154">
        <v>2</v>
      </c>
      <c r="AN47" s="154">
        <v>2</v>
      </c>
      <c r="AO47" s="154">
        <v>2</v>
      </c>
      <c r="AP47" s="154">
        <v>2</v>
      </c>
      <c r="AQ47" s="154">
        <v>0</v>
      </c>
      <c r="AR47" s="154">
        <v>0</v>
      </c>
      <c r="AS47" s="151">
        <v>13</v>
      </c>
    </row>
    <row r="48" spans="1:45" ht="16.5" customHeight="1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28</v>
      </c>
      <c r="N48" s="38" t="s">
        <v>24</v>
      </c>
      <c r="O48" s="38" t="s">
        <v>89</v>
      </c>
      <c r="P48" s="38" t="s">
        <v>24</v>
      </c>
      <c r="Q48" s="38" t="s">
        <v>228</v>
      </c>
      <c r="R48" s="38" t="s">
        <v>28</v>
      </c>
      <c r="S48" s="24" t="s">
        <v>26</v>
      </c>
      <c r="U48" s="37">
        <f t="shared" si="9"/>
        <v>11</v>
      </c>
      <c r="V48" s="37">
        <f t="shared" si="9"/>
        <v>19</v>
      </c>
      <c r="W48" s="37">
        <f t="shared" si="9"/>
        <v>16</v>
      </c>
      <c r="X48" s="37">
        <f t="shared" si="9"/>
        <v>19</v>
      </c>
      <c r="Y48" s="37">
        <f t="shared" si="9"/>
        <v>0</v>
      </c>
      <c r="Z48" s="37">
        <f t="shared" si="9"/>
        <v>11</v>
      </c>
      <c r="AA48" s="37">
        <f t="shared" si="9"/>
        <v>17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4" t="s">
        <v>226</v>
      </c>
      <c r="AL48" s="154">
        <v>0</v>
      </c>
      <c r="AM48" s="154">
        <v>4</v>
      </c>
      <c r="AN48" s="154">
        <v>5</v>
      </c>
      <c r="AO48" s="154">
        <v>2</v>
      </c>
      <c r="AP48" s="154">
        <v>2</v>
      </c>
      <c r="AQ48" s="154">
        <v>0</v>
      </c>
      <c r="AR48" s="154">
        <v>0</v>
      </c>
      <c r="AS48" s="151">
        <v>14</v>
      </c>
    </row>
    <row r="49" spans="2:45" ht="16.5" customHeight="1">
      <c r="L49" s="14">
        <v>45</v>
      </c>
      <c r="M49" s="38" t="s">
        <v>21</v>
      </c>
      <c r="N49" s="38" t="s">
        <v>24</v>
      </c>
      <c r="O49" s="38" t="s">
        <v>89</v>
      </c>
      <c r="P49" s="38" t="s">
        <v>26</v>
      </c>
      <c r="Q49" s="38" t="s">
        <v>27</v>
      </c>
      <c r="R49" s="38" t="s">
        <v>28</v>
      </c>
      <c r="S49" s="24" t="s">
        <v>26</v>
      </c>
      <c r="U49" s="37">
        <f t="shared" si="9"/>
        <v>6</v>
      </c>
      <c r="V49" s="37">
        <f t="shared" si="9"/>
        <v>19</v>
      </c>
      <c r="W49" s="37">
        <f t="shared" si="9"/>
        <v>16</v>
      </c>
      <c r="X49" s="37">
        <f t="shared" si="9"/>
        <v>17</v>
      </c>
      <c r="Y49" s="37">
        <f t="shared" si="9"/>
        <v>8</v>
      </c>
      <c r="Z49" s="37">
        <f t="shared" si="9"/>
        <v>11</v>
      </c>
      <c r="AA49" s="37">
        <f t="shared" si="9"/>
        <v>17</v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4">
        <v>3</v>
      </c>
      <c r="AK49" s="154" t="s">
        <v>228</v>
      </c>
      <c r="AL49" s="154">
        <v>0</v>
      </c>
      <c r="AM49" s="154">
        <v>2</v>
      </c>
      <c r="AN49" s="154">
        <v>2</v>
      </c>
      <c r="AO49" s="154">
        <v>2</v>
      </c>
      <c r="AP49" s="154">
        <v>2</v>
      </c>
      <c r="AQ49" s="154">
        <v>0</v>
      </c>
      <c r="AR49" s="154">
        <v>0</v>
      </c>
      <c r="AS49" s="151">
        <v>15</v>
      </c>
    </row>
    <row r="50" spans="2:45" ht="16.5" customHeight="1">
      <c r="B50" s="165" t="s">
        <v>97</v>
      </c>
      <c r="C50" s="162" t="s">
        <v>259</v>
      </c>
      <c r="L50" s="15">
        <v>46</v>
      </c>
      <c r="M50" s="38" t="s">
        <v>21</v>
      </c>
      <c r="N50" s="38" t="s">
        <v>17</v>
      </c>
      <c r="O50" s="38" t="s">
        <v>27</v>
      </c>
      <c r="P50" s="38" t="s">
        <v>26</v>
      </c>
      <c r="Q50" s="38" t="s">
        <v>17</v>
      </c>
      <c r="R50" s="38" t="s">
        <v>89</v>
      </c>
      <c r="S50" s="24" t="s">
        <v>26</v>
      </c>
      <c r="U50" s="37">
        <f t="shared" si="9"/>
        <v>6</v>
      </c>
      <c r="V50" s="37">
        <f t="shared" si="9"/>
        <v>10</v>
      </c>
      <c r="W50" s="37">
        <f t="shared" si="9"/>
        <v>8</v>
      </c>
      <c r="X50" s="37">
        <f t="shared" si="9"/>
        <v>17</v>
      </c>
      <c r="Y50" s="37">
        <f t="shared" si="9"/>
        <v>10</v>
      </c>
      <c r="Z50" s="37">
        <f t="shared" si="9"/>
        <v>16</v>
      </c>
      <c r="AA50" s="37">
        <f t="shared" si="9"/>
        <v>17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4" t="s">
        <v>230</v>
      </c>
      <c r="AL50" s="154">
        <v>0</v>
      </c>
      <c r="AM50" s="154">
        <v>4</v>
      </c>
      <c r="AN50" s="154">
        <v>5</v>
      </c>
      <c r="AO50" s="154">
        <v>2</v>
      </c>
      <c r="AP50" s="154">
        <v>4</v>
      </c>
      <c r="AQ50" s="154">
        <v>0</v>
      </c>
      <c r="AR50" s="154">
        <v>0</v>
      </c>
      <c r="AS50" s="151">
        <v>16</v>
      </c>
    </row>
    <row r="51" spans="2:45" ht="16.5" customHeight="1">
      <c r="B51" s="163" t="s">
        <v>68</v>
      </c>
      <c r="C51" s="161">
        <v>0</v>
      </c>
      <c r="L51" s="14">
        <v>47</v>
      </c>
      <c r="M51" s="38" t="s">
        <v>18</v>
      </c>
      <c r="N51" s="38" t="s">
        <v>17</v>
      </c>
      <c r="O51" s="38" t="s">
        <v>27</v>
      </c>
      <c r="P51" s="38" t="s">
        <v>26</v>
      </c>
      <c r="Q51" s="38" t="s">
        <v>17</v>
      </c>
      <c r="R51" s="38" t="s">
        <v>26</v>
      </c>
      <c r="S51" s="24" t="s">
        <v>26</v>
      </c>
      <c r="U51" s="37">
        <f t="shared" si="9"/>
        <v>3</v>
      </c>
      <c r="V51" s="37">
        <f t="shared" si="9"/>
        <v>10</v>
      </c>
      <c r="W51" s="37">
        <f t="shared" si="9"/>
        <v>8</v>
      </c>
      <c r="X51" s="37">
        <f t="shared" si="9"/>
        <v>17</v>
      </c>
      <c r="Y51" s="37">
        <f t="shared" si="9"/>
        <v>10</v>
      </c>
      <c r="Z51" s="37">
        <f t="shared" si="9"/>
        <v>17</v>
      </c>
      <c r="AA51" s="37">
        <f t="shared" si="9"/>
        <v>17</v>
      </c>
      <c r="AC51" s="18">
        <v>1</v>
      </c>
      <c r="AD51" s="18">
        <v>1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4" t="s">
        <v>232</v>
      </c>
      <c r="AL51" s="154">
        <v>0</v>
      </c>
      <c r="AM51" s="154">
        <v>4</v>
      </c>
      <c r="AN51" s="154">
        <v>5</v>
      </c>
      <c r="AO51" s="154">
        <v>2</v>
      </c>
      <c r="AP51" s="154">
        <v>4</v>
      </c>
      <c r="AQ51" s="154">
        <v>0</v>
      </c>
      <c r="AR51" s="154">
        <v>0</v>
      </c>
      <c r="AS51" s="151">
        <v>17</v>
      </c>
    </row>
    <row r="52" spans="2:45" ht="16.5" customHeight="1">
      <c r="B52" s="164" t="s">
        <v>19</v>
      </c>
      <c r="C52" s="159">
        <v>0</v>
      </c>
      <c r="L52" s="15">
        <v>48</v>
      </c>
      <c r="M52" s="38" t="s">
        <v>18</v>
      </c>
      <c r="N52" s="38" t="s">
        <v>17</v>
      </c>
      <c r="O52" s="38" t="s">
        <v>21</v>
      </c>
      <c r="P52" s="38" t="s">
        <v>232</v>
      </c>
      <c r="Q52" s="38" t="s">
        <v>17</v>
      </c>
      <c r="R52" s="38" t="s">
        <v>18</v>
      </c>
      <c r="S52" s="24" t="s">
        <v>89</v>
      </c>
      <c r="U52" s="37">
        <f t="shared" si="9"/>
        <v>3</v>
      </c>
      <c r="V52" s="37">
        <f t="shared" si="9"/>
        <v>10</v>
      </c>
      <c r="W52" s="37">
        <f t="shared" si="9"/>
        <v>6</v>
      </c>
      <c r="X52" s="37">
        <f t="shared" si="9"/>
        <v>0</v>
      </c>
      <c r="Y52" s="37">
        <f t="shared" si="9"/>
        <v>10</v>
      </c>
      <c r="Z52" s="37">
        <f t="shared" si="9"/>
        <v>3</v>
      </c>
      <c r="AA52" s="37">
        <f t="shared" si="9"/>
        <v>16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4">
        <v>3</v>
      </c>
      <c r="AK52" s="37" t="s">
        <v>234</v>
      </c>
      <c r="AL52" s="37">
        <v>0</v>
      </c>
      <c r="AM52" s="37">
        <v>4</v>
      </c>
      <c r="AN52" s="37">
        <v>2</v>
      </c>
      <c r="AO52" s="37">
        <v>2</v>
      </c>
      <c r="AP52" s="37">
        <v>4</v>
      </c>
      <c r="AQ52" s="37">
        <v>0</v>
      </c>
      <c r="AR52" s="37">
        <v>0</v>
      </c>
      <c r="AS52" s="4">
        <v>17</v>
      </c>
    </row>
    <row r="53" spans="2:45" ht="16.5" customHeight="1">
      <c r="B53" s="164" t="s">
        <v>20</v>
      </c>
      <c r="C53" s="159">
        <v>2</v>
      </c>
      <c r="L53" s="14">
        <v>49</v>
      </c>
      <c r="M53" s="38" t="s">
        <v>28</v>
      </c>
      <c r="N53" s="38" t="s">
        <v>89</v>
      </c>
      <c r="O53" s="38" t="s">
        <v>21</v>
      </c>
      <c r="P53" s="38" t="s">
        <v>232</v>
      </c>
      <c r="Q53" s="38" t="s">
        <v>64</v>
      </c>
      <c r="R53" s="38" t="s">
        <v>89</v>
      </c>
      <c r="S53" s="24" t="s">
        <v>89</v>
      </c>
      <c r="U53" s="37">
        <f t="shared" si="9"/>
        <v>11</v>
      </c>
      <c r="V53" s="37">
        <f t="shared" si="9"/>
        <v>16</v>
      </c>
      <c r="W53" s="37">
        <f t="shared" si="9"/>
        <v>6</v>
      </c>
      <c r="X53" s="37">
        <f t="shared" si="9"/>
        <v>0</v>
      </c>
      <c r="Y53" s="37">
        <f t="shared" si="9"/>
        <v>4</v>
      </c>
      <c r="Z53" s="37">
        <f t="shared" si="9"/>
        <v>16</v>
      </c>
      <c r="AA53" s="37">
        <f t="shared" si="9"/>
        <v>16</v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1</v>
      </c>
      <c r="AI53" s="4">
        <v>1</v>
      </c>
      <c r="AK53" s="37" t="s">
        <v>236</v>
      </c>
      <c r="AL53" s="37">
        <v>0</v>
      </c>
      <c r="AM53" s="37">
        <v>4</v>
      </c>
      <c r="AN53" s="37">
        <v>2</v>
      </c>
      <c r="AO53" s="37">
        <v>4</v>
      </c>
      <c r="AP53" s="37">
        <v>2</v>
      </c>
      <c r="AQ53" s="37">
        <v>0</v>
      </c>
      <c r="AR53" s="37">
        <v>0</v>
      </c>
      <c r="AS53" s="4">
        <v>18</v>
      </c>
    </row>
    <row r="54" spans="2:45" ht="16.5" customHeight="1">
      <c r="B54" s="164" t="s">
        <v>21</v>
      </c>
      <c r="C54" s="159">
        <v>3</v>
      </c>
      <c r="L54" s="15">
        <v>50</v>
      </c>
      <c r="M54" s="38" t="s">
        <v>64</v>
      </c>
      <c r="N54" s="38" t="s">
        <v>89</v>
      </c>
      <c r="O54" s="38" t="s">
        <v>26</v>
      </c>
      <c r="P54" s="38" t="s">
        <v>17</v>
      </c>
      <c r="Q54" s="38" t="s">
        <v>21</v>
      </c>
      <c r="R54" s="38" t="s">
        <v>27</v>
      </c>
      <c r="S54" s="24" t="s">
        <v>89</v>
      </c>
      <c r="U54" s="37">
        <f t="shared" si="9"/>
        <v>4</v>
      </c>
      <c r="V54" s="37">
        <f t="shared" si="9"/>
        <v>16</v>
      </c>
      <c r="W54" s="37">
        <f t="shared" si="9"/>
        <v>17</v>
      </c>
      <c r="X54" s="37">
        <f t="shared" si="9"/>
        <v>10</v>
      </c>
      <c r="Y54" s="37">
        <f t="shared" si="9"/>
        <v>6</v>
      </c>
      <c r="Z54" s="37">
        <f t="shared" si="9"/>
        <v>8</v>
      </c>
      <c r="AA54" s="37">
        <f t="shared" si="9"/>
        <v>16</v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4">
        <v>1</v>
      </c>
      <c r="AK54" s="37" t="s">
        <v>238</v>
      </c>
      <c r="AL54" s="37">
        <v>0</v>
      </c>
      <c r="AM54" s="37">
        <v>4</v>
      </c>
      <c r="AN54" s="37">
        <v>5</v>
      </c>
      <c r="AO54" s="37">
        <v>2</v>
      </c>
      <c r="AP54" s="37">
        <v>2</v>
      </c>
      <c r="AQ54" s="37">
        <v>0</v>
      </c>
      <c r="AR54" s="37">
        <v>0</v>
      </c>
      <c r="AS54" s="4">
        <v>19</v>
      </c>
    </row>
    <row r="55" spans="2:45" ht="16.5" customHeight="1">
      <c r="B55" s="164" t="s">
        <v>17</v>
      </c>
      <c r="C55" s="159">
        <v>5</v>
      </c>
      <c r="L55" s="14">
        <v>51</v>
      </c>
      <c r="M55" s="38" t="s">
        <v>64</v>
      </c>
      <c r="N55" s="38" t="s">
        <v>24</v>
      </c>
      <c r="O55" s="38" t="s">
        <v>26</v>
      </c>
      <c r="P55" s="38" t="s">
        <v>17</v>
      </c>
      <c r="Q55" s="38" t="s">
        <v>236</v>
      </c>
      <c r="R55" s="38" t="s">
        <v>64</v>
      </c>
      <c r="S55" s="24" t="s">
        <v>89</v>
      </c>
      <c r="U55" s="37">
        <f t="shared" si="9"/>
        <v>4</v>
      </c>
      <c r="V55" s="37">
        <f t="shared" si="9"/>
        <v>19</v>
      </c>
      <c r="W55" s="37">
        <f t="shared" si="9"/>
        <v>17</v>
      </c>
      <c r="X55" s="37">
        <f t="shared" si="9"/>
        <v>10</v>
      </c>
      <c r="Y55" s="37">
        <f t="shared" si="9"/>
        <v>0</v>
      </c>
      <c r="Z55" s="37">
        <f t="shared" si="9"/>
        <v>4</v>
      </c>
      <c r="AA55" s="37">
        <f t="shared" si="9"/>
        <v>16</v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4">
        <v>3</v>
      </c>
      <c r="AK55" s="37" t="s">
        <v>240</v>
      </c>
      <c r="AL55" s="37">
        <v>0</v>
      </c>
      <c r="AM55" s="37">
        <v>2</v>
      </c>
      <c r="AN55" s="37">
        <v>7</v>
      </c>
      <c r="AO55" s="37">
        <v>2</v>
      </c>
      <c r="AP55" s="37">
        <v>2</v>
      </c>
      <c r="AQ55" s="37">
        <v>0</v>
      </c>
      <c r="AR55" s="37">
        <v>0</v>
      </c>
      <c r="AS55" s="4">
        <v>20</v>
      </c>
    </row>
    <row r="56" spans="2:45" ht="16.5" customHeight="1">
      <c r="B56" s="164" t="s">
        <v>18</v>
      </c>
      <c r="C56" s="159">
        <v>8</v>
      </c>
      <c r="L56" s="15">
        <v>52</v>
      </c>
      <c r="M56" s="38" t="s">
        <v>64</v>
      </c>
      <c r="N56" s="38" t="s">
        <v>226</v>
      </c>
      <c r="O56" s="38" t="s">
        <v>228</v>
      </c>
      <c r="P56" s="38" t="s">
        <v>26</v>
      </c>
      <c r="Q56" s="38" t="s">
        <v>236</v>
      </c>
      <c r="R56" s="38" t="s">
        <v>26</v>
      </c>
      <c r="S56" s="24" t="s">
        <v>24</v>
      </c>
      <c r="U56" s="37">
        <f t="shared" si="9"/>
        <v>4</v>
      </c>
      <c r="V56" s="37">
        <f t="shared" si="9"/>
        <v>0</v>
      </c>
      <c r="W56" s="37">
        <f t="shared" si="9"/>
        <v>0</v>
      </c>
      <c r="X56" s="37">
        <f t="shared" ref="X56:AA119" si="11">VLOOKUP(P56, $A$4:$J$29, 9, 0)</f>
        <v>17</v>
      </c>
      <c r="Y56" s="37">
        <f t="shared" si="11"/>
        <v>0</v>
      </c>
      <c r="Z56" s="37">
        <f t="shared" si="11"/>
        <v>17</v>
      </c>
      <c r="AA56" s="37">
        <f t="shared" si="11"/>
        <v>19</v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0</v>
      </c>
      <c r="AM56" s="37">
        <v>4</v>
      </c>
      <c r="AN56" s="37">
        <v>7</v>
      </c>
      <c r="AO56" s="37">
        <v>2</v>
      </c>
      <c r="AP56" s="37">
        <v>2</v>
      </c>
      <c r="AQ56" s="37">
        <v>0</v>
      </c>
      <c r="AR56" s="37">
        <v>0</v>
      </c>
      <c r="AS56" s="4">
        <v>21</v>
      </c>
    </row>
    <row r="57" spans="2:45" ht="16.5" customHeight="1">
      <c r="B57" s="164" t="s">
        <v>64</v>
      </c>
      <c r="C57" s="159">
        <v>12</v>
      </c>
      <c r="L57" s="14">
        <v>53</v>
      </c>
      <c r="M57" s="38" t="s">
        <v>28</v>
      </c>
      <c r="N57" s="38" t="s">
        <v>226</v>
      </c>
      <c r="O57" s="38" t="s">
        <v>228</v>
      </c>
      <c r="P57" s="38" t="s">
        <v>89</v>
      </c>
      <c r="Q57" s="38" t="s">
        <v>24</v>
      </c>
      <c r="R57" s="38" t="s">
        <v>89</v>
      </c>
      <c r="S57" s="24" t="s">
        <v>24</v>
      </c>
      <c r="U57" s="37">
        <f t="shared" ref="U57:Z120" si="12">VLOOKUP(M57, $A$4:$J$29, 9, 0)</f>
        <v>11</v>
      </c>
      <c r="V57" s="37">
        <f t="shared" si="12"/>
        <v>0</v>
      </c>
      <c r="W57" s="37">
        <f t="shared" si="12"/>
        <v>0</v>
      </c>
      <c r="X57" s="37">
        <f t="shared" si="11"/>
        <v>16</v>
      </c>
      <c r="Y57" s="37">
        <f t="shared" si="11"/>
        <v>19</v>
      </c>
      <c r="Z57" s="37">
        <f t="shared" si="11"/>
        <v>16</v>
      </c>
      <c r="AA57" s="37">
        <f t="shared" si="11"/>
        <v>19</v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4" t="s">
        <v>94</v>
      </c>
      <c r="AL57" s="154">
        <v>0</v>
      </c>
      <c r="AM57" s="154">
        <v>10</v>
      </c>
      <c r="AN57" s="154">
        <v>10</v>
      </c>
      <c r="AO57" s="154">
        <v>10</v>
      </c>
      <c r="AP57" s="154">
        <v>10</v>
      </c>
      <c r="AQ57" s="154">
        <v>0</v>
      </c>
      <c r="AR57" s="154">
        <v>0</v>
      </c>
      <c r="AS57" s="151">
        <v>24</v>
      </c>
    </row>
    <row r="58" spans="2:45" ht="16.5" customHeight="1">
      <c r="B58" s="164" t="s">
        <v>92</v>
      </c>
      <c r="C58" s="159">
        <v>10</v>
      </c>
      <c r="L58" s="15">
        <v>54</v>
      </c>
      <c r="M58" s="38" t="s">
        <v>28</v>
      </c>
      <c r="N58" s="38" t="s">
        <v>26</v>
      </c>
      <c r="O58" s="38" t="s">
        <v>18</v>
      </c>
      <c r="P58" s="38" t="s">
        <v>89</v>
      </c>
      <c r="Q58" s="38" t="s">
        <v>89</v>
      </c>
      <c r="R58" s="38" t="s">
        <v>64</v>
      </c>
      <c r="S58" s="24" t="s">
        <v>24</v>
      </c>
      <c r="U58" s="37">
        <f t="shared" si="12"/>
        <v>11</v>
      </c>
      <c r="V58" s="37">
        <f t="shared" si="12"/>
        <v>17</v>
      </c>
      <c r="W58" s="37">
        <f t="shared" si="12"/>
        <v>3</v>
      </c>
      <c r="X58" s="37">
        <f t="shared" si="11"/>
        <v>16</v>
      </c>
      <c r="Y58" s="37">
        <f t="shared" si="11"/>
        <v>16</v>
      </c>
      <c r="Z58" s="37">
        <f t="shared" si="11"/>
        <v>4</v>
      </c>
      <c r="AA58" s="37">
        <f t="shared" si="11"/>
        <v>19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3</v>
      </c>
      <c r="AK58" s="154" t="s">
        <v>257</v>
      </c>
      <c r="AL58" s="154">
        <v>0</v>
      </c>
      <c r="AM58" s="154">
        <v>1</v>
      </c>
      <c r="AN58" s="154">
        <v>1</v>
      </c>
      <c r="AO58" s="154">
        <v>1</v>
      </c>
      <c r="AP58" s="154">
        <v>1</v>
      </c>
      <c r="AQ58" s="154">
        <v>0</v>
      </c>
      <c r="AR58" s="154">
        <v>0</v>
      </c>
      <c r="AS58" s="151">
        <v>25</v>
      </c>
    </row>
    <row r="59" spans="2:45" ht="16.5" customHeight="1">
      <c r="B59" s="164" t="s">
        <v>93</v>
      </c>
      <c r="C59" s="159">
        <v>10</v>
      </c>
      <c r="L59" s="14">
        <v>55</v>
      </c>
      <c r="M59" s="38" t="s">
        <v>28</v>
      </c>
      <c r="N59" s="38" t="s">
        <v>20</v>
      </c>
      <c r="O59" s="38" t="s">
        <v>26</v>
      </c>
      <c r="P59" s="38" t="s">
        <v>64</v>
      </c>
      <c r="Q59" s="38" t="s">
        <v>228</v>
      </c>
      <c r="R59" s="38" t="s">
        <v>17</v>
      </c>
      <c r="S59" s="24" t="s">
        <v>24</v>
      </c>
      <c r="U59" s="37">
        <f t="shared" si="12"/>
        <v>11</v>
      </c>
      <c r="V59" s="37">
        <f t="shared" si="12"/>
        <v>4</v>
      </c>
      <c r="W59" s="37">
        <f t="shared" si="12"/>
        <v>17</v>
      </c>
      <c r="X59" s="37">
        <f t="shared" si="11"/>
        <v>4</v>
      </c>
      <c r="Y59" s="37">
        <f t="shared" si="11"/>
        <v>0</v>
      </c>
      <c r="Z59" s="37">
        <f t="shared" si="11"/>
        <v>10</v>
      </c>
      <c r="AA59" s="37">
        <f t="shared" si="11"/>
        <v>19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1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>
      <c r="B60" s="4" t="s">
        <v>37</v>
      </c>
      <c r="C60" s="160">
        <v>10</v>
      </c>
      <c r="L60" s="15">
        <v>56</v>
      </c>
      <c r="M60" s="38" t="s">
        <v>18</v>
      </c>
      <c r="N60" s="38" t="s">
        <v>236</v>
      </c>
      <c r="O60" s="38" t="s">
        <v>26</v>
      </c>
      <c r="P60" s="38" t="s">
        <v>64</v>
      </c>
      <c r="Q60" s="38" t="s">
        <v>228</v>
      </c>
      <c r="R60" s="38" t="s">
        <v>18</v>
      </c>
      <c r="S60" s="24" t="s">
        <v>29</v>
      </c>
      <c r="U60" s="37">
        <f t="shared" si="12"/>
        <v>3</v>
      </c>
      <c r="V60" s="37">
        <f t="shared" si="12"/>
        <v>0</v>
      </c>
      <c r="W60" s="37">
        <f t="shared" si="12"/>
        <v>17</v>
      </c>
      <c r="X60" s="37">
        <f t="shared" si="11"/>
        <v>4</v>
      </c>
      <c r="Y60" s="37">
        <f t="shared" si="11"/>
        <v>0</v>
      </c>
      <c r="Z60" s="37">
        <f t="shared" si="11"/>
        <v>3</v>
      </c>
      <c r="AA60" s="37">
        <f t="shared" si="11"/>
        <v>23</v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4">
        <v>1</v>
      </c>
      <c r="AK60" s="40" t="s">
        <v>260</v>
      </c>
    </row>
    <row r="61" spans="2:45">
      <c r="B61" s="4" t="s">
        <v>38</v>
      </c>
      <c r="C61" s="160">
        <v>10</v>
      </c>
      <c r="L61" s="14">
        <v>57</v>
      </c>
      <c r="M61" s="38" t="s">
        <v>27</v>
      </c>
      <c r="N61" s="38" t="s">
        <v>236</v>
      </c>
      <c r="O61" s="38" t="s">
        <v>26</v>
      </c>
      <c r="P61" s="38" t="s">
        <v>64</v>
      </c>
      <c r="Q61" s="38" t="s">
        <v>21</v>
      </c>
      <c r="R61" s="38" t="s">
        <v>27</v>
      </c>
      <c r="S61" s="24" t="s">
        <v>29</v>
      </c>
      <c r="U61" s="37">
        <f t="shared" si="12"/>
        <v>8</v>
      </c>
      <c r="V61" s="37">
        <f t="shared" si="12"/>
        <v>0</v>
      </c>
      <c r="W61" s="37">
        <f t="shared" si="12"/>
        <v>17</v>
      </c>
      <c r="X61" s="37">
        <f t="shared" si="11"/>
        <v>4</v>
      </c>
      <c r="Y61" s="37">
        <f t="shared" si="11"/>
        <v>6</v>
      </c>
      <c r="Z61" s="37">
        <f t="shared" si="11"/>
        <v>8</v>
      </c>
      <c r="AA61" s="37">
        <f t="shared" si="11"/>
        <v>23</v>
      </c>
      <c r="AC61" s="18">
        <v>1</v>
      </c>
      <c r="AD61" s="18">
        <v>1</v>
      </c>
      <c r="AE61" s="18">
        <v>1</v>
      </c>
      <c r="AF61" s="18">
        <v>1</v>
      </c>
      <c r="AG61" s="18">
        <v>1</v>
      </c>
      <c r="AH61" s="18">
        <v>1</v>
      </c>
      <c r="AI61" s="4">
        <v>1</v>
      </c>
      <c r="AK61" s="16" t="s">
        <v>265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>
      <c r="B62" s="4" t="s">
        <v>39</v>
      </c>
      <c r="C62" s="160">
        <v>10</v>
      </c>
      <c r="L62" s="15">
        <v>58</v>
      </c>
      <c r="M62" s="38" t="s">
        <v>27</v>
      </c>
      <c r="N62" s="38" t="s">
        <v>24</v>
      </c>
      <c r="O62" s="38" t="s">
        <v>64</v>
      </c>
      <c r="P62" s="38" t="s">
        <v>226</v>
      </c>
      <c r="Q62" s="38" t="s">
        <v>21</v>
      </c>
      <c r="R62" s="38" t="s">
        <v>64</v>
      </c>
      <c r="S62" s="24" t="s">
        <v>29</v>
      </c>
      <c r="U62" s="37">
        <f t="shared" si="12"/>
        <v>8</v>
      </c>
      <c r="V62" s="37">
        <f t="shared" si="12"/>
        <v>19</v>
      </c>
      <c r="W62" s="37">
        <f t="shared" si="12"/>
        <v>4</v>
      </c>
      <c r="X62" s="37">
        <f t="shared" si="11"/>
        <v>0</v>
      </c>
      <c r="Y62" s="37">
        <f t="shared" si="11"/>
        <v>6</v>
      </c>
      <c r="Z62" s="37">
        <f t="shared" si="11"/>
        <v>4</v>
      </c>
      <c r="AA62" s="37">
        <f t="shared" si="11"/>
        <v>23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4">
        <v>1</v>
      </c>
      <c r="AK62" s="10" t="s">
        <v>68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160">
        <v>10</v>
      </c>
      <c r="L63" s="14">
        <v>59</v>
      </c>
      <c r="M63" s="38" t="s">
        <v>21</v>
      </c>
      <c r="N63" s="38" t="s">
        <v>89</v>
      </c>
      <c r="O63" s="38" t="s">
        <v>89</v>
      </c>
      <c r="P63" s="38" t="s">
        <v>226</v>
      </c>
      <c r="Q63" s="38" t="s">
        <v>26</v>
      </c>
      <c r="R63" s="38" t="s">
        <v>26</v>
      </c>
      <c r="S63" s="38" t="s">
        <v>29</v>
      </c>
      <c r="U63" s="37">
        <f t="shared" si="12"/>
        <v>6</v>
      </c>
      <c r="V63" s="37">
        <f t="shared" si="12"/>
        <v>16</v>
      </c>
      <c r="W63" s="37">
        <f t="shared" si="12"/>
        <v>16</v>
      </c>
      <c r="X63" s="37">
        <f t="shared" si="11"/>
        <v>0</v>
      </c>
      <c r="Y63" s="37">
        <f t="shared" si="11"/>
        <v>17</v>
      </c>
      <c r="Z63" s="37">
        <f t="shared" si="11"/>
        <v>17</v>
      </c>
      <c r="AA63" s="37">
        <f t="shared" si="11"/>
        <v>23</v>
      </c>
      <c r="AC63" s="18">
        <v>1</v>
      </c>
      <c r="AD63" s="18">
        <v>1</v>
      </c>
      <c r="AE63" s="18">
        <v>1</v>
      </c>
      <c r="AF63" s="18">
        <v>1</v>
      </c>
      <c r="AG63" s="18">
        <v>1</v>
      </c>
      <c r="AH63" s="18">
        <v>1</v>
      </c>
      <c r="AI63" s="4">
        <v>3</v>
      </c>
      <c r="AK63" s="37" t="s">
        <v>19</v>
      </c>
      <c r="AL63" s="37">
        <v>5</v>
      </c>
      <c r="AM63" s="37">
        <v>5</v>
      </c>
      <c r="AN63" s="37">
        <v>5</v>
      </c>
      <c r="AO63" s="37">
        <v>5</v>
      </c>
      <c r="AP63" s="37">
        <v>5</v>
      </c>
      <c r="AQ63" s="37">
        <v>5</v>
      </c>
      <c r="AR63" s="37">
        <v>0</v>
      </c>
      <c r="AS63" s="4">
        <v>1</v>
      </c>
    </row>
    <row r="64" spans="2:45" ht="16.5" customHeight="1">
      <c r="L64" s="15">
        <v>60</v>
      </c>
      <c r="M64" s="38" t="s">
        <v>26</v>
      </c>
      <c r="N64" s="38" t="s">
        <v>230</v>
      </c>
      <c r="O64" s="38" t="s">
        <v>242</v>
      </c>
      <c r="P64" s="38" t="s">
        <v>17</v>
      </c>
      <c r="Q64" s="38" t="s">
        <v>28</v>
      </c>
      <c r="R64" s="38" t="s">
        <v>24</v>
      </c>
      <c r="S64" s="24" t="s">
        <v>17</v>
      </c>
      <c r="U64" s="37">
        <f t="shared" si="12"/>
        <v>17</v>
      </c>
      <c r="V64" s="37">
        <f t="shared" si="12"/>
        <v>0</v>
      </c>
      <c r="W64" s="37">
        <f t="shared" si="12"/>
        <v>0</v>
      </c>
      <c r="X64" s="37">
        <f t="shared" si="11"/>
        <v>10</v>
      </c>
      <c r="Y64" s="37">
        <f t="shared" si="11"/>
        <v>11</v>
      </c>
      <c r="Z64" s="37">
        <f t="shared" si="11"/>
        <v>19</v>
      </c>
      <c r="AA64" s="37">
        <f t="shared" si="11"/>
        <v>10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4">
        <v>1</v>
      </c>
      <c r="AK64" s="154" t="s">
        <v>20</v>
      </c>
      <c r="AL64" s="154">
        <v>40</v>
      </c>
      <c r="AM64" s="154">
        <v>1</v>
      </c>
      <c r="AN64" s="154">
        <v>10</v>
      </c>
      <c r="AO64" s="154">
        <v>1</v>
      </c>
      <c r="AP64" s="154">
        <v>40</v>
      </c>
      <c r="AQ64" s="154">
        <v>1</v>
      </c>
      <c r="AR64" s="154">
        <v>0</v>
      </c>
      <c r="AS64" s="151">
        <v>2</v>
      </c>
    </row>
    <row r="65" spans="2:45" ht="16.5" customHeight="1">
      <c r="L65" s="14">
        <v>61</v>
      </c>
      <c r="M65" s="38" t="s">
        <v>28</v>
      </c>
      <c r="N65" s="38" t="s">
        <v>24</v>
      </c>
      <c r="O65" s="38" t="s">
        <v>26</v>
      </c>
      <c r="P65" s="38" t="s">
        <v>17</v>
      </c>
      <c r="Q65" s="38" t="s">
        <v>28</v>
      </c>
      <c r="R65" s="38" t="s">
        <v>24</v>
      </c>
      <c r="S65" s="24" t="s">
        <v>17</v>
      </c>
      <c r="U65" s="37">
        <f t="shared" si="12"/>
        <v>11</v>
      </c>
      <c r="V65" s="37">
        <f t="shared" si="12"/>
        <v>19</v>
      </c>
      <c r="W65" s="37">
        <f t="shared" si="12"/>
        <v>17</v>
      </c>
      <c r="X65" s="37">
        <f t="shared" si="11"/>
        <v>10</v>
      </c>
      <c r="Y65" s="37">
        <f t="shared" si="11"/>
        <v>11</v>
      </c>
      <c r="Z65" s="37">
        <f t="shared" si="11"/>
        <v>19</v>
      </c>
      <c r="AA65" s="37">
        <f t="shared" si="11"/>
        <v>10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1</v>
      </c>
      <c r="AK65" s="154" t="s">
        <v>21</v>
      </c>
      <c r="AL65" s="154">
        <v>1</v>
      </c>
      <c r="AM65" s="154">
        <v>40</v>
      </c>
      <c r="AN65" s="154">
        <v>1</v>
      </c>
      <c r="AO65" s="154">
        <v>40</v>
      </c>
      <c r="AP65" s="154">
        <v>1</v>
      </c>
      <c r="AQ65" s="154">
        <v>1</v>
      </c>
      <c r="AR65" s="154">
        <v>1</v>
      </c>
      <c r="AS65" s="151">
        <v>3</v>
      </c>
    </row>
    <row r="66" spans="2:45" ht="16.5" customHeight="1">
      <c r="B66" s="165" t="s">
        <v>95</v>
      </c>
      <c r="C66" s="162" t="s">
        <v>259</v>
      </c>
      <c r="L66" s="15">
        <v>62</v>
      </c>
      <c r="M66" s="38" t="s">
        <v>26</v>
      </c>
      <c r="N66" s="38" t="s">
        <v>24</v>
      </c>
      <c r="O66" s="38" t="s">
        <v>26</v>
      </c>
      <c r="P66" s="38" t="s">
        <v>27</v>
      </c>
      <c r="Q66" s="38" t="s">
        <v>26</v>
      </c>
      <c r="R66" s="38" t="s">
        <v>26</v>
      </c>
      <c r="S66" s="24" t="s">
        <v>26</v>
      </c>
      <c r="U66" s="37">
        <f t="shared" si="12"/>
        <v>17</v>
      </c>
      <c r="V66" s="37">
        <f t="shared" si="12"/>
        <v>19</v>
      </c>
      <c r="W66" s="37">
        <f t="shared" si="12"/>
        <v>17</v>
      </c>
      <c r="X66" s="37">
        <f t="shared" si="11"/>
        <v>8</v>
      </c>
      <c r="Y66" s="37">
        <f t="shared" si="11"/>
        <v>17</v>
      </c>
      <c r="Z66" s="37">
        <f t="shared" si="11"/>
        <v>17</v>
      </c>
      <c r="AA66" s="37">
        <f t="shared" si="11"/>
        <v>17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4" t="s">
        <v>17</v>
      </c>
      <c r="AL66" s="154">
        <v>40</v>
      </c>
      <c r="AM66" s="154">
        <v>40</v>
      </c>
      <c r="AN66" s="154">
        <v>40</v>
      </c>
      <c r="AO66" s="154">
        <v>1</v>
      </c>
      <c r="AP66" s="154">
        <v>1</v>
      </c>
      <c r="AQ66" s="154">
        <v>40</v>
      </c>
      <c r="AR66" s="154">
        <v>1</v>
      </c>
      <c r="AS66" s="151">
        <v>4</v>
      </c>
    </row>
    <row r="67" spans="2:45" ht="16.5" customHeight="1">
      <c r="B67" s="163">
        <v>0</v>
      </c>
      <c r="C67" s="161">
        <v>0</v>
      </c>
      <c r="L67" s="14">
        <v>63</v>
      </c>
      <c r="M67" s="38" t="s">
        <v>29</v>
      </c>
      <c r="N67" s="38" t="s">
        <v>64</v>
      </c>
      <c r="O67" s="38" t="s">
        <v>26</v>
      </c>
      <c r="P67" s="38" t="s">
        <v>27</v>
      </c>
      <c r="Q67" s="38" t="s">
        <v>18</v>
      </c>
      <c r="R67" s="38" t="s">
        <v>29</v>
      </c>
      <c r="S67" s="24" t="s">
        <v>26</v>
      </c>
      <c r="U67" s="37">
        <f t="shared" si="12"/>
        <v>23</v>
      </c>
      <c r="V67" s="37">
        <f t="shared" si="12"/>
        <v>4</v>
      </c>
      <c r="W67" s="37">
        <f t="shared" si="12"/>
        <v>17</v>
      </c>
      <c r="X67" s="37">
        <f t="shared" si="11"/>
        <v>8</v>
      </c>
      <c r="Y67" s="37">
        <f t="shared" si="11"/>
        <v>3</v>
      </c>
      <c r="Z67" s="37">
        <f t="shared" si="11"/>
        <v>23</v>
      </c>
      <c r="AA67" s="37">
        <f t="shared" si="11"/>
        <v>17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4" t="s">
        <v>18</v>
      </c>
      <c r="AL67" s="154">
        <v>1</v>
      </c>
      <c r="AM67" s="154">
        <v>40</v>
      </c>
      <c r="AN67" s="154">
        <v>1</v>
      </c>
      <c r="AO67" s="154">
        <v>1</v>
      </c>
      <c r="AP67" s="154">
        <v>1</v>
      </c>
      <c r="AQ67" s="154">
        <v>40</v>
      </c>
      <c r="AR67" s="154">
        <v>1</v>
      </c>
      <c r="AS67" s="151">
        <v>5</v>
      </c>
    </row>
    <row r="68" spans="2:45" ht="16.5" customHeight="1">
      <c r="B68" s="164">
        <v>1</v>
      </c>
      <c r="C68" s="159">
        <v>0</v>
      </c>
      <c r="L68" s="15">
        <v>64</v>
      </c>
      <c r="M68" s="38" t="s">
        <v>17</v>
      </c>
      <c r="N68" s="38" t="s">
        <v>27</v>
      </c>
      <c r="O68" s="38" t="s">
        <v>18</v>
      </c>
      <c r="P68" s="38" t="s">
        <v>29</v>
      </c>
      <c r="Q68" s="38" t="s">
        <v>89</v>
      </c>
      <c r="R68" s="38" t="s">
        <v>29</v>
      </c>
      <c r="S68" s="24" t="s">
        <v>28</v>
      </c>
      <c r="U68" s="37">
        <f t="shared" si="12"/>
        <v>10</v>
      </c>
      <c r="V68" s="37">
        <f t="shared" si="12"/>
        <v>8</v>
      </c>
      <c r="W68" s="37">
        <f t="shared" si="12"/>
        <v>3</v>
      </c>
      <c r="X68" s="37">
        <f t="shared" si="11"/>
        <v>23</v>
      </c>
      <c r="Y68" s="37">
        <f t="shared" si="11"/>
        <v>16</v>
      </c>
      <c r="Z68" s="37">
        <f t="shared" si="11"/>
        <v>23</v>
      </c>
      <c r="AA68" s="37">
        <f t="shared" si="11"/>
        <v>11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3</v>
      </c>
      <c r="AK68" s="154" t="s">
        <v>64</v>
      </c>
      <c r="AL68" s="154">
        <v>1</v>
      </c>
      <c r="AM68" s="154">
        <v>1</v>
      </c>
      <c r="AN68" s="154">
        <v>40</v>
      </c>
      <c r="AO68" s="154">
        <v>1</v>
      </c>
      <c r="AP68" s="154">
        <v>40</v>
      </c>
      <c r="AQ68" s="154">
        <v>1</v>
      </c>
      <c r="AR68" s="154">
        <v>1</v>
      </c>
      <c r="AS68" s="151">
        <v>6</v>
      </c>
    </row>
    <row r="69" spans="2:45" ht="16.5" customHeight="1">
      <c r="B69" s="164">
        <v>2</v>
      </c>
      <c r="C69" s="159">
        <v>0</v>
      </c>
      <c r="L69" s="14">
        <v>65</v>
      </c>
      <c r="M69" s="38" t="s">
        <v>27</v>
      </c>
      <c r="N69" s="38" t="s">
        <v>27</v>
      </c>
      <c r="O69" s="38" t="s">
        <v>24</v>
      </c>
      <c r="P69" s="38" t="s">
        <v>29</v>
      </c>
      <c r="Q69" s="38" t="s">
        <v>89</v>
      </c>
      <c r="R69" s="38" t="s">
        <v>27</v>
      </c>
      <c r="S69" s="24" t="s">
        <v>28</v>
      </c>
      <c r="U69" s="37">
        <f t="shared" si="12"/>
        <v>8</v>
      </c>
      <c r="V69" s="37">
        <f t="shared" si="12"/>
        <v>8</v>
      </c>
      <c r="W69" s="37">
        <f t="shared" si="12"/>
        <v>19</v>
      </c>
      <c r="X69" s="37">
        <f t="shared" si="11"/>
        <v>23</v>
      </c>
      <c r="Y69" s="37">
        <f t="shared" si="11"/>
        <v>16</v>
      </c>
      <c r="Z69" s="37">
        <f t="shared" si="11"/>
        <v>8</v>
      </c>
      <c r="AA69" s="37">
        <f t="shared" si="11"/>
        <v>11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4" t="s">
        <v>89</v>
      </c>
      <c r="AL69" s="154">
        <v>1</v>
      </c>
      <c r="AM69" s="154">
        <v>40</v>
      </c>
      <c r="AN69" s="154">
        <v>1</v>
      </c>
      <c r="AO69" s="154">
        <v>40</v>
      </c>
      <c r="AP69" s="154">
        <v>1</v>
      </c>
      <c r="AQ69" s="154">
        <v>1</v>
      </c>
      <c r="AR69" s="154">
        <v>1</v>
      </c>
      <c r="AS69" s="151">
        <v>7</v>
      </c>
    </row>
    <row r="70" spans="2:45" ht="16.5" customHeight="1">
      <c r="B70" s="164">
        <v>3</v>
      </c>
      <c r="C70" s="159">
        <v>0</v>
      </c>
      <c r="L70" s="15">
        <v>66</v>
      </c>
      <c r="M70" s="38" t="s">
        <v>27</v>
      </c>
      <c r="N70" s="38" t="s">
        <v>29</v>
      </c>
      <c r="O70" s="38" t="s">
        <v>24</v>
      </c>
      <c r="P70" s="38" t="s">
        <v>29</v>
      </c>
      <c r="Q70" s="38" t="s">
        <v>18</v>
      </c>
      <c r="R70" s="38" t="s">
        <v>24</v>
      </c>
      <c r="S70" s="24" t="s">
        <v>28</v>
      </c>
      <c r="U70" s="37">
        <f t="shared" si="12"/>
        <v>8</v>
      </c>
      <c r="V70" s="37">
        <f t="shared" si="12"/>
        <v>23</v>
      </c>
      <c r="W70" s="37">
        <f t="shared" si="12"/>
        <v>19</v>
      </c>
      <c r="X70" s="37">
        <f t="shared" si="11"/>
        <v>23</v>
      </c>
      <c r="Y70" s="37">
        <f t="shared" si="11"/>
        <v>3</v>
      </c>
      <c r="Z70" s="37">
        <f t="shared" si="11"/>
        <v>19</v>
      </c>
      <c r="AA70" s="37">
        <f t="shared" si="11"/>
        <v>11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</v>
      </c>
      <c r="AM70" s="37">
        <v>1</v>
      </c>
      <c r="AN70" s="37">
        <v>1</v>
      </c>
      <c r="AO70" s="37">
        <v>1</v>
      </c>
      <c r="AP70" s="37">
        <v>35</v>
      </c>
      <c r="AQ70" s="37">
        <v>1</v>
      </c>
      <c r="AR70" s="37">
        <v>1</v>
      </c>
      <c r="AS70" s="4">
        <v>8</v>
      </c>
    </row>
    <row r="71" spans="2:45" ht="16.5" customHeight="1">
      <c r="B71" s="164">
        <v>4</v>
      </c>
      <c r="C71" s="159">
        <v>1</v>
      </c>
      <c r="L71" s="14">
        <v>67</v>
      </c>
      <c r="M71" s="38" t="s">
        <v>18</v>
      </c>
      <c r="N71" s="38" t="s">
        <v>27</v>
      </c>
      <c r="O71" s="38" t="s">
        <v>24</v>
      </c>
      <c r="P71" s="38" t="s">
        <v>26</v>
      </c>
      <c r="Q71" s="38" t="s">
        <v>18</v>
      </c>
      <c r="R71" s="38" t="s">
        <v>64</v>
      </c>
      <c r="S71" s="24" t="s">
        <v>29</v>
      </c>
      <c r="U71" s="37">
        <f t="shared" si="12"/>
        <v>3</v>
      </c>
      <c r="V71" s="37">
        <f t="shared" si="12"/>
        <v>8</v>
      </c>
      <c r="W71" s="37">
        <f t="shared" si="12"/>
        <v>19</v>
      </c>
      <c r="X71" s="37">
        <f t="shared" si="11"/>
        <v>17</v>
      </c>
      <c r="Y71" s="37">
        <f t="shared" si="11"/>
        <v>3</v>
      </c>
      <c r="Z71" s="37">
        <f t="shared" si="11"/>
        <v>4</v>
      </c>
      <c r="AA71" s="37">
        <f t="shared" si="11"/>
        <v>23</v>
      </c>
      <c r="AC71" s="18">
        <v>1</v>
      </c>
      <c r="AD71" s="18">
        <v>1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1</v>
      </c>
      <c r="AM71" s="37">
        <v>40</v>
      </c>
      <c r="AN71" s="37">
        <v>1</v>
      </c>
      <c r="AO71" s="37">
        <v>40</v>
      </c>
      <c r="AP71" s="37">
        <v>1</v>
      </c>
      <c r="AQ71" s="37">
        <v>40</v>
      </c>
      <c r="AR71" s="37">
        <v>1</v>
      </c>
      <c r="AS71" s="4">
        <v>9</v>
      </c>
    </row>
    <row r="72" spans="2:45" ht="16.5" customHeight="1">
      <c r="B72" s="164">
        <v>5</v>
      </c>
      <c r="C72" s="159">
        <v>0</v>
      </c>
      <c r="L72" s="15">
        <v>68</v>
      </c>
      <c r="M72" s="38" t="s">
        <v>18</v>
      </c>
      <c r="N72" s="38" t="s">
        <v>27</v>
      </c>
      <c r="O72" s="38" t="s">
        <v>28</v>
      </c>
      <c r="P72" s="38" t="s">
        <v>230</v>
      </c>
      <c r="Q72" s="38" t="s">
        <v>230</v>
      </c>
      <c r="R72" s="38" t="s">
        <v>64</v>
      </c>
      <c r="S72" s="24" t="s">
        <v>21</v>
      </c>
      <c r="U72" s="37">
        <f t="shared" si="12"/>
        <v>3</v>
      </c>
      <c r="V72" s="37">
        <f t="shared" si="12"/>
        <v>8</v>
      </c>
      <c r="W72" s="37">
        <f t="shared" si="12"/>
        <v>11</v>
      </c>
      <c r="X72" s="37">
        <f t="shared" si="11"/>
        <v>0</v>
      </c>
      <c r="Y72" s="37">
        <f t="shared" si="11"/>
        <v>0</v>
      </c>
      <c r="Z72" s="37">
        <f t="shared" si="11"/>
        <v>4</v>
      </c>
      <c r="AA72" s="37">
        <f t="shared" si="11"/>
        <v>6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4">
        <v>1</v>
      </c>
      <c r="AK72" s="37" t="s">
        <v>27</v>
      </c>
      <c r="AL72" s="37">
        <v>60</v>
      </c>
      <c r="AM72" s="37">
        <v>40</v>
      </c>
      <c r="AN72" s="37">
        <v>35</v>
      </c>
      <c r="AO72" s="37">
        <v>1</v>
      </c>
      <c r="AP72" s="37">
        <v>1</v>
      </c>
      <c r="AQ72" s="37">
        <v>1</v>
      </c>
      <c r="AR72" s="37">
        <v>1</v>
      </c>
      <c r="AS72" s="4">
        <v>10</v>
      </c>
    </row>
    <row r="73" spans="2:45" ht="16.5" customHeight="1">
      <c r="B73" s="164">
        <v>6</v>
      </c>
      <c r="C73" s="159">
        <v>0</v>
      </c>
      <c r="L73" s="14">
        <v>69</v>
      </c>
      <c r="M73" s="38" t="s">
        <v>26</v>
      </c>
      <c r="N73" s="38" t="s">
        <v>27</v>
      </c>
      <c r="O73" s="38" t="s">
        <v>28</v>
      </c>
      <c r="P73" s="38" t="s">
        <v>64</v>
      </c>
      <c r="Q73" s="38" t="s">
        <v>64</v>
      </c>
      <c r="R73" s="38" t="s">
        <v>29</v>
      </c>
      <c r="S73" s="24" t="s">
        <v>21</v>
      </c>
      <c r="U73" s="37">
        <f t="shared" si="12"/>
        <v>17</v>
      </c>
      <c r="V73" s="37">
        <f t="shared" si="12"/>
        <v>8</v>
      </c>
      <c r="W73" s="37">
        <f t="shared" si="12"/>
        <v>11</v>
      </c>
      <c r="X73" s="37">
        <f t="shared" si="11"/>
        <v>4</v>
      </c>
      <c r="Y73" s="37">
        <f t="shared" si="11"/>
        <v>4</v>
      </c>
      <c r="Z73" s="37">
        <f t="shared" si="11"/>
        <v>23</v>
      </c>
      <c r="AA73" s="37">
        <f t="shared" si="11"/>
        <v>6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4">
        <v>1</v>
      </c>
      <c r="AK73" s="37" t="s">
        <v>28</v>
      </c>
      <c r="AL73" s="37">
        <v>1</v>
      </c>
      <c r="AM73" s="37">
        <v>40</v>
      </c>
      <c r="AN73" s="37">
        <v>1</v>
      </c>
      <c r="AO73" s="37">
        <v>1</v>
      </c>
      <c r="AP73" s="37">
        <v>1</v>
      </c>
      <c r="AQ73" s="37">
        <v>1</v>
      </c>
      <c r="AR73" s="37">
        <v>1</v>
      </c>
      <c r="AS73" s="4">
        <v>11</v>
      </c>
    </row>
    <row r="74" spans="2:45" ht="16.5" customHeight="1">
      <c r="B74" s="164">
        <v>7</v>
      </c>
      <c r="C74" s="159">
        <v>0</v>
      </c>
      <c r="L74" s="15">
        <v>70</v>
      </c>
      <c r="M74" s="38" t="s">
        <v>29</v>
      </c>
      <c r="N74" s="38" t="s">
        <v>240</v>
      </c>
      <c r="O74" s="38" t="s">
        <v>28</v>
      </c>
      <c r="P74" s="38" t="s">
        <v>64</v>
      </c>
      <c r="Q74" s="38" t="s">
        <v>18</v>
      </c>
      <c r="R74" s="38" t="s">
        <v>28</v>
      </c>
      <c r="S74" s="24" t="s">
        <v>17</v>
      </c>
      <c r="U74" s="37">
        <f t="shared" si="12"/>
        <v>23</v>
      </c>
      <c r="V74" s="37">
        <f t="shared" si="12"/>
        <v>0</v>
      </c>
      <c r="W74" s="37">
        <f t="shared" si="12"/>
        <v>11</v>
      </c>
      <c r="X74" s="37">
        <f t="shared" si="11"/>
        <v>4</v>
      </c>
      <c r="Y74" s="37">
        <f t="shared" si="11"/>
        <v>3</v>
      </c>
      <c r="Z74" s="37">
        <f t="shared" si="11"/>
        <v>11</v>
      </c>
      <c r="AA74" s="37">
        <f t="shared" si="11"/>
        <v>10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4">
        <v>3</v>
      </c>
      <c r="AK74" s="37" t="s">
        <v>29</v>
      </c>
      <c r="AL74" s="37">
        <v>40</v>
      </c>
      <c r="AM74" s="37">
        <v>1</v>
      </c>
      <c r="AN74" s="37">
        <v>1</v>
      </c>
      <c r="AO74" s="37">
        <v>1</v>
      </c>
      <c r="AP74" s="37">
        <v>1</v>
      </c>
      <c r="AQ74" s="37">
        <v>1</v>
      </c>
      <c r="AR74" s="37">
        <v>1</v>
      </c>
      <c r="AS74" s="4">
        <v>12</v>
      </c>
    </row>
    <row r="75" spans="2:45" ht="16.5" customHeight="1">
      <c r="L75" s="14">
        <v>71</v>
      </c>
      <c r="M75" s="38" t="s">
        <v>29</v>
      </c>
      <c r="N75" s="38" t="s">
        <v>28</v>
      </c>
      <c r="O75" s="38" t="s">
        <v>26</v>
      </c>
      <c r="P75" s="38" t="s">
        <v>24</v>
      </c>
      <c r="Q75" s="38" t="s">
        <v>24</v>
      </c>
      <c r="R75" s="38" t="s">
        <v>24</v>
      </c>
      <c r="S75" s="24" t="s">
        <v>17</v>
      </c>
      <c r="U75" s="37">
        <f t="shared" si="12"/>
        <v>23</v>
      </c>
      <c r="V75" s="37">
        <f t="shared" si="12"/>
        <v>11</v>
      </c>
      <c r="W75" s="37">
        <f t="shared" si="12"/>
        <v>17</v>
      </c>
      <c r="X75" s="37">
        <f t="shared" si="11"/>
        <v>19</v>
      </c>
      <c r="Y75" s="37">
        <f t="shared" si="11"/>
        <v>19</v>
      </c>
      <c r="Z75" s="37">
        <f t="shared" si="11"/>
        <v>19</v>
      </c>
      <c r="AA75" s="37">
        <f t="shared" si="11"/>
        <v>10</v>
      </c>
      <c r="AC75" s="18">
        <v>1</v>
      </c>
      <c r="AD75" s="18">
        <v>1</v>
      </c>
      <c r="AE75" s="18">
        <v>1</v>
      </c>
      <c r="AF75" s="18">
        <v>1</v>
      </c>
      <c r="AG75" s="18">
        <v>1</v>
      </c>
      <c r="AH75" s="18">
        <v>1</v>
      </c>
      <c r="AI75" s="4">
        <v>1</v>
      </c>
      <c r="AK75" s="154" t="s">
        <v>222</v>
      </c>
      <c r="AL75" s="154">
        <v>0</v>
      </c>
      <c r="AM75" s="154">
        <v>2</v>
      </c>
      <c r="AN75" s="154">
        <v>2</v>
      </c>
      <c r="AO75" s="154">
        <v>1</v>
      </c>
      <c r="AP75" s="154">
        <v>2</v>
      </c>
      <c r="AQ75" s="154">
        <v>0</v>
      </c>
      <c r="AR75" s="154">
        <v>0</v>
      </c>
      <c r="AS75" s="151">
        <v>13</v>
      </c>
    </row>
    <row r="76" spans="2:45" ht="16.5" customHeight="1">
      <c r="L76" s="15">
        <v>72</v>
      </c>
      <c r="M76" s="38" t="s">
        <v>26</v>
      </c>
      <c r="N76" s="38" t="s">
        <v>232</v>
      </c>
      <c r="O76" s="38" t="s">
        <v>18</v>
      </c>
      <c r="P76" s="38" t="s">
        <v>64</v>
      </c>
      <c r="Q76" s="38" t="s">
        <v>18</v>
      </c>
      <c r="R76" s="38" t="s">
        <v>24</v>
      </c>
      <c r="S76" s="24" t="s">
        <v>17</v>
      </c>
      <c r="U76" s="37">
        <f t="shared" si="12"/>
        <v>17</v>
      </c>
      <c r="V76" s="37">
        <f t="shared" si="12"/>
        <v>0</v>
      </c>
      <c r="W76" s="37">
        <f t="shared" si="12"/>
        <v>3</v>
      </c>
      <c r="X76" s="37">
        <f t="shared" si="11"/>
        <v>4</v>
      </c>
      <c r="Y76" s="37">
        <f t="shared" si="11"/>
        <v>3</v>
      </c>
      <c r="Z76" s="37">
        <f t="shared" si="11"/>
        <v>19</v>
      </c>
      <c r="AA76" s="37">
        <f t="shared" si="11"/>
        <v>10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4">
        <v>1</v>
      </c>
      <c r="AK76" s="154" t="s">
        <v>224</v>
      </c>
      <c r="AL76" s="154">
        <v>0</v>
      </c>
      <c r="AM76" s="154">
        <v>1</v>
      </c>
      <c r="AN76" s="154">
        <v>1</v>
      </c>
      <c r="AO76" s="154">
        <v>2</v>
      </c>
      <c r="AP76" s="154">
        <v>1</v>
      </c>
      <c r="AQ76" s="154">
        <v>0</v>
      </c>
      <c r="AR76" s="154">
        <v>0</v>
      </c>
      <c r="AS76" s="151">
        <v>14</v>
      </c>
    </row>
    <row r="77" spans="2:45" ht="16.5" customHeight="1">
      <c r="L77" s="14">
        <v>73</v>
      </c>
      <c r="M77" s="38" t="s">
        <v>28</v>
      </c>
      <c r="N77" s="38" t="s">
        <v>24</v>
      </c>
      <c r="O77" s="38" t="s">
        <v>28</v>
      </c>
      <c r="P77" s="38" t="s">
        <v>28</v>
      </c>
      <c r="Q77" s="38" t="s">
        <v>17</v>
      </c>
      <c r="R77" s="38" t="s">
        <v>17</v>
      </c>
      <c r="S77" s="24" t="s">
        <v>27</v>
      </c>
      <c r="U77" s="37">
        <f t="shared" si="12"/>
        <v>11</v>
      </c>
      <c r="V77" s="37">
        <f t="shared" si="12"/>
        <v>19</v>
      </c>
      <c r="W77" s="37">
        <f t="shared" si="12"/>
        <v>11</v>
      </c>
      <c r="X77" s="37">
        <f t="shared" si="11"/>
        <v>11</v>
      </c>
      <c r="Y77" s="37">
        <f t="shared" si="11"/>
        <v>10</v>
      </c>
      <c r="Z77" s="37">
        <f t="shared" si="11"/>
        <v>10</v>
      </c>
      <c r="AA77" s="37">
        <f t="shared" si="11"/>
        <v>8</v>
      </c>
      <c r="AC77" s="18">
        <v>1</v>
      </c>
      <c r="AD77" s="18">
        <v>1</v>
      </c>
      <c r="AE77" s="18">
        <v>1</v>
      </c>
      <c r="AF77" s="18">
        <v>1</v>
      </c>
      <c r="AG77" s="18">
        <v>1</v>
      </c>
      <c r="AH77" s="18">
        <v>1</v>
      </c>
      <c r="AI77" s="4">
        <v>2</v>
      </c>
      <c r="AK77" s="154" t="s">
        <v>226</v>
      </c>
      <c r="AL77" s="154">
        <v>0</v>
      </c>
      <c r="AM77" s="154">
        <v>2</v>
      </c>
      <c r="AN77" s="154">
        <v>2</v>
      </c>
      <c r="AO77" s="154">
        <v>1</v>
      </c>
      <c r="AP77" s="154">
        <v>1</v>
      </c>
      <c r="AQ77" s="154">
        <v>0</v>
      </c>
      <c r="AR77" s="154">
        <v>0</v>
      </c>
      <c r="AS77" s="151">
        <v>15</v>
      </c>
    </row>
    <row r="78" spans="2:45" ht="16.5" customHeight="1">
      <c r="L78" s="15">
        <v>74</v>
      </c>
      <c r="M78" s="38" t="s">
        <v>64</v>
      </c>
      <c r="N78" s="38" t="s">
        <v>69</v>
      </c>
      <c r="O78" s="38" t="s">
        <v>28</v>
      </c>
      <c r="P78" s="38" t="s">
        <v>28</v>
      </c>
      <c r="Q78" s="38" t="s">
        <v>17</v>
      </c>
      <c r="R78" s="38" t="s">
        <v>17</v>
      </c>
      <c r="S78" s="24" t="s">
        <v>27</v>
      </c>
      <c r="U78" s="37">
        <f t="shared" si="12"/>
        <v>4</v>
      </c>
      <c r="V78" s="37">
        <f t="shared" si="12"/>
        <v>0</v>
      </c>
      <c r="W78" s="37">
        <f t="shared" si="12"/>
        <v>11</v>
      </c>
      <c r="X78" s="37">
        <f t="shared" si="11"/>
        <v>11</v>
      </c>
      <c r="Y78" s="37">
        <f t="shared" si="11"/>
        <v>10</v>
      </c>
      <c r="Z78" s="37">
        <f t="shared" si="11"/>
        <v>10</v>
      </c>
      <c r="AA78" s="37">
        <f t="shared" si="11"/>
        <v>8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4">
        <v>1</v>
      </c>
      <c r="AK78" s="154" t="s">
        <v>228</v>
      </c>
      <c r="AL78" s="154">
        <v>0</v>
      </c>
      <c r="AM78" s="154">
        <v>1</v>
      </c>
      <c r="AN78" s="154">
        <v>1</v>
      </c>
      <c r="AO78" s="154">
        <v>1</v>
      </c>
      <c r="AP78" s="154">
        <v>1</v>
      </c>
      <c r="AQ78" s="154">
        <v>0</v>
      </c>
      <c r="AR78" s="154">
        <v>0</v>
      </c>
      <c r="AS78" s="151">
        <v>16</v>
      </c>
    </row>
    <row r="79" spans="2:45" ht="16.5" customHeight="1">
      <c r="L79" s="14">
        <v>75</v>
      </c>
      <c r="M79" s="38" t="s">
        <v>29</v>
      </c>
      <c r="N79" s="38" t="s">
        <v>69</v>
      </c>
      <c r="O79" s="38" t="s">
        <v>24</v>
      </c>
      <c r="P79" s="38" t="s">
        <v>240</v>
      </c>
      <c r="Q79" s="38" t="s">
        <v>226</v>
      </c>
      <c r="R79" s="38" t="s">
        <v>17</v>
      </c>
      <c r="S79" s="24" t="s">
        <v>27</v>
      </c>
      <c r="U79" s="37">
        <f t="shared" si="12"/>
        <v>23</v>
      </c>
      <c r="V79" s="37">
        <f t="shared" si="12"/>
        <v>0</v>
      </c>
      <c r="W79" s="37">
        <f t="shared" si="12"/>
        <v>19</v>
      </c>
      <c r="X79" s="37">
        <f t="shared" si="11"/>
        <v>0</v>
      </c>
      <c r="Y79" s="37">
        <f t="shared" si="11"/>
        <v>0</v>
      </c>
      <c r="Z79" s="37">
        <f t="shared" si="11"/>
        <v>10</v>
      </c>
      <c r="AA79" s="37">
        <f t="shared" si="11"/>
        <v>8</v>
      </c>
      <c r="AC79" s="18">
        <v>1</v>
      </c>
      <c r="AD79" s="18">
        <v>1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4" t="s">
        <v>230</v>
      </c>
      <c r="AL79" s="154">
        <v>0</v>
      </c>
      <c r="AM79" s="154">
        <v>2</v>
      </c>
      <c r="AN79" s="154">
        <v>2</v>
      </c>
      <c r="AO79" s="154">
        <v>1</v>
      </c>
      <c r="AP79" s="154">
        <v>2</v>
      </c>
      <c r="AQ79" s="154">
        <v>0</v>
      </c>
      <c r="AR79" s="154">
        <v>0</v>
      </c>
      <c r="AS79" s="151">
        <v>17</v>
      </c>
    </row>
    <row r="80" spans="2:45">
      <c r="L80" s="15">
        <v>76</v>
      </c>
      <c r="M80" s="38" t="s">
        <v>29</v>
      </c>
      <c r="N80" s="38" t="s">
        <v>89</v>
      </c>
      <c r="O80" s="38" t="s">
        <v>26</v>
      </c>
      <c r="P80" s="38" t="s">
        <v>29</v>
      </c>
      <c r="Q80" s="38" t="s">
        <v>64</v>
      </c>
      <c r="R80" s="38" t="s">
        <v>64</v>
      </c>
      <c r="S80" s="38" t="s">
        <v>17</v>
      </c>
      <c r="U80" s="37">
        <f t="shared" si="12"/>
        <v>23</v>
      </c>
      <c r="V80" s="37">
        <f t="shared" si="12"/>
        <v>16</v>
      </c>
      <c r="W80" s="37">
        <f t="shared" si="12"/>
        <v>17</v>
      </c>
      <c r="X80" s="37">
        <f t="shared" si="11"/>
        <v>23</v>
      </c>
      <c r="Y80" s="37">
        <f t="shared" si="11"/>
        <v>4</v>
      </c>
      <c r="Z80" s="37">
        <f t="shared" si="11"/>
        <v>4</v>
      </c>
      <c r="AA80" s="37">
        <f t="shared" si="11"/>
        <v>10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4">
        <v>1</v>
      </c>
      <c r="AK80" s="154" t="s">
        <v>232</v>
      </c>
      <c r="AL80" s="154">
        <v>0</v>
      </c>
      <c r="AM80" s="154">
        <v>2</v>
      </c>
      <c r="AN80" s="154">
        <v>2</v>
      </c>
      <c r="AO80" s="154">
        <v>1</v>
      </c>
      <c r="AP80" s="154">
        <v>2</v>
      </c>
      <c r="AQ80" s="154">
        <v>0</v>
      </c>
      <c r="AR80" s="154">
        <v>0</v>
      </c>
      <c r="AS80" s="151">
        <v>18</v>
      </c>
    </row>
    <row r="81" spans="12:45">
      <c r="L81" s="14">
        <v>77</v>
      </c>
      <c r="M81" s="38" t="s">
        <v>27</v>
      </c>
      <c r="N81" s="38" t="s">
        <v>89</v>
      </c>
      <c r="O81" s="38" t="s">
        <v>26</v>
      </c>
      <c r="P81" s="38" t="s">
        <v>29</v>
      </c>
      <c r="Q81" s="38" t="s">
        <v>64</v>
      </c>
      <c r="R81" s="38" t="s">
        <v>64</v>
      </c>
      <c r="S81" s="24" t="s">
        <v>29</v>
      </c>
      <c r="U81" s="37">
        <f t="shared" si="12"/>
        <v>8</v>
      </c>
      <c r="V81" s="37">
        <f t="shared" si="12"/>
        <v>16</v>
      </c>
      <c r="W81" s="37">
        <f t="shared" si="12"/>
        <v>17</v>
      </c>
      <c r="X81" s="37">
        <f t="shared" si="11"/>
        <v>23</v>
      </c>
      <c r="Y81" s="37">
        <f t="shared" si="11"/>
        <v>4</v>
      </c>
      <c r="Z81" s="37">
        <f t="shared" si="11"/>
        <v>4</v>
      </c>
      <c r="AA81" s="37">
        <f t="shared" si="11"/>
        <v>23</v>
      </c>
      <c r="AC81" s="18">
        <v>1</v>
      </c>
      <c r="AD81" s="18">
        <v>1</v>
      </c>
      <c r="AE81" s="18">
        <v>1</v>
      </c>
      <c r="AF81" s="18">
        <v>1</v>
      </c>
      <c r="AG81" s="18">
        <v>1</v>
      </c>
      <c r="AH81" s="18">
        <v>1</v>
      </c>
      <c r="AI81" s="4">
        <v>3</v>
      </c>
      <c r="AK81" s="37" t="s">
        <v>234</v>
      </c>
      <c r="AL81" s="37">
        <v>0</v>
      </c>
      <c r="AM81" s="37">
        <v>2</v>
      </c>
      <c r="AN81" s="37">
        <v>1</v>
      </c>
      <c r="AO81" s="37">
        <v>1</v>
      </c>
      <c r="AP81" s="37">
        <v>7</v>
      </c>
      <c r="AQ81" s="37">
        <v>0</v>
      </c>
      <c r="AR81" s="37">
        <v>0</v>
      </c>
      <c r="AS81" s="4">
        <v>19</v>
      </c>
    </row>
    <row r="82" spans="12:45">
      <c r="L82" s="15">
        <v>78</v>
      </c>
      <c r="M82" s="38" t="s">
        <v>28</v>
      </c>
      <c r="N82" s="38" t="s">
        <v>21</v>
      </c>
      <c r="O82" s="38" t="s">
        <v>26</v>
      </c>
      <c r="P82" s="38" t="s">
        <v>24</v>
      </c>
      <c r="Q82" s="38" t="s">
        <v>89</v>
      </c>
      <c r="R82" s="38" t="s">
        <v>64</v>
      </c>
      <c r="S82" s="24" t="s">
        <v>29</v>
      </c>
      <c r="U82" s="37">
        <f t="shared" si="12"/>
        <v>11</v>
      </c>
      <c r="V82" s="37">
        <f t="shared" si="12"/>
        <v>6</v>
      </c>
      <c r="W82" s="37">
        <f t="shared" si="12"/>
        <v>17</v>
      </c>
      <c r="X82" s="37">
        <f t="shared" si="11"/>
        <v>19</v>
      </c>
      <c r="Y82" s="37">
        <f t="shared" si="11"/>
        <v>16</v>
      </c>
      <c r="Z82" s="37">
        <f t="shared" si="11"/>
        <v>4</v>
      </c>
      <c r="AA82" s="37">
        <f t="shared" si="11"/>
        <v>23</v>
      </c>
      <c r="AC82" s="18">
        <v>1</v>
      </c>
      <c r="AD82" s="18">
        <v>1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0</v>
      </c>
      <c r="AM82" s="37">
        <v>2</v>
      </c>
      <c r="AN82" s="37">
        <v>1</v>
      </c>
      <c r="AO82" s="37">
        <v>2</v>
      </c>
      <c r="AP82" s="37">
        <v>1</v>
      </c>
      <c r="AQ82" s="37">
        <v>0</v>
      </c>
      <c r="AR82" s="37">
        <v>0</v>
      </c>
      <c r="AS82" s="4">
        <v>20</v>
      </c>
    </row>
    <row r="83" spans="12:45">
      <c r="L83" s="14">
        <v>79</v>
      </c>
      <c r="M83" s="38" t="s">
        <v>64</v>
      </c>
      <c r="N83" s="38" t="s">
        <v>21</v>
      </c>
      <c r="O83" s="38" t="s">
        <v>18</v>
      </c>
      <c r="P83" s="38" t="s">
        <v>228</v>
      </c>
      <c r="Q83" s="38" t="s">
        <v>89</v>
      </c>
      <c r="R83" s="38" t="s">
        <v>29</v>
      </c>
      <c r="S83" s="24" t="s">
        <v>29</v>
      </c>
      <c r="U83" s="37">
        <f t="shared" si="12"/>
        <v>4</v>
      </c>
      <c r="V83" s="37">
        <f t="shared" si="12"/>
        <v>6</v>
      </c>
      <c r="W83" s="37">
        <f t="shared" si="12"/>
        <v>3</v>
      </c>
      <c r="X83" s="37">
        <f t="shared" si="11"/>
        <v>0</v>
      </c>
      <c r="Y83" s="37">
        <f t="shared" si="11"/>
        <v>16</v>
      </c>
      <c r="Z83" s="37">
        <f t="shared" si="11"/>
        <v>23</v>
      </c>
      <c r="AA83" s="37">
        <f t="shared" si="11"/>
        <v>23</v>
      </c>
      <c r="AC83" s="18">
        <v>1</v>
      </c>
      <c r="AD83" s="18">
        <v>1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0</v>
      </c>
      <c r="AM83" s="37">
        <v>2</v>
      </c>
      <c r="AN83" s="37">
        <v>7</v>
      </c>
      <c r="AO83" s="37">
        <v>1</v>
      </c>
      <c r="AP83" s="37">
        <v>1</v>
      </c>
      <c r="AQ83" s="37">
        <v>0</v>
      </c>
      <c r="AR83" s="37">
        <v>0</v>
      </c>
      <c r="AS83" s="4">
        <v>21</v>
      </c>
    </row>
    <row r="84" spans="12:45">
      <c r="L84" s="15">
        <v>80</v>
      </c>
      <c r="M84" s="38" t="s">
        <v>64</v>
      </c>
      <c r="N84" s="38" t="s">
        <v>26</v>
      </c>
      <c r="O84" s="38" t="s">
        <v>28</v>
      </c>
      <c r="P84" s="38" t="s">
        <v>18</v>
      </c>
      <c r="Q84" s="38" t="s">
        <v>232</v>
      </c>
      <c r="R84" s="38" t="s">
        <v>27</v>
      </c>
      <c r="S84" s="24" t="s">
        <v>24</v>
      </c>
      <c r="U84" s="37">
        <f t="shared" si="12"/>
        <v>4</v>
      </c>
      <c r="V84" s="37">
        <f t="shared" si="12"/>
        <v>17</v>
      </c>
      <c r="W84" s="37">
        <f t="shared" si="12"/>
        <v>11</v>
      </c>
      <c r="X84" s="37">
        <f t="shared" si="11"/>
        <v>3</v>
      </c>
      <c r="Y84" s="37">
        <f t="shared" si="11"/>
        <v>0</v>
      </c>
      <c r="Z84" s="37">
        <f t="shared" si="11"/>
        <v>8</v>
      </c>
      <c r="AA84" s="37">
        <f t="shared" si="11"/>
        <v>19</v>
      </c>
      <c r="AC84" s="18">
        <v>1</v>
      </c>
      <c r="AD84" s="18">
        <v>1</v>
      </c>
      <c r="AE84" s="18">
        <v>1</v>
      </c>
      <c r="AF84" s="18">
        <v>1</v>
      </c>
      <c r="AG84" s="18">
        <v>1</v>
      </c>
      <c r="AH84" s="18">
        <v>1</v>
      </c>
      <c r="AI84" s="4">
        <v>3</v>
      </c>
      <c r="AK84" s="37" t="s">
        <v>240</v>
      </c>
      <c r="AL84" s="37">
        <v>0</v>
      </c>
      <c r="AM84" s="37">
        <v>1</v>
      </c>
      <c r="AN84" s="37">
        <v>1</v>
      </c>
      <c r="AO84" s="37">
        <v>1</v>
      </c>
      <c r="AP84" s="37">
        <v>1</v>
      </c>
      <c r="AQ84" s="37">
        <v>0</v>
      </c>
      <c r="AR84" s="37">
        <v>0</v>
      </c>
      <c r="AS84" s="4">
        <v>22</v>
      </c>
    </row>
    <row r="85" spans="12:45">
      <c r="L85" s="14">
        <v>81</v>
      </c>
      <c r="M85" s="38" t="s">
        <v>28</v>
      </c>
      <c r="N85" s="38" t="s">
        <v>26</v>
      </c>
      <c r="O85" s="38" t="s">
        <v>21</v>
      </c>
      <c r="P85" s="38" t="s">
        <v>64</v>
      </c>
      <c r="Q85" s="38" t="s">
        <v>28</v>
      </c>
      <c r="R85" s="38" t="s">
        <v>27</v>
      </c>
      <c r="S85" s="24" t="s">
        <v>24</v>
      </c>
      <c r="U85" s="37">
        <f t="shared" si="12"/>
        <v>11</v>
      </c>
      <c r="V85" s="37">
        <f t="shared" si="12"/>
        <v>17</v>
      </c>
      <c r="W85" s="37">
        <f t="shared" si="12"/>
        <v>6</v>
      </c>
      <c r="X85" s="37">
        <f t="shared" si="11"/>
        <v>4</v>
      </c>
      <c r="Y85" s="37">
        <f t="shared" si="11"/>
        <v>11</v>
      </c>
      <c r="Z85" s="37">
        <f t="shared" si="11"/>
        <v>8</v>
      </c>
      <c r="AA85" s="37">
        <f t="shared" si="11"/>
        <v>19</v>
      </c>
      <c r="AC85" s="18">
        <v>1</v>
      </c>
      <c r="AD85" s="18">
        <v>1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0</v>
      </c>
      <c r="AM85" s="37">
        <v>2</v>
      </c>
      <c r="AN85" s="37">
        <v>1</v>
      </c>
      <c r="AO85" s="37">
        <v>1</v>
      </c>
      <c r="AP85" s="37">
        <v>1</v>
      </c>
      <c r="AQ85" s="37">
        <v>0</v>
      </c>
      <c r="AR85" s="37">
        <v>0</v>
      </c>
      <c r="AS85" s="4">
        <v>23</v>
      </c>
    </row>
    <row r="86" spans="12:45">
      <c r="L86" s="15">
        <v>82</v>
      </c>
      <c r="M86" s="38" t="s">
        <v>29</v>
      </c>
      <c r="N86" s="38" t="s">
        <v>27</v>
      </c>
      <c r="O86" s="38" t="s">
        <v>21</v>
      </c>
      <c r="P86" s="38" t="s">
        <v>27</v>
      </c>
      <c r="Q86" s="38" t="s">
        <v>28</v>
      </c>
      <c r="R86" s="38" t="s">
        <v>24</v>
      </c>
      <c r="S86" s="24" t="s">
        <v>24</v>
      </c>
      <c r="U86" s="37">
        <f t="shared" si="12"/>
        <v>23</v>
      </c>
      <c r="V86" s="37">
        <f t="shared" si="12"/>
        <v>8</v>
      </c>
      <c r="W86" s="37">
        <f t="shared" si="12"/>
        <v>6</v>
      </c>
      <c r="X86" s="37">
        <f t="shared" si="11"/>
        <v>8</v>
      </c>
      <c r="Y86" s="37">
        <f t="shared" si="11"/>
        <v>11</v>
      </c>
      <c r="Z86" s="37">
        <f t="shared" si="11"/>
        <v>19</v>
      </c>
      <c r="AA86" s="37">
        <f t="shared" si="11"/>
        <v>19</v>
      </c>
      <c r="AC86" s="18">
        <v>1</v>
      </c>
      <c r="AD86" s="18">
        <v>1</v>
      </c>
      <c r="AE86" s="18">
        <v>1</v>
      </c>
      <c r="AF86" s="18">
        <v>1</v>
      </c>
      <c r="AG86" s="18">
        <v>1</v>
      </c>
      <c r="AH86" s="18">
        <v>1</v>
      </c>
      <c r="AI86" s="4">
        <v>1</v>
      </c>
      <c r="AK86" s="154" t="s">
        <v>94</v>
      </c>
      <c r="AL86" s="154">
        <v>0</v>
      </c>
      <c r="AM86" s="154">
        <v>10</v>
      </c>
      <c r="AN86" s="154">
        <v>10</v>
      </c>
      <c r="AO86" s="154">
        <v>10</v>
      </c>
      <c r="AP86" s="154">
        <v>10</v>
      </c>
      <c r="AQ86" s="154">
        <v>0</v>
      </c>
      <c r="AR86" s="154">
        <v>0</v>
      </c>
      <c r="AS86" s="151">
        <v>24</v>
      </c>
    </row>
    <row r="87" spans="12:45">
      <c r="L87" s="14">
        <v>83</v>
      </c>
      <c r="M87" s="38" t="s">
        <v>28</v>
      </c>
      <c r="N87" s="38" t="s">
        <v>27</v>
      </c>
      <c r="O87" s="38" t="s">
        <v>21</v>
      </c>
      <c r="P87" s="38" t="s">
        <v>18</v>
      </c>
      <c r="Q87" s="38" t="s">
        <v>89</v>
      </c>
      <c r="R87" s="38" t="s">
        <v>29</v>
      </c>
      <c r="S87" s="24" t="s">
        <v>27</v>
      </c>
      <c r="U87" s="37">
        <f t="shared" si="12"/>
        <v>11</v>
      </c>
      <c r="V87" s="37">
        <f t="shared" si="12"/>
        <v>8</v>
      </c>
      <c r="W87" s="37">
        <f t="shared" si="12"/>
        <v>6</v>
      </c>
      <c r="X87" s="37">
        <f t="shared" si="11"/>
        <v>3</v>
      </c>
      <c r="Y87" s="37">
        <f t="shared" si="11"/>
        <v>16</v>
      </c>
      <c r="Z87" s="37">
        <f t="shared" si="11"/>
        <v>23</v>
      </c>
      <c r="AA87" s="37">
        <f t="shared" si="11"/>
        <v>8</v>
      </c>
      <c r="AC87" s="18">
        <v>1</v>
      </c>
      <c r="AD87" s="18">
        <v>1</v>
      </c>
      <c r="AE87" s="18">
        <v>1</v>
      </c>
      <c r="AF87" s="18">
        <v>1</v>
      </c>
      <c r="AG87" s="18">
        <v>1</v>
      </c>
      <c r="AH87" s="18">
        <v>1</v>
      </c>
      <c r="AI87" s="4">
        <v>1</v>
      </c>
      <c r="AK87" s="154" t="s">
        <v>257</v>
      </c>
      <c r="AL87" s="154">
        <v>0</v>
      </c>
      <c r="AM87" s="154">
        <v>1</v>
      </c>
      <c r="AN87" s="154">
        <v>1</v>
      </c>
      <c r="AO87" s="154">
        <v>1</v>
      </c>
      <c r="AP87" s="154">
        <v>1</v>
      </c>
      <c r="AQ87" s="154">
        <v>0</v>
      </c>
      <c r="AR87" s="154">
        <v>0</v>
      </c>
      <c r="AS87" s="151">
        <v>25</v>
      </c>
    </row>
    <row r="88" spans="12:45">
      <c r="L88" s="15">
        <v>84</v>
      </c>
      <c r="M88" s="38" t="s">
        <v>28</v>
      </c>
      <c r="N88" s="38" t="s">
        <v>64</v>
      </c>
      <c r="O88" s="38" t="s">
        <v>18</v>
      </c>
      <c r="P88" s="38" t="s">
        <v>27</v>
      </c>
      <c r="Q88" s="38" t="s">
        <v>21</v>
      </c>
      <c r="R88" s="38" t="s">
        <v>29</v>
      </c>
      <c r="S88" s="24" t="s">
        <v>27</v>
      </c>
      <c r="U88" s="37">
        <f t="shared" si="12"/>
        <v>11</v>
      </c>
      <c r="V88" s="37">
        <f t="shared" si="12"/>
        <v>4</v>
      </c>
      <c r="W88" s="37">
        <f t="shared" si="12"/>
        <v>3</v>
      </c>
      <c r="X88" s="37">
        <f t="shared" si="11"/>
        <v>8</v>
      </c>
      <c r="Y88" s="37">
        <f t="shared" si="11"/>
        <v>6</v>
      </c>
      <c r="Z88" s="37">
        <f t="shared" si="11"/>
        <v>23</v>
      </c>
      <c r="AA88" s="37">
        <f t="shared" si="11"/>
        <v>8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4">
        <v>1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>
      <c r="L89" s="14">
        <v>85</v>
      </c>
      <c r="M89" s="38" t="s">
        <v>29</v>
      </c>
      <c r="N89" s="38" t="s">
        <v>24</v>
      </c>
      <c r="O89" s="38" t="s">
        <v>234</v>
      </c>
      <c r="P89" s="38" t="s">
        <v>27</v>
      </c>
      <c r="Q89" s="38" t="s">
        <v>26</v>
      </c>
      <c r="R89" s="38" t="s">
        <v>24</v>
      </c>
      <c r="S89" s="24" t="s">
        <v>27</v>
      </c>
      <c r="U89" s="37">
        <f t="shared" si="12"/>
        <v>23</v>
      </c>
      <c r="V89" s="37">
        <f t="shared" si="12"/>
        <v>19</v>
      </c>
      <c r="W89" s="37">
        <f t="shared" si="12"/>
        <v>0</v>
      </c>
      <c r="X89" s="37">
        <f t="shared" si="11"/>
        <v>8</v>
      </c>
      <c r="Y89" s="37">
        <f t="shared" si="11"/>
        <v>17</v>
      </c>
      <c r="Z89" s="37">
        <f t="shared" si="11"/>
        <v>19</v>
      </c>
      <c r="AA89" s="37">
        <f t="shared" si="11"/>
        <v>8</v>
      </c>
      <c r="AC89" s="18">
        <v>1</v>
      </c>
      <c r="AD89" s="18">
        <v>1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>
      <c r="L90" s="15">
        <v>86</v>
      </c>
      <c r="M90" s="38" t="s">
        <v>29</v>
      </c>
      <c r="N90" s="38" t="s">
        <v>29</v>
      </c>
      <c r="O90" s="38" t="s">
        <v>24</v>
      </c>
      <c r="P90" s="38" t="s">
        <v>27</v>
      </c>
      <c r="Q90" s="38" t="s">
        <v>18</v>
      </c>
      <c r="R90" s="38" t="s">
        <v>64</v>
      </c>
      <c r="S90" s="24" t="s">
        <v>29</v>
      </c>
      <c r="U90" s="37">
        <f t="shared" si="12"/>
        <v>23</v>
      </c>
      <c r="V90" s="37">
        <f t="shared" si="12"/>
        <v>23</v>
      </c>
      <c r="W90" s="37">
        <f t="shared" si="12"/>
        <v>19</v>
      </c>
      <c r="X90" s="37">
        <f t="shared" si="11"/>
        <v>8</v>
      </c>
      <c r="Y90" s="37">
        <f t="shared" si="11"/>
        <v>3</v>
      </c>
      <c r="Z90" s="37">
        <f t="shared" si="11"/>
        <v>4</v>
      </c>
      <c r="AA90" s="37">
        <f t="shared" si="11"/>
        <v>23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4">
        <v>1</v>
      </c>
      <c r="AK90" s="16" t="s">
        <v>265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>
      <c r="L91" s="14">
        <v>87</v>
      </c>
      <c r="M91" s="38" t="s">
        <v>29</v>
      </c>
      <c r="N91" s="38" t="s">
        <v>29</v>
      </c>
      <c r="O91" s="38" t="s">
        <v>24</v>
      </c>
      <c r="P91" s="38" t="s">
        <v>29</v>
      </c>
      <c r="Q91" s="38" t="s">
        <v>27</v>
      </c>
      <c r="R91" s="38" t="s">
        <v>24</v>
      </c>
      <c r="S91" s="24" t="s">
        <v>64</v>
      </c>
      <c r="U91" s="37">
        <f t="shared" si="12"/>
        <v>23</v>
      </c>
      <c r="V91" s="37">
        <f t="shared" si="12"/>
        <v>23</v>
      </c>
      <c r="W91" s="37">
        <f t="shared" si="12"/>
        <v>19</v>
      </c>
      <c r="X91" s="37">
        <f t="shared" si="11"/>
        <v>23</v>
      </c>
      <c r="Y91" s="37">
        <f t="shared" si="11"/>
        <v>8</v>
      </c>
      <c r="Z91" s="37">
        <f t="shared" si="11"/>
        <v>19</v>
      </c>
      <c r="AA91" s="37">
        <f t="shared" si="11"/>
        <v>4</v>
      </c>
      <c r="AC91" s="18">
        <v>1</v>
      </c>
      <c r="AD91" s="18">
        <v>1</v>
      </c>
      <c r="AE91" s="18">
        <v>1</v>
      </c>
      <c r="AF91" s="18">
        <v>1</v>
      </c>
      <c r="AG91" s="18">
        <v>1</v>
      </c>
      <c r="AH91" s="18">
        <v>1</v>
      </c>
      <c r="AI91" s="4">
        <v>3</v>
      </c>
      <c r="AK91" s="10" t="s">
        <v>68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4">
        <v>0</v>
      </c>
    </row>
    <row r="92" spans="12:45">
      <c r="L92" s="15">
        <v>88</v>
      </c>
      <c r="M92" s="38" t="s">
        <v>29</v>
      </c>
      <c r="N92" s="38" t="s">
        <v>17</v>
      </c>
      <c r="O92" s="38" t="s">
        <v>28</v>
      </c>
      <c r="P92" s="38" t="s">
        <v>29</v>
      </c>
      <c r="Q92" s="38" t="s">
        <v>27</v>
      </c>
      <c r="R92" s="38" t="s">
        <v>24</v>
      </c>
      <c r="S92" s="24" t="s">
        <v>64</v>
      </c>
      <c r="U92" s="37">
        <f t="shared" si="12"/>
        <v>23</v>
      </c>
      <c r="V92" s="37">
        <f t="shared" si="12"/>
        <v>10</v>
      </c>
      <c r="W92" s="37">
        <f t="shared" si="12"/>
        <v>11</v>
      </c>
      <c r="X92" s="37">
        <f t="shared" si="11"/>
        <v>23</v>
      </c>
      <c r="Y92" s="37">
        <f t="shared" si="11"/>
        <v>8</v>
      </c>
      <c r="Z92" s="37">
        <f t="shared" si="11"/>
        <v>19</v>
      </c>
      <c r="AA92" s="37">
        <f t="shared" si="11"/>
        <v>4</v>
      </c>
      <c r="AC92" s="18">
        <v>1</v>
      </c>
      <c r="AD92" s="18">
        <v>1</v>
      </c>
      <c r="AE92" s="18">
        <v>1</v>
      </c>
      <c r="AF92" s="18">
        <v>1</v>
      </c>
      <c r="AG92" s="18">
        <v>1</v>
      </c>
      <c r="AH92" s="18">
        <v>1</v>
      </c>
      <c r="AI92" s="4">
        <v>1</v>
      </c>
      <c r="AK92" s="37" t="s">
        <v>19</v>
      </c>
      <c r="AL92" s="37">
        <v>5</v>
      </c>
      <c r="AM92" s="37">
        <v>5</v>
      </c>
      <c r="AN92" s="37">
        <v>5</v>
      </c>
      <c r="AO92" s="37">
        <v>5</v>
      </c>
      <c r="AP92" s="37">
        <v>5</v>
      </c>
      <c r="AQ92" s="37">
        <v>5</v>
      </c>
      <c r="AR92" s="37">
        <v>0</v>
      </c>
      <c r="AS92" s="4">
        <v>1</v>
      </c>
    </row>
    <row r="93" spans="12:45">
      <c r="L93" s="14">
        <v>89</v>
      </c>
      <c r="M93" s="38" t="s">
        <v>28</v>
      </c>
      <c r="N93" s="38" t="s">
        <v>21</v>
      </c>
      <c r="O93" s="38" t="s">
        <v>28</v>
      </c>
      <c r="P93" s="38" t="s">
        <v>29</v>
      </c>
      <c r="Q93" s="38" t="s">
        <v>26</v>
      </c>
      <c r="R93" s="38" t="s">
        <v>24</v>
      </c>
      <c r="S93" s="24" t="s">
        <v>64</v>
      </c>
      <c r="U93" s="37">
        <f t="shared" si="12"/>
        <v>11</v>
      </c>
      <c r="V93" s="37">
        <f t="shared" si="12"/>
        <v>6</v>
      </c>
      <c r="W93" s="37">
        <f t="shared" si="12"/>
        <v>11</v>
      </c>
      <c r="X93" s="37">
        <f t="shared" si="11"/>
        <v>23</v>
      </c>
      <c r="Y93" s="37">
        <f t="shared" si="11"/>
        <v>17</v>
      </c>
      <c r="Z93" s="37">
        <f t="shared" si="11"/>
        <v>19</v>
      </c>
      <c r="AA93" s="37">
        <f t="shared" si="11"/>
        <v>4</v>
      </c>
      <c r="AC93" s="18">
        <v>1</v>
      </c>
      <c r="AD93" s="18">
        <v>1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4" t="s">
        <v>20</v>
      </c>
      <c r="AL93" s="154">
        <v>20</v>
      </c>
      <c r="AM93" s="154">
        <v>0</v>
      </c>
      <c r="AN93" s="154">
        <v>4</v>
      </c>
      <c r="AO93" s="154">
        <v>1</v>
      </c>
      <c r="AP93" s="154">
        <v>50</v>
      </c>
      <c r="AQ93" s="154">
        <v>1</v>
      </c>
      <c r="AR93" s="154">
        <v>0</v>
      </c>
      <c r="AS93" s="151">
        <v>2</v>
      </c>
    </row>
    <row r="94" spans="12:45">
      <c r="L94" s="15">
        <v>90</v>
      </c>
      <c r="M94" s="38" t="s">
        <v>24</v>
      </c>
      <c r="N94" s="38" t="s">
        <v>21</v>
      </c>
      <c r="O94" s="38" t="s">
        <v>18</v>
      </c>
      <c r="P94" s="38" t="s">
        <v>64</v>
      </c>
      <c r="Q94" s="38" t="s">
        <v>26</v>
      </c>
      <c r="R94" s="38" t="s">
        <v>27</v>
      </c>
      <c r="S94" s="24" t="s">
        <v>64</v>
      </c>
      <c r="U94" s="37">
        <f t="shared" si="12"/>
        <v>19</v>
      </c>
      <c r="V94" s="37">
        <f t="shared" si="12"/>
        <v>6</v>
      </c>
      <c r="W94" s="37">
        <f t="shared" si="12"/>
        <v>3</v>
      </c>
      <c r="X94" s="37">
        <f t="shared" si="11"/>
        <v>4</v>
      </c>
      <c r="Y94" s="37">
        <f t="shared" si="11"/>
        <v>17</v>
      </c>
      <c r="Z94" s="37">
        <f t="shared" si="11"/>
        <v>8</v>
      </c>
      <c r="AA94" s="37">
        <f t="shared" si="11"/>
        <v>4</v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4">
        <v>1</v>
      </c>
      <c r="AK94" s="154" t="s">
        <v>21</v>
      </c>
      <c r="AL94" s="154">
        <v>1</v>
      </c>
      <c r="AM94" s="154">
        <v>50</v>
      </c>
      <c r="AN94" s="154">
        <v>1</v>
      </c>
      <c r="AO94" s="154">
        <v>50</v>
      </c>
      <c r="AP94" s="154">
        <v>1</v>
      </c>
      <c r="AQ94" s="154">
        <v>1</v>
      </c>
      <c r="AR94" s="154">
        <v>0</v>
      </c>
      <c r="AS94" s="151">
        <v>3</v>
      </c>
    </row>
    <row r="95" spans="12:45">
      <c r="L95" s="14">
        <v>91</v>
      </c>
      <c r="M95" s="38" t="s">
        <v>28</v>
      </c>
      <c r="N95" s="38" t="s">
        <v>24</v>
      </c>
      <c r="O95" s="38" t="s">
        <v>28</v>
      </c>
      <c r="P95" s="38" t="s">
        <v>64</v>
      </c>
      <c r="Q95" s="38" t="s">
        <v>236</v>
      </c>
      <c r="R95" s="38" t="s">
        <v>27</v>
      </c>
      <c r="S95" s="24" t="s">
        <v>29</v>
      </c>
      <c r="U95" s="37">
        <f t="shared" si="12"/>
        <v>11</v>
      </c>
      <c r="V95" s="37">
        <f t="shared" si="12"/>
        <v>19</v>
      </c>
      <c r="W95" s="37">
        <f t="shared" si="12"/>
        <v>11</v>
      </c>
      <c r="X95" s="37">
        <f t="shared" si="11"/>
        <v>4</v>
      </c>
      <c r="Y95" s="37">
        <f t="shared" si="11"/>
        <v>0</v>
      </c>
      <c r="Z95" s="37">
        <f t="shared" si="11"/>
        <v>8</v>
      </c>
      <c r="AA95" s="37">
        <f t="shared" si="11"/>
        <v>23</v>
      </c>
      <c r="AC95" s="18">
        <v>1</v>
      </c>
      <c r="AD95" s="18">
        <v>1</v>
      </c>
      <c r="AE95" s="18">
        <v>1</v>
      </c>
      <c r="AF95" s="18">
        <v>1</v>
      </c>
      <c r="AG95" s="18">
        <v>1</v>
      </c>
      <c r="AH95" s="18">
        <v>1</v>
      </c>
      <c r="AI95" s="4">
        <v>3</v>
      </c>
      <c r="AK95" s="154" t="s">
        <v>17</v>
      </c>
      <c r="AL95" s="154">
        <v>50</v>
      </c>
      <c r="AM95" s="154">
        <v>1</v>
      </c>
      <c r="AN95" s="154">
        <v>60</v>
      </c>
      <c r="AO95" s="154">
        <v>0</v>
      </c>
      <c r="AP95" s="154">
        <v>1</v>
      </c>
      <c r="AQ95" s="154">
        <v>50</v>
      </c>
      <c r="AR95" s="154">
        <v>1</v>
      </c>
      <c r="AS95" s="151">
        <v>4</v>
      </c>
    </row>
    <row r="96" spans="12:45">
      <c r="L96" s="15">
        <v>92</v>
      </c>
      <c r="M96" s="38" t="s">
        <v>64</v>
      </c>
      <c r="N96" s="38" t="s">
        <v>64</v>
      </c>
      <c r="O96" s="38" t="s">
        <v>28</v>
      </c>
      <c r="P96" s="38" t="s">
        <v>64</v>
      </c>
      <c r="Q96" s="38" t="s">
        <v>28</v>
      </c>
      <c r="R96" s="38" t="s">
        <v>64</v>
      </c>
      <c r="S96" s="24" t="s">
        <v>29</v>
      </c>
      <c r="U96" s="37">
        <f t="shared" si="12"/>
        <v>4</v>
      </c>
      <c r="V96" s="37">
        <f t="shared" si="12"/>
        <v>4</v>
      </c>
      <c r="W96" s="37">
        <f t="shared" si="12"/>
        <v>11</v>
      </c>
      <c r="X96" s="37">
        <f t="shared" si="11"/>
        <v>4</v>
      </c>
      <c r="Y96" s="37">
        <f t="shared" si="11"/>
        <v>11</v>
      </c>
      <c r="Z96" s="37">
        <f t="shared" si="11"/>
        <v>4</v>
      </c>
      <c r="AA96" s="37">
        <f t="shared" si="11"/>
        <v>23</v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4">
        <v>1</v>
      </c>
      <c r="AK96" s="154" t="s">
        <v>18</v>
      </c>
      <c r="AL96" s="154">
        <v>1</v>
      </c>
      <c r="AM96" s="154">
        <v>50</v>
      </c>
      <c r="AN96" s="154">
        <v>1</v>
      </c>
      <c r="AO96" s="154">
        <v>1</v>
      </c>
      <c r="AP96" s="154">
        <v>1</v>
      </c>
      <c r="AQ96" s="154">
        <v>50</v>
      </c>
      <c r="AR96" s="154">
        <v>1</v>
      </c>
      <c r="AS96" s="151">
        <v>5</v>
      </c>
    </row>
    <row r="97" spans="12:45">
      <c r="L97" s="14">
        <v>93</v>
      </c>
      <c r="M97" s="38" t="s">
        <v>24</v>
      </c>
      <c r="N97" s="38" t="s">
        <v>18</v>
      </c>
      <c r="O97" s="38" t="s">
        <v>29</v>
      </c>
      <c r="P97" s="38" t="s">
        <v>29</v>
      </c>
      <c r="Q97" s="38" t="s">
        <v>26</v>
      </c>
      <c r="R97" s="38" t="s">
        <v>64</v>
      </c>
      <c r="S97" s="24" t="s">
        <v>29</v>
      </c>
      <c r="U97" s="37">
        <f t="shared" si="12"/>
        <v>19</v>
      </c>
      <c r="V97" s="37">
        <f t="shared" si="12"/>
        <v>3</v>
      </c>
      <c r="W97" s="37">
        <f t="shared" si="12"/>
        <v>23</v>
      </c>
      <c r="X97" s="37">
        <f t="shared" si="11"/>
        <v>23</v>
      </c>
      <c r="Y97" s="37">
        <f t="shared" si="11"/>
        <v>17</v>
      </c>
      <c r="Z97" s="37">
        <f t="shared" si="11"/>
        <v>4</v>
      </c>
      <c r="AA97" s="37">
        <f t="shared" si="11"/>
        <v>23</v>
      </c>
      <c r="AC97" s="18">
        <v>1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1</v>
      </c>
      <c r="AK97" s="154" t="s">
        <v>64</v>
      </c>
      <c r="AL97" s="154">
        <v>60</v>
      </c>
      <c r="AM97" s="154">
        <v>1</v>
      </c>
      <c r="AN97" s="154">
        <v>50</v>
      </c>
      <c r="AO97" s="154">
        <v>1</v>
      </c>
      <c r="AP97" s="154">
        <v>50</v>
      </c>
      <c r="AQ97" s="154">
        <v>1</v>
      </c>
      <c r="AR97" s="154">
        <v>1</v>
      </c>
      <c r="AS97" s="151">
        <v>6</v>
      </c>
    </row>
    <row r="98" spans="12:45">
      <c r="L98" s="15">
        <v>94</v>
      </c>
      <c r="M98" s="38" t="s">
        <v>26</v>
      </c>
      <c r="N98" s="38" t="s">
        <v>224</v>
      </c>
      <c r="O98" s="38" t="s">
        <v>28</v>
      </c>
      <c r="P98" s="38" t="s">
        <v>29</v>
      </c>
      <c r="Q98" s="38" t="s">
        <v>26</v>
      </c>
      <c r="R98" s="38" t="s">
        <v>64</v>
      </c>
      <c r="S98" s="24" t="s">
        <v>28</v>
      </c>
      <c r="U98" s="37">
        <f t="shared" si="12"/>
        <v>17</v>
      </c>
      <c r="V98" s="37">
        <f t="shared" si="12"/>
        <v>0</v>
      </c>
      <c r="W98" s="37">
        <f t="shared" si="12"/>
        <v>11</v>
      </c>
      <c r="X98" s="37">
        <f t="shared" si="11"/>
        <v>23</v>
      </c>
      <c r="Y98" s="37">
        <f t="shared" si="11"/>
        <v>17</v>
      </c>
      <c r="Z98" s="37">
        <f t="shared" si="11"/>
        <v>4</v>
      </c>
      <c r="AA98" s="37">
        <f t="shared" si="11"/>
        <v>11</v>
      </c>
      <c r="AC98" s="18">
        <v>1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3</v>
      </c>
      <c r="AK98" s="154" t="s">
        <v>89</v>
      </c>
      <c r="AL98" s="154">
        <v>1</v>
      </c>
      <c r="AM98" s="154">
        <v>50</v>
      </c>
      <c r="AN98" s="154">
        <v>1</v>
      </c>
      <c r="AO98" s="154">
        <v>1</v>
      </c>
      <c r="AP98" s="154">
        <v>1</v>
      </c>
      <c r="AQ98" s="154">
        <v>50</v>
      </c>
      <c r="AR98" s="154">
        <v>1</v>
      </c>
      <c r="AS98" s="151">
        <v>7</v>
      </c>
    </row>
    <row r="99" spans="12:45">
      <c r="L99" s="14">
        <v>95</v>
      </c>
      <c r="M99" s="38" t="s">
        <v>26</v>
      </c>
      <c r="N99" s="38" t="s">
        <v>64</v>
      </c>
      <c r="O99" s="38" t="s">
        <v>28</v>
      </c>
      <c r="P99" s="38" t="s">
        <v>232</v>
      </c>
      <c r="Q99" s="38" t="s">
        <v>26</v>
      </c>
      <c r="R99" s="38" t="s">
        <v>29</v>
      </c>
      <c r="S99" s="24" t="s">
        <v>28</v>
      </c>
      <c r="U99" s="37">
        <f t="shared" si="12"/>
        <v>17</v>
      </c>
      <c r="V99" s="37">
        <f t="shared" si="12"/>
        <v>4</v>
      </c>
      <c r="W99" s="37">
        <f t="shared" si="12"/>
        <v>11</v>
      </c>
      <c r="X99" s="37">
        <f t="shared" si="11"/>
        <v>0</v>
      </c>
      <c r="Y99" s="37">
        <f t="shared" si="11"/>
        <v>17</v>
      </c>
      <c r="Z99" s="37">
        <f t="shared" si="11"/>
        <v>23</v>
      </c>
      <c r="AA99" s="37">
        <f t="shared" si="11"/>
        <v>11</v>
      </c>
      <c r="AC99" s="18">
        <v>1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1</v>
      </c>
      <c r="AK99" s="37" t="s">
        <v>24</v>
      </c>
      <c r="AL99" s="37">
        <v>0</v>
      </c>
      <c r="AM99" s="37">
        <v>1</v>
      </c>
      <c r="AN99" s="37">
        <v>40</v>
      </c>
      <c r="AO99" s="37">
        <v>1</v>
      </c>
      <c r="AP99" s="37">
        <v>50</v>
      </c>
      <c r="AQ99" s="37">
        <v>1</v>
      </c>
      <c r="AR99" s="37">
        <v>1</v>
      </c>
      <c r="AS99" s="4">
        <v>8</v>
      </c>
    </row>
    <row r="100" spans="12:45">
      <c r="L100" s="15">
        <v>96</v>
      </c>
      <c r="M100" s="38" t="s">
        <v>27</v>
      </c>
      <c r="N100" s="38" t="s">
        <v>64</v>
      </c>
      <c r="O100" s="38" t="s">
        <v>28</v>
      </c>
      <c r="P100" s="38" t="s">
        <v>89</v>
      </c>
      <c r="Q100" s="38" t="s">
        <v>89</v>
      </c>
      <c r="R100" s="38" t="s">
        <v>18</v>
      </c>
      <c r="S100" s="24" t="s">
        <v>28</v>
      </c>
      <c r="U100" s="37">
        <f t="shared" si="12"/>
        <v>8</v>
      </c>
      <c r="V100" s="37">
        <f t="shared" si="12"/>
        <v>4</v>
      </c>
      <c r="W100" s="37">
        <f t="shared" si="12"/>
        <v>11</v>
      </c>
      <c r="X100" s="37">
        <f t="shared" si="11"/>
        <v>16</v>
      </c>
      <c r="Y100" s="37">
        <f t="shared" si="11"/>
        <v>16</v>
      </c>
      <c r="Z100" s="37">
        <f t="shared" si="11"/>
        <v>3</v>
      </c>
      <c r="AA100" s="37">
        <f t="shared" si="11"/>
        <v>11</v>
      </c>
      <c r="AC100" s="18">
        <v>1</v>
      </c>
      <c r="AD100" s="18">
        <v>1</v>
      </c>
      <c r="AE100" s="18">
        <v>1</v>
      </c>
      <c r="AF100" s="18">
        <v>1</v>
      </c>
      <c r="AG100" s="18">
        <v>1</v>
      </c>
      <c r="AH100" s="18">
        <v>1</v>
      </c>
      <c r="AI100" s="4">
        <v>1</v>
      </c>
      <c r="AK100" s="37" t="s">
        <v>26</v>
      </c>
      <c r="AL100" s="37">
        <v>1</v>
      </c>
      <c r="AM100" s="37">
        <v>1</v>
      </c>
      <c r="AN100" s="37">
        <v>1</v>
      </c>
      <c r="AO100" s="37">
        <v>50</v>
      </c>
      <c r="AP100" s="37">
        <v>1</v>
      </c>
      <c r="AQ100" s="37">
        <v>50</v>
      </c>
      <c r="AR100" s="37">
        <v>1</v>
      </c>
      <c r="AS100" s="4">
        <v>9</v>
      </c>
    </row>
    <row r="101" spans="12:45">
      <c r="L101" s="14">
        <v>97</v>
      </c>
      <c r="M101" s="38" t="s">
        <v>29</v>
      </c>
      <c r="N101" s="38" t="s">
        <v>21</v>
      </c>
      <c r="O101" s="38" t="s">
        <v>24</v>
      </c>
      <c r="P101" s="38" t="s">
        <v>89</v>
      </c>
      <c r="Q101" s="38" t="s">
        <v>18</v>
      </c>
      <c r="R101" s="38" t="s">
        <v>18</v>
      </c>
      <c r="S101" s="24" t="s">
        <v>29</v>
      </c>
      <c r="U101" s="37">
        <f t="shared" si="12"/>
        <v>23</v>
      </c>
      <c r="V101" s="37">
        <f t="shared" si="12"/>
        <v>6</v>
      </c>
      <c r="W101" s="37">
        <f t="shared" si="12"/>
        <v>19</v>
      </c>
      <c r="X101" s="37">
        <f t="shared" si="11"/>
        <v>16</v>
      </c>
      <c r="Y101" s="37">
        <f t="shared" si="11"/>
        <v>3</v>
      </c>
      <c r="Z101" s="37">
        <f t="shared" si="11"/>
        <v>3</v>
      </c>
      <c r="AA101" s="37">
        <f t="shared" si="11"/>
        <v>23</v>
      </c>
      <c r="AC101" s="18">
        <v>1</v>
      </c>
      <c r="AD101" s="18">
        <v>1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20</v>
      </c>
      <c r="AM101" s="37">
        <v>1</v>
      </c>
      <c r="AN101" s="37">
        <v>15</v>
      </c>
      <c r="AO101" s="37">
        <v>1</v>
      </c>
      <c r="AP101" s="37">
        <v>1</v>
      </c>
      <c r="AQ101" s="37">
        <v>1</v>
      </c>
      <c r="AR101" s="37">
        <v>2</v>
      </c>
      <c r="AS101" s="4">
        <v>10</v>
      </c>
    </row>
    <row r="102" spans="12:45">
      <c r="L102" s="15">
        <v>98</v>
      </c>
      <c r="M102" s="38" t="s">
        <v>17</v>
      </c>
      <c r="N102" s="38" t="s">
        <v>89</v>
      </c>
      <c r="O102" s="38" t="s">
        <v>27</v>
      </c>
      <c r="P102" s="38" t="s">
        <v>27</v>
      </c>
      <c r="Q102" s="38" t="s">
        <v>28</v>
      </c>
      <c r="R102" s="38" t="s">
        <v>29</v>
      </c>
      <c r="S102" s="24" t="s">
        <v>18</v>
      </c>
      <c r="U102" s="37">
        <f t="shared" si="12"/>
        <v>10</v>
      </c>
      <c r="V102" s="37">
        <f t="shared" si="12"/>
        <v>16</v>
      </c>
      <c r="W102" s="37">
        <f t="shared" si="12"/>
        <v>8</v>
      </c>
      <c r="X102" s="37">
        <f t="shared" si="11"/>
        <v>8</v>
      </c>
      <c r="Y102" s="37">
        <f t="shared" si="11"/>
        <v>11</v>
      </c>
      <c r="Z102" s="37">
        <f t="shared" si="11"/>
        <v>23</v>
      </c>
      <c r="AA102" s="37">
        <f t="shared" si="11"/>
        <v>3</v>
      </c>
      <c r="AC102" s="18">
        <v>1</v>
      </c>
      <c r="AD102" s="18">
        <v>1</v>
      </c>
      <c r="AE102" s="18">
        <v>1</v>
      </c>
      <c r="AF102" s="18">
        <v>1</v>
      </c>
      <c r="AG102" s="18">
        <v>1</v>
      </c>
      <c r="AH102" s="18">
        <v>1</v>
      </c>
      <c r="AI102" s="4">
        <v>3</v>
      </c>
      <c r="AK102" s="37" t="s">
        <v>28</v>
      </c>
      <c r="AL102" s="37">
        <v>1</v>
      </c>
      <c r="AM102" s="37">
        <v>50</v>
      </c>
      <c r="AN102" s="37">
        <v>1</v>
      </c>
      <c r="AO102" s="37">
        <v>1</v>
      </c>
      <c r="AP102" s="37">
        <v>1</v>
      </c>
      <c r="AQ102" s="37">
        <v>1</v>
      </c>
      <c r="AR102" s="37">
        <v>1</v>
      </c>
      <c r="AS102" s="4">
        <v>11</v>
      </c>
    </row>
    <row r="103" spans="12:45">
      <c r="L103" s="14">
        <v>99</v>
      </c>
      <c r="M103" s="38" t="s">
        <v>28</v>
      </c>
      <c r="N103" s="38" t="s">
        <v>232</v>
      </c>
      <c r="O103" s="38" t="s">
        <v>26</v>
      </c>
      <c r="P103" s="38" t="s">
        <v>27</v>
      </c>
      <c r="Q103" s="38" t="s">
        <v>28</v>
      </c>
      <c r="R103" s="38" t="s">
        <v>29</v>
      </c>
      <c r="S103" s="24" t="s">
        <v>18</v>
      </c>
      <c r="U103" s="37">
        <f t="shared" si="12"/>
        <v>11</v>
      </c>
      <c r="V103" s="37">
        <f t="shared" si="12"/>
        <v>0</v>
      </c>
      <c r="W103" s="37">
        <f t="shared" si="12"/>
        <v>17</v>
      </c>
      <c r="X103" s="37">
        <f t="shared" si="11"/>
        <v>8</v>
      </c>
      <c r="Y103" s="37">
        <f t="shared" si="11"/>
        <v>11</v>
      </c>
      <c r="Z103" s="37">
        <f t="shared" si="11"/>
        <v>23</v>
      </c>
      <c r="AA103" s="37">
        <f t="shared" si="11"/>
        <v>3</v>
      </c>
      <c r="AC103" s="18">
        <v>1</v>
      </c>
      <c r="AD103" s="18">
        <v>1</v>
      </c>
      <c r="AE103" s="18">
        <v>1</v>
      </c>
      <c r="AF103" s="18">
        <v>1</v>
      </c>
      <c r="AG103" s="18">
        <v>1</v>
      </c>
      <c r="AH103" s="18">
        <v>1</v>
      </c>
      <c r="AI103" s="4">
        <v>1</v>
      </c>
      <c r="AK103" s="37" t="s">
        <v>29</v>
      </c>
      <c r="AL103" s="37">
        <v>50</v>
      </c>
      <c r="AM103" s="37">
        <v>1</v>
      </c>
      <c r="AN103" s="37">
        <v>1</v>
      </c>
      <c r="AO103" s="37">
        <v>1</v>
      </c>
      <c r="AP103" s="37">
        <v>1</v>
      </c>
      <c r="AQ103" s="37">
        <v>1</v>
      </c>
      <c r="AR103" s="37">
        <v>1</v>
      </c>
      <c r="AS103" s="4">
        <v>12</v>
      </c>
    </row>
    <row r="104" spans="12:45">
      <c r="L104" s="15">
        <v>100</v>
      </c>
      <c r="M104" s="38" t="s">
        <v>89</v>
      </c>
      <c r="N104" s="38" t="s">
        <v>64</v>
      </c>
      <c r="O104" s="38" t="s">
        <v>26</v>
      </c>
      <c r="P104" s="38" t="s">
        <v>238</v>
      </c>
      <c r="Q104" s="38" t="s">
        <v>18</v>
      </c>
      <c r="R104" s="38" t="s">
        <v>64</v>
      </c>
      <c r="S104" s="24" t="s">
        <v>18</v>
      </c>
      <c r="U104" s="37">
        <f t="shared" si="12"/>
        <v>16</v>
      </c>
      <c r="V104" s="37">
        <f t="shared" si="12"/>
        <v>4</v>
      </c>
      <c r="W104" s="37">
        <f t="shared" si="12"/>
        <v>17</v>
      </c>
      <c r="X104" s="37">
        <f t="shared" si="11"/>
        <v>0</v>
      </c>
      <c r="Y104" s="37">
        <f t="shared" si="11"/>
        <v>3</v>
      </c>
      <c r="Z104" s="37">
        <f t="shared" si="11"/>
        <v>4</v>
      </c>
      <c r="AA104" s="37">
        <f t="shared" si="11"/>
        <v>3</v>
      </c>
      <c r="AC104" s="18">
        <v>1</v>
      </c>
      <c r="AD104" s="18">
        <v>1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4" t="s">
        <v>222</v>
      </c>
      <c r="AL104" s="154">
        <v>0</v>
      </c>
      <c r="AM104" s="154">
        <v>2</v>
      </c>
      <c r="AN104" s="154">
        <v>2</v>
      </c>
      <c r="AO104" s="154">
        <v>1</v>
      </c>
      <c r="AP104" s="154">
        <v>2</v>
      </c>
      <c r="AQ104" s="154">
        <v>0</v>
      </c>
      <c r="AR104" s="154">
        <v>0</v>
      </c>
      <c r="AS104" s="151">
        <v>13</v>
      </c>
    </row>
    <row r="105" spans="12:45">
      <c r="L105" s="14">
        <v>101</v>
      </c>
      <c r="M105" s="38" t="s">
        <v>89</v>
      </c>
      <c r="N105" s="38" t="s">
        <v>69</v>
      </c>
      <c r="O105" s="38" t="s">
        <v>28</v>
      </c>
      <c r="P105" s="38" t="s">
        <v>64</v>
      </c>
      <c r="Q105" s="38" t="s">
        <v>240</v>
      </c>
      <c r="R105" s="38" t="s">
        <v>64</v>
      </c>
      <c r="S105" s="24" t="s">
        <v>28</v>
      </c>
      <c r="U105" s="37">
        <f t="shared" si="12"/>
        <v>16</v>
      </c>
      <c r="V105" s="37">
        <f t="shared" si="12"/>
        <v>0</v>
      </c>
      <c r="W105" s="37">
        <f t="shared" si="12"/>
        <v>11</v>
      </c>
      <c r="X105" s="37">
        <f t="shared" si="11"/>
        <v>4</v>
      </c>
      <c r="Y105" s="37">
        <f t="shared" si="11"/>
        <v>0</v>
      </c>
      <c r="Z105" s="37">
        <f t="shared" si="11"/>
        <v>4</v>
      </c>
      <c r="AA105" s="37">
        <f t="shared" si="11"/>
        <v>11</v>
      </c>
      <c r="AC105" s="18">
        <v>1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1</v>
      </c>
      <c r="AK105" s="154" t="s">
        <v>224</v>
      </c>
      <c r="AL105" s="154">
        <v>0</v>
      </c>
      <c r="AM105" s="154">
        <v>1</v>
      </c>
      <c r="AN105" s="154">
        <v>1</v>
      </c>
      <c r="AO105" s="154">
        <v>2</v>
      </c>
      <c r="AP105" s="154">
        <v>1</v>
      </c>
      <c r="AQ105" s="154">
        <v>0</v>
      </c>
      <c r="AR105" s="154">
        <v>0</v>
      </c>
      <c r="AS105" s="151">
        <v>14</v>
      </c>
    </row>
    <row r="106" spans="12:45">
      <c r="L106" s="15">
        <v>102</v>
      </c>
      <c r="M106" s="38" t="s">
        <v>26</v>
      </c>
      <c r="N106" s="38" t="s">
        <v>256</v>
      </c>
      <c r="O106" s="38" t="s">
        <v>28</v>
      </c>
      <c r="P106" s="38" t="s">
        <v>24</v>
      </c>
      <c r="Q106" s="38" t="s">
        <v>28</v>
      </c>
      <c r="R106" s="38" t="s">
        <v>27</v>
      </c>
      <c r="S106" s="24" t="s">
        <v>28</v>
      </c>
      <c r="U106" s="37">
        <f t="shared" si="12"/>
        <v>17</v>
      </c>
      <c r="V106" s="37">
        <f t="shared" si="12"/>
        <v>0</v>
      </c>
      <c r="W106" s="37">
        <f t="shared" si="12"/>
        <v>11</v>
      </c>
      <c r="X106" s="37">
        <f t="shared" si="11"/>
        <v>19</v>
      </c>
      <c r="Y106" s="37">
        <f t="shared" si="11"/>
        <v>11</v>
      </c>
      <c r="Z106" s="37">
        <f t="shared" si="11"/>
        <v>8</v>
      </c>
      <c r="AA106" s="37">
        <f t="shared" si="11"/>
        <v>11</v>
      </c>
      <c r="AC106" s="18">
        <v>1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1</v>
      </c>
      <c r="AK106" s="154" t="s">
        <v>226</v>
      </c>
      <c r="AL106" s="154">
        <v>0</v>
      </c>
      <c r="AM106" s="154">
        <v>2</v>
      </c>
      <c r="AN106" s="154">
        <v>2</v>
      </c>
      <c r="AO106" s="154">
        <v>1</v>
      </c>
      <c r="AP106" s="154">
        <v>1</v>
      </c>
      <c r="AQ106" s="154">
        <v>0</v>
      </c>
      <c r="AR106" s="154">
        <v>0</v>
      </c>
      <c r="AS106" s="151">
        <v>15</v>
      </c>
    </row>
    <row r="107" spans="12:45">
      <c r="L107" s="14">
        <v>103</v>
      </c>
      <c r="M107" s="38" t="s">
        <v>27</v>
      </c>
      <c r="N107" s="38" t="s">
        <v>64</v>
      </c>
      <c r="O107" s="38" t="s">
        <v>29</v>
      </c>
      <c r="P107" s="38" t="s">
        <v>27</v>
      </c>
      <c r="Q107" s="38" t="s">
        <v>28</v>
      </c>
      <c r="R107" s="38" t="s">
        <v>27</v>
      </c>
      <c r="S107" s="24" t="s">
        <v>21</v>
      </c>
      <c r="U107" s="37">
        <f t="shared" si="12"/>
        <v>8</v>
      </c>
      <c r="V107" s="37">
        <f t="shared" si="12"/>
        <v>4</v>
      </c>
      <c r="W107" s="37">
        <f t="shared" si="12"/>
        <v>23</v>
      </c>
      <c r="X107" s="37">
        <f t="shared" si="11"/>
        <v>8</v>
      </c>
      <c r="Y107" s="37">
        <f t="shared" si="11"/>
        <v>11</v>
      </c>
      <c r="Z107" s="37">
        <f t="shared" si="11"/>
        <v>8</v>
      </c>
      <c r="AA107" s="37">
        <f t="shared" si="11"/>
        <v>6</v>
      </c>
      <c r="AC107" s="18">
        <v>1</v>
      </c>
      <c r="AD107" s="18">
        <v>1</v>
      </c>
      <c r="AE107" s="18">
        <v>1</v>
      </c>
      <c r="AF107" s="18">
        <v>1</v>
      </c>
      <c r="AG107" s="18">
        <v>1</v>
      </c>
      <c r="AH107" s="18">
        <v>1</v>
      </c>
      <c r="AI107" s="4">
        <v>1</v>
      </c>
      <c r="AK107" s="154" t="s">
        <v>228</v>
      </c>
      <c r="AL107" s="154">
        <v>0</v>
      </c>
      <c r="AM107" s="154">
        <v>1</v>
      </c>
      <c r="AN107" s="154">
        <v>1</v>
      </c>
      <c r="AO107" s="154">
        <v>1</v>
      </c>
      <c r="AP107" s="154">
        <v>1</v>
      </c>
      <c r="AQ107" s="154">
        <v>0</v>
      </c>
      <c r="AR107" s="154">
        <v>0</v>
      </c>
      <c r="AS107" s="151">
        <v>16</v>
      </c>
    </row>
    <row r="108" spans="12:45">
      <c r="L108" s="15">
        <v>104</v>
      </c>
      <c r="M108" s="38" t="s">
        <v>26</v>
      </c>
      <c r="N108" s="38" t="s">
        <v>64</v>
      </c>
      <c r="O108" s="38" t="s">
        <v>21</v>
      </c>
      <c r="P108" s="38" t="s">
        <v>27</v>
      </c>
      <c r="Q108" s="38" t="s">
        <v>89</v>
      </c>
      <c r="R108" s="38" t="s">
        <v>29</v>
      </c>
      <c r="S108" s="24" t="s">
        <v>21</v>
      </c>
      <c r="U108" s="37">
        <f t="shared" si="12"/>
        <v>17</v>
      </c>
      <c r="V108" s="37">
        <f t="shared" si="12"/>
        <v>4</v>
      </c>
      <c r="W108" s="37">
        <f t="shared" si="12"/>
        <v>6</v>
      </c>
      <c r="X108" s="37">
        <f t="shared" si="11"/>
        <v>8</v>
      </c>
      <c r="Y108" s="37">
        <f t="shared" si="11"/>
        <v>16</v>
      </c>
      <c r="Z108" s="37">
        <f t="shared" si="11"/>
        <v>23</v>
      </c>
      <c r="AA108" s="37">
        <f t="shared" si="11"/>
        <v>6</v>
      </c>
      <c r="AC108" s="18">
        <v>1</v>
      </c>
      <c r="AD108" s="18">
        <v>1</v>
      </c>
      <c r="AE108" s="18">
        <v>1</v>
      </c>
      <c r="AF108" s="18">
        <v>1</v>
      </c>
      <c r="AG108" s="18">
        <v>1</v>
      </c>
      <c r="AH108" s="18">
        <v>1</v>
      </c>
      <c r="AI108" s="4">
        <v>1</v>
      </c>
      <c r="AK108" s="154" t="s">
        <v>230</v>
      </c>
      <c r="AL108" s="154">
        <v>0</v>
      </c>
      <c r="AM108" s="154">
        <v>2</v>
      </c>
      <c r="AN108" s="154">
        <v>2</v>
      </c>
      <c r="AO108" s="154">
        <v>1</v>
      </c>
      <c r="AP108" s="154">
        <v>2</v>
      </c>
      <c r="AQ108" s="154">
        <v>0</v>
      </c>
      <c r="AR108" s="154">
        <v>0</v>
      </c>
      <c r="AS108" s="151">
        <v>17</v>
      </c>
    </row>
    <row r="109" spans="12:45">
      <c r="L109" s="14">
        <v>105</v>
      </c>
      <c r="M109" s="38" t="s">
        <v>29</v>
      </c>
      <c r="N109" s="38" t="s">
        <v>29</v>
      </c>
      <c r="O109" s="38" t="s">
        <v>21</v>
      </c>
      <c r="P109" s="38" t="s">
        <v>17</v>
      </c>
      <c r="Q109" s="38" t="s">
        <v>28</v>
      </c>
      <c r="R109" s="38" t="s">
        <v>29</v>
      </c>
      <c r="S109" s="24" t="s">
        <v>29</v>
      </c>
      <c r="U109" s="37">
        <f t="shared" si="12"/>
        <v>23</v>
      </c>
      <c r="V109" s="37">
        <f t="shared" si="12"/>
        <v>23</v>
      </c>
      <c r="W109" s="37">
        <f t="shared" si="12"/>
        <v>6</v>
      </c>
      <c r="X109" s="37">
        <f t="shared" si="11"/>
        <v>10</v>
      </c>
      <c r="Y109" s="37">
        <f t="shared" si="11"/>
        <v>11</v>
      </c>
      <c r="Z109" s="37">
        <f t="shared" si="11"/>
        <v>23</v>
      </c>
      <c r="AA109" s="37">
        <f t="shared" si="11"/>
        <v>23</v>
      </c>
      <c r="AC109" s="18">
        <v>1</v>
      </c>
      <c r="AD109" s="18">
        <v>1</v>
      </c>
      <c r="AE109" s="18">
        <v>1</v>
      </c>
      <c r="AF109" s="18">
        <v>1</v>
      </c>
      <c r="AG109" s="18">
        <v>1</v>
      </c>
      <c r="AH109" s="18">
        <v>1</v>
      </c>
      <c r="AI109" s="4">
        <v>3</v>
      </c>
      <c r="AK109" s="154" t="s">
        <v>232</v>
      </c>
      <c r="AL109" s="154">
        <v>0</v>
      </c>
      <c r="AM109" s="154">
        <v>2</v>
      </c>
      <c r="AN109" s="154">
        <v>2</v>
      </c>
      <c r="AO109" s="154">
        <v>1</v>
      </c>
      <c r="AP109" s="154">
        <v>2</v>
      </c>
      <c r="AQ109" s="154">
        <v>0</v>
      </c>
      <c r="AR109" s="154">
        <v>0</v>
      </c>
      <c r="AS109" s="151">
        <v>18</v>
      </c>
    </row>
    <row r="110" spans="12:45">
      <c r="L110" s="15">
        <v>106</v>
      </c>
      <c r="M110" s="38" t="s">
        <v>29</v>
      </c>
      <c r="N110" s="38" t="s">
        <v>27</v>
      </c>
      <c r="O110" s="38" t="s">
        <v>28</v>
      </c>
      <c r="P110" s="38" t="s">
        <v>64</v>
      </c>
      <c r="Q110" s="38" t="s">
        <v>29</v>
      </c>
      <c r="R110" s="38" t="s">
        <v>24</v>
      </c>
      <c r="S110" s="24" t="s">
        <v>29</v>
      </c>
      <c r="U110" s="37">
        <f t="shared" si="12"/>
        <v>23</v>
      </c>
      <c r="V110" s="37">
        <f t="shared" si="12"/>
        <v>8</v>
      </c>
      <c r="W110" s="37">
        <f t="shared" si="12"/>
        <v>11</v>
      </c>
      <c r="X110" s="37">
        <f t="shared" si="11"/>
        <v>4</v>
      </c>
      <c r="Y110" s="37">
        <f t="shared" si="11"/>
        <v>23</v>
      </c>
      <c r="Z110" s="37">
        <f t="shared" si="11"/>
        <v>19</v>
      </c>
      <c r="AA110" s="37">
        <f t="shared" si="11"/>
        <v>23</v>
      </c>
      <c r="AC110" s="18">
        <v>1</v>
      </c>
      <c r="AD110" s="18">
        <v>1</v>
      </c>
      <c r="AE110" s="18">
        <v>1</v>
      </c>
      <c r="AF110" s="18">
        <v>1</v>
      </c>
      <c r="AG110" s="18">
        <v>1</v>
      </c>
      <c r="AH110" s="18">
        <v>1</v>
      </c>
      <c r="AI110" s="4">
        <v>1</v>
      </c>
      <c r="AK110" s="37" t="s">
        <v>234</v>
      </c>
      <c r="AL110" s="37">
        <v>0</v>
      </c>
      <c r="AM110" s="37">
        <v>2</v>
      </c>
      <c r="AN110" s="37">
        <v>1</v>
      </c>
      <c r="AO110" s="37">
        <v>1</v>
      </c>
      <c r="AP110" s="37">
        <v>2</v>
      </c>
      <c r="AQ110" s="37">
        <v>0</v>
      </c>
      <c r="AR110" s="37">
        <v>0</v>
      </c>
      <c r="AS110" s="4">
        <v>19</v>
      </c>
    </row>
    <row r="111" spans="12:45">
      <c r="L111" s="14">
        <v>107</v>
      </c>
      <c r="M111" s="38" t="s">
        <v>17</v>
      </c>
      <c r="N111" s="38" t="s">
        <v>27</v>
      </c>
      <c r="O111" s="38" t="s">
        <v>28</v>
      </c>
      <c r="P111" s="38" t="s">
        <v>28</v>
      </c>
      <c r="Q111" s="38" t="s">
        <v>18</v>
      </c>
      <c r="R111" s="38" t="s">
        <v>24</v>
      </c>
      <c r="S111" s="24" t="s">
        <v>29</v>
      </c>
      <c r="U111" s="37">
        <f t="shared" si="12"/>
        <v>10</v>
      </c>
      <c r="V111" s="37">
        <f t="shared" si="12"/>
        <v>8</v>
      </c>
      <c r="W111" s="37">
        <f t="shared" si="12"/>
        <v>11</v>
      </c>
      <c r="X111" s="37">
        <f t="shared" si="11"/>
        <v>11</v>
      </c>
      <c r="Y111" s="37">
        <f t="shared" si="11"/>
        <v>3</v>
      </c>
      <c r="Z111" s="37">
        <f t="shared" si="11"/>
        <v>19</v>
      </c>
      <c r="AA111" s="37">
        <f t="shared" si="11"/>
        <v>23</v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0</v>
      </c>
      <c r="AM111" s="37">
        <v>2</v>
      </c>
      <c r="AN111" s="37">
        <v>1</v>
      </c>
      <c r="AO111" s="37">
        <v>2</v>
      </c>
      <c r="AP111" s="37">
        <v>1</v>
      </c>
      <c r="AQ111" s="37">
        <v>0</v>
      </c>
      <c r="AR111" s="37">
        <v>0</v>
      </c>
      <c r="AS111" s="4">
        <v>20</v>
      </c>
    </row>
    <row r="112" spans="12:45">
      <c r="L112" s="15">
        <v>108</v>
      </c>
      <c r="M112" s="38" t="s">
        <v>27</v>
      </c>
      <c r="N112" s="38" t="s">
        <v>21</v>
      </c>
      <c r="O112" s="38" t="s">
        <v>28</v>
      </c>
      <c r="P112" s="38" t="s">
        <v>29</v>
      </c>
      <c r="Q112" s="38" t="s">
        <v>232</v>
      </c>
      <c r="R112" s="38" t="s">
        <v>29</v>
      </c>
      <c r="S112" s="24" t="s">
        <v>28</v>
      </c>
      <c r="U112" s="37">
        <f t="shared" si="12"/>
        <v>8</v>
      </c>
      <c r="V112" s="37">
        <f t="shared" si="12"/>
        <v>6</v>
      </c>
      <c r="W112" s="37">
        <f t="shared" si="12"/>
        <v>11</v>
      </c>
      <c r="X112" s="37">
        <f t="shared" si="11"/>
        <v>23</v>
      </c>
      <c r="Y112" s="37">
        <f t="shared" si="11"/>
        <v>0</v>
      </c>
      <c r="Z112" s="37">
        <f t="shared" si="11"/>
        <v>23</v>
      </c>
      <c r="AA112" s="37">
        <f t="shared" si="11"/>
        <v>11</v>
      </c>
      <c r="AC112" s="18">
        <v>1</v>
      </c>
      <c r="AD112" s="18">
        <v>1</v>
      </c>
      <c r="AE112" s="18">
        <v>1</v>
      </c>
      <c r="AF112" s="18">
        <v>1</v>
      </c>
      <c r="AG112" s="18">
        <v>1</v>
      </c>
      <c r="AH112" s="18">
        <v>1</v>
      </c>
      <c r="AI112" s="4">
        <v>3</v>
      </c>
      <c r="AK112" s="37" t="s">
        <v>238</v>
      </c>
      <c r="AL112" s="37">
        <v>0</v>
      </c>
      <c r="AM112" s="37">
        <v>2</v>
      </c>
      <c r="AN112" s="37">
        <v>2</v>
      </c>
      <c r="AO112" s="37">
        <v>1</v>
      </c>
      <c r="AP112" s="37">
        <v>1</v>
      </c>
      <c r="AQ112" s="37">
        <v>0</v>
      </c>
      <c r="AR112" s="37">
        <v>0</v>
      </c>
      <c r="AS112" s="4">
        <v>21</v>
      </c>
    </row>
    <row r="113" spans="12:46">
      <c r="L113" s="14">
        <v>109</v>
      </c>
      <c r="M113" s="38" t="s">
        <v>27</v>
      </c>
      <c r="N113" s="38" t="s">
        <v>24</v>
      </c>
      <c r="O113" s="38" t="s">
        <v>24</v>
      </c>
      <c r="P113" s="38" t="s">
        <v>64</v>
      </c>
      <c r="Q113" s="38" t="s">
        <v>89</v>
      </c>
      <c r="R113" s="38" t="s">
        <v>29</v>
      </c>
      <c r="S113" s="38" t="s">
        <v>28</v>
      </c>
      <c r="U113" s="37">
        <f t="shared" si="12"/>
        <v>8</v>
      </c>
      <c r="V113" s="37">
        <f t="shared" si="12"/>
        <v>19</v>
      </c>
      <c r="W113" s="37">
        <f t="shared" si="12"/>
        <v>19</v>
      </c>
      <c r="X113" s="37">
        <f t="shared" si="11"/>
        <v>4</v>
      </c>
      <c r="Y113" s="37">
        <f t="shared" si="11"/>
        <v>16</v>
      </c>
      <c r="Z113" s="37">
        <f t="shared" si="11"/>
        <v>23</v>
      </c>
      <c r="AA113" s="37">
        <f t="shared" si="11"/>
        <v>11</v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4">
        <v>1</v>
      </c>
      <c r="AK113" s="37" t="s">
        <v>240</v>
      </c>
      <c r="AL113" s="37">
        <v>0</v>
      </c>
      <c r="AM113" s="37">
        <v>1</v>
      </c>
      <c r="AN113" s="37">
        <v>1</v>
      </c>
      <c r="AO113" s="37">
        <v>1</v>
      </c>
      <c r="AP113" s="37">
        <v>1</v>
      </c>
      <c r="AQ113" s="37">
        <v>0</v>
      </c>
      <c r="AR113" s="37">
        <v>0</v>
      </c>
      <c r="AS113" s="4">
        <v>22</v>
      </c>
    </row>
    <row r="114" spans="12:46">
      <c r="L114" s="15">
        <v>110</v>
      </c>
      <c r="M114" s="38" t="s">
        <v>28</v>
      </c>
      <c r="N114" s="38" t="s">
        <v>64</v>
      </c>
      <c r="O114" s="38" t="s">
        <v>24</v>
      </c>
      <c r="P114" s="38" t="s">
        <v>64</v>
      </c>
      <c r="Q114" s="38" t="s">
        <v>28</v>
      </c>
      <c r="R114" s="38" t="s">
        <v>27</v>
      </c>
      <c r="S114" s="24" t="s">
        <v>28</v>
      </c>
      <c r="U114" s="37">
        <f t="shared" si="12"/>
        <v>11</v>
      </c>
      <c r="V114" s="37">
        <f t="shared" si="12"/>
        <v>4</v>
      </c>
      <c r="W114" s="37">
        <f t="shared" si="12"/>
        <v>19</v>
      </c>
      <c r="X114" s="37">
        <f t="shared" si="11"/>
        <v>4</v>
      </c>
      <c r="Y114" s="37">
        <f t="shared" si="11"/>
        <v>11</v>
      </c>
      <c r="Z114" s="37">
        <f t="shared" si="11"/>
        <v>8</v>
      </c>
      <c r="AA114" s="37">
        <f t="shared" si="11"/>
        <v>11</v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0</v>
      </c>
      <c r="AM114" s="37">
        <v>2</v>
      </c>
      <c r="AN114" s="37">
        <v>1</v>
      </c>
      <c r="AO114" s="37">
        <v>1</v>
      </c>
      <c r="AP114" s="37">
        <v>1</v>
      </c>
      <c r="AQ114" s="37">
        <v>0</v>
      </c>
      <c r="AR114" s="37">
        <v>0</v>
      </c>
      <c r="AS114" s="4">
        <v>23</v>
      </c>
    </row>
    <row r="115" spans="12:46">
      <c r="L115" s="14">
        <v>111</v>
      </c>
      <c r="M115" s="38" t="s">
        <v>89</v>
      </c>
      <c r="N115" s="38" t="s">
        <v>27</v>
      </c>
      <c r="O115" s="38" t="s">
        <v>240</v>
      </c>
      <c r="P115" s="38" t="s">
        <v>26</v>
      </c>
      <c r="Q115" s="38" t="s">
        <v>89</v>
      </c>
      <c r="R115" s="38" t="s">
        <v>24</v>
      </c>
      <c r="S115" s="24" t="s">
        <v>21</v>
      </c>
      <c r="U115" s="37">
        <f t="shared" si="12"/>
        <v>16</v>
      </c>
      <c r="V115" s="37">
        <f t="shared" si="12"/>
        <v>8</v>
      </c>
      <c r="W115" s="37">
        <f t="shared" si="12"/>
        <v>0</v>
      </c>
      <c r="X115" s="37">
        <f t="shared" si="11"/>
        <v>17</v>
      </c>
      <c r="Y115" s="37">
        <f t="shared" si="11"/>
        <v>16</v>
      </c>
      <c r="Z115" s="37">
        <f t="shared" si="11"/>
        <v>19</v>
      </c>
      <c r="AA115" s="37">
        <f t="shared" si="11"/>
        <v>6</v>
      </c>
      <c r="AC115" s="18">
        <v>1</v>
      </c>
      <c r="AD115" s="18">
        <v>1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4" t="s">
        <v>94</v>
      </c>
      <c r="AL115" s="154">
        <v>0</v>
      </c>
      <c r="AM115" s="154">
        <v>10</v>
      </c>
      <c r="AN115" s="154">
        <v>10</v>
      </c>
      <c r="AO115" s="154">
        <v>10</v>
      </c>
      <c r="AP115" s="154">
        <v>10</v>
      </c>
      <c r="AQ115" s="154">
        <v>0</v>
      </c>
      <c r="AR115" s="154">
        <v>0</v>
      </c>
      <c r="AS115" s="151">
        <v>24</v>
      </c>
    </row>
    <row r="116" spans="12:46">
      <c r="L116" s="15">
        <v>112</v>
      </c>
      <c r="M116" s="38" t="s">
        <v>29</v>
      </c>
      <c r="N116" s="38" t="s">
        <v>27</v>
      </c>
      <c r="O116" s="38" t="s">
        <v>28</v>
      </c>
      <c r="P116" s="38" t="s">
        <v>242</v>
      </c>
      <c r="Q116" s="38" t="s">
        <v>89</v>
      </c>
      <c r="R116" s="38" t="s">
        <v>27</v>
      </c>
      <c r="S116" s="24" t="s">
        <v>21</v>
      </c>
      <c r="U116" s="37">
        <f t="shared" si="12"/>
        <v>23</v>
      </c>
      <c r="V116" s="37">
        <f t="shared" si="12"/>
        <v>8</v>
      </c>
      <c r="W116" s="37">
        <f t="shared" si="12"/>
        <v>11</v>
      </c>
      <c r="X116" s="37">
        <f t="shared" si="11"/>
        <v>0</v>
      </c>
      <c r="Y116" s="37">
        <f t="shared" si="11"/>
        <v>16</v>
      </c>
      <c r="Z116" s="37">
        <f t="shared" si="11"/>
        <v>8</v>
      </c>
      <c r="AA116" s="37">
        <f t="shared" si="11"/>
        <v>6</v>
      </c>
      <c r="AC116" s="18">
        <v>1</v>
      </c>
      <c r="AD116" s="18">
        <v>1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4" t="s">
        <v>257</v>
      </c>
      <c r="AL116" s="154">
        <v>0</v>
      </c>
      <c r="AM116" s="154">
        <v>1</v>
      </c>
      <c r="AN116" s="154">
        <v>1</v>
      </c>
      <c r="AO116" s="154">
        <v>1</v>
      </c>
      <c r="AP116" s="154">
        <v>1</v>
      </c>
      <c r="AQ116" s="154">
        <v>0</v>
      </c>
      <c r="AR116" s="154">
        <v>0</v>
      </c>
      <c r="AS116" s="151">
        <v>25</v>
      </c>
    </row>
    <row r="117" spans="12:46">
      <c r="L117" s="14">
        <v>113</v>
      </c>
      <c r="M117" s="38" t="s">
        <v>29</v>
      </c>
      <c r="N117" s="38" t="s">
        <v>21</v>
      </c>
      <c r="O117" s="38" t="s">
        <v>24</v>
      </c>
      <c r="P117" s="38" t="s">
        <v>28</v>
      </c>
      <c r="Q117" s="38" t="s">
        <v>89</v>
      </c>
      <c r="R117" s="38" t="s">
        <v>27</v>
      </c>
      <c r="S117" s="24" t="s">
        <v>27</v>
      </c>
      <c r="U117" s="37">
        <f t="shared" si="12"/>
        <v>23</v>
      </c>
      <c r="V117" s="37">
        <f t="shared" si="12"/>
        <v>6</v>
      </c>
      <c r="W117" s="37">
        <f t="shared" si="12"/>
        <v>19</v>
      </c>
      <c r="X117" s="37">
        <f t="shared" si="11"/>
        <v>11</v>
      </c>
      <c r="Y117" s="37">
        <f t="shared" si="11"/>
        <v>16</v>
      </c>
      <c r="Z117" s="37">
        <f t="shared" si="11"/>
        <v>8</v>
      </c>
      <c r="AA117" s="37">
        <f t="shared" si="11"/>
        <v>8</v>
      </c>
      <c r="AC117" s="18">
        <v>1</v>
      </c>
      <c r="AD117" s="18">
        <v>1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>
      <c r="L118" s="15">
        <v>114</v>
      </c>
      <c r="M118" s="38" t="s">
        <v>27</v>
      </c>
      <c r="N118" s="38" t="s">
        <v>21</v>
      </c>
      <c r="O118" s="38" t="s">
        <v>26</v>
      </c>
      <c r="P118" s="38" t="s">
        <v>26</v>
      </c>
      <c r="Q118" s="38" t="s">
        <v>18</v>
      </c>
      <c r="R118" s="38" t="s">
        <v>24</v>
      </c>
      <c r="S118" s="24" t="s">
        <v>27</v>
      </c>
      <c r="U118" s="37">
        <f t="shared" si="12"/>
        <v>8</v>
      </c>
      <c r="V118" s="37">
        <f t="shared" si="12"/>
        <v>6</v>
      </c>
      <c r="W118" s="37">
        <f t="shared" si="12"/>
        <v>17</v>
      </c>
      <c r="X118" s="37">
        <f t="shared" si="11"/>
        <v>17</v>
      </c>
      <c r="Y118" s="37">
        <f t="shared" si="11"/>
        <v>3</v>
      </c>
      <c r="Z118" s="37">
        <f t="shared" si="11"/>
        <v>19</v>
      </c>
      <c r="AA118" s="37">
        <f t="shared" si="11"/>
        <v>8</v>
      </c>
      <c r="AC118" s="18">
        <v>1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1</v>
      </c>
      <c r="AK118" s="40" t="s">
        <v>262</v>
      </c>
    </row>
    <row r="119" spans="12:46">
      <c r="L119" s="14">
        <v>115</v>
      </c>
      <c r="M119" s="38" t="s">
        <v>29</v>
      </c>
      <c r="N119" s="38" t="s">
        <v>89</v>
      </c>
      <c r="O119" s="38" t="s">
        <v>18</v>
      </c>
      <c r="P119" s="38" t="s">
        <v>230</v>
      </c>
      <c r="Q119" s="38" t="s">
        <v>224</v>
      </c>
      <c r="R119" s="38" t="s">
        <v>24</v>
      </c>
      <c r="S119" s="24" t="s">
        <v>29</v>
      </c>
      <c r="U119" s="37">
        <f t="shared" si="12"/>
        <v>23</v>
      </c>
      <c r="V119" s="37">
        <f t="shared" si="12"/>
        <v>16</v>
      </c>
      <c r="W119" s="37">
        <f t="shared" si="12"/>
        <v>3</v>
      </c>
      <c r="X119" s="37">
        <f t="shared" si="11"/>
        <v>0</v>
      </c>
      <c r="Y119" s="37">
        <f t="shared" si="11"/>
        <v>0</v>
      </c>
      <c r="Z119" s="37">
        <f t="shared" si="11"/>
        <v>19</v>
      </c>
      <c r="AA119" s="37">
        <f t="shared" ref="AA119:AA124" si="13">VLOOKUP(S119, $A$4:$J$29, 9, 0)</f>
        <v>23</v>
      </c>
      <c r="AC119" s="18">
        <v>1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3</v>
      </c>
      <c r="AK119" s="16" t="s">
        <v>265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>
      <c r="L120" s="15">
        <v>116</v>
      </c>
      <c r="M120" s="38" t="s">
        <v>29</v>
      </c>
      <c r="N120" s="38" t="s">
        <v>29</v>
      </c>
      <c r="O120" s="38" t="s">
        <v>24</v>
      </c>
      <c r="P120" s="38" t="s">
        <v>64</v>
      </c>
      <c r="Q120" s="38" t="s">
        <v>21</v>
      </c>
      <c r="R120" s="38" t="s">
        <v>27</v>
      </c>
      <c r="S120" s="24" t="s">
        <v>29</v>
      </c>
      <c r="U120" s="37">
        <f t="shared" si="12"/>
        <v>23</v>
      </c>
      <c r="V120" s="37">
        <f t="shared" si="12"/>
        <v>23</v>
      </c>
      <c r="W120" s="37">
        <f t="shared" si="12"/>
        <v>19</v>
      </c>
      <c r="X120" s="37">
        <f t="shared" si="12"/>
        <v>4</v>
      </c>
      <c r="Y120" s="37">
        <f t="shared" si="12"/>
        <v>6</v>
      </c>
      <c r="Z120" s="37">
        <f t="shared" si="12"/>
        <v>8</v>
      </c>
      <c r="AA120" s="37">
        <f t="shared" si="13"/>
        <v>23</v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1</v>
      </c>
      <c r="AK120" s="10" t="s">
        <v>68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4">
        <v>0</v>
      </c>
    </row>
    <row r="121" spans="12:46">
      <c r="L121" s="14">
        <v>117</v>
      </c>
      <c r="M121" s="38" t="s">
        <v>64</v>
      </c>
      <c r="N121" s="38" t="s">
        <v>29</v>
      </c>
      <c r="O121" s="38" t="s">
        <v>24</v>
      </c>
      <c r="P121" s="38" t="s">
        <v>27</v>
      </c>
      <c r="Q121" s="38" t="s">
        <v>21</v>
      </c>
      <c r="R121" s="38" t="s">
        <v>27</v>
      </c>
      <c r="S121" s="24" t="s">
        <v>29</v>
      </c>
      <c r="U121" s="37">
        <f t="shared" ref="U121:Z124" si="14">VLOOKUP(M121, $A$4:$J$29, 9, 0)</f>
        <v>4</v>
      </c>
      <c r="V121" s="37">
        <f t="shared" si="14"/>
        <v>23</v>
      </c>
      <c r="W121" s="37">
        <f t="shared" si="14"/>
        <v>19</v>
      </c>
      <c r="X121" s="37">
        <f t="shared" si="14"/>
        <v>8</v>
      </c>
      <c r="Y121" s="37">
        <f t="shared" si="14"/>
        <v>6</v>
      </c>
      <c r="Z121" s="37">
        <f t="shared" si="14"/>
        <v>8</v>
      </c>
      <c r="AA121" s="37">
        <f t="shared" si="13"/>
        <v>23</v>
      </c>
      <c r="AC121" s="18">
        <v>1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5</v>
      </c>
      <c r="AM121" s="37">
        <v>5</v>
      </c>
      <c r="AN121" s="37">
        <v>5</v>
      </c>
      <c r="AO121" s="37">
        <v>5</v>
      </c>
      <c r="AP121" s="37">
        <v>5</v>
      </c>
      <c r="AQ121" s="37">
        <v>5</v>
      </c>
      <c r="AR121" s="37">
        <v>0</v>
      </c>
      <c r="AS121" s="4">
        <v>1</v>
      </c>
    </row>
    <row r="122" spans="12:46">
      <c r="L122" s="15">
        <v>118</v>
      </c>
      <c r="M122" s="38" t="s">
        <v>29</v>
      </c>
      <c r="N122" s="38" t="s">
        <v>238</v>
      </c>
      <c r="O122" s="38" t="s">
        <v>28</v>
      </c>
      <c r="P122" s="38" t="s">
        <v>27</v>
      </c>
      <c r="Q122" s="38" t="s">
        <v>89</v>
      </c>
      <c r="R122" s="38" t="s">
        <v>27</v>
      </c>
      <c r="S122" s="24" t="s">
        <v>26</v>
      </c>
      <c r="U122" s="37">
        <f t="shared" si="14"/>
        <v>23</v>
      </c>
      <c r="V122" s="37">
        <f t="shared" si="14"/>
        <v>0</v>
      </c>
      <c r="W122" s="37">
        <f t="shared" si="14"/>
        <v>11</v>
      </c>
      <c r="X122" s="37">
        <f t="shared" si="14"/>
        <v>8</v>
      </c>
      <c r="Y122" s="37">
        <f t="shared" si="14"/>
        <v>16</v>
      </c>
      <c r="Z122" s="37">
        <f t="shared" si="14"/>
        <v>8</v>
      </c>
      <c r="AA122" s="37">
        <f t="shared" si="13"/>
        <v>17</v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3</v>
      </c>
      <c r="AK122" s="154" t="s">
        <v>20</v>
      </c>
      <c r="AL122" s="154">
        <v>40</v>
      </c>
      <c r="AM122" s="154">
        <v>0</v>
      </c>
      <c r="AN122" s="154">
        <v>1</v>
      </c>
      <c r="AO122" s="154">
        <v>1</v>
      </c>
      <c r="AP122" s="154">
        <v>70</v>
      </c>
      <c r="AQ122" s="154">
        <v>1</v>
      </c>
      <c r="AR122" s="154">
        <v>0</v>
      </c>
      <c r="AS122" s="151">
        <v>2</v>
      </c>
    </row>
    <row r="123" spans="12:46">
      <c r="L123" s="14">
        <v>119</v>
      </c>
      <c r="M123" s="38" t="s">
        <v>26</v>
      </c>
      <c r="N123" s="38" t="s">
        <v>27</v>
      </c>
      <c r="O123" s="38" t="s">
        <v>26</v>
      </c>
      <c r="P123" s="38" t="s">
        <v>64</v>
      </c>
      <c r="Q123" s="38" t="s">
        <v>21</v>
      </c>
      <c r="R123" s="38" t="s">
        <v>24</v>
      </c>
      <c r="S123" s="24" t="s">
        <v>26</v>
      </c>
      <c r="U123" s="37">
        <f t="shared" si="14"/>
        <v>17</v>
      </c>
      <c r="V123" s="37">
        <f t="shared" si="14"/>
        <v>8</v>
      </c>
      <c r="W123" s="37">
        <f t="shared" si="14"/>
        <v>17</v>
      </c>
      <c r="X123" s="37">
        <f t="shared" si="14"/>
        <v>4</v>
      </c>
      <c r="Y123" s="37">
        <f t="shared" si="14"/>
        <v>6</v>
      </c>
      <c r="Z123" s="37">
        <f t="shared" si="14"/>
        <v>19</v>
      </c>
      <c r="AA123" s="37">
        <f t="shared" si="13"/>
        <v>17</v>
      </c>
      <c r="AC123" s="18">
        <v>1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1</v>
      </c>
      <c r="AK123" s="154" t="s">
        <v>21</v>
      </c>
      <c r="AL123" s="154">
        <v>1</v>
      </c>
      <c r="AM123" s="154">
        <v>70</v>
      </c>
      <c r="AN123" s="154">
        <v>1</v>
      </c>
      <c r="AO123" s="154">
        <v>70</v>
      </c>
      <c r="AP123" s="154">
        <v>1</v>
      </c>
      <c r="AQ123" s="154">
        <v>1</v>
      </c>
      <c r="AR123" s="154">
        <v>0</v>
      </c>
      <c r="AS123" s="151">
        <v>3</v>
      </c>
    </row>
    <row r="124" spans="12:46">
      <c r="L124" s="15">
        <v>120</v>
      </c>
      <c r="M124" s="38" t="s">
        <v>26</v>
      </c>
      <c r="N124" s="38" t="s">
        <v>29</v>
      </c>
      <c r="O124" s="38" t="s">
        <v>24</v>
      </c>
      <c r="P124" s="38" t="s">
        <v>64</v>
      </c>
      <c r="Q124" s="38" t="s">
        <v>89</v>
      </c>
      <c r="R124" s="38" t="s">
        <v>27</v>
      </c>
      <c r="S124" s="24" t="s">
        <v>26</v>
      </c>
      <c r="U124" s="37">
        <f t="shared" si="14"/>
        <v>17</v>
      </c>
      <c r="V124" s="37">
        <f t="shared" si="14"/>
        <v>23</v>
      </c>
      <c r="W124" s="37">
        <f t="shared" si="14"/>
        <v>19</v>
      </c>
      <c r="X124" s="37">
        <f t="shared" si="14"/>
        <v>4</v>
      </c>
      <c r="Y124" s="37">
        <f t="shared" si="14"/>
        <v>16</v>
      </c>
      <c r="Z124" s="37">
        <f t="shared" si="14"/>
        <v>8</v>
      </c>
      <c r="AA124" s="37">
        <f t="shared" si="13"/>
        <v>17</v>
      </c>
      <c r="AC124" s="18">
        <v>1</v>
      </c>
      <c r="AD124" s="18">
        <v>1</v>
      </c>
      <c r="AE124" s="18">
        <v>1</v>
      </c>
      <c r="AF124" s="18">
        <v>1</v>
      </c>
      <c r="AG124" s="18">
        <v>1</v>
      </c>
      <c r="AH124" s="18">
        <v>1</v>
      </c>
      <c r="AI124" s="4">
        <v>1</v>
      </c>
      <c r="AK124" s="154" t="s">
        <v>17</v>
      </c>
      <c r="AL124" s="154">
        <v>0</v>
      </c>
      <c r="AM124" s="154">
        <v>1</v>
      </c>
      <c r="AN124" s="154">
        <v>5</v>
      </c>
      <c r="AO124" s="154">
        <v>0</v>
      </c>
      <c r="AP124" s="154">
        <v>1</v>
      </c>
      <c r="AQ124" s="154">
        <v>70</v>
      </c>
      <c r="AR124" s="154">
        <v>1</v>
      </c>
      <c r="AS124" s="151">
        <v>4</v>
      </c>
    </row>
    <row r="125" spans="12:46">
      <c r="AC125" s="31"/>
      <c r="AD125" s="31"/>
      <c r="AE125" s="31"/>
      <c r="AF125" s="31"/>
      <c r="AG125" s="31"/>
      <c r="AH125" s="31"/>
      <c r="AI125" s="31"/>
      <c r="AK125" s="154" t="s">
        <v>18</v>
      </c>
      <c r="AL125" s="154">
        <v>1</v>
      </c>
      <c r="AM125" s="154">
        <v>70</v>
      </c>
      <c r="AN125" s="154">
        <v>1</v>
      </c>
      <c r="AO125" s="154">
        <v>1</v>
      </c>
      <c r="AP125" s="154">
        <v>1</v>
      </c>
      <c r="AQ125" s="154">
        <v>70</v>
      </c>
      <c r="AR125" s="154">
        <v>1</v>
      </c>
      <c r="AS125" s="151">
        <v>5</v>
      </c>
    </row>
    <row r="126" spans="12:46">
      <c r="AK126" s="154" t="s">
        <v>64</v>
      </c>
      <c r="AL126" s="154">
        <v>5</v>
      </c>
      <c r="AM126" s="154">
        <v>1</v>
      </c>
      <c r="AN126" s="154">
        <v>70</v>
      </c>
      <c r="AO126" s="154">
        <v>1</v>
      </c>
      <c r="AP126" s="154">
        <v>70</v>
      </c>
      <c r="AQ126" s="154">
        <v>1</v>
      </c>
      <c r="AR126" s="154">
        <v>1</v>
      </c>
      <c r="AS126" s="151">
        <v>6</v>
      </c>
    </row>
    <row r="127" spans="12:46">
      <c r="AK127" s="154" t="s">
        <v>89</v>
      </c>
      <c r="AL127" s="154">
        <v>1</v>
      </c>
      <c r="AM127" s="154">
        <v>70</v>
      </c>
      <c r="AN127" s="154">
        <v>1</v>
      </c>
      <c r="AO127" s="154">
        <v>1</v>
      </c>
      <c r="AP127" s="154">
        <v>1</v>
      </c>
      <c r="AQ127" s="154">
        <v>70</v>
      </c>
      <c r="AR127" s="154">
        <v>1</v>
      </c>
      <c r="AS127" s="151">
        <v>7</v>
      </c>
    </row>
    <row r="128" spans="12:46">
      <c r="AK128" s="37" t="s">
        <v>24</v>
      </c>
      <c r="AL128" s="37">
        <v>0</v>
      </c>
      <c r="AM128" s="37">
        <v>1</v>
      </c>
      <c r="AN128" s="37">
        <v>1</v>
      </c>
      <c r="AO128" s="37">
        <v>1</v>
      </c>
      <c r="AP128" s="37">
        <v>70</v>
      </c>
      <c r="AQ128" s="37">
        <v>1</v>
      </c>
      <c r="AR128" s="37">
        <v>1</v>
      </c>
      <c r="AS128" s="4">
        <v>8</v>
      </c>
      <c r="AT128" s="9"/>
    </row>
    <row r="129" spans="37:46">
      <c r="AK129" s="37" t="s">
        <v>26</v>
      </c>
      <c r="AL129" s="37">
        <v>1</v>
      </c>
      <c r="AM129" s="37">
        <v>1</v>
      </c>
      <c r="AN129" s="37">
        <v>1</v>
      </c>
      <c r="AO129" s="37">
        <v>70</v>
      </c>
      <c r="AP129" s="37">
        <v>1</v>
      </c>
      <c r="AQ129" s="37">
        <v>70</v>
      </c>
      <c r="AR129" s="37">
        <v>1</v>
      </c>
      <c r="AS129" s="4">
        <v>9</v>
      </c>
      <c r="AT129" s="9"/>
    </row>
    <row r="130" spans="37:46">
      <c r="AK130" s="37" t="s">
        <v>27</v>
      </c>
      <c r="AL130" s="37">
        <v>0</v>
      </c>
      <c r="AM130" s="37">
        <v>1</v>
      </c>
      <c r="AN130" s="37">
        <v>5</v>
      </c>
      <c r="AO130" s="37">
        <v>1</v>
      </c>
      <c r="AP130" s="37">
        <v>1</v>
      </c>
      <c r="AQ130" s="37">
        <v>1</v>
      </c>
      <c r="AR130" s="37">
        <v>3</v>
      </c>
      <c r="AS130" s="4">
        <v>10</v>
      </c>
      <c r="AT130" s="9"/>
    </row>
    <row r="131" spans="37:46">
      <c r="AK131" s="37" t="s">
        <v>28</v>
      </c>
      <c r="AL131" s="37">
        <v>1</v>
      </c>
      <c r="AM131" s="37">
        <v>70</v>
      </c>
      <c r="AN131" s="37">
        <v>1</v>
      </c>
      <c r="AO131" s="37">
        <v>1</v>
      </c>
      <c r="AP131" s="37">
        <v>1</v>
      </c>
      <c r="AQ131" s="37">
        <v>1</v>
      </c>
      <c r="AR131" s="37">
        <v>1</v>
      </c>
      <c r="AS131" s="4">
        <v>11</v>
      </c>
      <c r="AT131" s="9"/>
    </row>
    <row r="132" spans="37:46">
      <c r="AK132" s="37" t="s">
        <v>29</v>
      </c>
      <c r="AL132" s="37">
        <v>70</v>
      </c>
      <c r="AM132" s="37">
        <v>1</v>
      </c>
      <c r="AN132" s="37">
        <v>1</v>
      </c>
      <c r="AO132" s="37">
        <v>1</v>
      </c>
      <c r="AP132" s="37">
        <v>1</v>
      </c>
      <c r="AQ132" s="37">
        <v>1</v>
      </c>
      <c r="AR132" s="37">
        <v>1</v>
      </c>
      <c r="AS132" s="4">
        <v>12</v>
      </c>
      <c r="AT132" s="9"/>
    </row>
    <row r="133" spans="37:46">
      <c r="AK133" s="154" t="s">
        <v>222</v>
      </c>
      <c r="AL133" s="154">
        <v>0</v>
      </c>
      <c r="AM133" s="154">
        <v>1</v>
      </c>
      <c r="AN133" s="154">
        <v>0</v>
      </c>
      <c r="AO133" s="154">
        <v>1</v>
      </c>
      <c r="AP133" s="154">
        <v>1</v>
      </c>
      <c r="AQ133" s="154">
        <v>0</v>
      </c>
      <c r="AR133" s="154">
        <v>0</v>
      </c>
      <c r="AS133" s="151">
        <v>13</v>
      </c>
      <c r="AT133" s="9"/>
    </row>
    <row r="134" spans="37:46">
      <c r="AK134" s="154" t="s">
        <v>224</v>
      </c>
      <c r="AL134" s="154">
        <v>0</v>
      </c>
      <c r="AM134" s="154">
        <v>2</v>
      </c>
      <c r="AN134" s="154">
        <v>1</v>
      </c>
      <c r="AO134" s="154">
        <v>2</v>
      </c>
      <c r="AP134" s="154">
        <v>1</v>
      </c>
      <c r="AQ134" s="154">
        <v>0</v>
      </c>
      <c r="AR134" s="154">
        <v>0</v>
      </c>
      <c r="AS134" s="151">
        <v>14</v>
      </c>
      <c r="AT134" s="9"/>
    </row>
    <row r="135" spans="37:46">
      <c r="AK135" s="154" t="s">
        <v>226</v>
      </c>
      <c r="AL135" s="154">
        <v>0</v>
      </c>
      <c r="AM135" s="154">
        <v>1</v>
      </c>
      <c r="AN135" s="154">
        <v>2</v>
      </c>
      <c r="AO135" s="154">
        <v>1</v>
      </c>
      <c r="AP135" s="154">
        <v>1</v>
      </c>
      <c r="AQ135" s="154">
        <v>0</v>
      </c>
      <c r="AR135" s="154">
        <v>0</v>
      </c>
      <c r="AS135" s="151">
        <v>15</v>
      </c>
      <c r="AT135" s="9"/>
    </row>
    <row r="136" spans="37:46">
      <c r="AK136" s="154" t="s">
        <v>228</v>
      </c>
      <c r="AL136" s="154">
        <v>0</v>
      </c>
      <c r="AM136" s="154">
        <v>2</v>
      </c>
      <c r="AN136" s="154">
        <v>1</v>
      </c>
      <c r="AO136" s="154">
        <v>1</v>
      </c>
      <c r="AP136" s="154">
        <v>1</v>
      </c>
      <c r="AQ136" s="154">
        <v>0</v>
      </c>
      <c r="AR136" s="154">
        <v>0</v>
      </c>
      <c r="AS136" s="151">
        <v>16</v>
      </c>
      <c r="AT136" s="9"/>
    </row>
    <row r="137" spans="37:46">
      <c r="AK137" s="154" t="s">
        <v>230</v>
      </c>
      <c r="AL137" s="154">
        <v>0</v>
      </c>
      <c r="AM137" s="154">
        <v>0</v>
      </c>
      <c r="AN137" s="154">
        <v>2</v>
      </c>
      <c r="AO137" s="154">
        <v>1</v>
      </c>
      <c r="AP137" s="154">
        <v>2</v>
      </c>
      <c r="AQ137" s="154">
        <v>0</v>
      </c>
      <c r="AR137" s="154">
        <v>0</v>
      </c>
      <c r="AS137" s="151">
        <v>17</v>
      </c>
      <c r="AT137" s="9"/>
    </row>
    <row r="138" spans="37:46">
      <c r="AK138" s="154" t="s">
        <v>232</v>
      </c>
      <c r="AL138" s="154">
        <v>0</v>
      </c>
      <c r="AM138" s="154">
        <v>2</v>
      </c>
      <c r="AN138" s="154">
        <v>1</v>
      </c>
      <c r="AO138" s="154">
        <v>1</v>
      </c>
      <c r="AP138" s="154">
        <v>2</v>
      </c>
      <c r="AQ138" s="154">
        <v>0</v>
      </c>
      <c r="AR138" s="154">
        <v>0</v>
      </c>
      <c r="AS138" s="151">
        <v>18</v>
      </c>
      <c r="AT138" s="9"/>
    </row>
    <row r="139" spans="37:46">
      <c r="AK139" s="37" t="s">
        <v>234</v>
      </c>
      <c r="AL139" s="37">
        <v>0</v>
      </c>
      <c r="AM139" s="37">
        <v>2</v>
      </c>
      <c r="AN139" s="37">
        <v>1</v>
      </c>
      <c r="AO139" s="37">
        <v>1</v>
      </c>
      <c r="AP139" s="37">
        <v>2</v>
      </c>
      <c r="AQ139" s="37">
        <v>0</v>
      </c>
      <c r="AR139" s="37">
        <v>0</v>
      </c>
      <c r="AS139" s="4">
        <v>19</v>
      </c>
      <c r="AT139" s="9"/>
    </row>
    <row r="140" spans="37:46">
      <c r="AK140" s="37" t="s">
        <v>236</v>
      </c>
      <c r="AL140" s="37">
        <v>0</v>
      </c>
      <c r="AM140" s="37">
        <v>2</v>
      </c>
      <c r="AN140" s="37">
        <v>1</v>
      </c>
      <c r="AO140" s="37">
        <v>2</v>
      </c>
      <c r="AP140" s="37">
        <v>1</v>
      </c>
      <c r="AQ140" s="37">
        <v>0</v>
      </c>
      <c r="AR140" s="37">
        <v>0</v>
      </c>
      <c r="AS140" s="4">
        <v>20</v>
      </c>
      <c r="AT140" s="9"/>
    </row>
    <row r="141" spans="37:46">
      <c r="AK141" s="37" t="s">
        <v>238</v>
      </c>
      <c r="AL141" s="37">
        <v>0</v>
      </c>
      <c r="AM141" s="37">
        <v>0</v>
      </c>
      <c r="AN141" s="37">
        <v>2</v>
      </c>
      <c r="AO141" s="37">
        <v>1</v>
      </c>
      <c r="AP141" s="37">
        <v>1</v>
      </c>
      <c r="AQ141" s="37">
        <v>0</v>
      </c>
      <c r="AR141" s="37">
        <v>0</v>
      </c>
      <c r="AS141" s="4">
        <v>21</v>
      </c>
      <c r="AT141" s="9"/>
    </row>
    <row r="142" spans="37:46">
      <c r="AK142" s="37" t="s">
        <v>240</v>
      </c>
      <c r="AL142" s="37">
        <v>0</v>
      </c>
      <c r="AM142" s="37">
        <v>4</v>
      </c>
      <c r="AN142" s="37">
        <v>1</v>
      </c>
      <c r="AO142" s="37">
        <v>1</v>
      </c>
      <c r="AP142" s="37">
        <v>1</v>
      </c>
      <c r="AQ142" s="37">
        <v>0</v>
      </c>
      <c r="AR142" s="37">
        <v>0</v>
      </c>
      <c r="AS142" s="4">
        <v>22</v>
      </c>
      <c r="AT142" s="9"/>
    </row>
    <row r="143" spans="37:46">
      <c r="AK143" s="37" t="s">
        <v>242</v>
      </c>
      <c r="AL143" s="37">
        <v>0</v>
      </c>
      <c r="AM143" s="37">
        <v>1</v>
      </c>
      <c r="AN143" s="37">
        <v>1</v>
      </c>
      <c r="AO143" s="37">
        <v>1</v>
      </c>
      <c r="AP143" s="37">
        <v>1</v>
      </c>
      <c r="AQ143" s="37">
        <v>0</v>
      </c>
      <c r="AR143" s="37">
        <v>0</v>
      </c>
      <c r="AS143" s="4">
        <v>23</v>
      </c>
      <c r="AT143" s="9"/>
    </row>
    <row r="144" spans="37:46">
      <c r="AK144" s="154" t="s">
        <v>94</v>
      </c>
      <c r="AL144" s="154">
        <v>0</v>
      </c>
      <c r="AM144" s="154">
        <v>10</v>
      </c>
      <c r="AN144" s="154">
        <v>10</v>
      </c>
      <c r="AO144" s="154">
        <v>10</v>
      </c>
      <c r="AP144" s="154">
        <v>10</v>
      </c>
      <c r="AQ144" s="154">
        <v>0</v>
      </c>
      <c r="AR144" s="154">
        <v>0</v>
      </c>
      <c r="AS144" s="151">
        <v>24</v>
      </c>
      <c r="AT144" s="9"/>
    </row>
    <row r="145" spans="37:46">
      <c r="AK145" s="154" t="s">
        <v>257</v>
      </c>
      <c r="AL145" s="154">
        <v>0</v>
      </c>
      <c r="AM145" s="154">
        <v>1</v>
      </c>
      <c r="AN145" s="154">
        <v>1</v>
      </c>
      <c r="AO145" s="154">
        <v>1</v>
      </c>
      <c r="AP145" s="154">
        <v>1</v>
      </c>
      <c r="AQ145" s="154">
        <v>0</v>
      </c>
      <c r="AR145" s="154">
        <v>0</v>
      </c>
      <c r="AS145" s="151">
        <v>25</v>
      </c>
      <c r="AT145" s="9"/>
    </row>
    <row r="146" spans="37:46">
      <c r="AT146" s="9"/>
    </row>
    <row r="147" spans="37:46">
      <c r="AO147" s="9"/>
      <c r="AP147" s="9"/>
      <c r="AQ147" s="9"/>
      <c r="AR147" s="9"/>
      <c r="AS147" s="9"/>
      <c r="AT147" s="9"/>
    </row>
    <row r="148" spans="37:46">
      <c r="AO148" s="9"/>
      <c r="AP148" s="9"/>
      <c r="AQ148" s="9"/>
      <c r="AR148" s="9"/>
      <c r="AS148" s="9"/>
      <c r="AT148" s="9"/>
    </row>
    <row r="149" spans="37:46">
      <c r="AO149" s="9"/>
      <c r="AP149" s="9"/>
      <c r="AQ149" s="9"/>
      <c r="AR149" s="9"/>
      <c r="AS149" s="9"/>
      <c r="AT149" s="9"/>
    </row>
    <row r="150" spans="37:46">
      <c r="AO150" s="9"/>
      <c r="AP150" s="9"/>
      <c r="AQ150" s="9"/>
      <c r="AR150" s="9"/>
      <c r="AS150" s="9"/>
      <c r="AT150" s="9"/>
    </row>
    <row r="151" spans="37:46">
      <c r="AO151" s="9"/>
      <c r="AP151" s="9"/>
      <c r="AQ151" s="9"/>
      <c r="AR151" s="9"/>
      <c r="AS151" s="9"/>
      <c r="AT151" s="9"/>
    </row>
    <row r="152" spans="37:46">
      <c r="AO152" s="9"/>
      <c r="AP152" s="9"/>
      <c r="AQ152" s="9"/>
      <c r="AR152" s="9"/>
      <c r="AS152" s="9"/>
      <c r="AT152" s="9"/>
    </row>
    <row r="153" spans="37:46">
      <c r="AO153" s="9"/>
      <c r="AP153" s="9"/>
      <c r="AQ153" s="9"/>
      <c r="AR153" s="9"/>
      <c r="AS153" s="9"/>
      <c r="AT153" s="9"/>
    </row>
    <row r="154" spans="37:46">
      <c r="AO154" s="9"/>
      <c r="AP154" s="9"/>
      <c r="AQ154" s="9"/>
      <c r="AR154" s="9"/>
      <c r="AS154" s="9"/>
      <c r="AT154" s="9"/>
    </row>
    <row r="155" spans="37:46">
      <c r="AO155" s="9"/>
      <c r="AP155" s="9"/>
      <c r="AQ155" s="9"/>
      <c r="AR155" s="9"/>
      <c r="AS155" s="9"/>
      <c r="AT155" s="9"/>
    </row>
    <row r="156" spans="37:46">
      <c r="AO156" s="9"/>
      <c r="AP156" s="9"/>
      <c r="AQ156" s="9"/>
      <c r="AR156" s="9"/>
      <c r="AS156" s="9"/>
      <c r="AT156" s="9"/>
    </row>
    <row r="157" spans="37:46">
      <c r="AO157" s="9"/>
      <c r="AP157" s="9"/>
      <c r="AQ157" s="9"/>
      <c r="AR157" s="9"/>
      <c r="AS157" s="9"/>
      <c r="AT157" s="9"/>
    </row>
    <row r="158" spans="37:46">
      <c r="AO158" s="9"/>
      <c r="AP158" s="9"/>
      <c r="AQ158" s="9"/>
      <c r="AR158" s="9"/>
      <c r="AS158" s="9"/>
      <c r="AT158" s="9"/>
    </row>
    <row r="159" spans="37:46">
      <c r="AO159" s="9"/>
      <c r="AP159" s="9"/>
      <c r="AQ159" s="9"/>
      <c r="AR159" s="9"/>
      <c r="AS159" s="9"/>
      <c r="AT159" s="9"/>
    </row>
    <row r="160" spans="37:46">
      <c r="AO160" s="9"/>
      <c r="AP160" s="9"/>
      <c r="AQ160" s="9"/>
      <c r="AR160" s="9"/>
      <c r="AS160" s="9"/>
      <c r="AT160" s="9"/>
    </row>
    <row r="161" spans="41:46">
      <c r="AO161" s="9"/>
      <c r="AP161" s="9"/>
      <c r="AQ161" s="9"/>
      <c r="AR161" s="9"/>
      <c r="AS161" s="9"/>
      <c r="AT161" s="9"/>
    </row>
    <row r="162" spans="41:46">
      <c r="AO162" s="9"/>
      <c r="AP162" s="9"/>
      <c r="AQ162" s="9"/>
      <c r="AR162" s="9"/>
      <c r="AS162" s="9"/>
      <c r="AT162" s="9"/>
    </row>
    <row r="163" spans="41:46">
      <c r="AO163" s="9"/>
      <c r="AP163" s="9"/>
      <c r="AQ163" s="9"/>
      <c r="AR163" s="9"/>
      <c r="AS163" s="9"/>
      <c r="AT163" s="9"/>
    </row>
    <row r="164" spans="41:46">
      <c r="AO164" s="9"/>
      <c r="AP164" s="9"/>
      <c r="AQ164" s="9"/>
      <c r="AR164" s="9"/>
      <c r="AS164" s="9"/>
      <c r="AT164" s="9"/>
    </row>
    <row r="165" spans="41:46">
      <c r="AO165" s="9"/>
      <c r="AP165" s="9"/>
      <c r="AQ165" s="9"/>
      <c r="AR165" s="9"/>
      <c r="AS165" s="9"/>
      <c r="AT165" s="9"/>
    </row>
    <row r="166" spans="41:46">
      <c r="AO166" s="9"/>
      <c r="AP166" s="9"/>
      <c r="AQ166" s="9"/>
      <c r="AR166" s="9"/>
      <c r="AS166" s="9"/>
      <c r="AT166" s="9"/>
    </row>
    <row r="167" spans="41:46">
      <c r="AO167" s="9"/>
      <c r="AP167" s="9"/>
      <c r="AQ167" s="9"/>
      <c r="AR167" s="9"/>
      <c r="AS167" s="9"/>
      <c r="AT167" s="9"/>
    </row>
    <row r="168" spans="41:46">
      <c r="AO168" s="9"/>
      <c r="AP168" s="9"/>
      <c r="AQ168" s="9"/>
      <c r="AR168" s="9"/>
      <c r="AS168" s="9"/>
      <c r="AT168" s="9"/>
    </row>
    <row r="169" spans="41:46">
      <c r="AO169" s="9"/>
      <c r="AP169" s="9"/>
      <c r="AQ169" s="9"/>
      <c r="AR169" s="9"/>
      <c r="AS169" s="9"/>
      <c r="AT169" s="9"/>
    </row>
    <row r="170" spans="41:46">
      <c r="AO170" s="9"/>
      <c r="AP170" s="9"/>
      <c r="AQ170" s="9"/>
      <c r="AR170" s="9"/>
      <c r="AS170" s="9"/>
      <c r="AT170" s="9"/>
    </row>
    <row r="171" spans="41:46">
      <c r="AO171" s="9"/>
      <c r="AP171" s="9"/>
      <c r="AQ171" s="9"/>
      <c r="AR171" s="9"/>
      <c r="AS171" s="9"/>
      <c r="AT171" s="9"/>
    </row>
    <row r="172" spans="41:46">
      <c r="AO172" s="9"/>
      <c r="AP172" s="9"/>
      <c r="AQ172" s="9"/>
      <c r="AR172" s="9"/>
      <c r="AS172" s="9"/>
      <c r="AT172" s="9"/>
    </row>
    <row r="173" spans="41:46">
      <c r="AO173" s="9"/>
      <c r="AP173" s="9"/>
      <c r="AQ173" s="9"/>
      <c r="AR173" s="9"/>
      <c r="AS173" s="9"/>
      <c r="AT173" s="9"/>
    </row>
    <row r="174" spans="41:46">
      <c r="AO174" s="9"/>
      <c r="AP174" s="9"/>
      <c r="AQ174" s="9"/>
      <c r="AR174" s="9"/>
      <c r="AS174" s="9"/>
      <c r="AT174" s="9"/>
    </row>
    <row r="175" spans="41:46">
      <c r="AO175" s="9"/>
      <c r="AP175" s="9"/>
      <c r="AQ175" s="9"/>
      <c r="AR175" s="9"/>
      <c r="AS175" s="9"/>
      <c r="AT175" s="9"/>
    </row>
    <row r="176" spans="41:46">
      <c r="AO176" s="9"/>
      <c r="AP176" s="9"/>
      <c r="AQ176" s="9"/>
      <c r="AR176" s="9"/>
      <c r="AS176" s="9"/>
      <c r="AT176" s="9"/>
    </row>
    <row r="177" spans="41:46">
      <c r="AO177" s="9"/>
      <c r="AP177" s="9"/>
      <c r="AQ177" s="9"/>
      <c r="AR177" s="9"/>
      <c r="AS177" s="9"/>
      <c r="AT177" s="9"/>
    </row>
    <row r="178" spans="41:46">
      <c r="AO178" s="9"/>
      <c r="AP178" s="9"/>
      <c r="AQ178" s="9"/>
      <c r="AR178" s="9"/>
      <c r="AS178" s="9"/>
      <c r="AT178" s="9"/>
    </row>
    <row r="179" spans="41:46">
      <c r="AO179" s="9"/>
      <c r="AP179" s="9"/>
      <c r="AQ179" s="9"/>
      <c r="AR179" s="9"/>
      <c r="AS179" s="9"/>
      <c r="AT179" s="9"/>
    </row>
    <row r="180" spans="41:46">
      <c r="AO180" s="9"/>
      <c r="AP180" s="9"/>
      <c r="AQ180" s="9"/>
      <c r="AR180" s="9"/>
      <c r="AS180" s="9"/>
      <c r="AT180" s="9"/>
    </row>
    <row r="181" spans="41:46">
      <c r="AO181" s="9"/>
      <c r="AP181" s="9"/>
      <c r="AQ181" s="9"/>
      <c r="AR181" s="9"/>
      <c r="AS181" s="9"/>
      <c r="AT181" s="9"/>
    </row>
    <row r="182" spans="41:46">
      <c r="AO182" s="9"/>
      <c r="AP182" s="9"/>
      <c r="AQ182" s="9"/>
      <c r="AR182" s="9"/>
      <c r="AS182" s="9"/>
      <c r="AT182" s="9"/>
    </row>
    <row r="183" spans="41:46">
      <c r="AO183" s="9"/>
      <c r="AP183" s="9"/>
      <c r="AQ183" s="9"/>
      <c r="AR183" s="9"/>
      <c r="AS183" s="9"/>
      <c r="AT183" s="9"/>
    </row>
    <row r="184" spans="41:46">
      <c r="AO184" s="9"/>
      <c r="AP184" s="9"/>
      <c r="AQ184" s="9"/>
      <c r="AR184" s="9"/>
      <c r="AS184" s="9"/>
      <c r="AT184" s="9"/>
    </row>
    <row r="185" spans="41:46">
      <c r="AO185" s="9"/>
      <c r="AP185" s="9"/>
      <c r="AQ185" s="9"/>
      <c r="AR185" s="9"/>
      <c r="AS185" s="9"/>
      <c r="AT185" s="9"/>
    </row>
    <row r="186" spans="41:46">
      <c r="AO186" s="9"/>
      <c r="AP186" s="9"/>
      <c r="AQ186" s="9"/>
      <c r="AR186" s="9"/>
      <c r="AS186" s="9"/>
      <c r="AT186" s="9"/>
    </row>
    <row r="187" spans="41:46">
      <c r="AO187" s="9"/>
      <c r="AP187" s="9"/>
      <c r="AQ187" s="9"/>
      <c r="AR187" s="9"/>
      <c r="AS187" s="9"/>
      <c r="AT187" s="9"/>
    </row>
    <row r="188" spans="41:46">
      <c r="AO188" s="9"/>
      <c r="AP188" s="9"/>
      <c r="AQ188" s="9"/>
      <c r="AR188" s="9"/>
      <c r="AS188" s="9"/>
      <c r="AT188" s="9"/>
    </row>
    <row r="189" spans="41:46">
      <c r="AO189" s="9"/>
      <c r="AP189" s="9"/>
      <c r="AQ189" s="9"/>
      <c r="AR189" s="9"/>
      <c r="AS189" s="9"/>
      <c r="AT189" s="9"/>
    </row>
    <row r="190" spans="41:46">
      <c r="AO190" s="9"/>
      <c r="AP190" s="9"/>
      <c r="AQ190" s="9"/>
      <c r="AR190" s="9"/>
      <c r="AS190" s="9"/>
      <c r="AT190" s="9"/>
    </row>
    <row r="191" spans="41:46">
      <c r="AO191" s="9"/>
      <c r="AP191" s="9"/>
      <c r="AQ191" s="9"/>
      <c r="AR191" s="9"/>
      <c r="AS191" s="9"/>
      <c r="AT191" s="9"/>
    </row>
    <row r="192" spans="41:46">
      <c r="AO192" s="9"/>
      <c r="AP192" s="9"/>
      <c r="AQ192" s="9"/>
      <c r="AR192" s="9"/>
      <c r="AS192" s="9"/>
      <c r="AT192" s="9"/>
    </row>
    <row r="193" spans="41:46">
      <c r="AO193" s="9"/>
      <c r="AP193" s="9"/>
      <c r="AQ193" s="9"/>
      <c r="AR193" s="9"/>
      <c r="AS193" s="9"/>
      <c r="AT193" s="9"/>
    </row>
    <row r="194" spans="41:46">
      <c r="AO194" s="9"/>
      <c r="AP194" s="9"/>
      <c r="AQ194" s="9"/>
      <c r="AR194" s="9"/>
      <c r="AS194" s="9"/>
      <c r="AT194" s="9"/>
    </row>
    <row r="195" spans="41:46">
      <c r="AO195" s="9"/>
      <c r="AP195" s="9"/>
      <c r="AQ195" s="9"/>
      <c r="AR195" s="9"/>
      <c r="AS195" s="9"/>
      <c r="AT195" s="9"/>
    </row>
    <row r="196" spans="41:46">
      <c r="AO196" s="9"/>
      <c r="AP196" s="9"/>
      <c r="AQ196" s="9"/>
      <c r="AR196" s="9"/>
      <c r="AS196" s="9"/>
      <c r="AT196" s="9"/>
    </row>
    <row r="197" spans="41:46">
      <c r="AO197" s="9"/>
      <c r="AP197" s="9"/>
      <c r="AQ197" s="9"/>
      <c r="AR197" s="9"/>
      <c r="AS197" s="9"/>
      <c r="AT197" s="9"/>
    </row>
    <row r="198" spans="41:46">
      <c r="AO198" s="9"/>
      <c r="AP198" s="9"/>
      <c r="AQ198" s="9"/>
      <c r="AR198" s="9"/>
      <c r="AS198" s="9"/>
      <c r="AT198" s="9"/>
    </row>
    <row r="199" spans="41:46">
      <c r="AO199" s="9"/>
      <c r="AP199" s="9"/>
      <c r="AQ199" s="9"/>
      <c r="AR199" s="9"/>
      <c r="AS199" s="9"/>
      <c r="AT199" s="9"/>
    </row>
    <row r="200" spans="41:46">
      <c r="AO200" s="9"/>
      <c r="AP200" s="9"/>
      <c r="AQ200" s="9"/>
      <c r="AR200" s="9"/>
      <c r="AS200" s="9"/>
      <c r="AT200" s="9"/>
    </row>
    <row r="201" spans="41:46">
      <c r="AO201" s="9"/>
      <c r="AP201" s="9"/>
      <c r="AQ201" s="9"/>
      <c r="AR201" s="9"/>
      <c r="AS201" s="9"/>
      <c r="AT201" s="9"/>
    </row>
    <row r="202" spans="41:46">
      <c r="AO202" s="9"/>
      <c r="AP202" s="9"/>
      <c r="AQ202" s="9"/>
      <c r="AR202" s="9"/>
      <c r="AS202" s="9"/>
      <c r="AT202" s="9"/>
    </row>
    <row r="203" spans="41:46">
      <c r="AO203" s="9"/>
      <c r="AP203" s="9"/>
      <c r="AQ203" s="9"/>
      <c r="AR203" s="9"/>
      <c r="AS203" s="9"/>
      <c r="AT203" s="9"/>
    </row>
    <row r="204" spans="41:46">
      <c r="AO204" s="9"/>
      <c r="AP204" s="9"/>
      <c r="AQ204" s="9"/>
      <c r="AR204" s="9"/>
      <c r="AS204" s="9"/>
      <c r="AT204" s="9"/>
    </row>
    <row r="205" spans="41:46">
      <c r="AO205" s="9"/>
      <c r="AP205" s="9"/>
      <c r="AQ205" s="9"/>
      <c r="AR205" s="9"/>
      <c r="AS205" s="9"/>
      <c r="AT205" s="9"/>
    </row>
    <row r="206" spans="41:46">
      <c r="AO206" s="9"/>
      <c r="AP206" s="9"/>
      <c r="AQ206" s="9"/>
      <c r="AR206" s="9"/>
      <c r="AS206" s="9"/>
      <c r="AT206" s="9"/>
    </row>
    <row r="207" spans="41:46">
      <c r="AO207" s="9"/>
      <c r="AP207" s="9"/>
      <c r="AQ207" s="9"/>
      <c r="AR207" s="9"/>
      <c r="AS207" s="9"/>
      <c r="AT207" s="9"/>
    </row>
    <row r="208" spans="41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9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50"/>
      <c r="N304" s="150"/>
      <c r="O304" s="150"/>
      <c r="P304" s="150"/>
      <c r="Q304" s="150"/>
      <c r="R304" s="150"/>
      <c r="S304" s="150"/>
      <c r="T304" s="1"/>
      <c r="U304" s="1"/>
      <c r="V304" s="150"/>
      <c r="W304" s="150"/>
      <c r="X304" s="150"/>
      <c r="Y304" s="150"/>
      <c r="Z304" s="150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>
      <c r="K305" s="35"/>
    </row>
    <row r="306" spans="1:1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1" spans="37:45">
      <c r="AK321" s="19"/>
      <c r="AL321" s="19"/>
      <c r="AM321" s="19"/>
      <c r="AN321" s="19"/>
      <c r="AO321" s="19"/>
      <c r="AP321" s="19"/>
      <c r="AQ321" s="19"/>
      <c r="AR321" s="19"/>
      <c r="AS321" s="19"/>
    </row>
    <row r="404" spans="36:36">
      <c r="AJ404" s="31"/>
    </row>
    <row r="405" spans="36:36">
      <c r="AJ405" s="31"/>
    </row>
  </sheetData>
  <phoneticPr fontId="20" type="noConversion"/>
  <conditionalFormatting sqref="M1:S1048576">
    <cfRule type="cellIs" dxfId="54" priority="1" operator="equal">
      <formula>"C1"</formula>
    </cfRule>
    <cfRule type="cellIs" dxfId="53" priority="2" operator="equal">
      <formula>"G6"</formula>
    </cfRule>
    <cfRule type="cellIs" dxfId="52" priority="3" operator="equal">
      <formula>"G5"</formula>
    </cfRule>
    <cfRule type="cellIs" dxfId="51" priority="4" operator="equal">
      <formula>"G4"</formula>
    </cfRule>
    <cfRule type="cellIs" dxfId="50" priority="5" operator="equal">
      <formula>"G3"</formula>
    </cfRule>
    <cfRule type="cellIs" dxfId="49" priority="6" operator="equal">
      <formula>"G2"</formula>
    </cfRule>
    <cfRule type="cellIs" dxfId="48" priority="7" operator="equal">
      <formula>"G1"</formula>
    </cfRule>
    <cfRule type="cellIs" dxfId="47" priority="8" operator="equal">
      <formula>"M5"</formula>
    </cfRule>
    <cfRule type="cellIs" dxfId="46" priority="9" operator="equal">
      <formula>"M4"</formula>
    </cfRule>
    <cfRule type="cellIs" dxfId="45" priority="10" operator="equal">
      <formula>"M3"</formula>
    </cfRule>
    <cfRule type="cellIs" dxfId="44" priority="11" operator="equal">
      <formula>"M6"</formula>
    </cfRule>
    <cfRule type="cellIs" dxfId="43" priority="12" operator="equal">
      <formula>"M2"</formula>
    </cfRule>
    <cfRule type="cellIs" dxfId="42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1CBA-0808-4835-BEA1-6070BA6DEC05}">
  <sheetPr codeName="工作表14"/>
  <dimension ref="A2:AY404"/>
  <sheetViews>
    <sheetView topLeftCell="O1" workbookViewId="0">
      <selection activeCell="H13" sqref="H13"/>
    </sheetView>
  </sheetViews>
  <sheetFormatPr defaultRowHeight="16.2"/>
  <cols>
    <col min="1" max="1" width="17.88671875" style="1" bestFit="1" customWidth="1"/>
    <col min="2" max="2" width="21.21875" style="1" bestFit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50" customWidth="1"/>
    <col min="27" max="27" width="5.5546875" style="1" customWidth="1"/>
    <col min="28" max="28" width="8.88671875" style="1" customWidth="1"/>
    <col min="29" max="33" width="4.77734375" style="47" customWidth="1"/>
    <col min="34" max="34" width="4.6640625" style="47" customWidth="1"/>
    <col min="35" max="35" width="4.6640625" style="1" bestFit="1" customWidth="1"/>
    <col min="36" max="36" width="9" style="1"/>
    <col min="37" max="37" width="4.88671875" style="1" customWidth="1"/>
    <col min="38" max="43" width="4.6640625" style="1" bestFit="1" customWidth="1"/>
    <col min="45" max="51" width="9" style="1"/>
  </cols>
  <sheetData>
    <row r="2" spans="1:51">
      <c r="A2" s="9"/>
      <c r="B2" s="9"/>
      <c r="C2" s="9"/>
      <c r="D2" s="9"/>
      <c r="E2" s="9"/>
      <c r="F2" s="9"/>
      <c r="G2" s="9"/>
      <c r="H2" s="9"/>
      <c r="I2" s="9"/>
      <c r="J2" s="9"/>
      <c r="K2" s="33"/>
      <c r="L2" s="9" t="s">
        <v>52</v>
      </c>
      <c r="M2" s="9"/>
      <c r="N2" s="9"/>
      <c r="O2" s="9"/>
      <c r="P2" s="9"/>
      <c r="Q2" s="9"/>
      <c r="R2" s="9"/>
      <c r="S2" s="9"/>
      <c r="T2" s="9"/>
      <c r="U2" s="9" t="s">
        <v>219</v>
      </c>
      <c r="V2" s="9"/>
      <c r="W2" s="9"/>
      <c r="X2" s="9"/>
      <c r="Y2" s="9"/>
      <c r="Z2" s="9"/>
      <c r="AA2" s="9"/>
      <c r="AB2" s="9"/>
      <c r="AC2" s="9" t="s">
        <v>70</v>
      </c>
      <c r="AD2" s="9"/>
      <c r="AE2" s="9"/>
      <c r="AF2" s="9"/>
      <c r="AG2" s="9"/>
      <c r="AH2" s="9"/>
      <c r="AI2" s="9"/>
      <c r="AJ2" s="9"/>
      <c r="AK2" s="9" t="s">
        <v>100</v>
      </c>
      <c r="AL2" s="9"/>
      <c r="AM2" s="9"/>
      <c r="AN2" s="9"/>
      <c r="AO2" s="9"/>
      <c r="AP2" s="9"/>
      <c r="AQ2" s="9"/>
      <c r="AS2" s="9"/>
      <c r="AT2" s="9"/>
      <c r="AU2" s="9"/>
      <c r="AV2" s="9"/>
      <c r="AW2" s="9"/>
      <c r="AX2" s="9"/>
      <c r="AY2" s="9"/>
    </row>
    <row r="3" spans="1:5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50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39" t="s">
        <v>41</v>
      </c>
      <c r="AL3" s="39" t="s">
        <v>42</v>
      </c>
      <c r="AM3" s="39" t="s">
        <v>43</v>
      </c>
      <c r="AN3" s="39" t="s">
        <v>44</v>
      </c>
      <c r="AO3" s="39" t="s">
        <v>45</v>
      </c>
      <c r="AP3" s="39" t="s">
        <v>23</v>
      </c>
      <c r="AQ3" s="39" t="s">
        <v>66</v>
      </c>
    </row>
    <row r="4" spans="1:51">
      <c r="A4" s="171" t="str" cm="1">
        <f t="array" ref="A4:B29">Overview!$A$42:$B$67</f>
        <v>WW</v>
      </c>
      <c r="B4" s="171" t="str">
        <v>Wild</v>
      </c>
      <c r="C4" s="52">
        <f>COUNTIF(M$4:M$304,$A4)</f>
        <v>0</v>
      </c>
      <c r="D4" s="52">
        <f t="shared" ref="D4:I19" si="0">COUNTIF(N$4:N$304,$A4)</f>
        <v>0</v>
      </c>
      <c r="E4" s="52">
        <f t="shared" si="0"/>
        <v>0</v>
      </c>
      <c r="F4" s="52">
        <f t="shared" si="0"/>
        <v>0</v>
      </c>
      <c r="G4" s="52">
        <f t="shared" si="0"/>
        <v>0</v>
      </c>
      <c r="H4" s="52">
        <f t="shared" si="0"/>
        <v>0</v>
      </c>
      <c r="I4" s="52">
        <f t="shared" si="0"/>
        <v>0</v>
      </c>
      <c r="J4" s="171">
        <v>0</v>
      </c>
      <c r="K4" s="34"/>
      <c r="L4" s="15">
        <v>0</v>
      </c>
      <c r="M4" s="156" t="s">
        <v>90</v>
      </c>
      <c r="N4" s="156" t="s">
        <v>25</v>
      </c>
      <c r="O4" s="156" t="s">
        <v>35</v>
      </c>
      <c r="P4" s="156" t="s">
        <v>34</v>
      </c>
      <c r="Q4" s="156" t="s">
        <v>39</v>
      </c>
      <c r="R4" s="156" t="s">
        <v>38</v>
      </c>
      <c r="S4" s="157" t="s">
        <v>35</v>
      </c>
      <c r="U4" s="158">
        <f t="shared" ref="U4:AA19" si="1">VLOOKUP(M4, $A$4:$J$29, 9, 0)</f>
        <v>6</v>
      </c>
      <c r="V4" s="158">
        <f t="shared" si="1"/>
        <v>5</v>
      </c>
      <c r="W4" s="158">
        <f t="shared" si="1"/>
        <v>15</v>
      </c>
      <c r="X4" s="158">
        <f t="shared" si="1"/>
        <v>16</v>
      </c>
      <c r="Y4" s="158">
        <f t="shared" si="1"/>
        <v>5</v>
      </c>
      <c r="Z4" s="158">
        <f t="shared" si="1"/>
        <v>15</v>
      </c>
      <c r="AA4" s="158">
        <f t="shared" si="1"/>
        <v>15</v>
      </c>
      <c r="AC4" s="18">
        <v>5</v>
      </c>
      <c r="AD4" s="18">
        <v>5</v>
      </c>
      <c r="AE4" s="18">
        <v>5</v>
      </c>
      <c r="AF4" s="18">
        <v>5</v>
      </c>
      <c r="AG4" s="18">
        <v>6</v>
      </c>
      <c r="AH4" s="18">
        <v>5</v>
      </c>
      <c r="AI4" s="18">
        <v>5</v>
      </c>
      <c r="AK4" s="4">
        <v>1</v>
      </c>
      <c r="AL4" s="4">
        <v>3</v>
      </c>
      <c r="AM4" s="4">
        <v>1</v>
      </c>
      <c r="AN4" s="4">
        <v>1</v>
      </c>
      <c r="AO4" s="4">
        <v>3</v>
      </c>
      <c r="AP4" s="4">
        <v>1</v>
      </c>
      <c r="AQ4" s="4">
        <v>1</v>
      </c>
    </row>
    <row r="5" spans="1:51">
      <c r="A5" s="4" t="str">
        <v>C1</v>
      </c>
      <c r="B5" s="4" t="str">
        <v>Scatter</v>
      </c>
      <c r="C5" s="10">
        <f t="shared" ref="C5:I29" si="2">COUNTIF(M$4:M$304,$A5)</f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4"/>
      <c r="L5" s="14">
        <v>1</v>
      </c>
      <c r="M5" s="38" t="s">
        <v>39</v>
      </c>
      <c r="N5" s="38" t="s">
        <v>65</v>
      </c>
      <c r="O5" s="38" t="s">
        <v>25</v>
      </c>
      <c r="P5" s="38" t="s">
        <v>34</v>
      </c>
      <c r="Q5" s="38" t="s">
        <v>39</v>
      </c>
      <c r="R5" s="38" t="s">
        <v>38</v>
      </c>
      <c r="S5" s="24" t="s">
        <v>35</v>
      </c>
      <c r="U5" s="37">
        <f t="shared" si="1"/>
        <v>5</v>
      </c>
      <c r="V5" s="37">
        <f t="shared" si="1"/>
        <v>17</v>
      </c>
      <c r="W5" s="37">
        <f t="shared" si="1"/>
        <v>5</v>
      </c>
      <c r="X5" s="37">
        <f t="shared" si="1"/>
        <v>16</v>
      </c>
      <c r="Y5" s="37">
        <f t="shared" si="1"/>
        <v>5</v>
      </c>
      <c r="Z5" s="37">
        <f t="shared" si="1"/>
        <v>15</v>
      </c>
      <c r="AA5" s="37">
        <f t="shared" si="1"/>
        <v>15</v>
      </c>
      <c r="AC5" s="18">
        <v>5</v>
      </c>
      <c r="AD5" s="18">
        <v>0</v>
      </c>
      <c r="AE5" s="18">
        <v>0</v>
      </c>
      <c r="AF5" s="18">
        <v>0</v>
      </c>
      <c r="AG5" s="18">
        <v>0</v>
      </c>
      <c r="AH5" s="18">
        <v>5</v>
      </c>
      <c r="AI5" s="18">
        <v>5</v>
      </c>
      <c r="AK5" s="4">
        <v>1</v>
      </c>
      <c r="AL5" s="4">
        <v>0</v>
      </c>
      <c r="AM5" s="4">
        <v>3</v>
      </c>
      <c r="AN5" s="4">
        <v>3</v>
      </c>
      <c r="AO5" s="4">
        <v>0</v>
      </c>
      <c r="AP5" s="4">
        <v>1</v>
      </c>
      <c r="AQ5" s="4">
        <v>1</v>
      </c>
    </row>
    <row r="6" spans="1:51">
      <c r="A6" s="151" t="str">
        <v>M1</v>
      </c>
      <c r="B6" s="151" t="str">
        <v>M1</v>
      </c>
      <c r="C6" s="153">
        <f t="shared" si="2"/>
        <v>1</v>
      </c>
      <c r="D6" s="153">
        <f t="shared" si="0"/>
        <v>1</v>
      </c>
      <c r="E6" s="153">
        <f t="shared" si="0"/>
        <v>2</v>
      </c>
      <c r="F6" s="153">
        <f t="shared" si="0"/>
        <v>1</v>
      </c>
      <c r="G6" s="153">
        <f t="shared" si="0"/>
        <v>1</v>
      </c>
      <c r="H6" s="153">
        <f t="shared" si="0"/>
        <v>2</v>
      </c>
      <c r="I6" s="153">
        <f t="shared" si="0"/>
        <v>4</v>
      </c>
      <c r="J6" s="151">
        <v>2</v>
      </c>
      <c r="L6" s="15">
        <v>2</v>
      </c>
      <c r="M6" s="38" t="s">
        <v>39</v>
      </c>
      <c r="N6" s="38" t="s">
        <v>38</v>
      </c>
      <c r="O6" s="38" t="s">
        <v>39</v>
      </c>
      <c r="P6" s="38" t="s">
        <v>226</v>
      </c>
      <c r="Q6" s="38" t="s">
        <v>37</v>
      </c>
      <c r="R6" s="38" t="s">
        <v>38</v>
      </c>
      <c r="S6" s="24" t="s">
        <v>35</v>
      </c>
      <c r="U6" s="37">
        <f t="shared" si="1"/>
        <v>5</v>
      </c>
      <c r="V6" s="37">
        <f t="shared" si="1"/>
        <v>15</v>
      </c>
      <c r="W6" s="37">
        <f t="shared" si="1"/>
        <v>5</v>
      </c>
      <c r="X6" s="37">
        <f t="shared" si="1"/>
        <v>0</v>
      </c>
      <c r="Y6" s="37">
        <f t="shared" si="1"/>
        <v>13</v>
      </c>
      <c r="Z6" s="37">
        <f t="shared" si="1"/>
        <v>15</v>
      </c>
      <c r="AA6" s="37">
        <f t="shared" si="1"/>
        <v>15</v>
      </c>
      <c r="AC6" s="18">
        <v>5</v>
      </c>
      <c r="AD6" s="18">
        <v>0</v>
      </c>
      <c r="AE6" s="18">
        <v>0</v>
      </c>
      <c r="AF6" s="18">
        <v>0</v>
      </c>
      <c r="AG6" s="18">
        <v>0</v>
      </c>
      <c r="AH6" s="18">
        <v>5</v>
      </c>
      <c r="AI6" s="18">
        <v>5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1</v>
      </c>
      <c r="AQ6" s="4">
        <v>1</v>
      </c>
    </row>
    <row r="7" spans="1:51">
      <c r="A7" s="151" t="str">
        <v>M2</v>
      </c>
      <c r="B7" s="151" t="str">
        <v>M2</v>
      </c>
      <c r="C7" s="153">
        <f t="shared" si="2"/>
        <v>1</v>
      </c>
      <c r="D7" s="153">
        <f t="shared" si="0"/>
        <v>5</v>
      </c>
      <c r="E7" s="153">
        <f t="shared" si="0"/>
        <v>6</v>
      </c>
      <c r="F7" s="153">
        <f t="shared" si="0"/>
        <v>10</v>
      </c>
      <c r="G7" s="153">
        <f t="shared" si="0"/>
        <v>2</v>
      </c>
      <c r="H7" s="153">
        <f t="shared" si="0"/>
        <v>5</v>
      </c>
      <c r="I7" s="153">
        <f t="shared" si="0"/>
        <v>11</v>
      </c>
      <c r="J7" s="151">
        <v>3</v>
      </c>
      <c r="L7" s="14">
        <v>3</v>
      </c>
      <c r="M7" s="38" t="s">
        <v>40</v>
      </c>
      <c r="N7" s="38" t="s">
        <v>65</v>
      </c>
      <c r="O7" s="38" t="s">
        <v>39</v>
      </c>
      <c r="P7" s="38" t="s">
        <v>65</v>
      </c>
      <c r="Q7" s="38" t="s">
        <v>226</v>
      </c>
      <c r="R7" s="38" t="s">
        <v>40</v>
      </c>
      <c r="S7" s="24" t="s">
        <v>33</v>
      </c>
      <c r="U7" s="37">
        <f t="shared" si="1"/>
        <v>12</v>
      </c>
      <c r="V7" s="37">
        <f t="shared" si="1"/>
        <v>17</v>
      </c>
      <c r="W7" s="37">
        <f t="shared" si="1"/>
        <v>5</v>
      </c>
      <c r="X7" s="37">
        <f t="shared" si="1"/>
        <v>17</v>
      </c>
      <c r="Y7" s="37">
        <f t="shared" si="1"/>
        <v>0</v>
      </c>
      <c r="Z7" s="37">
        <f t="shared" si="1"/>
        <v>12</v>
      </c>
      <c r="AA7" s="37">
        <f t="shared" si="1"/>
        <v>11</v>
      </c>
      <c r="AC7" s="18">
        <v>5</v>
      </c>
      <c r="AD7" s="18">
        <v>0</v>
      </c>
      <c r="AE7" s="18">
        <v>0</v>
      </c>
      <c r="AF7" s="18">
        <v>0</v>
      </c>
      <c r="AG7" s="18">
        <v>0</v>
      </c>
      <c r="AH7" s="18">
        <v>5</v>
      </c>
      <c r="AI7" s="18">
        <v>5</v>
      </c>
      <c r="AK7" s="4">
        <v>1</v>
      </c>
      <c r="AL7" s="4">
        <v>2</v>
      </c>
      <c r="AM7" s="4">
        <v>0</v>
      </c>
      <c r="AN7" s="4">
        <v>0</v>
      </c>
      <c r="AO7" s="4">
        <v>2</v>
      </c>
      <c r="AP7" s="4">
        <v>1</v>
      </c>
      <c r="AQ7" s="4">
        <v>1</v>
      </c>
    </row>
    <row r="8" spans="1:51">
      <c r="A8" s="151" t="str">
        <v>M3</v>
      </c>
      <c r="B8" s="151" t="str">
        <v>M3</v>
      </c>
      <c r="C8" s="153">
        <f t="shared" si="2"/>
        <v>11</v>
      </c>
      <c r="D8" s="153">
        <f t="shared" si="0"/>
        <v>4</v>
      </c>
      <c r="E8" s="153">
        <f t="shared" si="0"/>
        <v>8</v>
      </c>
      <c r="F8" s="153">
        <f t="shared" si="0"/>
        <v>5</v>
      </c>
      <c r="G8" s="153">
        <f t="shared" si="0"/>
        <v>7</v>
      </c>
      <c r="H8" s="153">
        <f t="shared" si="0"/>
        <v>4</v>
      </c>
      <c r="I8" s="153">
        <f t="shared" si="0"/>
        <v>16</v>
      </c>
      <c r="J8" s="151">
        <v>4</v>
      </c>
      <c r="L8" s="15">
        <v>4</v>
      </c>
      <c r="M8" s="38" t="s">
        <v>40</v>
      </c>
      <c r="N8" s="38" t="s">
        <v>35</v>
      </c>
      <c r="O8" s="38" t="s">
        <v>25</v>
      </c>
      <c r="P8" s="38" t="s">
        <v>33</v>
      </c>
      <c r="Q8" s="38" t="s">
        <v>35</v>
      </c>
      <c r="R8" s="38" t="s">
        <v>40</v>
      </c>
      <c r="S8" s="24" t="s">
        <v>33</v>
      </c>
      <c r="U8" s="37">
        <f t="shared" si="1"/>
        <v>12</v>
      </c>
      <c r="V8" s="37">
        <f t="shared" si="1"/>
        <v>15</v>
      </c>
      <c r="W8" s="37">
        <f t="shared" si="1"/>
        <v>5</v>
      </c>
      <c r="X8" s="37">
        <f t="shared" si="1"/>
        <v>11</v>
      </c>
      <c r="Y8" s="37">
        <f t="shared" si="1"/>
        <v>15</v>
      </c>
      <c r="Z8" s="37">
        <f t="shared" si="1"/>
        <v>12</v>
      </c>
      <c r="AA8" s="37">
        <f t="shared" si="1"/>
        <v>11</v>
      </c>
      <c r="AC8" s="18">
        <v>5</v>
      </c>
      <c r="AD8" s="18">
        <v>0</v>
      </c>
      <c r="AE8" s="18">
        <v>0</v>
      </c>
      <c r="AF8" s="18">
        <v>0</v>
      </c>
      <c r="AG8" s="18">
        <v>0</v>
      </c>
      <c r="AH8" s="18">
        <v>5</v>
      </c>
      <c r="AI8" s="18">
        <v>5</v>
      </c>
      <c r="AK8" s="4">
        <v>1</v>
      </c>
      <c r="AL8" s="4">
        <v>0</v>
      </c>
      <c r="AM8" s="4">
        <v>1</v>
      </c>
      <c r="AN8" s="4">
        <v>1</v>
      </c>
      <c r="AO8" s="4">
        <v>0</v>
      </c>
      <c r="AP8" s="4">
        <v>1</v>
      </c>
      <c r="AQ8" s="4">
        <v>1</v>
      </c>
    </row>
    <row r="9" spans="1:51">
      <c r="A9" s="151" t="str">
        <v>M4</v>
      </c>
      <c r="B9" s="151" t="str">
        <v>M4</v>
      </c>
      <c r="C9" s="153">
        <f t="shared" si="2"/>
        <v>10</v>
      </c>
      <c r="D9" s="153">
        <f t="shared" si="0"/>
        <v>6</v>
      </c>
      <c r="E9" s="153">
        <f t="shared" si="0"/>
        <v>16</v>
      </c>
      <c r="F9" s="153">
        <f t="shared" si="0"/>
        <v>6</v>
      </c>
      <c r="G9" s="153">
        <f t="shared" si="0"/>
        <v>17</v>
      </c>
      <c r="H9" s="153">
        <f t="shared" si="0"/>
        <v>2</v>
      </c>
      <c r="I9" s="153">
        <f t="shared" si="0"/>
        <v>15</v>
      </c>
      <c r="J9" s="151">
        <v>5</v>
      </c>
      <c r="L9" s="14">
        <v>5</v>
      </c>
      <c r="M9" s="38" t="s">
        <v>39</v>
      </c>
      <c r="N9" s="38" t="s">
        <v>38</v>
      </c>
      <c r="O9" s="38" t="s">
        <v>37</v>
      </c>
      <c r="P9" s="38" t="s">
        <v>33</v>
      </c>
      <c r="Q9" s="38" t="s">
        <v>39</v>
      </c>
      <c r="R9" s="38" t="s">
        <v>40</v>
      </c>
      <c r="S9" s="24" t="s">
        <v>33</v>
      </c>
      <c r="U9" s="37">
        <f t="shared" si="1"/>
        <v>5</v>
      </c>
      <c r="V9" s="37">
        <f t="shared" si="1"/>
        <v>15</v>
      </c>
      <c r="W9" s="37">
        <f t="shared" si="1"/>
        <v>13</v>
      </c>
      <c r="X9" s="37">
        <f t="shared" si="1"/>
        <v>11</v>
      </c>
      <c r="Y9" s="37">
        <f t="shared" si="1"/>
        <v>5</v>
      </c>
      <c r="Z9" s="37">
        <f t="shared" si="1"/>
        <v>12</v>
      </c>
      <c r="AA9" s="37">
        <f t="shared" si="1"/>
        <v>11</v>
      </c>
      <c r="AC9" s="18">
        <v>5</v>
      </c>
      <c r="AD9" s="18">
        <v>5</v>
      </c>
      <c r="AE9" s="18">
        <v>5</v>
      </c>
      <c r="AF9" s="18">
        <v>5</v>
      </c>
      <c r="AG9" s="18">
        <v>4</v>
      </c>
      <c r="AH9" s="18">
        <v>5</v>
      </c>
      <c r="AI9" s="18">
        <v>5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</row>
    <row r="10" spans="1:51">
      <c r="A10" s="151" t="str">
        <v>M5</v>
      </c>
      <c r="B10" s="151" t="str">
        <v>M5</v>
      </c>
      <c r="C10" s="153">
        <f t="shared" si="2"/>
        <v>7</v>
      </c>
      <c r="D10" s="153">
        <f t="shared" si="0"/>
        <v>16</v>
      </c>
      <c r="E10" s="153">
        <f t="shared" si="0"/>
        <v>10</v>
      </c>
      <c r="F10" s="153">
        <f t="shared" si="0"/>
        <v>19</v>
      </c>
      <c r="G10" s="153">
        <f t="shared" si="0"/>
        <v>5</v>
      </c>
      <c r="H10" s="153">
        <f t="shared" si="0"/>
        <v>25</v>
      </c>
      <c r="I10" s="153">
        <f t="shared" si="0"/>
        <v>17</v>
      </c>
      <c r="J10" s="151">
        <v>6</v>
      </c>
      <c r="L10" s="15">
        <v>6</v>
      </c>
      <c r="M10" s="38" t="s">
        <v>25</v>
      </c>
      <c r="N10" s="38" t="s">
        <v>38</v>
      </c>
      <c r="O10" s="38" t="s">
        <v>37</v>
      </c>
      <c r="P10" s="38" t="s">
        <v>34</v>
      </c>
      <c r="Q10" s="38" t="s">
        <v>39</v>
      </c>
      <c r="R10" s="38" t="s">
        <v>35</v>
      </c>
      <c r="S10" s="24" t="s">
        <v>65</v>
      </c>
      <c r="U10" s="37">
        <f t="shared" si="1"/>
        <v>5</v>
      </c>
      <c r="V10" s="37">
        <f t="shared" si="1"/>
        <v>15</v>
      </c>
      <c r="W10" s="37">
        <f t="shared" si="1"/>
        <v>13</v>
      </c>
      <c r="X10" s="37">
        <f t="shared" si="1"/>
        <v>16</v>
      </c>
      <c r="Y10" s="37">
        <f t="shared" si="1"/>
        <v>5</v>
      </c>
      <c r="Z10" s="37">
        <f t="shared" si="1"/>
        <v>15</v>
      </c>
      <c r="AA10" s="37">
        <f t="shared" si="1"/>
        <v>17</v>
      </c>
      <c r="AC10" s="18">
        <v>5</v>
      </c>
      <c r="AD10" s="18">
        <v>0</v>
      </c>
      <c r="AE10" s="18">
        <v>0</v>
      </c>
      <c r="AF10" s="18">
        <v>0</v>
      </c>
      <c r="AG10" s="18">
        <v>1</v>
      </c>
      <c r="AH10" s="18">
        <v>5</v>
      </c>
      <c r="AI10" s="18">
        <v>5</v>
      </c>
      <c r="AK10" s="4">
        <v>1</v>
      </c>
      <c r="AL10" s="4">
        <v>1</v>
      </c>
      <c r="AM10" s="4">
        <v>1</v>
      </c>
      <c r="AN10" s="4">
        <v>1</v>
      </c>
      <c r="AO10" s="4">
        <v>3</v>
      </c>
      <c r="AP10" s="4">
        <v>1</v>
      </c>
      <c r="AQ10" s="4">
        <v>1</v>
      </c>
    </row>
    <row r="11" spans="1:51">
      <c r="A11" s="151" t="str">
        <v>M6</v>
      </c>
      <c r="B11" s="151" t="str">
        <v>M6</v>
      </c>
      <c r="C11" s="153">
        <f t="shared" si="2"/>
        <v>15</v>
      </c>
      <c r="D11" s="153">
        <f t="shared" si="0"/>
        <v>9</v>
      </c>
      <c r="E11" s="153">
        <f t="shared" si="0"/>
        <v>12</v>
      </c>
      <c r="F11" s="153">
        <f t="shared" si="0"/>
        <v>6</v>
      </c>
      <c r="G11" s="153">
        <f t="shared" si="0"/>
        <v>21</v>
      </c>
      <c r="H11" s="153">
        <f t="shared" si="0"/>
        <v>1</v>
      </c>
      <c r="I11" s="153">
        <f t="shared" si="0"/>
        <v>6</v>
      </c>
      <c r="J11" s="151">
        <v>7</v>
      </c>
      <c r="L11" s="14">
        <v>7</v>
      </c>
      <c r="M11" s="38" t="s">
        <v>37</v>
      </c>
      <c r="N11" s="38" t="s">
        <v>65</v>
      </c>
      <c r="O11" s="38" t="s">
        <v>65</v>
      </c>
      <c r="P11" s="38" t="s">
        <v>38</v>
      </c>
      <c r="Q11" s="38" t="s">
        <v>40</v>
      </c>
      <c r="R11" s="38" t="s">
        <v>25</v>
      </c>
      <c r="S11" s="24" t="s">
        <v>40</v>
      </c>
      <c r="U11" s="37">
        <f t="shared" si="1"/>
        <v>13</v>
      </c>
      <c r="V11" s="37">
        <f t="shared" si="1"/>
        <v>17</v>
      </c>
      <c r="W11" s="37">
        <f t="shared" si="1"/>
        <v>17</v>
      </c>
      <c r="X11" s="37">
        <f t="shared" si="1"/>
        <v>15</v>
      </c>
      <c r="Y11" s="37">
        <f t="shared" si="1"/>
        <v>12</v>
      </c>
      <c r="Z11" s="37">
        <f t="shared" si="1"/>
        <v>5</v>
      </c>
      <c r="AA11" s="37">
        <f t="shared" si="1"/>
        <v>12</v>
      </c>
      <c r="AC11" s="18">
        <v>5</v>
      </c>
      <c r="AD11" s="18">
        <v>0</v>
      </c>
      <c r="AE11" s="18">
        <v>0</v>
      </c>
      <c r="AF11" s="18">
        <v>0</v>
      </c>
      <c r="AG11" s="18">
        <v>0</v>
      </c>
      <c r="AH11" s="18">
        <v>5</v>
      </c>
      <c r="AI11" s="18">
        <v>5</v>
      </c>
      <c r="AK11" s="4">
        <v>1</v>
      </c>
      <c r="AL11" s="4">
        <v>2</v>
      </c>
      <c r="AM11" s="4">
        <v>1</v>
      </c>
      <c r="AN11" s="4">
        <v>1</v>
      </c>
      <c r="AO11" s="4">
        <v>0</v>
      </c>
      <c r="AP11" s="4">
        <v>1</v>
      </c>
      <c r="AQ11" s="4">
        <v>1</v>
      </c>
    </row>
    <row r="12" spans="1:51">
      <c r="A12" s="24" t="str">
        <v>A</v>
      </c>
      <c r="B12" s="37" t="str">
        <v>A</v>
      </c>
      <c r="C12" s="10">
        <f t="shared" si="2"/>
        <v>11</v>
      </c>
      <c r="D12" s="10">
        <f t="shared" si="0"/>
        <v>16</v>
      </c>
      <c r="E12" s="10">
        <f t="shared" si="0"/>
        <v>10</v>
      </c>
      <c r="F12" s="10">
        <f t="shared" si="0"/>
        <v>20</v>
      </c>
      <c r="G12" s="10">
        <f t="shared" si="0"/>
        <v>2</v>
      </c>
      <c r="H12" s="10">
        <f t="shared" si="0"/>
        <v>31</v>
      </c>
      <c r="I12" s="10">
        <f t="shared" si="0"/>
        <v>5</v>
      </c>
      <c r="J12" s="4">
        <v>8</v>
      </c>
      <c r="L12" s="15">
        <v>8</v>
      </c>
      <c r="M12" s="38" t="s">
        <v>90</v>
      </c>
      <c r="N12" s="38" t="s">
        <v>226</v>
      </c>
      <c r="O12" s="38" t="s">
        <v>35</v>
      </c>
      <c r="P12" s="38" t="s">
        <v>65</v>
      </c>
      <c r="Q12" s="38" t="s">
        <v>35</v>
      </c>
      <c r="R12" s="38" t="s">
        <v>65</v>
      </c>
      <c r="S12" s="24" t="s">
        <v>40</v>
      </c>
      <c r="U12" s="37">
        <f t="shared" si="1"/>
        <v>6</v>
      </c>
      <c r="V12" s="37">
        <f t="shared" si="1"/>
        <v>0</v>
      </c>
      <c r="W12" s="37">
        <f t="shared" si="1"/>
        <v>15</v>
      </c>
      <c r="X12" s="37">
        <f t="shared" si="1"/>
        <v>17</v>
      </c>
      <c r="Y12" s="37">
        <f t="shared" si="1"/>
        <v>15</v>
      </c>
      <c r="Z12" s="37">
        <f t="shared" si="1"/>
        <v>17</v>
      </c>
      <c r="AA12" s="37">
        <f t="shared" si="1"/>
        <v>12</v>
      </c>
      <c r="AC12" s="18">
        <v>5</v>
      </c>
      <c r="AD12" s="18">
        <v>0</v>
      </c>
      <c r="AE12" s="18">
        <v>0</v>
      </c>
      <c r="AF12" s="18">
        <v>0</v>
      </c>
      <c r="AG12" s="18">
        <v>0</v>
      </c>
      <c r="AH12" s="18">
        <v>5</v>
      </c>
      <c r="AI12" s="18">
        <v>5</v>
      </c>
      <c r="AK12" s="4">
        <v>1</v>
      </c>
      <c r="AL12" s="4">
        <v>0</v>
      </c>
      <c r="AM12" s="4">
        <v>1</v>
      </c>
      <c r="AN12" s="4">
        <v>2</v>
      </c>
      <c r="AO12" s="4">
        <v>0</v>
      </c>
      <c r="AP12" s="4">
        <v>1</v>
      </c>
      <c r="AQ12" s="4">
        <v>1</v>
      </c>
    </row>
    <row r="13" spans="1:51">
      <c r="A13" s="24" t="str">
        <v>K</v>
      </c>
      <c r="B13" s="37" t="str">
        <v>K</v>
      </c>
      <c r="C13" s="10">
        <f t="shared" si="2"/>
        <v>16</v>
      </c>
      <c r="D13" s="10">
        <f t="shared" si="0"/>
        <v>9</v>
      </c>
      <c r="E13" s="10">
        <f t="shared" si="0"/>
        <v>12</v>
      </c>
      <c r="F13" s="10">
        <f t="shared" si="0"/>
        <v>5</v>
      </c>
      <c r="G13" s="10">
        <f t="shared" si="0"/>
        <v>16</v>
      </c>
      <c r="H13" s="10">
        <f t="shared" si="0"/>
        <v>4</v>
      </c>
      <c r="I13" s="10">
        <f t="shared" si="0"/>
        <v>13</v>
      </c>
      <c r="J13" s="4">
        <v>9</v>
      </c>
      <c r="L13" s="14">
        <v>9</v>
      </c>
      <c r="M13" s="38" t="s">
        <v>39</v>
      </c>
      <c r="N13" s="38" t="s">
        <v>34</v>
      </c>
      <c r="O13" s="38" t="s">
        <v>35</v>
      </c>
      <c r="P13" s="38" t="s">
        <v>40</v>
      </c>
      <c r="Q13" s="38" t="s">
        <v>35</v>
      </c>
      <c r="R13" s="38" t="s">
        <v>65</v>
      </c>
      <c r="S13" s="24" t="s">
        <v>25</v>
      </c>
      <c r="U13" s="37">
        <f t="shared" si="1"/>
        <v>5</v>
      </c>
      <c r="V13" s="37">
        <f t="shared" si="1"/>
        <v>16</v>
      </c>
      <c r="W13" s="37">
        <f t="shared" si="1"/>
        <v>15</v>
      </c>
      <c r="X13" s="37">
        <f t="shared" si="1"/>
        <v>12</v>
      </c>
      <c r="Y13" s="37">
        <f t="shared" si="1"/>
        <v>15</v>
      </c>
      <c r="Z13" s="37">
        <f t="shared" si="1"/>
        <v>17</v>
      </c>
      <c r="AA13" s="37">
        <f t="shared" si="1"/>
        <v>5</v>
      </c>
      <c r="AC13" s="18">
        <v>5</v>
      </c>
      <c r="AD13" s="18">
        <v>0</v>
      </c>
      <c r="AE13" s="18">
        <v>0</v>
      </c>
      <c r="AF13" s="18">
        <v>0</v>
      </c>
      <c r="AG13" s="18">
        <v>1</v>
      </c>
      <c r="AH13" s="18">
        <v>5</v>
      </c>
      <c r="AI13" s="18">
        <v>5</v>
      </c>
      <c r="AK13" s="4">
        <v>1</v>
      </c>
      <c r="AL13" s="4">
        <v>1</v>
      </c>
      <c r="AM13" s="4">
        <v>1</v>
      </c>
      <c r="AN13" s="4">
        <v>0</v>
      </c>
      <c r="AO13" s="4">
        <v>1</v>
      </c>
      <c r="AP13" s="4">
        <v>1</v>
      </c>
      <c r="AQ13" s="4">
        <v>1</v>
      </c>
    </row>
    <row r="14" spans="1:51">
      <c r="A14" s="24" t="str">
        <v>Q</v>
      </c>
      <c r="B14" s="37" t="str">
        <v>Q</v>
      </c>
      <c r="C14" s="10">
        <f t="shared" si="2"/>
        <v>3</v>
      </c>
      <c r="D14" s="10">
        <f t="shared" si="0"/>
        <v>17</v>
      </c>
      <c r="E14" s="10">
        <f t="shared" si="0"/>
        <v>4</v>
      </c>
      <c r="F14" s="10">
        <f t="shared" si="0"/>
        <v>19</v>
      </c>
      <c r="G14" s="10">
        <f t="shared" si="0"/>
        <v>2</v>
      </c>
      <c r="H14" s="10">
        <f t="shared" si="0"/>
        <v>22</v>
      </c>
      <c r="I14" s="10">
        <f t="shared" si="0"/>
        <v>15</v>
      </c>
      <c r="J14" s="4">
        <v>10</v>
      </c>
      <c r="L14" s="15">
        <v>10</v>
      </c>
      <c r="M14" s="38" t="s">
        <v>39</v>
      </c>
      <c r="N14" s="38" t="s">
        <v>34</v>
      </c>
      <c r="O14" s="38" t="s">
        <v>35</v>
      </c>
      <c r="P14" s="38" t="s">
        <v>40</v>
      </c>
      <c r="Q14" s="38" t="s">
        <v>39</v>
      </c>
      <c r="R14" s="38" t="s">
        <v>40</v>
      </c>
      <c r="S14" s="24" t="s">
        <v>35</v>
      </c>
      <c r="U14" s="37">
        <f t="shared" si="1"/>
        <v>5</v>
      </c>
      <c r="V14" s="37">
        <f t="shared" si="1"/>
        <v>16</v>
      </c>
      <c r="W14" s="37">
        <f t="shared" si="1"/>
        <v>15</v>
      </c>
      <c r="X14" s="37">
        <f t="shared" si="1"/>
        <v>12</v>
      </c>
      <c r="Y14" s="37">
        <f t="shared" si="1"/>
        <v>5</v>
      </c>
      <c r="Z14" s="37">
        <f t="shared" si="1"/>
        <v>12</v>
      </c>
      <c r="AA14" s="37">
        <f t="shared" si="1"/>
        <v>15</v>
      </c>
      <c r="AC14" s="18">
        <v>5</v>
      </c>
      <c r="AD14" s="18">
        <v>5</v>
      </c>
      <c r="AE14" s="18">
        <v>5</v>
      </c>
      <c r="AF14" s="18">
        <v>5</v>
      </c>
      <c r="AG14" s="18">
        <v>5</v>
      </c>
      <c r="AH14" s="18">
        <v>5</v>
      </c>
      <c r="AI14" s="18">
        <v>5</v>
      </c>
      <c r="AK14" s="4">
        <v>1</v>
      </c>
      <c r="AL14" s="4">
        <v>1</v>
      </c>
      <c r="AM14" s="4">
        <v>1</v>
      </c>
      <c r="AN14" s="4">
        <v>2</v>
      </c>
      <c r="AO14" s="4">
        <v>1</v>
      </c>
      <c r="AP14" s="4">
        <v>1</v>
      </c>
      <c r="AQ14" s="4">
        <v>1</v>
      </c>
    </row>
    <row r="15" spans="1:51">
      <c r="A15" s="24" t="str">
        <v>J</v>
      </c>
      <c r="B15" s="37" t="str">
        <v>J</v>
      </c>
      <c r="C15" s="10">
        <f t="shared" si="2"/>
        <v>25</v>
      </c>
      <c r="D15" s="10">
        <f t="shared" si="0"/>
        <v>1</v>
      </c>
      <c r="E15" s="10">
        <f t="shared" si="0"/>
        <v>20</v>
      </c>
      <c r="F15" s="10">
        <f t="shared" si="0"/>
        <v>6</v>
      </c>
      <c r="G15" s="10">
        <f t="shared" si="0"/>
        <v>27</v>
      </c>
      <c r="H15" s="10">
        <f t="shared" si="0"/>
        <v>5</v>
      </c>
      <c r="I15" s="10">
        <f t="shared" si="0"/>
        <v>5</v>
      </c>
      <c r="J15" s="4">
        <v>11</v>
      </c>
      <c r="L15" s="14">
        <v>11</v>
      </c>
      <c r="M15" s="38" t="s">
        <v>34</v>
      </c>
      <c r="N15" s="38" t="s">
        <v>38</v>
      </c>
      <c r="O15" s="38" t="s">
        <v>90</v>
      </c>
      <c r="P15" s="38" t="s">
        <v>90</v>
      </c>
      <c r="Q15" s="38" t="s">
        <v>90</v>
      </c>
      <c r="R15" s="38" t="s">
        <v>40</v>
      </c>
      <c r="S15" s="24" t="s">
        <v>40</v>
      </c>
      <c r="U15" s="37">
        <f t="shared" si="1"/>
        <v>16</v>
      </c>
      <c r="V15" s="37">
        <f t="shared" si="1"/>
        <v>15</v>
      </c>
      <c r="W15" s="37">
        <f t="shared" si="1"/>
        <v>6</v>
      </c>
      <c r="X15" s="37">
        <f t="shared" si="1"/>
        <v>6</v>
      </c>
      <c r="Y15" s="37">
        <f t="shared" si="1"/>
        <v>6</v>
      </c>
      <c r="Z15" s="37">
        <f t="shared" si="1"/>
        <v>12</v>
      </c>
      <c r="AA15" s="37">
        <f t="shared" si="1"/>
        <v>12</v>
      </c>
      <c r="AC15" s="18">
        <v>5</v>
      </c>
      <c r="AD15" s="18">
        <v>0</v>
      </c>
      <c r="AE15" s="18">
        <v>0</v>
      </c>
      <c r="AF15" s="18">
        <v>0</v>
      </c>
      <c r="AG15" s="18">
        <v>0</v>
      </c>
      <c r="AH15" s="18">
        <v>5</v>
      </c>
      <c r="AI15" s="18">
        <v>5</v>
      </c>
      <c r="AK15" s="4">
        <v>1</v>
      </c>
      <c r="AL15" s="4">
        <v>1</v>
      </c>
      <c r="AM15" s="4">
        <v>1</v>
      </c>
      <c r="AN15" s="4">
        <v>0</v>
      </c>
      <c r="AO15" s="4">
        <v>2</v>
      </c>
      <c r="AP15" s="4">
        <v>1</v>
      </c>
      <c r="AQ15" s="4">
        <v>1</v>
      </c>
    </row>
    <row r="16" spans="1:51">
      <c r="A16" s="37" t="str">
        <v>TE</v>
      </c>
      <c r="B16" s="37" t="str">
        <v>TE</v>
      </c>
      <c r="C16" s="10">
        <f t="shared" si="2"/>
        <v>19</v>
      </c>
      <c r="D16" s="10">
        <f t="shared" si="0"/>
        <v>15</v>
      </c>
      <c r="E16" s="10">
        <f t="shared" si="0"/>
        <v>6</v>
      </c>
      <c r="F16" s="10">
        <f t="shared" si="0"/>
        <v>13</v>
      </c>
      <c r="G16" s="10">
        <f t="shared" si="0"/>
        <v>10</v>
      </c>
      <c r="H16" s="10">
        <f t="shared" si="0"/>
        <v>18</v>
      </c>
      <c r="I16" s="10">
        <f t="shared" si="0"/>
        <v>12</v>
      </c>
      <c r="J16" s="4">
        <v>12</v>
      </c>
      <c r="L16" s="15">
        <v>12</v>
      </c>
      <c r="M16" s="38" t="s">
        <v>90</v>
      </c>
      <c r="N16" s="38" t="s">
        <v>38</v>
      </c>
      <c r="O16" s="38" t="s">
        <v>39</v>
      </c>
      <c r="P16" s="38" t="s">
        <v>38</v>
      </c>
      <c r="Q16" s="38" t="s">
        <v>90</v>
      </c>
      <c r="R16" s="38" t="s">
        <v>40</v>
      </c>
      <c r="S16" s="24" t="s">
        <v>40</v>
      </c>
      <c r="U16" s="37">
        <f t="shared" si="1"/>
        <v>6</v>
      </c>
      <c r="V16" s="37">
        <f t="shared" si="1"/>
        <v>15</v>
      </c>
      <c r="W16" s="37">
        <f t="shared" si="1"/>
        <v>5</v>
      </c>
      <c r="X16" s="37">
        <f t="shared" si="1"/>
        <v>15</v>
      </c>
      <c r="Y16" s="37">
        <f t="shared" si="1"/>
        <v>6</v>
      </c>
      <c r="Z16" s="37">
        <f t="shared" si="1"/>
        <v>12</v>
      </c>
      <c r="AA16" s="37">
        <f t="shared" si="1"/>
        <v>12</v>
      </c>
      <c r="AC16" s="18">
        <v>5</v>
      </c>
      <c r="AD16" s="18">
        <v>0</v>
      </c>
      <c r="AE16" s="18">
        <v>0</v>
      </c>
      <c r="AF16" s="18">
        <v>0</v>
      </c>
      <c r="AG16" s="18">
        <v>0</v>
      </c>
      <c r="AH16" s="18">
        <v>5</v>
      </c>
      <c r="AI16" s="18">
        <v>5</v>
      </c>
      <c r="AK16" s="4">
        <v>1</v>
      </c>
      <c r="AL16" s="4">
        <v>2</v>
      </c>
      <c r="AM16" s="4">
        <v>2</v>
      </c>
      <c r="AN16" s="4">
        <v>1</v>
      </c>
      <c r="AO16" s="4">
        <v>0</v>
      </c>
      <c r="AP16" s="4">
        <v>1</v>
      </c>
      <c r="AQ16" s="4">
        <v>1</v>
      </c>
    </row>
    <row r="17" spans="1:43">
      <c r="A17" s="154" t="str">
        <v>G1</v>
      </c>
      <c r="B17" s="151" t="str">
        <v>Golden M1</v>
      </c>
      <c r="C17" s="153">
        <f t="shared" si="2"/>
        <v>0</v>
      </c>
      <c r="D17" s="153">
        <f t="shared" si="0"/>
        <v>1</v>
      </c>
      <c r="E17" s="153">
        <f t="shared" si="0"/>
        <v>0</v>
      </c>
      <c r="F17" s="153">
        <f t="shared" si="0"/>
        <v>0</v>
      </c>
      <c r="G17" s="153">
        <f t="shared" si="0"/>
        <v>0</v>
      </c>
      <c r="H17" s="153">
        <f t="shared" si="0"/>
        <v>0</v>
      </c>
      <c r="I17" s="153">
        <f t="shared" si="0"/>
        <v>0</v>
      </c>
      <c r="J17" s="151">
        <v>13</v>
      </c>
      <c r="L17" s="14">
        <v>13</v>
      </c>
      <c r="M17" s="38" t="s">
        <v>90</v>
      </c>
      <c r="N17" s="38" t="s">
        <v>234</v>
      </c>
      <c r="O17" s="38" t="s">
        <v>39</v>
      </c>
      <c r="P17" s="38" t="s">
        <v>38</v>
      </c>
      <c r="Q17" s="38" t="s">
        <v>230</v>
      </c>
      <c r="R17" s="38" t="s">
        <v>38</v>
      </c>
      <c r="S17" s="24" t="s">
        <v>40</v>
      </c>
      <c r="U17" s="37">
        <f t="shared" si="1"/>
        <v>6</v>
      </c>
      <c r="V17" s="37">
        <f t="shared" si="1"/>
        <v>0</v>
      </c>
      <c r="W17" s="37">
        <f t="shared" si="1"/>
        <v>5</v>
      </c>
      <c r="X17" s="37">
        <f t="shared" si="1"/>
        <v>15</v>
      </c>
      <c r="Y17" s="37">
        <f t="shared" si="1"/>
        <v>0</v>
      </c>
      <c r="Z17" s="37">
        <f t="shared" si="1"/>
        <v>15</v>
      </c>
      <c r="AA17" s="37">
        <f t="shared" si="1"/>
        <v>12</v>
      </c>
      <c r="AC17" s="18">
        <v>5</v>
      </c>
      <c r="AD17" s="18">
        <v>0</v>
      </c>
      <c r="AE17" s="18">
        <v>0</v>
      </c>
      <c r="AF17" s="18">
        <v>0</v>
      </c>
      <c r="AG17" s="18">
        <v>0</v>
      </c>
      <c r="AH17" s="18">
        <v>5</v>
      </c>
      <c r="AI17" s="18">
        <v>5</v>
      </c>
      <c r="AK17" s="4">
        <v>1</v>
      </c>
      <c r="AL17" s="4">
        <v>0</v>
      </c>
      <c r="AM17" s="4">
        <v>0</v>
      </c>
      <c r="AN17" s="4">
        <v>1</v>
      </c>
      <c r="AO17" s="4">
        <v>1</v>
      </c>
      <c r="AP17" s="4">
        <v>1</v>
      </c>
      <c r="AQ17" s="4">
        <v>1</v>
      </c>
    </row>
    <row r="18" spans="1:43">
      <c r="A18" s="154" t="str">
        <v>G2</v>
      </c>
      <c r="B18" s="151" t="str">
        <v>Golden M2</v>
      </c>
      <c r="C18" s="153">
        <f t="shared" si="2"/>
        <v>0</v>
      </c>
      <c r="D18" s="153">
        <f t="shared" si="0"/>
        <v>1</v>
      </c>
      <c r="E18" s="153">
        <f t="shared" si="0"/>
        <v>1</v>
      </c>
      <c r="F18" s="153">
        <f t="shared" si="0"/>
        <v>0</v>
      </c>
      <c r="G18" s="153">
        <f t="shared" si="0"/>
        <v>1</v>
      </c>
      <c r="H18" s="153">
        <f t="shared" si="0"/>
        <v>0</v>
      </c>
      <c r="I18" s="153">
        <f t="shared" si="0"/>
        <v>0</v>
      </c>
      <c r="J18" s="151">
        <v>14</v>
      </c>
      <c r="L18" s="15">
        <v>14</v>
      </c>
      <c r="M18" s="38" t="s">
        <v>38</v>
      </c>
      <c r="N18" s="38" t="s">
        <v>32</v>
      </c>
      <c r="O18" s="38" t="s">
        <v>39</v>
      </c>
      <c r="P18" s="38" t="s">
        <v>39</v>
      </c>
      <c r="Q18" s="38" t="s">
        <v>65</v>
      </c>
      <c r="R18" s="38" t="s">
        <v>39</v>
      </c>
      <c r="S18" s="24" t="s">
        <v>37</v>
      </c>
      <c r="T18" s="150"/>
      <c r="U18" s="37">
        <f t="shared" si="1"/>
        <v>15</v>
      </c>
      <c r="V18" s="37">
        <f t="shared" si="1"/>
        <v>4</v>
      </c>
      <c r="W18" s="37">
        <f t="shared" si="1"/>
        <v>5</v>
      </c>
      <c r="X18" s="37">
        <f t="shared" si="1"/>
        <v>5</v>
      </c>
      <c r="Y18" s="37">
        <f t="shared" si="1"/>
        <v>17</v>
      </c>
      <c r="Z18" s="37">
        <f t="shared" si="1"/>
        <v>5</v>
      </c>
      <c r="AA18" s="37">
        <f t="shared" si="1"/>
        <v>13</v>
      </c>
      <c r="AB18" s="150"/>
      <c r="AC18" s="18">
        <v>5</v>
      </c>
      <c r="AD18" s="18">
        <v>0</v>
      </c>
      <c r="AE18" s="18">
        <v>0</v>
      </c>
      <c r="AF18" s="18">
        <v>0</v>
      </c>
      <c r="AG18" s="18">
        <v>1</v>
      </c>
      <c r="AH18" s="18">
        <v>5</v>
      </c>
      <c r="AI18" s="18">
        <v>5</v>
      </c>
      <c r="AJ18" s="47"/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</row>
    <row r="19" spans="1:43">
      <c r="A19" s="154" t="str">
        <v>G3</v>
      </c>
      <c r="B19" s="151" t="str">
        <v>Golden M3</v>
      </c>
      <c r="C19" s="153">
        <f t="shared" si="2"/>
        <v>0</v>
      </c>
      <c r="D19" s="153">
        <f t="shared" si="0"/>
        <v>1</v>
      </c>
      <c r="E19" s="153">
        <f t="shared" si="0"/>
        <v>1</v>
      </c>
      <c r="F19" s="153">
        <f t="shared" si="0"/>
        <v>1</v>
      </c>
      <c r="G19" s="153">
        <f t="shared" si="0"/>
        <v>1</v>
      </c>
      <c r="H19" s="153">
        <f t="shared" si="0"/>
        <v>0</v>
      </c>
      <c r="I19" s="153">
        <f t="shared" si="0"/>
        <v>0</v>
      </c>
      <c r="J19" s="151">
        <v>15</v>
      </c>
      <c r="K19" s="42"/>
      <c r="L19" s="14">
        <v>15</v>
      </c>
      <c r="M19" s="38" t="s">
        <v>40</v>
      </c>
      <c r="N19" s="38" t="s">
        <v>222</v>
      </c>
      <c r="O19" s="38" t="s">
        <v>90</v>
      </c>
      <c r="P19" s="38" t="s">
        <v>39</v>
      </c>
      <c r="Q19" s="38" t="s">
        <v>232</v>
      </c>
      <c r="R19" s="38" t="s">
        <v>65</v>
      </c>
      <c r="S19" s="24" t="s">
        <v>37</v>
      </c>
      <c r="U19" s="37">
        <f t="shared" si="1"/>
        <v>12</v>
      </c>
      <c r="V19" s="37">
        <f t="shared" si="1"/>
        <v>0</v>
      </c>
      <c r="W19" s="37">
        <f t="shared" si="1"/>
        <v>6</v>
      </c>
      <c r="X19" s="37">
        <f t="shared" si="1"/>
        <v>5</v>
      </c>
      <c r="Y19" s="37">
        <f t="shared" si="1"/>
        <v>0</v>
      </c>
      <c r="Z19" s="37">
        <f t="shared" si="1"/>
        <v>17</v>
      </c>
      <c r="AA19" s="37">
        <f t="shared" si="1"/>
        <v>13</v>
      </c>
      <c r="AC19" s="18">
        <v>5</v>
      </c>
      <c r="AD19" s="18">
        <v>5</v>
      </c>
      <c r="AE19" s="18">
        <v>5</v>
      </c>
      <c r="AF19" s="18">
        <v>5</v>
      </c>
      <c r="AG19" s="18">
        <v>6</v>
      </c>
      <c r="AH19" s="18">
        <v>5</v>
      </c>
      <c r="AI19" s="18">
        <v>5</v>
      </c>
      <c r="AK19" s="4">
        <v>1</v>
      </c>
      <c r="AL19" s="4">
        <v>1</v>
      </c>
      <c r="AM19" s="4">
        <v>1</v>
      </c>
      <c r="AN19" s="4">
        <v>2</v>
      </c>
      <c r="AO19" s="4">
        <v>2</v>
      </c>
      <c r="AP19" s="4">
        <v>1</v>
      </c>
      <c r="AQ19" s="4">
        <v>1</v>
      </c>
    </row>
    <row r="20" spans="1:43">
      <c r="A20" s="154" t="str">
        <v>G4</v>
      </c>
      <c r="B20" s="151" t="str">
        <v>Golden M4</v>
      </c>
      <c r="C20" s="153">
        <f t="shared" si="2"/>
        <v>0</v>
      </c>
      <c r="D20" s="153">
        <f t="shared" si="2"/>
        <v>1</v>
      </c>
      <c r="E20" s="153">
        <f t="shared" si="2"/>
        <v>1</v>
      </c>
      <c r="F20" s="153">
        <f t="shared" si="2"/>
        <v>0</v>
      </c>
      <c r="G20" s="153">
        <f t="shared" si="2"/>
        <v>1</v>
      </c>
      <c r="H20" s="153">
        <f t="shared" si="2"/>
        <v>0</v>
      </c>
      <c r="I20" s="153">
        <f t="shared" si="2"/>
        <v>0</v>
      </c>
      <c r="J20" s="151">
        <v>16</v>
      </c>
      <c r="L20" s="15">
        <v>16</v>
      </c>
      <c r="M20" s="38" t="s">
        <v>40</v>
      </c>
      <c r="N20" s="38" t="s">
        <v>40</v>
      </c>
      <c r="O20" s="38" t="s">
        <v>90</v>
      </c>
      <c r="P20" s="38" t="s">
        <v>25</v>
      </c>
      <c r="Q20" s="38" t="s">
        <v>90</v>
      </c>
      <c r="R20" s="38" t="s">
        <v>25</v>
      </c>
      <c r="S20" s="24" t="s">
        <v>37</v>
      </c>
      <c r="U20" s="37">
        <f t="shared" ref="U20:AA56" si="3">VLOOKUP(M20, $A$4:$J$29, 9, 0)</f>
        <v>12</v>
      </c>
      <c r="V20" s="37">
        <f t="shared" si="3"/>
        <v>12</v>
      </c>
      <c r="W20" s="37">
        <f t="shared" si="3"/>
        <v>6</v>
      </c>
      <c r="X20" s="37">
        <f t="shared" si="3"/>
        <v>5</v>
      </c>
      <c r="Y20" s="37">
        <f t="shared" si="3"/>
        <v>6</v>
      </c>
      <c r="Z20" s="37">
        <f t="shared" si="3"/>
        <v>5</v>
      </c>
      <c r="AA20" s="37">
        <f t="shared" si="3"/>
        <v>13</v>
      </c>
      <c r="AC20" s="18">
        <v>5</v>
      </c>
      <c r="AD20" s="18">
        <v>0</v>
      </c>
      <c r="AE20" s="18">
        <v>0</v>
      </c>
      <c r="AF20" s="18">
        <v>0</v>
      </c>
      <c r="AG20" s="18">
        <v>0</v>
      </c>
      <c r="AH20" s="18">
        <v>5</v>
      </c>
      <c r="AI20" s="18">
        <v>5</v>
      </c>
      <c r="AK20" s="4">
        <v>1</v>
      </c>
      <c r="AL20" s="4">
        <v>2</v>
      </c>
      <c r="AM20" s="4">
        <v>1</v>
      </c>
      <c r="AN20" s="4">
        <v>0</v>
      </c>
      <c r="AO20" s="4">
        <v>0</v>
      </c>
      <c r="AP20" s="4">
        <v>1</v>
      </c>
      <c r="AQ20" s="4">
        <v>1</v>
      </c>
    </row>
    <row r="21" spans="1:43">
      <c r="A21" s="154" t="str">
        <v>G5</v>
      </c>
      <c r="B21" s="151" t="str">
        <v>Golden M5</v>
      </c>
      <c r="C21" s="153">
        <f t="shared" si="2"/>
        <v>0</v>
      </c>
      <c r="D21" s="153">
        <f t="shared" si="2"/>
        <v>4</v>
      </c>
      <c r="E21" s="153">
        <f t="shared" si="2"/>
        <v>1</v>
      </c>
      <c r="F21" s="153">
        <f t="shared" si="2"/>
        <v>1</v>
      </c>
      <c r="G21" s="153">
        <f t="shared" si="2"/>
        <v>1</v>
      </c>
      <c r="H21" s="153">
        <f t="shared" si="2"/>
        <v>0</v>
      </c>
      <c r="I21" s="153">
        <f t="shared" si="2"/>
        <v>0</v>
      </c>
      <c r="J21" s="151">
        <v>17</v>
      </c>
      <c r="L21" s="14">
        <v>17</v>
      </c>
      <c r="M21" s="38" t="s">
        <v>39</v>
      </c>
      <c r="N21" s="38" t="s">
        <v>40</v>
      </c>
      <c r="O21" s="38" t="s">
        <v>37</v>
      </c>
      <c r="P21" s="38" t="s">
        <v>25</v>
      </c>
      <c r="Q21" s="38" t="s">
        <v>90</v>
      </c>
      <c r="R21" s="38" t="s">
        <v>65</v>
      </c>
      <c r="S21" s="24" t="s">
        <v>65</v>
      </c>
      <c r="U21" s="37">
        <f t="shared" si="3"/>
        <v>5</v>
      </c>
      <c r="V21" s="37">
        <f t="shared" si="3"/>
        <v>12</v>
      </c>
      <c r="W21" s="37">
        <f t="shared" si="3"/>
        <v>13</v>
      </c>
      <c r="X21" s="37">
        <f t="shared" si="3"/>
        <v>5</v>
      </c>
      <c r="Y21" s="37">
        <f t="shared" si="3"/>
        <v>6</v>
      </c>
      <c r="Z21" s="37">
        <f t="shared" si="3"/>
        <v>17</v>
      </c>
      <c r="AA21" s="37">
        <f t="shared" si="3"/>
        <v>17</v>
      </c>
      <c r="AC21" s="18">
        <v>5</v>
      </c>
      <c r="AD21" s="18">
        <v>0</v>
      </c>
      <c r="AE21" s="18">
        <v>0</v>
      </c>
      <c r="AF21" s="18">
        <v>0</v>
      </c>
      <c r="AG21" s="18">
        <v>0</v>
      </c>
      <c r="AH21" s="18">
        <v>5</v>
      </c>
      <c r="AI21" s="18">
        <v>5</v>
      </c>
      <c r="AK21" s="4">
        <v>1</v>
      </c>
      <c r="AL21" s="4">
        <v>0</v>
      </c>
      <c r="AM21" s="4">
        <v>1</v>
      </c>
      <c r="AN21" s="4">
        <v>1</v>
      </c>
      <c r="AO21" s="4">
        <v>2</v>
      </c>
      <c r="AP21" s="4">
        <v>1</v>
      </c>
      <c r="AQ21" s="4">
        <v>1</v>
      </c>
    </row>
    <row r="22" spans="1:43">
      <c r="A22" s="154" t="str">
        <v>G6</v>
      </c>
      <c r="B22" s="151" t="str">
        <v>Golden M6</v>
      </c>
      <c r="C22" s="153">
        <f t="shared" si="2"/>
        <v>0</v>
      </c>
      <c r="D22" s="153">
        <f t="shared" si="2"/>
        <v>4</v>
      </c>
      <c r="E22" s="153">
        <f t="shared" si="2"/>
        <v>2</v>
      </c>
      <c r="F22" s="153">
        <f t="shared" si="2"/>
        <v>1</v>
      </c>
      <c r="G22" s="153">
        <f t="shared" si="2"/>
        <v>1</v>
      </c>
      <c r="H22" s="153">
        <f t="shared" si="2"/>
        <v>0</v>
      </c>
      <c r="I22" s="153">
        <f t="shared" si="2"/>
        <v>0</v>
      </c>
      <c r="J22" s="151">
        <v>18</v>
      </c>
      <c r="L22" s="15">
        <v>18</v>
      </c>
      <c r="M22" s="38" t="s">
        <v>39</v>
      </c>
      <c r="N22" s="38" t="s">
        <v>90</v>
      </c>
      <c r="O22" s="38" t="s">
        <v>65</v>
      </c>
      <c r="P22" s="38" t="s">
        <v>34</v>
      </c>
      <c r="Q22" s="38" t="s">
        <v>37</v>
      </c>
      <c r="R22" s="38" t="s">
        <v>65</v>
      </c>
      <c r="S22" s="38" t="s">
        <v>34</v>
      </c>
      <c r="U22" s="37">
        <f t="shared" si="3"/>
        <v>5</v>
      </c>
      <c r="V22" s="37">
        <f t="shared" si="3"/>
        <v>6</v>
      </c>
      <c r="W22" s="37">
        <f t="shared" si="3"/>
        <v>17</v>
      </c>
      <c r="X22" s="37">
        <f t="shared" si="3"/>
        <v>16</v>
      </c>
      <c r="Y22" s="37">
        <f t="shared" si="3"/>
        <v>13</v>
      </c>
      <c r="Z22" s="37">
        <f t="shared" si="3"/>
        <v>17</v>
      </c>
      <c r="AA22" s="37">
        <f t="shared" si="3"/>
        <v>16</v>
      </c>
      <c r="AC22" s="18">
        <v>5</v>
      </c>
      <c r="AD22" s="18">
        <v>0</v>
      </c>
      <c r="AE22" s="18">
        <v>0</v>
      </c>
      <c r="AF22" s="18">
        <v>0</v>
      </c>
      <c r="AG22" s="18">
        <v>0</v>
      </c>
      <c r="AH22" s="18">
        <v>5</v>
      </c>
      <c r="AI22" s="18">
        <v>5</v>
      </c>
      <c r="AK22" s="4">
        <v>1</v>
      </c>
      <c r="AL22" s="4">
        <v>1</v>
      </c>
      <c r="AM22" s="4">
        <v>1</v>
      </c>
      <c r="AN22" s="4">
        <v>2</v>
      </c>
      <c r="AO22" s="4">
        <v>0</v>
      </c>
      <c r="AP22" s="4">
        <v>1</v>
      </c>
      <c r="AQ22" s="4">
        <v>1</v>
      </c>
    </row>
    <row r="23" spans="1:43">
      <c r="A23" s="37" t="str">
        <v>GA</v>
      </c>
      <c r="B23" s="4" t="str">
        <v>Golden A</v>
      </c>
      <c r="C23" s="10">
        <f t="shared" si="2"/>
        <v>0</v>
      </c>
      <c r="D23" s="10">
        <f t="shared" si="2"/>
        <v>2</v>
      </c>
      <c r="E23" s="10">
        <f t="shared" si="2"/>
        <v>1</v>
      </c>
      <c r="F23" s="10">
        <f t="shared" si="2"/>
        <v>1</v>
      </c>
      <c r="G23" s="10">
        <f t="shared" si="2"/>
        <v>0</v>
      </c>
      <c r="H23" s="10">
        <f t="shared" si="2"/>
        <v>0</v>
      </c>
      <c r="I23" s="10">
        <f t="shared" si="2"/>
        <v>0</v>
      </c>
      <c r="J23" s="4">
        <v>19</v>
      </c>
      <c r="L23" s="14">
        <v>19</v>
      </c>
      <c r="M23" s="38" t="s">
        <v>90</v>
      </c>
      <c r="N23" s="38" t="s">
        <v>25</v>
      </c>
      <c r="O23" s="38" t="s">
        <v>37</v>
      </c>
      <c r="P23" s="38" t="s">
        <v>25</v>
      </c>
      <c r="Q23" s="38" t="s">
        <v>90</v>
      </c>
      <c r="R23" s="38" t="s">
        <v>65</v>
      </c>
      <c r="S23" s="24" t="s">
        <v>34</v>
      </c>
      <c r="U23" s="37">
        <f t="shared" si="3"/>
        <v>6</v>
      </c>
      <c r="V23" s="37">
        <f t="shared" si="3"/>
        <v>5</v>
      </c>
      <c r="W23" s="37">
        <f t="shared" si="3"/>
        <v>13</v>
      </c>
      <c r="X23" s="37">
        <f t="shared" si="3"/>
        <v>5</v>
      </c>
      <c r="Y23" s="37">
        <f t="shared" si="3"/>
        <v>6</v>
      </c>
      <c r="Z23" s="37">
        <f t="shared" si="3"/>
        <v>17</v>
      </c>
      <c r="AA23" s="37">
        <f t="shared" si="3"/>
        <v>16</v>
      </c>
      <c r="AC23" s="18">
        <v>5</v>
      </c>
      <c r="AD23" s="18">
        <v>0</v>
      </c>
      <c r="AE23" s="18">
        <v>0</v>
      </c>
      <c r="AF23" s="18">
        <v>0</v>
      </c>
      <c r="AG23" s="18">
        <v>0</v>
      </c>
      <c r="AH23" s="18">
        <v>5</v>
      </c>
      <c r="AI23" s="18">
        <v>5</v>
      </c>
      <c r="AK23" s="4">
        <v>1</v>
      </c>
      <c r="AL23" s="4">
        <v>1</v>
      </c>
      <c r="AM23" s="4">
        <v>1</v>
      </c>
      <c r="AN23" s="4">
        <v>0</v>
      </c>
      <c r="AO23" s="4">
        <v>1</v>
      </c>
      <c r="AP23" s="4">
        <v>1</v>
      </c>
      <c r="AQ23" s="4">
        <v>1</v>
      </c>
    </row>
    <row r="24" spans="1:43">
      <c r="A24" s="37" t="str">
        <v>GK</v>
      </c>
      <c r="B24" s="4" t="str">
        <v>Golden K</v>
      </c>
      <c r="C24" s="10">
        <f t="shared" si="2"/>
        <v>0</v>
      </c>
      <c r="D24" s="10">
        <f t="shared" si="2"/>
        <v>1</v>
      </c>
      <c r="E24" s="10">
        <f t="shared" si="2"/>
        <v>1</v>
      </c>
      <c r="F24" s="10">
        <f t="shared" si="2"/>
        <v>1</v>
      </c>
      <c r="G24" s="10">
        <f t="shared" si="2"/>
        <v>1</v>
      </c>
      <c r="H24" s="10">
        <f t="shared" si="2"/>
        <v>0</v>
      </c>
      <c r="I24" s="10">
        <f t="shared" si="2"/>
        <v>0</v>
      </c>
      <c r="J24" s="4">
        <v>20</v>
      </c>
      <c r="L24" s="15">
        <v>20</v>
      </c>
      <c r="M24" s="38" t="s">
        <v>39</v>
      </c>
      <c r="N24" s="38" t="s">
        <v>40</v>
      </c>
      <c r="O24" s="38" t="s">
        <v>37</v>
      </c>
      <c r="P24" s="38" t="s">
        <v>25</v>
      </c>
      <c r="Q24" s="38" t="s">
        <v>34</v>
      </c>
      <c r="R24" s="38" t="s">
        <v>38</v>
      </c>
      <c r="S24" s="24" t="s">
        <v>34</v>
      </c>
      <c r="U24" s="37">
        <f t="shared" si="3"/>
        <v>5</v>
      </c>
      <c r="V24" s="37">
        <f t="shared" si="3"/>
        <v>12</v>
      </c>
      <c r="W24" s="37">
        <f t="shared" si="3"/>
        <v>13</v>
      </c>
      <c r="X24" s="37">
        <f t="shared" si="3"/>
        <v>5</v>
      </c>
      <c r="Y24" s="37">
        <f t="shared" si="3"/>
        <v>16</v>
      </c>
      <c r="Z24" s="37">
        <f t="shared" si="3"/>
        <v>15</v>
      </c>
      <c r="AA24" s="37">
        <f t="shared" si="3"/>
        <v>16</v>
      </c>
      <c r="AC24" s="18">
        <v>5</v>
      </c>
      <c r="AD24" s="18">
        <v>5</v>
      </c>
      <c r="AE24" s="18">
        <v>5</v>
      </c>
      <c r="AF24" s="18">
        <v>5</v>
      </c>
      <c r="AG24" s="18">
        <v>6</v>
      </c>
      <c r="AH24" s="18">
        <v>5</v>
      </c>
      <c r="AI24" s="18">
        <v>5</v>
      </c>
      <c r="AK24" s="4">
        <v>1</v>
      </c>
      <c r="AL24" s="4">
        <v>3</v>
      </c>
      <c r="AM24" s="4">
        <v>1</v>
      </c>
      <c r="AN24" s="4">
        <v>1</v>
      </c>
      <c r="AO24" s="4">
        <v>3</v>
      </c>
      <c r="AP24" s="4">
        <v>1</v>
      </c>
      <c r="AQ24" s="4">
        <v>1</v>
      </c>
    </row>
    <row r="25" spans="1:43">
      <c r="A25" s="37" t="str">
        <v>GQ</v>
      </c>
      <c r="B25" s="4" t="str">
        <v>Golden Q</v>
      </c>
      <c r="C25" s="10">
        <f t="shared" si="2"/>
        <v>0</v>
      </c>
      <c r="D25" s="10">
        <f t="shared" si="2"/>
        <v>1</v>
      </c>
      <c r="E25" s="10">
        <f t="shared" si="2"/>
        <v>1</v>
      </c>
      <c r="F25" s="10">
        <f t="shared" si="2"/>
        <v>3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4">
        <v>21</v>
      </c>
      <c r="L25" s="14">
        <v>21</v>
      </c>
      <c r="M25" s="38" t="s">
        <v>40</v>
      </c>
      <c r="N25" s="38" t="s">
        <v>232</v>
      </c>
      <c r="O25" s="38" t="s">
        <v>37</v>
      </c>
      <c r="P25" s="38" t="s">
        <v>238</v>
      </c>
      <c r="Q25" s="38" t="s">
        <v>34</v>
      </c>
      <c r="R25" s="38" t="s">
        <v>38</v>
      </c>
      <c r="S25" s="24" t="s">
        <v>38</v>
      </c>
      <c r="U25" s="37">
        <f t="shared" si="3"/>
        <v>12</v>
      </c>
      <c r="V25" s="37">
        <f t="shared" si="3"/>
        <v>0</v>
      </c>
      <c r="W25" s="37">
        <f t="shared" si="3"/>
        <v>13</v>
      </c>
      <c r="X25" s="37">
        <f t="shared" si="3"/>
        <v>0</v>
      </c>
      <c r="Y25" s="37">
        <f t="shared" si="3"/>
        <v>16</v>
      </c>
      <c r="Z25" s="37">
        <f t="shared" si="3"/>
        <v>15</v>
      </c>
      <c r="AA25" s="37">
        <f t="shared" si="3"/>
        <v>15</v>
      </c>
      <c r="AC25" s="18">
        <v>5</v>
      </c>
      <c r="AD25" s="18">
        <v>0</v>
      </c>
      <c r="AE25" s="18">
        <v>0</v>
      </c>
      <c r="AF25" s="18">
        <v>0</v>
      </c>
      <c r="AG25" s="18">
        <v>0</v>
      </c>
      <c r="AH25" s="18">
        <v>5</v>
      </c>
      <c r="AI25" s="18">
        <v>5</v>
      </c>
      <c r="AK25" s="4">
        <v>1</v>
      </c>
      <c r="AL25" s="4">
        <v>0</v>
      </c>
      <c r="AM25" s="4">
        <v>3</v>
      </c>
      <c r="AN25" s="4">
        <v>3</v>
      </c>
      <c r="AO25" s="4">
        <v>0</v>
      </c>
      <c r="AP25" s="4">
        <v>1</v>
      </c>
      <c r="AQ25" s="4">
        <v>1</v>
      </c>
    </row>
    <row r="26" spans="1:43">
      <c r="A26" s="37" t="str">
        <v>GJ</v>
      </c>
      <c r="B26" s="4" t="str">
        <v>Golden J</v>
      </c>
      <c r="C26" s="10">
        <f t="shared" si="2"/>
        <v>0</v>
      </c>
      <c r="D26" s="10">
        <f t="shared" si="2"/>
        <v>1</v>
      </c>
      <c r="E26" s="10">
        <f t="shared" si="2"/>
        <v>1</v>
      </c>
      <c r="F26" s="10">
        <f t="shared" si="2"/>
        <v>0</v>
      </c>
      <c r="G26" s="10">
        <f t="shared" si="2"/>
        <v>1</v>
      </c>
      <c r="H26" s="10">
        <f t="shared" si="2"/>
        <v>0</v>
      </c>
      <c r="I26" s="10">
        <f t="shared" si="2"/>
        <v>0</v>
      </c>
      <c r="J26" s="4">
        <v>22</v>
      </c>
      <c r="L26" s="15">
        <v>22</v>
      </c>
      <c r="M26" s="38" t="s">
        <v>90</v>
      </c>
      <c r="N26" s="38" t="s">
        <v>37</v>
      </c>
      <c r="O26" s="38" t="s">
        <v>39</v>
      </c>
      <c r="P26" s="38" t="s">
        <v>38</v>
      </c>
      <c r="Q26" s="38" t="s">
        <v>37</v>
      </c>
      <c r="R26" s="38" t="s">
        <v>38</v>
      </c>
      <c r="S26" s="24" t="s">
        <v>37</v>
      </c>
      <c r="U26" s="37">
        <f t="shared" si="3"/>
        <v>6</v>
      </c>
      <c r="V26" s="37">
        <f t="shared" si="3"/>
        <v>13</v>
      </c>
      <c r="W26" s="37">
        <f t="shared" si="3"/>
        <v>5</v>
      </c>
      <c r="X26" s="37">
        <f t="shared" si="3"/>
        <v>15</v>
      </c>
      <c r="Y26" s="37">
        <f t="shared" si="3"/>
        <v>13</v>
      </c>
      <c r="Z26" s="37">
        <f t="shared" si="3"/>
        <v>15</v>
      </c>
      <c r="AA26" s="37">
        <f t="shared" si="3"/>
        <v>13</v>
      </c>
      <c r="AC26" s="18">
        <v>5</v>
      </c>
      <c r="AD26" s="18">
        <v>0</v>
      </c>
      <c r="AE26" s="18">
        <v>0</v>
      </c>
      <c r="AF26" s="18">
        <v>0</v>
      </c>
      <c r="AG26" s="18">
        <v>0</v>
      </c>
      <c r="AH26" s="18">
        <v>5</v>
      </c>
      <c r="AI26" s="18">
        <v>5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1</v>
      </c>
      <c r="AQ26" s="4">
        <v>1</v>
      </c>
    </row>
    <row r="27" spans="1:43">
      <c r="A27" s="37" t="str">
        <v>GT</v>
      </c>
      <c r="B27" s="37" t="str">
        <v>Golden TE</v>
      </c>
      <c r="C27" s="10">
        <f t="shared" si="2"/>
        <v>0</v>
      </c>
      <c r="D27" s="10">
        <f t="shared" si="2"/>
        <v>2</v>
      </c>
      <c r="E27" s="10">
        <f t="shared" si="2"/>
        <v>1</v>
      </c>
      <c r="F27" s="10">
        <f t="shared" si="2"/>
        <v>0</v>
      </c>
      <c r="G27" s="10">
        <f t="shared" si="2"/>
        <v>1</v>
      </c>
      <c r="H27" s="10">
        <f t="shared" si="2"/>
        <v>0</v>
      </c>
      <c r="I27" s="10">
        <f t="shared" si="2"/>
        <v>0</v>
      </c>
      <c r="J27" s="4">
        <v>23</v>
      </c>
      <c r="L27" s="14">
        <v>23</v>
      </c>
      <c r="M27" s="38" t="s">
        <v>37</v>
      </c>
      <c r="N27" s="38" t="s">
        <v>37</v>
      </c>
      <c r="O27" s="38" t="s">
        <v>39</v>
      </c>
      <c r="P27" s="38" t="s">
        <v>38</v>
      </c>
      <c r="Q27" s="38" t="s">
        <v>33</v>
      </c>
      <c r="R27" s="38" t="s">
        <v>65</v>
      </c>
      <c r="S27" s="24" t="s">
        <v>37</v>
      </c>
      <c r="U27" s="37">
        <f t="shared" si="3"/>
        <v>13</v>
      </c>
      <c r="V27" s="37">
        <f t="shared" si="3"/>
        <v>13</v>
      </c>
      <c r="W27" s="37">
        <f t="shared" si="3"/>
        <v>5</v>
      </c>
      <c r="X27" s="37">
        <f t="shared" si="3"/>
        <v>15</v>
      </c>
      <c r="Y27" s="37">
        <f t="shared" si="3"/>
        <v>11</v>
      </c>
      <c r="Z27" s="37">
        <f t="shared" si="3"/>
        <v>17</v>
      </c>
      <c r="AA27" s="37">
        <f t="shared" si="3"/>
        <v>13</v>
      </c>
      <c r="AC27" s="18">
        <v>5</v>
      </c>
      <c r="AD27" s="18">
        <v>0</v>
      </c>
      <c r="AE27" s="18">
        <v>0</v>
      </c>
      <c r="AF27" s="18">
        <v>0</v>
      </c>
      <c r="AG27" s="18">
        <v>0</v>
      </c>
      <c r="AH27" s="18">
        <v>5</v>
      </c>
      <c r="AI27" s="18">
        <v>5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1</v>
      </c>
      <c r="AQ27" s="4">
        <v>1</v>
      </c>
    </row>
    <row r="28" spans="1:43">
      <c r="A28" s="154" t="str">
        <v>MY</v>
      </c>
      <c r="B28" s="154" t="str">
        <v>Mystery</v>
      </c>
      <c r="C28" s="153">
        <f t="shared" si="2"/>
        <v>2</v>
      </c>
      <c r="D28" s="153">
        <f t="shared" si="2"/>
        <v>2</v>
      </c>
      <c r="E28" s="153">
        <f t="shared" si="2"/>
        <v>3</v>
      </c>
      <c r="F28" s="153">
        <f t="shared" si="2"/>
        <v>2</v>
      </c>
      <c r="G28" s="153">
        <f t="shared" si="2"/>
        <v>2</v>
      </c>
      <c r="H28" s="153">
        <f t="shared" si="2"/>
        <v>2</v>
      </c>
      <c r="I28" s="153">
        <f t="shared" si="2"/>
        <v>2</v>
      </c>
      <c r="J28" s="151">
        <v>24</v>
      </c>
      <c r="L28" s="15">
        <v>24</v>
      </c>
      <c r="M28" s="38" t="s">
        <v>37</v>
      </c>
      <c r="N28" s="38" t="s">
        <v>230</v>
      </c>
      <c r="O28" s="38" t="s">
        <v>35</v>
      </c>
      <c r="P28" s="38" t="s">
        <v>25</v>
      </c>
      <c r="Q28" s="38" t="s">
        <v>37</v>
      </c>
      <c r="R28" s="38" t="s">
        <v>34</v>
      </c>
      <c r="S28" s="24" t="s">
        <v>33</v>
      </c>
      <c r="U28" s="37">
        <f t="shared" si="3"/>
        <v>13</v>
      </c>
      <c r="V28" s="37">
        <f t="shared" si="3"/>
        <v>0</v>
      </c>
      <c r="W28" s="37">
        <f t="shared" si="3"/>
        <v>15</v>
      </c>
      <c r="X28" s="37">
        <f t="shared" si="3"/>
        <v>5</v>
      </c>
      <c r="Y28" s="37">
        <f t="shared" si="3"/>
        <v>13</v>
      </c>
      <c r="Z28" s="37">
        <f t="shared" si="3"/>
        <v>16</v>
      </c>
      <c r="AA28" s="37">
        <f t="shared" si="3"/>
        <v>11</v>
      </c>
      <c r="AC28" s="18">
        <v>5</v>
      </c>
      <c r="AD28" s="18">
        <v>0</v>
      </c>
      <c r="AE28" s="18">
        <v>0</v>
      </c>
      <c r="AF28" s="18">
        <v>0</v>
      </c>
      <c r="AG28" s="18">
        <v>0</v>
      </c>
      <c r="AH28" s="18">
        <v>5</v>
      </c>
      <c r="AI28" s="18">
        <v>5</v>
      </c>
      <c r="AK28" s="4">
        <v>1</v>
      </c>
      <c r="AL28" s="4">
        <v>0</v>
      </c>
      <c r="AM28" s="4">
        <v>1</v>
      </c>
      <c r="AN28" s="4">
        <v>1</v>
      </c>
      <c r="AO28" s="4">
        <v>0</v>
      </c>
      <c r="AP28" s="4">
        <v>1</v>
      </c>
      <c r="AQ28" s="4">
        <v>1</v>
      </c>
    </row>
    <row r="29" spans="1:43">
      <c r="A29" s="154" t="str">
        <v>GM</v>
      </c>
      <c r="B29" s="154" t="str">
        <v>Golden Mystery</v>
      </c>
      <c r="C29" s="153">
        <f t="shared" si="2"/>
        <v>0</v>
      </c>
      <c r="D29" s="153">
        <f t="shared" si="2"/>
        <v>1</v>
      </c>
      <c r="E29" s="153">
        <f t="shared" si="2"/>
        <v>1</v>
      </c>
      <c r="F29" s="153">
        <f t="shared" si="2"/>
        <v>1</v>
      </c>
      <c r="G29" s="153">
        <f t="shared" si="2"/>
        <v>1</v>
      </c>
      <c r="H29" s="153">
        <f t="shared" si="2"/>
        <v>0</v>
      </c>
      <c r="I29" s="153">
        <f t="shared" si="2"/>
        <v>0</v>
      </c>
      <c r="J29" s="151">
        <v>25</v>
      </c>
      <c r="L29" s="14">
        <v>25</v>
      </c>
      <c r="M29" s="38" t="s">
        <v>39</v>
      </c>
      <c r="N29" s="38" t="s">
        <v>65</v>
      </c>
      <c r="O29" s="38" t="s">
        <v>35</v>
      </c>
      <c r="P29" s="38" t="s">
        <v>34</v>
      </c>
      <c r="Q29" s="38" t="s">
        <v>38</v>
      </c>
      <c r="R29" s="38" t="s">
        <v>25</v>
      </c>
      <c r="S29" s="24" t="s">
        <v>33</v>
      </c>
      <c r="U29" s="37">
        <f t="shared" si="3"/>
        <v>5</v>
      </c>
      <c r="V29" s="37">
        <f t="shared" si="3"/>
        <v>17</v>
      </c>
      <c r="W29" s="37">
        <f t="shared" si="3"/>
        <v>15</v>
      </c>
      <c r="X29" s="37">
        <f t="shared" si="3"/>
        <v>16</v>
      </c>
      <c r="Y29" s="37">
        <f t="shared" si="3"/>
        <v>15</v>
      </c>
      <c r="Z29" s="37">
        <f t="shared" si="3"/>
        <v>5</v>
      </c>
      <c r="AA29" s="37">
        <f t="shared" si="3"/>
        <v>11</v>
      </c>
      <c r="AC29" s="18">
        <v>5</v>
      </c>
      <c r="AD29" s="18">
        <v>5</v>
      </c>
      <c r="AE29" s="18">
        <v>5</v>
      </c>
      <c r="AF29" s="18">
        <v>5</v>
      </c>
      <c r="AG29" s="18">
        <v>4</v>
      </c>
      <c r="AH29" s="18">
        <v>5</v>
      </c>
      <c r="AI29" s="18">
        <v>5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</row>
    <row r="30" spans="1:43">
      <c r="A30" s="150"/>
      <c r="B30" s="150"/>
      <c r="C30" s="170">
        <f>SUM(C4:C29)</f>
        <v>121</v>
      </c>
      <c r="D30" s="170">
        <f t="shared" ref="D30:I30" si="4">SUM(D4:D29)</f>
        <v>121</v>
      </c>
      <c r="E30" s="170">
        <f t="shared" si="4"/>
        <v>121</v>
      </c>
      <c r="F30" s="170">
        <f t="shared" si="4"/>
        <v>121</v>
      </c>
      <c r="G30" s="170">
        <f t="shared" si="4"/>
        <v>121</v>
      </c>
      <c r="H30" s="170">
        <f t="shared" si="4"/>
        <v>121</v>
      </c>
      <c r="I30" s="170">
        <f t="shared" si="4"/>
        <v>121</v>
      </c>
      <c r="J30" s="13"/>
      <c r="L30" s="15">
        <v>26</v>
      </c>
      <c r="M30" s="38" t="s">
        <v>37</v>
      </c>
      <c r="N30" s="38" t="s">
        <v>65</v>
      </c>
      <c r="O30" s="38" t="s">
        <v>40</v>
      </c>
      <c r="P30" s="38" t="s">
        <v>38</v>
      </c>
      <c r="Q30" s="38" t="s">
        <v>37</v>
      </c>
      <c r="R30" s="38" t="s">
        <v>65</v>
      </c>
      <c r="S30" s="24" t="s">
        <v>33</v>
      </c>
      <c r="U30" s="37">
        <f t="shared" si="3"/>
        <v>13</v>
      </c>
      <c r="V30" s="37">
        <f t="shared" si="3"/>
        <v>17</v>
      </c>
      <c r="W30" s="37">
        <f t="shared" si="3"/>
        <v>12</v>
      </c>
      <c r="X30" s="37">
        <f t="shared" si="3"/>
        <v>15</v>
      </c>
      <c r="Y30" s="37">
        <f t="shared" si="3"/>
        <v>13</v>
      </c>
      <c r="Z30" s="37">
        <f t="shared" si="3"/>
        <v>17</v>
      </c>
      <c r="AA30" s="37">
        <f t="shared" si="3"/>
        <v>11</v>
      </c>
      <c r="AC30" s="18">
        <v>5</v>
      </c>
      <c r="AD30" s="18">
        <v>0</v>
      </c>
      <c r="AE30" s="18">
        <v>0</v>
      </c>
      <c r="AF30" s="18">
        <v>0</v>
      </c>
      <c r="AG30" s="18">
        <v>1</v>
      </c>
      <c r="AH30" s="18">
        <v>5</v>
      </c>
      <c r="AI30" s="18">
        <v>5</v>
      </c>
      <c r="AK30" s="4">
        <v>1</v>
      </c>
      <c r="AL30" s="4">
        <v>1</v>
      </c>
      <c r="AM30" s="4">
        <v>1</v>
      </c>
      <c r="AN30" s="4">
        <v>1</v>
      </c>
      <c r="AO30" s="4">
        <v>3</v>
      </c>
      <c r="AP30" s="4">
        <v>1</v>
      </c>
      <c r="AQ30" s="4">
        <v>1</v>
      </c>
    </row>
    <row r="31" spans="1:43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35</v>
      </c>
      <c r="N31" s="38" t="s">
        <v>224</v>
      </c>
      <c r="O31" s="38" t="s">
        <v>40</v>
      </c>
      <c r="P31" s="38" t="s">
        <v>38</v>
      </c>
      <c r="Q31" s="38" t="s">
        <v>32</v>
      </c>
      <c r="R31" s="38" t="s">
        <v>65</v>
      </c>
      <c r="S31" s="24" t="s">
        <v>37</v>
      </c>
      <c r="U31" s="37">
        <f t="shared" si="3"/>
        <v>15</v>
      </c>
      <c r="V31" s="37">
        <f t="shared" si="3"/>
        <v>0</v>
      </c>
      <c r="W31" s="37">
        <f t="shared" si="3"/>
        <v>12</v>
      </c>
      <c r="X31" s="37">
        <f t="shared" si="3"/>
        <v>15</v>
      </c>
      <c r="Y31" s="37">
        <f t="shared" si="3"/>
        <v>4</v>
      </c>
      <c r="Z31" s="37">
        <f t="shared" si="3"/>
        <v>17</v>
      </c>
      <c r="AA31" s="37">
        <f t="shared" si="3"/>
        <v>13</v>
      </c>
      <c r="AC31" s="18">
        <v>5</v>
      </c>
      <c r="AD31" s="18">
        <v>0</v>
      </c>
      <c r="AE31" s="18">
        <v>0</v>
      </c>
      <c r="AF31" s="18">
        <v>0</v>
      </c>
      <c r="AG31" s="18">
        <v>0</v>
      </c>
      <c r="AH31" s="18">
        <v>5</v>
      </c>
      <c r="AI31" s="18">
        <v>5</v>
      </c>
      <c r="AK31" s="4">
        <v>1</v>
      </c>
      <c r="AL31" s="4">
        <v>2</v>
      </c>
      <c r="AM31" s="4">
        <v>1</v>
      </c>
      <c r="AN31" s="4">
        <v>1</v>
      </c>
      <c r="AO31" s="4">
        <v>0</v>
      </c>
      <c r="AP31" s="4">
        <v>1</v>
      </c>
      <c r="AQ31" s="4">
        <v>1</v>
      </c>
    </row>
    <row r="32" spans="1:43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40</v>
      </c>
      <c r="N32" s="38" t="s">
        <v>33</v>
      </c>
      <c r="O32" s="38" t="s">
        <v>33</v>
      </c>
      <c r="P32" s="38" t="s">
        <v>38</v>
      </c>
      <c r="Q32" s="38" t="s">
        <v>39</v>
      </c>
      <c r="R32" s="38" t="s">
        <v>65</v>
      </c>
      <c r="S32" s="24" t="s">
        <v>37</v>
      </c>
      <c r="U32" s="37">
        <f t="shared" si="3"/>
        <v>12</v>
      </c>
      <c r="V32" s="37">
        <f t="shared" si="3"/>
        <v>11</v>
      </c>
      <c r="W32" s="37">
        <f t="shared" si="3"/>
        <v>11</v>
      </c>
      <c r="X32" s="37">
        <f t="shared" si="3"/>
        <v>15</v>
      </c>
      <c r="Y32" s="37">
        <f t="shared" si="3"/>
        <v>5</v>
      </c>
      <c r="Z32" s="37">
        <f t="shared" si="3"/>
        <v>17</v>
      </c>
      <c r="AA32" s="37">
        <f t="shared" si="3"/>
        <v>13</v>
      </c>
      <c r="AC32" s="18">
        <v>5</v>
      </c>
      <c r="AD32" s="18">
        <v>0</v>
      </c>
      <c r="AE32" s="18">
        <v>0</v>
      </c>
      <c r="AF32" s="18">
        <v>0</v>
      </c>
      <c r="AG32" s="18">
        <v>0</v>
      </c>
      <c r="AH32" s="18">
        <v>5</v>
      </c>
      <c r="AI32" s="18">
        <v>5</v>
      </c>
      <c r="AK32" s="4">
        <v>1</v>
      </c>
      <c r="AL32" s="4">
        <v>0</v>
      </c>
      <c r="AM32" s="4">
        <v>1</v>
      </c>
      <c r="AN32" s="4">
        <v>2</v>
      </c>
      <c r="AO32" s="4">
        <v>0</v>
      </c>
      <c r="AP32" s="4">
        <v>1</v>
      </c>
      <c r="AQ32" s="4">
        <v>1</v>
      </c>
    </row>
    <row r="33" spans="1:43">
      <c r="B33" s="171" t="s">
        <v>72</v>
      </c>
      <c r="C33" s="155">
        <v>0</v>
      </c>
      <c r="D33" s="155">
        <v>390</v>
      </c>
      <c r="E33" s="155">
        <v>390</v>
      </c>
      <c r="F33" s="155">
        <v>185</v>
      </c>
      <c r="G33" s="155">
        <v>120</v>
      </c>
      <c r="H33" s="155">
        <v>0</v>
      </c>
      <c r="J33" s="13"/>
      <c r="L33" s="14">
        <v>29</v>
      </c>
      <c r="M33" s="38" t="s">
        <v>40</v>
      </c>
      <c r="N33" s="38" t="s">
        <v>33</v>
      </c>
      <c r="O33" s="38" t="s">
        <v>224</v>
      </c>
      <c r="P33" s="38" t="s">
        <v>65</v>
      </c>
      <c r="Q33" s="38" t="s">
        <v>39</v>
      </c>
      <c r="R33" s="38" t="s">
        <v>40</v>
      </c>
      <c r="S33" s="24" t="s">
        <v>25</v>
      </c>
      <c r="U33" s="37">
        <f t="shared" si="3"/>
        <v>12</v>
      </c>
      <c r="V33" s="37">
        <f t="shared" si="3"/>
        <v>11</v>
      </c>
      <c r="W33" s="37">
        <f t="shared" si="3"/>
        <v>0</v>
      </c>
      <c r="X33" s="37">
        <f t="shared" si="3"/>
        <v>17</v>
      </c>
      <c r="Y33" s="37">
        <f t="shared" si="3"/>
        <v>5</v>
      </c>
      <c r="Z33" s="37">
        <f t="shared" si="3"/>
        <v>12</v>
      </c>
      <c r="AA33" s="37">
        <f t="shared" si="3"/>
        <v>5</v>
      </c>
      <c r="AC33" s="18">
        <v>5</v>
      </c>
      <c r="AD33" s="18">
        <v>0</v>
      </c>
      <c r="AE33" s="18">
        <v>0</v>
      </c>
      <c r="AF33" s="18">
        <v>0</v>
      </c>
      <c r="AG33" s="18">
        <v>1</v>
      </c>
      <c r="AH33" s="18">
        <v>5</v>
      </c>
      <c r="AI33" s="18">
        <v>5</v>
      </c>
      <c r="AK33" s="4">
        <v>1</v>
      </c>
      <c r="AL33" s="4">
        <v>1</v>
      </c>
      <c r="AM33" s="4">
        <v>1</v>
      </c>
      <c r="AN33" s="4">
        <v>0</v>
      </c>
      <c r="AO33" s="4">
        <v>1</v>
      </c>
      <c r="AP33" s="4">
        <v>1</v>
      </c>
      <c r="AQ33" s="4">
        <v>1</v>
      </c>
    </row>
    <row r="34" spans="1:43">
      <c r="B34" s="4" t="s">
        <v>75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5">
        <v>30</v>
      </c>
      <c r="M34" s="38" t="s">
        <v>39</v>
      </c>
      <c r="N34" s="38" t="s">
        <v>34</v>
      </c>
      <c r="O34" s="38" t="s">
        <v>226</v>
      </c>
      <c r="P34" s="38" t="s">
        <v>65</v>
      </c>
      <c r="Q34" s="38" t="s">
        <v>33</v>
      </c>
      <c r="R34" s="38" t="s">
        <v>65</v>
      </c>
      <c r="S34" s="38" t="s">
        <v>25</v>
      </c>
      <c r="U34" s="37">
        <f t="shared" si="3"/>
        <v>5</v>
      </c>
      <c r="V34" s="37">
        <f t="shared" si="3"/>
        <v>16</v>
      </c>
      <c r="W34" s="37">
        <f t="shared" si="3"/>
        <v>0</v>
      </c>
      <c r="X34" s="37">
        <f t="shared" si="3"/>
        <v>17</v>
      </c>
      <c r="Y34" s="37">
        <f t="shared" si="3"/>
        <v>11</v>
      </c>
      <c r="Z34" s="37">
        <f t="shared" si="3"/>
        <v>17</v>
      </c>
      <c r="AA34" s="37">
        <f t="shared" si="3"/>
        <v>5</v>
      </c>
      <c r="AC34" s="18">
        <v>5</v>
      </c>
      <c r="AD34" s="18">
        <v>5</v>
      </c>
      <c r="AE34" s="18">
        <v>5</v>
      </c>
      <c r="AF34" s="18">
        <v>5</v>
      </c>
      <c r="AG34" s="18">
        <v>5</v>
      </c>
      <c r="AH34" s="18">
        <v>5</v>
      </c>
      <c r="AI34" s="18">
        <v>5</v>
      </c>
      <c r="AK34" s="4">
        <v>1</v>
      </c>
      <c r="AL34" s="4">
        <v>1</v>
      </c>
      <c r="AM34" s="4">
        <v>1</v>
      </c>
      <c r="AN34" s="4">
        <v>2</v>
      </c>
      <c r="AO34" s="4">
        <v>1</v>
      </c>
      <c r="AP34" s="4">
        <v>1</v>
      </c>
      <c r="AQ34" s="4">
        <v>1</v>
      </c>
    </row>
    <row r="35" spans="1:43">
      <c r="B35" s="4" t="s">
        <v>73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4">
        <v>31</v>
      </c>
      <c r="M35" s="38" t="s">
        <v>37</v>
      </c>
      <c r="N35" s="38" t="s">
        <v>34</v>
      </c>
      <c r="O35" s="38" t="s">
        <v>34</v>
      </c>
      <c r="P35" s="38" t="s">
        <v>25</v>
      </c>
      <c r="Q35" s="38" t="s">
        <v>90</v>
      </c>
      <c r="R35" s="38" t="s">
        <v>65</v>
      </c>
      <c r="S35" s="24" t="s">
        <v>32</v>
      </c>
      <c r="U35" s="37">
        <f t="shared" si="3"/>
        <v>13</v>
      </c>
      <c r="V35" s="37">
        <f t="shared" si="3"/>
        <v>16</v>
      </c>
      <c r="W35" s="37">
        <f t="shared" si="3"/>
        <v>16</v>
      </c>
      <c r="X35" s="37">
        <f t="shared" si="3"/>
        <v>5</v>
      </c>
      <c r="Y35" s="37">
        <f t="shared" si="3"/>
        <v>6</v>
      </c>
      <c r="Z35" s="37">
        <f t="shared" si="3"/>
        <v>17</v>
      </c>
      <c r="AA35" s="37">
        <f t="shared" si="3"/>
        <v>4</v>
      </c>
      <c r="AC35" s="18">
        <v>5</v>
      </c>
      <c r="AD35" s="18">
        <v>0</v>
      </c>
      <c r="AE35" s="18">
        <v>0</v>
      </c>
      <c r="AF35" s="18">
        <v>0</v>
      </c>
      <c r="AG35" s="18">
        <v>0</v>
      </c>
      <c r="AH35" s="18">
        <v>5</v>
      </c>
      <c r="AI35" s="18">
        <v>5</v>
      </c>
      <c r="AK35" s="4">
        <v>1</v>
      </c>
      <c r="AL35" s="4">
        <v>1</v>
      </c>
      <c r="AM35" s="4">
        <v>1</v>
      </c>
      <c r="AN35" s="4">
        <v>0</v>
      </c>
      <c r="AO35" s="4">
        <v>2</v>
      </c>
      <c r="AP35" s="4">
        <v>1</v>
      </c>
      <c r="AQ35" s="4">
        <v>1</v>
      </c>
    </row>
    <row r="36" spans="1:43">
      <c r="B36" s="4" t="s">
        <v>76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5">
        <v>32</v>
      </c>
      <c r="M36" s="38" t="s">
        <v>37</v>
      </c>
      <c r="N36" s="38" t="s">
        <v>25</v>
      </c>
      <c r="O36" s="38" t="s">
        <v>25</v>
      </c>
      <c r="P36" s="38" t="s">
        <v>33</v>
      </c>
      <c r="Q36" s="38" t="s">
        <v>90</v>
      </c>
      <c r="R36" s="38" t="s">
        <v>38</v>
      </c>
      <c r="S36" s="24" t="s">
        <v>32</v>
      </c>
      <c r="U36" s="37">
        <f t="shared" si="3"/>
        <v>13</v>
      </c>
      <c r="V36" s="37">
        <f t="shared" si="3"/>
        <v>5</v>
      </c>
      <c r="W36" s="37">
        <f t="shared" si="3"/>
        <v>5</v>
      </c>
      <c r="X36" s="37">
        <f t="shared" si="3"/>
        <v>11</v>
      </c>
      <c r="Y36" s="37">
        <f t="shared" si="3"/>
        <v>6</v>
      </c>
      <c r="Z36" s="37">
        <f t="shared" si="3"/>
        <v>15</v>
      </c>
      <c r="AA36" s="37">
        <f t="shared" si="3"/>
        <v>4</v>
      </c>
      <c r="AC36" s="18">
        <v>5</v>
      </c>
      <c r="AD36" s="18">
        <v>0</v>
      </c>
      <c r="AE36" s="18">
        <v>0</v>
      </c>
      <c r="AF36" s="18">
        <v>0</v>
      </c>
      <c r="AG36" s="18">
        <v>0</v>
      </c>
      <c r="AH36" s="18">
        <v>5</v>
      </c>
      <c r="AI36" s="18">
        <v>5</v>
      </c>
      <c r="AK36" s="4">
        <v>1</v>
      </c>
      <c r="AL36" s="4">
        <v>2</v>
      </c>
      <c r="AM36" s="4">
        <v>2</v>
      </c>
      <c r="AN36" s="4">
        <v>1</v>
      </c>
      <c r="AO36" s="4">
        <v>0</v>
      </c>
      <c r="AP36" s="4">
        <v>1</v>
      </c>
      <c r="AQ36" s="4">
        <v>1</v>
      </c>
    </row>
    <row r="37" spans="1:43">
      <c r="B37" s="4" t="s">
        <v>74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4">
        <v>33</v>
      </c>
      <c r="M37" s="38" t="s">
        <v>90</v>
      </c>
      <c r="N37" s="38" t="s">
        <v>25</v>
      </c>
      <c r="O37" s="38" t="s">
        <v>39</v>
      </c>
      <c r="P37" s="38" t="s">
        <v>33</v>
      </c>
      <c r="Q37" s="38" t="s">
        <v>65</v>
      </c>
      <c r="R37" s="38" t="s">
        <v>90</v>
      </c>
      <c r="S37" s="24" t="s">
        <v>33</v>
      </c>
      <c r="U37" s="37">
        <f t="shared" si="3"/>
        <v>6</v>
      </c>
      <c r="V37" s="37">
        <f t="shared" si="3"/>
        <v>5</v>
      </c>
      <c r="W37" s="37">
        <f t="shared" si="3"/>
        <v>5</v>
      </c>
      <c r="X37" s="37">
        <f t="shared" si="3"/>
        <v>11</v>
      </c>
      <c r="Y37" s="37">
        <f t="shared" si="3"/>
        <v>17</v>
      </c>
      <c r="Z37" s="37">
        <f t="shared" si="3"/>
        <v>6</v>
      </c>
      <c r="AA37" s="37">
        <f t="shared" si="3"/>
        <v>11</v>
      </c>
      <c r="AC37" s="18">
        <v>5</v>
      </c>
      <c r="AD37" s="18">
        <v>0</v>
      </c>
      <c r="AE37" s="18">
        <v>0</v>
      </c>
      <c r="AF37" s="18">
        <v>0</v>
      </c>
      <c r="AG37" s="18">
        <v>0</v>
      </c>
      <c r="AH37" s="18">
        <v>5</v>
      </c>
      <c r="AI37" s="18">
        <v>5</v>
      </c>
      <c r="AK37" s="4">
        <v>1</v>
      </c>
      <c r="AL37" s="4">
        <v>0</v>
      </c>
      <c r="AM37" s="4">
        <v>0</v>
      </c>
      <c r="AN37" s="4">
        <v>1</v>
      </c>
      <c r="AO37" s="4">
        <v>1</v>
      </c>
      <c r="AP37" s="4">
        <v>1</v>
      </c>
      <c r="AQ37" s="4">
        <v>1</v>
      </c>
    </row>
    <row r="38" spans="1:43">
      <c r="B38" s="4" t="s">
        <v>77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5">
        <v>34</v>
      </c>
      <c r="M38" s="38" t="s">
        <v>40</v>
      </c>
      <c r="N38" s="38" t="s">
        <v>65</v>
      </c>
      <c r="O38" s="38" t="s">
        <v>90</v>
      </c>
      <c r="P38" s="38" t="s">
        <v>65</v>
      </c>
      <c r="Q38" s="38" t="s">
        <v>35</v>
      </c>
      <c r="R38" s="38" t="s">
        <v>40</v>
      </c>
      <c r="S38" s="24" t="s">
        <v>33</v>
      </c>
      <c r="U38" s="37">
        <f t="shared" si="3"/>
        <v>12</v>
      </c>
      <c r="V38" s="37">
        <f t="shared" si="3"/>
        <v>17</v>
      </c>
      <c r="W38" s="37">
        <f t="shared" si="3"/>
        <v>6</v>
      </c>
      <c r="X38" s="37">
        <f t="shared" si="3"/>
        <v>17</v>
      </c>
      <c r="Y38" s="37">
        <f t="shared" si="3"/>
        <v>15</v>
      </c>
      <c r="Z38" s="37">
        <f t="shared" si="3"/>
        <v>12</v>
      </c>
      <c r="AA38" s="37">
        <f t="shared" si="3"/>
        <v>11</v>
      </c>
      <c r="AC38" s="18">
        <v>5</v>
      </c>
      <c r="AD38" s="18">
        <v>0</v>
      </c>
      <c r="AE38" s="18">
        <v>0</v>
      </c>
      <c r="AF38" s="18">
        <v>0</v>
      </c>
      <c r="AG38" s="18">
        <v>1</v>
      </c>
      <c r="AH38" s="18">
        <v>5</v>
      </c>
      <c r="AI38" s="18">
        <v>5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</row>
    <row r="39" spans="1:43">
      <c r="B39" s="4" t="s">
        <v>78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4">
        <v>35</v>
      </c>
      <c r="M39" s="38" t="s">
        <v>40</v>
      </c>
      <c r="N39" s="38" t="s">
        <v>40</v>
      </c>
      <c r="O39" s="38" t="s">
        <v>37</v>
      </c>
      <c r="P39" s="38" t="s">
        <v>25</v>
      </c>
      <c r="Q39" s="38" t="s">
        <v>224</v>
      </c>
      <c r="R39" s="38" t="s">
        <v>40</v>
      </c>
      <c r="S39" s="24" t="s">
        <v>40</v>
      </c>
      <c r="U39" s="37">
        <f t="shared" si="3"/>
        <v>12</v>
      </c>
      <c r="V39" s="37">
        <f t="shared" si="3"/>
        <v>12</v>
      </c>
      <c r="W39" s="37">
        <f t="shared" si="3"/>
        <v>13</v>
      </c>
      <c r="X39" s="37">
        <f t="shared" si="3"/>
        <v>5</v>
      </c>
      <c r="Y39" s="37">
        <f t="shared" si="3"/>
        <v>0</v>
      </c>
      <c r="Z39" s="37">
        <f t="shared" si="3"/>
        <v>12</v>
      </c>
      <c r="AA39" s="37">
        <f t="shared" si="3"/>
        <v>12</v>
      </c>
      <c r="AC39" s="18">
        <v>5</v>
      </c>
      <c r="AD39" s="18">
        <v>5</v>
      </c>
      <c r="AE39" s="18">
        <v>5</v>
      </c>
      <c r="AF39" s="18">
        <v>5</v>
      </c>
      <c r="AG39" s="18">
        <v>6</v>
      </c>
      <c r="AH39" s="18">
        <v>5</v>
      </c>
      <c r="AI39" s="18">
        <v>5</v>
      </c>
      <c r="AK39" s="4">
        <v>1</v>
      </c>
      <c r="AL39" s="4">
        <v>1</v>
      </c>
      <c r="AM39" s="4">
        <v>1</v>
      </c>
      <c r="AN39" s="4">
        <v>2</v>
      </c>
      <c r="AO39" s="4">
        <v>2</v>
      </c>
      <c r="AP39" s="4">
        <v>1</v>
      </c>
      <c r="AQ39" s="4">
        <v>1</v>
      </c>
    </row>
    <row r="40" spans="1:43">
      <c r="B40" s="4" t="s">
        <v>79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5">
        <v>36</v>
      </c>
      <c r="M40" s="37" t="s">
        <v>35</v>
      </c>
      <c r="N40" s="37" t="s">
        <v>40</v>
      </c>
      <c r="O40" s="37" t="s">
        <v>34</v>
      </c>
      <c r="P40" s="37" t="s">
        <v>25</v>
      </c>
      <c r="Q40" s="37" t="s">
        <v>39</v>
      </c>
      <c r="R40" s="37" t="s">
        <v>40</v>
      </c>
      <c r="S40" s="37" t="s">
        <v>34</v>
      </c>
      <c r="U40" s="37">
        <f t="shared" si="3"/>
        <v>15</v>
      </c>
      <c r="V40" s="37">
        <f t="shared" si="3"/>
        <v>12</v>
      </c>
      <c r="W40" s="37">
        <f t="shared" si="3"/>
        <v>16</v>
      </c>
      <c r="X40" s="37">
        <f t="shared" si="3"/>
        <v>5</v>
      </c>
      <c r="Y40" s="37">
        <f t="shared" si="3"/>
        <v>5</v>
      </c>
      <c r="Z40" s="37">
        <f t="shared" si="3"/>
        <v>12</v>
      </c>
      <c r="AA40" s="37">
        <f t="shared" si="3"/>
        <v>16</v>
      </c>
      <c r="AC40" s="18">
        <v>5</v>
      </c>
      <c r="AD40" s="18">
        <v>0</v>
      </c>
      <c r="AE40" s="18">
        <v>0</v>
      </c>
      <c r="AF40" s="18">
        <v>0</v>
      </c>
      <c r="AG40" s="18">
        <v>0</v>
      </c>
      <c r="AH40" s="18">
        <v>5</v>
      </c>
      <c r="AI40" s="18">
        <v>5</v>
      </c>
      <c r="AK40" s="4">
        <v>1</v>
      </c>
      <c r="AL40" s="4">
        <v>2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</row>
    <row r="41" spans="1:43">
      <c r="B41" s="4" t="s">
        <v>80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4">
        <v>37</v>
      </c>
      <c r="M41" s="38" t="s">
        <v>34</v>
      </c>
      <c r="N41" s="38" t="s">
        <v>242</v>
      </c>
      <c r="O41" s="38" t="s">
        <v>34</v>
      </c>
      <c r="P41" s="38" t="s">
        <v>38</v>
      </c>
      <c r="Q41" s="38" t="s">
        <v>39</v>
      </c>
      <c r="R41" s="38" t="s">
        <v>65</v>
      </c>
      <c r="S41" s="24" t="s">
        <v>34</v>
      </c>
      <c r="U41" s="37">
        <f t="shared" si="3"/>
        <v>16</v>
      </c>
      <c r="V41" s="37">
        <f t="shared" si="3"/>
        <v>0</v>
      </c>
      <c r="W41" s="37">
        <f t="shared" si="3"/>
        <v>16</v>
      </c>
      <c r="X41" s="37">
        <f t="shared" si="3"/>
        <v>15</v>
      </c>
      <c r="Y41" s="37">
        <f t="shared" si="3"/>
        <v>5</v>
      </c>
      <c r="Z41" s="37">
        <f t="shared" si="3"/>
        <v>17</v>
      </c>
      <c r="AA41" s="37">
        <f t="shared" si="3"/>
        <v>16</v>
      </c>
      <c r="AC41" s="18">
        <v>5</v>
      </c>
      <c r="AD41" s="18">
        <v>0</v>
      </c>
      <c r="AE41" s="18">
        <v>0</v>
      </c>
      <c r="AF41" s="18">
        <v>0</v>
      </c>
      <c r="AG41" s="18">
        <v>0</v>
      </c>
      <c r="AH41" s="18">
        <v>5</v>
      </c>
      <c r="AI41" s="18">
        <v>5</v>
      </c>
      <c r="AK41" s="4">
        <v>1</v>
      </c>
      <c r="AL41" s="4">
        <v>0</v>
      </c>
      <c r="AM41" s="4">
        <v>1</v>
      </c>
      <c r="AN41" s="4">
        <v>1</v>
      </c>
      <c r="AO41" s="4">
        <v>2</v>
      </c>
      <c r="AP41" s="4">
        <v>1</v>
      </c>
      <c r="AQ41" s="4">
        <v>1</v>
      </c>
    </row>
    <row r="42" spans="1:43">
      <c r="B42" s="4" t="s">
        <v>81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5">
        <v>38</v>
      </c>
      <c r="M42" s="38" t="s">
        <v>34</v>
      </c>
      <c r="N42" s="38" t="s">
        <v>90</v>
      </c>
      <c r="O42" s="38" t="s">
        <v>232</v>
      </c>
      <c r="P42" s="38" t="s">
        <v>38</v>
      </c>
      <c r="Q42" s="38" t="s">
        <v>37</v>
      </c>
      <c r="R42" s="38" t="s">
        <v>65</v>
      </c>
      <c r="S42" s="24" t="s">
        <v>34</v>
      </c>
      <c r="U42" s="37">
        <f t="shared" si="3"/>
        <v>16</v>
      </c>
      <c r="V42" s="37">
        <f t="shared" si="3"/>
        <v>6</v>
      </c>
      <c r="W42" s="37">
        <f t="shared" si="3"/>
        <v>0</v>
      </c>
      <c r="X42" s="37">
        <f t="shared" si="3"/>
        <v>15</v>
      </c>
      <c r="Y42" s="37">
        <f t="shared" si="3"/>
        <v>13</v>
      </c>
      <c r="Z42" s="37">
        <f t="shared" si="3"/>
        <v>17</v>
      </c>
      <c r="AA42" s="37">
        <f t="shared" si="3"/>
        <v>16</v>
      </c>
      <c r="AC42" s="18">
        <v>5</v>
      </c>
      <c r="AD42" s="18">
        <v>0</v>
      </c>
      <c r="AE42" s="18">
        <v>0</v>
      </c>
      <c r="AF42" s="18">
        <v>0</v>
      </c>
      <c r="AG42" s="18">
        <v>0</v>
      </c>
      <c r="AH42" s="18">
        <v>5</v>
      </c>
      <c r="AI42" s="18">
        <v>5</v>
      </c>
      <c r="AK42" s="4">
        <v>1</v>
      </c>
      <c r="AL42" s="4">
        <v>1</v>
      </c>
      <c r="AM42" s="4">
        <v>1</v>
      </c>
      <c r="AN42" s="4">
        <v>2</v>
      </c>
      <c r="AO42" s="4">
        <v>0</v>
      </c>
      <c r="AP42" s="4">
        <v>1</v>
      </c>
      <c r="AQ42" s="4">
        <v>1</v>
      </c>
    </row>
    <row r="43" spans="1:43">
      <c r="B43" s="4" t="s">
        <v>82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4">
        <v>39</v>
      </c>
      <c r="M43" s="38" t="s">
        <v>65</v>
      </c>
      <c r="N43" s="38" t="s">
        <v>35</v>
      </c>
      <c r="O43" s="38" t="s">
        <v>90</v>
      </c>
      <c r="P43" s="38" t="s">
        <v>35</v>
      </c>
      <c r="Q43" s="38" t="s">
        <v>37</v>
      </c>
      <c r="R43" s="38" t="s">
        <v>38</v>
      </c>
      <c r="S43" s="24" t="s">
        <v>65</v>
      </c>
      <c r="U43" s="37">
        <f t="shared" si="3"/>
        <v>17</v>
      </c>
      <c r="V43" s="37">
        <f t="shared" si="3"/>
        <v>15</v>
      </c>
      <c r="W43" s="37">
        <f t="shared" si="3"/>
        <v>6</v>
      </c>
      <c r="X43" s="37">
        <f t="shared" si="3"/>
        <v>15</v>
      </c>
      <c r="Y43" s="37">
        <f t="shared" si="3"/>
        <v>13</v>
      </c>
      <c r="Z43" s="37">
        <f t="shared" si="3"/>
        <v>15</v>
      </c>
      <c r="AA43" s="37">
        <f t="shared" si="3"/>
        <v>17</v>
      </c>
      <c r="AC43" s="18">
        <v>5</v>
      </c>
      <c r="AD43" s="18">
        <v>0</v>
      </c>
      <c r="AE43" s="18">
        <v>0</v>
      </c>
      <c r="AF43" s="18">
        <v>0</v>
      </c>
      <c r="AG43" s="18">
        <v>0</v>
      </c>
      <c r="AH43" s="18">
        <v>5</v>
      </c>
      <c r="AI43" s="18">
        <v>5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1</v>
      </c>
      <c r="AQ43" s="4">
        <v>1</v>
      </c>
    </row>
    <row r="44" spans="1:43">
      <c r="B44" s="4" t="s">
        <v>83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5">
        <v>40</v>
      </c>
      <c r="M44" s="38" t="s">
        <v>90</v>
      </c>
      <c r="N44" s="38" t="s">
        <v>228</v>
      </c>
      <c r="O44" s="38" t="s">
        <v>40</v>
      </c>
      <c r="P44" s="38" t="s">
        <v>35</v>
      </c>
      <c r="Q44" s="38" t="s">
        <v>34</v>
      </c>
      <c r="R44" s="38" t="s">
        <v>25</v>
      </c>
      <c r="S44" s="24" t="s">
        <v>65</v>
      </c>
      <c r="U44" s="37">
        <f t="shared" si="3"/>
        <v>6</v>
      </c>
      <c r="V44" s="37">
        <f t="shared" si="3"/>
        <v>0</v>
      </c>
      <c r="W44" s="37">
        <f t="shared" si="3"/>
        <v>12</v>
      </c>
      <c r="X44" s="37">
        <f t="shared" si="3"/>
        <v>15</v>
      </c>
      <c r="Y44" s="37">
        <f t="shared" si="3"/>
        <v>16</v>
      </c>
      <c r="Z44" s="37">
        <f t="shared" si="3"/>
        <v>5</v>
      </c>
      <c r="AA44" s="37">
        <f t="shared" si="3"/>
        <v>17</v>
      </c>
      <c r="AC44" s="18">
        <v>5</v>
      </c>
      <c r="AD44" s="18">
        <v>5</v>
      </c>
      <c r="AE44" s="18">
        <v>5</v>
      </c>
      <c r="AF44" s="18">
        <v>5</v>
      </c>
      <c r="AG44" s="18">
        <v>6</v>
      </c>
      <c r="AH44" s="18">
        <v>5</v>
      </c>
      <c r="AI44" s="18">
        <v>5</v>
      </c>
      <c r="AK44" s="4">
        <v>1</v>
      </c>
      <c r="AL44" s="4">
        <v>3</v>
      </c>
      <c r="AM44" s="4">
        <v>1</v>
      </c>
      <c r="AN44" s="4">
        <v>1</v>
      </c>
      <c r="AO44" s="4">
        <v>3</v>
      </c>
      <c r="AP44" s="4">
        <v>1</v>
      </c>
      <c r="AQ44" s="4">
        <v>1</v>
      </c>
    </row>
    <row r="45" spans="1:43">
      <c r="B45" s="4" t="s">
        <v>84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4">
        <v>41</v>
      </c>
      <c r="M45" s="38" t="s">
        <v>39</v>
      </c>
      <c r="N45" s="38" t="s">
        <v>65</v>
      </c>
      <c r="O45" s="38" t="s">
        <v>65</v>
      </c>
      <c r="P45" s="38" t="s">
        <v>37</v>
      </c>
      <c r="Q45" s="38" t="s">
        <v>34</v>
      </c>
      <c r="R45" s="38" t="s">
        <v>65</v>
      </c>
      <c r="S45" s="24" t="s">
        <v>65</v>
      </c>
      <c r="U45" s="37">
        <f t="shared" si="3"/>
        <v>5</v>
      </c>
      <c r="V45" s="37">
        <f t="shared" si="3"/>
        <v>17</v>
      </c>
      <c r="W45" s="37">
        <f t="shared" si="3"/>
        <v>17</v>
      </c>
      <c r="X45" s="37">
        <f t="shared" si="3"/>
        <v>13</v>
      </c>
      <c r="Y45" s="37">
        <f t="shared" si="3"/>
        <v>16</v>
      </c>
      <c r="Z45" s="37">
        <f t="shared" si="3"/>
        <v>17</v>
      </c>
      <c r="AA45" s="37">
        <f t="shared" si="3"/>
        <v>17</v>
      </c>
      <c r="AC45" s="18">
        <v>5</v>
      </c>
      <c r="AD45" s="18">
        <v>0</v>
      </c>
      <c r="AE45" s="18">
        <v>0</v>
      </c>
      <c r="AF45" s="18">
        <v>0</v>
      </c>
      <c r="AG45" s="18">
        <v>0</v>
      </c>
      <c r="AH45" s="18">
        <v>5</v>
      </c>
      <c r="AI45" s="18">
        <v>5</v>
      </c>
      <c r="AK45" s="4">
        <v>1</v>
      </c>
      <c r="AL45" s="4">
        <v>0</v>
      </c>
      <c r="AM45" s="4">
        <v>3</v>
      </c>
      <c r="AN45" s="4">
        <v>3</v>
      </c>
      <c r="AO45" s="4">
        <v>0</v>
      </c>
      <c r="AP45" s="4">
        <v>1</v>
      </c>
      <c r="AQ45" s="4">
        <v>1</v>
      </c>
    </row>
    <row r="46" spans="1:43">
      <c r="B46" s="4" t="s">
        <v>85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5">
        <v>42</v>
      </c>
      <c r="M46" s="38" t="s">
        <v>39</v>
      </c>
      <c r="N46" s="38" t="s">
        <v>90</v>
      </c>
      <c r="O46" s="38" t="s">
        <v>35</v>
      </c>
      <c r="P46" s="38" t="s">
        <v>37</v>
      </c>
      <c r="Q46" s="38" t="s">
        <v>90</v>
      </c>
      <c r="R46" s="38" t="s">
        <v>33</v>
      </c>
      <c r="S46" s="24" t="s">
        <v>34</v>
      </c>
      <c r="U46" s="37">
        <f t="shared" si="3"/>
        <v>5</v>
      </c>
      <c r="V46" s="37">
        <f t="shared" si="3"/>
        <v>6</v>
      </c>
      <c r="W46" s="37">
        <f t="shared" si="3"/>
        <v>15</v>
      </c>
      <c r="X46" s="37">
        <f t="shared" si="3"/>
        <v>13</v>
      </c>
      <c r="Y46" s="37">
        <f t="shared" si="3"/>
        <v>6</v>
      </c>
      <c r="Z46" s="37">
        <f t="shared" si="3"/>
        <v>11</v>
      </c>
      <c r="AA46" s="37">
        <f t="shared" si="3"/>
        <v>16</v>
      </c>
      <c r="AC46" s="18">
        <v>5</v>
      </c>
      <c r="AD46" s="18">
        <v>0</v>
      </c>
      <c r="AE46" s="18">
        <v>0</v>
      </c>
      <c r="AF46" s="18">
        <v>0</v>
      </c>
      <c r="AG46" s="18">
        <v>0</v>
      </c>
      <c r="AH46" s="18">
        <v>5</v>
      </c>
      <c r="AI46" s="18">
        <v>5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1</v>
      </c>
      <c r="AQ46" s="4">
        <v>1</v>
      </c>
    </row>
    <row r="47" spans="1:43">
      <c r="B47" s="4" t="s">
        <v>86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4">
        <v>43</v>
      </c>
      <c r="M47" s="38" t="s">
        <v>34</v>
      </c>
      <c r="N47" s="38" t="s">
        <v>38</v>
      </c>
      <c r="O47" s="38" t="s">
        <v>228</v>
      </c>
      <c r="P47" s="38" t="s">
        <v>65</v>
      </c>
      <c r="Q47" s="38" t="s">
        <v>90</v>
      </c>
      <c r="R47" s="38" t="s">
        <v>33</v>
      </c>
      <c r="S47" s="24" t="s">
        <v>34</v>
      </c>
      <c r="U47" s="37">
        <f t="shared" si="3"/>
        <v>16</v>
      </c>
      <c r="V47" s="37">
        <f t="shared" si="3"/>
        <v>15</v>
      </c>
      <c r="W47" s="37">
        <f t="shared" si="3"/>
        <v>0</v>
      </c>
      <c r="X47" s="37">
        <f t="shared" si="3"/>
        <v>17</v>
      </c>
      <c r="Y47" s="37">
        <f t="shared" si="3"/>
        <v>6</v>
      </c>
      <c r="Z47" s="37">
        <f t="shared" si="3"/>
        <v>11</v>
      </c>
      <c r="AA47" s="37">
        <f t="shared" si="3"/>
        <v>16</v>
      </c>
      <c r="AC47" s="18">
        <v>5</v>
      </c>
      <c r="AD47" s="18">
        <v>0</v>
      </c>
      <c r="AE47" s="18">
        <v>0</v>
      </c>
      <c r="AF47" s="18">
        <v>0</v>
      </c>
      <c r="AG47" s="18">
        <v>0</v>
      </c>
      <c r="AH47" s="18">
        <v>5</v>
      </c>
      <c r="AI47" s="18">
        <v>5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1</v>
      </c>
      <c r="AQ47" s="4">
        <v>1</v>
      </c>
    </row>
    <row r="48" spans="1:43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34</v>
      </c>
      <c r="N48" s="38" t="s">
        <v>238</v>
      </c>
      <c r="O48" s="38" t="s">
        <v>94</v>
      </c>
      <c r="P48" s="38" t="s">
        <v>25</v>
      </c>
      <c r="Q48" s="38" t="s">
        <v>90</v>
      </c>
      <c r="R48" s="38" t="s">
        <v>38</v>
      </c>
      <c r="S48" s="24" t="s">
        <v>34</v>
      </c>
      <c r="U48" s="37">
        <f t="shared" si="3"/>
        <v>16</v>
      </c>
      <c r="V48" s="37">
        <f t="shared" si="3"/>
        <v>0</v>
      </c>
      <c r="W48" s="37">
        <f t="shared" si="3"/>
        <v>2</v>
      </c>
      <c r="X48" s="37">
        <f t="shared" si="3"/>
        <v>5</v>
      </c>
      <c r="Y48" s="37">
        <f t="shared" si="3"/>
        <v>6</v>
      </c>
      <c r="Z48" s="37">
        <f t="shared" si="3"/>
        <v>15</v>
      </c>
      <c r="AA48" s="37">
        <f t="shared" si="3"/>
        <v>16</v>
      </c>
      <c r="AC48" s="18">
        <v>5</v>
      </c>
      <c r="AD48" s="18">
        <v>0</v>
      </c>
      <c r="AE48" s="18">
        <v>0</v>
      </c>
      <c r="AF48" s="18">
        <v>0</v>
      </c>
      <c r="AG48" s="18">
        <v>0</v>
      </c>
      <c r="AH48" s="18">
        <v>5</v>
      </c>
      <c r="AI48" s="18">
        <v>5</v>
      </c>
      <c r="AK48" s="4">
        <v>1</v>
      </c>
      <c r="AL48" s="4">
        <v>0</v>
      </c>
      <c r="AM48" s="4">
        <v>1</v>
      </c>
      <c r="AN48" s="4">
        <v>1</v>
      </c>
      <c r="AO48" s="4">
        <v>0</v>
      </c>
      <c r="AP48" s="4">
        <v>1</v>
      </c>
      <c r="AQ48" s="4">
        <v>1</v>
      </c>
    </row>
    <row r="49" spans="2:43">
      <c r="L49" s="14">
        <v>45</v>
      </c>
      <c r="M49" s="38" t="s">
        <v>90</v>
      </c>
      <c r="N49" s="38" t="s">
        <v>232</v>
      </c>
      <c r="O49" s="38" t="s">
        <v>33</v>
      </c>
      <c r="P49" s="38" t="s">
        <v>40</v>
      </c>
      <c r="Q49" s="38" t="s">
        <v>35</v>
      </c>
      <c r="R49" s="38" t="s">
        <v>38</v>
      </c>
      <c r="S49" s="24" t="s">
        <v>90</v>
      </c>
      <c r="U49" s="37">
        <f t="shared" si="3"/>
        <v>6</v>
      </c>
      <c r="V49" s="37">
        <f t="shared" si="3"/>
        <v>0</v>
      </c>
      <c r="W49" s="37">
        <f t="shared" si="3"/>
        <v>11</v>
      </c>
      <c r="X49" s="37">
        <f t="shared" si="3"/>
        <v>12</v>
      </c>
      <c r="Y49" s="37">
        <f t="shared" si="3"/>
        <v>15</v>
      </c>
      <c r="Z49" s="37">
        <f t="shared" si="3"/>
        <v>15</v>
      </c>
      <c r="AA49" s="37">
        <f t="shared" si="3"/>
        <v>6</v>
      </c>
      <c r="AC49" s="18">
        <v>5</v>
      </c>
      <c r="AD49" s="18">
        <v>5</v>
      </c>
      <c r="AE49" s="18">
        <v>5</v>
      </c>
      <c r="AF49" s="18">
        <v>5</v>
      </c>
      <c r="AG49" s="18">
        <v>4</v>
      </c>
      <c r="AH49" s="18">
        <v>5</v>
      </c>
      <c r="AI49" s="18">
        <v>5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</row>
    <row r="50" spans="2:43">
      <c r="B50" s="165" t="s">
        <v>97</v>
      </c>
      <c r="C50" s="162" t="s">
        <v>259</v>
      </c>
      <c r="L50" s="15">
        <v>46</v>
      </c>
      <c r="M50" s="38" t="s">
        <v>25</v>
      </c>
      <c r="N50" s="38" t="s">
        <v>90</v>
      </c>
      <c r="O50" s="38" t="s">
        <v>90</v>
      </c>
      <c r="P50" s="38" t="s">
        <v>35</v>
      </c>
      <c r="Q50" s="38" t="s">
        <v>38</v>
      </c>
      <c r="R50" s="38" t="s">
        <v>38</v>
      </c>
      <c r="S50" s="24" t="s">
        <v>65</v>
      </c>
      <c r="U50" s="37">
        <f t="shared" si="3"/>
        <v>5</v>
      </c>
      <c r="V50" s="37">
        <f t="shared" si="3"/>
        <v>6</v>
      </c>
      <c r="W50" s="37">
        <f t="shared" si="3"/>
        <v>6</v>
      </c>
      <c r="X50" s="37">
        <f t="shared" si="3"/>
        <v>15</v>
      </c>
      <c r="Y50" s="37">
        <f t="shared" si="3"/>
        <v>15</v>
      </c>
      <c r="Z50" s="37">
        <f t="shared" si="3"/>
        <v>15</v>
      </c>
      <c r="AA50" s="37">
        <f t="shared" si="3"/>
        <v>17</v>
      </c>
      <c r="AC50" s="18">
        <v>5</v>
      </c>
      <c r="AD50" s="18">
        <v>0</v>
      </c>
      <c r="AE50" s="18">
        <v>0</v>
      </c>
      <c r="AF50" s="18">
        <v>0</v>
      </c>
      <c r="AG50" s="18">
        <v>1</v>
      </c>
      <c r="AH50" s="18">
        <v>5</v>
      </c>
      <c r="AI50" s="18">
        <v>5</v>
      </c>
      <c r="AK50" s="4">
        <v>1</v>
      </c>
      <c r="AL50" s="4">
        <v>1</v>
      </c>
      <c r="AM50" s="4">
        <v>1</v>
      </c>
      <c r="AN50" s="4">
        <v>1</v>
      </c>
      <c r="AO50" s="4">
        <v>3</v>
      </c>
      <c r="AP50" s="4">
        <v>1</v>
      </c>
      <c r="AQ50" s="4">
        <v>1</v>
      </c>
    </row>
    <row r="51" spans="2:43">
      <c r="B51" s="163" t="s">
        <v>68</v>
      </c>
      <c r="C51" s="161">
        <v>0</v>
      </c>
      <c r="L51" s="14">
        <v>47</v>
      </c>
      <c r="M51" s="38" t="s">
        <v>65</v>
      </c>
      <c r="N51" s="38" t="s">
        <v>25</v>
      </c>
      <c r="O51" s="38" t="s">
        <v>230</v>
      </c>
      <c r="P51" s="38" t="s">
        <v>35</v>
      </c>
      <c r="Q51" s="38" t="s">
        <v>35</v>
      </c>
      <c r="R51" s="38" t="s">
        <v>65</v>
      </c>
      <c r="S51" s="24" t="s">
        <v>33</v>
      </c>
      <c r="U51" s="37">
        <f t="shared" si="3"/>
        <v>17</v>
      </c>
      <c r="V51" s="37">
        <f t="shared" si="3"/>
        <v>5</v>
      </c>
      <c r="W51" s="37">
        <f t="shared" si="3"/>
        <v>0</v>
      </c>
      <c r="X51" s="37">
        <f t="shared" si="3"/>
        <v>15</v>
      </c>
      <c r="Y51" s="37">
        <f t="shared" si="3"/>
        <v>15</v>
      </c>
      <c r="Z51" s="37">
        <f t="shared" si="3"/>
        <v>17</v>
      </c>
      <c r="AA51" s="37">
        <f t="shared" si="3"/>
        <v>11</v>
      </c>
      <c r="AC51" s="18">
        <v>5</v>
      </c>
      <c r="AD51" s="18">
        <v>0</v>
      </c>
      <c r="AE51" s="18">
        <v>0</v>
      </c>
      <c r="AF51" s="18">
        <v>0</v>
      </c>
      <c r="AG51" s="18">
        <v>0</v>
      </c>
      <c r="AH51" s="18">
        <v>5</v>
      </c>
      <c r="AI51" s="18">
        <v>5</v>
      </c>
      <c r="AK51" s="4">
        <v>1</v>
      </c>
      <c r="AL51" s="4">
        <v>2</v>
      </c>
      <c r="AM51" s="4">
        <v>1</v>
      </c>
      <c r="AN51" s="4">
        <v>1</v>
      </c>
      <c r="AO51" s="4">
        <v>0</v>
      </c>
      <c r="AP51" s="4">
        <v>1</v>
      </c>
      <c r="AQ51" s="4">
        <v>1</v>
      </c>
    </row>
    <row r="52" spans="2:43">
      <c r="B52" s="164" t="s">
        <v>19</v>
      </c>
      <c r="C52" s="159">
        <v>0</v>
      </c>
      <c r="L52" s="15">
        <v>48</v>
      </c>
      <c r="M52" s="38" t="s">
        <v>40</v>
      </c>
      <c r="N52" s="38" t="s">
        <v>40</v>
      </c>
      <c r="O52" s="38" t="s">
        <v>232</v>
      </c>
      <c r="P52" s="38" t="s">
        <v>40</v>
      </c>
      <c r="Q52" s="38" t="s">
        <v>34</v>
      </c>
      <c r="R52" s="38" t="s">
        <v>38</v>
      </c>
      <c r="S52" s="24" t="s">
        <v>40</v>
      </c>
      <c r="U52" s="37">
        <f t="shared" si="3"/>
        <v>12</v>
      </c>
      <c r="V52" s="37">
        <f t="shared" si="3"/>
        <v>12</v>
      </c>
      <c r="W52" s="37">
        <f t="shared" si="3"/>
        <v>0</v>
      </c>
      <c r="X52" s="37">
        <f t="shared" si="3"/>
        <v>12</v>
      </c>
      <c r="Y52" s="37">
        <f t="shared" si="3"/>
        <v>16</v>
      </c>
      <c r="Z52" s="37">
        <f t="shared" si="3"/>
        <v>15</v>
      </c>
      <c r="AA52" s="37">
        <f t="shared" si="3"/>
        <v>12</v>
      </c>
      <c r="AC52" s="18">
        <v>5</v>
      </c>
      <c r="AD52" s="18">
        <v>0</v>
      </c>
      <c r="AE52" s="18">
        <v>0</v>
      </c>
      <c r="AF52" s="18">
        <v>0</v>
      </c>
      <c r="AG52" s="18">
        <v>0</v>
      </c>
      <c r="AH52" s="18">
        <v>5</v>
      </c>
      <c r="AI52" s="18">
        <v>5</v>
      </c>
      <c r="AK52" s="4">
        <v>1</v>
      </c>
      <c r="AL52" s="4">
        <v>0</v>
      </c>
      <c r="AM52" s="4">
        <v>1</v>
      </c>
      <c r="AN52" s="4">
        <v>2</v>
      </c>
      <c r="AO52" s="4">
        <v>0</v>
      </c>
      <c r="AP52" s="4">
        <v>1</v>
      </c>
      <c r="AQ52" s="4">
        <v>1</v>
      </c>
    </row>
    <row r="53" spans="2:43">
      <c r="B53" s="164" t="s">
        <v>20</v>
      </c>
      <c r="C53" s="159">
        <v>2</v>
      </c>
      <c r="L53" s="14">
        <v>49</v>
      </c>
      <c r="M53" s="38" t="s">
        <v>34</v>
      </c>
      <c r="N53" s="38" t="s">
        <v>40</v>
      </c>
      <c r="O53" s="38" t="s">
        <v>90</v>
      </c>
      <c r="P53" s="38" t="s">
        <v>25</v>
      </c>
      <c r="Q53" s="38" t="s">
        <v>34</v>
      </c>
      <c r="R53" s="38" t="s">
        <v>38</v>
      </c>
      <c r="S53" s="24" t="s">
        <v>40</v>
      </c>
      <c r="U53" s="37">
        <f t="shared" si="3"/>
        <v>16</v>
      </c>
      <c r="V53" s="37">
        <f t="shared" si="3"/>
        <v>12</v>
      </c>
      <c r="W53" s="37">
        <f t="shared" si="3"/>
        <v>6</v>
      </c>
      <c r="X53" s="37">
        <f t="shared" si="3"/>
        <v>5</v>
      </c>
      <c r="Y53" s="37">
        <f t="shared" si="3"/>
        <v>16</v>
      </c>
      <c r="Z53" s="37">
        <f t="shared" si="3"/>
        <v>15</v>
      </c>
      <c r="AA53" s="37">
        <f t="shared" si="3"/>
        <v>12</v>
      </c>
      <c r="AC53" s="18">
        <v>5</v>
      </c>
      <c r="AD53" s="18">
        <v>0</v>
      </c>
      <c r="AE53" s="18">
        <v>0</v>
      </c>
      <c r="AF53" s="18">
        <v>0</v>
      </c>
      <c r="AG53" s="18">
        <v>1</v>
      </c>
      <c r="AH53" s="18">
        <v>5</v>
      </c>
      <c r="AI53" s="18">
        <v>5</v>
      </c>
      <c r="AK53" s="4">
        <v>1</v>
      </c>
      <c r="AL53" s="4">
        <v>1</v>
      </c>
      <c r="AM53" s="4">
        <v>1</v>
      </c>
      <c r="AN53" s="4">
        <v>0</v>
      </c>
      <c r="AO53" s="4">
        <v>1</v>
      </c>
      <c r="AP53" s="4">
        <v>1</v>
      </c>
      <c r="AQ53" s="4">
        <v>1</v>
      </c>
    </row>
    <row r="54" spans="2:43">
      <c r="B54" s="164" t="s">
        <v>21</v>
      </c>
      <c r="C54" s="159">
        <v>3</v>
      </c>
      <c r="L54" s="15">
        <v>50</v>
      </c>
      <c r="M54" s="38" t="s">
        <v>34</v>
      </c>
      <c r="N54" s="38" t="s">
        <v>38</v>
      </c>
      <c r="O54" s="38" t="s">
        <v>39</v>
      </c>
      <c r="P54" s="38" t="s">
        <v>65</v>
      </c>
      <c r="Q54" s="38" t="s">
        <v>242</v>
      </c>
      <c r="R54" s="38" t="s">
        <v>65</v>
      </c>
      <c r="S54" s="24" t="s">
        <v>40</v>
      </c>
      <c r="U54" s="37">
        <f t="shared" si="3"/>
        <v>16</v>
      </c>
      <c r="V54" s="37">
        <f t="shared" si="3"/>
        <v>15</v>
      </c>
      <c r="W54" s="37">
        <f t="shared" si="3"/>
        <v>5</v>
      </c>
      <c r="X54" s="37">
        <f t="shared" si="3"/>
        <v>17</v>
      </c>
      <c r="Y54" s="37">
        <f t="shared" si="3"/>
        <v>0</v>
      </c>
      <c r="Z54" s="37">
        <f t="shared" si="3"/>
        <v>17</v>
      </c>
      <c r="AA54" s="37">
        <f t="shared" si="3"/>
        <v>12</v>
      </c>
      <c r="AC54" s="18">
        <v>5</v>
      </c>
      <c r="AD54" s="18">
        <v>5</v>
      </c>
      <c r="AE54" s="18">
        <v>5</v>
      </c>
      <c r="AF54" s="18">
        <v>5</v>
      </c>
      <c r="AG54" s="18">
        <v>5</v>
      </c>
      <c r="AH54" s="18">
        <v>5</v>
      </c>
      <c r="AI54" s="18">
        <v>5</v>
      </c>
      <c r="AK54" s="4">
        <v>1</v>
      </c>
      <c r="AL54" s="4">
        <v>1</v>
      </c>
      <c r="AM54" s="4">
        <v>1</v>
      </c>
      <c r="AN54" s="4">
        <v>2</v>
      </c>
      <c r="AO54" s="4">
        <v>1</v>
      </c>
      <c r="AP54" s="4">
        <v>1</v>
      </c>
      <c r="AQ54" s="4">
        <v>1</v>
      </c>
    </row>
    <row r="55" spans="2:43">
      <c r="B55" s="164" t="s">
        <v>17</v>
      </c>
      <c r="C55" s="159">
        <v>5</v>
      </c>
      <c r="L55" s="14">
        <v>51</v>
      </c>
      <c r="M55" s="38" t="s">
        <v>33</v>
      </c>
      <c r="N55" s="38" t="s">
        <v>25</v>
      </c>
      <c r="O55" s="38" t="s">
        <v>33</v>
      </c>
      <c r="P55" s="38" t="s">
        <v>33</v>
      </c>
      <c r="Q55" s="38" t="s">
        <v>40</v>
      </c>
      <c r="R55" s="38" t="s">
        <v>65</v>
      </c>
      <c r="S55" s="24" t="s">
        <v>90</v>
      </c>
      <c r="U55" s="37">
        <f t="shared" si="3"/>
        <v>11</v>
      </c>
      <c r="V55" s="37">
        <f t="shared" si="3"/>
        <v>5</v>
      </c>
      <c r="W55" s="37">
        <f t="shared" si="3"/>
        <v>11</v>
      </c>
      <c r="X55" s="37">
        <f t="shared" si="3"/>
        <v>11</v>
      </c>
      <c r="Y55" s="37">
        <f t="shared" si="3"/>
        <v>12</v>
      </c>
      <c r="Z55" s="37">
        <f t="shared" si="3"/>
        <v>17</v>
      </c>
      <c r="AA55" s="37">
        <f t="shared" si="3"/>
        <v>6</v>
      </c>
      <c r="AC55" s="18">
        <v>5</v>
      </c>
      <c r="AD55" s="18">
        <v>0</v>
      </c>
      <c r="AE55" s="18">
        <v>0</v>
      </c>
      <c r="AF55" s="18">
        <v>0</v>
      </c>
      <c r="AG55" s="18">
        <v>0</v>
      </c>
      <c r="AH55" s="18">
        <v>5</v>
      </c>
      <c r="AI55" s="18">
        <v>5</v>
      </c>
      <c r="AK55" s="4">
        <v>1</v>
      </c>
      <c r="AL55" s="4">
        <v>1</v>
      </c>
      <c r="AM55" s="4">
        <v>1</v>
      </c>
      <c r="AN55" s="4">
        <v>0</v>
      </c>
      <c r="AO55" s="4">
        <v>2</v>
      </c>
      <c r="AP55" s="4">
        <v>1</v>
      </c>
      <c r="AQ55" s="4">
        <v>1</v>
      </c>
    </row>
    <row r="56" spans="2:43">
      <c r="B56" s="164" t="s">
        <v>18</v>
      </c>
      <c r="C56" s="159">
        <v>8</v>
      </c>
      <c r="L56" s="15">
        <v>52</v>
      </c>
      <c r="M56" s="38" t="s">
        <v>40</v>
      </c>
      <c r="N56" s="38" t="s">
        <v>35</v>
      </c>
      <c r="O56" s="38" t="s">
        <v>38</v>
      </c>
      <c r="P56" s="38" t="s">
        <v>238</v>
      </c>
      <c r="Q56" s="38" t="s">
        <v>40</v>
      </c>
      <c r="R56" s="38" t="s">
        <v>38</v>
      </c>
      <c r="S56" s="24" t="s">
        <v>35</v>
      </c>
      <c r="U56" s="37">
        <f t="shared" si="3"/>
        <v>12</v>
      </c>
      <c r="V56" s="37">
        <f t="shared" si="3"/>
        <v>15</v>
      </c>
      <c r="W56" s="37">
        <f t="shared" si="3"/>
        <v>15</v>
      </c>
      <c r="X56" s="37">
        <f t="shared" ref="X56:AA119" si="5">VLOOKUP(P56, $A$4:$J$29, 9, 0)</f>
        <v>0</v>
      </c>
      <c r="Y56" s="37">
        <f t="shared" si="5"/>
        <v>12</v>
      </c>
      <c r="Z56" s="37">
        <f t="shared" si="5"/>
        <v>15</v>
      </c>
      <c r="AA56" s="37">
        <f t="shared" si="5"/>
        <v>15</v>
      </c>
      <c r="AC56" s="18">
        <v>5</v>
      </c>
      <c r="AD56" s="18">
        <v>0</v>
      </c>
      <c r="AE56" s="18">
        <v>0</v>
      </c>
      <c r="AF56" s="18">
        <v>0</v>
      </c>
      <c r="AG56" s="18">
        <v>0</v>
      </c>
      <c r="AH56" s="18">
        <v>5</v>
      </c>
      <c r="AI56" s="18">
        <v>5</v>
      </c>
      <c r="AK56" s="4">
        <v>1</v>
      </c>
      <c r="AL56" s="4">
        <v>2</v>
      </c>
      <c r="AM56" s="4">
        <v>2</v>
      </c>
      <c r="AN56" s="4">
        <v>1</v>
      </c>
      <c r="AO56" s="4">
        <v>0</v>
      </c>
      <c r="AP56" s="4">
        <v>1</v>
      </c>
      <c r="AQ56" s="4">
        <v>1</v>
      </c>
    </row>
    <row r="57" spans="2:43">
      <c r="B57" s="164" t="s">
        <v>64</v>
      </c>
      <c r="C57" s="159">
        <v>12</v>
      </c>
      <c r="L57" s="14">
        <v>53</v>
      </c>
      <c r="M57" s="38" t="s">
        <v>39</v>
      </c>
      <c r="N57" s="38" t="s">
        <v>35</v>
      </c>
      <c r="O57" s="38" t="s">
        <v>238</v>
      </c>
      <c r="P57" s="38" t="s">
        <v>65</v>
      </c>
      <c r="Q57" s="38" t="s">
        <v>39</v>
      </c>
      <c r="R57" s="38" t="s">
        <v>65</v>
      </c>
      <c r="S57" s="24" t="s">
        <v>35</v>
      </c>
      <c r="U57" s="37">
        <f t="shared" ref="U57:Z120" si="6">VLOOKUP(M57, $A$4:$J$29, 9, 0)</f>
        <v>5</v>
      </c>
      <c r="V57" s="37">
        <f t="shared" si="6"/>
        <v>15</v>
      </c>
      <c r="W57" s="37">
        <f t="shared" si="6"/>
        <v>0</v>
      </c>
      <c r="X57" s="37">
        <f t="shared" si="5"/>
        <v>17</v>
      </c>
      <c r="Y57" s="37">
        <f t="shared" si="5"/>
        <v>5</v>
      </c>
      <c r="Z57" s="37">
        <f t="shared" si="5"/>
        <v>17</v>
      </c>
      <c r="AA57" s="37">
        <f t="shared" si="5"/>
        <v>15</v>
      </c>
      <c r="AC57" s="18">
        <v>5</v>
      </c>
      <c r="AD57" s="18">
        <v>0</v>
      </c>
      <c r="AE57" s="18">
        <v>0</v>
      </c>
      <c r="AF57" s="18">
        <v>0</v>
      </c>
      <c r="AG57" s="18">
        <v>0</v>
      </c>
      <c r="AH57" s="18">
        <v>5</v>
      </c>
      <c r="AI57" s="18">
        <v>5</v>
      </c>
      <c r="AK57" s="4">
        <v>1</v>
      </c>
      <c r="AL57" s="4">
        <v>0</v>
      </c>
      <c r="AM57" s="4">
        <v>0</v>
      </c>
      <c r="AN57" s="4">
        <v>1</v>
      </c>
      <c r="AO57" s="4">
        <v>1</v>
      </c>
      <c r="AP57" s="4">
        <v>1</v>
      </c>
      <c r="AQ57" s="4">
        <v>1</v>
      </c>
    </row>
    <row r="58" spans="2:43">
      <c r="B58" s="164" t="s">
        <v>92</v>
      </c>
      <c r="C58" s="159">
        <v>10</v>
      </c>
      <c r="L58" s="15">
        <v>54</v>
      </c>
      <c r="M58" s="38" t="s">
        <v>34</v>
      </c>
      <c r="N58" s="38" t="s">
        <v>240</v>
      </c>
      <c r="O58" s="38" t="s">
        <v>39</v>
      </c>
      <c r="P58" s="38" t="s">
        <v>65</v>
      </c>
      <c r="Q58" s="38" t="s">
        <v>35</v>
      </c>
      <c r="R58" s="38" t="s">
        <v>40</v>
      </c>
      <c r="S58" s="24" t="s">
        <v>35</v>
      </c>
      <c r="U58" s="37">
        <f t="shared" si="6"/>
        <v>16</v>
      </c>
      <c r="V58" s="37">
        <f t="shared" si="6"/>
        <v>0</v>
      </c>
      <c r="W58" s="37">
        <f t="shared" si="6"/>
        <v>5</v>
      </c>
      <c r="X58" s="37">
        <f t="shared" si="5"/>
        <v>17</v>
      </c>
      <c r="Y58" s="37">
        <f t="shared" si="5"/>
        <v>15</v>
      </c>
      <c r="Z58" s="37">
        <f t="shared" si="5"/>
        <v>12</v>
      </c>
      <c r="AA58" s="37">
        <f t="shared" si="5"/>
        <v>15</v>
      </c>
      <c r="AC58" s="18">
        <v>5</v>
      </c>
      <c r="AD58" s="18">
        <v>0</v>
      </c>
      <c r="AE58" s="18">
        <v>0</v>
      </c>
      <c r="AF58" s="18">
        <v>0</v>
      </c>
      <c r="AG58" s="18">
        <v>1</v>
      </c>
      <c r="AH58" s="18">
        <v>5</v>
      </c>
      <c r="AI58" s="18">
        <v>5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</row>
    <row r="59" spans="2:43">
      <c r="B59" s="164" t="s">
        <v>93</v>
      </c>
      <c r="C59" s="159">
        <v>10</v>
      </c>
      <c r="L59" s="14">
        <v>55</v>
      </c>
      <c r="M59" s="38" t="s">
        <v>34</v>
      </c>
      <c r="N59" s="38" t="s">
        <v>236</v>
      </c>
      <c r="O59" s="38" t="s">
        <v>39</v>
      </c>
      <c r="P59" s="38" t="s">
        <v>25</v>
      </c>
      <c r="Q59" s="38" t="s">
        <v>35</v>
      </c>
      <c r="R59" s="38" t="s">
        <v>40</v>
      </c>
      <c r="S59" s="24" t="s">
        <v>25</v>
      </c>
      <c r="U59" s="37">
        <f t="shared" si="6"/>
        <v>16</v>
      </c>
      <c r="V59" s="37">
        <f t="shared" si="6"/>
        <v>0</v>
      </c>
      <c r="W59" s="37">
        <f t="shared" si="6"/>
        <v>5</v>
      </c>
      <c r="X59" s="37">
        <f t="shared" si="5"/>
        <v>5</v>
      </c>
      <c r="Y59" s="37">
        <f t="shared" si="5"/>
        <v>15</v>
      </c>
      <c r="Z59" s="37">
        <f t="shared" si="5"/>
        <v>12</v>
      </c>
      <c r="AA59" s="37">
        <f t="shared" si="5"/>
        <v>5</v>
      </c>
      <c r="AC59" s="18">
        <v>5</v>
      </c>
      <c r="AD59" s="18">
        <v>5</v>
      </c>
      <c r="AE59" s="18">
        <v>5</v>
      </c>
      <c r="AF59" s="18">
        <v>5</v>
      </c>
      <c r="AG59" s="18">
        <v>6</v>
      </c>
      <c r="AH59" s="18">
        <v>5</v>
      </c>
      <c r="AI59" s="18">
        <v>5</v>
      </c>
      <c r="AK59" s="4">
        <v>1</v>
      </c>
      <c r="AL59" s="4">
        <v>1</v>
      </c>
      <c r="AM59" s="4">
        <v>1</v>
      </c>
      <c r="AN59" s="4">
        <v>2</v>
      </c>
      <c r="AO59" s="4">
        <v>2</v>
      </c>
      <c r="AP59" s="4">
        <v>1</v>
      </c>
      <c r="AQ59" s="4">
        <v>1</v>
      </c>
    </row>
    <row r="60" spans="2:43">
      <c r="B60" s="4" t="s">
        <v>37</v>
      </c>
      <c r="C60" s="160">
        <v>10</v>
      </c>
      <c r="L60" s="15">
        <v>56</v>
      </c>
      <c r="M60" s="38" t="s">
        <v>38</v>
      </c>
      <c r="N60" s="38" t="s">
        <v>37</v>
      </c>
      <c r="O60" s="38" t="s">
        <v>39</v>
      </c>
      <c r="P60" s="38" t="s">
        <v>25</v>
      </c>
      <c r="Q60" s="38" t="s">
        <v>39</v>
      </c>
      <c r="R60" s="38" t="s">
        <v>40</v>
      </c>
      <c r="S60" s="24" t="s">
        <v>65</v>
      </c>
      <c r="U60" s="37">
        <f t="shared" si="6"/>
        <v>15</v>
      </c>
      <c r="V60" s="37">
        <f t="shared" si="6"/>
        <v>13</v>
      </c>
      <c r="W60" s="37">
        <f t="shared" si="6"/>
        <v>5</v>
      </c>
      <c r="X60" s="37">
        <f t="shared" si="5"/>
        <v>5</v>
      </c>
      <c r="Y60" s="37">
        <f t="shared" si="5"/>
        <v>5</v>
      </c>
      <c r="Z60" s="37">
        <f t="shared" si="5"/>
        <v>12</v>
      </c>
      <c r="AA60" s="37">
        <f t="shared" si="5"/>
        <v>17</v>
      </c>
      <c r="AC60" s="18">
        <v>5</v>
      </c>
      <c r="AD60" s="18">
        <v>0</v>
      </c>
      <c r="AE60" s="18">
        <v>0</v>
      </c>
      <c r="AF60" s="18">
        <v>0</v>
      </c>
      <c r="AG60" s="18">
        <v>0</v>
      </c>
      <c r="AH60" s="18">
        <v>5</v>
      </c>
      <c r="AI60" s="18">
        <v>5</v>
      </c>
      <c r="AK60" s="4">
        <v>1</v>
      </c>
      <c r="AL60" s="4">
        <v>2</v>
      </c>
      <c r="AM60" s="4">
        <v>1</v>
      </c>
      <c r="AN60" s="4">
        <v>0</v>
      </c>
      <c r="AO60" s="4">
        <v>0</v>
      </c>
      <c r="AP60" s="4">
        <v>1</v>
      </c>
      <c r="AQ60" s="4">
        <v>1</v>
      </c>
    </row>
    <row r="61" spans="2:43">
      <c r="B61" s="4" t="s">
        <v>38</v>
      </c>
      <c r="C61" s="160">
        <v>10</v>
      </c>
      <c r="L61" s="14">
        <v>57</v>
      </c>
      <c r="M61" s="38" t="s">
        <v>40</v>
      </c>
      <c r="N61" s="38" t="s">
        <v>37</v>
      </c>
      <c r="O61" s="38" t="s">
        <v>90</v>
      </c>
      <c r="P61" s="38" t="s">
        <v>25</v>
      </c>
      <c r="Q61" s="38" t="s">
        <v>35</v>
      </c>
      <c r="R61" s="38" t="s">
        <v>25</v>
      </c>
      <c r="S61" s="24" t="s">
        <v>65</v>
      </c>
      <c r="U61" s="37">
        <f t="shared" si="6"/>
        <v>12</v>
      </c>
      <c r="V61" s="37">
        <f t="shared" si="6"/>
        <v>13</v>
      </c>
      <c r="W61" s="37">
        <f t="shared" si="6"/>
        <v>6</v>
      </c>
      <c r="X61" s="37">
        <f t="shared" si="5"/>
        <v>5</v>
      </c>
      <c r="Y61" s="37">
        <f t="shared" si="5"/>
        <v>15</v>
      </c>
      <c r="Z61" s="37">
        <f t="shared" si="5"/>
        <v>5</v>
      </c>
      <c r="AA61" s="37">
        <f t="shared" si="5"/>
        <v>17</v>
      </c>
      <c r="AC61" s="18">
        <v>5</v>
      </c>
      <c r="AD61" s="18">
        <v>0</v>
      </c>
      <c r="AE61" s="18">
        <v>0</v>
      </c>
      <c r="AF61" s="18">
        <v>0</v>
      </c>
      <c r="AG61" s="18">
        <v>0</v>
      </c>
      <c r="AH61" s="18">
        <v>5</v>
      </c>
      <c r="AI61" s="18">
        <v>5</v>
      </c>
      <c r="AK61" s="4">
        <v>1</v>
      </c>
      <c r="AL61" s="4">
        <v>0</v>
      </c>
      <c r="AM61" s="4">
        <v>1</v>
      </c>
      <c r="AN61" s="4">
        <v>1</v>
      </c>
      <c r="AO61" s="4">
        <v>2</v>
      </c>
      <c r="AP61" s="4">
        <v>1</v>
      </c>
      <c r="AQ61" s="4">
        <v>1</v>
      </c>
    </row>
    <row r="62" spans="2:43">
      <c r="B62" s="4" t="s">
        <v>39</v>
      </c>
      <c r="C62" s="160">
        <v>10</v>
      </c>
      <c r="L62" s="15">
        <v>58</v>
      </c>
      <c r="M62" s="38" t="s">
        <v>90</v>
      </c>
      <c r="N62" s="38" t="s">
        <v>65</v>
      </c>
      <c r="O62" s="38" t="s">
        <v>90</v>
      </c>
      <c r="P62" s="38" t="s">
        <v>90</v>
      </c>
      <c r="Q62" s="38" t="s">
        <v>39</v>
      </c>
      <c r="R62" s="38" t="s">
        <v>65</v>
      </c>
      <c r="S62" s="24" t="s">
        <v>39</v>
      </c>
      <c r="U62" s="37">
        <f t="shared" si="6"/>
        <v>6</v>
      </c>
      <c r="V62" s="37">
        <f t="shared" si="6"/>
        <v>17</v>
      </c>
      <c r="W62" s="37">
        <f t="shared" si="6"/>
        <v>6</v>
      </c>
      <c r="X62" s="37">
        <f t="shared" si="5"/>
        <v>6</v>
      </c>
      <c r="Y62" s="37">
        <f t="shared" si="5"/>
        <v>5</v>
      </c>
      <c r="Z62" s="37">
        <f t="shared" si="5"/>
        <v>17</v>
      </c>
      <c r="AA62" s="37">
        <f t="shared" si="5"/>
        <v>5</v>
      </c>
      <c r="AC62" s="18">
        <v>5</v>
      </c>
      <c r="AD62" s="18">
        <v>0</v>
      </c>
      <c r="AE62" s="18">
        <v>0</v>
      </c>
      <c r="AF62" s="18">
        <v>0</v>
      </c>
      <c r="AG62" s="18">
        <v>0</v>
      </c>
      <c r="AH62" s="18">
        <v>5</v>
      </c>
      <c r="AI62" s="18">
        <v>5</v>
      </c>
      <c r="AK62" s="4">
        <v>1</v>
      </c>
      <c r="AL62" s="4">
        <v>1</v>
      </c>
      <c r="AM62" s="4">
        <v>1</v>
      </c>
      <c r="AN62" s="4">
        <v>2</v>
      </c>
      <c r="AO62" s="4">
        <v>0</v>
      </c>
      <c r="AP62" s="4">
        <v>1</v>
      </c>
      <c r="AQ62" s="4">
        <v>1</v>
      </c>
    </row>
    <row r="63" spans="2:43">
      <c r="B63" s="4" t="s">
        <v>40</v>
      </c>
      <c r="C63" s="160">
        <v>10</v>
      </c>
      <c r="L63" s="14">
        <v>59</v>
      </c>
      <c r="M63" s="38" t="s">
        <v>90</v>
      </c>
      <c r="N63" s="38" t="s">
        <v>242</v>
      </c>
      <c r="O63" s="38" t="s">
        <v>37</v>
      </c>
      <c r="P63" s="38" t="s">
        <v>90</v>
      </c>
      <c r="Q63" s="38" t="s">
        <v>40</v>
      </c>
      <c r="R63" s="38" t="s">
        <v>65</v>
      </c>
      <c r="S63" s="38" t="s">
        <v>38</v>
      </c>
      <c r="U63" s="37">
        <f t="shared" si="6"/>
        <v>6</v>
      </c>
      <c r="V63" s="37">
        <f t="shared" si="6"/>
        <v>0</v>
      </c>
      <c r="W63" s="37">
        <f t="shared" si="6"/>
        <v>13</v>
      </c>
      <c r="X63" s="37">
        <f t="shared" si="5"/>
        <v>6</v>
      </c>
      <c r="Y63" s="37">
        <f t="shared" si="5"/>
        <v>12</v>
      </c>
      <c r="Z63" s="37">
        <f t="shared" si="5"/>
        <v>17</v>
      </c>
      <c r="AA63" s="37">
        <f t="shared" si="5"/>
        <v>15</v>
      </c>
      <c r="AC63" s="18">
        <v>5</v>
      </c>
      <c r="AD63" s="18">
        <v>0</v>
      </c>
      <c r="AE63" s="18">
        <v>0</v>
      </c>
      <c r="AF63" s="18">
        <v>0</v>
      </c>
      <c r="AG63" s="18">
        <v>0</v>
      </c>
      <c r="AH63" s="18">
        <v>5</v>
      </c>
      <c r="AI63" s="18">
        <v>5</v>
      </c>
      <c r="AK63" s="4">
        <v>1</v>
      </c>
      <c r="AL63" s="4">
        <v>1</v>
      </c>
      <c r="AM63" s="4">
        <v>1</v>
      </c>
      <c r="AN63" s="4">
        <v>0</v>
      </c>
      <c r="AO63" s="4">
        <v>1</v>
      </c>
      <c r="AP63" s="4">
        <v>1</v>
      </c>
      <c r="AQ63" s="4">
        <v>1</v>
      </c>
    </row>
    <row r="64" spans="2:43">
      <c r="L64" s="15">
        <v>60</v>
      </c>
      <c r="M64" s="38" t="s">
        <v>39</v>
      </c>
      <c r="N64" s="38" t="s">
        <v>40</v>
      </c>
      <c r="O64" s="38" t="s">
        <v>65</v>
      </c>
      <c r="P64" s="38" t="s">
        <v>25</v>
      </c>
      <c r="Q64" s="38" t="s">
        <v>40</v>
      </c>
      <c r="R64" s="38" t="s">
        <v>25</v>
      </c>
      <c r="S64" s="24" t="s">
        <v>38</v>
      </c>
      <c r="U64" s="37">
        <f t="shared" si="6"/>
        <v>5</v>
      </c>
      <c r="V64" s="37">
        <f t="shared" si="6"/>
        <v>12</v>
      </c>
      <c r="W64" s="37">
        <f t="shared" si="6"/>
        <v>17</v>
      </c>
      <c r="X64" s="37">
        <f t="shared" si="5"/>
        <v>5</v>
      </c>
      <c r="Y64" s="37">
        <f t="shared" si="5"/>
        <v>12</v>
      </c>
      <c r="Z64" s="37">
        <f t="shared" si="5"/>
        <v>5</v>
      </c>
      <c r="AA64" s="37">
        <f t="shared" si="5"/>
        <v>15</v>
      </c>
      <c r="AC64" s="18">
        <v>5</v>
      </c>
      <c r="AD64" s="18">
        <v>5</v>
      </c>
      <c r="AE64" s="18">
        <v>5</v>
      </c>
      <c r="AF64" s="18">
        <v>5</v>
      </c>
      <c r="AG64" s="18">
        <v>6</v>
      </c>
      <c r="AH64" s="18">
        <v>5</v>
      </c>
      <c r="AI64" s="18">
        <v>5</v>
      </c>
      <c r="AK64" s="4">
        <v>1</v>
      </c>
      <c r="AL64" s="4">
        <v>3</v>
      </c>
      <c r="AM64" s="4">
        <v>1</v>
      </c>
      <c r="AN64" s="4">
        <v>1</v>
      </c>
      <c r="AO64" s="4">
        <v>3</v>
      </c>
      <c r="AP64" s="4">
        <v>1</v>
      </c>
      <c r="AQ64" s="4">
        <v>1</v>
      </c>
    </row>
    <row r="65" spans="2:43">
      <c r="L65" s="14">
        <v>61</v>
      </c>
      <c r="M65" s="38" t="s">
        <v>25</v>
      </c>
      <c r="N65" s="38" t="s">
        <v>40</v>
      </c>
      <c r="O65" s="38" t="s">
        <v>65</v>
      </c>
      <c r="P65" s="38" t="s">
        <v>38</v>
      </c>
      <c r="Q65" s="38" t="s">
        <v>90</v>
      </c>
      <c r="R65" s="38" t="s">
        <v>25</v>
      </c>
      <c r="S65" s="24" t="s">
        <v>38</v>
      </c>
      <c r="U65" s="37">
        <f t="shared" si="6"/>
        <v>5</v>
      </c>
      <c r="V65" s="37">
        <f t="shared" si="6"/>
        <v>12</v>
      </c>
      <c r="W65" s="37">
        <f t="shared" si="6"/>
        <v>17</v>
      </c>
      <c r="X65" s="37">
        <f t="shared" si="5"/>
        <v>15</v>
      </c>
      <c r="Y65" s="37">
        <f t="shared" si="5"/>
        <v>6</v>
      </c>
      <c r="Z65" s="37">
        <f t="shared" si="5"/>
        <v>5</v>
      </c>
      <c r="AA65" s="37">
        <f t="shared" si="5"/>
        <v>15</v>
      </c>
      <c r="AC65" s="18">
        <v>5</v>
      </c>
      <c r="AD65" s="18">
        <v>0</v>
      </c>
      <c r="AE65" s="18">
        <v>0</v>
      </c>
      <c r="AF65" s="18">
        <v>0</v>
      </c>
      <c r="AG65" s="18">
        <v>0</v>
      </c>
      <c r="AH65" s="18">
        <v>5</v>
      </c>
      <c r="AI65" s="18">
        <v>5</v>
      </c>
      <c r="AK65" s="4">
        <v>1</v>
      </c>
      <c r="AL65" s="4">
        <v>0</v>
      </c>
      <c r="AM65" s="4">
        <v>3</v>
      </c>
      <c r="AN65" s="4">
        <v>3</v>
      </c>
      <c r="AO65" s="4">
        <v>0</v>
      </c>
      <c r="AP65" s="4">
        <v>1</v>
      </c>
      <c r="AQ65" s="4">
        <v>1</v>
      </c>
    </row>
    <row r="66" spans="2:43">
      <c r="B66" s="165" t="s">
        <v>95</v>
      </c>
      <c r="C66" s="162" t="s">
        <v>259</v>
      </c>
      <c r="L66" s="15">
        <v>62</v>
      </c>
      <c r="M66" s="38" t="s">
        <v>25</v>
      </c>
      <c r="N66" s="38" t="s">
        <v>37</v>
      </c>
      <c r="O66" s="38" t="s">
        <v>40</v>
      </c>
      <c r="P66" s="38" t="s">
        <v>40</v>
      </c>
      <c r="Q66" s="38" t="s">
        <v>90</v>
      </c>
      <c r="R66" s="38" t="s">
        <v>38</v>
      </c>
      <c r="S66" s="24" t="s">
        <v>39</v>
      </c>
      <c r="U66" s="37">
        <f t="shared" si="6"/>
        <v>5</v>
      </c>
      <c r="V66" s="37">
        <f t="shared" si="6"/>
        <v>13</v>
      </c>
      <c r="W66" s="37">
        <f t="shared" si="6"/>
        <v>12</v>
      </c>
      <c r="X66" s="37">
        <f t="shared" si="5"/>
        <v>12</v>
      </c>
      <c r="Y66" s="37">
        <f t="shared" si="5"/>
        <v>6</v>
      </c>
      <c r="Z66" s="37">
        <f t="shared" si="5"/>
        <v>15</v>
      </c>
      <c r="AA66" s="37">
        <f t="shared" si="5"/>
        <v>5</v>
      </c>
      <c r="AC66" s="18">
        <v>5</v>
      </c>
      <c r="AD66" s="18">
        <v>0</v>
      </c>
      <c r="AE66" s="18">
        <v>0</v>
      </c>
      <c r="AF66" s="18">
        <v>0</v>
      </c>
      <c r="AG66" s="18">
        <v>0</v>
      </c>
      <c r="AH66" s="18">
        <v>5</v>
      </c>
      <c r="AI66" s="18">
        <v>5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1</v>
      </c>
      <c r="AQ66" s="4">
        <v>1</v>
      </c>
    </row>
    <row r="67" spans="2:43">
      <c r="B67" s="163">
        <v>0</v>
      </c>
      <c r="C67" s="161">
        <v>1000</v>
      </c>
      <c r="L67" s="14">
        <v>63</v>
      </c>
      <c r="M67" s="38" t="s">
        <v>94</v>
      </c>
      <c r="N67" s="38" t="s">
        <v>94</v>
      </c>
      <c r="O67" s="38" t="s">
        <v>94</v>
      </c>
      <c r="P67" s="38" t="s">
        <v>94</v>
      </c>
      <c r="Q67" s="38" t="s">
        <v>94</v>
      </c>
      <c r="R67" s="38" t="s">
        <v>94</v>
      </c>
      <c r="S67" s="24" t="s">
        <v>94</v>
      </c>
      <c r="U67" s="37">
        <f t="shared" si="6"/>
        <v>2</v>
      </c>
      <c r="V67" s="37">
        <f t="shared" si="6"/>
        <v>2</v>
      </c>
      <c r="W67" s="37">
        <f t="shared" si="6"/>
        <v>2</v>
      </c>
      <c r="X67" s="37">
        <f t="shared" si="5"/>
        <v>2</v>
      </c>
      <c r="Y67" s="37">
        <f t="shared" si="5"/>
        <v>2</v>
      </c>
      <c r="Z67" s="37">
        <f t="shared" si="5"/>
        <v>2</v>
      </c>
      <c r="AA67" s="37">
        <f t="shared" si="5"/>
        <v>2</v>
      </c>
      <c r="AC67" s="18">
        <v>5</v>
      </c>
      <c r="AD67" s="18">
        <v>0</v>
      </c>
      <c r="AE67" s="18">
        <v>0</v>
      </c>
      <c r="AF67" s="18">
        <v>0</v>
      </c>
      <c r="AG67" s="18">
        <v>0</v>
      </c>
      <c r="AH67" s="18">
        <v>5</v>
      </c>
      <c r="AI67" s="18">
        <v>5</v>
      </c>
      <c r="AK67" s="4">
        <v>1</v>
      </c>
      <c r="AL67" s="4">
        <v>2</v>
      </c>
      <c r="AM67" s="4">
        <v>0</v>
      </c>
      <c r="AN67" s="4">
        <v>0</v>
      </c>
      <c r="AO67" s="4">
        <v>2</v>
      </c>
      <c r="AP67" s="4">
        <v>1</v>
      </c>
      <c r="AQ67" s="4">
        <v>1</v>
      </c>
    </row>
    <row r="68" spans="2:43">
      <c r="B68" s="164">
        <v>1</v>
      </c>
      <c r="C68" s="159">
        <v>50</v>
      </c>
      <c r="L68" s="15">
        <v>64</v>
      </c>
      <c r="M68" s="38" t="s">
        <v>94</v>
      </c>
      <c r="N68" s="38" t="s">
        <v>94</v>
      </c>
      <c r="O68" s="38" t="s">
        <v>94</v>
      </c>
      <c r="P68" s="38" t="s">
        <v>94</v>
      </c>
      <c r="Q68" s="38" t="s">
        <v>94</v>
      </c>
      <c r="R68" s="38" t="s">
        <v>94</v>
      </c>
      <c r="S68" s="24" t="s">
        <v>94</v>
      </c>
      <c r="U68" s="37">
        <f t="shared" si="6"/>
        <v>2</v>
      </c>
      <c r="V68" s="37">
        <f t="shared" si="6"/>
        <v>2</v>
      </c>
      <c r="W68" s="37">
        <f t="shared" si="6"/>
        <v>2</v>
      </c>
      <c r="X68" s="37">
        <f t="shared" si="5"/>
        <v>2</v>
      </c>
      <c r="Y68" s="37">
        <f t="shared" si="5"/>
        <v>2</v>
      </c>
      <c r="Z68" s="37">
        <f t="shared" si="5"/>
        <v>2</v>
      </c>
      <c r="AA68" s="37">
        <f t="shared" si="5"/>
        <v>2</v>
      </c>
      <c r="AC68" s="18">
        <v>5</v>
      </c>
      <c r="AD68" s="18">
        <v>0</v>
      </c>
      <c r="AE68" s="18">
        <v>0</v>
      </c>
      <c r="AF68" s="18">
        <v>0</v>
      </c>
      <c r="AG68" s="18">
        <v>0</v>
      </c>
      <c r="AH68" s="18">
        <v>5</v>
      </c>
      <c r="AI68" s="18">
        <v>5</v>
      </c>
      <c r="AK68" s="4">
        <v>1</v>
      </c>
      <c r="AL68" s="4">
        <v>0</v>
      </c>
      <c r="AM68" s="4">
        <v>1</v>
      </c>
      <c r="AN68" s="4">
        <v>1</v>
      </c>
      <c r="AO68" s="4">
        <v>0</v>
      </c>
      <c r="AP68" s="4">
        <v>1</v>
      </c>
      <c r="AQ68" s="4">
        <v>1</v>
      </c>
    </row>
    <row r="69" spans="2:43">
      <c r="B69" s="164">
        <v>2</v>
      </c>
      <c r="C69" s="159">
        <v>20</v>
      </c>
      <c r="L69" s="14">
        <v>65</v>
      </c>
      <c r="M69" s="38" t="s">
        <v>90</v>
      </c>
      <c r="N69" s="38" t="s">
        <v>65</v>
      </c>
      <c r="O69" s="38" t="s">
        <v>38</v>
      </c>
      <c r="P69" s="38" t="s">
        <v>65</v>
      </c>
      <c r="Q69" s="38" t="s">
        <v>25</v>
      </c>
      <c r="R69" s="38" t="s">
        <v>65</v>
      </c>
      <c r="S69" s="24" t="s">
        <v>38</v>
      </c>
      <c r="U69" s="37">
        <f t="shared" si="6"/>
        <v>6</v>
      </c>
      <c r="V69" s="37">
        <f t="shared" si="6"/>
        <v>17</v>
      </c>
      <c r="W69" s="37">
        <f t="shared" si="6"/>
        <v>15</v>
      </c>
      <c r="X69" s="37">
        <f t="shared" si="5"/>
        <v>17</v>
      </c>
      <c r="Y69" s="37">
        <f t="shared" si="5"/>
        <v>5</v>
      </c>
      <c r="Z69" s="37">
        <f t="shared" si="5"/>
        <v>17</v>
      </c>
      <c r="AA69" s="37">
        <f t="shared" si="5"/>
        <v>15</v>
      </c>
      <c r="AC69" s="18">
        <v>5</v>
      </c>
      <c r="AD69" s="18">
        <v>5</v>
      </c>
      <c r="AE69" s="18">
        <v>5</v>
      </c>
      <c r="AF69" s="18">
        <v>5</v>
      </c>
      <c r="AG69" s="18">
        <v>4</v>
      </c>
      <c r="AH69" s="18">
        <v>5</v>
      </c>
      <c r="AI69" s="18">
        <v>5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</row>
    <row r="70" spans="2:43">
      <c r="B70" s="164">
        <v>3</v>
      </c>
      <c r="C70" s="159">
        <v>10</v>
      </c>
      <c r="L70" s="15">
        <v>66</v>
      </c>
      <c r="M70" s="38" t="s">
        <v>25</v>
      </c>
      <c r="N70" s="38" t="s">
        <v>38</v>
      </c>
      <c r="O70" s="38" t="s">
        <v>39</v>
      </c>
      <c r="P70" s="38" t="s">
        <v>65</v>
      </c>
      <c r="Q70" s="38" t="s">
        <v>37</v>
      </c>
      <c r="R70" s="38" t="s">
        <v>25</v>
      </c>
      <c r="S70" s="24" t="s">
        <v>38</v>
      </c>
      <c r="U70" s="37">
        <f t="shared" si="6"/>
        <v>5</v>
      </c>
      <c r="V70" s="37">
        <f t="shared" si="6"/>
        <v>15</v>
      </c>
      <c r="W70" s="37">
        <f t="shared" si="6"/>
        <v>5</v>
      </c>
      <c r="X70" s="37">
        <f t="shared" si="5"/>
        <v>17</v>
      </c>
      <c r="Y70" s="37">
        <f t="shared" si="5"/>
        <v>13</v>
      </c>
      <c r="Z70" s="37">
        <f t="shared" si="5"/>
        <v>5</v>
      </c>
      <c r="AA70" s="37">
        <f t="shared" si="5"/>
        <v>15</v>
      </c>
      <c r="AC70" s="18">
        <v>5</v>
      </c>
      <c r="AD70" s="18">
        <v>0</v>
      </c>
      <c r="AE70" s="18">
        <v>0</v>
      </c>
      <c r="AF70" s="18">
        <v>0</v>
      </c>
      <c r="AG70" s="18">
        <v>1</v>
      </c>
      <c r="AH70" s="18">
        <v>5</v>
      </c>
      <c r="AI70" s="18">
        <v>5</v>
      </c>
      <c r="AK70" s="4">
        <v>1</v>
      </c>
      <c r="AL70" s="4">
        <v>1</v>
      </c>
      <c r="AM70" s="4">
        <v>1</v>
      </c>
      <c r="AN70" s="4">
        <v>1</v>
      </c>
      <c r="AO70" s="4">
        <v>3</v>
      </c>
      <c r="AP70" s="4">
        <v>1</v>
      </c>
      <c r="AQ70" s="4">
        <v>1</v>
      </c>
    </row>
    <row r="71" spans="2:43">
      <c r="B71" s="164">
        <v>4</v>
      </c>
      <c r="C71" s="159">
        <v>1</v>
      </c>
      <c r="L71" s="14">
        <v>67</v>
      </c>
      <c r="M71" s="38" t="s">
        <v>37</v>
      </c>
      <c r="N71" s="38" t="s">
        <v>256</v>
      </c>
      <c r="O71" s="38" t="s">
        <v>256</v>
      </c>
      <c r="P71" s="38" t="s">
        <v>256</v>
      </c>
      <c r="Q71" s="38" t="s">
        <v>256</v>
      </c>
      <c r="R71" s="38" t="s">
        <v>25</v>
      </c>
      <c r="S71" s="24" t="s">
        <v>35</v>
      </c>
      <c r="U71" s="37">
        <f t="shared" si="6"/>
        <v>13</v>
      </c>
      <c r="V71" s="37">
        <f t="shared" si="6"/>
        <v>0</v>
      </c>
      <c r="W71" s="37">
        <f t="shared" si="6"/>
        <v>0</v>
      </c>
      <c r="X71" s="37">
        <f t="shared" si="5"/>
        <v>0</v>
      </c>
      <c r="Y71" s="37">
        <f t="shared" si="5"/>
        <v>0</v>
      </c>
      <c r="Z71" s="37">
        <f t="shared" si="5"/>
        <v>5</v>
      </c>
      <c r="AA71" s="37">
        <f t="shared" si="5"/>
        <v>15</v>
      </c>
      <c r="AC71" s="18">
        <v>5</v>
      </c>
      <c r="AD71" s="18">
        <v>0</v>
      </c>
      <c r="AE71" s="18">
        <v>0</v>
      </c>
      <c r="AF71" s="18">
        <v>0</v>
      </c>
      <c r="AG71" s="18">
        <v>0</v>
      </c>
      <c r="AH71" s="18">
        <v>5</v>
      </c>
      <c r="AI71" s="18">
        <v>5</v>
      </c>
      <c r="AK71" s="4">
        <v>1</v>
      </c>
      <c r="AL71" s="4">
        <v>2</v>
      </c>
      <c r="AM71" s="4">
        <v>1</v>
      </c>
      <c r="AN71" s="4">
        <v>1</v>
      </c>
      <c r="AO71" s="4">
        <v>0</v>
      </c>
      <c r="AP71" s="4">
        <v>1</v>
      </c>
      <c r="AQ71" s="4">
        <v>1</v>
      </c>
    </row>
    <row r="72" spans="2:43">
      <c r="B72" s="164">
        <v>5</v>
      </c>
      <c r="C72" s="159">
        <v>0</v>
      </c>
      <c r="L72" s="15">
        <v>68</v>
      </c>
      <c r="M72" s="38" t="s">
        <v>37</v>
      </c>
      <c r="N72" s="38" t="s">
        <v>40</v>
      </c>
      <c r="O72" s="38" t="s">
        <v>25</v>
      </c>
      <c r="P72" s="38" t="s">
        <v>39</v>
      </c>
      <c r="Q72" s="38" t="s">
        <v>34</v>
      </c>
      <c r="R72" s="38" t="s">
        <v>65</v>
      </c>
      <c r="S72" s="24" t="s">
        <v>35</v>
      </c>
      <c r="U72" s="37">
        <f t="shared" si="6"/>
        <v>13</v>
      </c>
      <c r="V72" s="37">
        <f t="shared" si="6"/>
        <v>12</v>
      </c>
      <c r="W72" s="37">
        <f t="shared" si="6"/>
        <v>5</v>
      </c>
      <c r="X72" s="37">
        <f t="shared" si="5"/>
        <v>5</v>
      </c>
      <c r="Y72" s="37">
        <f t="shared" si="5"/>
        <v>16</v>
      </c>
      <c r="Z72" s="37">
        <f t="shared" si="5"/>
        <v>17</v>
      </c>
      <c r="AA72" s="37">
        <f t="shared" si="5"/>
        <v>15</v>
      </c>
      <c r="AC72" s="18">
        <v>5</v>
      </c>
      <c r="AD72" s="18">
        <v>0</v>
      </c>
      <c r="AE72" s="18">
        <v>0</v>
      </c>
      <c r="AF72" s="18">
        <v>0</v>
      </c>
      <c r="AG72" s="18">
        <v>0</v>
      </c>
      <c r="AH72" s="18">
        <v>5</v>
      </c>
      <c r="AI72" s="18">
        <v>5</v>
      </c>
      <c r="AK72" s="4">
        <v>1</v>
      </c>
      <c r="AL72" s="4">
        <v>0</v>
      </c>
      <c r="AM72" s="4">
        <v>1</v>
      </c>
      <c r="AN72" s="4">
        <v>2</v>
      </c>
      <c r="AO72" s="4">
        <v>0</v>
      </c>
      <c r="AP72" s="4">
        <v>1</v>
      </c>
      <c r="AQ72" s="4">
        <v>1</v>
      </c>
    </row>
    <row r="73" spans="2:43">
      <c r="B73" s="164">
        <v>6</v>
      </c>
      <c r="C73" s="159">
        <v>0</v>
      </c>
      <c r="L73" s="14">
        <v>69</v>
      </c>
      <c r="M73" s="38" t="s">
        <v>40</v>
      </c>
      <c r="N73" s="38" t="s">
        <v>65</v>
      </c>
      <c r="O73" s="38" t="s">
        <v>25</v>
      </c>
      <c r="P73" s="38" t="s">
        <v>25</v>
      </c>
      <c r="Q73" s="38" t="s">
        <v>39</v>
      </c>
      <c r="R73" s="38" t="s">
        <v>25</v>
      </c>
      <c r="S73" s="24" t="s">
        <v>35</v>
      </c>
      <c r="U73" s="37">
        <f t="shared" si="6"/>
        <v>12</v>
      </c>
      <c r="V73" s="37">
        <f t="shared" si="6"/>
        <v>17</v>
      </c>
      <c r="W73" s="37">
        <f t="shared" si="6"/>
        <v>5</v>
      </c>
      <c r="X73" s="37">
        <f t="shared" si="5"/>
        <v>5</v>
      </c>
      <c r="Y73" s="37">
        <f t="shared" si="5"/>
        <v>5</v>
      </c>
      <c r="Z73" s="37">
        <f t="shared" si="5"/>
        <v>5</v>
      </c>
      <c r="AA73" s="37">
        <f t="shared" si="5"/>
        <v>15</v>
      </c>
      <c r="AC73" s="18">
        <v>5</v>
      </c>
      <c r="AD73" s="18">
        <v>0</v>
      </c>
      <c r="AE73" s="18">
        <v>0</v>
      </c>
      <c r="AF73" s="18">
        <v>0</v>
      </c>
      <c r="AG73" s="18">
        <v>1</v>
      </c>
      <c r="AH73" s="18">
        <v>5</v>
      </c>
      <c r="AI73" s="18">
        <v>5</v>
      </c>
      <c r="AK73" s="4">
        <v>1</v>
      </c>
      <c r="AL73" s="4">
        <v>1</v>
      </c>
      <c r="AM73" s="4">
        <v>1</v>
      </c>
      <c r="AN73" s="4">
        <v>0</v>
      </c>
      <c r="AO73" s="4">
        <v>1</v>
      </c>
      <c r="AP73" s="4">
        <v>1</v>
      </c>
      <c r="AQ73" s="4">
        <v>1</v>
      </c>
    </row>
    <row r="74" spans="2:43">
      <c r="B74" s="164">
        <v>7</v>
      </c>
      <c r="C74" s="159">
        <v>0</v>
      </c>
      <c r="L74" s="15">
        <v>70</v>
      </c>
      <c r="M74" s="38" t="s">
        <v>32</v>
      </c>
      <c r="N74" s="38" t="s">
        <v>230</v>
      </c>
      <c r="O74" s="38" t="s">
        <v>35</v>
      </c>
      <c r="P74" s="38" t="s">
        <v>65</v>
      </c>
      <c r="Q74" s="38" t="s">
        <v>35</v>
      </c>
      <c r="R74" s="38" t="s">
        <v>25</v>
      </c>
      <c r="S74" s="24" t="s">
        <v>65</v>
      </c>
      <c r="U74" s="37">
        <f t="shared" si="6"/>
        <v>4</v>
      </c>
      <c r="V74" s="37">
        <f t="shared" si="6"/>
        <v>0</v>
      </c>
      <c r="W74" s="37">
        <f t="shared" si="6"/>
        <v>15</v>
      </c>
      <c r="X74" s="37">
        <f t="shared" si="5"/>
        <v>17</v>
      </c>
      <c r="Y74" s="37">
        <f t="shared" si="5"/>
        <v>15</v>
      </c>
      <c r="Z74" s="37">
        <f t="shared" si="5"/>
        <v>5</v>
      </c>
      <c r="AA74" s="37">
        <f t="shared" si="5"/>
        <v>17</v>
      </c>
      <c r="AC74" s="18">
        <v>5</v>
      </c>
      <c r="AD74" s="18">
        <v>5</v>
      </c>
      <c r="AE74" s="18">
        <v>5</v>
      </c>
      <c r="AF74" s="18">
        <v>5</v>
      </c>
      <c r="AG74" s="18">
        <v>5</v>
      </c>
      <c r="AH74" s="18">
        <v>5</v>
      </c>
      <c r="AI74" s="18">
        <v>5</v>
      </c>
      <c r="AK74" s="4">
        <v>1</v>
      </c>
      <c r="AL74" s="4">
        <v>1</v>
      </c>
      <c r="AM74" s="4">
        <v>1</v>
      </c>
      <c r="AN74" s="4">
        <v>2</v>
      </c>
      <c r="AO74" s="4">
        <v>1</v>
      </c>
      <c r="AP74" s="4">
        <v>1</v>
      </c>
      <c r="AQ74" s="4">
        <v>1</v>
      </c>
    </row>
    <row r="75" spans="2:43">
      <c r="L75" s="14">
        <v>71</v>
      </c>
      <c r="M75" s="38" t="s">
        <v>35</v>
      </c>
      <c r="N75" s="38" t="s">
        <v>38</v>
      </c>
      <c r="O75" s="38" t="s">
        <v>90</v>
      </c>
      <c r="P75" s="38" t="s">
        <v>33</v>
      </c>
      <c r="Q75" s="38" t="s">
        <v>39</v>
      </c>
      <c r="R75" s="38" t="s">
        <v>33</v>
      </c>
      <c r="S75" s="24" t="s">
        <v>65</v>
      </c>
      <c r="U75" s="37">
        <f t="shared" si="6"/>
        <v>15</v>
      </c>
      <c r="V75" s="37">
        <f t="shared" si="6"/>
        <v>15</v>
      </c>
      <c r="W75" s="37">
        <f t="shared" si="6"/>
        <v>6</v>
      </c>
      <c r="X75" s="37">
        <f t="shared" si="5"/>
        <v>11</v>
      </c>
      <c r="Y75" s="37">
        <f t="shared" si="5"/>
        <v>5</v>
      </c>
      <c r="Z75" s="37">
        <f t="shared" si="5"/>
        <v>11</v>
      </c>
      <c r="AA75" s="37">
        <f t="shared" si="5"/>
        <v>17</v>
      </c>
      <c r="AC75" s="18">
        <v>5</v>
      </c>
      <c r="AD75" s="18">
        <v>0</v>
      </c>
      <c r="AE75" s="18">
        <v>0</v>
      </c>
      <c r="AF75" s="18">
        <v>0</v>
      </c>
      <c r="AG75" s="18">
        <v>0</v>
      </c>
      <c r="AH75" s="18">
        <v>5</v>
      </c>
      <c r="AI75" s="18">
        <v>5</v>
      </c>
      <c r="AK75" s="4">
        <v>1</v>
      </c>
      <c r="AL75" s="4">
        <v>1</v>
      </c>
      <c r="AM75" s="4">
        <v>1</v>
      </c>
      <c r="AN75" s="4">
        <v>0</v>
      </c>
      <c r="AO75" s="4">
        <v>2</v>
      </c>
      <c r="AP75" s="4">
        <v>1</v>
      </c>
      <c r="AQ75" s="4">
        <v>1</v>
      </c>
    </row>
    <row r="76" spans="2:43">
      <c r="L76" s="15">
        <v>72</v>
      </c>
      <c r="M76" s="38" t="s">
        <v>39</v>
      </c>
      <c r="N76" s="38" t="s">
        <v>35</v>
      </c>
      <c r="O76" s="38" t="s">
        <v>90</v>
      </c>
      <c r="P76" s="38" t="s">
        <v>35</v>
      </c>
      <c r="Q76" s="38" t="s">
        <v>39</v>
      </c>
      <c r="R76" s="38" t="s">
        <v>34</v>
      </c>
      <c r="S76" s="24" t="s">
        <v>65</v>
      </c>
      <c r="U76" s="37">
        <f t="shared" si="6"/>
        <v>5</v>
      </c>
      <c r="V76" s="37">
        <f t="shared" si="6"/>
        <v>15</v>
      </c>
      <c r="W76" s="37">
        <f t="shared" si="6"/>
        <v>6</v>
      </c>
      <c r="X76" s="37">
        <f t="shared" si="5"/>
        <v>15</v>
      </c>
      <c r="Y76" s="37">
        <f t="shared" si="5"/>
        <v>5</v>
      </c>
      <c r="Z76" s="37">
        <f t="shared" si="5"/>
        <v>16</v>
      </c>
      <c r="AA76" s="37">
        <f t="shared" si="5"/>
        <v>17</v>
      </c>
      <c r="AC76" s="18">
        <v>5</v>
      </c>
      <c r="AD76" s="18">
        <v>0</v>
      </c>
      <c r="AE76" s="18">
        <v>0</v>
      </c>
      <c r="AF76" s="18">
        <v>0</v>
      </c>
      <c r="AG76" s="18">
        <v>0</v>
      </c>
      <c r="AH76" s="18">
        <v>5</v>
      </c>
      <c r="AI76" s="18">
        <v>5</v>
      </c>
      <c r="AK76" s="4">
        <v>1</v>
      </c>
      <c r="AL76" s="4">
        <v>2</v>
      </c>
      <c r="AM76" s="4">
        <v>2</v>
      </c>
      <c r="AN76" s="4">
        <v>1</v>
      </c>
      <c r="AO76" s="4">
        <v>0</v>
      </c>
      <c r="AP76" s="4">
        <v>1</v>
      </c>
      <c r="AQ76" s="4">
        <v>1</v>
      </c>
    </row>
    <row r="77" spans="2:43">
      <c r="L77" s="14">
        <v>73</v>
      </c>
      <c r="M77" s="38" t="s">
        <v>39</v>
      </c>
      <c r="N77" s="38" t="s">
        <v>90</v>
      </c>
      <c r="O77" s="38" t="s">
        <v>90</v>
      </c>
      <c r="P77" s="38" t="s">
        <v>32</v>
      </c>
      <c r="Q77" s="38" t="s">
        <v>236</v>
      </c>
      <c r="R77" s="38" t="s">
        <v>25</v>
      </c>
      <c r="S77" s="24" t="s">
        <v>37</v>
      </c>
      <c r="U77" s="37">
        <f t="shared" si="6"/>
        <v>5</v>
      </c>
      <c r="V77" s="37">
        <f t="shared" si="6"/>
        <v>6</v>
      </c>
      <c r="W77" s="37">
        <f t="shared" si="6"/>
        <v>6</v>
      </c>
      <c r="X77" s="37">
        <f t="shared" si="5"/>
        <v>4</v>
      </c>
      <c r="Y77" s="37">
        <f t="shared" si="5"/>
        <v>0</v>
      </c>
      <c r="Z77" s="37">
        <f t="shared" si="5"/>
        <v>5</v>
      </c>
      <c r="AA77" s="37">
        <f t="shared" si="5"/>
        <v>13</v>
      </c>
      <c r="AC77" s="18">
        <v>5</v>
      </c>
      <c r="AD77" s="18">
        <v>0</v>
      </c>
      <c r="AE77" s="18">
        <v>0</v>
      </c>
      <c r="AF77" s="18">
        <v>0</v>
      </c>
      <c r="AG77" s="18">
        <v>0</v>
      </c>
      <c r="AH77" s="18">
        <v>5</v>
      </c>
      <c r="AI77" s="18">
        <v>5</v>
      </c>
      <c r="AK77" s="4">
        <v>1</v>
      </c>
      <c r="AL77" s="4">
        <v>0</v>
      </c>
      <c r="AM77" s="4">
        <v>0</v>
      </c>
      <c r="AN77" s="4">
        <v>1</v>
      </c>
      <c r="AO77" s="4">
        <v>1</v>
      </c>
      <c r="AP77" s="4">
        <v>1</v>
      </c>
      <c r="AQ77" s="4">
        <v>1</v>
      </c>
    </row>
    <row r="78" spans="2:43">
      <c r="L78" s="15">
        <v>74</v>
      </c>
      <c r="M78" s="38" t="s">
        <v>65</v>
      </c>
      <c r="N78" s="38" t="s">
        <v>25</v>
      </c>
      <c r="O78" s="38" t="s">
        <v>39</v>
      </c>
      <c r="P78" s="38" t="s">
        <v>65</v>
      </c>
      <c r="Q78" s="38" t="s">
        <v>37</v>
      </c>
      <c r="R78" s="38" t="s">
        <v>25</v>
      </c>
      <c r="S78" s="24" t="s">
        <v>34</v>
      </c>
      <c r="U78" s="37">
        <f t="shared" si="6"/>
        <v>17</v>
      </c>
      <c r="V78" s="37">
        <f t="shared" si="6"/>
        <v>5</v>
      </c>
      <c r="W78" s="37">
        <f t="shared" si="6"/>
        <v>5</v>
      </c>
      <c r="X78" s="37">
        <f t="shared" si="5"/>
        <v>17</v>
      </c>
      <c r="Y78" s="37">
        <f t="shared" si="5"/>
        <v>13</v>
      </c>
      <c r="Z78" s="37">
        <f t="shared" si="5"/>
        <v>5</v>
      </c>
      <c r="AA78" s="37">
        <f t="shared" si="5"/>
        <v>16</v>
      </c>
      <c r="AC78" s="18">
        <v>5</v>
      </c>
      <c r="AD78" s="18">
        <v>0</v>
      </c>
      <c r="AE78" s="18">
        <v>0</v>
      </c>
      <c r="AF78" s="18">
        <v>0</v>
      </c>
      <c r="AG78" s="18">
        <v>1</v>
      </c>
      <c r="AH78" s="18">
        <v>5</v>
      </c>
      <c r="AI78" s="18">
        <v>5</v>
      </c>
      <c r="AJ78" s="47"/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</row>
    <row r="79" spans="2:43">
      <c r="L79" s="14">
        <v>75</v>
      </c>
      <c r="M79" s="38" t="s">
        <v>25</v>
      </c>
      <c r="N79" s="38" t="s">
        <v>40</v>
      </c>
      <c r="O79" s="38" t="s">
        <v>65</v>
      </c>
      <c r="P79" s="38" t="s">
        <v>90</v>
      </c>
      <c r="Q79" s="38" t="s">
        <v>37</v>
      </c>
      <c r="R79" s="38" t="s">
        <v>65</v>
      </c>
      <c r="S79" s="24" t="s">
        <v>38</v>
      </c>
      <c r="U79" s="37">
        <f t="shared" si="6"/>
        <v>5</v>
      </c>
      <c r="V79" s="37">
        <f t="shared" si="6"/>
        <v>12</v>
      </c>
      <c r="W79" s="37">
        <f t="shared" si="6"/>
        <v>17</v>
      </c>
      <c r="X79" s="37">
        <f t="shared" si="5"/>
        <v>6</v>
      </c>
      <c r="Y79" s="37">
        <f t="shared" si="5"/>
        <v>13</v>
      </c>
      <c r="Z79" s="37">
        <f t="shared" si="5"/>
        <v>17</v>
      </c>
      <c r="AA79" s="37">
        <f t="shared" si="5"/>
        <v>15</v>
      </c>
      <c r="AC79" s="18">
        <v>5</v>
      </c>
      <c r="AD79" s="18">
        <v>5</v>
      </c>
      <c r="AE79" s="18">
        <v>5</v>
      </c>
      <c r="AF79" s="18">
        <v>5</v>
      </c>
      <c r="AG79" s="18">
        <v>6</v>
      </c>
      <c r="AH79" s="18">
        <v>5</v>
      </c>
      <c r="AI79" s="18">
        <v>5</v>
      </c>
      <c r="AK79" s="4">
        <v>1</v>
      </c>
      <c r="AL79" s="4">
        <v>1</v>
      </c>
      <c r="AM79" s="4">
        <v>1</v>
      </c>
      <c r="AN79" s="4">
        <v>2</v>
      </c>
      <c r="AO79" s="4">
        <v>2</v>
      </c>
      <c r="AP79" s="4">
        <v>1</v>
      </c>
      <c r="AQ79" s="4">
        <v>1</v>
      </c>
    </row>
    <row r="80" spans="2:43">
      <c r="L80" s="15">
        <v>76</v>
      </c>
      <c r="M80" s="38" t="s">
        <v>90</v>
      </c>
      <c r="N80" s="38" t="s">
        <v>40</v>
      </c>
      <c r="O80" s="38" t="s">
        <v>34</v>
      </c>
      <c r="P80" s="38" t="s">
        <v>236</v>
      </c>
      <c r="Q80" s="38" t="s">
        <v>40</v>
      </c>
      <c r="R80" s="38" t="s">
        <v>38</v>
      </c>
      <c r="S80" s="38" t="s">
        <v>38</v>
      </c>
      <c r="U80" s="37">
        <f t="shared" si="6"/>
        <v>6</v>
      </c>
      <c r="V80" s="37">
        <f t="shared" si="6"/>
        <v>12</v>
      </c>
      <c r="W80" s="37">
        <f t="shared" si="6"/>
        <v>16</v>
      </c>
      <c r="X80" s="37">
        <f t="shared" si="5"/>
        <v>0</v>
      </c>
      <c r="Y80" s="37">
        <f t="shared" si="5"/>
        <v>12</v>
      </c>
      <c r="Z80" s="37">
        <f t="shared" si="5"/>
        <v>15</v>
      </c>
      <c r="AA80" s="37">
        <f t="shared" si="5"/>
        <v>15</v>
      </c>
      <c r="AC80" s="18">
        <v>5</v>
      </c>
      <c r="AD80" s="18">
        <v>0</v>
      </c>
      <c r="AE80" s="18">
        <v>0</v>
      </c>
      <c r="AF80" s="18">
        <v>0</v>
      </c>
      <c r="AG80" s="18">
        <v>0</v>
      </c>
      <c r="AH80" s="18">
        <v>5</v>
      </c>
      <c r="AI80" s="18">
        <v>5</v>
      </c>
      <c r="AK80" s="4">
        <v>1</v>
      </c>
      <c r="AL80" s="4">
        <v>2</v>
      </c>
      <c r="AM80" s="4">
        <v>1</v>
      </c>
      <c r="AN80" s="4">
        <v>0</v>
      </c>
      <c r="AO80" s="4">
        <v>0</v>
      </c>
      <c r="AP80" s="4">
        <v>1</v>
      </c>
      <c r="AQ80" s="4">
        <v>1</v>
      </c>
    </row>
    <row r="81" spans="12:43">
      <c r="L81" s="14">
        <v>77</v>
      </c>
      <c r="M81" s="38" t="s">
        <v>65</v>
      </c>
      <c r="N81" s="38" t="s">
        <v>232</v>
      </c>
      <c r="O81" s="38" t="s">
        <v>34</v>
      </c>
      <c r="P81" s="38" t="s">
        <v>37</v>
      </c>
      <c r="Q81" s="38" t="s">
        <v>40</v>
      </c>
      <c r="R81" s="38" t="s">
        <v>38</v>
      </c>
      <c r="S81" s="24" t="s">
        <v>35</v>
      </c>
      <c r="U81" s="37">
        <f t="shared" si="6"/>
        <v>17</v>
      </c>
      <c r="V81" s="37">
        <f t="shared" si="6"/>
        <v>0</v>
      </c>
      <c r="W81" s="37">
        <f t="shared" si="6"/>
        <v>16</v>
      </c>
      <c r="X81" s="37">
        <f t="shared" si="5"/>
        <v>13</v>
      </c>
      <c r="Y81" s="37">
        <f t="shared" si="5"/>
        <v>12</v>
      </c>
      <c r="Z81" s="37">
        <f t="shared" si="5"/>
        <v>15</v>
      </c>
      <c r="AA81" s="37">
        <f t="shared" si="5"/>
        <v>15</v>
      </c>
      <c r="AC81" s="18">
        <v>5</v>
      </c>
      <c r="AD81" s="18">
        <v>0</v>
      </c>
      <c r="AE81" s="18">
        <v>0</v>
      </c>
      <c r="AF81" s="18">
        <v>0</v>
      </c>
      <c r="AG81" s="18">
        <v>0</v>
      </c>
      <c r="AH81" s="18">
        <v>5</v>
      </c>
      <c r="AI81" s="18">
        <v>5</v>
      </c>
      <c r="AK81" s="4">
        <v>1</v>
      </c>
      <c r="AL81" s="4">
        <v>0</v>
      </c>
      <c r="AM81" s="4">
        <v>1</v>
      </c>
      <c r="AN81" s="4">
        <v>1</v>
      </c>
      <c r="AO81" s="4">
        <v>2</v>
      </c>
      <c r="AP81" s="4">
        <v>1</v>
      </c>
      <c r="AQ81" s="4">
        <v>1</v>
      </c>
    </row>
    <row r="82" spans="12:43">
      <c r="L82" s="15">
        <v>78</v>
      </c>
      <c r="M82" s="38" t="s">
        <v>35</v>
      </c>
      <c r="N82" s="38" t="s">
        <v>65</v>
      </c>
      <c r="O82" s="38" t="s">
        <v>37</v>
      </c>
      <c r="P82" s="38" t="s">
        <v>65</v>
      </c>
      <c r="Q82" s="38" t="s">
        <v>35</v>
      </c>
      <c r="R82" s="38" t="s">
        <v>25</v>
      </c>
      <c r="S82" s="24" t="s">
        <v>38</v>
      </c>
      <c r="U82" s="37">
        <f t="shared" si="6"/>
        <v>15</v>
      </c>
      <c r="V82" s="37">
        <f t="shared" si="6"/>
        <v>17</v>
      </c>
      <c r="W82" s="37">
        <f t="shared" si="6"/>
        <v>13</v>
      </c>
      <c r="X82" s="37">
        <f t="shared" si="5"/>
        <v>17</v>
      </c>
      <c r="Y82" s="37">
        <f t="shared" si="5"/>
        <v>15</v>
      </c>
      <c r="Z82" s="37">
        <f t="shared" si="5"/>
        <v>5</v>
      </c>
      <c r="AA82" s="37">
        <f t="shared" si="5"/>
        <v>15</v>
      </c>
      <c r="AC82" s="18">
        <v>5</v>
      </c>
      <c r="AD82" s="18">
        <v>0</v>
      </c>
      <c r="AE82" s="18">
        <v>0</v>
      </c>
      <c r="AF82" s="18">
        <v>0</v>
      </c>
      <c r="AG82" s="18">
        <v>0</v>
      </c>
      <c r="AH82" s="18">
        <v>5</v>
      </c>
      <c r="AI82" s="18">
        <v>5</v>
      </c>
      <c r="AK82" s="4">
        <v>1</v>
      </c>
      <c r="AL82" s="4">
        <v>1</v>
      </c>
      <c r="AM82" s="4">
        <v>1</v>
      </c>
      <c r="AN82" s="4">
        <v>2</v>
      </c>
      <c r="AO82" s="4">
        <v>0</v>
      </c>
      <c r="AP82" s="4">
        <v>1</v>
      </c>
      <c r="AQ82" s="4">
        <v>1</v>
      </c>
    </row>
    <row r="83" spans="12:43">
      <c r="L83" s="14">
        <v>79</v>
      </c>
      <c r="M83" s="38" t="s">
        <v>37</v>
      </c>
      <c r="N83" s="38" t="s">
        <v>65</v>
      </c>
      <c r="O83" s="38" t="s">
        <v>38</v>
      </c>
      <c r="P83" s="38" t="s">
        <v>238</v>
      </c>
      <c r="Q83" s="38" t="s">
        <v>228</v>
      </c>
      <c r="R83" s="38" t="s">
        <v>25</v>
      </c>
      <c r="S83" s="24" t="s">
        <v>38</v>
      </c>
      <c r="U83" s="37">
        <f t="shared" si="6"/>
        <v>13</v>
      </c>
      <c r="V83" s="37">
        <f t="shared" si="6"/>
        <v>17</v>
      </c>
      <c r="W83" s="37">
        <f t="shared" si="6"/>
        <v>15</v>
      </c>
      <c r="X83" s="37">
        <f t="shared" si="5"/>
        <v>0</v>
      </c>
      <c r="Y83" s="37">
        <f t="shared" si="5"/>
        <v>0</v>
      </c>
      <c r="Z83" s="37">
        <f t="shared" si="5"/>
        <v>5</v>
      </c>
      <c r="AA83" s="37">
        <f t="shared" si="5"/>
        <v>15</v>
      </c>
      <c r="AC83" s="18">
        <v>5</v>
      </c>
      <c r="AD83" s="18">
        <v>0</v>
      </c>
      <c r="AE83" s="18">
        <v>0</v>
      </c>
      <c r="AF83" s="18">
        <v>0</v>
      </c>
      <c r="AG83" s="18">
        <v>0</v>
      </c>
      <c r="AH83" s="18">
        <v>5</v>
      </c>
      <c r="AI83" s="18">
        <v>5</v>
      </c>
      <c r="AK83" s="4">
        <v>1</v>
      </c>
      <c r="AL83" s="4">
        <v>1</v>
      </c>
      <c r="AM83" s="4">
        <v>1</v>
      </c>
      <c r="AN83" s="4">
        <v>0</v>
      </c>
      <c r="AO83" s="4">
        <v>1</v>
      </c>
      <c r="AP83" s="4">
        <v>1</v>
      </c>
      <c r="AQ83" s="4">
        <v>1</v>
      </c>
    </row>
    <row r="84" spans="12:43">
      <c r="L84" s="15">
        <v>80</v>
      </c>
      <c r="M84" s="38" t="s">
        <v>37</v>
      </c>
      <c r="N84" s="38" t="s">
        <v>230</v>
      </c>
      <c r="O84" s="38" t="s">
        <v>236</v>
      </c>
      <c r="P84" s="38" t="s">
        <v>38</v>
      </c>
      <c r="Q84" s="38" t="s">
        <v>37</v>
      </c>
      <c r="R84" s="38" t="s">
        <v>37</v>
      </c>
      <c r="S84" s="24" t="s">
        <v>38</v>
      </c>
      <c r="U84" s="37">
        <f t="shared" si="6"/>
        <v>13</v>
      </c>
      <c r="V84" s="37">
        <f t="shared" si="6"/>
        <v>0</v>
      </c>
      <c r="W84" s="37">
        <f t="shared" si="6"/>
        <v>0</v>
      </c>
      <c r="X84" s="37">
        <f t="shared" si="5"/>
        <v>15</v>
      </c>
      <c r="Y84" s="37">
        <f t="shared" si="5"/>
        <v>13</v>
      </c>
      <c r="Z84" s="37">
        <f t="shared" si="5"/>
        <v>13</v>
      </c>
      <c r="AA84" s="37">
        <f t="shared" si="5"/>
        <v>15</v>
      </c>
      <c r="AC84" s="18">
        <v>5</v>
      </c>
      <c r="AD84" s="18">
        <v>5</v>
      </c>
      <c r="AE84" s="18">
        <v>5</v>
      </c>
      <c r="AF84" s="18">
        <v>5</v>
      </c>
      <c r="AG84" s="18">
        <v>6</v>
      </c>
      <c r="AH84" s="18">
        <v>5</v>
      </c>
      <c r="AI84" s="18">
        <v>5</v>
      </c>
      <c r="AK84" s="4">
        <v>1</v>
      </c>
      <c r="AL84" s="4">
        <v>3</v>
      </c>
      <c r="AM84" s="4">
        <v>1</v>
      </c>
      <c r="AN84" s="4">
        <v>1</v>
      </c>
      <c r="AO84" s="4">
        <v>3</v>
      </c>
      <c r="AP84" s="4">
        <v>1</v>
      </c>
      <c r="AQ84" s="4">
        <v>1</v>
      </c>
    </row>
    <row r="85" spans="12:43">
      <c r="L85" s="14">
        <v>81</v>
      </c>
      <c r="M85" s="38" t="s">
        <v>40</v>
      </c>
      <c r="N85" s="38" t="s">
        <v>25</v>
      </c>
      <c r="O85" s="38" t="s">
        <v>39</v>
      </c>
      <c r="P85" s="38" t="s">
        <v>38</v>
      </c>
      <c r="Q85" s="38" t="s">
        <v>37</v>
      </c>
      <c r="R85" s="38" t="s">
        <v>33</v>
      </c>
      <c r="S85" s="24" t="s">
        <v>33</v>
      </c>
      <c r="U85" s="37">
        <f t="shared" si="6"/>
        <v>12</v>
      </c>
      <c r="V85" s="37">
        <f t="shared" si="6"/>
        <v>5</v>
      </c>
      <c r="W85" s="37">
        <f t="shared" si="6"/>
        <v>5</v>
      </c>
      <c r="X85" s="37">
        <f t="shared" si="5"/>
        <v>15</v>
      </c>
      <c r="Y85" s="37">
        <f t="shared" si="5"/>
        <v>13</v>
      </c>
      <c r="Z85" s="37">
        <f t="shared" si="5"/>
        <v>11</v>
      </c>
      <c r="AA85" s="37">
        <f t="shared" si="5"/>
        <v>11</v>
      </c>
      <c r="AC85" s="18">
        <v>5</v>
      </c>
      <c r="AD85" s="18">
        <v>0</v>
      </c>
      <c r="AE85" s="18">
        <v>0</v>
      </c>
      <c r="AF85" s="18">
        <v>0</v>
      </c>
      <c r="AG85" s="18">
        <v>0</v>
      </c>
      <c r="AH85" s="18">
        <v>5</v>
      </c>
      <c r="AI85" s="18">
        <v>5</v>
      </c>
      <c r="AK85" s="4">
        <v>1</v>
      </c>
      <c r="AL85" s="4">
        <v>0</v>
      </c>
      <c r="AM85" s="4">
        <v>3</v>
      </c>
      <c r="AN85" s="4">
        <v>3</v>
      </c>
      <c r="AO85" s="4">
        <v>0</v>
      </c>
      <c r="AP85" s="4">
        <v>1</v>
      </c>
      <c r="AQ85" s="4">
        <v>1</v>
      </c>
    </row>
    <row r="86" spans="12:43">
      <c r="L86" s="15">
        <v>82</v>
      </c>
      <c r="M86" s="38" t="s">
        <v>40</v>
      </c>
      <c r="N86" s="38" t="s">
        <v>37</v>
      </c>
      <c r="O86" s="38" t="s">
        <v>32</v>
      </c>
      <c r="P86" s="38" t="s">
        <v>25</v>
      </c>
      <c r="Q86" s="38" t="s">
        <v>25</v>
      </c>
      <c r="R86" s="38" t="s">
        <v>33</v>
      </c>
      <c r="S86" s="24" t="s">
        <v>35</v>
      </c>
      <c r="U86" s="37">
        <f t="shared" si="6"/>
        <v>12</v>
      </c>
      <c r="V86" s="37">
        <f t="shared" si="6"/>
        <v>13</v>
      </c>
      <c r="W86" s="37">
        <f t="shared" si="6"/>
        <v>4</v>
      </c>
      <c r="X86" s="37">
        <f t="shared" si="5"/>
        <v>5</v>
      </c>
      <c r="Y86" s="37">
        <f t="shared" si="5"/>
        <v>5</v>
      </c>
      <c r="Z86" s="37">
        <f t="shared" si="5"/>
        <v>11</v>
      </c>
      <c r="AA86" s="37">
        <f t="shared" si="5"/>
        <v>15</v>
      </c>
      <c r="AC86" s="18">
        <v>5</v>
      </c>
      <c r="AD86" s="18">
        <v>0</v>
      </c>
      <c r="AE86" s="18">
        <v>0</v>
      </c>
      <c r="AF86" s="18">
        <v>0</v>
      </c>
      <c r="AG86" s="18">
        <v>0</v>
      </c>
      <c r="AH86" s="18">
        <v>5</v>
      </c>
      <c r="AI86" s="18">
        <v>5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1</v>
      </c>
    </row>
    <row r="87" spans="12:43">
      <c r="L87" s="14">
        <v>83</v>
      </c>
      <c r="M87" s="38" t="s">
        <v>37</v>
      </c>
      <c r="N87" s="38" t="s">
        <v>35</v>
      </c>
      <c r="O87" s="38" t="s">
        <v>32</v>
      </c>
      <c r="P87" s="38" t="s">
        <v>38</v>
      </c>
      <c r="Q87" s="38" t="s">
        <v>90</v>
      </c>
      <c r="R87" s="38" t="s">
        <v>65</v>
      </c>
      <c r="S87" s="24" t="s">
        <v>33</v>
      </c>
      <c r="U87" s="37">
        <f t="shared" si="6"/>
        <v>13</v>
      </c>
      <c r="V87" s="37">
        <f t="shared" si="6"/>
        <v>15</v>
      </c>
      <c r="W87" s="37">
        <f t="shared" si="6"/>
        <v>4</v>
      </c>
      <c r="X87" s="37">
        <f t="shared" si="5"/>
        <v>15</v>
      </c>
      <c r="Y87" s="37">
        <f t="shared" si="5"/>
        <v>6</v>
      </c>
      <c r="Z87" s="37">
        <f t="shared" si="5"/>
        <v>17</v>
      </c>
      <c r="AA87" s="37">
        <f t="shared" si="5"/>
        <v>11</v>
      </c>
      <c r="AC87" s="18">
        <v>5</v>
      </c>
      <c r="AD87" s="18">
        <v>0</v>
      </c>
      <c r="AE87" s="18">
        <v>0</v>
      </c>
      <c r="AF87" s="18">
        <v>0</v>
      </c>
      <c r="AG87" s="18">
        <v>0</v>
      </c>
      <c r="AH87" s="18">
        <v>5</v>
      </c>
      <c r="AI87" s="18">
        <v>5</v>
      </c>
      <c r="AK87" s="4">
        <v>1</v>
      </c>
      <c r="AL87" s="4">
        <v>2</v>
      </c>
      <c r="AM87" s="4">
        <v>0</v>
      </c>
      <c r="AN87" s="4">
        <v>0</v>
      </c>
      <c r="AO87" s="4">
        <v>2</v>
      </c>
      <c r="AP87" s="4">
        <v>1</v>
      </c>
      <c r="AQ87" s="4">
        <v>1</v>
      </c>
    </row>
    <row r="88" spans="12:43">
      <c r="L88" s="15">
        <v>84</v>
      </c>
      <c r="M88" s="38" t="s">
        <v>37</v>
      </c>
      <c r="N88" s="38" t="s">
        <v>234</v>
      </c>
      <c r="O88" s="38" t="s">
        <v>65</v>
      </c>
      <c r="P88" s="38" t="s">
        <v>38</v>
      </c>
      <c r="Q88" s="38" t="s">
        <v>90</v>
      </c>
      <c r="R88" s="38" t="s">
        <v>25</v>
      </c>
      <c r="S88" s="24" t="s">
        <v>90</v>
      </c>
      <c r="U88" s="37">
        <f t="shared" si="6"/>
        <v>13</v>
      </c>
      <c r="V88" s="37">
        <f t="shared" si="6"/>
        <v>0</v>
      </c>
      <c r="W88" s="37">
        <f t="shared" si="6"/>
        <v>17</v>
      </c>
      <c r="X88" s="37">
        <f t="shared" si="5"/>
        <v>15</v>
      </c>
      <c r="Y88" s="37">
        <f t="shared" si="5"/>
        <v>6</v>
      </c>
      <c r="Z88" s="37">
        <f t="shared" si="5"/>
        <v>5</v>
      </c>
      <c r="AA88" s="37">
        <f t="shared" si="5"/>
        <v>6</v>
      </c>
      <c r="AC88" s="18">
        <v>5</v>
      </c>
      <c r="AD88" s="18">
        <v>0</v>
      </c>
      <c r="AE88" s="18">
        <v>0</v>
      </c>
      <c r="AF88" s="18">
        <v>0</v>
      </c>
      <c r="AG88" s="18">
        <v>0</v>
      </c>
      <c r="AH88" s="18">
        <v>5</v>
      </c>
      <c r="AI88" s="18">
        <v>5</v>
      </c>
      <c r="AK88" s="4">
        <v>1</v>
      </c>
      <c r="AL88" s="4">
        <v>0</v>
      </c>
      <c r="AM88" s="4">
        <v>1</v>
      </c>
      <c r="AN88" s="4">
        <v>1</v>
      </c>
      <c r="AO88" s="4">
        <v>0</v>
      </c>
      <c r="AP88" s="4">
        <v>1</v>
      </c>
      <c r="AQ88" s="4">
        <v>1</v>
      </c>
    </row>
    <row r="89" spans="12:43">
      <c r="L89" s="14">
        <v>85</v>
      </c>
      <c r="M89" s="38" t="s">
        <v>35</v>
      </c>
      <c r="N89" s="38" t="s">
        <v>25</v>
      </c>
      <c r="O89" s="38" t="s">
        <v>37</v>
      </c>
      <c r="P89" s="38" t="s">
        <v>234</v>
      </c>
      <c r="Q89" s="38" t="s">
        <v>39</v>
      </c>
      <c r="R89" s="38" t="s">
        <v>25</v>
      </c>
      <c r="S89" s="24" t="s">
        <v>90</v>
      </c>
      <c r="U89" s="37">
        <f t="shared" si="6"/>
        <v>15</v>
      </c>
      <c r="V89" s="37">
        <f t="shared" si="6"/>
        <v>5</v>
      </c>
      <c r="W89" s="37">
        <f t="shared" si="6"/>
        <v>13</v>
      </c>
      <c r="X89" s="37">
        <f t="shared" si="5"/>
        <v>0</v>
      </c>
      <c r="Y89" s="37">
        <f t="shared" si="5"/>
        <v>5</v>
      </c>
      <c r="Z89" s="37">
        <f t="shared" si="5"/>
        <v>5</v>
      </c>
      <c r="AA89" s="37">
        <f t="shared" si="5"/>
        <v>6</v>
      </c>
      <c r="AC89" s="18">
        <v>5</v>
      </c>
      <c r="AD89" s="18">
        <v>5</v>
      </c>
      <c r="AE89" s="18">
        <v>5</v>
      </c>
      <c r="AF89" s="18">
        <v>5</v>
      </c>
      <c r="AG89" s="18">
        <v>4</v>
      </c>
      <c r="AH89" s="18">
        <v>5</v>
      </c>
      <c r="AI89" s="18">
        <v>5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</row>
    <row r="90" spans="12:43">
      <c r="L90" s="15">
        <v>86</v>
      </c>
      <c r="M90" s="38" t="s">
        <v>25</v>
      </c>
      <c r="N90" s="38" t="s">
        <v>25</v>
      </c>
      <c r="O90" s="38" t="s">
        <v>40</v>
      </c>
      <c r="P90" s="38" t="s">
        <v>25</v>
      </c>
      <c r="Q90" s="38" t="s">
        <v>39</v>
      </c>
      <c r="R90" s="38" t="s">
        <v>25</v>
      </c>
      <c r="S90" s="24" t="s">
        <v>65</v>
      </c>
      <c r="U90" s="37">
        <f t="shared" si="6"/>
        <v>5</v>
      </c>
      <c r="V90" s="37">
        <f t="shared" si="6"/>
        <v>5</v>
      </c>
      <c r="W90" s="37">
        <f t="shared" si="6"/>
        <v>12</v>
      </c>
      <c r="X90" s="37">
        <f t="shared" si="5"/>
        <v>5</v>
      </c>
      <c r="Y90" s="37">
        <f t="shared" si="5"/>
        <v>5</v>
      </c>
      <c r="Z90" s="37">
        <f t="shared" si="5"/>
        <v>5</v>
      </c>
      <c r="AA90" s="37">
        <f t="shared" si="5"/>
        <v>17</v>
      </c>
      <c r="AC90" s="18">
        <v>5</v>
      </c>
      <c r="AD90" s="18">
        <v>0</v>
      </c>
      <c r="AE90" s="18">
        <v>0</v>
      </c>
      <c r="AF90" s="18">
        <v>0</v>
      </c>
      <c r="AG90" s="18">
        <v>1</v>
      </c>
      <c r="AH90" s="18">
        <v>5</v>
      </c>
      <c r="AI90" s="18">
        <v>5</v>
      </c>
      <c r="AK90" s="4">
        <v>1</v>
      </c>
      <c r="AL90" s="4">
        <v>1</v>
      </c>
      <c r="AM90" s="4">
        <v>1</v>
      </c>
      <c r="AN90" s="4">
        <v>1</v>
      </c>
      <c r="AO90" s="4">
        <v>3</v>
      </c>
      <c r="AP90" s="4">
        <v>1</v>
      </c>
      <c r="AQ90" s="4">
        <v>1</v>
      </c>
    </row>
    <row r="91" spans="12:43">
      <c r="L91" s="14">
        <v>87</v>
      </c>
      <c r="M91" s="38" t="s">
        <v>25</v>
      </c>
      <c r="N91" s="38" t="s">
        <v>65</v>
      </c>
      <c r="O91" s="38" t="s">
        <v>39</v>
      </c>
      <c r="P91" s="38" t="s">
        <v>25</v>
      </c>
      <c r="Q91" s="38" t="s">
        <v>35</v>
      </c>
      <c r="R91" s="38" t="s">
        <v>40</v>
      </c>
      <c r="S91" s="24" t="s">
        <v>37</v>
      </c>
      <c r="U91" s="37">
        <f t="shared" si="6"/>
        <v>5</v>
      </c>
      <c r="V91" s="37">
        <f t="shared" si="6"/>
        <v>17</v>
      </c>
      <c r="W91" s="37">
        <f t="shared" si="6"/>
        <v>5</v>
      </c>
      <c r="X91" s="37">
        <f t="shared" si="5"/>
        <v>5</v>
      </c>
      <c r="Y91" s="37">
        <f t="shared" si="5"/>
        <v>15</v>
      </c>
      <c r="Z91" s="37">
        <f t="shared" si="5"/>
        <v>12</v>
      </c>
      <c r="AA91" s="37">
        <f t="shared" si="5"/>
        <v>13</v>
      </c>
      <c r="AC91" s="18">
        <v>5</v>
      </c>
      <c r="AD91" s="18">
        <v>0</v>
      </c>
      <c r="AE91" s="18">
        <v>0</v>
      </c>
      <c r="AF91" s="18">
        <v>0</v>
      </c>
      <c r="AG91" s="18">
        <v>0</v>
      </c>
      <c r="AH91" s="18">
        <v>5</v>
      </c>
      <c r="AI91" s="18">
        <v>5</v>
      </c>
      <c r="AK91" s="4">
        <v>1</v>
      </c>
      <c r="AL91" s="4">
        <v>2</v>
      </c>
      <c r="AM91" s="4">
        <v>1</v>
      </c>
      <c r="AN91" s="4">
        <v>1</v>
      </c>
      <c r="AO91" s="4">
        <v>0</v>
      </c>
      <c r="AP91" s="4">
        <v>1</v>
      </c>
      <c r="AQ91" s="4">
        <v>1</v>
      </c>
    </row>
    <row r="92" spans="12:43">
      <c r="L92" s="15">
        <v>88</v>
      </c>
      <c r="M92" s="38" t="s">
        <v>35</v>
      </c>
      <c r="N92" s="38" t="s">
        <v>65</v>
      </c>
      <c r="O92" s="38" t="s">
        <v>25</v>
      </c>
      <c r="P92" s="38" t="s">
        <v>38</v>
      </c>
      <c r="Q92" s="38" t="s">
        <v>90</v>
      </c>
      <c r="R92" s="38" t="s">
        <v>25</v>
      </c>
      <c r="S92" s="24" t="s">
        <v>34</v>
      </c>
      <c r="U92" s="37">
        <f t="shared" si="6"/>
        <v>15</v>
      </c>
      <c r="V92" s="37">
        <f t="shared" si="6"/>
        <v>17</v>
      </c>
      <c r="W92" s="37">
        <f t="shared" si="6"/>
        <v>5</v>
      </c>
      <c r="X92" s="37">
        <f t="shared" si="5"/>
        <v>15</v>
      </c>
      <c r="Y92" s="37">
        <f t="shared" si="5"/>
        <v>6</v>
      </c>
      <c r="Z92" s="37">
        <f t="shared" si="5"/>
        <v>5</v>
      </c>
      <c r="AA92" s="37">
        <f t="shared" si="5"/>
        <v>16</v>
      </c>
      <c r="AC92" s="18">
        <v>5</v>
      </c>
      <c r="AD92" s="18">
        <v>0</v>
      </c>
      <c r="AE92" s="18">
        <v>0</v>
      </c>
      <c r="AF92" s="18">
        <v>0</v>
      </c>
      <c r="AG92" s="18">
        <v>0</v>
      </c>
      <c r="AH92" s="18">
        <v>5</v>
      </c>
      <c r="AI92" s="18">
        <v>5</v>
      </c>
      <c r="AK92" s="4">
        <v>1</v>
      </c>
      <c r="AL92" s="4">
        <v>0</v>
      </c>
      <c r="AM92" s="4">
        <v>1</v>
      </c>
      <c r="AN92" s="4">
        <v>2</v>
      </c>
      <c r="AO92" s="4">
        <v>0</v>
      </c>
      <c r="AP92" s="4">
        <v>1</v>
      </c>
      <c r="AQ92" s="4">
        <v>1</v>
      </c>
    </row>
    <row r="93" spans="12:43">
      <c r="L93" s="14">
        <v>89</v>
      </c>
      <c r="M93" s="38" t="s">
        <v>35</v>
      </c>
      <c r="N93" s="38" t="s">
        <v>90</v>
      </c>
      <c r="O93" s="38" t="s">
        <v>25</v>
      </c>
      <c r="P93" s="38" t="s">
        <v>38</v>
      </c>
      <c r="Q93" s="38" t="s">
        <v>39</v>
      </c>
      <c r="R93" s="38" t="s">
        <v>25</v>
      </c>
      <c r="S93" s="24" t="s">
        <v>34</v>
      </c>
      <c r="U93" s="37">
        <f t="shared" si="6"/>
        <v>15</v>
      </c>
      <c r="V93" s="37">
        <f t="shared" si="6"/>
        <v>6</v>
      </c>
      <c r="W93" s="37">
        <f t="shared" si="6"/>
        <v>5</v>
      </c>
      <c r="X93" s="37">
        <f t="shared" si="5"/>
        <v>15</v>
      </c>
      <c r="Y93" s="37">
        <f t="shared" si="5"/>
        <v>5</v>
      </c>
      <c r="Z93" s="37">
        <f t="shared" si="5"/>
        <v>5</v>
      </c>
      <c r="AA93" s="37">
        <f t="shared" si="5"/>
        <v>16</v>
      </c>
      <c r="AC93" s="18">
        <v>5</v>
      </c>
      <c r="AD93" s="18">
        <v>0</v>
      </c>
      <c r="AE93" s="18">
        <v>0</v>
      </c>
      <c r="AF93" s="18">
        <v>0</v>
      </c>
      <c r="AG93" s="18">
        <v>1</v>
      </c>
      <c r="AH93" s="18">
        <v>5</v>
      </c>
      <c r="AI93" s="18">
        <v>5</v>
      </c>
      <c r="AK93" s="4">
        <v>1</v>
      </c>
      <c r="AL93" s="4">
        <v>1</v>
      </c>
      <c r="AM93" s="4">
        <v>1</v>
      </c>
      <c r="AN93" s="4">
        <v>0</v>
      </c>
      <c r="AO93" s="4">
        <v>1</v>
      </c>
      <c r="AP93" s="4">
        <v>1</v>
      </c>
      <c r="AQ93" s="4">
        <v>1</v>
      </c>
    </row>
    <row r="94" spans="12:43">
      <c r="L94" s="15">
        <v>90</v>
      </c>
      <c r="M94" s="38" t="s">
        <v>25</v>
      </c>
      <c r="N94" s="38" t="s">
        <v>37</v>
      </c>
      <c r="O94" s="38" t="s">
        <v>35</v>
      </c>
      <c r="P94" s="38" t="s">
        <v>40</v>
      </c>
      <c r="Q94" s="38" t="s">
        <v>39</v>
      </c>
      <c r="R94" s="38" t="s">
        <v>25</v>
      </c>
      <c r="S94" s="24" t="s">
        <v>65</v>
      </c>
      <c r="U94" s="37">
        <f t="shared" si="6"/>
        <v>5</v>
      </c>
      <c r="V94" s="37">
        <f t="shared" si="6"/>
        <v>13</v>
      </c>
      <c r="W94" s="37">
        <f t="shared" si="6"/>
        <v>15</v>
      </c>
      <c r="X94" s="37">
        <f t="shared" si="5"/>
        <v>12</v>
      </c>
      <c r="Y94" s="37">
        <f t="shared" si="5"/>
        <v>5</v>
      </c>
      <c r="Z94" s="37">
        <f t="shared" si="5"/>
        <v>5</v>
      </c>
      <c r="AA94" s="37">
        <f t="shared" si="5"/>
        <v>17</v>
      </c>
      <c r="AC94" s="18">
        <v>5</v>
      </c>
      <c r="AD94" s="18">
        <v>5</v>
      </c>
      <c r="AE94" s="18">
        <v>5</v>
      </c>
      <c r="AF94" s="18">
        <v>5</v>
      </c>
      <c r="AG94" s="18">
        <v>5</v>
      </c>
      <c r="AH94" s="18">
        <v>5</v>
      </c>
      <c r="AI94" s="18">
        <v>5</v>
      </c>
      <c r="AK94" s="4">
        <v>1</v>
      </c>
      <c r="AL94" s="4">
        <v>1</v>
      </c>
      <c r="AM94" s="4">
        <v>1</v>
      </c>
      <c r="AN94" s="4">
        <v>2</v>
      </c>
      <c r="AO94" s="4">
        <v>1</v>
      </c>
      <c r="AP94" s="4">
        <v>1</v>
      </c>
      <c r="AQ94" s="4">
        <v>1</v>
      </c>
    </row>
    <row r="95" spans="12:43">
      <c r="L95" s="14">
        <v>91</v>
      </c>
      <c r="M95" s="38" t="s">
        <v>35</v>
      </c>
      <c r="N95" s="38" t="s">
        <v>65</v>
      </c>
      <c r="O95" s="38" t="s">
        <v>35</v>
      </c>
      <c r="P95" s="38" t="s">
        <v>33</v>
      </c>
      <c r="Q95" s="38" t="s">
        <v>240</v>
      </c>
      <c r="R95" s="38" t="s">
        <v>39</v>
      </c>
      <c r="S95" s="24" t="s">
        <v>90</v>
      </c>
      <c r="U95" s="37">
        <f t="shared" si="6"/>
        <v>15</v>
      </c>
      <c r="V95" s="37">
        <f t="shared" si="6"/>
        <v>17</v>
      </c>
      <c r="W95" s="37">
        <f t="shared" si="6"/>
        <v>15</v>
      </c>
      <c r="X95" s="37">
        <f t="shared" si="5"/>
        <v>11</v>
      </c>
      <c r="Y95" s="37">
        <f t="shared" si="5"/>
        <v>0</v>
      </c>
      <c r="Z95" s="37">
        <f t="shared" si="5"/>
        <v>5</v>
      </c>
      <c r="AA95" s="37">
        <f t="shared" si="5"/>
        <v>6</v>
      </c>
      <c r="AC95" s="18">
        <v>5</v>
      </c>
      <c r="AD95" s="18">
        <v>0</v>
      </c>
      <c r="AE95" s="18">
        <v>0</v>
      </c>
      <c r="AF95" s="18">
        <v>0</v>
      </c>
      <c r="AG95" s="18">
        <v>0</v>
      </c>
      <c r="AH95" s="18">
        <v>5</v>
      </c>
      <c r="AI95" s="18">
        <v>5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1</v>
      </c>
      <c r="AQ95" s="4">
        <v>1</v>
      </c>
    </row>
    <row r="96" spans="12:43">
      <c r="L96" s="15">
        <v>92</v>
      </c>
      <c r="M96" s="38" t="s">
        <v>39</v>
      </c>
      <c r="N96" s="38" t="s">
        <v>38</v>
      </c>
      <c r="O96" s="38" t="s">
        <v>37</v>
      </c>
      <c r="P96" s="38" t="s">
        <v>33</v>
      </c>
      <c r="Q96" s="38" t="s">
        <v>40</v>
      </c>
      <c r="R96" s="38" t="s">
        <v>39</v>
      </c>
      <c r="S96" s="24" t="s">
        <v>90</v>
      </c>
      <c r="U96" s="37">
        <f t="shared" si="6"/>
        <v>5</v>
      </c>
      <c r="V96" s="37">
        <f t="shared" si="6"/>
        <v>15</v>
      </c>
      <c r="W96" s="37">
        <f t="shared" si="6"/>
        <v>13</v>
      </c>
      <c r="X96" s="37">
        <f t="shared" si="5"/>
        <v>11</v>
      </c>
      <c r="Y96" s="37">
        <f t="shared" si="5"/>
        <v>12</v>
      </c>
      <c r="Z96" s="37">
        <f t="shared" si="5"/>
        <v>5</v>
      </c>
      <c r="AA96" s="37">
        <f t="shared" si="5"/>
        <v>6</v>
      </c>
      <c r="AC96" s="18">
        <v>5</v>
      </c>
      <c r="AD96" s="18">
        <v>0</v>
      </c>
      <c r="AE96" s="18">
        <v>0</v>
      </c>
      <c r="AF96" s="18">
        <v>0</v>
      </c>
      <c r="AG96" s="18">
        <v>0</v>
      </c>
      <c r="AH96" s="18">
        <v>5</v>
      </c>
      <c r="AI96" s="18">
        <v>5</v>
      </c>
      <c r="AK96" s="4">
        <v>1</v>
      </c>
      <c r="AL96" s="4">
        <v>2</v>
      </c>
      <c r="AM96" s="4">
        <v>2</v>
      </c>
      <c r="AN96" s="4">
        <v>1</v>
      </c>
      <c r="AO96" s="4">
        <v>0</v>
      </c>
      <c r="AP96" s="4">
        <v>1</v>
      </c>
      <c r="AQ96" s="4">
        <v>1</v>
      </c>
    </row>
    <row r="97" spans="12:43">
      <c r="L97" s="14">
        <v>93</v>
      </c>
      <c r="M97" s="38" t="s">
        <v>40</v>
      </c>
      <c r="N97" s="38" t="s">
        <v>38</v>
      </c>
      <c r="O97" s="38" t="s">
        <v>35</v>
      </c>
      <c r="P97" s="38" t="s">
        <v>33</v>
      </c>
      <c r="Q97" s="38" t="s">
        <v>39</v>
      </c>
      <c r="R97" s="38" t="s">
        <v>32</v>
      </c>
      <c r="S97" s="24" t="s">
        <v>37</v>
      </c>
      <c r="U97" s="37">
        <f t="shared" si="6"/>
        <v>12</v>
      </c>
      <c r="V97" s="37">
        <f t="shared" si="6"/>
        <v>15</v>
      </c>
      <c r="W97" s="37">
        <f t="shared" si="6"/>
        <v>15</v>
      </c>
      <c r="X97" s="37">
        <f t="shared" si="5"/>
        <v>11</v>
      </c>
      <c r="Y97" s="37">
        <f t="shared" si="5"/>
        <v>5</v>
      </c>
      <c r="Z97" s="37">
        <f t="shared" si="5"/>
        <v>4</v>
      </c>
      <c r="AA97" s="37">
        <f t="shared" si="5"/>
        <v>13</v>
      </c>
      <c r="AC97" s="18">
        <v>5</v>
      </c>
      <c r="AD97" s="18">
        <v>0</v>
      </c>
      <c r="AE97" s="18">
        <v>0</v>
      </c>
      <c r="AF97" s="18">
        <v>0</v>
      </c>
      <c r="AG97" s="18">
        <v>0</v>
      </c>
      <c r="AH97" s="18">
        <v>5</v>
      </c>
      <c r="AI97" s="18">
        <v>5</v>
      </c>
      <c r="AK97" s="4">
        <v>1</v>
      </c>
      <c r="AL97" s="4">
        <v>0</v>
      </c>
      <c r="AM97" s="4">
        <v>0</v>
      </c>
      <c r="AN97" s="4">
        <v>1</v>
      </c>
      <c r="AO97" s="4">
        <v>1</v>
      </c>
      <c r="AP97" s="4">
        <v>1</v>
      </c>
      <c r="AQ97" s="4">
        <v>1</v>
      </c>
    </row>
    <row r="98" spans="12:43">
      <c r="L98" s="15">
        <v>94</v>
      </c>
      <c r="M98" s="38" t="s">
        <v>90</v>
      </c>
      <c r="N98" s="38" t="s">
        <v>38</v>
      </c>
      <c r="O98" s="38" t="s">
        <v>35</v>
      </c>
      <c r="P98" s="38" t="s">
        <v>40</v>
      </c>
      <c r="Q98" s="38" t="s">
        <v>39</v>
      </c>
      <c r="R98" s="38" t="s">
        <v>32</v>
      </c>
      <c r="S98" s="24" t="s">
        <v>37</v>
      </c>
      <c r="U98" s="37">
        <f t="shared" si="6"/>
        <v>6</v>
      </c>
      <c r="V98" s="37">
        <f t="shared" si="6"/>
        <v>15</v>
      </c>
      <c r="W98" s="37">
        <f t="shared" si="6"/>
        <v>15</v>
      </c>
      <c r="X98" s="37">
        <f t="shared" si="5"/>
        <v>12</v>
      </c>
      <c r="Y98" s="37">
        <f t="shared" si="5"/>
        <v>5</v>
      </c>
      <c r="Z98" s="37">
        <f t="shared" si="5"/>
        <v>4</v>
      </c>
      <c r="AA98" s="37">
        <f t="shared" si="5"/>
        <v>13</v>
      </c>
      <c r="AC98" s="18">
        <v>5</v>
      </c>
      <c r="AD98" s="18">
        <v>0</v>
      </c>
      <c r="AE98" s="18">
        <v>0</v>
      </c>
      <c r="AF98" s="18">
        <v>0</v>
      </c>
      <c r="AG98" s="18">
        <v>1</v>
      </c>
      <c r="AH98" s="18">
        <v>5</v>
      </c>
      <c r="AI98" s="18">
        <v>5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</row>
    <row r="99" spans="12:43">
      <c r="L99" s="14">
        <v>95</v>
      </c>
      <c r="M99" s="38" t="s">
        <v>40</v>
      </c>
      <c r="N99" s="38" t="s">
        <v>65</v>
      </c>
      <c r="O99" s="38" t="s">
        <v>35</v>
      </c>
      <c r="P99" s="38" t="s">
        <v>40</v>
      </c>
      <c r="Q99" s="38" t="s">
        <v>90</v>
      </c>
      <c r="R99" s="38" t="s">
        <v>37</v>
      </c>
      <c r="S99" s="24" t="s">
        <v>37</v>
      </c>
      <c r="U99" s="37">
        <f t="shared" si="6"/>
        <v>12</v>
      </c>
      <c r="V99" s="37">
        <f t="shared" si="6"/>
        <v>17</v>
      </c>
      <c r="W99" s="37">
        <f t="shared" si="6"/>
        <v>15</v>
      </c>
      <c r="X99" s="37">
        <f t="shared" si="5"/>
        <v>12</v>
      </c>
      <c r="Y99" s="37">
        <f t="shared" si="5"/>
        <v>6</v>
      </c>
      <c r="Z99" s="37">
        <f t="shared" si="5"/>
        <v>13</v>
      </c>
      <c r="AA99" s="37">
        <f t="shared" si="5"/>
        <v>13</v>
      </c>
      <c r="AC99" s="18">
        <v>5</v>
      </c>
      <c r="AD99" s="18">
        <v>5</v>
      </c>
      <c r="AE99" s="18">
        <v>5</v>
      </c>
      <c r="AF99" s="18">
        <v>5</v>
      </c>
      <c r="AG99" s="18">
        <v>6</v>
      </c>
      <c r="AH99" s="18">
        <v>5</v>
      </c>
      <c r="AI99" s="18">
        <v>5</v>
      </c>
      <c r="AK99" s="4">
        <v>1</v>
      </c>
      <c r="AL99" s="4">
        <v>1</v>
      </c>
      <c r="AM99" s="4">
        <v>1</v>
      </c>
      <c r="AN99" s="4">
        <v>2</v>
      </c>
      <c r="AO99" s="4">
        <v>2</v>
      </c>
      <c r="AP99" s="4">
        <v>1</v>
      </c>
      <c r="AQ99" s="4">
        <v>1</v>
      </c>
    </row>
    <row r="100" spans="12:43">
      <c r="L100" s="15">
        <v>96</v>
      </c>
      <c r="M100" s="38" t="s">
        <v>37</v>
      </c>
      <c r="N100" s="38" t="s">
        <v>230</v>
      </c>
      <c r="O100" s="38" t="s">
        <v>25</v>
      </c>
      <c r="P100" s="38" t="s">
        <v>39</v>
      </c>
      <c r="Q100" s="38" t="s">
        <v>39</v>
      </c>
      <c r="R100" s="38" t="s">
        <v>37</v>
      </c>
      <c r="S100" s="24" t="s">
        <v>39</v>
      </c>
      <c r="U100" s="37">
        <f t="shared" si="6"/>
        <v>13</v>
      </c>
      <c r="V100" s="37">
        <f t="shared" si="6"/>
        <v>0</v>
      </c>
      <c r="W100" s="37">
        <f t="shared" si="6"/>
        <v>5</v>
      </c>
      <c r="X100" s="37">
        <f t="shared" si="5"/>
        <v>5</v>
      </c>
      <c r="Y100" s="37">
        <f t="shared" si="5"/>
        <v>5</v>
      </c>
      <c r="Z100" s="37">
        <f t="shared" si="5"/>
        <v>13</v>
      </c>
      <c r="AA100" s="37">
        <f t="shared" si="5"/>
        <v>5</v>
      </c>
      <c r="AC100" s="18">
        <v>5</v>
      </c>
      <c r="AD100" s="18">
        <v>0</v>
      </c>
      <c r="AE100" s="18">
        <v>0</v>
      </c>
      <c r="AF100" s="18">
        <v>0</v>
      </c>
      <c r="AG100" s="18">
        <v>0</v>
      </c>
      <c r="AH100" s="18">
        <v>5</v>
      </c>
      <c r="AI100" s="18">
        <v>5</v>
      </c>
      <c r="AK100" s="4">
        <v>1</v>
      </c>
      <c r="AL100" s="4">
        <v>2</v>
      </c>
      <c r="AM100" s="4">
        <v>1</v>
      </c>
      <c r="AN100" s="4">
        <v>0</v>
      </c>
      <c r="AO100" s="4">
        <v>0</v>
      </c>
      <c r="AP100" s="4">
        <v>1</v>
      </c>
      <c r="AQ100" s="4">
        <v>1</v>
      </c>
    </row>
    <row r="101" spans="12:43">
      <c r="L101" s="14">
        <v>97</v>
      </c>
      <c r="M101" s="38" t="s">
        <v>39</v>
      </c>
      <c r="N101" s="38" t="s">
        <v>232</v>
      </c>
      <c r="O101" s="38" t="s">
        <v>25</v>
      </c>
      <c r="P101" s="38" t="s">
        <v>37</v>
      </c>
      <c r="Q101" s="38" t="s">
        <v>65</v>
      </c>
      <c r="R101" s="38" t="s">
        <v>40</v>
      </c>
      <c r="S101" s="24" t="s">
        <v>39</v>
      </c>
      <c r="U101" s="37">
        <f t="shared" si="6"/>
        <v>5</v>
      </c>
      <c r="V101" s="37">
        <f t="shared" si="6"/>
        <v>0</v>
      </c>
      <c r="W101" s="37">
        <f t="shared" si="6"/>
        <v>5</v>
      </c>
      <c r="X101" s="37">
        <f t="shared" si="5"/>
        <v>13</v>
      </c>
      <c r="Y101" s="37">
        <f t="shared" si="5"/>
        <v>17</v>
      </c>
      <c r="Z101" s="37">
        <f t="shared" si="5"/>
        <v>12</v>
      </c>
      <c r="AA101" s="37">
        <f t="shared" si="5"/>
        <v>5</v>
      </c>
      <c r="AC101" s="18">
        <v>5</v>
      </c>
      <c r="AD101" s="18">
        <v>0</v>
      </c>
      <c r="AE101" s="18">
        <v>0</v>
      </c>
      <c r="AF101" s="18">
        <v>0</v>
      </c>
      <c r="AG101" s="18">
        <v>0</v>
      </c>
      <c r="AH101" s="18">
        <v>5</v>
      </c>
      <c r="AI101" s="18">
        <v>5</v>
      </c>
      <c r="AK101" s="4">
        <v>1</v>
      </c>
      <c r="AL101" s="4">
        <v>0</v>
      </c>
      <c r="AM101" s="4">
        <v>1</v>
      </c>
      <c r="AN101" s="4">
        <v>1</v>
      </c>
      <c r="AO101" s="4">
        <v>2</v>
      </c>
      <c r="AP101" s="4">
        <v>1</v>
      </c>
      <c r="AQ101" s="4">
        <v>1</v>
      </c>
    </row>
    <row r="102" spans="12:43">
      <c r="L102" s="15">
        <v>98</v>
      </c>
      <c r="M102" s="38" t="s">
        <v>39</v>
      </c>
      <c r="N102" s="38" t="s">
        <v>38</v>
      </c>
      <c r="O102" s="38" t="s">
        <v>234</v>
      </c>
      <c r="P102" s="38" t="s">
        <v>37</v>
      </c>
      <c r="Q102" s="38" t="s">
        <v>37</v>
      </c>
      <c r="R102" s="38" t="s">
        <v>40</v>
      </c>
      <c r="S102" s="24" t="s">
        <v>39</v>
      </c>
      <c r="U102" s="37">
        <f t="shared" si="6"/>
        <v>5</v>
      </c>
      <c r="V102" s="37">
        <f t="shared" si="6"/>
        <v>15</v>
      </c>
      <c r="W102" s="37">
        <f t="shared" si="6"/>
        <v>0</v>
      </c>
      <c r="X102" s="37">
        <f t="shared" si="5"/>
        <v>13</v>
      </c>
      <c r="Y102" s="37">
        <f t="shared" si="5"/>
        <v>13</v>
      </c>
      <c r="Z102" s="37">
        <f t="shared" si="5"/>
        <v>12</v>
      </c>
      <c r="AA102" s="37">
        <f t="shared" si="5"/>
        <v>5</v>
      </c>
      <c r="AC102" s="18">
        <v>5</v>
      </c>
      <c r="AD102" s="18">
        <v>0</v>
      </c>
      <c r="AE102" s="18">
        <v>0</v>
      </c>
      <c r="AF102" s="18">
        <v>0</v>
      </c>
      <c r="AG102" s="18">
        <v>0</v>
      </c>
      <c r="AH102" s="18">
        <v>5</v>
      </c>
      <c r="AI102" s="18">
        <v>5</v>
      </c>
      <c r="AK102" s="4">
        <v>1</v>
      </c>
      <c r="AL102" s="4">
        <v>1</v>
      </c>
      <c r="AM102" s="4">
        <v>1</v>
      </c>
      <c r="AN102" s="4">
        <v>2</v>
      </c>
      <c r="AO102" s="4">
        <v>0</v>
      </c>
      <c r="AP102" s="4">
        <v>1</v>
      </c>
      <c r="AQ102" s="4">
        <v>1</v>
      </c>
    </row>
    <row r="103" spans="12:43">
      <c r="L103" s="14">
        <v>99</v>
      </c>
      <c r="M103" s="38" t="s">
        <v>37</v>
      </c>
      <c r="N103" s="38" t="s">
        <v>38</v>
      </c>
      <c r="O103" s="38" t="s">
        <v>240</v>
      </c>
      <c r="P103" s="38" t="s">
        <v>230</v>
      </c>
      <c r="Q103" s="38" t="s">
        <v>90</v>
      </c>
      <c r="R103" s="38" t="s">
        <v>37</v>
      </c>
      <c r="S103" s="24" t="s">
        <v>35</v>
      </c>
      <c r="U103" s="37">
        <f t="shared" si="6"/>
        <v>13</v>
      </c>
      <c r="V103" s="37">
        <f t="shared" si="6"/>
        <v>15</v>
      </c>
      <c r="W103" s="37">
        <f t="shared" si="6"/>
        <v>0</v>
      </c>
      <c r="X103" s="37">
        <f t="shared" si="5"/>
        <v>0</v>
      </c>
      <c r="Y103" s="37">
        <f t="shared" si="5"/>
        <v>6</v>
      </c>
      <c r="Z103" s="37">
        <f t="shared" si="5"/>
        <v>13</v>
      </c>
      <c r="AA103" s="37">
        <f t="shared" si="5"/>
        <v>15</v>
      </c>
      <c r="AC103" s="18">
        <v>5</v>
      </c>
      <c r="AD103" s="18">
        <v>0</v>
      </c>
      <c r="AE103" s="18">
        <v>0</v>
      </c>
      <c r="AF103" s="18">
        <v>0</v>
      </c>
      <c r="AG103" s="18">
        <v>0</v>
      </c>
      <c r="AH103" s="18">
        <v>5</v>
      </c>
      <c r="AI103" s="18">
        <v>5</v>
      </c>
      <c r="AK103" s="4">
        <v>1</v>
      </c>
      <c r="AL103" s="4">
        <v>1</v>
      </c>
      <c r="AM103" s="4">
        <v>1</v>
      </c>
      <c r="AN103" s="4">
        <v>0</v>
      </c>
      <c r="AO103" s="4">
        <v>1</v>
      </c>
      <c r="AP103" s="4">
        <v>1</v>
      </c>
      <c r="AQ103" s="4">
        <v>1</v>
      </c>
    </row>
    <row r="104" spans="12:43">
      <c r="L104" s="15">
        <v>100</v>
      </c>
      <c r="M104" s="38" t="s">
        <v>37</v>
      </c>
      <c r="N104" s="38" t="s">
        <v>38</v>
      </c>
      <c r="O104" s="38" t="s">
        <v>39</v>
      </c>
      <c r="P104" s="38" t="s">
        <v>65</v>
      </c>
      <c r="Q104" s="38" t="s">
        <v>90</v>
      </c>
      <c r="R104" s="38" t="s">
        <v>25</v>
      </c>
      <c r="S104" s="24" t="s">
        <v>35</v>
      </c>
      <c r="U104" s="37">
        <f t="shared" si="6"/>
        <v>13</v>
      </c>
      <c r="V104" s="37">
        <f t="shared" si="6"/>
        <v>15</v>
      </c>
      <c r="W104" s="37">
        <f t="shared" si="6"/>
        <v>5</v>
      </c>
      <c r="X104" s="37">
        <f t="shared" si="5"/>
        <v>17</v>
      </c>
      <c r="Y104" s="37">
        <f t="shared" si="5"/>
        <v>6</v>
      </c>
      <c r="Z104" s="37">
        <f t="shared" si="5"/>
        <v>5</v>
      </c>
      <c r="AA104" s="37">
        <f t="shared" si="5"/>
        <v>15</v>
      </c>
      <c r="AC104" s="18">
        <v>5</v>
      </c>
      <c r="AD104" s="18">
        <v>5</v>
      </c>
      <c r="AE104" s="18">
        <v>5</v>
      </c>
      <c r="AF104" s="18">
        <v>5</v>
      </c>
      <c r="AG104" s="18">
        <v>6</v>
      </c>
      <c r="AH104" s="18">
        <v>5</v>
      </c>
      <c r="AI104" s="18">
        <v>5</v>
      </c>
      <c r="AK104" s="4">
        <v>1</v>
      </c>
      <c r="AL104" s="4">
        <v>3</v>
      </c>
      <c r="AM104" s="4">
        <v>1</v>
      </c>
      <c r="AN104" s="4">
        <v>1</v>
      </c>
      <c r="AO104" s="4">
        <v>3</v>
      </c>
      <c r="AP104" s="4">
        <v>1</v>
      </c>
      <c r="AQ104" s="4">
        <v>1</v>
      </c>
    </row>
    <row r="105" spans="12:43">
      <c r="L105" s="14">
        <v>101</v>
      </c>
      <c r="M105" s="38" t="s">
        <v>39</v>
      </c>
      <c r="N105" s="38" t="s">
        <v>90</v>
      </c>
      <c r="O105" s="38" t="s">
        <v>25</v>
      </c>
      <c r="P105" s="38" t="s">
        <v>65</v>
      </c>
      <c r="Q105" s="38" t="s">
        <v>37</v>
      </c>
      <c r="R105" s="38" t="s">
        <v>38</v>
      </c>
      <c r="S105" s="24" t="s">
        <v>35</v>
      </c>
      <c r="U105" s="37">
        <f t="shared" si="6"/>
        <v>5</v>
      </c>
      <c r="V105" s="37">
        <f t="shared" si="6"/>
        <v>6</v>
      </c>
      <c r="W105" s="37">
        <f t="shared" si="6"/>
        <v>5</v>
      </c>
      <c r="X105" s="37">
        <f t="shared" si="5"/>
        <v>17</v>
      </c>
      <c r="Y105" s="37">
        <f t="shared" si="5"/>
        <v>13</v>
      </c>
      <c r="Z105" s="37">
        <f t="shared" si="5"/>
        <v>15</v>
      </c>
      <c r="AA105" s="37">
        <f t="shared" si="5"/>
        <v>15</v>
      </c>
      <c r="AC105" s="18">
        <v>5</v>
      </c>
      <c r="AD105" s="18">
        <v>0</v>
      </c>
      <c r="AE105" s="18">
        <v>0</v>
      </c>
      <c r="AF105" s="18">
        <v>0</v>
      </c>
      <c r="AG105" s="18">
        <v>0</v>
      </c>
      <c r="AH105" s="18">
        <v>5</v>
      </c>
      <c r="AI105" s="18">
        <v>5</v>
      </c>
      <c r="AK105" s="4">
        <v>1</v>
      </c>
      <c r="AL105" s="4">
        <v>0</v>
      </c>
      <c r="AM105" s="4">
        <v>3</v>
      </c>
      <c r="AN105" s="4">
        <v>3</v>
      </c>
      <c r="AO105" s="4">
        <v>0</v>
      </c>
      <c r="AP105" s="4">
        <v>1</v>
      </c>
      <c r="AQ105" s="4">
        <v>1</v>
      </c>
    </row>
    <row r="106" spans="12:43">
      <c r="L106" s="15">
        <v>102</v>
      </c>
      <c r="M106" s="38" t="s">
        <v>38</v>
      </c>
      <c r="N106" s="38" t="s">
        <v>39</v>
      </c>
      <c r="O106" s="38" t="s">
        <v>33</v>
      </c>
      <c r="P106" s="38" t="s">
        <v>35</v>
      </c>
      <c r="Q106" s="38" t="s">
        <v>37</v>
      </c>
      <c r="R106" s="38" t="s">
        <v>25</v>
      </c>
      <c r="S106" s="24" t="s">
        <v>65</v>
      </c>
      <c r="U106" s="37">
        <f t="shared" si="6"/>
        <v>15</v>
      </c>
      <c r="V106" s="37">
        <f t="shared" si="6"/>
        <v>5</v>
      </c>
      <c r="W106" s="37">
        <f t="shared" si="6"/>
        <v>11</v>
      </c>
      <c r="X106" s="37">
        <f t="shared" si="5"/>
        <v>15</v>
      </c>
      <c r="Y106" s="37">
        <f t="shared" si="5"/>
        <v>13</v>
      </c>
      <c r="Z106" s="37">
        <f t="shared" si="5"/>
        <v>5</v>
      </c>
      <c r="AA106" s="37">
        <f t="shared" si="5"/>
        <v>17</v>
      </c>
      <c r="AC106" s="18">
        <v>5</v>
      </c>
      <c r="AD106" s="18">
        <v>0</v>
      </c>
      <c r="AE106" s="18">
        <v>0</v>
      </c>
      <c r="AF106" s="18">
        <v>0</v>
      </c>
      <c r="AG106" s="18">
        <v>0</v>
      </c>
      <c r="AH106" s="18">
        <v>5</v>
      </c>
      <c r="AI106" s="18">
        <v>5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1</v>
      </c>
      <c r="AQ106" s="4">
        <v>1</v>
      </c>
    </row>
    <row r="107" spans="12:43">
      <c r="L107" s="14">
        <v>103</v>
      </c>
      <c r="M107" s="38" t="s">
        <v>65</v>
      </c>
      <c r="N107" s="38" t="s">
        <v>25</v>
      </c>
      <c r="O107" s="38" t="s">
        <v>33</v>
      </c>
      <c r="P107" s="38" t="s">
        <v>40</v>
      </c>
      <c r="Q107" s="38" t="s">
        <v>37</v>
      </c>
      <c r="R107" s="38" t="s">
        <v>25</v>
      </c>
      <c r="S107" s="24" t="s">
        <v>25</v>
      </c>
      <c r="U107" s="37">
        <f t="shared" si="6"/>
        <v>17</v>
      </c>
      <c r="V107" s="37">
        <f t="shared" si="6"/>
        <v>5</v>
      </c>
      <c r="W107" s="37">
        <f t="shared" si="6"/>
        <v>11</v>
      </c>
      <c r="X107" s="37">
        <f t="shared" si="5"/>
        <v>12</v>
      </c>
      <c r="Y107" s="37">
        <f t="shared" si="5"/>
        <v>13</v>
      </c>
      <c r="Z107" s="37">
        <f t="shared" si="5"/>
        <v>5</v>
      </c>
      <c r="AA107" s="37">
        <f t="shared" si="5"/>
        <v>5</v>
      </c>
      <c r="AC107" s="18">
        <v>5</v>
      </c>
      <c r="AD107" s="18">
        <v>0</v>
      </c>
      <c r="AE107" s="18">
        <v>0</v>
      </c>
      <c r="AF107" s="18">
        <v>0</v>
      </c>
      <c r="AG107" s="18">
        <v>0</v>
      </c>
      <c r="AH107" s="18">
        <v>5</v>
      </c>
      <c r="AI107" s="18">
        <v>5</v>
      </c>
      <c r="AK107" s="4">
        <v>1</v>
      </c>
      <c r="AL107" s="4">
        <v>2</v>
      </c>
      <c r="AM107" s="4">
        <v>0</v>
      </c>
      <c r="AN107" s="4">
        <v>0</v>
      </c>
      <c r="AO107" s="4">
        <v>2</v>
      </c>
      <c r="AP107" s="4">
        <v>1</v>
      </c>
      <c r="AQ107" s="4">
        <v>1</v>
      </c>
    </row>
    <row r="108" spans="12:43">
      <c r="L108" s="15">
        <v>104</v>
      </c>
      <c r="M108" s="38" t="s">
        <v>40</v>
      </c>
      <c r="N108" s="38" t="s">
        <v>25</v>
      </c>
      <c r="O108" s="38" t="s">
        <v>33</v>
      </c>
      <c r="P108" s="38" t="s">
        <v>40</v>
      </c>
      <c r="Q108" s="38" t="s">
        <v>39</v>
      </c>
      <c r="R108" s="38" t="s">
        <v>25</v>
      </c>
      <c r="S108" s="24" t="s">
        <v>65</v>
      </c>
      <c r="U108" s="37">
        <f t="shared" si="6"/>
        <v>12</v>
      </c>
      <c r="V108" s="37">
        <f t="shared" si="6"/>
        <v>5</v>
      </c>
      <c r="W108" s="37">
        <f t="shared" si="6"/>
        <v>11</v>
      </c>
      <c r="X108" s="37">
        <f t="shared" si="5"/>
        <v>12</v>
      </c>
      <c r="Y108" s="37">
        <f t="shared" si="5"/>
        <v>5</v>
      </c>
      <c r="Z108" s="37">
        <f t="shared" si="5"/>
        <v>5</v>
      </c>
      <c r="AA108" s="37">
        <f t="shared" si="5"/>
        <v>17</v>
      </c>
      <c r="AC108" s="18">
        <v>5</v>
      </c>
      <c r="AD108" s="18">
        <v>0</v>
      </c>
      <c r="AE108" s="18">
        <v>0</v>
      </c>
      <c r="AF108" s="18">
        <v>0</v>
      </c>
      <c r="AG108" s="18">
        <v>0</v>
      </c>
      <c r="AH108" s="18">
        <v>5</v>
      </c>
      <c r="AI108" s="18">
        <v>5</v>
      </c>
      <c r="AK108" s="4">
        <v>1</v>
      </c>
      <c r="AL108" s="4">
        <v>0</v>
      </c>
      <c r="AM108" s="4">
        <v>1</v>
      </c>
      <c r="AN108" s="4">
        <v>1</v>
      </c>
      <c r="AO108" s="4">
        <v>0</v>
      </c>
      <c r="AP108" s="4">
        <v>1</v>
      </c>
      <c r="AQ108" s="4">
        <v>1</v>
      </c>
    </row>
    <row r="109" spans="12:43">
      <c r="L109" s="14">
        <v>105</v>
      </c>
      <c r="M109" s="38" t="s">
        <v>37</v>
      </c>
      <c r="N109" s="38" t="s">
        <v>25</v>
      </c>
      <c r="O109" s="38" t="s">
        <v>35</v>
      </c>
      <c r="P109" s="38" t="s">
        <v>38</v>
      </c>
      <c r="Q109" s="38" t="s">
        <v>90</v>
      </c>
      <c r="R109" s="38" t="s">
        <v>35</v>
      </c>
      <c r="S109" s="24" t="s">
        <v>65</v>
      </c>
      <c r="U109" s="37">
        <f t="shared" si="6"/>
        <v>13</v>
      </c>
      <c r="V109" s="37">
        <f t="shared" si="6"/>
        <v>5</v>
      </c>
      <c r="W109" s="37">
        <f t="shared" si="6"/>
        <v>15</v>
      </c>
      <c r="X109" s="37">
        <f t="shared" si="5"/>
        <v>15</v>
      </c>
      <c r="Y109" s="37">
        <f t="shared" si="5"/>
        <v>6</v>
      </c>
      <c r="Z109" s="37">
        <f t="shared" si="5"/>
        <v>15</v>
      </c>
      <c r="AA109" s="37">
        <f t="shared" si="5"/>
        <v>17</v>
      </c>
      <c r="AC109" s="18">
        <v>5</v>
      </c>
      <c r="AD109" s="18">
        <v>5</v>
      </c>
      <c r="AE109" s="18">
        <v>5</v>
      </c>
      <c r="AF109" s="18">
        <v>5</v>
      </c>
      <c r="AG109" s="18">
        <v>4</v>
      </c>
      <c r="AH109" s="18">
        <v>5</v>
      </c>
      <c r="AI109" s="18">
        <v>5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</row>
    <row r="110" spans="12:43">
      <c r="L110" s="15">
        <v>106</v>
      </c>
      <c r="M110" s="38" t="s">
        <v>35</v>
      </c>
      <c r="N110" s="38" t="s">
        <v>40</v>
      </c>
      <c r="O110" s="38" t="s">
        <v>35</v>
      </c>
      <c r="P110" s="38" t="s">
        <v>38</v>
      </c>
      <c r="Q110" s="38" t="s">
        <v>90</v>
      </c>
      <c r="R110" s="38" t="s">
        <v>25</v>
      </c>
      <c r="S110" s="24" t="s">
        <v>65</v>
      </c>
      <c r="U110" s="37">
        <f t="shared" si="6"/>
        <v>15</v>
      </c>
      <c r="V110" s="37">
        <f t="shared" si="6"/>
        <v>12</v>
      </c>
      <c r="W110" s="37">
        <f t="shared" si="6"/>
        <v>15</v>
      </c>
      <c r="X110" s="37">
        <f t="shared" si="5"/>
        <v>15</v>
      </c>
      <c r="Y110" s="37">
        <f t="shared" si="5"/>
        <v>6</v>
      </c>
      <c r="Z110" s="37">
        <f t="shared" si="5"/>
        <v>5</v>
      </c>
      <c r="AA110" s="37">
        <f t="shared" si="5"/>
        <v>17</v>
      </c>
      <c r="AC110" s="18">
        <v>5</v>
      </c>
      <c r="AD110" s="18">
        <v>0</v>
      </c>
      <c r="AE110" s="18">
        <v>0</v>
      </c>
      <c r="AF110" s="18">
        <v>0</v>
      </c>
      <c r="AG110" s="18">
        <v>1</v>
      </c>
      <c r="AH110" s="18">
        <v>5</v>
      </c>
      <c r="AI110" s="18">
        <v>5</v>
      </c>
      <c r="AK110" s="4">
        <v>1</v>
      </c>
      <c r="AL110" s="4">
        <v>1</v>
      </c>
      <c r="AM110" s="4">
        <v>1</v>
      </c>
      <c r="AN110" s="4">
        <v>1</v>
      </c>
      <c r="AO110" s="4">
        <v>3</v>
      </c>
      <c r="AP110" s="4">
        <v>1</v>
      </c>
      <c r="AQ110" s="4">
        <v>1</v>
      </c>
    </row>
    <row r="111" spans="12:43">
      <c r="L111" s="14">
        <v>107</v>
      </c>
      <c r="M111" s="38" t="s">
        <v>35</v>
      </c>
      <c r="N111" s="38" t="s">
        <v>40</v>
      </c>
      <c r="O111" s="38" t="s">
        <v>65</v>
      </c>
      <c r="P111" s="38" t="s">
        <v>65</v>
      </c>
      <c r="Q111" s="38" t="s">
        <v>39</v>
      </c>
      <c r="R111" s="38" t="s">
        <v>25</v>
      </c>
      <c r="S111" s="24" t="s">
        <v>38</v>
      </c>
      <c r="U111" s="37">
        <f t="shared" si="6"/>
        <v>15</v>
      </c>
      <c r="V111" s="37">
        <f t="shared" si="6"/>
        <v>12</v>
      </c>
      <c r="W111" s="37">
        <f t="shared" si="6"/>
        <v>17</v>
      </c>
      <c r="X111" s="37">
        <f t="shared" si="5"/>
        <v>17</v>
      </c>
      <c r="Y111" s="37">
        <f t="shared" si="5"/>
        <v>5</v>
      </c>
      <c r="Z111" s="37">
        <f t="shared" si="5"/>
        <v>5</v>
      </c>
      <c r="AA111" s="37">
        <f t="shared" si="5"/>
        <v>15</v>
      </c>
      <c r="AC111" s="18">
        <v>5</v>
      </c>
      <c r="AD111" s="18">
        <v>0</v>
      </c>
      <c r="AE111" s="18">
        <v>0</v>
      </c>
      <c r="AF111" s="18">
        <v>0</v>
      </c>
      <c r="AG111" s="18">
        <v>0</v>
      </c>
      <c r="AH111" s="18">
        <v>5</v>
      </c>
      <c r="AI111" s="18">
        <v>5</v>
      </c>
      <c r="AK111" s="4">
        <v>1</v>
      </c>
      <c r="AL111" s="4">
        <v>2</v>
      </c>
      <c r="AM111" s="4">
        <v>1</v>
      </c>
      <c r="AN111" s="4">
        <v>1</v>
      </c>
      <c r="AO111" s="4">
        <v>0</v>
      </c>
      <c r="AP111" s="4">
        <v>1</v>
      </c>
      <c r="AQ111" s="4">
        <v>1</v>
      </c>
    </row>
    <row r="112" spans="12:43">
      <c r="L112" s="15">
        <v>108</v>
      </c>
      <c r="M112" s="38" t="s">
        <v>39</v>
      </c>
      <c r="N112" s="38" t="s">
        <v>40</v>
      </c>
      <c r="O112" s="38" t="s">
        <v>65</v>
      </c>
      <c r="P112" s="38" t="s">
        <v>65</v>
      </c>
      <c r="Q112" s="38" t="s">
        <v>39</v>
      </c>
      <c r="R112" s="38" t="s">
        <v>34</v>
      </c>
      <c r="S112" s="24" t="s">
        <v>32</v>
      </c>
      <c r="U112" s="37">
        <f t="shared" si="6"/>
        <v>5</v>
      </c>
      <c r="V112" s="37">
        <f t="shared" si="6"/>
        <v>12</v>
      </c>
      <c r="W112" s="37">
        <f t="shared" si="6"/>
        <v>17</v>
      </c>
      <c r="X112" s="37">
        <f t="shared" si="5"/>
        <v>17</v>
      </c>
      <c r="Y112" s="37">
        <f t="shared" si="5"/>
        <v>5</v>
      </c>
      <c r="Z112" s="37">
        <f t="shared" si="5"/>
        <v>16</v>
      </c>
      <c r="AA112" s="37">
        <f t="shared" si="5"/>
        <v>4</v>
      </c>
      <c r="AC112" s="18">
        <v>5</v>
      </c>
      <c r="AD112" s="18">
        <v>0</v>
      </c>
      <c r="AE112" s="18">
        <v>0</v>
      </c>
      <c r="AF112" s="18">
        <v>0</v>
      </c>
      <c r="AG112" s="18">
        <v>0</v>
      </c>
      <c r="AH112" s="18">
        <v>5</v>
      </c>
      <c r="AI112" s="18">
        <v>5</v>
      </c>
      <c r="AK112" s="4">
        <v>1</v>
      </c>
      <c r="AL112" s="4">
        <v>0</v>
      </c>
      <c r="AM112" s="4">
        <v>1</v>
      </c>
      <c r="AN112" s="4">
        <v>2</v>
      </c>
      <c r="AO112" s="4">
        <v>0</v>
      </c>
      <c r="AP112" s="4">
        <v>1</v>
      </c>
      <c r="AQ112" s="4">
        <v>1</v>
      </c>
    </row>
    <row r="113" spans="12:43">
      <c r="L113" s="14">
        <v>109</v>
      </c>
      <c r="M113" s="38" t="s">
        <v>34</v>
      </c>
      <c r="N113" s="38" t="s">
        <v>25</v>
      </c>
      <c r="O113" s="38" t="s">
        <v>65</v>
      </c>
      <c r="P113" s="38" t="s">
        <v>65</v>
      </c>
      <c r="Q113" s="38" t="s">
        <v>90</v>
      </c>
      <c r="R113" s="38" t="s">
        <v>25</v>
      </c>
      <c r="S113" s="38" t="s">
        <v>32</v>
      </c>
      <c r="U113" s="37">
        <f t="shared" si="6"/>
        <v>16</v>
      </c>
      <c r="V113" s="37">
        <f t="shared" si="6"/>
        <v>5</v>
      </c>
      <c r="W113" s="37">
        <f t="shared" si="6"/>
        <v>17</v>
      </c>
      <c r="X113" s="37">
        <f t="shared" si="5"/>
        <v>17</v>
      </c>
      <c r="Y113" s="37">
        <f t="shared" si="5"/>
        <v>6</v>
      </c>
      <c r="Z113" s="37">
        <f t="shared" si="5"/>
        <v>5</v>
      </c>
      <c r="AA113" s="37">
        <f t="shared" si="5"/>
        <v>4</v>
      </c>
      <c r="AC113" s="18">
        <v>5</v>
      </c>
      <c r="AD113" s="18">
        <v>0</v>
      </c>
      <c r="AE113" s="18">
        <v>0</v>
      </c>
      <c r="AF113" s="18">
        <v>0</v>
      </c>
      <c r="AG113" s="18">
        <v>1</v>
      </c>
      <c r="AH113" s="18">
        <v>5</v>
      </c>
      <c r="AI113" s="18">
        <v>5</v>
      </c>
      <c r="AK113" s="4">
        <v>1</v>
      </c>
      <c r="AL113" s="4">
        <v>1</v>
      </c>
      <c r="AM113" s="4">
        <v>1</v>
      </c>
      <c r="AN113" s="4">
        <v>0</v>
      </c>
      <c r="AO113" s="4">
        <v>1</v>
      </c>
      <c r="AP113" s="4">
        <v>1</v>
      </c>
      <c r="AQ113" s="4">
        <v>1</v>
      </c>
    </row>
    <row r="114" spans="12:43">
      <c r="L114" s="15">
        <v>110</v>
      </c>
      <c r="M114" s="38" t="s">
        <v>25</v>
      </c>
      <c r="N114" s="38" t="s">
        <v>25</v>
      </c>
      <c r="O114" s="38" t="s">
        <v>37</v>
      </c>
      <c r="P114" s="38" t="s">
        <v>232</v>
      </c>
      <c r="Q114" s="38" t="s">
        <v>35</v>
      </c>
      <c r="R114" s="38" t="s">
        <v>25</v>
      </c>
      <c r="S114" s="24" t="s">
        <v>34</v>
      </c>
      <c r="U114" s="37">
        <f t="shared" si="6"/>
        <v>5</v>
      </c>
      <c r="V114" s="37">
        <f t="shared" si="6"/>
        <v>5</v>
      </c>
      <c r="W114" s="37">
        <f t="shared" si="6"/>
        <v>13</v>
      </c>
      <c r="X114" s="37">
        <f t="shared" si="5"/>
        <v>0</v>
      </c>
      <c r="Y114" s="37">
        <f t="shared" si="5"/>
        <v>15</v>
      </c>
      <c r="Z114" s="37">
        <f t="shared" si="5"/>
        <v>5</v>
      </c>
      <c r="AA114" s="37">
        <f t="shared" si="5"/>
        <v>16</v>
      </c>
      <c r="AC114" s="18">
        <v>5</v>
      </c>
      <c r="AD114" s="18">
        <v>5</v>
      </c>
      <c r="AE114" s="18">
        <v>5</v>
      </c>
      <c r="AF114" s="18">
        <v>5</v>
      </c>
      <c r="AG114" s="18">
        <v>5</v>
      </c>
      <c r="AH114" s="18">
        <v>5</v>
      </c>
      <c r="AI114" s="18">
        <v>5</v>
      </c>
      <c r="AK114" s="4">
        <v>1</v>
      </c>
      <c r="AL114" s="4">
        <v>1</v>
      </c>
      <c r="AM114" s="4">
        <v>1</v>
      </c>
      <c r="AN114" s="4">
        <v>2</v>
      </c>
      <c r="AO114" s="4">
        <v>1</v>
      </c>
      <c r="AP114" s="4">
        <v>1</v>
      </c>
      <c r="AQ114" s="4">
        <v>1</v>
      </c>
    </row>
    <row r="115" spans="12:43">
      <c r="L115" s="14">
        <v>111</v>
      </c>
      <c r="M115" s="38" t="s">
        <v>40</v>
      </c>
      <c r="N115" s="38" t="s">
        <v>25</v>
      </c>
      <c r="O115" s="38" t="s">
        <v>39</v>
      </c>
      <c r="P115" s="38" t="s">
        <v>90</v>
      </c>
      <c r="Q115" s="38" t="s">
        <v>35</v>
      </c>
      <c r="R115" s="38" t="s">
        <v>40</v>
      </c>
      <c r="S115" s="24" t="s">
        <v>38</v>
      </c>
      <c r="U115" s="37">
        <f t="shared" si="6"/>
        <v>12</v>
      </c>
      <c r="V115" s="37">
        <f t="shared" si="6"/>
        <v>5</v>
      </c>
      <c r="W115" s="37">
        <f t="shared" si="6"/>
        <v>5</v>
      </c>
      <c r="X115" s="37">
        <f t="shared" si="5"/>
        <v>6</v>
      </c>
      <c r="Y115" s="37">
        <f t="shared" si="5"/>
        <v>15</v>
      </c>
      <c r="Z115" s="37">
        <f t="shared" si="5"/>
        <v>12</v>
      </c>
      <c r="AA115" s="37">
        <f t="shared" si="5"/>
        <v>15</v>
      </c>
      <c r="AC115" s="18">
        <v>5</v>
      </c>
      <c r="AD115" s="18">
        <v>0</v>
      </c>
      <c r="AE115" s="18">
        <v>0</v>
      </c>
      <c r="AF115" s="18">
        <v>0</v>
      </c>
      <c r="AG115" s="18">
        <v>0</v>
      </c>
      <c r="AH115" s="18">
        <v>5</v>
      </c>
      <c r="AI115" s="18">
        <v>5</v>
      </c>
      <c r="AK115" s="4">
        <v>1</v>
      </c>
      <c r="AL115" s="4">
        <v>1</v>
      </c>
      <c r="AM115" s="4">
        <v>1</v>
      </c>
      <c r="AN115" s="4">
        <v>0</v>
      </c>
      <c r="AO115" s="4">
        <v>2</v>
      </c>
      <c r="AP115" s="4">
        <v>1</v>
      </c>
      <c r="AQ115" s="4">
        <v>1</v>
      </c>
    </row>
    <row r="116" spans="12:43">
      <c r="L116" s="15">
        <v>112</v>
      </c>
      <c r="M116" s="38" t="s">
        <v>39</v>
      </c>
      <c r="N116" s="38" t="s">
        <v>37</v>
      </c>
      <c r="O116" s="38" t="s">
        <v>39</v>
      </c>
      <c r="P116" s="38" t="s">
        <v>90</v>
      </c>
      <c r="Q116" s="38" t="s">
        <v>65</v>
      </c>
      <c r="R116" s="38" t="s">
        <v>39</v>
      </c>
      <c r="S116" s="24" t="s">
        <v>38</v>
      </c>
      <c r="U116" s="37">
        <f t="shared" si="6"/>
        <v>5</v>
      </c>
      <c r="V116" s="37">
        <f t="shared" si="6"/>
        <v>13</v>
      </c>
      <c r="W116" s="37">
        <f t="shared" si="6"/>
        <v>5</v>
      </c>
      <c r="X116" s="37">
        <f t="shared" si="5"/>
        <v>6</v>
      </c>
      <c r="Y116" s="37">
        <f t="shared" si="5"/>
        <v>17</v>
      </c>
      <c r="Z116" s="37">
        <f t="shared" si="5"/>
        <v>5</v>
      </c>
      <c r="AA116" s="37">
        <f t="shared" si="5"/>
        <v>15</v>
      </c>
      <c r="AC116" s="18">
        <v>5</v>
      </c>
      <c r="AD116" s="18">
        <v>0</v>
      </c>
      <c r="AE116" s="18">
        <v>0</v>
      </c>
      <c r="AF116" s="18">
        <v>0</v>
      </c>
      <c r="AG116" s="18">
        <v>0</v>
      </c>
      <c r="AH116" s="18">
        <v>5</v>
      </c>
      <c r="AI116" s="18">
        <v>5</v>
      </c>
      <c r="AK116" s="4">
        <v>1</v>
      </c>
      <c r="AL116" s="4">
        <v>2</v>
      </c>
      <c r="AM116" s="4">
        <v>2</v>
      </c>
      <c r="AN116" s="4">
        <v>1</v>
      </c>
      <c r="AO116" s="4">
        <v>0</v>
      </c>
      <c r="AP116" s="4">
        <v>1</v>
      </c>
      <c r="AQ116" s="4">
        <v>1</v>
      </c>
    </row>
    <row r="117" spans="12:43">
      <c r="L117" s="14">
        <v>113</v>
      </c>
      <c r="M117" s="38" t="s">
        <v>90</v>
      </c>
      <c r="N117" s="38" t="s">
        <v>38</v>
      </c>
      <c r="O117" s="38" t="s">
        <v>39</v>
      </c>
      <c r="P117" s="38" t="s">
        <v>25</v>
      </c>
      <c r="Q117" s="38" t="s">
        <v>39</v>
      </c>
      <c r="R117" s="38" t="s">
        <v>39</v>
      </c>
      <c r="S117" s="24" t="s">
        <v>38</v>
      </c>
      <c r="U117" s="37">
        <f t="shared" si="6"/>
        <v>6</v>
      </c>
      <c r="V117" s="37">
        <f t="shared" si="6"/>
        <v>15</v>
      </c>
      <c r="W117" s="37">
        <f t="shared" si="6"/>
        <v>5</v>
      </c>
      <c r="X117" s="37">
        <f t="shared" si="5"/>
        <v>5</v>
      </c>
      <c r="Y117" s="37">
        <f t="shared" si="5"/>
        <v>5</v>
      </c>
      <c r="Z117" s="37">
        <f t="shared" si="5"/>
        <v>5</v>
      </c>
      <c r="AA117" s="37">
        <f t="shared" si="5"/>
        <v>15</v>
      </c>
      <c r="AC117" s="18">
        <v>5</v>
      </c>
      <c r="AD117" s="18">
        <v>0</v>
      </c>
      <c r="AE117" s="18">
        <v>0</v>
      </c>
      <c r="AF117" s="18">
        <v>0</v>
      </c>
      <c r="AG117" s="18">
        <v>0</v>
      </c>
      <c r="AH117" s="18">
        <v>5</v>
      </c>
      <c r="AI117" s="18">
        <v>5</v>
      </c>
      <c r="AK117" s="4">
        <v>1</v>
      </c>
      <c r="AL117" s="4">
        <v>0</v>
      </c>
      <c r="AM117" s="4">
        <v>0</v>
      </c>
      <c r="AN117" s="4">
        <v>1</v>
      </c>
      <c r="AO117" s="4">
        <v>1</v>
      </c>
      <c r="AP117" s="4">
        <v>1</v>
      </c>
      <c r="AQ117" s="4">
        <v>1</v>
      </c>
    </row>
    <row r="118" spans="12:43">
      <c r="L118" s="15">
        <v>114</v>
      </c>
      <c r="M118" s="38" t="s">
        <v>34</v>
      </c>
      <c r="N118" s="38" t="s">
        <v>33</v>
      </c>
      <c r="O118" s="38" t="s">
        <v>34</v>
      </c>
      <c r="P118" s="38" t="s">
        <v>40</v>
      </c>
      <c r="Q118" s="38" t="s">
        <v>39</v>
      </c>
      <c r="R118" s="38" t="s">
        <v>38</v>
      </c>
      <c r="S118" s="24" t="s">
        <v>34</v>
      </c>
      <c r="U118" s="37">
        <f t="shared" si="6"/>
        <v>16</v>
      </c>
      <c r="V118" s="37">
        <f t="shared" si="6"/>
        <v>11</v>
      </c>
      <c r="W118" s="37">
        <f t="shared" si="6"/>
        <v>16</v>
      </c>
      <c r="X118" s="37">
        <f t="shared" si="5"/>
        <v>12</v>
      </c>
      <c r="Y118" s="37">
        <f t="shared" si="5"/>
        <v>5</v>
      </c>
      <c r="Z118" s="37">
        <f t="shared" si="5"/>
        <v>15</v>
      </c>
      <c r="AA118" s="37">
        <f t="shared" si="5"/>
        <v>16</v>
      </c>
      <c r="AC118" s="18">
        <v>5</v>
      </c>
      <c r="AD118" s="18">
        <v>0</v>
      </c>
      <c r="AE118" s="18">
        <v>0</v>
      </c>
      <c r="AF118" s="18">
        <v>0</v>
      </c>
      <c r="AG118" s="18">
        <v>1</v>
      </c>
      <c r="AH118" s="18">
        <v>5</v>
      </c>
      <c r="AI118" s="18">
        <v>5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</row>
    <row r="119" spans="12:43">
      <c r="L119" s="14">
        <v>115</v>
      </c>
      <c r="M119" s="38" t="s">
        <v>39</v>
      </c>
      <c r="N119" s="38" t="s">
        <v>33</v>
      </c>
      <c r="O119" s="38" t="s">
        <v>34</v>
      </c>
      <c r="P119" s="38" t="s">
        <v>40</v>
      </c>
      <c r="Q119" s="38" t="s">
        <v>35</v>
      </c>
      <c r="R119" s="38" t="s">
        <v>38</v>
      </c>
      <c r="S119" s="24" t="s">
        <v>34</v>
      </c>
      <c r="U119" s="37">
        <f t="shared" si="6"/>
        <v>5</v>
      </c>
      <c r="V119" s="37">
        <f t="shared" si="6"/>
        <v>11</v>
      </c>
      <c r="W119" s="37">
        <f t="shared" si="6"/>
        <v>16</v>
      </c>
      <c r="X119" s="37">
        <f t="shared" si="5"/>
        <v>12</v>
      </c>
      <c r="Y119" s="37">
        <f t="shared" si="5"/>
        <v>15</v>
      </c>
      <c r="Z119" s="37">
        <f t="shared" si="5"/>
        <v>15</v>
      </c>
      <c r="AA119" s="37">
        <f t="shared" ref="AA119:AA124" si="7">VLOOKUP(S119, $A$4:$J$29, 9, 0)</f>
        <v>16</v>
      </c>
      <c r="AC119" s="18">
        <v>5</v>
      </c>
      <c r="AD119" s="18">
        <v>5</v>
      </c>
      <c r="AE119" s="18">
        <v>5</v>
      </c>
      <c r="AF119" s="18">
        <v>5</v>
      </c>
      <c r="AG119" s="18">
        <v>6</v>
      </c>
      <c r="AH119" s="18">
        <v>5</v>
      </c>
      <c r="AI119" s="18">
        <v>5</v>
      </c>
      <c r="AK119" s="4">
        <v>1</v>
      </c>
      <c r="AL119" s="4">
        <v>1</v>
      </c>
      <c r="AM119" s="4">
        <v>1</v>
      </c>
      <c r="AN119" s="4">
        <v>2</v>
      </c>
      <c r="AO119" s="4">
        <v>2</v>
      </c>
      <c r="AP119" s="4">
        <v>1</v>
      </c>
      <c r="AQ119" s="4">
        <v>1</v>
      </c>
    </row>
    <row r="120" spans="12:43">
      <c r="L120" s="15">
        <v>116</v>
      </c>
      <c r="M120" s="38" t="s">
        <v>65</v>
      </c>
      <c r="N120" s="38" t="s">
        <v>33</v>
      </c>
      <c r="O120" s="38" t="s">
        <v>38</v>
      </c>
      <c r="P120" s="38" t="s">
        <v>40</v>
      </c>
      <c r="Q120" s="38" t="s">
        <v>35</v>
      </c>
      <c r="R120" s="38" t="s">
        <v>40</v>
      </c>
      <c r="S120" s="24" t="s">
        <v>34</v>
      </c>
      <c r="U120" s="37">
        <f t="shared" si="6"/>
        <v>17</v>
      </c>
      <c r="V120" s="37">
        <f t="shared" si="6"/>
        <v>11</v>
      </c>
      <c r="W120" s="37">
        <f t="shared" si="6"/>
        <v>15</v>
      </c>
      <c r="X120" s="37">
        <f t="shared" si="6"/>
        <v>12</v>
      </c>
      <c r="Y120" s="37">
        <f t="shared" si="6"/>
        <v>15</v>
      </c>
      <c r="Z120" s="37">
        <f t="shared" si="6"/>
        <v>12</v>
      </c>
      <c r="AA120" s="37">
        <f t="shared" si="7"/>
        <v>16</v>
      </c>
      <c r="AC120" s="18">
        <v>5</v>
      </c>
      <c r="AD120" s="18">
        <v>0</v>
      </c>
      <c r="AE120" s="18">
        <v>0</v>
      </c>
      <c r="AF120" s="18">
        <v>0</v>
      </c>
      <c r="AG120" s="18">
        <v>0</v>
      </c>
      <c r="AH120" s="18">
        <v>5</v>
      </c>
      <c r="AI120" s="18">
        <v>5</v>
      </c>
      <c r="AK120" s="4">
        <v>1</v>
      </c>
      <c r="AL120" s="4">
        <v>2</v>
      </c>
      <c r="AM120" s="4">
        <v>1</v>
      </c>
      <c r="AN120" s="4">
        <v>0</v>
      </c>
      <c r="AO120" s="4">
        <v>0</v>
      </c>
      <c r="AP120" s="4">
        <v>1</v>
      </c>
      <c r="AQ120" s="4">
        <v>1</v>
      </c>
    </row>
    <row r="121" spans="12:43">
      <c r="L121" s="14">
        <v>117</v>
      </c>
      <c r="M121" s="38" t="s">
        <v>65</v>
      </c>
      <c r="N121" s="38" t="s">
        <v>38</v>
      </c>
      <c r="O121" s="38" t="s">
        <v>242</v>
      </c>
      <c r="P121" s="38" t="s">
        <v>25</v>
      </c>
      <c r="Q121" s="38" t="s">
        <v>35</v>
      </c>
      <c r="R121" s="38" t="s">
        <v>38</v>
      </c>
      <c r="S121" s="24" t="s">
        <v>40</v>
      </c>
      <c r="U121" s="37">
        <f t="shared" ref="U121:Z124" si="8">VLOOKUP(M121, $A$4:$J$29, 9, 0)</f>
        <v>17</v>
      </c>
      <c r="V121" s="37">
        <f t="shared" si="8"/>
        <v>15</v>
      </c>
      <c r="W121" s="37">
        <f t="shared" si="8"/>
        <v>0</v>
      </c>
      <c r="X121" s="37">
        <f t="shared" si="8"/>
        <v>5</v>
      </c>
      <c r="Y121" s="37">
        <f t="shared" si="8"/>
        <v>15</v>
      </c>
      <c r="Z121" s="37">
        <f t="shared" si="8"/>
        <v>15</v>
      </c>
      <c r="AA121" s="37">
        <f t="shared" si="7"/>
        <v>12</v>
      </c>
      <c r="AC121" s="18">
        <v>5</v>
      </c>
      <c r="AD121" s="18">
        <v>0</v>
      </c>
      <c r="AE121" s="18">
        <v>0</v>
      </c>
      <c r="AF121" s="18">
        <v>0</v>
      </c>
      <c r="AG121" s="18">
        <v>0</v>
      </c>
      <c r="AH121" s="18">
        <v>5</v>
      </c>
      <c r="AI121" s="18">
        <v>5</v>
      </c>
      <c r="AK121" s="4">
        <v>1</v>
      </c>
      <c r="AL121" s="4">
        <v>0</v>
      </c>
      <c r="AM121" s="4">
        <v>1</v>
      </c>
      <c r="AN121" s="4">
        <v>1</v>
      </c>
      <c r="AO121" s="4">
        <v>2</v>
      </c>
      <c r="AP121" s="4">
        <v>1</v>
      </c>
      <c r="AQ121" s="4">
        <v>1</v>
      </c>
    </row>
    <row r="122" spans="12:43">
      <c r="L122" s="15">
        <v>118</v>
      </c>
      <c r="M122" s="38" t="s">
        <v>25</v>
      </c>
      <c r="N122" s="38" t="s">
        <v>90</v>
      </c>
      <c r="O122" s="38" t="s">
        <v>40</v>
      </c>
      <c r="P122" s="38" t="s">
        <v>33</v>
      </c>
      <c r="Q122" s="38" t="s">
        <v>65</v>
      </c>
      <c r="R122" s="38" t="s">
        <v>34</v>
      </c>
      <c r="S122" s="24" t="s">
        <v>40</v>
      </c>
      <c r="U122" s="37">
        <f t="shared" si="8"/>
        <v>5</v>
      </c>
      <c r="V122" s="37">
        <f t="shared" si="8"/>
        <v>6</v>
      </c>
      <c r="W122" s="37">
        <f t="shared" si="8"/>
        <v>12</v>
      </c>
      <c r="X122" s="37">
        <f t="shared" si="8"/>
        <v>11</v>
      </c>
      <c r="Y122" s="37">
        <f t="shared" si="8"/>
        <v>17</v>
      </c>
      <c r="Z122" s="37">
        <f t="shared" si="8"/>
        <v>16</v>
      </c>
      <c r="AA122" s="37">
        <f t="shared" si="7"/>
        <v>12</v>
      </c>
      <c r="AC122" s="18">
        <v>5</v>
      </c>
      <c r="AD122" s="18">
        <v>0</v>
      </c>
      <c r="AE122" s="18">
        <v>0</v>
      </c>
      <c r="AF122" s="18">
        <v>0</v>
      </c>
      <c r="AG122" s="18">
        <v>0</v>
      </c>
      <c r="AH122" s="18">
        <v>5</v>
      </c>
      <c r="AI122" s="18">
        <v>5</v>
      </c>
      <c r="AK122" s="4">
        <v>1</v>
      </c>
      <c r="AL122" s="4">
        <v>1</v>
      </c>
      <c r="AM122" s="4">
        <v>1</v>
      </c>
      <c r="AN122" s="4">
        <v>2</v>
      </c>
      <c r="AO122" s="4">
        <v>0</v>
      </c>
      <c r="AP122" s="4">
        <v>1</v>
      </c>
      <c r="AQ122" s="4">
        <v>1</v>
      </c>
    </row>
    <row r="123" spans="12:43">
      <c r="L123" s="14">
        <v>119</v>
      </c>
      <c r="M123" s="38" t="s">
        <v>39</v>
      </c>
      <c r="N123" s="38" t="s">
        <v>90</v>
      </c>
      <c r="O123" s="38" t="s">
        <v>34</v>
      </c>
      <c r="P123" s="38" t="s">
        <v>39</v>
      </c>
      <c r="Q123" s="38" t="s">
        <v>40</v>
      </c>
      <c r="R123" s="38" t="s">
        <v>25</v>
      </c>
      <c r="S123" s="24" t="s">
        <v>40</v>
      </c>
      <c r="U123" s="37">
        <f t="shared" si="8"/>
        <v>5</v>
      </c>
      <c r="V123" s="37">
        <f t="shared" si="8"/>
        <v>6</v>
      </c>
      <c r="W123" s="37">
        <f t="shared" si="8"/>
        <v>16</v>
      </c>
      <c r="X123" s="37">
        <f t="shared" si="8"/>
        <v>5</v>
      </c>
      <c r="Y123" s="37">
        <f t="shared" si="8"/>
        <v>12</v>
      </c>
      <c r="Z123" s="37">
        <f t="shared" si="8"/>
        <v>5</v>
      </c>
      <c r="AA123" s="37">
        <f t="shared" si="7"/>
        <v>12</v>
      </c>
      <c r="AC123" s="18">
        <v>5</v>
      </c>
      <c r="AD123" s="18">
        <v>0</v>
      </c>
      <c r="AE123" s="18">
        <v>0</v>
      </c>
      <c r="AF123" s="18">
        <v>0</v>
      </c>
      <c r="AG123" s="18">
        <v>0</v>
      </c>
      <c r="AH123" s="18">
        <v>5</v>
      </c>
      <c r="AI123" s="18">
        <v>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1</v>
      </c>
      <c r="AQ123" s="4">
        <v>1</v>
      </c>
    </row>
    <row r="124" spans="12:43">
      <c r="L124" s="15">
        <v>120</v>
      </c>
      <c r="M124" s="38" t="s">
        <v>39</v>
      </c>
      <c r="N124" s="38" t="s">
        <v>37</v>
      </c>
      <c r="O124" s="38" t="s">
        <v>35</v>
      </c>
      <c r="P124" s="38" t="s">
        <v>39</v>
      </c>
      <c r="Q124" s="38" t="s">
        <v>40</v>
      </c>
      <c r="R124" s="38" t="s">
        <v>25</v>
      </c>
      <c r="S124" s="24" t="s">
        <v>37</v>
      </c>
      <c r="U124" s="37">
        <f t="shared" si="8"/>
        <v>5</v>
      </c>
      <c r="V124" s="37">
        <f t="shared" si="8"/>
        <v>13</v>
      </c>
      <c r="W124" s="37">
        <f t="shared" si="8"/>
        <v>15</v>
      </c>
      <c r="X124" s="37">
        <f t="shared" si="8"/>
        <v>5</v>
      </c>
      <c r="Y124" s="37">
        <f t="shared" si="8"/>
        <v>12</v>
      </c>
      <c r="Z124" s="37">
        <f t="shared" si="8"/>
        <v>5</v>
      </c>
      <c r="AA124" s="37">
        <f t="shared" si="7"/>
        <v>13</v>
      </c>
      <c r="AC124" s="18">
        <v>5</v>
      </c>
      <c r="AD124" s="18">
        <v>5</v>
      </c>
      <c r="AE124" s="18">
        <v>5</v>
      </c>
      <c r="AF124" s="18">
        <v>5</v>
      </c>
      <c r="AG124" s="18">
        <v>5</v>
      </c>
      <c r="AH124" s="18">
        <v>5</v>
      </c>
      <c r="AI124" s="4">
        <v>5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</row>
    <row r="125" spans="12:43">
      <c r="AC125" s="18" t="s">
        <v>22</v>
      </c>
      <c r="AD125" s="18" t="s">
        <v>22</v>
      </c>
      <c r="AE125" s="18" t="s">
        <v>22</v>
      </c>
      <c r="AF125" s="18" t="s">
        <v>22</v>
      </c>
      <c r="AG125" s="18" t="s">
        <v>22</v>
      </c>
      <c r="AH125" s="18" t="s">
        <v>22</v>
      </c>
      <c r="AI125" s="4" t="s">
        <v>22</v>
      </c>
      <c r="AK125" s="4" t="s">
        <v>22</v>
      </c>
      <c r="AL125" s="4" t="s">
        <v>22</v>
      </c>
      <c r="AM125" s="4" t="s">
        <v>22</v>
      </c>
      <c r="AN125" s="4" t="s">
        <v>22</v>
      </c>
      <c r="AO125" s="4" t="s">
        <v>22</v>
      </c>
      <c r="AP125" s="4" t="s">
        <v>22</v>
      </c>
      <c r="AQ125" s="4" t="s">
        <v>22</v>
      </c>
    </row>
    <row r="126" spans="12:43">
      <c r="AC126" s="18" t="s">
        <v>22</v>
      </c>
      <c r="AD126" s="18" t="s">
        <v>22</v>
      </c>
      <c r="AE126" s="18" t="s">
        <v>22</v>
      </c>
      <c r="AF126" s="18" t="s">
        <v>22</v>
      </c>
      <c r="AG126" s="18" t="s">
        <v>22</v>
      </c>
      <c r="AH126" s="18" t="s">
        <v>22</v>
      </c>
      <c r="AI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  <c r="AQ126" s="4" t="s">
        <v>22</v>
      </c>
    </row>
    <row r="127" spans="12:43">
      <c r="AC127" s="18" t="s">
        <v>22</v>
      </c>
      <c r="AD127" s="18" t="s">
        <v>22</v>
      </c>
      <c r="AE127" s="18" t="s">
        <v>22</v>
      </c>
      <c r="AF127" s="18" t="s">
        <v>22</v>
      </c>
      <c r="AG127" s="18" t="s">
        <v>22</v>
      </c>
      <c r="AH127" s="18" t="s">
        <v>22</v>
      </c>
      <c r="AI127" s="4" t="s">
        <v>22</v>
      </c>
      <c r="AK127" s="4" t="s">
        <v>22</v>
      </c>
      <c r="AL127" s="4" t="s">
        <v>22</v>
      </c>
      <c r="AM127" s="4" t="s">
        <v>22</v>
      </c>
      <c r="AN127" s="4" t="s">
        <v>22</v>
      </c>
      <c r="AO127" s="4" t="s">
        <v>22</v>
      </c>
      <c r="AP127" s="4" t="s">
        <v>22</v>
      </c>
      <c r="AQ127" s="4" t="s">
        <v>22</v>
      </c>
    </row>
    <row r="128" spans="12:43">
      <c r="AC128" s="18" t="s">
        <v>22</v>
      </c>
      <c r="AD128" s="18" t="s">
        <v>22</v>
      </c>
      <c r="AE128" s="18" t="s">
        <v>22</v>
      </c>
      <c r="AF128" s="18" t="s">
        <v>22</v>
      </c>
      <c r="AG128" s="18" t="s">
        <v>22</v>
      </c>
      <c r="AH128" s="18" t="s">
        <v>22</v>
      </c>
      <c r="AI128" s="4" t="s">
        <v>22</v>
      </c>
      <c r="AK128" s="4" t="s">
        <v>22</v>
      </c>
      <c r="AL128" s="4" t="s">
        <v>22</v>
      </c>
      <c r="AM128" s="4" t="s">
        <v>22</v>
      </c>
      <c r="AN128" s="4" t="s">
        <v>22</v>
      </c>
      <c r="AO128" s="4" t="s">
        <v>22</v>
      </c>
      <c r="AP128" s="4" t="s">
        <v>22</v>
      </c>
      <c r="AQ128" s="4" t="s">
        <v>22</v>
      </c>
    </row>
    <row r="129" spans="29:43">
      <c r="AC129" s="18" t="s">
        <v>22</v>
      </c>
      <c r="AD129" s="18" t="s">
        <v>22</v>
      </c>
      <c r="AE129" s="18" t="s">
        <v>22</v>
      </c>
      <c r="AF129" s="18" t="s">
        <v>22</v>
      </c>
      <c r="AG129" s="18" t="s">
        <v>22</v>
      </c>
      <c r="AH129" s="18" t="s">
        <v>22</v>
      </c>
      <c r="AI129" s="4" t="s">
        <v>22</v>
      </c>
      <c r="AK129" s="4" t="s">
        <v>22</v>
      </c>
      <c r="AL129" s="4" t="s">
        <v>22</v>
      </c>
      <c r="AM129" s="4" t="s">
        <v>22</v>
      </c>
      <c r="AN129" s="4" t="s">
        <v>22</v>
      </c>
      <c r="AO129" s="4" t="s">
        <v>22</v>
      </c>
      <c r="AP129" s="4" t="s">
        <v>22</v>
      </c>
      <c r="AQ129" s="4" t="s">
        <v>22</v>
      </c>
    </row>
    <row r="130" spans="29:43">
      <c r="AC130" s="18" t="s">
        <v>22</v>
      </c>
      <c r="AD130" s="18" t="s">
        <v>22</v>
      </c>
      <c r="AE130" s="18" t="s">
        <v>22</v>
      </c>
      <c r="AF130" s="18" t="s">
        <v>22</v>
      </c>
      <c r="AG130" s="18" t="s">
        <v>22</v>
      </c>
      <c r="AH130" s="18" t="s">
        <v>22</v>
      </c>
      <c r="AI130" s="4" t="s">
        <v>22</v>
      </c>
      <c r="AK130" s="4" t="s">
        <v>22</v>
      </c>
      <c r="AL130" s="4" t="s">
        <v>22</v>
      </c>
      <c r="AM130" s="4" t="s">
        <v>22</v>
      </c>
      <c r="AN130" s="4" t="s">
        <v>22</v>
      </c>
      <c r="AO130" s="4" t="s">
        <v>22</v>
      </c>
      <c r="AP130" s="4" t="s">
        <v>22</v>
      </c>
      <c r="AQ130" s="4" t="s">
        <v>22</v>
      </c>
    </row>
    <row r="131" spans="29:43">
      <c r="AC131" s="18" t="s">
        <v>22</v>
      </c>
      <c r="AD131" s="18" t="s">
        <v>22</v>
      </c>
      <c r="AE131" s="18" t="s">
        <v>22</v>
      </c>
      <c r="AF131" s="18" t="s">
        <v>22</v>
      </c>
      <c r="AG131" s="18" t="s">
        <v>22</v>
      </c>
      <c r="AH131" s="18" t="s">
        <v>22</v>
      </c>
      <c r="AI131" s="4" t="s">
        <v>22</v>
      </c>
      <c r="AK131" s="4" t="s">
        <v>22</v>
      </c>
      <c r="AL131" s="4" t="s">
        <v>22</v>
      </c>
      <c r="AM131" s="4" t="s">
        <v>22</v>
      </c>
      <c r="AN131" s="4" t="s">
        <v>22</v>
      </c>
      <c r="AO131" s="4" t="s">
        <v>22</v>
      </c>
      <c r="AP131" s="4" t="s">
        <v>22</v>
      </c>
      <c r="AQ131" s="4" t="s">
        <v>22</v>
      </c>
    </row>
    <row r="132" spans="29:43">
      <c r="AC132" s="18" t="s">
        <v>22</v>
      </c>
      <c r="AD132" s="18" t="s">
        <v>22</v>
      </c>
      <c r="AE132" s="18" t="s">
        <v>22</v>
      </c>
      <c r="AF132" s="18" t="s">
        <v>22</v>
      </c>
      <c r="AG132" s="18" t="s">
        <v>22</v>
      </c>
      <c r="AH132" s="18" t="s">
        <v>22</v>
      </c>
      <c r="AI132" s="4" t="s">
        <v>22</v>
      </c>
      <c r="AK132" s="4" t="s">
        <v>22</v>
      </c>
      <c r="AL132" s="4" t="s">
        <v>22</v>
      </c>
      <c r="AM132" s="4" t="s">
        <v>22</v>
      </c>
      <c r="AN132" s="4" t="s">
        <v>22</v>
      </c>
      <c r="AO132" s="4" t="s">
        <v>22</v>
      </c>
      <c r="AP132" s="4" t="s">
        <v>22</v>
      </c>
      <c r="AQ132" s="4" t="s">
        <v>22</v>
      </c>
    </row>
    <row r="133" spans="29:43">
      <c r="AC133" s="18" t="s">
        <v>22</v>
      </c>
      <c r="AD133" s="18" t="s">
        <v>22</v>
      </c>
      <c r="AE133" s="18" t="s">
        <v>22</v>
      </c>
      <c r="AF133" s="18" t="s">
        <v>22</v>
      </c>
      <c r="AG133" s="18" t="s">
        <v>22</v>
      </c>
      <c r="AH133" s="18" t="s">
        <v>22</v>
      </c>
      <c r="AI133" s="4" t="s">
        <v>22</v>
      </c>
      <c r="AK133" s="4" t="s">
        <v>22</v>
      </c>
      <c r="AL133" s="4" t="s">
        <v>22</v>
      </c>
      <c r="AM133" s="4" t="s">
        <v>22</v>
      </c>
      <c r="AN133" s="4" t="s">
        <v>22</v>
      </c>
      <c r="AO133" s="4" t="s">
        <v>22</v>
      </c>
      <c r="AP133" s="4" t="s">
        <v>22</v>
      </c>
      <c r="AQ133" s="4" t="s">
        <v>22</v>
      </c>
    </row>
    <row r="134" spans="29:43">
      <c r="AC134" s="18" t="s">
        <v>22</v>
      </c>
      <c r="AD134" s="18" t="s">
        <v>22</v>
      </c>
      <c r="AE134" s="18" t="s">
        <v>22</v>
      </c>
      <c r="AF134" s="18" t="s">
        <v>22</v>
      </c>
      <c r="AG134" s="18" t="s">
        <v>22</v>
      </c>
      <c r="AH134" s="18" t="s">
        <v>22</v>
      </c>
      <c r="AI134" s="4" t="s">
        <v>22</v>
      </c>
      <c r="AK134" s="4" t="s">
        <v>22</v>
      </c>
      <c r="AL134" s="4" t="s">
        <v>22</v>
      </c>
      <c r="AM134" s="4" t="s">
        <v>22</v>
      </c>
      <c r="AN134" s="4" t="s">
        <v>22</v>
      </c>
      <c r="AO134" s="4" t="s">
        <v>22</v>
      </c>
      <c r="AP134" s="4" t="s">
        <v>22</v>
      </c>
      <c r="AQ134" s="4" t="s">
        <v>22</v>
      </c>
    </row>
    <row r="135" spans="29:43">
      <c r="AC135" s="18" t="s">
        <v>22</v>
      </c>
      <c r="AD135" s="18" t="s">
        <v>22</v>
      </c>
      <c r="AE135" s="18" t="s">
        <v>22</v>
      </c>
      <c r="AF135" s="18" t="s">
        <v>22</v>
      </c>
      <c r="AG135" s="18" t="s">
        <v>22</v>
      </c>
      <c r="AH135" s="18" t="s">
        <v>22</v>
      </c>
      <c r="AI135" s="4" t="s">
        <v>22</v>
      </c>
      <c r="AK135" s="4" t="s">
        <v>22</v>
      </c>
      <c r="AL135" s="4" t="s">
        <v>22</v>
      </c>
      <c r="AM135" s="4" t="s">
        <v>22</v>
      </c>
      <c r="AN135" s="4" t="s">
        <v>22</v>
      </c>
      <c r="AO135" s="4" t="s">
        <v>22</v>
      </c>
      <c r="AP135" s="4" t="s">
        <v>22</v>
      </c>
      <c r="AQ135" s="4" t="s">
        <v>22</v>
      </c>
    </row>
    <row r="136" spans="29:43">
      <c r="AC136" s="18" t="s">
        <v>22</v>
      </c>
      <c r="AD136" s="18" t="s">
        <v>22</v>
      </c>
      <c r="AE136" s="18" t="s">
        <v>22</v>
      </c>
      <c r="AF136" s="18" t="s">
        <v>22</v>
      </c>
      <c r="AG136" s="18" t="s">
        <v>22</v>
      </c>
      <c r="AH136" s="18" t="s">
        <v>22</v>
      </c>
      <c r="AI136" s="4" t="s">
        <v>22</v>
      </c>
      <c r="AK136" s="4" t="s">
        <v>22</v>
      </c>
      <c r="AL136" s="4" t="s">
        <v>22</v>
      </c>
      <c r="AM136" s="4" t="s">
        <v>22</v>
      </c>
      <c r="AN136" s="4" t="s">
        <v>22</v>
      </c>
      <c r="AO136" s="4" t="s">
        <v>22</v>
      </c>
      <c r="AP136" s="4" t="s">
        <v>22</v>
      </c>
      <c r="AQ136" s="4" t="s">
        <v>22</v>
      </c>
    </row>
    <row r="137" spans="29:43">
      <c r="AC137" s="18" t="s">
        <v>22</v>
      </c>
      <c r="AD137" s="18" t="s">
        <v>22</v>
      </c>
      <c r="AE137" s="18" t="s">
        <v>22</v>
      </c>
      <c r="AF137" s="18" t="s">
        <v>22</v>
      </c>
      <c r="AG137" s="18" t="s">
        <v>22</v>
      </c>
      <c r="AH137" s="18" t="s">
        <v>22</v>
      </c>
      <c r="AI137" s="4" t="s">
        <v>22</v>
      </c>
      <c r="AK137" s="4" t="s">
        <v>22</v>
      </c>
      <c r="AL137" s="4" t="s">
        <v>22</v>
      </c>
      <c r="AM137" s="4" t="s">
        <v>22</v>
      </c>
      <c r="AN137" s="4" t="s">
        <v>22</v>
      </c>
      <c r="AO137" s="4" t="s">
        <v>22</v>
      </c>
      <c r="AP137" s="4" t="s">
        <v>22</v>
      </c>
      <c r="AQ137" s="4" t="s">
        <v>22</v>
      </c>
    </row>
    <row r="138" spans="29:43">
      <c r="AC138" s="18" t="s">
        <v>22</v>
      </c>
      <c r="AD138" s="18" t="s">
        <v>22</v>
      </c>
      <c r="AE138" s="18" t="s">
        <v>22</v>
      </c>
      <c r="AF138" s="18" t="s">
        <v>22</v>
      </c>
      <c r="AG138" s="18" t="s">
        <v>22</v>
      </c>
      <c r="AH138" s="18" t="s">
        <v>22</v>
      </c>
      <c r="AI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  <c r="AQ138" s="4" t="s">
        <v>22</v>
      </c>
    </row>
    <row r="139" spans="29:43">
      <c r="AC139" s="18" t="s">
        <v>22</v>
      </c>
      <c r="AD139" s="18" t="s">
        <v>22</v>
      </c>
      <c r="AE139" s="18" t="s">
        <v>22</v>
      </c>
      <c r="AF139" s="18" t="s">
        <v>22</v>
      </c>
      <c r="AG139" s="18" t="s">
        <v>22</v>
      </c>
      <c r="AH139" s="18" t="s">
        <v>22</v>
      </c>
      <c r="AI139" s="4" t="s">
        <v>22</v>
      </c>
      <c r="AK139" s="4" t="s">
        <v>22</v>
      </c>
      <c r="AL139" s="4" t="s">
        <v>22</v>
      </c>
      <c r="AM139" s="4" t="s">
        <v>22</v>
      </c>
      <c r="AN139" s="4" t="s">
        <v>22</v>
      </c>
      <c r="AO139" s="4" t="s">
        <v>22</v>
      </c>
      <c r="AP139" s="4" t="s">
        <v>22</v>
      </c>
      <c r="AQ139" s="4" t="s">
        <v>22</v>
      </c>
    </row>
    <row r="140" spans="29:43">
      <c r="AC140" s="18" t="s">
        <v>22</v>
      </c>
      <c r="AD140" s="18" t="s">
        <v>22</v>
      </c>
      <c r="AE140" s="18" t="s">
        <v>22</v>
      </c>
      <c r="AF140" s="18" t="s">
        <v>22</v>
      </c>
      <c r="AG140" s="18" t="s">
        <v>22</v>
      </c>
      <c r="AH140" s="18" t="s">
        <v>22</v>
      </c>
      <c r="AI140" s="4" t="s">
        <v>22</v>
      </c>
      <c r="AK140" s="4" t="s">
        <v>22</v>
      </c>
      <c r="AL140" s="4" t="s">
        <v>22</v>
      </c>
      <c r="AM140" s="4" t="s">
        <v>22</v>
      </c>
      <c r="AN140" s="4" t="s">
        <v>22</v>
      </c>
      <c r="AO140" s="4" t="s">
        <v>22</v>
      </c>
      <c r="AP140" s="4" t="s">
        <v>22</v>
      </c>
      <c r="AQ140" s="4" t="s">
        <v>22</v>
      </c>
    </row>
    <row r="141" spans="29:43">
      <c r="AC141" s="18" t="s">
        <v>22</v>
      </c>
      <c r="AD141" s="18" t="s">
        <v>22</v>
      </c>
      <c r="AE141" s="18" t="s">
        <v>22</v>
      </c>
      <c r="AF141" s="18" t="s">
        <v>22</v>
      </c>
      <c r="AG141" s="18" t="s">
        <v>22</v>
      </c>
      <c r="AH141" s="18" t="s">
        <v>22</v>
      </c>
      <c r="AI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  <c r="AQ141" s="4" t="s">
        <v>22</v>
      </c>
    </row>
    <row r="142" spans="29:43">
      <c r="AC142" s="18" t="s">
        <v>22</v>
      </c>
      <c r="AD142" s="18" t="s">
        <v>22</v>
      </c>
      <c r="AE142" s="18" t="s">
        <v>22</v>
      </c>
      <c r="AF142" s="18" t="s">
        <v>22</v>
      </c>
      <c r="AG142" s="18" t="s">
        <v>22</v>
      </c>
      <c r="AH142" s="18" t="s">
        <v>22</v>
      </c>
      <c r="AI142" s="4" t="s">
        <v>22</v>
      </c>
      <c r="AK142" s="4" t="s">
        <v>22</v>
      </c>
      <c r="AL142" s="4" t="s">
        <v>22</v>
      </c>
      <c r="AM142" s="4" t="s">
        <v>22</v>
      </c>
      <c r="AN142" s="4" t="s">
        <v>22</v>
      </c>
      <c r="AO142" s="4" t="s">
        <v>22</v>
      </c>
      <c r="AP142" s="4" t="s">
        <v>22</v>
      </c>
      <c r="AQ142" s="4" t="s">
        <v>22</v>
      </c>
    </row>
    <row r="143" spans="29:43">
      <c r="AC143" s="18" t="s">
        <v>22</v>
      </c>
      <c r="AD143" s="18" t="s">
        <v>22</v>
      </c>
      <c r="AE143" s="18" t="s">
        <v>22</v>
      </c>
      <c r="AF143" s="18" t="s">
        <v>22</v>
      </c>
      <c r="AG143" s="18" t="s">
        <v>22</v>
      </c>
      <c r="AH143" s="18" t="s">
        <v>22</v>
      </c>
      <c r="AI143" s="4" t="s">
        <v>22</v>
      </c>
      <c r="AK143" s="4" t="s">
        <v>22</v>
      </c>
      <c r="AL143" s="4" t="s">
        <v>22</v>
      </c>
      <c r="AM143" s="4" t="s">
        <v>22</v>
      </c>
      <c r="AN143" s="4" t="s">
        <v>22</v>
      </c>
      <c r="AO143" s="4" t="s">
        <v>22</v>
      </c>
      <c r="AP143" s="4" t="s">
        <v>22</v>
      </c>
      <c r="AQ143" s="4" t="s">
        <v>22</v>
      </c>
    </row>
    <row r="144" spans="29:43">
      <c r="AC144" s="18" t="s">
        <v>22</v>
      </c>
      <c r="AD144" s="18" t="s">
        <v>22</v>
      </c>
      <c r="AE144" s="18" t="s">
        <v>22</v>
      </c>
      <c r="AF144" s="18" t="s">
        <v>22</v>
      </c>
      <c r="AG144" s="18" t="s">
        <v>22</v>
      </c>
      <c r="AH144" s="18" t="s">
        <v>22</v>
      </c>
      <c r="AI144" s="4" t="s">
        <v>22</v>
      </c>
      <c r="AK144" s="4" t="s">
        <v>22</v>
      </c>
      <c r="AL144" s="4" t="s">
        <v>22</v>
      </c>
      <c r="AM144" s="4" t="s">
        <v>22</v>
      </c>
      <c r="AN144" s="4" t="s">
        <v>22</v>
      </c>
      <c r="AO144" s="4" t="s">
        <v>22</v>
      </c>
      <c r="AP144" s="4" t="s">
        <v>22</v>
      </c>
      <c r="AQ144" s="4" t="s">
        <v>22</v>
      </c>
    </row>
    <row r="145" spans="29:43">
      <c r="AC145" s="18" t="s">
        <v>22</v>
      </c>
      <c r="AD145" s="18" t="s">
        <v>22</v>
      </c>
      <c r="AE145" s="18" t="s">
        <v>22</v>
      </c>
      <c r="AF145" s="18" t="s">
        <v>22</v>
      </c>
      <c r="AG145" s="18" t="s">
        <v>22</v>
      </c>
      <c r="AH145" s="18" t="s">
        <v>22</v>
      </c>
      <c r="AI145" s="4" t="s">
        <v>22</v>
      </c>
      <c r="AK145" s="4" t="s">
        <v>22</v>
      </c>
      <c r="AL145" s="4" t="s">
        <v>22</v>
      </c>
      <c r="AM145" s="4" t="s">
        <v>22</v>
      </c>
      <c r="AN145" s="4" t="s">
        <v>22</v>
      </c>
      <c r="AO145" s="4" t="s">
        <v>22</v>
      </c>
      <c r="AP145" s="4" t="s">
        <v>22</v>
      </c>
      <c r="AQ145" s="4" t="s">
        <v>22</v>
      </c>
    </row>
    <row r="146" spans="29:43">
      <c r="AC146" s="18" t="s">
        <v>22</v>
      </c>
      <c r="AD146" s="18" t="s">
        <v>22</v>
      </c>
      <c r="AE146" s="18" t="s">
        <v>22</v>
      </c>
      <c r="AF146" s="18" t="s">
        <v>22</v>
      </c>
      <c r="AG146" s="18" t="s">
        <v>22</v>
      </c>
      <c r="AH146" s="18" t="s">
        <v>22</v>
      </c>
      <c r="AI146" s="4" t="s">
        <v>22</v>
      </c>
      <c r="AK146" s="4" t="s">
        <v>22</v>
      </c>
      <c r="AL146" s="4" t="s">
        <v>22</v>
      </c>
      <c r="AM146" s="4" t="s">
        <v>22</v>
      </c>
      <c r="AN146" s="4" t="s">
        <v>22</v>
      </c>
      <c r="AO146" s="4" t="s">
        <v>22</v>
      </c>
      <c r="AP146" s="4" t="s">
        <v>22</v>
      </c>
      <c r="AQ146" s="4" t="s">
        <v>22</v>
      </c>
    </row>
    <row r="147" spans="29:43">
      <c r="AC147" s="18" t="s">
        <v>22</v>
      </c>
      <c r="AD147" s="18" t="s">
        <v>22</v>
      </c>
      <c r="AE147" s="18" t="s">
        <v>22</v>
      </c>
      <c r="AF147" s="18" t="s">
        <v>22</v>
      </c>
      <c r="AG147" s="18" t="s">
        <v>22</v>
      </c>
      <c r="AH147" s="18" t="s">
        <v>22</v>
      </c>
      <c r="AI147" s="4" t="s">
        <v>22</v>
      </c>
      <c r="AK147" s="4" t="s">
        <v>22</v>
      </c>
      <c r="AL147" s="4" t="s">
        <v>22</v>
      </c>
      <c r="AM147" s="4" t="s">
        <v>22</v>
      </c>
      <c r="AN147" s="4" t="s">
        <v>22</v>
      </c>
      <c r="AO147" s="4" t="s">
        <v>22</v>
      </c>
      <c r="AP147" s="4" t="s">
        <v>22</v>
      </c>
      <c r="AQ147" s="4" t="s">
        <v>22</v>
      </c>
    </row>
    <row r="148" spans="29:43">
      <c r="AC148" s="18" t="s">
        <v>22</v>
      </c>
      <c r="AD148" s="18" t="s">
        <v>22</v>
      </c>
      <c r="AE148" s="18" t="s">
        <v>22</v>
      </c>
      <c r="AF148" s="18" t="s">
        <v>22</v>
      </c>
      <c r="AG148" s="18" t="s">
        <v>22</v>
      </c>
      <c r="AH148" s="18" t="s">
        <v>22</v>
      </c>
      <c r="AI148" s="4" t="s">
        <v>22</v>
      </c>
      <c r="AK148" s="4" t="s">
        <v>22</v>
      </c>
      <c r="AL148" s="4" t="s">
        <v>22</v>
      </c>
      <c r="AM148" s="4" t="s">
        <v>22</v>
      </c>
      <c r="AN148" s="4" t="s">
        <v>22</v>
      </c>
      <c r="AO148" s="4" t="s">
        <v>22</v>
      </c>
      <c r="AP148" s="4" t="s">
        <v>22</v>
      </c>
      <c r="AQ148" s="4" t="s">
        <v>22</v>
      </c>
    </row>
    <row r="149" spans="29:43">
      <c r="AC149" s="18" t="s">
        <v>22</v>
      </c>
      <c r="AD149" s="18" t="s">
        <v>22</v>
      </c>
      <c r="AE149" s="18" t="s">
        <v>22</v>
      </c>
      <c r="AF149" s="18" t="s">
        <v>22</v>
      </c>
      <c r="AG149" s="18" t="s">
        <v>22</v>
      </c>
      <c r="AH149" s="18" t="s">
        <v>22</v>
      </c>
      <c r="AI149" s="4" t="s">
        <v>22</v>
      </c>
      <c r="AK149" s="4" t="s">
        <v>22</v>
      </c>
      <c r="AL149" s="4" t="s">
        <v>22</v>
      </c>
      <c r="AM149" s="4" t="s">
        <v>22</v>
      </c>
      <c r="AN149" s="4" t="s">
        <v>22</v>
      </c>
      <c r="AO149" s="4" t="s">
        <v>22</v>
      </c>
      <c r="AP149" s="4" t="s">
        <v>22</v>
      </c>
      <c r="AQ149" s="4" t="s">
        <v>22</v>
      </c>
    </row>
    <row r="150" spans="29:43">
      <c r="AC150" s="18" t="s">
        <v>22</v>
      </c>
      <c r="AD150" s="18" t="s">
        <v>22</v>
      </c>
      <c r="AE150" s="18" t="s">
        <v>22</v>
      </c>
      <c r="AF150" s="18" t="s">
        <v>22</v>
      </c>
      <c r="AG150" s="18" t="s">
        <v>22</v>
      </c>
      <c r="AH150" s="18" t="s">
        <v>22</v>
      </c>
      <c r="AI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  <c r="AO150" s="4" t="s">
        <v>22</v>
      </c>
      <c r="AP150" s="4" t="s">
        <v>22</v>
      </c>
      <c r="AQ150" s="4" t="s">
        <v>22</v>
      </c>
    </row>
    <row r="151" spans="29:43">
      <c r="AC151" s="18" t="s">
        <v>22</v>
      </c>
      <c r="AD151" s="18" t="s">
        <v>22</v>
      </c>
      <c r="AE151" s="18" t="s">
        <v>22</v>
      </c>
      <c r="AF151" s="18" t="s">
        <v>22</v>
      </c>
      <c r="AG151" s="18" t="s">
        <v>22</v>
      </c>
      <c r="AH151" s="18" t="s">
        <v>22</v>
      </c>
      <c r="AI151" s="4" t="s">
        <v>22</v>
      </c>
      <c r="AK151" s="4" t="s">
        <v>22</v>
      </c>
      <c r="AL151" s="4" t="s">
        <v>22</v>
      </c>
      <c r="AM151" s="4" t="s">
        <v>22</v>
      </c>
      <c r="AN151" s="4" t="s">
        <v>22</v>
      </c>
      <c r="AO151" s="4" t="s">
        <v>22</v>
      </c>
      <c r="AP151" s="4" t="s">
        <v>22</v>
      </c>
      <c r="AQ151" s="4" t="s">
        <v>22</v>
      </c>
    </row>
    <row r="152" spans="29:43">
      <c r="AC152" s="18" t="s">
        <v>22</v>
      </c>
      <c r="AD152" s="18" t="s">
        <v>22</v>
      </c>
      <c r="AE152" s="18" t="s">
        <v>22</v>
      </c>
      <c r="AF152" s="18" t="s">
        <v>22</v>
      </c>
      <c r="AG152" s="18" t="s">
        <v>22</v>
      </c>
      <c r="AH152" s="18" t="s">
        <v>22</v>
      </c>
      <c r="AI152" s="4" t="s">
        <v>22</v>
      </c>
      <c r="AK152" s="4" t="s">
        <v>22</v>
      </c>
      <c r="AL152" s="4" t="s">
        <v>22</v>
      </c>
      <c r="AM152" s="4" t="s">
        <v>22</v>
      </c>
      <c r="AN152" s="4" t="s">
        <v>22</v>
      </c>
      <c r="AO152" s="4" t="s">
        <v>22</v>
      </c>
      <c r="AP152" s="4" t="s">
        <v>22</v>
      </c>
      <c r="AQ152" s="4" t="s">
        <v>22</v>
      </c>
    </row>
    <row r="153" spans="29:43">
      <c r="AC153" s="18" t="s">
        <v>22</v>
      </c>
      <c r="AD153" s="18" t="s">
        <v>22</v>
      </c>
      <c r="AE153" s="18" t="s">
        <v>22</v>
      </c>
      <c r="AF153" s="18" t="s">
        <v>22</v>
      </c>
      <c r="AG153" s="18" t="s">
        <v>22</v>
      </c>
      <c r="AH153" s="18" t="s">
        <v>22</v>
      </c>
      <c r="AI153" s="4" t="s">
        <v>22</v>
      </c>
      <c r="AK153" s="4" t="s">
        <v>22</v>
      </c>
      <c r="AL153" s="4" t="s">
        <v>22</v>
      </c>
      <c r="AM153" s="4" t="s">
        <v>22</v>
      </c>
      <c r="AN153" s="4" t="s">
        <v>22</v>
      </c>
      <c r="AO153" s="4" t="s">
        <v>22</v>
      </c>
      <c r="AP153" s="4" t="s">
        <v>22</v>
      </c>
      <c r="AQ153" s="4" t="s">
        <v>22</v>
      </c>
    </row>
    <row r="154" spans="29:43">
      <c r="AC154" s="18" t="s">
        <v>22</v>
      </c>
      <c r="AD154" s="18" t="s">
        <v>22</v>
      </c>
      <c r="AE154" s="18" t="s">
        <v>22</v>
      </c>
      <c r="AF154" s="18" t="s">
        <v>22</v>
      </c>
      <c r="AG154" s="18" t="s">
        <v>22</v>
      </c>
      <c r="AH154" s="18" t="s">
        <v>22</v>
      </c>
      <c r="AI154" s="4" t="s">
        <v>22</v>
      </c>
      <c r="AK154" s="4" t="s">
        <v>22</v>
      </c>
      <c r="AL154" s="4" t="s">
        <v>22</v>
      </c>
      <c r="AM154" s="4" t="s">
        <v>22</v>
      </c>
      <c r="AN154" s="4" t="s">
        <v>22</v>
      </c>
      <c r="AO154" s="4" t="s">
        <v>22</v>
      </c>
      <c r="AP154" s="4" t="s">
        <v>22</v>
      </c>
      <c r="AQ154" s="4" t="s">
        <v>22</v>
      </c>
    </row>
    <row r="155" spans="29:43">
      <c r="AC155" s="18" t="s">
        <v>22</v>
      </c>
      <c r="AD155" s="18" t="s">
        <v>22</v>
      </c>
      <c r="AE155" s="18" t="s">
        <v>22</v>
      </c>
      <c r="AF155" s="18" t="s">
        <v>22</v>
      </c>
      <c r="AG155" s="18" t="s">
        <v>22</v>
      </c>
      <c r="AH155" s="18" t="s">
        <v>22</v>
      </c>
      <c r="AI155" s="4" t="s">
        <v>22</v>
      </c>
      <c r="AK155" s="4" t="s">
        <v>22</v>
      </c>
      <c r="AL155" s="4" t="s">
        <v>22</v>
      </c>
      <c r="AM155" s="4" t="s">
        <v>22</v>
      </c>
      <c r="AN155" s="4" t="s">
        <v>22</v>
      </c>
      <c r="AO155" s="4" t="s">
        <v>22</v>
      </c>
      <c r="AP155" s="4" t="s">
        <v>22</v>
      </c>
      <c r="AQ155" s="4" t="s">
        <v>22</v>
      </c>
    </row>
    <row r="156" spans="29:43">
      <c r="AC156" s="18" t="s">
        <v>22</v>
      </c>
      <c r="AD156" s="18" t="s">
        <v>22</v>
      </c>
      <c r="AE156" s="18" t="s">
        <v>22</v>
      </c>
      <c r="AF156" s="18" t="s">
        <v>22</v>
      </c>
      <c r="AG156" s="18" t="s">
        <v>22</v>
      </c>
      <c r="AH156" s="18" t="s">
        <v>22</v>
      </c>
      <c r="AI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  <c r="AQ156" s="4" t="s">
        <v>22</v>
      </c>
    </row>
    <row r="157" spans="29:43">
      <c r="AC157" s="18" t="s">
        <v>22</v>
      </c>
      <c r="AD157" s="18" t="s">
        <v>22</v>
      </c>
      <c r="AE157" s="18" t="s">
        <v>22</v>
      </c>
      <c r="AF157" s="18" t="s">
        <v>22</v>
      </c>
      <c r="AG157" s="18" t="s">
        <v>22</v>
      </c>
      <c r="AH157" s="18" t="s">
        <v>22</v>
      </c>
      <c r="AI157" s="4" t="s">
        <v>22</v>
      </c>
      <c r="AK157" s="4" t="s">
        <v>22</v>
      </c>
      <c r="AL157" s="4" t="s">
        <v>22</v>
      </c>
      <c r="AM157" s="4" t="s">
        <v>22</v>
      </c>
      <c r="AN157" s="4" t="s">
        <v>22</v>
      </c>
      <c r="AO157" s="4" t="s">
        <v>22</v>
      </c>
      <c r="AP157" s="4" t="s">
        <v>22</v>
      </c>
      <c r="AQ157" s="4" t="s">
        <v>22</v>
      </c>
    </row>
    <row r="158" spans="29:43">
      <c r="AC158" s="18" t="s">
        <v>22</v>
      </c>
      <c r="AD158" s="18" t="s">
        <v>22</v>
      </c>
      <c r="AE158" s="18" t="s">
        <v>22</v>
      </c>
      <c r="AF158" s="18" t="s">
        <v>22</v>
      </c>
      <c r="AG158" s="18" t="s">
        <v>22</v>
      </c>
      <c r="AH158" s="18" t="s">
        <v>22</v>
      </c>
      <c r="AI158" s="4" t="s">
        <v>22</v>
      </c>
      <c r="AK158" s="4" t="s">
        <v>22</v>
      </c>
      <c r="AL158" s="4" t="s">
        <v>22</v>
      </c>
      <c r="AM158" s="4" t="s">
        <v>22</v>
      </c>
      <c r="AN158" s="4" t="s">
        <v>22</v>
      </c>
      <c r="AO158" s="4" t="s">
        <v>22</v>
      </c>
      <c r="AP158" s="4" t="s">
        <v>22</v>
      </c>
      <c r="AQ158" s="4" t="s">
        <v>22</v>
      </c>
    </row>
    <row r="159" spans="29:43">
      <c r="AC159" s="18" t="s">
        <v>22</v>
      </c>
      <c r="AD159" s="18" t="s">
        <v>22</v>
      </c>
      <c r="AE159" s="18" t="s">
        <v>22</v>
      </c>
      <c r="AF159" s="18" t="s">
        <v>22</v>
      </c>
      <c r="AG159" s="18" t="s">
        <v>22</v>
      </c>
      <c r="AH159" s="18" t="s">
        <v>22</v>
      </c>
      <c r="AI159" s="4" t="s">
        <v>22</v>
      </c>
      <c r="AK159" s="4" t="s">
        <v>22</v>
      </c>
      <c r="AL159" s="4" t="s">
        <v>22</v>
      </c>
      <c r="AM159" s="4" t="s">
        <v>22</v>
      </c>
      <c r="AN159" s="4" t="s">
        <v>22</v>
      </c>
      <c r="AO159" s="4" t="s">
        <v>22</v>
      </c>
      <c r="AP159" s="4" t="s">
        <v>22</v>
      </c>
      <c r="AQ159" s="4" t="s">
        <v>22</v>
      </c>
    </row>
    <row r="160" spans="29:43">
      <c r="AC160" s="18" t="s">
        <v>22</v>
      </c>
      <c r="AD160" s="18" t="s">
        <v>22</v>
      </c>
      <c r="AE160" s="18" t="s">
        <v>22</v>
      </c>
      <c r="AF160" s="18" t="s">
        <v>22</v>
      </c>
      <c r="AG160" s="18" t="s">
        <v>22</v>
      </c>
      <c r="AH160" s="18" t="s">
        <v>22</v>
      </c>
      <c r="AI160" s="4" t="s">
        <v>22</v>
      </c>
      <c r="AK160" s="4" t="s">
        <v>22</v>
      </c>
      <c r="AL160" s="4" t="s">
        <v>22</v>
      </c>
      <c r="AM160" s="4" t="s">
        <v>22</v>
      </c>
      <c r="AN160" s="4" t="s">
        <v>22</v>
      </c>
      <c r="AO160" s="4" t="s">
        <v>22</v>
      </c>
      <c r="AP160" s="4" t="s">
        <v>22</v>
      </c>
      <c r="AQ160" s="4" t="s">
        <v>22</v>
      </c>
    </row>
    <row r="161" spans="29:43">
      <c r="AC161" s="18" t="s">
        <v>22</v>
      </c>
      <c r="AD161" s="18" t="s">
        <v>22</v>
      </c>
      <c r="AE161" s="18" t="s">
        <v>22</v>
      </c>
      <c r="AF161" s="18" t="s">
        <v>22</v>
      </c>
      <c r="AG161" s="18" t="s">
        <v>22</v>
      </c>
      <c r="AH161" s="18" t="s">
        <v>22</v>
      </c>
      <c r="AI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  <c r="AQ161" s="4" t="s">
        <v>22</v>
      </c>
    </row>
    <row r="162" spans="29:43">
      <c r="AC162" s="18" t="s">
        <v>22</v>
      </c>
      <c r="AD162" s="18" t="s">
        <v>22</v>
      </c>
      <c r="AE162" s="18" t="s">
        <v>22</v>
      </c>
      <c r="AF162" s="18" t="s">
        <v>22</v>
      </c>
      <c r="AG162" s="18" t="s">
        <v>22</v>
      </c>
      <c r="AH162" s="18" t="s">
        <v>22</v>
      </c>
      <c r="AI162" s="4" t="s">
        <v>22</v>
      </c>
      <c r="AK162" s="4" t="s">
        <v>22</v>
      </c>
      <c r="AL162" s="4" t="s">
        <v>22</v>
      </c>
      <c r="AM162" s="4" t="s">
        <v>22</v>
      </c>
      <c r="AN162" s="4" t="s">
        <v>22</v>
      </c>
      <c r="AO162" s="4" t="s">
        <v>22</v>
      </c>
      <c r="AP162" s="4" t="s">
        <v>22</v>
      </c>
      <c r="AQ162" s="4" t="s">
        <v>22</v>
      </c>
    </row>
    <row r="163" spans="29:43">
      <c r="AC163" s="18" t="s">
        <v>22</v>
      </c>
      <c r="AD163" s="18" t="s">
        <v>22</v>
      </c>
      <c r="AE163" s="18" t="s">
        <v>22</v>
      </c>
      <c r="AF163" s="18" t="s">
        <v>22</v>
      </c>
      <c r="AG163" s="18" t="s">
        <v>22</v>
      </c>
      <c r="AH163" s="18" t="s">
        <v>22</v>
      </c>
      <c r="AI163" s="4" t="s">
        <v>22</v>
      </c>
      <c r="AK163" s="4" t="s">
        <v>22</v>
      </c>
      <c r="AL163" s="4" t="s">
        <v>22</v>
      </c>
      <c r="AM163" s="4" t="s">
        <v>22</v>
      </c>
      <c r="AN163" s="4" t="s">
        <v>22</v>
      </c>
      <c r="AO163" s="4" t="s">
        <v>22</v>
      </c>
      <c r="AP163" s="4" t="s">
        <v>22</v>
      </c>
      <c r="AQ163" s="4" t="s">
        <v>22</v>
      </c>
    </row>
    <row r="164" spans="29:43">
      <c r="AC164" s="18" t="s">
        <v>22</v>
      </c>
      <c r="AD164" s="18" t="s">
        <v>22</v>
      </c>
      <c r="AE164" s="18" t="s">
        <v>22</v>
      </c>
      <c r="AF164" s="18" t="s">
        <v>22</v>
      </c>
      <c r="AG164" s="18" t="s">
        <v>22</v>
      </c>
      <c r="AH164" s="18" t="s">
        <v>22</v>
      </c>
      <c r="AI164" s="4" t="s">
        <v>22</v>
      </c>
      <c r="AK164" s="4" t="s">
        <v>22</v>
      </c>
      <c r="AL164" s="4" t="s">
        <v>22</v>
      </c>
      <c r="AM164" s="4" t="s">
        <v>22</v>
      </c>
      <c r="AN164" s="4" t="s">
        <v>22</v>
      </c>
      <c r="AO164" s="4" t="s">
        <v>22</v>
      </c>
      <c r="AP164" s="4" t="s">
        <v>22</v>
      </c>
      <c r="AQ164" s="4" t="s">
        <v>22</v>
      </c>
    </row>
    <row r="165" spans="29:43">
      <c r="AC165" s="18" t="s">
        <v>22</v>
      </c>
      <c r="AD165" s="18" t="s">
        <v>22</v>
      </c>
      <c r="AE165" s="18" t="s">
        <v>22</v>
      </c>
      <c r="AF165" s="18" t="s">
        <v>22</v>
      </c>
      <c r="AG165" s="18" t="s">
        <v>22</v>
      </c>
      <c r="AH165" s="18" t="s">
        <v>22</v>
      </c>
      <c r="AI165" s="4" t="s">
        <v>22</v>
      </c>
      <c r="AK165" s="4" t="s">
        <v>22</v>
      </c>
      <c r="AL165" s="4" t="s">
        <v>22</v>
      </c>
      <c r="AM165" s="4" t="s">
        <v>22</v>
      </c>
      <c r="AN165" s="4" t="s">
        <v>22</v>
      </c>
      <c r="AO165" s="4" t="s">
        <v>22</v>
      </c>
      <c r="AP165" s="4" t="s">
        <v>22</v>
      </c>
      <c r="AQ165" s="4" t="s">
        <v>22</v>
      </c>
    </row>
    <row r="166" spans="29:43">
      <c r="AC166" s="18" t="s">
        <v>22</v>
      </c>
      <c r="AD166" s="18" t="s">
        <v>22</v>
      </c>
      <c r="AE166" s="18" t="s">
        <v>22</v>
      </c>
      <c r="AF166" s="18" t="s">
        <v>22</v>
      </c>
      <c r="AG166" s="18" t="s">
        <v>22</v>
      </c>
      <c r="AH166" s="18" t="s">
        <v>22</v>
      </c>
      <c r="AI166" s="4" t="s">
        <v>22</v>
      </c>
      <c r="AK166" s="4" t="s">
        <v>22</v>
      </c>
      <c r="AL166" s="4" t="s">
        <v>22</v>
      </c>
      <c r="AM166" s="4" t="s">
        <v>22</v>
      </c>
      <c r="AN166" s="4" t="s">
        <v>22</v>
      </c>
      <c r="AO166" s="4" t="s">
        <v>22</v>
      </c>
      <c r="AP166" s="4" t="s">
        <v>22</v>
      </c>
      <c r="AQ166" s="4" t="s">
        <v>22</v>
      </c>
    </row>
    <row r="167" spans="29:43">
      <c r="AC167" s="18" t="s">
        <v>22</v>
      </c>
      <c r="AD167" s="18" t="s">
        <v>22</v>
      </c>
      <c r="AE167" s="18" t="s">
        <v>22</v>
      </c>
      <c r="AF167" s="18" t="s">
        <v>22</v>
      </c>
      <c r="AG167" s="18" t="s">
        <v>22</v>
      </c>
      <c r="AH167" s="18" t="s">
        <v>22</v>
      </c>
      <c r="AI167" s="4" t="s">
        <v>22</v>
      </c>
      <c r="AK167" s="4" t="s">
        <v>22</v>
      </c>
      <c r="AL167" s="4" t="s">
        <v>22</v>
      </c>
      <c r="AM167" s="4" t="s">
        <v>22</v>
      </c>
      <c r="AN167" s="4" t="s">
        <v>22</v>
      </c>
      <c r="AO167" s="4" t="s">
        <v>22</v>
      </c>
      <c r="AP167" s="4" t="s">
        <v>22</v>
      </c>
      <c r="AQ167" s="4" t="s">
        <v>22</v>
      </c>
    </row>
    <row r="168" spans="29:43">
      <c r="AC168" s="18" t="s">
        <v>22</v>
      </c>
      <c r="AD168" s="18" t="s">
        <v>22</v>
      </c>
      <c r="AE168" s="18" t="s">
        <v>22</v>
      </c>
      <c r="AF168" s="18" t="s">
        <v>22</v>
      </c>
      <c r="AG168" s="18" t="s">
        <v>22</v>
      </c>
      <c r="AH168" s="18" t="s">
        <v>22</v>
      </c>
      <c r="AI168" s="4" t="s">
        <v>22</v>
      </c>
      <c r="AK168" s="4" t="s">
        <v>22</v>
      </c>
      <c r="AL168" s="4" t="s">
        <v>22</v>
      </c>
      <c r="AM168" s="4" t="s">
        <v>22</v>
      </c>
      <c r="AN168" s="4" t="s">
        <v>22</v>
      </c>
      <c r="AO168" s="4" t="s">
        <v>22</v>
      </c>
      <c r="AP168" s="4" t="s">
        <v>22</v>
      </c>
      <c r="AQ168" s="4" t="s">
        <v>22</v>
      </c>
    </row>
    <row r="169" spans="29:43">
      <c r="AC169" s="18" t="s">
        <v>22</v>
      </c>
      <c r="AD169" s="18" t="s">
        <v>22</v>
      </c>
      <c r="AE169" s="18" t="s">
        <v>22</v>
      </c>
      <c r="AF169" s="18" t="s">
        <v>22</v>
      </c>
      <c r="AG169" s="18" t="s">
        <v>22</v>
      </c>
      <c r="AH169" s="18" t="s">
        <v>22</v>
      </c>
      <c r="AI169" s="4" t="s">
        <v>22</v>
      </c>
      <c r="AK169" s="4" t="s">
        <v>22</v>
      </c>
      <c r="AL169" s="4" t="s">
        <v>22</v>
      </c>
      <c r="AM169" s="4" t="s">
        <v>22</v>
      </c>
      <c r="AN169" s="4" t="s">
        <v>22</v>
      </c>
      <c r="AO169" s="4" t="s">
        <v>22</v>
      </c>
      <c r="AP169" s="4" t="s">
        <v>22</v>
      </c>
      <c r="AQ169" s="4" t="s">
        <v>22</v>
      </c>
    </row>
    <row r="170" spans="29:43">
      <c r="AC170" s="18" t="s">
        <v>22</v>
      </c>
      <c r="AD170" s="18" t="s">
        <v>22</v>
      </c>
      <c r="AE170" s="18" t="s">
        <v>22</v>
      </c>
      <c r="AF170" s="18" t="s">
        <v>22</v>
      </c>
      <c r="AG170" s="18" t="s">
        <v>22</v>
      </c>
      <c r="AH170" s="18" t="s">
        <v>22</v>
      </c>
      <c r="AI170" s="4" t="s">
        <v>22</v>
      </c>
      <c r="AK170" s="4" t="s">
        <v>22</v>
      </c>
      <c r="AL170" s="4" t="s">
        <v>22</v>
      </c>
      <c r="AM170" s="4" t="s">
        <v>22</v>
      </c>
      <c r="AN170" s="4" t="s">
        <v>22</v>
      </c>
      <c r="AO170" s="4" t="s">
        <v>22</v>
      </c>
      <c r="AP170" s="4" t="s">
        <v>22</v>
      </c>
      <c r="AQ170" s="4" t="s">
        <v>22</v>
      </c>
    </row>
    <row r="171" spans="29:43">
      <c r="AC171" s="18" t="s">
        <v>22</v>
      </c>
      <c r="AD171" s="18" t="s">
        <v>22</v>
      </c>
      <c r="AE171" s="18" t="s">
        <v>22</v>
      </c>
      <c r="AF171" s="18" t="s">
        <v>22</v>
      </c>
      <c r="AG171" s="18" t="s">
        <v>22</v>
      </c>
      <c r="AH171" s="18" t="s">
        <v>22</v>
      </c>
      <c r="AI171" s="4" t="s">
        <v>22</v>
      </c>
      <c r="AK171" s="4" t="s">
        <v>22</v>
      </c>
      <c r="AL171" s="4" t="s">
        <v>22</v>
      </c>
      <c r="AM171" s="4" t="s">
        <v>22</v>
      </c>
      <c r="AN171" s="4" t="s">
        <v>22</v>
      </c>
      <c r="AO171" s="4" t="s">
        <v>22</v>
      </c>
      <c r="AP171" s="4" t="s">
        <v>22</v>
      </c>
      <c r="AQ171" s="4" t="s">
        <v>22</v>
      </c>
    </row>
    <row r="172" spans="29:43">
      <c r="AC172" s="18" t="s">
        <v>22</v>
      </c>
      <c r="AD172" s="18" t="s">
        <v>22</v>
      </c>
      <c r="AE172" s="18" t="s">
        <v>22</v>
      </c>
      <c r="AF172" s="18" t="s">
        <v>22</v>
      </c>
      <c r="AG172" s="18" t="s">
        <v>22</v>
      </c>
      <c r="AH172" s="18" t="s">
        <v>22</v>
      </c>
      <c r="AI172" s="4" t="s">
        <v>22</v>
      </c>
      <c r="AK172" s="4" t="s">
        <v>22</v>
      </c>
      <c r="AL172" s="4" t="s">
        <v>22</v>
      </c>
      <c r="AM172" s="4" t="s">
        <v>22</v>
      </c>
      <c r="AN172" s="4" t="s">
        <v>22</v>
      </c>
      <c r="AO172" s="4" t="s">
        <v>22</v>
      </c>
      <c r="AP172" s="4" t="s">
        <v>22</v>
      </c>
      <c r="AQ172" s="4" t="s">
        <v>22</v>
      </c>
    </row>
    <row r="173" spans="29:43">
      <c r="AC173" s="18" t="s">
        <v>22</v>
      </c>
      <c r="AD173" s="18" t="s">
        <v>22</v>
      </c>
      <c r="AE173" s="18" t="s">
        <v>22</v>
      </c>
      <c r="AF173" s="18" t="s">
        <v>22</v>
      </c>
      <c r="AG173" s="18" t="s">
        <v>22</v>
      </c>
      <c r="AH173" s="18" t="s">
        <v>22</v>
      </c>
      <c r="AI173" s="4" t="s">
        <v>22</v>
      </c>
      <c r="AK173" s="4" t="s">
        <v>22</v>
      </c>
      <c r="AL173" s="4" t="s">
        <v>22</v>
      </c>
      <c r="AM173" s="4" t="s">
        <v>22</v>
      </c>
      <c r="AN173" s="4" t="s">
        <v>22</v>
      </c>
      <c r="AO173" s="4" t="s">
        <v>22</v>
      </c>
      <c r="AP173" s="4" t="s">
        <v>22</v>
      </c>
      <c r="AQ173" s="4" t="s">
        <v>22</v>
      </c>
    </row>
    <row r="174" spans="29:43">
      <c r="AC174" s="18" t="s">
        <v>22</v>
      </c>
      <c r="AD174" s="18" t="s">
        <v>22</v>
      </c>
      <c r="AE174" s="18" t="s">
        <v>22</v>
      </c>
      <c r="AF174" s="18" t="s">
        <v>22</v>
      </c>
      <c r="AG174" s="18" t="s">
        <v>22</v>
      </c>
      <c r="AH174" s="18" t="s">
        <v>22</v>
      </c>
      <c r="AI174" s="4" t="s">
        <v>22</v>
      </c>
      <c r="AK174" s="4" t="s">
        <v>22</v>
      </c>
      <c r="AL174" s="4" t="s">
        <v>22</v>
      </c>
      <c r="AM174" s="4" t="s">
        <v>22</v>
      </c>
      <c r="AN174" s="4" t="s">
        <v>22</v>
      </c>
      <c r="AO174" s="4" t="s">
        <v>22</v>
      </c>
      <c r="AP174" s="4" t="s">
        <v>22</v>
      </c>
      <c r="AQ174" s="4" t="s">
        <v>22</v>
      </c>
    </row>
    <row r="175" spans="29:43">
      <c r="AC175" s="18" t="s">
        <v>22</v>
      </c>
      <c r="AD175" s="18" t="s">
        <v>22</v>
      </c>
      <c r="AE175" s="18" t="s">
        <v>22</v>
      </c>
      <c r="AF175" s="18" t="s">
        <v>22</v>
      </c>
      <c r="AG175" s="18" t="s">
        <v>22</v>
      </c>
      <c r="AH175" s="18" t="s">
        <v>22</v>
      </c>
      <c r="AI175" s="4" t="s">
        <v>22</v>
      </c>
      <c r="AK175" s="4" t="s">
        <v>22</v>
      </c>
      <c r="AL175" s="4" t="s">
        <v>22</v>
      </c>
      <c r="AM175" s="4" t="s">
        <v>22</v>
      </c>
      <c r="AN175" s="4" t="s">
        <v>22</v>
      </c>
      <c r="AO175" s="4" t="s">
        <v>22</v>
      </c>
      <c r="AP175" s="4" t="s">
        <v>22</v>
      </c>
      <c r="AQ175" s="4" t="s">
        <v>22</v>
      </c>
    </row>
    <row r="176" spans="29:43">
      <c r="AC176" s="18" t="s">
        <v>22</v>
      </c>
      <c r="AD176" s="18" t="s">
        <v>22</v>
      </c>
      <c r="AE176" s="18" t="s">
        <v>22</v>
      </c>
      <c r="AF176" s="18" t="s">
        <v>22</v>
      </c>
      <c r="AG176" s="18" t="s">
        <v>22</v>
      </c>
      <c r="AH176" s="18" t="s">
        <v>22</v>
      </c>
      <c r="AI176" s="4" t="s">
        <v>22</v>
      </c>
      <c r="AK176" s="4" t="s">
        <v>22</v>
      </c>
      <c r="AL176" s="4" t="s">
        <v>22</v>
      </c>
      <c r="AM176" s="4" t="s">
        <v>22</v>
      </c>
      <c r="AN176" s="4" t="s">
        <v>22</v>
      </c>
      <c r="AO176" s="4" t="s">
        <v>22</v>
      </c>
      <c r="AP176" s="4" t="s">
        <v>22</v>
      </c>
      <c r="AQ176" s="4" t="s">
        <v>22</v>
      </c>
    </row>
    <row r="177" spans="29:43">
      <c r="AC177" s="18" t="s">
        <v>22</v>
      </c>
      <c r="AD177" s="18" t="s">
        <v>22</v>
      </c>
      <c r="AE177" s="18" t="s">
        <v>22</v>
      </c>
      <c r="AF177" s="18" t="s">
        <v>22</v>
      </c>
      <c r="AG177" s="18" t="s">
        <v>22</v>
      </c>
      <c r="AH177" s="18" t="s">
        <v>22</v>
      </c>
      <c r="AI177" s="4" t="s">
        <v>22</v>
      </c>
      <c r="AK177" s="4" t="s">
        <v>22</v>
      </c>
      <c r="AL177" s="4" t="s">
        <v>22</v>
      </c>
      <c r="AM177" s="4" t="s">
        <v>22</v>
      </c>
      <c r="AN177" s="4" t="s">
        <v>22</v>
      </c>
      <c r="AO177" s="4" t="s">
        <v>22</v>
      </c>
      <c r="AP177" s="4" t="s">
        <v>22</v>
      </c>
      <c r="AQ177" s="4" t="s">
        <v>22</v>
      </c>
    </row>
    <row r="178" spans="29:43">
      <c r="AC178" s="18" t="s">
        <v>22</v>
      </c>
      <c r="AD178" s="18" t="s">
        <v>22</v>
      </c>
      <c r="AE178" s="18" t="s">
        <v>22</v>
      </c>
      <c r="AF178" s="18" t="s">
        <v>22</v>
      </c>
      <c r="AG178" s="18" t="s">
        <v>22</v>
      </c>
      <c r="AH178" s="18" t="s">
        <v>22</v>
      </c>
      <c r="AI178" s="4" t="s">
        <v>22</v>
      </c>
      <c r="AK178" s="4" t="s">
        <v>22</v>
      </c>
      <c r="AL178" s="4" t="s">
        <v>22</v>
      </c>
      <c r="AM178" s="4" t="s">
        <v>22</v>
      </c>
      <c r="AN178" s="4" t="s">
        <v>22</v>
      </c>
      <c r="AO178" s="4" t="s">
        <v>22</v>
      </c>
      <c r="AP178" s="4" t="s">
        <v>22</v>
      </c>
      <c r="AQ178" s="4" t="s">
        <v>22</v>
      </c>
    </row>
    <row r="179" spans="29:43">
      <c r="AC179" s="18" t="s">
        <v>22</v>
      </c>
      <c r="AD179" s="18" t="s">
        <v>22</v>
      </c>
      <c r="AE179" s="18" t="s">
        <v>22</v>
      </c>
      <c r="AF179" s="18" t="s">
        <v>22</v>
      </c>
      <c r="AG179" s="18" t="s">
        <v>22</v>
      </c>
      <c r="AH179" s="18" t="s">
        <v>22</v>
      </c>
      <c r="AI179" s="4" t="s">
        <v>22</v>
      </c>
      <c r="AK179" s="4" t="s">
        <v>22</v>
      </c>
      <c r="AL179" s="4" t="s">
        <v>22</v>
      </c>
      <c r="AM179" s="4" t="s">
        <v>22</v>
      </c>
      <c r="AN179" s="4" t="s">
        <v>22</v>
      </c>
      <c r="AO179" s="4" t="s">
        <v>22</v>
      </c>
      <c r="AP179" s="4" t="s">
        <v>22</v>
      </c>
      <c r="AQ179" s="4" t="s">
        <v>22</v>
      </c>
    </row>
    <row r="180" spans="29:43">
      <c r="AC180" s="18" t="s">
        <v>22</v>
      </c>
      <c r="AD180" s="18" t="s">
        <v>22</v>
      </c>
      <c r="AE180" s="18" t="s">
        <v>22</v>
      </c>
      <c r="AF180" s="18" t="s">
        <v>22</v>
      </c>
      <c r="AG180" s="18" t="s">
        <v>22</v>
      </c>
      <c r="AH180" s="18" t="s">
        <v>22</v>
      </c>
      <c r="AI180" s="4" t="s">
        <v>22</v>
      </c>
      <c r="AK180" s="4" t="s">
        <v>22</v>
      </c>
      <c r="AL180" s="4" t="s">
        <v>22</v>
      </c>
      <c r="AM180" s="4" t="s">
        <v>22</v>
      </c>
      <c r="AN180" s="4" t="s">
        <v>22</v>
      </c>
      <c r="AO180" s="4" t="s">
        <v>22</v>
      </c>
      <c r="AP180" s="4" t="s">
        <v>22</v>
      </c>
      <c r="AQ180" s="4" t="s">
        <v>22</v>
      </c>
    </row>
    <row r="181" spans="29:43">
      <c r="AC181" s="18" t="s">
        <v>22</v>
      </c>
      <c r="AD181" s="18" t="s">
        <v>22</v>
      </c>
      <c r="AE181" s="18" t="s">
        <v>22</v>
      </c>
      <c r="AF181" s="18" t="s">
        <v>22</v>
      </c>
      <c r="AG181" s="18" t="s">
        <v>22</v>
      </c>
      <c r="AH181" s="18" t="s">
        <v>22</v>
      </c>
      <c r="AI181" s="4" t="s">
        <v>22</v>
      </c>
      <c r="AK181" s="4" t="s">
        <v>22</v>
      </c>
      <c r="AL181" s="4" t="s">
        <v>22</v>
      </c>
      <c r="AM181" s="4" t="s">
        <v>22</v>
      </c>
      <c r="AN181" s="4" t="s">
        <v>22</v>
      </c>
      <c r="AO181" s="4" t="s">
        <v>22</v>
      </c>
      <c r="AP181" s="4" t="s">
        <v>22</v>
      </c>
      <c r="AQ181" s="4" t="s">
        <v>22</v>
      </c>
    </row>
    <row r="182" spans="29:43">
      <c r="AC182" s="18" t="s">
        <v>22</v>
      </c>
      <c r="AD182" s="18" t="s">
        <v>22</v>
      </c>
      <c r="AE182" s="18" t="s">
        <v>22</v>
      </c>
      <c r="AF182" s="18" t="s">
        <v>22</v>
      </c>
      <c r="AG182" s="18" t="s">
        <v>22</v>
      </c>
      <c r="AH182" s="18" t="s">
        <v>22</v>
      </c>
      <c r="AI182" s="4" t="s">
        <v>22</v>
      </c>
      <c r="AK182" s="4" t="s">
        <v>22</v>
      </c>
      <c r="AL182" s="4" t="s">
        <v>22</v>
      </c>
      <c r="AM182" s="4" t="s">
        <v>22</v>
      </c>
      <c r="AN182" s="4" t="s">
        <v>22</v>
      </c>
      <c r="AO182" s="4" t="s">
        <v>22</v>
      </c>
      <c r="AP182" s="4" t="s">
        <v>22</v>
      </c>
      <c r="AQ182" s="4" t="s">
        <v>22</v>
      </c>
    </row>
    <row r="183" spans="29:43">
      <c r="AC183" s="18" t="s">
        <v>22</v>
      </c>
      <c r="AD183" s="18" t="s">
        <v>22</v>
      </c>
      <c r="AE183" s="18" t="s">
        <v>22</v>
      </c>
      <c r="AF183" s="18" t="s">
        <v>22</v>
      </c>
      <c r="AG183" s="18" t="s">
        <v>22</v>
      </c>
      <c r="AH183" s="18" t="s">
        <v>22</v>
      </c>
      <c r="AI183" s="4" t="s">
        <v>22</v>
      </c>
      <c r="AK183" s="4" t="s">
        <v>22</v>
      </c>
      <c r="AL183" s="4" t="s">
        <v>22</v>
      </c>
      <c r="AM183" s="4" t="s">
        <v>22</v>
      </c>
      <c r="AN183" s="4" t="s">
        <v>22</v>
      </c>
      <c r="AO183" s="4" t="s">
        <v>22</v>
      </c>
      <c r="AP183" s="4" t="s">
        <v>22</v>
      </c>
      <c r="AQ183" s="4" t="s">
        <v>22</v>
      </c>
    </row>
    <row r="184" spans="29:43">
      <c r="AC184" s="18" t="s">
        <v>22</v>
      </c>
      <c r="AD184" s="18" t="s">
        <v>22</v>
      </c>
      <c r="AE184" s="18" t="s">
        <v>22</v>
      </c>
      <c r="AF184" s="18" t="s">
        <v>22</v>
      </c>
      <c r="AG184" s="18" t="s">
        <v>22</v>
      </c>
      <c r="AH184" s="18" t="s">
        <v>22</v>
      </c>
      <c r="AI184" s="4" t="s">
        <v>22</v>
      </c>
      <c r="AK184" s="4" t="s">
        <v>22</v>
      </c>
      <c r="AL184" s="4" t="s">
        <v>22</v>
      </c>
      <c r="AM184" s="4" t="s">
        <v>22</v>
      </c>
      <c r="AN184" s="4" t="s">
        <v>22</v>
      </c>
      <c r="AO184" s="4" t="s">
        <v>22</v>
      </c>
      <c r="AP184" s="4" t="s">
        <v>22</v>
      </c>
      <c r="AQ184" s="4" t="s">
        <v>22</v>
      </c>
    </row>
    <row r="185" spans="29:43">
      <c r="AC185" s="18" t="s">
        <v>22</v>
      </c>
      <c r="AD185" s="18" t="s">
        <v>22</v>
      </c>
      <c r="AE185" s="18" t="s">
        <v>22</v>
      </c>
      <c r="AF185" s="18" t="s">
        <v>22</v>
      </c>
      <c r="AG185" s="18" t="s">
        <v>22</v>
      </c>
      <c r="AH185" s="18" t="s">
        <v>22</v>
      </c>
      <c r="AI185" s="4" t="s">
        <v>22</v>
      </c>
      <c r="AK185" s="4" t="s">
        <v>22</v>
      </c>
      <c r="AL185" s="4" t="s">
        <v>22</v>
      </c>
      <c r="AM185" s="4" t="s">
        <v>22</v>
      </c>
      <c r="AN185" s="4" t="s">
        <v>22</v>
      </c>
      <c r="AO185" s="4" t="s">
        <v>22</v>
      </c>
      <c r="AP185" s="4" t="s">
        <v>22</v>
      </c>
      <c r="AQ185" s="4" t="s">
        <v>22</v>
      </c>
    </row>
    <row r="186" spans="29:43">
      <c r="AC186" s="18" t="s">
        <v>22</v>
      </c>
      <c r="AD186" s="18" t="s">
        <v>22</v>
      </c>
      <c r="AE186" s="18" t="s">
        <v>22</v>
      </c>
      <c r="AF186" s="18" t="s">
        <v>22</v>
      </c>
      <c r="AG186" s="18" t="s">
        <v>22</v>
      </c>
      <c r="AH186" s="18" t="s">
        <v>22</v>
      </c>
      <c r="AI186" s="4" t="s">
        <v>22</v>
      </c>
      <c r="AK186" s="4" t="s">
        <v>22</v>
      </c>
      <c r="AL186" s="4" t="s">
        <v>22</v>
      </c>
      <c r="AM186" s="4" t="s">
        <v>22</v>
      </c>
      <c r="AN186" s="4" t="s">
        <v>22</v>
      </c>
      <c r="AO186" s="4" t="s">
        <v>22</v>
      </c>
      <c r="AP186" s="4" t="s">
        <v>22</v>
      </c>
      <c r="AQ186" s="4" t="s">
        <v>22</v>
      </c>
    </row>
    <row r="187" spans="29:43">
      <c r="AC187" s="18" t="s">
        <v>22</v>
      </c>
      <c r="AD187" s="18" t="s">
        <v>22</v>
      </c>
      <c r="AE187" s="18" t="s">
        <v>22</v>
      </c>
      <c r="AF187" s="18" t="s">
        <v>22</v>
      </c>
      <c r="AG187" s="18" t="s">
        <v>22</v>
      </c>
      <c r="AH187" s="18" t="s">
        <v>22</v>
      </c>
      <c r="AI187" s="4" t="s">
        <v>22</v>
      </c>
      <c r="AK187" s="4" t="s">
        <v>22</v>
      </c>
      <c r="AL187" s="4" t="s">
        <v>22</v>
      </c>
      <c r="AM187" s="4" t="s">
        <v>22</v>
      </c>
      <c r="AN187" s="4" t="s">
        <v>22</v>
      </c>
      <c r="AO187" s="4" t="s">
        <v>22</v>
      </c>
      <c r="AP187" s="4" t="s">
        <v>22</v>
      </c>
      <c r="AQ187" s="4" t="s">
        <v>22</v>
      </c>
    </row>
    <row r="188" spans="29:43">
      <c r="AC188" s="18" t="s">
        <v>22</v>
      </c>
      <c r="AD188" s="18" t="s">
        <v>22</v>
      </c>
      <c r="AE188" s="18" t="s">
        <v>22</v>
      </c>
      <c r="AF188" s="18" t="s">
        <v>22</v>
      </c>
      <c r="AG188" s="18" t="s">
        <v>22</v>
      </c>
      <c r="AH188" s="18" t="s">
        <v>22</v>
      </c>
      <c r="AI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  <c r="AO188" s="4" t="s">
        <v>22</v>
      </c>
      <c r="AP188" s="4" t="s">
        <v>22</v>
      </c>
      <c r="AQ188" s="4" t="s">
        <v>22</v>
      </c>
    </row>
    <row r="189" spans="29:43">
      <c r="AC189" s="18" t="s">
        <v>22</v>
      </c>
      <c r="AD189" s="18" t="s">
        <v>22</v>
      </c>
      <c r="AE189" s="18" t="s">
        <v>22</v>
      </c>
      <c r="AF189" s="18" t="s">
        <v>22</v>
      </c>
      <c r="AG189" s="18" t="s">
        <v>22</v>
      </c>
      <c r="AH189" s="18" t="s">
        <v>22</v>
      </c>
      <c r="AI189" s="4" t="s">
        <v>22</v>
      </c>
      <c r="AK189" s="4" t="s">
        <v>22</v>
      </c>
      <c r="AL189" s="4" t="s">
        <v>22</v>
      </c>
      <c r="AM189" s="4" t="s">
        <v>22</v>
      </c>
      <c r="AN189" s="4" t="s">
        <v>22</v>
      </c>
      <c r="AO189" s="4" t="s">
        <v>22</v>
      </c>
      <c r="AP189" s="4" t="s">
        <v>22</v>
      </c>
      <c r="AQ189" s="4" t="s">
        <v>22</v>
      </c>
    </row>
    <row r="190" spans="29:43">
      <c r="AC190" s="18" t="s">
        <v>22</v>
      </c>
      <c r="AD190" s="18" t="s">
        <v>22</v>
      </c>
      <c r="AE190" s="18" t="s">
        <v>22</v>
      </c>
      <c r="AF190" s="18" t="s">
        <v>22</v>
      </c>
      <c r="AG190" s="18" t="s">
        <v>22</v>
      </c>
      <c r="AH190" s="18" t="s">
        <v>22</v>
      </c>
      <c r="AI190" s="4" t="s">
        <v>22</v>
      </c>
      <c r="AK190" s="4" t="s">
        <v>22</v>
      </c>
      <c r="AL190" s="4" t="s">
        <v>22</v>
      </c>
      <c r="AM190" s="4" t="s">
        <v>22</v>
      </c>
      <c r="AN190" s="4" t="s">
        <v>22</v>
      </c>
      <c r="AO190" s="4" t="s">
        <v>22</v>
      </c>
      <c r="AP190" s="4" t="s">
        <v>22</v>
      </c>
      <c r="AQ190" s="4" t="s">
        <v>22</v>
      </c>
    </row>
    <row r="191" spans="29:43">
      <c r="AC191" s="18" t="s">
        <v>22</v>
      </c>
      <c r="AD191" s="18" t="s">
        <v>22</v>
      </c>
      <c r="AE191" s="18" t="s">
        <v>22</v>
      </c>
      <c r="AF191" s="18" t="s">
        <v>22</v>
      </c>
      <c r="AG191" s="18" t="s">
        <v>22</v>
      </c>
      <c r="AH191" s="18" t="s">
        <v>22</v>
      </c>
      <c r="AI191" s="4" t="s">
        <v>22</v>
      </c>
      <c r="AK191" s="4" t="s">
        <v>22</v>
      </c>
      <c r="AL191" s="4" t="s">
        <v>22</v>
      </c>
      <c r="AM191" s="4" t="s">
        <v>22</v>
      </c>
      <c r="AN191" s="4" t="s">
        <v>22</v>
      </c>
      <c r="AO191" s="4" t="s">
        <v>22</v>
      </c>
      <c r="AP191" s="4" t="s">
        <v>22</v>
      </c>
      <c r="AQ191" s="4" t="s">
        <v>22</v>
      </c>
    </row>
    <row r="192" spans="29:43">
      <c r="AC192" s="18" t="s">
        <v>22</v>
      </c>
      <c r="AD192" s="18" t="s">
        <v>22</v>
      </c>
      <c r="AE192" s="18" t="s">
        <v>22</v>
      </c>
      <c r="AF192" s="18" t="s">
        <v>22</v>
      </c>
      <c r="AG192" s="18" t="s">
        <v>22</v>
      </c>
      <c r="AH192" s="18" t="s">
        <v>22</v>
      </c>
      <c r="AI192" s="4" t="s">
        <v>22</v>
      </c>
      <c r="AK192" s="4" t="s">
        <v>22</v>
      </c>
      <c r="AL192" s="4" t="s">
        <v>22</v>
      </c>
      <c r="AM192" s="4" t="s">
        <v>22</v>
      </c>
      <c r="AN192" s="4" t="s">
        <v>22</v>
      </c>
      <c r="AO192" s="4" t="s">
        <v>22</v>
      </c>
      <c r="AP192" s="4" t="s">
        <v>22</v>
      </c>
      <c r="AQ192" s="4" t="s">
        <v>22</v>
      </c>
    </row>
    <row r="193" spans="29:43">
      <c r="AC193" s="18" t="s">
        <v>22</v>
      </c>
      <c r="AD193" s="18" t="s">
        <v>22</v>
      </c>
      <c r="AE193" s="18" t="s">
        <v>22</v>
      </c>
      <c r="AF193" s="18" t="s">
        <v>22</v>
      </c>
      <c r="AG193" s="18" t="s">
        <v>22</v>
      </c>
      <c r="AH193" s="18" t="s">
        <v>22</v>
      </c>
      <c r="AI193" s="4" t="s">
        <v>22</v>
      </c>
      <c r="AK193" s="4" t="s">
        <v>22</v>
      </c>
      <c r="AL193" s="4" t="s">
        <v>22</v>
      </c>
      <c r="AM193" s="4" t="s">
        <v>22</v>
      </c>
      <c r="AN193" s="4" t="s">
        <v>22</v>
      </c>
      <c r="AO193" s="4" t="s">
        <v>22</v>
      </c>
      <c r="AP193" s="4" t="s">
        <v>22</v>
      </c>
      <c r="AQ193" s="4" t="s">
        <v>22</v>
      </c>
    </row>
    <row r="194" spans="29:43">
      <c r="AC194" s="18" t="s">
        <v>22</v>
      </c>
      <c r="AD194" s="18" t="s">
        <v>22</v>
      </c>
      <c r="AE194" s="18" t="s">
        <v>22</v>
      </c>
      <c r="AF194" s="18" t="s">
        <v>22</v>
      </c>
      <c r="AG194" s="18" t="s">
        <v>22</v>
      </c>
      <c r="AH194" s="18" t="s">
        <v>22</v>
      </c>
      <c r="AI194" s="4" t="s">
        <v>22</v>
      </c>
      <c r="AK194" s="4" t="s">
        <v>22</v>
      </c>
      <c r="AL194" s="4" t="s">
        <v>22</v>
      </c>
      <c r="AM194" s="4" t="s">
        <v>22</v>
      </c>
      <c r="AN194" s="4" t="s">
        <v>22</v>
      </c>
      <c r="AO194" s="4" t="s">
        <v>22</v>
      </c>
      <c r="AP194" s="4" t="s">
        <v>22</v>
      </c>
      <c r="AQ194" s="4" t="s">
        <v>22</v>
      </c>
    </row>
    <row r="195" spans="29:43">
      <c r="AC195" s="18" t="s">
        <v>22</v>
      </c>
      <c r="AD195" s="18" t="s">
        <v>22</v>
      </c>
      <c r="AE195" s="18" t="s">
        <v>22</v>
      </c>
      <c r="AF195" s="18" t="s">
        <v>22</v>
      </c>
      <c r="AG195" s="18" t="s">
        <v>22</v>
      </c>
      <c r="AH195" s="18" t="s">
        <v>22</v>
      </c>
      <c r="AI195" s="4" t="s">
        <v>22</v>
      </c>
      <c r="AK195" s="4" t="s">
        <v>22</v>
      </c>
      <c r="AL195" s="4" t="s">
        <v>22</v>
      </c>
      <c r="AM195" s="4" t="s">
        <v>22</v>
      </c>
      <c r="AN195" s="4" t="s">
        <v>22</v>
      </c>
      <c r="AO195" s="4" t="s">
        <v>22</v>
      </c>
      <c r="AP195" s="4" t="s">
        <v>22</v>
      </c>
      <c r="AQ195" s="4" t="s">
        <v>22</v>
      </c>
    </row>
    <row r="196" spans="29:43">
      <c r="AC196" s="18" t="s">
        <v>22</v>
      </c>
      <c r="AD196" s="18" t="s">
        <v>22</v>
      </c>
      <c r="AE196" s="18" t="s">
        <v>22</v>
      </c>
      <c r="AF196" s="18" t="s">
        <v>22</v>
      </c>
      <c r="AG196" s="18" t="s">
        <v>22</v>
      </c>
      <c r="AH196" s="18" t="s">
        <v>22</v>
      </c>
      <c r="AI196" s="4" t="s">
        <v>22</v>
      </c>
      <c r="AK196" s="4" t="s">
        <v>22</v>
      </c>
      <c r="AL196" s="4" t="s">
        <v>22</v>
      </c>
      <c r="AM196" s="4" t="s">
        <v>22</v>
      </c>
      <c r="AN196" s="4" t="s">
        <v>22</v>
      </c>
      <c r="AO196" s="4" t="s">
        <v>22</v>
      </c>
      <c r="AP196" s="4" t="s">
        <v>22</v>
      </c>
      <c r="AQ196" s="4" t="s">
        <v>22</v>
      </c>
    </row>
    <row r="197" spans="29:43">
      <c r="AC197" s="18" t="s">
        <v>22</v>
      </c>
      <c r="AD197" s="18" t="s">
        <v>22</v>
      </c>
      <c r="AE197" s="18" t="s">
        <v>22</v>
      </c>
      <c r="AF197" s="18" t="s">
        <v>22</v>
      </c>
      <c r="AG197" s="18" t="s">
        <v>22</v>
      </c>
      <c r="AH197" s="18" t="s">
        <v>22</v>
      </c>
      <c r="AI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  <c r="AO197" s="4" t="s">
        <v>22</v>
      </c>
      <c r="AP197" s="4" t="s">
        <v>22</v>
      </c>
      <c r="AQ197" s="4" t="s">
        <v>22</v>
      </c>
    </row>
    <row r="198" spans="29:43">
      <c r="AC198" s="4" t="s">
        <v>22</v>
      </c>
      <c r="AD198" s="4" t="s">
        <v>22</v>
      </c>
      <c r="AE198" s="4" t="s">
        <v>22</v>
      </c>
      <c r="AF198" s="4" t="s">
        <v>22</v>
      </c>
      <c r="AG198" s="4" t="s">
        <v>22</v>
      </c>
      <c r="AH198" s="4" t="s">
        <v>22</v>
      </c>
      <c r="AI198" s="4" t="s">
        <v>22</v>
      </c>
      <c r="AK198" s="4" t="s">
        <v>22</v>
      </c>
      <c r="AL198" s="4" t="s">
        <v>22</v>
      </c>
      <c r="AM198" s="4" t="s">
        <v>22</v>
      </c>
      <c r="AN198" s="4" t="s">
        <v>22</v>
      </c>
      <c r="AO198" s="4" t="s">
        <v>22</v>
      </c>
      <c r="AP198" s="4" t="s">
        <v>22</v>
      </c>
      <c r="AQ198" s="4" t="s">
        <v>22</v>
      </c>
    </row>
    <row r="199" spans="29:43">
      <c r="AC199" s="4" t="s">
        <v>22</v>
      </c>
      <c r="AD199" s="4" t="s">
        <v>22</v>
      </c>
      <c r="AE199" s="4" t="s">
        <v>22</v>
      </c>
      <c r="AF199" s="4" t="s">
        <v>22</v>
      </c>
      <c r="AG199" s="4" t="s">
        <v>22</v>
      </c>
      <c r="AH199" s="4" t="s">
        <v>22</v>
      </c>
      <c r="AI199" s="4" t="s">
        <v>22</v>
      </c>
      <c r="AK199" s="4" t="s">
        <v>22</v>
      </c>
      <c r="AL199" s="4" t="s">
        <v>22</v>
      </c>
      <c r="AM199" s="4" t="s">
        <v>22</v>
      </c>
      <c r="AN199" s="4" t="s">
        <v>22</v>
      </c>
      <c r="AO199" s="4" t="s">
        <v>22</v>
      </c>
      <c r="AP199" s="4" t="s">
        <v>22</v>
      </c>
      <c r="AQ199" s="4" t="s">
        <v>22</v>
      </c>
    </row>
    <row r="200" spans="29:43"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  <c r="AQ200" s="4" t="s">
        <v>22</v>
      </c>
    </row>
    <row r="201" spans="29:43"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  <c r="AO201" s="4" t="s">
        <v>22</v>
      </c>
      <c r="AP201" s="4" t="s">
        <v>22</v>
      </c>
      <c r="AQ201" s="4" t="s">
        <v>22</v>
      </c>
    </row>
    <row r="202" spans="29:43"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  <c r="AH202" s="4" t="s">
        <v>22</v>
      </c>
      <c r="AI202" s="4" t="s">
        <v>22</v>
      </c>
      <c r="AK202" s="4" t="s">
        <v>22</v>
      </c>
      <c r="AL202" s="4" t="s">
        <v>22</v>
      </c>
      <c r="AM202" s="4" t="s">
        <v>22</v>
      </c>
      <c r="AN202" s="4" t="s">
        <v>22</v>
      </c>
      <c r="AO202" s="4" t="s">
        <v>22</v>
      </c>
      <c r="AP202" s="4" t="s">
        <v>22</v>
      </c>
      <c r="AQ202" s="4" t="s">
        <v>22</v>
      </c>
    </row>
    <row r="203" spans="29:43">
      <c r="AC203" s="4" t="s">
        <v>22</v>
      </c>
      <c r="AD203" s="4" t="s">
        <v>22</v>
      </c>
      <c r="AE203" s="4" t="s">
        <v>22</v>
      </c>
      <c r="AF203" s="4" t="s">
        <v>22</v>
      </c>
      <c r="AG203" s="4" t="s">
        <v>22</v>
      </c>
      <c r="AH203" s="4" t="s">
        <v>22</v>
      </c>
      <c r="AI203" s="4" t="s">
        <v>22</v>
      </c>
      <c r="AK203" s="4" t="s">
        <v>22</v>
      </c>
      <c r="AL203" s="4" t="s">
        <v>22</v>
      </c>
      <c r="AM203" s="4" t="s">
        <v>22</v>
      </c>
      <c r="AN203" s="4" t="s">
        <v>22</v>
      </c>
      <c r="AO203" s="4" t="s">
        <v>22</v>
      </c>
      <c r="AP203" s="4" t="s">
        <v>22</v>
      </c>
      <c r="AQ203" s="4" t="s">
        <v>22</v>
      </c>
    </row>
    <row r="204" spans="29:43"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  <c r="AH204" s="4" t="s">
        <v>22</v>
      </c>
      <c r="AI204" s="4" t="s">
        <v>22</v>
      </c>
      <c r="AK204" s="4" t="s">
        <v>22</v>
      </c>
      <c r="AL204" s="4" t="s">
        <v>22</v>
      </c>
      <c r="AM204" s="4" t="s">
        <v>22</v>
      </c>
      <c r="AN204" s="4" t="s">
        <v>22</v>
      </c>
      <c r="AO204" s="4" t="s">
        <v>22</v>
      </c>
      <c r="AP204" s="4" t="s">
        <v>22</v>
      </c>
      <c r="AQ204" s="4" t="s">
        <v>22</v>
      </c>
    </row>
    <row r="205" spans="29:43"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  <c r="AH205" s="4" t="s">
        <v>22</v>
      </c>
      <c r="AI205" s="4" t="s">
        <v>22</v>
      </c>
      <c r="AK205" s="4" t="s">
        <v>22</v>
      </c>
      <c r="AL205" s="4" t="s">
        <v>22</v>
      </c>
      <c r="AM205" s="4" t="s">
        <v>22</v>
      </c>
      <c r="AN205" s="4" t="s">
        <v>22</v>
      </c>
      <c r="AO205" s="4" t="s">
        <v>22</v>
      </c>
      <c r="AP205" s="4" t="s">
        <v>22</v>
      </c>
      <c r="AQ205" s="4" t="s">
        <v>22</v>
      </c>
    </row>
    <row r="206" spans="29:43">
      <c r="AC206" s="4" t="s">
        <v>22</v>
      </c>
      <c r="AD206" s="4" t="s">
        <v>22</v>
      </c>
      <c r="AE206" s="4" t="s">
        <v>22</v>
      </c>
      <c r="AF206" s="4" t="s">
        <v>22</v>
      </c>
      <c r="AG206" s="4" t="s">
        <v>22</v>
      </c>
      <c r="AH206" s="4" t="s">
        <v>22</v>
      </c>
      <c r="AI206" s="4" t="s">
        <v>22</v>
      </c>
      <c r="AK206" s="4" t="s">
        <v>22</v>
      </c>
      <c r="AL206" s="4" t="s">
        <v>22</v>
      </c>
      <c r="AM206" s="4" t="s">
        <v>22</v>
      </c>
      <c r="AN206" s="4" t="s">
        <v>22</v>
      </c>
      <c r="AO206" s="4" t="s">
        <v>22</v>
      </c>
      <c r="AP206" s="4" t="s">
        <v>22</v>
      </c>
      <c r="AQ206" s="4" t="s">
        <v>22</v>
      </c>
    </row>
    <row r="207" spans="29:43">
      <c r="AC207" s="4" t="s">
        <v>22</v>
      </c>
      <c r="AD207" s="4" t="s">
        <v>22</v>
      </c>
      <c r="AE207" s="4" t="s">
        <v>22</v>
      </c>
      <c r="AF207" s="4" t="s">
        <v>22</v>
      </c>
      <c r="AG207" s="4" t="s">
        <v>22</v>
      </c>
      <c r="AH207" s="4" t="s">
        <v>22</v>
      </c>
      <c r="AI207" s="4" t="s">
        <v>22</v>
      </c>
      <c r="AK207" s="4" t="s">
        <v>22</v>
      </c>
      <c r="AL207" s="4" t="s">
        <v>22</v>
      </c>
      <c r="AM207" s="4" t="s">
        <v>22</v>
      </c>
      <c r="AN207" s="4" t="s">
        <v>22</v>
      </c>
      <c r="AO207" s="4" t="s">
        <v>22</v>
      </c>
      <c r="AP207" s="4" t="s">
        <v>22</v>
      </c>
      <c r="AQ207" s="4" t="s">
        <v>22</v>
      </c>
    </row>
    <row r="208" spans="29:43">
      <c r="AC208" s="4" t="s">
        <v>22</v>
      </c>
      <c r="AD208" s="4" t="s">
        <v>22</v>
      </c>
      <c r="AE208" s="4" t="s">
        <v>22</v>
      </c>
      <c r="AF208" s="4" t="s">
        <v>22</v>
      </c>
      <c r="AG208" s="4" t="s">
        <v>22</v>
      </c>
      <c r="AH208" s="4" t="s">
        <v>22</v>
      </c>
      <c r="AI208" s="4" t="s">
        <v>22</v>
      </c>
      <c r="AK208" s="4" t="s">
        <v>22</v>
      </c>
      <c r="AL208" s="4" t="s">
        <v>22</v>
      </c>
      <c r="AM208" s="4" t="s">
        <v>22</v>
      </c>
      <c r="AN208" s="4" t="s">
        <v>22</v>
      </c>
      <c r="AO208" s="4" t="s">
        <v>22</v>
      </c>
      <c r="AP208" s="4" t="s">
        <v>22</v>
      </c>
      <c r="AQ208" s="4" t="s">
        <v>22</v>
      </c>
    </row>
    <row r="209" spans="29:43"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  <c r="AH209" s="4" t="s">
        <v>22</v>
      </c>
      <c r="AI209" s="4" t="s">
        <v>22</v>
      </c>
      <c r="AK209" s="4" t="s">
        <v>22</v>
      </c>
      <c r="AL209" s="4" t="s">
        <v>22</v>
      </c>
      <c r="AM209" s="4" t="s">
        <v>22</v>
      </c>
      <c r="AN209" s="4" t="s">
        <v>22</v>
      </c>
      <c r="AO209" s="4" t="s">
        <v>22</v>
      </c>
      <c r="AP209" s="4" t="s">
        <v>22</v>
      </c>
      <c r="AQ209" s="4" t="s">
        <v>22</v>
      </c>
    </row>
    <row r="210" spans="29:43">
      <c r="AC210" s="4" t="s">
        <v>22</v>
      </c>
      <c r="AD210" s="4" t="s">
        <v>22</v>
      </c>
      <c r="AE210" s="4" t="s">
        <v>22</v>
      </c>
      <c r="AF210" s="4" t="s">
        <v>22</v>
      </c>
      <c r="AG210" s="4" t="s">
        <v>22</v>
      </c>
      <c r="AH210" s="4" t="s">
        <v>22</v>
      </c>
      <c r="AI210" s="4" t="s">
        <v>22</v>
      </c>
      <c r="AK210" s="4" t="s">
        <v>22</v>
      </c>
      <c r="AL210" s="4" t="s">
        <v>22</v>
      </c>
      <c r="AM210" s="4" t="s">
        <v>22</v>
      </c>
      <c r="AN210" s="4" t="s">
        <v>22</v>
      </c>
      <c r="AO210" s="4" t="s">
        <v>22</v>
      </c>
      <c r="AP210" s="4" t="s">
        <v>22</v>
      </c>
      <c r="AQ210" s="4" t="s">
        <v>22</v>
      </c>
    </row>
    <row r="211" spans="29:43">
      <c r="AC211" s="4" t="s">
        <v>22</v>
      </c>
      <c r="AD211" s="4" t="s">
        <v>22</v>
      </c>
      <c r="AE211" s="4" t="s">
        <v>22</v>
      </c>
      <c r="AF211" s="4" t="s">
        <v>22</v>
      </c>
      <c r="AG211" s="4" t="s">
        <v>22</v>
      </c>
      <c r="AH211" s="4" t="s">
        <v>22</v>
      </c>
      <c r="AI211" s="4" t="s">
        <v>22</v>
      </c>
      <c r="AK211" s="4" t="s">
        <v>22</v>
      </c>
      <c r="AL211" s="4" t="s">
        <v>22</v>
      </c>
      <c r="AM211" s="4" t="s">
        <v>22</v>
      </c>
      <c r="AN211" s="4" t="s">
        <v>22</v>
      </c>
      <c r="AO211" s="4" t="s">
        <v>22</v>
      </c>
      <c r="AP211" s="4" t="s">
        <v>22</v>
      </c>
      <c r="AQ211" s="4" t="s">
        <v>22</v>
      </c>
    </row>
    <row r="212" spans="29:43">
      <c r="AC212" s="4" t="s">
        <v>22</v>
      </c>
      <c r="AD212" s="4" t="s">
        <v>22</v>
      </c>
      <c r="AE212" s="4" t="s">
        <v>22</v>
      </c>
      <c r="AF212" s="4" t="s">
        <v>22</v>
      </c>
      <c r="AG212" s="4" t="s">
        <v>22</v>
      </c>
      <c r="AH212" s="4" t="s">
        <v>22</v>
      </c>
      <c r="AI212" s="4" t="s">
        <v>22</v>
      </c>
      <c r="AK212" s="4" t="s">
        <v>22</v>
      </c>
      <c r="AL212" s="4" t="s">
        <v>22</v>
      </c>
      <c r="AM212" s="4" t="s">
        <v>22</v>
      </c>
      <c r="AN212" s="4" t="s">
        <v>22</v>
      </c>
      <c r="AO212" s="4" t="s">
        <v>22</v>
      </c>
      <c r="AP212" s="4" t="s">
        <v>22</v>
      </c>
      <c r="AQ212" s="4" t="s">
        <v>22</v>
      </c>
    </row>
    <row r="213" spans="29:43"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  <c r="AH213" s="4" t="s">
        <v>22</v>
      </c>
      <c r="AI213" s="4" t="s">
        <v>22</v>
      </c>
      <c r="AK213" s="4" t="s">
        <v>22</v>
      </c>
      <c r="AL213" s="4" t="s">
        <v>22</v>
      </c>
      <c r="AM213" s="4" t="s">
        <v>22</v>
      </c>
      <c r="AN213" s="4" t="s">
        <v>22</v>
      </c>
      <c r="AO213" s="4" t="s">
        <v>22</v>
      </c>
      <c r="AP213" s="4" t="s">
        <v>22</v>
      </c>
      <c r="AQ213" s="4" t="s">
        <v>22</v>
      </c>
    </row>
    <row r="214" spans="29:43"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  <c r="AH214" s="4" t="s">
        <v>22</v>
      </c>
      <c r="AI214" s="4" t="s">
        <v>22</v>
      </c>
      <c r="AK214" s="4" t="s">
        <v>22</v>
      </c>
      <c r="AL214" s="4" t="s">
        <v>22</v>
      </c>
      <c r="AM214" s="4" t="s">
        <v>22</v>
      </c>
      <c r="AN214" s="4" t="s">
        <v>22</v>
      </c>
      <c r="AO214" s="4" t="s">
        <v>22</v>
      </c>
      <c r="AP214" s="4" t="s">
        <v>22</v>
      </c>
      <c r="AQ214" s="4" t="s">
        <v>22</v>
      </c>
    </row>
    <row r="215" spans="29:43"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  <c r="AH215" s="4" t="s">
        <v>22</v>
      </c>
      <c r="AI215" s="4" t="s">
        <v>22</v>
      </c>
      <c r="AK215" s="4" t="s">
        <v>22</v>
      </c>
      <c r="AL215" s="4" t="s">
        <v>22</v>
      </c>
      <c r="AM215" s="4" t="s">
        <v>22</v>
      </c>
      <c r="AN215" s="4" t="s">
        <v>22</v>
      </c>
      <c r="AO215" s="4" t="s">
        <v>22</v>
      </c>
      <c r="AP215" s="4" t="s">
        <v>22</v>
      </c>
      <c r="AQ215" s="4" t="s">
        <v>22</v>
      </c>
    </row>
    <row r="216" spans="29:43"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  <c r="AH216" s="4" t="s">
        <v>22</v>
      </c>
      <c r="AI216" s="4" t="s">
        <v>22</v>
      </c>
      <c r="AK216" s="4" t="s">
        <v>22</v>
      </c>
      <c r="AL216" s="4" t="s">
        <v>22</v>
      </c>
      <c r="AM216" s="4" t="s">
        <v>22</v>
      </c>
      <c r="AN216" s="4" t="s">
        <v>22</v>
      </c>
      <c r="AO216" s="4" t="s">
        <v>22</v>
      </c>
      <c r="AP216" s="4" t="s">
        <v>22</v>
      </c>
      <c r="AQ216" s="4" t="s">
        <v>22</v>
      </c>
    </row>
    <row r="217" spans="29:43"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  <c r="AH217" s="4" t="s">
        <v>22</v>
      </c>
      <c r="AI217" s="4" t="s">
        <v>22</v>
      </c>
      <c r="AK217" s="4" t="s">
        <v>22</v>
      </c>
      <c r="AL217" s="4" t="s">
        <v>22</v>
      </c>
      <c r="AM217" s="4" t="s">
        <v>22</v>
      </c>
      <c r="AN217" s="4" t="s">
        <v>22</v>
      </c>
      <c r="AO217" s="4" t="s">
        <v>22</v>
      </c>
      <c r="AP217" s="4" t="s">
        <v>22</v>
      </c>
      <c r="AQ217" s="4" t="s">
        <v>22</v>
      </c>
    </row>
    <row r="218" spans="29:43"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  <c r="AQ218" s="4" t="s">
        <v>22</v>
      </c>
    </row>
    <row r="219" spans="29:43">
      <c r="AC219" s="4" t="s">
        <v>22</v>
      </c>
      <c r="AD219" s="4" t="s">
        <v>22</v>
      </c>
      <c r="AE219" s="4" t="s">
        <v>22</v>
      </c>
      <c r="AF219" s="4" t="s">
        <v>22</v>
      </c>
      <c r="AG219" s="4" t="s">
        <v>22</v>
      </c>
      <c r="AH219" s="4" t="s">
        <v>22</v>
      </c>
      <c r="AI219" s="4" t="s">
        <v>22</v>
      </c>
      <c r="AK219" s="4" t="s">
        <v>22</v>
      </c>
      <c r="AL219" s="4" t="s">
        <v>22</v>
      </c>
      <c r="AM219" s="4" t="s">
        <v>22</v>
      </c>
      <c r="AN219" s="4" t="s">
        <v>22</v>
      </c>
      <c r="AO219" s="4" t="s">
        <v>22</v>
      </c>
      <c r="AP219" s="4" t="s">
        <v>22</v>
      </c>
      <c r="AQ219" s="4" t="s">
        <v>22</v>
      </c>
    </row>
    <row r="220" spans="29:43">
      <c r="AC220" s="4" t="s">
        <v>22</v>
      </c>
      <c r="AD220" s="4" t="s">
        <v>22</v>
      </c>
      <c r="AE220" s="4" t="s">
        <v>22</v>
      </c>
      <c r="AF220" s="4" t="s">
        <v>22</v>
      </c>
      <c r="AG220" s="4" t="s">
        <v>22</v>
      </c>
      <c r="AH220" s="4" t="s">
        <v>22</v>
      </c>
      <c r="AI220" s="4" t="s">
        <v>22</v>
      </c>
      <c r="AK220" s="4" t="s">
        <v>22</v>
      </c>
      <c r="AL220" s="4" t="s">
        <v>22</v>
      </c>
      <c r="AM220" s="4" t="s">
        <v>22</v>
      </c>
      <c r="AN220" s="4" t="s">
        <v>22</v>
      </c>
      <c r="AO220" s="4" t="s">
        <v>22</v>
      </c>
      <c r="AP220" s="4" t="s">
        <v>22</v>
      </c>
      <c r="AQ220" s="4" t="s">
        <v>22</v>
      </c>
    </row>
    <row r="221" spans="29:43"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  <c r="AH221" s="4" t="s">
        <v>22</v>
      </c>
      <c r="AI221" s="4" t="s">
        <v>22</v>
      </c>
      <c r="AK221" s="4" t="s">
        <v>22</v>
      </c>
      <c r="AL221" s="4" t="s">
        <v>22</v>
      </c>
      <c r="AM221" s="4" t="s">
        <v>22</v>
      </c>
      <c r="AN221" s="4" t="s">
        <v>22</v>
      </c>
      <c r="AO221" s="4" t="s">
        <v>22</v>
      </c>
      <c r="AP221" s="4" t="s">
        <v>22</v>
      </c>
      <c r="AQ221" s="4" t="s">
        <v>22</v>
      </c>
    </row>
    <row r="222" spans="29:43">
      <c r="AC222" s="4" t="s">
        <v>22</v>
      </c>
      <c r="AD222" s="4" t="s">
        <v>22</v>
      </c>
      <c r="AE222" s="4" t="s">
        <v>22</v>
      </c>
      <c r="AF222" s="4" t="s">
        <v>22</v>
      </c>
      <c r="AG222" s="4" t="s">
        <v>22</v>
      </c>
      <c r="AH222" s="4" t="s">
        <v>22</v>
      </c>
      <c r="AI222" s="4" t="s">
        <v>22</v>
      </c>
      <c r="AK222" s="4" t="s">
        <v>22</v>
      </c>
      <c r="AL222" s="4" t="s">
        <v>22</v>
      </c>
      <c r="AM222" s="4" t="s">
        <v>22</v>
      </c>
      <c r="AN222" s="4" t="s">
        <v>22</v>
      </c>
      <c r="AO222" s="4" t="s">
        <v>22</v>
      </c>
      <c r="AP222" s="4" t="s">
        <v>22</v>
      </c>
      <c r="AQ222" s="4" t="s">
        <v>22</v>
      </c>
    </row>
    <row r="223" spans="29:43"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  <c r="AQ223" s="4" t="s">
        <v>22</v>
      </c>
    </row>
    <row r="224" spans="29:43">
      <c r="AC224" s="4" t="s">
        <v>22</v>
      </c>
      <c r="AD224" s="4" t="s">
        <v>22</v>
      </c>
      <c r="AE224" s="4" t="s">
        <v>22</v>
      </c>
      <c r="AF224" s="4" t="s">
        <v>22</v>
      </c>
      <c r="AG224" s="4" t="s">
        <v>22</v>
      </c>
      <c r="AH224" s="4" t="s">
        <v>22</v>
      </c>
      <c r="AI224" s="4" t="s">
        <v>22</v>
      </c>
      <c r="AK224" s="4" t="s">
        <v>22</v>
      </c>
      <c r="AL224" s="4" t="s">
        <v>22</v>
      </c>
      <c r="AM224" s="4" t="s">
        <v>22</v>
      </c>
      <c r="AN224" s="4" t="s">
        <v>22</v>
      </c>
      <c r="AO224" s="4" t="s">
        <v>22</v>
      </c>
      <c r="AP224" s="4" t="s">
        <v>22</v>
      </c>
      <c r="AQ224" s="4" t="s">
        <v>22</v>
      </c>
    </row>
    <row r="225" spans="29:43"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  <c r="AQ225" s="4" t="s">
        <v>22</v>
      </c>
    </row>
    <row r="226" spans="29:43">
      <c r="AC226" s="4" t="s">
        <v>22</v>
      </c>
      <c r="AD226" s="4" t="s">
        <v>22</v>
      </c>
      <c r="AE226" s="4" t="s">
        <v>22</v>
      </c>
      <c r="AF226" s="4" t="s">
        <v>22</v>
      </c>
      <c r="AG226" s="4" t="s">
        <v>22</v>
      </c>
      <c r="AH226" s="4" t="s">
        <v>22</v>
      </c>
      <c r="AI226" s="4" t="s">
        <v>22</v>
      </c>
      <c r="AK226" s="4" t="s">
        <v>22</v>
      </c>
      <c r="AL226" s="4" t="s">
        <v>22</v>
      </c>
      <c r="AM226" s="4" t="s">
        <v>22</v>
      </c>
      <c r="AN226" s="4" t="s">
        <v>22</v>
      </c>
      <c r="AO226" s="4" t="s">
        <v>22</v>
      </c>
      <c r="AP226" s="4" t="s">
        <v>22</v>
      </c>
      <c r="AQ226" s="4" t="s">
        <v>22</v>
      </c>
    </row>
    <row r="227" spans="29:43"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  <c r="AH227" s="4" t="s">
        <v>22</v>
      </c>
      <c r="AI227" s="4" t="s">
        <v>22</v>
      </c>
      <c r="AK227" s="4" t="s">
        <v>22</v>
      </c>
      <c r="AL227" s="4" t="s">
        <v>22</v>
      </c>
      <c r="AM227" s="4" t="s">
        <v>22</v>
      </c>
      <c r="AN227" s="4" t="s">
        <v>22</v>
      </c>
      <c r="AO227" s="4" t="s">
        <v>22</v>
      </c>
      <c r="AP227" s="4" t="s">
        <v>22</v>
      </c>
      <c r="AQ227" s="4" t="s">
        <v>22</v>
      </c>
    </row>
    <row r="228" spans="29:43"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  <c r="AH228" s="4" t="s">
        <v>22</v>
      </c>
      <c r="AI228" s="4" t="s">
        <v>22</v>
      </c>
      <c r="AK228" s="4" t="s">
        <v>22</v>
      </c>
      <c r="AL228" s="4" t="s">
        <v>22</v>
      </c>
      <c r="AM228" s="4" t="s">
        <v>22</v>
      </c>
      <c r="AN228" s="4" t="s">
        <v>22</v>
      </c>
      <c r="AO228" s="4" t="s">
        <v>22</v>
      </c>
      <c r="AP228" s="4" t="s">
        <v>22</v>
      </c>
      <c r="AQ228" s="4" t="s">
        <v>22</v>
      </c>
    </row>
    <row r="229" spans="29:43"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  <c r="AH229" s="4" t="s">
        <v>22</v>
      </c>
      <c r="AI229" s="4" t="s">
        <v>22</v>
      </c>
      <c r="AK229" s="4" t="s">
        <v>22</v>
      </c>
      <c r="AL229" s="4" t="s">
        <v>22</v>
      </c>
      <c r="AM229" s="4" t="s">
        <v>22</v>
      </c>
      <c r="AN229" s="4" t="s">
        <v>22</v>
      </c>
      <c r="AO229" s="4" t="s">
        <v>22</v>
      </c>
      <c r="AP229" s="4" t="s">
        <v>22</v>
      </c>
      <c r="AQ229" s="4" t="s">
        <v>22</v>
      </c>
    </row>
    <row r="230" spans="29:43"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  <c r="AQ230" s="4" t="s">
        <v>22</v>
      </c>
    </row>
    <row r="231" spans="29:43">
      <c r="AC231" s="4" t="s">
        <v>22</v>
      </c>
      <c r="AD231" s="4" t="s">
        <v>22</v>
      </c>
      <c r="AE231" s="4" t="s">
        <v>22</v>
      </c>
      <c r="AF231" s="4" t="s">
        <v>22</v>
      </c>
      <c r="AG231" s="4" t="s">
        <v>22</v>
      </c>
      <c r="AH231" s="4" t="s">
        <v>22</v>
      </c>
      <c r="AI231" s="4" t="s">
        <v>22</v>
      </c>
      <c r="AK231" s="4" t="s">
        <v>22</v>
      </c>
      <c r="AL231" s="4" t="s">
        <v>22</v>
      </c>
      <c r="AM231" s="4" t="s">
        <v>22</v>
      </c>
      <c r="AN231" s="4" t="s">
        <v>22</v>
      </c>
      <c r="AO231" s="4" t="s">
        <v>22</v>
      </c>
      <c r="AP231" s="4" t="s">
        <v>22</v>
      </c>
      <c r="AQ231" s="4" t="s">
        <v>22</v>
      </c>
    </row>
    <row r="232" spans="29:43"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  <c r="AH232" s="4" t="s">
        <v>22</v>
      </c>
      <c r="AI232" s="4" t="s">
        <v>22</v>
      </c>
      <c r="AK232" s="4" t="s">
        <v>22</v>
      </c>
      <c r="AL232" s="4" t="s">
        <v>22</v>
      </c>
      <c r="AM232" s="4" t="s">
        <v>22</v>
      </c>
      <c r="AN232" s="4" t="s">
        <v>22</v>
      </c>
      <c r="AO232" s="4" t="s">
        <v>22</v>
      </c>
      <c r="AP232" s="4" t="s">
        <v>22</v>
      </c>
      <c r="AQ232" s="4" t="s">
        <v>22</v>
      </c>
    </row>
    <row r="233" spans="29:43"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  <c r="AH233" s="4" t="s">
        <v>22</v>
      </c>
      <c r="AI233" s="4" t="s">
        <v>22</v>
      </c>
      <c r="AK233" s="4" t="s">
        <v>22</v>
      </c>
      <c r="AL233" s="4" t="s">
        <v>22</v>
      </c>
      <c r="AM233" s="4" t="s">
        <v>22</v>
      </c>
      <c r="AN233" s="4" t="s">
        <v>22</v>
      </c>
      <c r="AO233" s="4" t="s">
        <v>22</v>
      </c>
      <c r="AP233" s="4" t="s">
        <v>22</v>
      </c>
      <c r="AQ233" s="4" t="s">
        <v>22</v>
      </c>
    </row>
    <row r="234" spans="29:43">
      <c r="AC234" s="4" t="s">
        <v>22</v>
      </c>
      <c r="AD234" s="4" t="s">
        <v>22</v>
      </c>
      <c r="AE234" s="4" t="s">
        <v>22</v>
      </c>
      <c r="AF234" s="4" t="s">
        <v>22</v>
      </c>
      <c r="AG234" s="4" t="s">
        <v>22</v>
      </c>
      <c r="AH234" s="4" t="s">
        <v>22</v>
      </c>
      <c r="AI234" s="4" t="s">
        <v>22</v>
      </c>
      <c r="AK234" s="4" t="s">
        <v>22</v>
      </c>
      <c r="AL234" s="4" t="s">
        <v>22</v>
      </c>
      <c r="AM234" s="4" t="s">
        <v>22</v>
      </c>
      <c r="AN234" s="4" t="s">
        <v>22</v>
      </c>
      <c r="AO234" s="4" t="s">
        <v>22</v>
      </c>
      <c r="AP234" s="4" t="s">
        <v>22</v>
      </c>
      <c r="AQ234" s="4" t="s">
        <v>22</v>
      </c>
    </row>
    <row r="235" spans="29:43"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  <c r="AH235" s="4" t="s">
        <v>22</v>
      </c>
      <c r="AI235" s="4" t="s">
        <v>22</v>
      </c>
      <c r="AK235" s="4" t="s">
        <v>22</v>
      </c>
      <c r="AL235" s="4" t="s">
        <v>22</v>
      </c>
      <c r="AM235" s="4" t="s">
        <v>22</v>
      </c>
      <c r="AN235" s="4" t="s">
        <v>22</v>
      </c>
      <c r="AO235" s="4" t="s">
        <v>22</v>
      </c>
      <c r="AP235" s="4" t="s">
        <v>22</v>
      </c>
      <c r="AQ235" s="4" t="s">
        <v>22</v>
      </c>
    </row>
    <row r="236" spans="29:43">
      <c r="AC236" s="4" t="s">
        <v>22</v>
      </c>
      <c r="AD236" s="4" t="s">
        <v>22</v>
      </c>
      <c r="AE236" s="4" t="s">
        <v>22</v>
      </c>
      <c r="AF236" s="4" t="s">
        <v>22</v>
      </c>
      <c r="AG236" s="4" t="s">
        <v>22</v>
      </c>
      <c r="AH236" s="4" t="s">
        <v>22</v>
      </c>
      <c r="AI236" s="4" t="s">
        <v>22</v>
      </c>
      <c r="AK236" s="4" t="s">
        <v>22</v>
      </c>
      <c r="AL236" s="4" t="s">
        <v>22</v>
      </c>
      <c r="AM236" s="4" t="s">
        <v>22</v>
      </c>
      <c r="AN236" s="4" t="s">
        <v>22</v>
      </c>
      <c r="AO236" s="4" t="s">
        <v>22</v>
      </c>
      <c r="AP236" s="4" t="s">
        <v>22</v>
      </c>
      <c r="AQ236" s="4" t="s">
        <v>22</v>
      </c>
    </row>
    <row r="237" spans="29:43">
      <c r="AC237" s="4" t="s">
        <v>22</v>
      </c>
      <c r="AD237" s="4" t="s">
        <v>22</v>
      </c>
      <c r="AE237" s="4" t="s">
        <v>22</v>
      </c>
      <c r="AF237" s="4" t="s">
        <v>22</v>
      </c>
      <c r="AG237" s="4" t="s">
        <v>22</v>
      </c>
      <c r="AH237" s="4" t="s">
        <v>22</v>
      </c>
      <c r="AI237" s="4" t="s">
        <v>22</v>
      </c>
      <c r="AK237" s="4" t="s">
        <v>22</v>
      </c>
      <c r="AL237" s="4" t="s">
        <v>22</v>
      </c>
      <c r="AM237" s="4" t="s">
        <v>22</v>
      </c>
      <c r="AN237" s="4" t="s">
        <v>22</v>
      </c>
      <c r="AO237" s="4" t="s">
        <v>22</v>
      </c>
      <c r="AP237" s="4" t="s">
        <v>22</v>
      </c>
      <c r="AQ237" s="4" t="s">
        <v>22</v>
      </c>
    </row>
    <row r="238" spans="29:43"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  <c r="AH238" s="4" t="s">
        <v>22</v>
      </c>
      <c r="AI238" s="4" t="s">
        <v>22</v>
      </c>
      <c r="AK238" s="4" t="s">
        <v>22</v>
      </c>
      <c r="AL238" s="4" t="s">
        <v>22</v>
      </c>
      <c r="AM238" s="4" t="s">
        <v>22</v>
      </c>
      <c r="AN238" s="4" t="s">
        <v>22</v>
      </c>
      <c r="AO238" s="4" t="s">
        <v>22</v>
      </c>
      <c r="AP238" s="4" t="s">
        <v>22</v>
      </c>
      <c r="AQ238" s="4" t="s">
        <v>22</v>
      </c>
    </row>
    <row r="239" spans="29:43">
      <c r="AC239" s="4" t="s">
        <v>22</v>
      </c>
      <c r="AD239" s="4" t="s">
        <v>22</v>
      </c>
      <c r="AE239" s="4" t="s">
        <v>22</v>
      </c>
      <c r="AF239" s="4" t="s">
        <v>22</v>
      </c>
      <c r="AG239" s="4" t="s">
        <v>22</v>
      </c>
      <c r="AH239" s="4" t="s">
        <v>22</v>
      </c>
      <c r="AI239" s="4" t="s">
        <v>22</v>
      </c>
      <c r="AK239" s="4" t="s">
        <v>22</v>
      </c>
      <c r="AL239" s="4" t="s">
        <v>22</v>
      </c>
      <c r="AM239" s="4" t="s">
        <v>22</v>
      </c>
      <c r="AN239" s="4" t="s">
        <v>22</v>
      </c>
      <c r="AO239" s="4" t="s">
        <v>22</v>
      </c>
      <c r="AP239" s="4" t="s">
        <v>22</v>
      </c>
      <c r="AQ239" s="4" t="s">
        <v>22</v>
      </c>
    </row>
    <row r="240" spans="29:43"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  <c r="AH240" s="4" t="s">
        <v>22</v>
      </c>
      <c r="AI240" s="4" t="s">
        <v>22</v>
      </c>
      <c r="AK240" s="4" t="s">
        <v>22</v>
      </c>
      <c r="AL240" s="4" t="s">
        <v>22</v>
      </c>
      <c r="AM240" s="4" t="s">
        <v>22</v>
      </c>
      <c r="AN240" s="4" t="s">
        <v>22</v>
      </c>
      <c r="AO240" s="4" t="s">
        <v>22</v>
      </c>
      <c r="AP240" s="4" t="s">
        <v>22</v>
      </c>
      <c r="AQ240" s="4" t="s">
        <v>22</v>
      </c>
    </row>
    <row r="241" spans="29:43">
      <c r="AC241" s="4" t="s">
        <v>22</v>
      </c>
      <c r="AD241" s="4" t="s">
        <v>22</v>
      </c>
      <c r="AE241" s="4" t="s">
        <v>22</v>
      </c>
      <c r="AF241" s="4" t="s">
        <v>22</v>
      </c>
      <c r="AG241" s="4" t="s">
        <v>22</v>
      </c>
      <c r="AH241" s="4" t="s">
        <v>22</v>
      </c>
      <c r="AI241" s="4" t="s">
        <v>22</v>
      </c>
      <c r="AK241" s="4" t="s">
        <v>22</v>
      </c>
      <c r="AL241" s="4" t="s">
        <v>22</v>
      </c>
      <c r="AM241" s="4" t="s">
        <v>22</v>
      </c>
      <c r="AN241" s="4" t="s">
        <v>22</v>
      </c>
      <c r="AO241" s="4" t="s">
        <v>22</v>
      </c>
      <c r="AP241" s="4" t="s">
        <v>22</v>
      </c>
      <c r="AQ241" s="4" t="s">
        <v>22</v>
      </c>
    </row>
    <row r="242" spans="29:43">
      <c r="AC242" s="4" t="s">
        <v>22</v>
      </c>
      <c r="AD242" s="4" t="s">
        <v>22</v>
      </c>
      <c r="AE242" s="4" t="s">
        <v>22</v>
      </c>
      <c r="AF242" s="4" t="s">
        <v>22</v>
      </c>
      <c r="AG242" s="4" t="s">
        <v>22</v>
      </c>
      <c r="AH242" s="4" t="s">
        <v>22</v>
      </c>
      <c r="AI242" s="4" t="s">
        <v>22</v>
      </c>
      <c r="AK242" s="4" t="s">
        <v>22</v>
      </c>
      <c r="AL242" s="4" t="s">
        <v>22</v>
      </c>
      <c r="AM242" s="4" t="s">
        <v>22</v>
      </c>
      <c r="AN242" s="4" t="s">
        <v>22</v>
      </c>
      <c r="AO242" s="4" t="s">
        <v>22</v>
      </c>
      <c r="AP242" s="4" t="s">
        <v>22</v>
      </c>
      <c r="AQ242" s="4" t="s">
        <v>22</v>
      </c>
    </row>
    <row r="243" spans="29:43">
      <c r="AC243" s="4" t="s">
        <v>22</v>
      </c>
      <c r="AD243" s="4" t="s">
        <v>22</v>
      </c>
      <c r="AE243" s="4" t="s">
        <v>22</v>
      </c>
      <c r="AF243" s="4" t="s">
        <v>22</v>
      </c>
      <c r="AG243" s="4" t="s">
        <v>22</v>
      </c>
      <c r="AH243" s="4" t="s">
        <v>22</v>
      </c>
      <c r="AI243" s="4" t="s">
        <v>22</v>
      </c>
      <c r="AK243" s="4" t="s">
        <v>22</v>
      </c>
      <c r="AL243" s="4" t="s">
        <v>22</v>
      </c>
      <c r="AM243" s="4" t="s">
        <v>22</v>
      </c>
      <c r="AN243" s="4" t="s">
        <v>22</v>
      </c>
      <c r="AO243" s="4" t="s">
        <v>22</v>
      </c>
      <c r="AP243" s="4" t="s">
        <v>22</v>
      </c>
      <c r="AQ243" s="4" t="s">
        <v>22</v>
      </c>
    </row>
    <row r="244" spans="29:43"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  <c r="AH244" s="4" t="s">
        <v>22</v>
      </c>
      <c r="AI244" s="4" t="s">
        <v>22</v>
      </c>
      <c r="AK244" s="4" t="s">
        <v>22</v>
      </c>
      <c r="AL244" s="4" t="s">
        <v>22</v>
      </c>
      <c r="AM244" s="4" t="s">
        <v>22</v>
      </c>
      <c r="AN244" s="4" t="s">
        <v>22</v>
      </c>
      <c r="AO244" s="4" t="s">
        <v>22</v>
      </c>
      <c r="AP244" s="4" t="s">
        <v>22</v>
      </c>
      <c r="AQ244" s="4" t="s">
        <v>22</v>
      </c>
    </row>
    <row r="245" spans="29:43">
      <c r="AC245" s="4" t="s">
        <v>22</v>
      </c>
      <c r="AD245" s="4" t="s">
        <v>22</v>
      </c>
      <c r="AE245" s="4" t="s">
        <v>22</v>
      </c>
      <c r="AF245" s="4" t="s">
        <v>22</v>
      </c>
      <c r="AG245" s="4" t="s">
        <v>22</v>
      </c>
      <c r="AH245" s="4" t="s">
        <v>22</v>
      </c>
      <c r="AI245" s="4" t="s">
        <v>22</v>
      </c>
      <c r="AK245" s="4" t="s">
        <v>22</v>
      </c>
      <c r="AL245" s="4" t="s">
        <v>22</v>
      </c>
      <c r="AM245" s="4" t="s">
        <v>22</v>
      </c>
      <c r="AN245" s="4" t="s">
        <v>22</v>
      </c>
      <c r="AO245" s="4" t="s">
        <v>22</v>
      </c>
      <c r="AP245" s="4" t="s">
        <v>22</v>
      </c>
      <c r="AQ245" s="4" t="s">
        <v>22</v>
      </c>
    </row>
    <row r="246" spans="29:43">
      <c r="AC246" s="4" t="s">
        <v>22</v>
      </c>
      <c r="AD246" s="4" t="s">
        <v>22</v>
      </c>
      <c r="AE246" s="4" t="s">
        <v>22</v>
      </c>
      <c r="AF246" s="4" t="s">
        <v>22</v>
      </c>
      <c r="AG246" s="4" t="s">
        <v>22</v>
      </c>
      <c r="AH246" s="4" t="s">
        <v>22</v>
      </c>
      <c r="AI246" s="4" t="s">
        <v>22</v>
      </c>
      <c r="AK246" s="4" t="s">
        <v>22</v>
      </c>
      <c r="AL246" s="4" t="s">
        <v>22</v>
      </c>
      <c r="AM246" s="4" t="s">
        <v>22</v>
      </c>
      <c r="AN246" s="4" t="s">
        <v>22</v>
      </c>
      <c r="AO246" s="4" t="s">
        <v>22</v>
      </c>
      <c r="AP246" s="4" t="s">
        <v>22</v>
      </c>
      <c r="AQ246" s="4" t="s">
        <v>22</v>
      </c>
    </row>
    <row r="247" spans="29:43">
      <c r="AC247" s="4" t="s">
        <v>22</v>
      </c>
      <c r="AD247" s="4" t="s">
        <v>22</v>
      </c>
      <c r="AE247" s="4" t="s">
        <v>22</v>
      </c>
      <c r="AF247" s="4" t="s">
        <v>22</v>
      </c>
      <c r="AG247" s="4" t="s">
        <v>22</v>
      </c>
      <c r="AH247" s="4" t="s">
        <v>22</v>
      </c>
      <c r="AI247" s="4" t="s">
        <v>22</v>
      </c>
      <c r="AK247" s="4" t="s">
        <v>22</v>
      </c>
      <c r="AL247" s="4" t="s">
        <v>22</v>
      </c>
      <c r="AM247" s="4" t="s">
        <v>22</v>
      </c>
      <c r="AN247" s="4" t="s">
        <v>22</v>
      </c>
      <c r="AO247" s="4" t="s">
        <v>22</v>
      </c>
      <c r="AP247" s="4" t="s">
        <v>22</v>
      </c>
      <c r="AQ247" s="4" t="s">
        <v>22</v>
      </c>
    </row>
    <row r="248" spans="29:43">
      <c r="AC248" s="4" t="s">
        <v>22</v>
      </c>
      <c r="AD248" s="4" t="s">
        <v>22</v>
      </c>
      <c r="AE248" s="4" t="s">
        <v>22</v>
      </c>
      <c r="AF248" s="4" t="s">
        <v>22</v>
      </c>
      <c r="AG248" s="4" t="s">
        <v>22</v>
      </c>
      <c r="AH248" s="4" t="s">
        <v>22</v>
      </c>
      <c r="AI248" s="4" t="s">
        <v>22</v>
      </c>
      <c r="AK248" s="4" t="s">
        <v>22</v>
      </c>
      <c r="AL248" s="4" t="s">
        <v>22</v>
      </c>
      <c r="AM248" s="4" t="s">
        <v>22</v>
      </c>
      <c r="AN248" s="4" t="s">
        <v>22</v>
      </c>
      <c r="AO248" s="4" t="s">
        <v>22</v>
      </c>
      <c r="AP248" s="4" t="s">
        <v>22</v>
      </c>
      <c r="AQ248" s="4" t="s">
        <v>22</v>
      </c>
    </row>
    <row r="249" spans="29:43">
      <c r="AC249" s="4" t="s">
        <v>22</v>
      </c>
      <c r="AD249" s="4" t="s">
        <v>22</v>
      </c>
      <c r="AE249" s="4" t="s">
        <v>22</v>
      </c>
      <c r="AF249" s="4" t="s">
        <v>22</v>
      </c>
      <c r="AG249" s="4" t="s">
        <v>22</v>
      </c>
      <c r="AH249" s="4" t="s">
        <v>22</v>
      </c>
      <c r="AI249" s="4" t="s">
        <v>22</v>
      </c>
      <c r="AK249" s="4" t="s">
        <v>22</v>
      </c>
      <c r="AL249" s="4" t="s">
        <v>22</v>
      </c>
      <c r="AM249" s="4" t="s">
        <v>22</v>
      </c>
      <c r="AN249" s="4" t="s">
        <v>22</v>
      </c>
      <c r="AO249" s="4" t="s">
        <v>22</v>
      </c>
      <c r="AP249" s="4" t="s">
        <v>22</v>
      </c>
      <c r="AQ249" s="4" t="s">
        <v>22</v>
      </c>
    </row>
    <row r="250" spans="29:43">
      <c r="AC250" s="4" t="s">
        <v>22</v>
      </c>
      <c r="AD250" s="4" t="s">
        <v>22</v>
      </c>
      <c r="AE250" s="4" t="s">
        <v>22</v>
      </c>
      <c r="AF250" s="4" t="s">
        <v>22</v>
      </c>
      <c r="AG250" s="4" t="s">
        <v>22</v>
      </c>
      <c r="AH250" s="4" t="s">
        <v>22</v>
      </c>
      <c r="AI250" s="4" t="s">
        <v>22</v>
      </c>
      <c r="AK250" s="4" t="s">
        <v>22</v>
      </c>
      <c r="AL250" s="4" t="s">
        <v>22</v>
      </c>
      <c r="AM250" s="4" t="s">
        <v>22</v>
      </c>
      <c r="AN250" s="4" t="s">
        <v>22</v>
      </c>
      <c r="AO250" s="4" t="s">
        <v>22</v>
      </c>
      <c r="AP250" s="4" t="s">
        <v>22</v>
      </c>
      <c r="AQ250" s="4" t="s">
        <v>22</v>
      </c>
    </row>
    <row r="251" spans="29:43">
      <c r="AC251" s="4" t="s">
        <v>22</v>
      </c>
      <c r="AD251" s="4" t="s">
        <v>22</v>
      </c>
      <c r="AE251" s="4" t="s">
        <v>22</v>
      </c>
      <c r="AF251" s="4" t="s">
        <v>22</v>
      </c>
      <c r="AG251" s="4" t="s">
        <v>22</v>
      </c>
      <c r="AH251" s="4" t="s">
        <v>22</v>
      </c>
      <c r="AI251" s="4" t="s">
        <v>22</v>
      </c>
      <c r="AK251" s="4" t="s">
        <v>22</v>
      </c>
      <c r="AL251" s="4" t="s">
        <v>22</v>
      </c>
      <c r="AM251" s="4" t="s">
        <v>22</v>
      </c>
      <c r="AN251" s="4" t="s">
        <v>22</v>
      </c>
      <c r="AO251" s="4" t="s">
        <v>22</v>
      </c>
      <c r="AP251" s="4" t="s">
        <v>22</v>
      </c>
      <c r="AQ251" s="4" t="s">
        <v>22</v>
      </c>
    </row>
    <row r="252" spans="29:43">
      <c r="AC252" s="4" t="s">
        <v>22</v>
      </c>
      <c r="AD252" s="4" t="s">
        <v>22</v>
      </c>
      <c r="AE252" s="4" t="s">
        <v>22</v>
      </c>
      <c r="AF252" s="4" t="s">
        <v>22</v>
      </c>
      <c r="AG252" s="4" t="s">
        <v>22</v>
      </c>
      <c r="AH252" s="4" t="s">
        <v>22</v>
      </c>
      <c r="AI252" s="4" t="s">
        <v>22</v>
      </c>
      <c r="AK252" s="4" t="s">
        <v>22</v>
      </c>
      <c r="AL252" s="4" t="s">
        <v>22</v>
      </c>
      <c r="AM252" s="4" t="s">
        <v>22</v>
      </c>
      <c r="AN252" s="4" t="s">
        <v>22</v>
      </c>
      <c r="AO252" s="4" t="s">
        <v>22</v>
      </c>
      <c r="AP252" s="4" t="s">
        <v>22</v>
      </c>
      <c r="AQ252" s="4" t="s">
        <v>22</v>
      </c>
    </row>
    <row r="253" spans="29:43">
      <c r="AC253" s="4" t="s">
        <v>22</v>
      </c>
      <c r="AD253" s="4" t="s">
        <v>22</v>
      </c>
      <c r="AE253" s="4" t="s">
        <v>22</v>
      </c>
      <c r="AF253" s="4" t="s">
        <v>22</v>
      </c>
      <c r="AG253" s="4" t="s">
        <v>22</v>
      </c>
      <c r="AH253" s="4" t="s">
        <v>22</v>
      </c>
      <c r="AI253" s="4" t="s">
        <v>22</v>
      </c>
      <c r="AK253" s="4" t="s">
        <v>22</v>
      </c>
      <c r="AL253" s="4" t="s">
        <v>22</v>
      </c>
      <c r="AM253" s="4" t="s">
        <v>22</v>
      </c>
      <c r="AN253" s="4" t="s">
        <v>22</v>
      </c>
      <c r="AO253" s="4" t="s">
        <v>22</v>
      </c>
      <c r="AP253" s="4" t="s">
        <v>22</v>
      </c>
      <c r="AQ253" s="4" t="s">
        <v>22</v>
      </c>
    </row>
    <row r="254" spans="29:43">
      <c r="AC254" s="4" t="s">
        <v>22</v>
      </c>
      <c r="AD254" s="4" t="s">
        <v>22</v>
      </c>
      <c r="AE254" s="4" t="s">
        <v>22</v>
      </c>
      <c r="AF254" s="4" t="s">
        <v>22</v>
      </c>
      <c r="AG254" s="4" t="s">
        <v>22</v>
      </c>
      <c r="AH254" s="4" t="s">
        <v>22</v>
      </c>
      <c r="AI254" s="4" t="s">
        <v>22</v>
      </c>
      <c r="AK254" s="4" t="s">
        <v>22</v>
      </c>
      <c r="AL254" s="4" t="s">
        <v>22</v>
      </c>
      <c r="AM254" s="4" t="s">
        <v>22</v>
      </c>
      <c r="AN254" s="4" t="s">
        <v>22</v>
      </c>
      <c r="AO254" s="4" t="s">
        <v>22</v>
      </c>
      <c r="AP254" s="4" t="s">
        <v>22</v>
      </c>
      <c r="AQ254" s="4" t="s">
        <v>22</v>
      </c>
    </row>
    <row r="255" spans="29:43"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  <c r="AH255" s="4" t="s">
        <v>22</v>
      </c>
      <c r="AI255" s="4" t="s">
        <v>22</v>
      </c>
      <c r="AK255" s="4" t="s">
        <v>22</v>
      </c>
      <c r="AL255" s="4" t="s">
        <v>22</v>
      </c>
      <c r="AM255" s="4" t="s">
        <v>22</v>
      </c>
      <c r="AN255" s="4" t="s">
        <v>22</v>
      </c>
      <c r="AO255" s="4" t="s">
        <v>22</v>
      </c>
      <c r="AP255" s="4" t="s">
        <v>22</v>
      </c>
      <c r="AQ255" s="4" t="s">
        <v>22</v>
      </c>
    </row>
    <row r="256" spans="29:43">
      <c r="AC256" s="4" t="s">
        <v>22</v>
      </c>
      <c r="AD256" s="4" t="s">
        <v>22</v>
      </c>
      <c r="AE256" s="4" t="s">
        <v>22</v>
      </c>
      <c r="AF256" s="4" t="s">
        <v>22</v>
      </c>
      <c r="AG256" s="4" t="s">
        <v>22</v>
      </c>
      <c r="AH256" s="4" t="s">
        <v>22</v>
      </c>
      <c r="AI256" s="4" t="s">
        <v>22</v>
      </c>
      <c r="AK256" s="4" t="s">
        <v>22</v>
      </c>
      <c r="AL256" s="4" t="s">
        <v>22</v>
      </c>
      <c r="AM256" s="4" t="s">
        <v>22</v>
      </c>
      <c r="AN256" s="4" t="s">
        <v>22</v>
      </c>
      <c r="AO256" s="4" t="s">
        <v>22</v>
      </c>
      <c r="AP256" s="4" t="s">
        <v>22</v>
      </c>
      <c r="AQ256" s="4" t="s">
        <v>22</v>
      </c>
    </row>
    <row r="257" spans="29:43"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  <c r="AH257" s="4" t="s">
        <v>22</v>
      </c>
      <c r="AI257" s="4" t="s">
        <v>22</v>
      </c>
      <c r="AK257" s="4" t="s">
        <v>22</v>
      </c>
      <c r="AL257" s="4" t="s">
        <v>22</v>
      </c>
      <c r="AM257" s="4" t="s">
        <v>22</v>
      </c>
      <c r="AN257" s="4" t="s">
        <v>22</v>
      </c>
      <c r="AO257" s="4" t="s">
        <v>22</v>
      </c>
      <c r="AP257" s="4" t="s">
        <v>22</v>
      </c>
      <c r="AQ257" s="4" t="s">
        <v>22</v>
      </c>
    </row>
    <row r="258" spans="29:43">
      <c r="AC258" s="4" t="s">
        <v>22</v>
      </c>
      <c r="AD258" s="4" t="s">
        <v>22</v>
      </c>
      <c r="AE258" s="4" t="s">
        <v>22</v>
      </c>
      <c r="AF258" s="4" t="s">
        <v>22</v>
      </c>
      <c r="AG258" s="4" t="s">
        <v>22</v>
      </c>
      <c r="AH258" s="4" t="s">
        <v>22</v>
      </c>
      <c r="AI258" s="4" t="s">
        <v>22</v>
      </c>
      <c r="AK258" s="4" t="s">
        <v>22</v>
      </c>
      <c r="AL258" s="4" t="s">
        <v>22</v>
      </c>
      <c r="AM258" s="4" t="s">
        <v>22</v>
      </c>
      <c r="AN258" s="4" t="s">
        <v>22</v>
      </c>
      <c r="AO258" s="4" t="s">
        <v>22</v>
      </c>
      <c r="AP258" s="4" t="s">
        <v>22</v>
      </c>
      <c r="AQ258" s="4" t="s">
        <v>22</v>
      </c>
    </row>
    <row r="259" spans="29:43"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  <c r="AH259" s="4" t="s">
        <v>22</v>
      </c>
      <c r="AI259" s="4" t="s">
        <v>22</v>
      </c>
      <c r="AK259" s="4" t="s">
        <v>22</v>
      </c>
      <c r="AL259" s="4" t="s">
        <v>22</v>
      </c>
      <c r="AM259" s="4" t="s">
        <v>22</v>
      </c>
      <c r="AN259" s="4" t="s">
        <v>22</v>
      </c>
      <c r="AO259" s="4" t="s">
        <v>22</v>
      </c>
      <c r="AP259" s="4" t="s">
        <v>22</v>
      </c>
      <c r="AQ259" s="4" t="s">
        <v>22</v>
      </c>
    </row>
    <row r="260" spans="29:43">
      <c r="AC260" s="4" t="s">
        <v>22</v>
      </c>
      <c r="AD260" s="4" t="s">
        <v>22</v>
      </c>
      <c r="AE260" s="4" t="s">
        <v>22</v>
      </c>
      <c r="AF260" s="4" t="s">
        <v>22</v>
      </c>
      <c r="AG260" s="4" t="s">
        <v>22</v>
      </c>
      <c r="AH260" s="4" t="s">
        <v>22</v>
      </c>
      <c r="AI260" s="4" t="s">
        <v>22</v>
      </c>
      <c r="AK260" s="4" t="s">
        <v>22</v>
      </c>
      <c r="AL260" s="4" t="s">
        <v>22</v>
      </c>
      <c r="AM260" s="4" t="s">
        <v>22</v>
      </c>
      <c r="AN260" s="4" t="s">
        <v>22</v>
      </c>
      <c r="AO260" s="4" t="s">
        <v>22</v>
      </c>
      <c r="AP260" s="4" t="s">
        <v>22</v>
      </c>
      <c r="AQ260" s="4" t="s">
        <v>22</v>
      </c>
    </row>
    <row r="261" spans="29:43"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  <c r="AH261" s="4" t="s">
        <v>22</v>
      </c>
      <c r="AI261" s="4" t="s">
        <v>22</v>
      </c>
      <c r="AK261" s="4" t="s">
        <v>22</v>
      </c>
      <c r="AL261" s="4" t="s">
        <v>22</v>
      </c>
      <c r="AM261" s="4" t="s">
        <v>22</v>
      </c>
      <c r="AN261" s="4" t="s">
        <v>22</v>
      </c>
      <c r="AO261" s="4" t="s">
        <v>22</v>
      </c>
      <c r="AP261" s="4" t="s">
        <v>22</v>
      </c>
      <c r="AQ261" s="4" t="s">
        <v>22</v>
      </c>
    </row>
    <row r="262" spans="29:43">
      <c r="AC262" s="4" t="s">
        <v>22</v>
      </c>
      <c r="AD262" s="4" t="s">
        <v>22</v>
      </c>
      <c r="AE262" s="4" t="s">
        <v>22</v>
      </c>
      <c r="AF262" s="4" t="s">
        <v>22</v>
      </c>
      <c r="AG262" s="4" t="s">
        <v>22</v>
      </c>
      <c r="AH262" s="4" t="s">
        <v>22</v>
      </c>
      <c r="AI262" s="4" t="s">
        <v>22</v>
      </c>
      <c r="AK262" s="4" t="s">
        <v>22</v>
      </c>
      <c r="AL262" s="4" t="s">
        <v>22</v>
      </c>
      <c r="AM262" s="4" t="s">
        <v>22</v>
      </c>
      <c r="AN262" s="4" t="s">
        <v>22</v>
      </c>
      <c r="AO262" s="4" t="s">
        <v>22</v>
      </c>
      <c r="AP262" s="4" t="s">
        <v>22</v>
      </c>
      <c r="AQ262" s="4" t="s">
        <v>22</v>
      </c>
    </row>
    <row r="263" spans="29:43">
      <c r="AC263" s="4" t="s">
        <v>22</v>
      </c>
      <c r="AD263" s="4" t="s">
        <v>22</v>
      </c>
      <c r="AE263" s="4" t="s">
        <v>22</v>
      </c>
      <c r="AF263" s="4" t="s">
        <v>22</v>
      </c>
      <c r="AG263" s="4" t="s">
        <v>22</v>
      </c>
      <c r="AH263" s="4" t="s">
        <v>22</v>
      </c>
      <c r="AI263" s="4" t="s">
        <v>22</v>
      </c>
      <c r="AK263" s="4" t="s">
        <v>22</v>
      </c>
      <c r="AL263" s="4" t="s">
        <v>22</v>
      </c>
      <c r="AM263" s="4" t="s">
        <v>22</v>
      </c>
      <c r="AN263" s="4" t="s">
        <v>22</v>
      </c>
      <c r="AO263" s="4" t="s">
        <v>22</v>
      </c>
      <c r="AP263" s="4" t="s">
        <v>22</v>
      </c>
      <c r="AQ263" s="4" t="s">
        <v>22</v>
      </c>
    </row>
    <row r="264" spans="29:43">
      <c r="AC264" s="4" t="s">
        <v>22</v>
      </c>
      <c r="AD264" s="4" t="s">
        <v>22</v>
      </c>
      <c r="AE264" s="4" t="s">
        <v>22</v>
      </c>
      <c r="AF264" s="4" t="s">
        <v>22</v>
      </c>
      <c r="AG264" s="4" t="s">
        <v>22</v>
      </c>
      <c r="AH264" s="4" t="s">
        <v>22</v>
      </c>
      <c r="AI264" s="4" t="s">
        <v>22</v>
      </c>
      <c r="AK264" s="4" t="s">
        <v>22</v>
      </c>
      <c r="AL264" s="4" t="s">
        <v>22</v>
      </c>
      <c r="AM264" s="4" t="s">
        <v>22</v>
      </c>
      <c r="AN264" s="4" t="s">
        <v>22</v>
      </c>
      <c r="AO264" s="4" t="s">
        <v>22</v>
      </c>
      <c r="AP264" s="4" t="s">
        <v>22</v>
      </c>
      <c r="AQ264" s="4" t="s">
        <v>22</v>
      </c>
    </row>
    <row r="265" spans="29:43">
      <c r="AC265" s="4" t="s">
        <v>22</v>
      </c>
      <c r="AD265" s="4" t="s">
        <v>22</v>
      </c>
      <c r="AE265" s="4" t="s">
        <v>22</v>
      </c>
      <c r="AF265" s="4" t="s">
        <v>22</v>
      </c>
      <c r="AG265" s="4" t="s">
        <v>22</v>
      </c>
      <c r="AH265" s="4" t="s">
        <v>22</v>
      </c>
      <c r="AI265" s="4" t="s">
        <v>22</v>
      </c>
      <c r="AK265" s="4" t="s">
        <v>22</v>
      </c>
      <c r="AL265" s="4" t="s">
        <v>22</v>
      </c>
      <c r="AM265" s="4" t="s">
        <v>22</v>
      </c>
      <c r="AN265" s="4" t="s">
        <v>22</v>
      </c>
      <c r="AO265" s="4" t="s">
        <v>22</v>
      </c>
      <c r="AP265" s="4" t="s">
        <v>22</v>
      </c>
      <c r="AQ265" s="4" t="s">
        <v>22</v>
      </c>
    </row>
    <row r="266" spans="29:43">
      <c r="AC266" s="4" t="s">
        <v>22</v>
      </c>
      <c r="AD266" s="4" t="s">
        <v>22</v>
      </c>
      <c r="AE266" s="4" t="s">
        <v>22</v>
      </c>
      <c r="AF266" s="4" t="s">
        <v>22</v>
      </c>
      <c r="AG266" s="4" t="s">
        <v>22</v>
      </c>
      <c r="AH266" s="4" t="s">
        <v>22</v>
      </c>
      <c r="AI266" s="4" t="s">
        <v>22</v>
      </c>
      <c r="AK266" s="4" t="s">
        <v>22</v>
      </c>
      <c r="AL266" s="4" t="s">
        <v>22</v>
      </c>
      <c r="AM266" s="4" t="s">
        <v>22</v>
      </c>
      <c r="AN266" s="4" t="s">
        <v>22</v>
      </c>
      <c r="AO266" s="4" t="s">
        <v>22</v>
      </c>
      <c r="AP266" s="4" t="s">
        <v>22</v>
      </c>
      <c r="AQ266" s="4" t="s">
        <v>22</v>
      </c>
    </row>
    <row r="267" spans="29:43">
      <c r="AC267" s="4" t="s">
        <v>22</v>
      </c>
      <c r="AD267" s="4" t="s">
        <v>22</v>
      </c>
      <c r="AE267" s="4" t="s">
        <v>22</v>
      </c>
      <c r="AF267" s="4" t="s">
        <v>22</v>
      </c>
      <c r="AG267" s="4" t="s">
        <v>22</v>
      </c>
      <c r="AH267" s="4" t="s">
        <v>22</v>
      </c>
      <c r="AI267" s="4" t="s">
        <v>22</v>
      </c>
      <c r="AK267" s="4" t="s">
        <v>22</v>
      </c>
      <c r="AL267" s="4" t="s">
        <v>22</v>
      </c>
      <c r="AM267" s="4" t="s">
        <v>22</v>
      </c>
      <c r="AN267" s="4" t="s">
        <v>22</v>
      </c>
      <c r="AO267" s="4" t="s">
        <v>22</v>
      </c>
      <c r="AP267" s="4" t="s">
        <v>22</v>
      </c>
      <c r="AQ267" s="4" t="s">
        <v>22</v>
      </c>
    </row>
    <row r="268" spans="29:43">
      <c r="AC268" s="4" t="s">
        <v>22</v>
      </c>
      <c r="AD268" s="4" t="s">
        <v>22</v>
      </c>
      <c r="AE268" s="4" t="s">
        <v>22</v>
      </c>
      <c r="AF268" s="4" t="s">
        <v>22</v>
      </c>
      <c r="AG268" s="4" t="s">
        <v>22</v>
      </c>
      <c r="AH268" s="4" t="s">
        <v>22</v>
      </c>
      <c r="AI268" s="4" t="s">
        <v>22</v>
      </c>
      <c r="AK268" s="4" t="s">
        <v>22</v>
      </c>
      <c r="AL268" s="4" t="s">
        <v>22</v>
      </c>
      <c r="AM268" s="4" t="s">
        <v>22</v>
      </c>
      <c r="AN268" s="4" t="s">
        <v>22</v>
      </c>
      <c r="AO268" s="4" t="s">
        <v>22</v>
      </c>
      <c r="AP268" s="4" t="s">
        <v>22</v>
      </c>
      <c r="AQ268" s="4" t="s">
        <v>22</v>
      </c>
    </row>
    <row r="269" spans="29:43"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  <c r="AH269" s="4" t="s">
        <v>22</v>
      </c>
      <c r="AI269" s="4" t="s">
        <v>22</v>
      </c>
      <c r="AK269" s="4" t="s">
        <v>22</v>
      </c>
      <c r="AL269" s="4" t="s">
        <v>22</v>
      </c>
      <c r="AM269" s="4" t="s">
        <v>22</v>
      </c>
      <c r="AN269" s="4" t="s">
        <v>22</v>
      </c>
      <c r="AO269" s="4" t="s">
        <v>22</v>
      </c>
      <c r="AP269" s="4" t="s">
        <v>22</v>
      </c>
      <c r="AQ269" s="4" t="s">
        <v>22</v>
      </c>
    </row>
    <row r="270" spans="29:43">
      <c r="AC270" s="4" t="s">
        <v>22</v>
      </c>
      <c r="AD270" s="4" t="s">
        <v>22</v>
      </c>
      <c r="AE270" s="4" t="s">
        <v>22</v>
      </c>
      <c r="AF270" s="4" t="s">
        <v>22</v>
      </c>
      <c r="AG270" s="4" t="s">
        <v>22</v>
      </c>
      <c r="AH270" s="4" t="s">
        <v>22</v>
      </c>
      <c r="AI270" s="4" t="s">
        <v>22</v>
      </c>
      <c r="AK270" s="4" t="s">
        <v>22</v>
      </c>
      <c r="AL270" s="4" t="s">
        <v>22</v>
      </c>
      <c r="AM270" s="4" t="s">
        <v>22</v>
      </c>
      <c r="AN270" s="4" t="s">
        <v>22</v>
      </c>
      <c r="AO270" s="4" t="s">
        <v>22</v>
      </c>
      <c r="AP270" s="4" t="s">
        <v>22</v>
      </c>
      <c r="AQ270" s="4" t="s">
        <v>22</v>
      </c>
    </row>
    <row r="271" spans="29:43">
      <c r="AC271" s="4" t="s">
        <v>22</v>
      </c>
      <c r="AD271" s="4" t="s">
        <v>22</v>
      </c>
      <c r="AE271" s="4" t="s">
        <v>22</v>
      </c>
      <c r="AF271" s="4" t="s">
        <v>22</v>
      </c>
      <c r="AG271" s="4" t="s">
        <v>22</v>
      </c>
      <c r="AH271" s="4" t="s">
        <v>22</v>
      </c>
      <c r="AI271" s="4" t="s">
        <v>22</v>
      </c>
      <c r="AK271" s="4" t="s">
        <v>22</v>
      </c>
      <c r="AL271" s="4" t="s">
        <v>22</v>
      </c>
      <c r="AM271" s="4" t="s">
        <v>22</v>
      </c>
      <c r="AN271" s="4" t="s">
        <v>22</v>
      </c>
      <c r="AO271" s="4" t="s">
        <v>22</v>
      </c>
      <c r="AP271" s="4" t="s">
        <v>22</v>
      </c>
      <c r="AQ271" s="4" t="s">
        <v>22</v>
      </c>
    </row>
    <row r="272" spans="29:43">
      <c r="AC272" s="4" t="s">
        <v>22</v>
      </c>
      <c r="AD272" s="4" t="s">
        <v>22</v>
      </c>
      <c r="AE272" s="4" t="s">
        <v>22</v>
      </c>
      <c r="AF272" s="4" t="s">
        <v>22</v>
      </c>
      <c r="AG272" s="4" t="s">
        <v>22</v>
      </c>
      <c r="AH272" s="4" t="s">
        <v>22</v>
      </c>
      <c r="AI272" s="4" t="s">
        <v>22</v>
      </c>
      <c r="AK272" s="4" t="s">
        <v>22</v>
      </c>
      <c r="AL272" s="4" t="s">
        <v>22</v>
      </c>
      <c r="AM272" s="4" t="s">
        <v>22</v>
      </c>
      <c r="AN272" s="4" t="s">
        <v>22</v>
      </c>
      <c r="AO272" s="4" t="s">
        <v>22</v>
      </c>
      <c r="AP272" s="4" t="s">
        <v>22</v>
      </c>
      <c r="AQ272" s="4" t="s">
        <v>22</v>
      </c>
    </row>
    <row r="273" spans="29:43">
      <c r="AC273" s="4" t="s">
        <v>22</v>
      </c>
      <c r="AD273" s="4" t="s">
        <v>22</v>
      </c>
      <c r="AE273" s="4" t="s">
        <v>22</v>
      </c>
      <c r="AF273" s="4" t="s">
        <v>22</v>
      </c>
      <c r="AG273" s="4" t="s">
        <v>22</v>
      </c>
      <c r="AH273" s="4" t="s">
        <v>22</v>
      </c>
      <c r="AI273" s="4" t="s">
        <v>22</v>
      </c>
      <c r="AK273" s="4" t="s">
        <v>22</v>
      </c>
      <c r="AL273" s="4" t="s">
        <v>22</v>
      </c>
      <c r="AM273" s="4" t="s">
        <v>22</v>
      </c>
      <c r="AN273" s="4" t="s">
        <v>22</v>
      </c>
      <c r="AO273" s="4" t="s">
        <v>22</v>
      </c>
      <c r="AP273" s="4" t="s">
        <v>22</v>
      </c>
      <c r="AQ273" s="4" t="s">
        <v>22</v>
      </c>
    </row>
    <row r="274" spans="29:43"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  <c r="AH274" s="4" t="s">
        <v>22</v>
      </c>
      <c r="AI274" s="4" t="s">
        <v>22</v>
      </c>
      <c r="AK274" s="4" t="s">
        <v>22</v>
      </c>
      <c r="AL274" s="4" t="s">
        <v>22</v>
      </c>
      <c r="AM274" s="4" t="s">
        <v>22</v>
      </c>
      <c r="AN274" s="4" t="s">
        <v>22</v>
      </c>
      <c r="AO274" s="4" t="s">
        <v>22</v>
      </c>
      <c r="AP274" s="4" t="s">
        <v>22</v>
      </c>
      <c r="AQ274" s="4" t="s">
        <v>22</v>
      </c>
    </row>
    <row r="275" spans="29:43">
      <c r="AC275" s="4" t="s">
        <v>22</v>
      </c>
      <c r="AD275" s="4" t="s">
        <v>22</v>
      </c>
      <c r="AE275" s="4" t="s">
        <v>22</v>
      </c>
      <c r="AF275" s="4" t="s">
        <v>22</v>
      </c>
      <c r="AG275" s="4" t="s">
        <v>22</v>
      </c>
      <c r="AH275" s="4" t="s">
        <v>22</v>
      </c>
      <c r="AI275" s="4" t="s">
        <v>22</v>
      </c>
      <c r="AK275" s="4" t="s">
        <v>22</v>
      </c>
      <c r="AL275" s="4" t="s">
        <v>22</v>
      </c>
      <c r="AM275" s="4" t="s">
        <v>22</v>
      </c>
      <c r="AN275" s="4" t="s">
        <v>22</v>
      </c>
      <c r="AO275" s="4" t="s">
        <v>22</v>
      </c>
      <c r="AP275" s="4" t="s">
        <v>22</v>
      </c>
      <c r="AQ275" s="4" t="s">
        <v>22</v>
      </c>
    </row>
    <row r="276" spans="29:43">
      <c r="AC276" s="4" t="s">
        <v>22</v>
      </c>
      <c r="AD276" s="4" t="s">
        <v>22</v>
      </c>
      <c r="AE276" s="4" t="s">
        <v>22</v>
      </c>
      <c r="AF276" s="4" t="s">
        <v>22</v>
      </c>
      <c r="AG276" s="4" t="s">
        <v>22</v>
      </c>
      <c r="AH276" s="4" t="s">
        <v>22</v>
      </c>
      <c r="AI276" s="4" t="s">
        <v>22</v>
      </c>
      <c r="AK276" s="4" t="s">
        <v>22</v>
      </c>
      <c r="AL276" s="4" t="s">
        <v>22</v>
      </c>
      <c r="AM276" s="4" t="s">
        <v>22</v>
      </c>
      <c r="AN276" s="4" t="s">
        <v>22</v>
      </c>
      <c r="AO276" s="4" t="s">
        <v>22</v>
      </c>
      <c r="AP276" s="4" t="s">
        <v>22</v>
      </c>
      <c r="AQ276" s="4" t="s">
        <v>22</v>
      </c>
    </row>
    <row r="277" spans="29:43">
      <c r="AC277" s="4" t="s">
        <v>22</v>
      </c>
      <c r="AD277" s="4" t="s">
        <v>22</v>
      </c>
      <c r="AE277" s="4" t="s">
        <v>22</v>
      </c>
      <c r="AF277" s="4" t="s">
        <v>22</v>
      </c>
      <c r="AG277" s="4" t="s">
        <v>22</v>
      </c>
      <c r="AH277" s="4" t="s">
        <v>22</v>
      </c>
      <c r="AI277" s="4" t="s">
        <v>22</v>
      </c>
      <c r="AK277" s="4" t="s">
        <v>22</v>
      </c>
      <c r="AL277" s="4" t="s">
        <v>22</v>
      </c>
      <c r="AM277" s="4" t="s">
        <v>22</v>
      </c>
      <c r="AN277" s="4" t="s">
        <v>22</v>
      </c>
      <c r="AO277" s="4" t="s">
        <v>22</v>
      </c>
      <c r="AP277" s="4" t="s">
        <v>22</v>
      </c>
      <c r="AQ277" s="4" t="s">
        <v>22</v>
      </c>
    </row>
    <row r="278" spans="29:43"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  <c r="AH278" s="4" t="s">
        <v>22</v>
      </c>
      <c r="AI278" s="4" t="s">
        <v>22</v>
      </c>
      <c r="AK278" s="4" t="s">
        <v>22</v>
      </c>
      <c r="AL278" s="4" t="s">
        <v>22</v>
      </c>
      <c r="AM278" s="4" t="s">
        <v>22</v>
      </c>
      <c r="AN278" s="4" t="s">
        <v>22</v>
      </c>
      <c r="AO278" s="4" t="s">
        <v>22</v>
      </c>
      <c r="AP278" s="4" t="s">
        <v>22</v>
      </c>
      <c r="AQ278" s="4" t="s">
        <v>22</v>
      </c>
    </row>
    <row r="279" spans="29:43">
      <c r="AC279" s="4" t="s">
        <v>22</v>
      </c>
      <c r="AD279" s="4" t="s">
        <v>22</v>
      </c>
      <c r="AE279" s="4" t="s">
        <v>22</v>
      </c>
      <c r="AF279" s="4" t="s">
        <v>22</v>
      </c>
      <c r="AG279" s="4" t="s">
        <v>22</v>
      </c>
      <c r="AH279" s="4" t="s">
        <v>22</v>
      </c>
      <c r="AI279" s="4" t="s">
        <v>22</v>
      </c>
      <c r="AK279" s="4" t="s">
        <v>22</v>
      </c>
      <c r="AL279" s="4" t="s">
        <v>22</v>
      </c>
      <c r="AM279" s="4" t="s">
        <v>22</v>
      </c>
      <c r="AN279" s="4" t="s">
        <v>22</v>
      </c>
      <c r="AO279" s="4" t="s">
        <v>22</v>
      </c>
      <c r="AP279" s="4" t="s">
        <v>22</v>
      </c>
      <c r="AQ279" s="4" t="s">
        <v>22</v>
      </c>
    </row>
    <row r="280" spans="29:43">
      <c r="AC280" s="4" t="s">
        <v>22</v>
      </c>
      <c r="AD280" s="4" t="s">
        <v>22</v>
      </c>
      <c r="AE280" s="4" t="s">
        <v>22</v>
      </c>
      <c r="AF280" s="4" t="s">
        <v>22</v>
      </c>
      <c r="AG280" s="4" t="s">
        <v>22</v>
      </c>
      <c r="AH280" s="4" t="s">
        <v>22</v>
      </c>
      <c r="AI280" s="4" t="s">
        <v>22</v>
      </c>
      <c r="AK280" s="4" t="s">
        <v>22</v>
      </c>
      <c r="AL280" s="4" t="s">
        <v>22</v>
      </c>
      <c r="AM280" s="4" t="s">
        <v>22</v>
      </c>
      <c r="AN280" s="4" t="s">
        <v>22</v>
      </c>
      <c r="AO280" s="4" t="s">
        <v>22</v>
      </c>
      <c r="AP280" s="4" t="s">
        <v>22</v>
      </c>
      <c r="AQ280" s="4" t="s">
        <v>22</v>
      </c>
    </row>
    <row r="281" spans="29:43">
      <c r="AC281" s="4" t="s">
        <v>22</v>
      </c>
      <c r="AD281" s="4" t="s">
        <v>22</v>
      </c>
      <c r="AE281" s="4" t="s">
        <v>22</v>
      </c>
      <c r="AF281" s="4" t="s">
        <v>22</v>
      </c>
      <c r="AG281" s="4" t="s">
        <v>22</v>
      </c>
      <c r="AH281" s="4" t="s">
        <v>22</v>
      </c>
      <c r="AI281" s="4" t="s">
        <v>22</v>
      </c>
      <c r="AK281" s="4" t="s">
        <v>22</v>
      </c>
      <c r="AL281" s="4" t="s">
        <v>22</v>
      </c>
      <c r="AM281" s="4" t="s">
        <v>22</v>
      </c>
      <c r="AN281" s="4" t="s">
        <v>22</v>
      </c>
      <c r="AO281" s="4" t="s">
        <v>22</v>
      </c>
      <c r="AP281" s="4" t="s">
        <v>22</v>
      </c>
      <c r="AQ281" s="4" t="s">
        <v>22</v>
      </c>
    </row>
    <row r="282" spans="29:43"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  <c r="AH282" s="4" t="s">
        <v>22</v>
      </c>
      <c r="AI282" s="4" t="s">
        <v>22</v>
      </c>
      <c r="AK282" s="4" t="s">
        <v>22</v>
      </c>
      <c r="AL282" s="4" t="s">
        <v>22</v>
      </c>
      <c r="AM282" s="4" t="s">
        <v>22</v>
      </c>
      <c r="AN282" s="4" t="s">
        <v>22</v>
      </c>
      <c r="AO282" s="4" t="s">
        <v>22</v>
      </c>
      <c r="AP282" s="4" t="s">
        <v>22</v>
      </c>
      <c r="AQ282" s="4" t="s">
        <v>22</v>
      </c>
    </row>
    <row r="283" spans="29:43"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  <c r="AH283" s="4" t="s">
        <v>22</v>
      </c>
      <c r="AI283" s="4" t="s">
        <v>22</v>
      </c>
      <c r="AK283" s="4" t="s">
        <v>22</v>
      </c>
      <c r="AL283" s="4" t="s">
        <v>22</v>
      </c>
      <c r="AM283" s="4" t="s">
        <v>22</v>
      </c>
      <c r="AN283" s="4" t="s">
        <v>22</v>
      </c>
      <c r="AO283" s="4" t="s">
        <v>22</v>
      </c>
      <c r="AP283" s="4" t="s">
        <v>22</v>
      </c>
      <c r="AQ283" s="4" t="s">
        <v>22</v>
      </c>
    </row>
    <row r="284" spans="29:43">
      <c r="AC284" s="4" t="s">
        <v>22</v>
      </c>
      <c r="AD284" s="4" t="s">
        <v>22</v>
      </c>
      <c r="AE284" s="4" t="s">
        <v>22</v>
      </c>
      <c r="AF284" s="4" t="s">
        <v>22</v>
      </c>
      <c r="AG284" s="4" t="s">
        <v>22</v>
      </c>
      <c r="AH284" s="4" t="s">
        <v>22</v>
      </c>
      <c r="AI284" s="4" t="s">
        <v>22</v>
      </c>
      <c r="AK284" s="4" t="s">
        <v>22</v>
      </c>
      <c r="AL284" s="4" t="s">
        <v>22</v>
      </c>
      <c r="AM284" s="4" t="s">
        <v>22</v>
      </c>
      <c r="AN284" s="4" t="s">
        <v>22</v>
      </c>
      <c r="AO284" s="4" t="s">
        <v>22</v>
      </c>
      <c r="AP284" s="4" t="s">
        <v>22</v>
      </c>
      <c r="AQ284" s="4" t="s">
        <v>22</v>
      </c>
    </row>
    <row r="285" spans="29:43">
      <c r="AC285" s="4" t="s">
        <v>22</v>
      </c>
      <c r="AD285" s="4" t="s">
        <v>22</v>
      </c>
      <c r="AE285" s="4" t="s">
        <v>22</v>
      </c>
      <c r="AF285" s="4" t="s">
        <v>22</v>
      </c>
      <c r="AG285" s="4" t="s">
        <v>22</v>
      </c>
      <c r="AH285" s="4" t="s">
        <v>22</v>
      </c>
      <c r="AI285" s="4" t="s">
        <v>22</v>
      </c>
      <c r="AK285" s="4" t="s">
        <v>22</v>
      </c>
      <c r="AL285" s="4" t="s">
        <v>22</v>
      </c>
      <c r="AM285" s="4" t="s">
        <v>22</v>
      </c>
      <c r="AN285" s="4" t="s">
        <v>22</v>
      </c>
      <c r="AO285" s="4" t="s">
        <v>22</v>
      </c>
      <c r="AP285" s="4" t="s">
        <v>22</v>
      </c>
      <c r="AQ285" s="4" t="s">
        <v>22</v>
      </c>
    </row>
    <row r="286" spans="29:43">
      <c r="AC286" s="4" t="s">
        <v>22</v>
      </c>
      <c r="AD286" s="4" t="s">
        <v>22</v>
      </c>
      <c r="AE286" s="4" t="s">
        <v>22</v>
      </c>
      <c r="AF286" s="4" t="s">
        <v>22</v>
      </c>
      <c r="AG286" s="4" t="s">
        <v>22</v>
      </c>
      <c r="AH286" s="4" t="s">
        <v>22</v>
      </c>
      <c r="AI286" s="4" t="s">
        <v>22</v>
      </c>
      <c r="AK286" s="4" t="s">
        <v>22</v>
      </c>
      <c r="AL286" s="4" t="s">
        <v>22</v>
      </c>
      <c r="AM286" s="4" t="s">
        <v>22</v>
      </c>
      <c r="AN286" s="4" t="s">
        <v>22</v>
      </c>
      <c r="AO286" s="4" t="s">
        <v>22</v>
      </c>
      <c r="AP286" s="4" t="s">
        <v>22</v>
      </c>
      <c r="AQ286" s="4" t="s">
        <v>22</v>
      </c>
    </row>
    <row r="287" spans="29:43"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  <c r="AH287" s="4" t="s">
        <v>22</v>
      </c>
      <c r="AI287" s="4" t="s">
        <v>22</v>
      </c>
      <c r="AK287" s="4" t="s">
        <v>22</v>
      </c>
      <c r="AL287" s="4" t="s">
        <v>22</v>
      </c>
      <c r="AM287" s="4" t="s">
        <v>22</v>
      </c>
      <c r="AN287" s="4" t="s">
        <v>22</v>
      </c>
      <c r="AO287" s="4" t="s">
        <v>22</v>
      </c>
      <c r="AP287" s="4" t="s">
        <v>22</v>
      </c>
      <c r="AQ287" s="4" t="s">
        <v>22</v>
      </c>
    </row>
    <row r="288" spans="29:43"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  <c r="AH288" s="4" t="s">
        <v>22</v>
      </c>
      <c r="AI288" s="4" t="s">
        <v>22</v>
      </c>
      <c r="AK288" s="4" t="s">
        <v>22</v>
      </c>
      <c r="AL288" s="4" t="s">
        <v>22</v>
      </c>
      <c r="AM288" s="4" t="s">
        <v>22</v>
      </c>
      <c r="AN288" s="4" t="s">
        <v>22</v>
      </c>
      <c r="AO288" s="4" t="s">
        <v>22</v>
      </c>
      <c r="AP288" s="4" t="s">
        <v>22</v>
      </c>
      <c r="AQ288" s="4" t="s">
        <v>22</v>
      </c>
    </row>
    <row r="289" spans="29:43">
      <c r="AC289" s="4" t="s">
        <v>22</v>
      </c>
      <c r="AD289" s="4" t="s">
        <v>22</v>
      </c>
      <c r="AE289" s="4" t="s">
        <v>22</v>
      </c>
      <c r="AF289" s="4" t="s">
        <v>22</v>
      </c>
      <c r="AG289" s="4" t="s">
        <v>22</v>
      </c>
      <c r="AH289" s="4" t="s">
        <v>22</v>
      </c>
      <c r="AI289" s="4" t="s">
        <v>22</v>
      </c>
      <c r="AK289" s="4" t="s">
        <v>22</v>
      </c>
      <c r="AL289" s="4" t="s">
        <v>22</v>
      </c>
      <c r="AM289" s="4" t="s">
        <v>22</v>
      </c>
      <c r="AN289" s="4" t="s">
        <v>22</v>
      </c>
      <c r="AO289" s="4" t="s">
        <v>22</v>
      </c>
      <c r="AP289" s="4" t="s">
        <v>22</v>
      </c>
      <c r="AQ289" s="4" t="s">
        <v>22</v>
      </c>
    </row>
    <row r="290" spans="29:43">
      <c r="AC290" s="4" t="s">
        <v>22</v>
      </c>
      <c r="AD290" s="4" t="s">
        <v>22</v>
      </c>
      <c r="AE290" s="4" t="s">
        <v>22</v>
      </c>
      <c r="AF290" s="4" t="s">
        <v>22</v>
      </c>
      <c r="AG290" s="4" t="s">
        <v>22</v>
      </c>
      <c r="AH290" s="4" t="s">
        <v>22</v>
      </c>
      <c r="AI290" s="4" t="s">
        <v>22</v>
      </c>
      <c r="AK290" s="4" t="s">
        <v>22</v>
      </c>
      <c r="AL290" s="4" t="s">
        <v>22</v>
      </c>
      <c r="AM290" s="4" t="s">
        <v>22</v>
      </c>
      <c r="AN290" s="4" t="s">
        <v>22</v>
      </c>
      <c r="AO290" s="4" t="s">
        <v>22</v>
      </c>
      <c r="AP290" s="4" t="s">
        <v>22</v>
      </c>
      <c r="AQ290" s="4" t="s">
        <v>22</v>
      </c>
    </row>
    <row r="291" spans="29:43"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  <c r="AH291" s="4" t="s">
        <v>22</v>
      </c>
      <c r="AI291" s="4" t="s">
        <v>22</v>
      </c>
      <c r="AK291" s="4" t="s">
        <v>22</v>
      </c>
      <c r="AL291" s="4" t="s">
        <v>22</v>
      </c>
      <c r="AM291" s="4" t="s">
        <v>22</v>
      </c>
      <c r="AN291" s="4" t="s">
        <v>22</v>
      </c>
      <c r="AO291" s="4" t="s">
        <v>22</v>
      </c>
      <c r="AP291" s="4" t="s">
        <v>22</v>
      </c>
      <c r="AQ291" s="4" t="s">
        <v>22</v>
      </c>
    </row>
    <row r="292" spans="29:43">
      <c r="AC292" s="4" t="s">
        <v>22</v>
      </c>
      <c r="AD292" s="4" t="s">
        <v>22</v>
      </c>
      <c r="AE292" s="4" t="s">
        <v>22</v>
      </c>
      <c r="AF292" s="4" t="s">
        <v>22</v>
      </c>
      <c r="AG292" s="4" t="s">
        <v>22</v>
      </c>
      <c r="AH292" s="4" t="s">
        <v>22</v>
      </c>
      <c r="AI292" s="4" t="s">
        <v>22</v>
      </c>
      <c r="AK292" s="4" t="s">
        <v>22</v>
      </c>
      <c r="AL292" s="4" t="s">
        <v>22</v>
      </c>
      <c r="AM292" s="4" t="s">
        <v>22</v>
      </c>
      <c r="AN292" s="4" t="s">
        <v>22</v>
      </c>
      <c r="AO292" s="4" t="s">
        <v>22</v>
      </c>
      <c r="AP292" s="4" t="s">
        <v>22</v>
      </c>
      <c r="AQ292" s="4" t="s">
        <v>22</v>
      </c>
    </row>
    <row r="293" spans="29:43"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  <c r="AH293" s="4" t="s">
        <v>22</v>
      </c>
      <c r="AI293" s="4" t="s">
        <v>22</v>
      </c>
      <c r="AK293" s="4" t="s">
        <v>22</v>
      </c>
      <c r="AL293" s="4" t="s">
        <v>22</v>
      </c>
      <c r="AM293" s="4" t="s">
        <v>22</v>
      </c>
      <c r="AN293" s="4" t="s">
        <v>22</v>
      </c>
      <c r="AO293" s="4" t="s">
        <v>22</v>
      </c>
      <c r="AP293" s="4" t="s">
        <v>22</v>
      </c>
      <c r="AQ293" s="4" t="s">
        <v>22</v>
      </c>
    </row>
    <row r="294" spans="29:43">
      <c r="AC294" s="4" t="s">
        <v>22</v>
      </c>
      <c r="AD294" s="4" t="s">
        <v>22</v>
      </c>
      <c r="AE294" s="4" t="s">
        <v>22</v>
      </c>
      <c r="AF294" s="4" t="s">
        <v>22</v>
      </c>
      <c r="AG294" s="4" t="s">
        <v>22</v>
      </c>
      <c r="AH294" s="4" t="s">
        <v>22</v>
      </c>
      <c r="AI294" s="4" t="s">
        <v>22</v>
      </c>
      <c r="AK294" s="4" t="s">
        <v>22</v>
      </c>
      <c r="AL294" s="4" t="s">
        <v>22</v>
      </c>
      <c r="AM294" s="4" t="s">
        <v>22</v>
      </c>
      <c r="AN294" s="4" t="s">
        <v>22</v>
      </c>
      <c r="AO294" s="4" t="s">
        <v>22</v>
      </c>
      <c r="AP294" s="4" t="s">
        <v>22</v>
      </c>
      <c r="AQ294" s="4" t="s">
        <v>22</v>
      </c>
    </row>
    <row r="295" spans="29:43">
      <c r="AC295" s="4" t="s">
        <v>22</v>
      </c>
      <c r="AD295" s="4" t="s">
        <v>22</v>
      </c>
      <c r="AE295" s="4" t="s">
        <v>22</v>
      </c>
      <c r="AF295" s="4" t="s">
        <v>22</v>
      </c>
      <c r="AG295" s="4" t="s">
        <v>22</v>
      </c>
      <c r="AH295" s="4" t="s">
        <v>22</v>
      </c>
      <c r="AI295" s="4" t="s">
        <v>22</v>
      </c>
      <c r="AK295" s="4" t="s">
        <v>22</v>
      </c>
      <c r="AL295" s="4" t="s">
        <v>22</v>
      </c>
      <c r="AM295" s="4" t="s">
        <v>22</v>
      </c>
      <c r="AN295" s="4" t="s">
        <v>22</v>
      </c>
      <c r="AO295" s="4" t="s">
        <v>22</v>
      </c>
      <c r="AP295" s="4" t="s">
        <v>22</v>
      </c>
      <c r="AQ295" s="4" t="s">
        <v>22</v>
      </c>
    </row>
    <row r="296" spans="29:43">
      <c r="AC296" s="4" t="s">
        <v>22</v>
      </c>
      <c r="AD296" s="4" t="s">
        <v>22</v>
      </c>
      <c r="AE296" s="4" t="s">
        <v>22</v>
      </c>
      <c r="AF296" s="4" t="s">
        <v>22</v>
      </c>
      <c r="AG296" s="4" t="s">
        <v>22</v>
      </c>
      <c r="AH296" s="4" t="s">
        <v>22</v>
      </c>
      <c r="AI296" s="4" t="s">
        <v>22</v>
      </c>
      <c r="AK296" s="4" t="s">
        <v>22</v>
      </c>
      <c r="AL296" s="4" t="s">
        <v>22</v>
      </c>
      <c r="AM296" s="4" t="s">
        <v>22</v>
      </c>
      <c r="AN296" s="4" t="s">
        <v>22</v>
      </c>
      <c r="AO296" s="4" t="s">
        <v>22</v>
      </c>
      <c r="AP296" s="4" t="s">
        <v>22</v>
      </c>
      <c r="AQ296" s="4" t="s">
        <v>22</v>
      </c>
    </row>
    <row r="297" spans="29:43">
      <c r="AC297" s="4" t="s">
        <v>22</v>
      </c>
      <c r="AD297" s="4" t="s">
        <v>22</v>
      </c>
      <c r="AE297" s="4" t="s">
        <v>22</v>
      </c>
      <c r="AF297" s="4" t="s">
        <v>22</v>
      </c>
      <c r="AG297" s="4" t="s">
        <v>22</v>
      </c>
      <c r="AH297" s="4" t="s">
        <v>22</v>
      </c>
      <c r="AI297" s="4" t="s">
        <v>22</v>
      </c>
      <c r="AK297" s="4" t="s">
        <v>22</v>
      </c>
      <c r="AL297" s="4" t="s">
        <v>22</v>
      </c>
      <c r="AM297" s="4" t="s">
        <v>22</v>
      </c>
      <c r="AN297" s="4" t="s">
        <v>22</v>
      </c>
      <c r="AO297" s="4" t="s">
        <v>22</v>
      </c>
      <c r="AP297" s="4" t="s">
        <v>22</v>
      </c>
      <c r="AQ297" s="4" t="s">
        <v>22</v>
      </c>
    </row>
    <row r="298" spans="29:43">
      <c r="AC298" s="4" t="s">
        <v>22</v>
      </c>
      <c r="AD298" s="4" t="s">
        <v>22</v>
      </c>
      <c r="AE298" s="4" t="s">
        <v>22</v>
      </c>
      <c r="AF298" s="4" t="s">
        <v>22</v>
      </c>
      <c r="AG298" s="4" t="s">
        <v>22</v>
      </c>
      <c r="AH298" s="4" t="s">
        <v>22</v>
      </c>
      <c r="AI298" s="4" t="s">
        <v>22</v>
      </c>
      <c r="AK298" s="4" t="s">
        <v>22</v>
      </c>
      <c r="AL298" s="4" t="s">
        <v>22</v>
      </c>
      <c r="AM298" s="4" t="s">
        <v>22</v>
      </c>
      <c r="AN298" s="4" t="s">
        <v>22</v>
      </c>
      <c r="AO298" s="4" t="s">
        <v>22</v>
      </c>
      <c r="AP298" s="4" t="s">
        <v>22</v>
      </c>
      <c r="AQ298" s="4" t="s">
        <v>22</v>
      </c>
    </row>
    <row r="299" spans="29:43">
      <c r="AC299" s="4" t="s">
        <v>22</v>
      </c>
      <c r="AD299" s="4" t="s">
        <v>22</v>
      </c>
      <c r="AE299" s="4" t="s">
        <v>22</v>
      </c>
      <c r="AF299" s="4" t="s">
        <v>22</v>
      </c>
      <c r="AG299" s="4" t="s">
        <v>22</v>
      </c>
      <c r="AH299" s="4" t="s">
        <v>22</v>
      </c>
      <c r="AI299" s="4" t="s">
        <v>22</v>
      </c>
      <c r="AK299" s="4" t="s">
        <v>22</v>
      </c>
      <c r="AL299" s="4" t="s">
        <v>22</v>
      </c>
      <c r="AM299" s="4" t="s">
        <v>22</v>
      </c>
      <c r="AN299" s="4" t="s">
        <v>22</v>
      </c>
      <c r="AO299" s="4" t="s">
        <v>22</v>
      </c>
      <c r="AP299" s="4" t="s">
        <v>22</v>
      </c>
      <c r="AQ299" s="4" t="s">
        <v>22</v>
      </c>
    </row>
    <row r="300" spans="29:43">
      <c r="AC300" s="4" t="s">
        <v>22</v>
      </c>
      <c r="AD300" s="4" t="s">
        <v>22</v>
      </c>
      <c r="AE300" s="4" t="s">
        <v>22</v>
      </c>
      <c r="AF300" s="4" t="s">
        <v>22</v>
      </c>
      <c r="AG300" s="4" t="s">
        <v>22</v>
      </c>
      <c r="AH300" s="4" t="s">
        <v>22</v>
      </c>
      <c r="AI300" s="4" t="s">
        <v>22</v>
      </c>
      <c r="AK300" s="4" t="s">
        <v>22</v>
      </c>
      <c r="AL300" s="4" t="s">
        <v>22</v>
      </c>
      <c r="AM300" s="4" t="s">
        <v>22</v>
      </c>
      <c r="AN300" s="4" t="s">
        <v>22</v>
      </c>
      <c r="AO300" s="4" t="s">
        <v>22</v>
      </c>
      <c r="AP300" s="4" t="s">
        <v>22</v>
      </c>
      <c r="AQ300" s="4" t="s">
        <v>22</v>
      </c>
    </row>
    <row r="301" spans="29:43">
      <c r="AC301" s="4" t="s">
        <v>22</v>
      </c>
      <c r="AD301" s="4" t="s">
        <v>22</v>
      </c>
      <c r="AE301" s="4" t="s">
        <v>22</v>
      </c>
      <c r="AF301" s="4" t="s">
        <v>22</v>
      </c>
      <c r="AG301" s="4" t="s">
        <v>22</v>
      </c>
      <c r="AH301" s="4" t="s">
        <v>22</v>
      </c>
      <c r="AI301" s="4" t="s">
        <v>22</v>
      </c>
      <c r="AK301" s="4" t="s">
        <v>22</v>
      </c>
      <c r="AL301" s="4" t="s">
        <v>22</v>
      </c>
      <c r="AM301" s="4" t="s">
        <v>22</v>
      </c>
      <c r="AN301" s="4" t="s">
        <v>22</v>
      </c>
      <c r="AO301" s="4" t="s">
        <v>22</v>
      </c>
      <c r="AP301" s="4" t="s">
        <v>22</v>
      </c>
      <c r="AQ301" s="4" t="s">
        <v>22</v>
      </c>
    </row>
    <row r="302" spans="29:43">
      <c r="AC302" s="4" t="s">
        <v>22</v>
      </c>
      <c r="AD302" s="4" t="s">
        <v>22</v>
      </c>
      <c r="AE302" s="4" t="s">
        <v>22</v>
      </c>
      <c r="AF302" s="4" t="s">
        <v>22</v>
      </c>
      <c r="AG302" s="4" t="s">
        <v>22</v>
      </c>
      <c r="AH302" s="4" t="s">
        <v>22</v>
      </c>
      <c r="AI302" s="4" t="s">
        <v>22</v>
      </c>
      <c r="AK302" s="4" t="s">
        <v>22</v>
      </c>
      <c r="AL302" s="4" t="s">
        <v>22</v>
      </c>
      <c r="AM302" s="4" t="s">
        <v>22</v>
      </c>
      <c r="AN302" s="4" t="s">
        <v>22</v>
      </c>
      <c r="AO302" s="4" t="s">
        <v>22</v>
      </c>
      <c r="AP302" s="4" t="s">
        <v>22</v>
      </c>
      <c r="AQ302" s="4" t="s">
        <v>22</v>
      </c>
    </row>
    <row r="303" spans="29:43">
      <c r="AC303" s="4" t="s">
        <v>22</v>
      </c>
      <c r="AD303" s="4" t="s">
        <v>22</v>
      </c>
      <c r="AE303" s="4" t="s">
        <v>22</v>
      </c>
      <c r="AF303" s="4" t="s">
        <v>22</v>
      </c>
      <c r="AG303" s="4" t="s">
        <v>22</v>
      </c>
      <c r="AH303" s="4" t="s">
        <v>22</v>
      </c>
      <c r="AI303" s="4" t="s">
        <v>22</v>
      </c>
      <c r="AK303" s="4" t="s">
        <v>22</v>
      </c>
      <c r="AL303" s="4" t="s">
        <v>22</v>
      </c>
      <c r="AM303" s="4" t="s">
        <v>22</v>
      </c>
      <c r="AN303" s="4" t="s">
        <v>22</v>
      </c>
      <c r="AO303" s="4" t="s">
        <v>22</v>
      </c>
      <c r="AP303" s="4" t="s">
        <v>22</v>
      </c>
      <c r="AQ303" s="4" t="s">
        <v>22</v>
      </c>
    </row>
    <row r="304" spans="29:43">
      <c r="AC304" s="4" t="s">
        <v>22</v>
      </c>
      <c r="AD304" s="4" t="s">
        <v>22</v>
      </c>
      <c r="AE304" s="4" t="s">
        <v>22</v>
      </c>
      <c r="AF304" s="4" t="s">
        <v>22</v>
      </c>
      <c r="AG304" s="4" t="s">
        <v>22</v>
      </c>
      <c r="AH304" s="4" t="s">
        <v>22</v>
      </c>
      <c r="AI304" s="4" t="s">
        <v>22</v>
      </c>
      <c r="AK304" s="4" t="s">
        <v>22</v>
      </c>
      <c r="AL304" s="4" t="s">
        <v>22</v>
      </c>
      <c r="AM304" s="4" t="s">
        <v>22</v>
      </c>
      <c r="AN304" s="4" t="s">
        <v>22</v>
      </c>
      <c r="AO304" s="4" t="s">
        <v>22</v>
      </c>
      <c r="AP304" s="4" t="s">
        <v>22</v>
      </c>
      <c r="AQ304" s="4" t="s">
        <v>22</v>
      </c>
    </row>
    <row r="305" spans="1:43">
      <c r="K305" s="35"/>
      <c r="AC305" s="4" t="s">
        <v>22</v>
      </c>
      <c r="AD305" s="4" t="s">
        <v>22</v>
      </c>
      <c r="AE305" s="4" t="s">
        <v>22</v>
      </c>
      <c r="AF305" s="4" t="s">
        <v>22</v>
      </c>
      <c r="AG305" s="4" t="s">
        <v>22</v>
      </c>
      <c r="AH305" s="4" t="s">
        <v>22</v>
      </c>
      <c r="AI305" s="4" t="s">
        <v>22</v>
      </c>
      <c r="AK305" s="4" t="s">
        <v>22</v>
      </c>
      <c r="AL305" s="4" t="s">
        <v>22</v>
      </c>
      <c r="AM305" s="4" t="s">
        <v>22</v>
      </c>
      <c r="AN305" s="4" t="s">
        <v>22</v>
      </c>
      <c r="AO305" s="4" t="s">
        <v>22</v>
      </c>
      <c r="AP305" s="4" t="s">
        <v>22</v>
      </c>
      <c r="AQ305" s="4" t="s">
        <v>22</v>
      </c>
    </row>
    <row r="306" spans="1:4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AC306" s="4" t="s">
        <v>22</v>
      </c>
      <c r="AD306" s="4" t="s">
        <v>22</v>
      </c>
      <c r="AE306" s="4" t="s">
        <v>22</v>
      </c>
      <c r="AF306" s="4" t="s">
        <v>22</v>
      </c>
      <c r="AG306" s="4" t="s">
        <v>22</v>
      </c>
      <c r="AH306" s="4" t="s">
        <v>22</v>
      </c>
      <c r="AI306" s="4" t="s">
        <v>22</v>
      </c>
      <c r="AK306" s="4" t="s">
        <v>22</v>
      </c>
      <c r="AL306" s="4" t="s">
        <v>22</v>
      </c>
      <c r="AM306" s="4" t="s">
        <v>22</v>
      </c>
      <c r="AN306" s="4" t="s">
        <v>22</v>
      </c>
      <c r="AO306" s="4" t="s">
        <v>22</v>
      </c>
      <c r="AP306" s="4" t="s">
        <v>22</v>
      </c>
      <c r="AQ306" s="4" t="s">
        <v>22</v>
      </c>
    </row>
    <row r="307" spans="1:43">
      <c r="AC307" s="4" t="s">
        <v>22</v>
      </c>
      <c r="AD307" s="4" t="s">
        <v>22</v>
      </c>
      <c r="AE307" s="4" t="s">
        <v>22</v>
      </c>
      <c r="AF307" s="4" t="s">
        <v>22</v>
      </c>
      <c r="AG307" s="4" t="s">
        <v>22</v>
      </c>
      <c r="AH307" s="4" t="s">
        <v>22</v>
      </c>
      <c r="AI307" s="4" t="s">
        <v>22</v>
      </c>
      <c r="AK307" s="4" t="s">
        <v>22</v>
      </c>
      <c r="AL307" s="4" t="s">
        <v>22</v>
      </c>
      <c r="AM307" s="4" t="s">
        <v>22</v>
      </c>
      <c r="AN307" s="4" t="s">
        <v>22</v>
      </c>
      <c r="AO307" s="4" t="s">
        <v>22</v>
      </c>
      <c r="AP307" s="4" t="s">
        <v>22</v>
      </c>
      <c r="AQ307" s="4" t="s">
        <v>22</v>
      </c>
    </row>
    <row r="308" spans="1:43">
      <c r="AC308" s="4" t="s">
        <v>22</v>
      </c>
      <c r="AD308" s="4" t="s">
        <v>22</v>
      </c>
      <c r="AE308" s="4" t="s">
        <v>22</v>
      </c>
      <c r="AF308" s="4" t="s">
        <v>22</v>
      </c>
      <c r="AG308" s="4" t="s">
        <v>22</v>
      </c>
      <c r="AH308" s="4" t="s">
        <v>22</v>
      </c>
      <c r="AI308" s="4" t="s">
        <v>22</v>
      </c>
      <c r="AK308" s="4" t="s">
        <v>22</v>
      </c>
      <c r="AL308" s="4" t="s">
        <v>22</v>
      </c>
      <c r="AM308" s="4" t="s">
        <v>22</v>
      </c>
      <c r="AN308" s="4" t="s">
        <v>22</v>
      </c>
      <c r="AO308" s="4" t="s">
        <v>22</v>
      </c>
      <c r="AP308" s="4" t="s">
        <v>22</v>
      </c>
      <c r="AQ308" s="4" t="s">
        <v>22</v>
      </c>
    </row>
    <row r="309" spans="1:43">
      <c r="AC309" s="4" t="s">
        <v>22</v>
      </c>
      <c r="AD309" s="4" t="s">
        <v>22</v>
      </c>
      <c r="AE309" s="4" t="s">
        <v>22</v>
      </c>
      <c r="AF309" s="4" t="s">
        <v>22</v>
      </c>
      <c r="AG309" s="4" t="s">
        <v>22</v>
      </c>
      <c r="AH309" s="4" t="s">
        <v>22</v>
      </c>
      <c r="AI309" s="4" t="s">
        <v>22</v>
      </c>
      <c r="AK309" s="4" t="s">
        <v>22</v>
      </c>
      <c r="AL309" s="4" t="s">
        <v>22</v>
      </c>
      <c r="AM309" s="4" t="s">
        <v>22</v>
      </c>
      <c r="AN309" s="4" t="s">
        <v>22</v>
      </c>
      <c r="AO309" s="4" t="s">
        <v>22</v>
      </c>
      <c r="AP309" s="4" t="s">
        <v>22</v>
      </c>
      <c r="AQ309" s="4" t="s">
        <v>22</v>
      </c>
    </row>
    <row r="310" spans="1:43">
      <c r="AC310" s="4" t="s">
        <v>22</v>
      </c>
      <c r="AD310" s="4" t="s">
        <v>22</v>
      </c>
      <c r="AE310" s="4" t="s">
        <v>22</v>
      </c>
      <c r="AF310" s="4" t="s">
        <v>22</v>
      </c>
      <c r="AG310" s="4" t="s">
        <v>22</v>
      </c>
      <c r="AH310" s="4" t="s">
        <v>22</v>
      </c>
      <c r="AI310" s="4" t="s">
        <v>22</v>
      </c>
      <c r="AK310" s="4" t="s">
        <v>22</v>
      </c>
      <c r="AL310" s="4" t="s">
        <v>22</v>
      </c>
      <c r="AM310" s="4" t="s">
        <v>22</v>
      </c>
      <c r="AN310" s="4" t="s">
        <v>22</v>
      </c>
      <c r="AO310" s="4" t="s">
        <v>22</v>
      </c>
      <c r="AP310" s="4" t="s">
        <v>22</v>
      </c>
      <c r="AQ310" s="4" t="s">
        <v>22</v>
      </c>
    </row>
    <row r="311" spans="1:43">
      <c r="AC311" s="4" t="s">
        <v>22</v>
      </c>
      <c r="AD311" s="4" t="s">
        <v>22</v>
      </c>
      <c r="AE311" s="4" t="s">
        <v>22</v>
      </c>
      <c r="AF311" s="4" t="s">
        <v>22</v>
      </c>
      <c r="AG311" s="4" t="s">
        <v>22</v>
      </c>
      <c r="AH311" s="4" t="s">
        <v>22</v>
      </c>
      <c r="AI311" s="4" t="s">
        <v>22</v>
      </c>
      <c r="AK311" s="4" t="s">
        <v>22</v>
      </c>
      <c r="AL311" s="4" t="s">
        <v>22</v>
      </c>
      <c r="AM311" s="4" t="s">
        <v>22</v>
      </c>
      <c r="AN311" s="4" t="s">
        <v>22</v>
      </c>
      <c r="AO311" s="4" t="s">
        <v>22</v>
      </c>
      <c r="AP311" s="4" t="s">
        <v>22</v>
      </c>
      <c r="AQ311" s="4" t="s">
        <v>22</v>
      </c>
    </row>
    <row r="312" spans="1:43">
      <c r="AC312" s="4" t="s">
        <v>22</v>
      </c>
      <c r="AD312" s="4" t="s">
        <v>22</v>
      </c>
      <c r="AE312" s="4" t="s">
        <v>22</v>
      </c>
      <c r="AF312" s="4" t="s">
        <v>22</v>
      </c>
      <c r="AG312" s="4" t="s">
        <v>22</v>
      </c>
      <c r="AH312" s="4" t="s">
        <v>22</v>
      </c>
      <c r="AI312" s="4" t="s">
        <v>22</v>
      </c>
      <c r="AK312" s="4" t="s">
        <v>22</v>
      </c>
      <c r="AL312" s="4" t="s">
        <v>22</v>
      </c>
      <c r="AM312" s="4" t="s">
        <v>22</v>
      </c>
      <c r="AN312" s="4" t="s">
        <v>22</v>
      </c>
      <c r="AO312" s="4" t="s">
        <v>22</v>
      </c>
      <c r="AP312" s="4" t="s">
        <v>22</v>
      </c>
      <c r="AQ312" s="4" t="s">
        <v>22</v>
      </c>
    </row>
    <row r="313" spans="1:43">
      <c r="AC313" s="4" t="s">
        <v>22</v>
      </c>
      <c r="AD313" s="4" t="s">
        <v>22</v>
      </c>
      <c r="AE313" s="4" t="s">
        <v>22</v>
      </c>
      <c r="AF313" s="4" t="s">
        <v>22</v>
      </c>
      <c r="AG313" s="4" t="s">
        <v>22</v>
      </c>
      <c r="AH313" s="4" t="s">
        <v>22</v>
      </c>
      <c r="AI313" s="4" t="s">
        <v>22</v>
      </c>
      <c r="AK313" s="4" t="s">
        <v>22</v>
      </c>
      <c r="AL313" s="4" t="s">
        <v>22</v>
      </c>
      <c r="AM313" s="4" t="s">
        <v>22</v>
      </c>
      <c r="AN313" s="4" t="s">
        <v>22</v>
      </c>
      <c r="AO313" s="4" t="s">
        <v>22</v>
      </c>
      <c r="AP313" s="4" t="s">
        <v>22</v>
      </c>
      <c r="AQ313" s="4" t="s">
        <v>22</v>
      </c>
    </row>
    <row r="314" spans="1:43">
      <c r="AC314" s="4" t="s">
        <v>22</v>
      </c>
      <c r="AD314" s="4" t="s">
        <v>22</v>
      </c>
      <c r="AE314" s="4" t="s">
        <v>22</v>
      </c>
      <c r="AF314" s="4" t="s">
        <v>22</v>
      </c>
      <c r="AG314" s="4" t="s">
        <v>22</v>
      </c>
      <c r="AH314" s="4" t="s">
        <v>22</v>
      </c>
      <c r="AI314" s="4" t="s">
        <v>22</v>
      </c>
      <c r="AK314" s="4" t="s">
        <v>22</v>
      </c>
      <c r="AL314" s="4" t="s">
        <v>22</v>
      </c>
      <c r="AM314" s="4" t="s">
        <v>22</v>
      </c>
      <c r="AN314" s="4" t="s">
        <v>22</v>
      </c>
      <c r="AO314" s="4" t="s">
        <v>22</v>
      </c>
      <c r="AP314" s="4" t="s">
        <v>22</v>
      </c>
      <c r="AQ314" s="4" t="s">
        <v>22</v>
      </c>
    </row>
    <row r="315" spans="1:43">
      <c r="AC315" s="4" t="s">
        <v>22</v>
      </c>
      <c r="AD315" s="4" t="s">
        <v>22</v>
      </c>
      <c r="AE315" s="4" t="s">
        <v>22</v>
      </c>
      <c r="AF315" s="4" t="s">
        <v>22</v>
      </c>
      <c r="AG315" s="4" t="s">
        <v>22</v>
      </c>
      <c r="AH315" s="4" t="s">
        <v>22</v>
      </c>
      <c r="AI315" s="4" t="s">
        <v>22</v>
      </c>
      <c r="AK315" s="4" t="s">
        <v>22</v>
      </c>
      <c r="AL315" s="4" t="s">
        <v>22</v>
      </c>
      <c r="AM315" s="4" t="s">
        <v>22</v>
      </c>
      <c r="AN315" s="4" t="s">
        <v>22</v>
      </c>
      <c r="AO315" s="4" t="s">
        <v>22</v>
      </c>
      <c r="AP315" s="4" t="s">
        <v>22</v>
      </c>
      <c r="AQ315" s="4" t="s">
        <v>22</v>
      </c>
    </row>
    <row r="316" spans="1:43">
      <c r="AC316" s="4" t="s">
        <v>22</v>
      </c>
      <c r="AD316" s="4" t="s">
        <v>22</v>
      </c>
      <c r="AE316" s="4" t="s">
        <v>22</v>
      </c>
      <c r="AF316" s="4" t="s">
        <v>22</v>
      </c>
      <c r="AG316" s="4" t="s">
        <v>22</v>
      </c>
      <c r="AH316" s="4" t="s">
        <v>22</v>
      </c>
      <c r="AI316" s="4" t="s">
        <v>22</v>
      </c>
      <c r="AK316" s="4" t="s">
        <v>22</v>
      </c>
      <c r="AL316" s="4" t="s">
        <v>22</v>
      </c>
      <c r="AM316" s="4" t="s">
        <v>22</v>
      </c>
      <c r="AN316" s="4" t="s">
        <v>22</v>
      </c>
      <c r="AO316" s="4" t="s">
        <v>22</v>
      </c>
      <c r="AP316" s="4" t="s">
        <v>22</v>
      </c>
      <c r="AQ316" s="4" t="s">
        <v>22</v>
      </c>
    </row>
    <row r="317" spans="1:43">
      <c r="AC317" s="4" t="s">
        <v>22</v>
      </c>
      <c r="AD317" s="4" t="s">
        <v>22</v>
      </c>
      <c r="AE317" s="4" t="s">
        <v>22</v>
      </c>
      <c r="AF317" s="4" t="s">
        <v>22</v>
      </c>
      <c r="AG317" s="4" t="s">
        <v>22</v>
      </c>
      <c r="AH317" s="4" t="s">
        <v>22</v>
      </c>
      <c r="AI317" s="4" t="s">
        <v>22</v>
      </c>
      <c r="AK317" s="4" t="s">
        <v>22</v>
      </c>
      <c r="AL317" s="4" t="s">
        <v>22</v>
      </c>
      <c r="AM317" s="4" t="s">
        <v>22</v>
      </c>
      <c r="AN317" s="4" t="s">
        <v>22</v>
      </c>
      <c r="AO317" s="4" t="s">
        <v>22</v>
      </c>
      <c r="AP317" s="4" t="s">
        <v>22</v>
      </c>
      <c r="AQ317" s="4" t="s">
        <v>22</v>
      </c>
    </row>
    <row r="318" spans="1:43">
      <c r="AC318" s="4" t="s">
        <v>22</v>
      </c>
      <c r="AD318" s="4" t="s">
        <v>22</v>
      </c>
      <c r="AE318" s="4" t="s">
        <v>22</v>
      </c>
      <c r="AF318" s="4" t="s">
        <v>22</v>
      </c>
      <c r="AG318" s="4" t="s">
        <v>22</v>
      </c>
      <c r="AH318" s="4" t="s">
        <v>22</v>
      </c>
      <c r="AI318" s="4" t="s">
        <v>22</v>
      </c>
      <c r="AK318" s="4" t="s">
        <v>22</v>
      </c>
      <c r="AL318" s="4" t="s">
        <v>22</v>
      </c>
      <c r="AM318" s="4" t="s">
        <v>22</v>
      </c>
      <c r="AN318" s="4" t="s">
        <v>22</v>
      </c>
      <c r="AO318" s="4" t="s">
        <v>22</v>
      </c>
      <c r="AP318" s="4" t="s">
        <v>22</v>
      </c>
      <c r="AQ318" s="4" t="s">
        <v>22</v>
      </c>
    </row>
    <row r="319" spans="1:43">
      <c r="AC319" s="4" t="s">
        <v>22</v>
      </c>
      <c r="AD319" s="4" t="s">
        <v>22</v>
      </c>
      <c r="AE319" s="4" t="s">
        <v>22</v>
      </c>
      <c r="AF319" s="4" t="s">
        <v>22</v>
      </c>
      <c r="AG319" s="4" t="s">
        <v>22</v>
      </c>
      <c r="AH319" s="4" t="s">
        <v>22</v>
      </c>
      <c r="AI319" s="4" t="s">
        <v>22</v>
      </c>
      <c r="AK319" s="4" t="s">
        <v>22</v>
      </c>
      <c r="AL319" s="4" t="s">
        <v>22</v>
      </c>
      <c r="AM319" s="4" t="s">
        <v>22</v>
      </c>
      <c r="AN319" s="4" t="s">
        <v>22</v>
      </c>
      <c r="AO319" s="4" t="s">
        <v>22</v>
      </c>
      <c r="AP319" s="4" t="s">
        <v>22</v>
      </c>
      <c r="AQ319" s="4" t="s">
        <v>22</v>
      </c>
    </row>
    <row r="320" spans="1:43">
      <c r="AC320" s="4" t="s">
        <v>22</v>
      </c>
      <c r="AD320" s="4" t="s">
        <v>22</v>
      </c>
      <c r="AE320" s="4" t="s">
        <v>22</v>
      </c>
      <c r="AF320" s="4" t="s">
        <v>22</v>
      </c>
      <c r="AG320" s="4" t="s">
        <v>22</v>
      </c>
      <c r="AH320" s="4" t="s">
        <v>22</v>
      </c>
      <c r="AI320" s="4" t="s">
        <v>22</v>
      </c>
      <c r="AK320" s="4" t="s">
        <v>22</v>
      </c>
      <c r="AL320" s="4" t="s">
        <v>22</v>
      </c>
      <c r="AM320" s="4" t="s">
        <v>22</v>
      </c>
      <c r="AN320" s="4" t="s">
        <v>22</v>
      </c>
      <c r="AO320" s="4" t="s">
        <v>22</v>
      </c>
      <c r="AP320" s="4" t="s">
        <v>22</v>
      </c>
      <c r="AQ320" s="4" t="s">
        <v>22</v>
      </c>
    </row>
    <row r="321" spans="29:43">
      <c r="AC321" s="4" t="s">
        <v>22</v>
      </c>
      <c r="AD321" s="4" t="s">
        <v>22</v>
      </c>
      <c r="AE321" s="4" t="s">
        <v>22</v>
      </c>
      <c r="AF321" s="4" t="s">
        <v>22</v>
      </c>
      <c r="AG321" s="4" t="s">
        <v>22</v>
      </c>
      <c r="AH321" s="4" t="s">
        <v>22</v>
      </c>
      <c r="AI321" s="4" t="s">
        <v>22</v>
      </c>
      <c r="AK321" s="4" t="s">
        <v>22</v>
      </c>
      <c r="AL321" s="4" t="s">
        <v>22</v>
      </c>
      <c r="AM321" s="4" t="s">
        <v>22</v>
      </c>
      <c r="AN321" s="4" t="s">
        <v>22</v>
      </c>
      <c r="AO321" s="4" t="s">
        <v>22</v>
      </c>
      <c r="AP321" s="4" t="s">
        <v>22</v>
      </c>
      <c r="AQ321" s="4" t="s">
        <v>22</v>
      </c>
    </row>
    <row r="322" spans="29:43">
      <c r="AC322" s="4" t="s">
        <v>22</v>
      </c>
      <c r="AD322" s="4" t="s">
        <v>22</v>
      </c>
      <c r="AE322" s="4" t="s">
        <v>22</v>
      </c>
      <c r="AF322" s="4" t="s">
        <v>22</v>
      </c>
      <c r="AG322" s="4" t="s">
        <v>22</v>
      </c>
      <c r="AH322" s="4" t="s">
        <v>22</v>
      </c>
      <c r="AI322" s="4" t="s">
        <v>22</v>
      </c>
      <c r="AK322" s="4" t="s">
        <v>22</v>
      </c>
      <c r="AL322" s="4" t="s">
        <v>22</v>
      </c>
      <c r="AM322" s="4" t="s">
        <v>22</v>
      </c>
      <c r="AN322" s="4" t="s">
        <v>22</v>
      </c>
      <c r="AO322" s="4" t="s">
        <v>22</v>
      </c>
      <c r="AP322" s="4" t="s">
        <v>22</v>
      </c>
      <c r="AQ322" s="4" t="s">
        <v>22</v>
      </c>
    </row>
    <row r="323" spans="29:43">
      <c r="AC323" s="4" t="s">
        <v>22</v>
      </c>
      <c r="AD323" s="4" t="s">
        <v>22</v>
      </c>
      <c r="AE323" s="4" t="s">
        <v>22</v>
      </c>
      <c r="AF323" s="4" t="s">
        <v>22</v>
      </c>
      <c r="AG323" s="4" t="s">
        <v>22</v>
      </c>
      <c r="AH323" s="4" t="s">
        <v>22</v>
      </c>
      <c r="AI323" s="4" t="s">
        <v>22</v>
      </c>
      <c r="AK323" s="4" t="s">
        <v>22</v>
      </c>
      <c r="AL323" s="4" t="s">
        <v>22</v>
      </c>
      <c r="AM323" s="4" t="s">
        <v>22</v>
      </c>
      <c r="AN323" s="4" t="s">
        <v>22</v>
      </c>
      <c r="AO323" s="4" t="s">
        <v>22</v>
      </c>
      <c r="AP323" s="4" t="s">
        <v>22</v>
      </c>
      <c r="AQ323" s="4" t="s">
        <v>22</v>
      </c>
    </row>
    <row r="324" spans="29:43"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  <c r="AO324" s="4" t="s">
        <v>22</v>
      </c>
      <c r="AP324" s="4" t="s">
        <v>22</v>
      </c>
      <c r="AQ324" s="4" t="s">
        <v>22</v>
      </c>
    </row>
    <row r="325" spans="29:43">
      <c r="AC325" s="4" t="s">
        <v>22</v>
      </c>
      <c r="AD325" s="4" t="s">
        <v>22</v>
      </c>
      <c r="AE325" s="4" t="s">
        <v>22</v>
      </c>
      <c r="AF325" s="4" t="s">
        <v>22</v>
      </c>
      <c r="AG325" s="4" t="s">
        <v>22</v>
      </c>
      <c r="AH325" s="4" t="s">
        <v>22</v>
      </c>
      <c r="AI325" s="4" t="s">
        <v>22</v>
      </c>
      <c r="AK325" s="4" t="s">
        <v>22</v>
      </c>
      <c r="AL325" s="4" t="s">
        <v>22</v>
      </c>
      <c r="AM325" s="4" t="s">
        <v>22</v>
      </c>
      <c r="AN325" s="4" t="s">
        <v>22</v>
      </c>
      <c r="AO325" s="4" t="s">
        <v>22</v>
      </c>
      <c r="AP325" s="4" t="s">
        <v>22</v>
      </c>
      <c r="AQ325" s="4" t="s">
        <v>22</v>
      </c>
    </row>
    <row r="326" spans="29:43"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  <c r="AH326" s="4" t="s">
        <v>22</v>
      </c>
      <c r="AI326" s="4" t="s">
        <v>22</v>
      </c>
      <c r="AK326" s="4" t="s">
        <v>22</v>
      </c>
      <c r="AL326" s="4" t="s">
        <v>22</v>
      </c>
      <c r="AM326" s="4" t="s">
        <v>22</v>
      </c>
      <c r="AN326" s="4" t="s">
        <v>22</v>
      </c>
      <c r="AO326" s="4" t="s">
        <v>22</v>
      </c>
      <c r="AP326" s="4" t="s">
        <v>22</v>
      </c>
      <c r="AQ326" s="4" t="s">
        <v>22</v>
      </c>
    </row>
    <row r="327" spans="29:43">
      <c r="AC327" s="4" t="s">
        <v>22</v>
      </c>
      <c r="AD327" s="4" t="s">
        <v>22</v>
      </c>
      <c r="AE327" s="4" t="s">
        <v>22</v>
      </c>
      <c r="AF327" s="4" t="s">
        <v>22</v>
      </c>
      <c r="AG327" s="4" t="s">
        <v>22</v>
      </c>
      <c r="AH327" s="4" t="s">
        <v>22</v>
      </c>
      <c r="AI327" s="4" t="s">
        <v>22</v>
      </c>
      <c r="AK327" s="4" t="s">
        <v>22</v>
      </c>
      <c r="AL327" s="4" t="s">
        <v>22</v>
      </c>
      <c r="AM327" s="4" t="s">
        <v>22</v>
      </c>
      <c r="AN327" s="4" t="s">
        <v>22</v>
      </c>
      <c r="AO327" s="4" t="s">
        <v>22</v>
      </c>
      <c r="AP327" s="4" t="s">
        <v>22</v>
      </c>
      <c r="AQ327" s="4" t="s">
        <v>22</v>
      </c>
    </row>
    <row r="328" spans="29:43">
      <c r="AC328" s="4" t="s">
        <v>22</v>
      </c>
      <c r="AD328" s="4" t="s">
        <v>22</v>
      </c>
      <c r="AE328" s="4" t="s">
        <v>22</v>
      </c>
      <c r="AF328" s="4" t="s">
        <v>22</v>
      </c>
      <c r="AG328" s="4" t="s">
        <v>22</v>
      </c>
      <c r="AH328" s="4" t="s">
        <v>22</v>
      </c>
      <c r="AI328" s="4" t="s">
        <v>22</v>
      </c>
      <c r="AK328" s="4" t="s">
        <v>22</v>
      </c>
      <c r="AL328" s="4" t="s">
        <v>22</v>
      </c>
      <c r="AM328" s="4" t="s">
        <v>22</v>
      </c>
      <c r="AN328" s="4" t="s">
        <v>22</v>
      </c>
      <c r="AO328" s="4" t="s">
        <v>22</v>
      </c>
      <c r="AP328" s="4" t="s">
        <v>22</v>
      </c>
      <c r="AQ328" s="4" t="s">
        <v>22</v>
      </c>
    </row>
    <row r="329" spans="29:43"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  <c r="AO329" s="4" t="s">
        <v>22</v>
      </c>
      <c r="AP329" s="4" t="s">
        <v>22</v>
      </c>
      <c r="AQ329" s="4" t="s">
        <v>22</v>
      </c>
    </row>
    <row r="330" spans="29:43">
      <c r="AC330" s="4" t="s">
        <v>22</v>
      </c>
      <c r="AD330" s="4" t="s">
        <v>22</v>
      </c>
      <c r="AE330" s="4" t="s">
        <v>22</v>
      </c>
      <c r="AF330" s="4" t="s">
        <v>22</v>
      </c>
      <c r="AG330" s="4" t="s">
        <v>22</v>
      </c>
      <c r="AH330" s="4" t="s">
        <v>22</v>
      </c>
      <c r="AI330" s="4" t="s">
        <v>22</v>
      </c>
      <c r="AK330" s="4" t="s">
        <v>22</v>
      </c>
      <c r="AL330" s="4" t="s">
        <v>22</v>
      </c>
      <c r="AM330" s="4" t="s">
        <v>22</v>
      </c>
      <c r="AN330" s="4" t="s">
        <v>22</v>
      </c>
      <c r="AO330" s="4" t="s">
        <v>22</v>
      </c>
      <c r="AP330" s="4" t="s">
        <v>22</v>
      </c>
      <c r="AQ330" s="4" t="s">
        <v>22</v>
      </c>
    </row>
    <row r="331" spans="29:43">
      <c r="AC331" s="4" t="s">
        <v>22</v>
      </c>
      <c r="AD331" s="4" t="s">
        <v>22</v>
      </c>
      <c r="AE331" s="4" t="s">
        <v>22</v>
      </c>
      <c r="AF331" s="4" t="s">
        <v>22</v>
      </c>
      <c r="AG331" s="4" t="s">
        <v>22</v>
      </c>
      <c r="AH331" s="4" t="s">
        <v>22</v>
      </c>
      <c r="AI331" s="4" t="s">
        <v>22</v>
      </c>
      <c r="AK331" s="4" t="s">
        <v>22</v>
      </c>
      <c r="AL331" s="4" t="s">
        <v>22</v>
      </c>
      <c r="AM331" s="4" t="s">
        <v>22</v>
      </c>
      <c r="AN331" s="4" t="s">
        <v>22</v>
      </c>
      <c r="AO331" s="4" t="s">
        <v>22</v>
      </c>
      <c r="AP331" s="4" t="s">
        <v>22</v>
      </c>
      <c r="AQ331" s="4" t="s">
        <v>22</v>
      </c>
    </row>
    <row r="332" spans="29:43">
      <c r="AC332" s="4" t="s">
        <v>22</v>
      </c>
      <c r="AD332" s="4" t="s">
        <v>22</v>
      </c>
      <c r="AE332" s="4" t="s">
        <v>22</v>
      </c>
      <c r="AF332" s="4" t="s">
        <v>22</v>
      </c>
      <c r="AG332" s="4" t="s">
        <v>22</v>
      </c>
      <c r="AH332" s="4" t="s">
        <v>22</v>
      </c>
      <c r="AI332" s="4" t="s">
        <v>22</v>
      </c>
      <c r="AK332" s="4" t="s">
        <v>22</v>
      </c>
      <c r="AL332" s="4" t="s">
        <v>22</v>
      </c>
      <c r="AM332" s="4" t="s">
        <v>22</v>
      </c>
      <c r="AN332" s="4" t="s">
        <v>22</v>
      </c>
      <c r="AO332" s="4" t="s">
        <v>22</v>
      </c>
      <c r="AP332" s="4" t="s">
        <v>22</v>
      </c>
      <c r="AQ332" s="4" t="s">
        <v>22</v>
      </c>
    </row>
    <row r="333" spans="29:43">
      <c r="AC333" s="4" t="s">
        <v>22</v>
      </c>
      <c r="AD333" s="4" t="s">
        <v>22</v>
      </c>
      <c r="AE333" s="4" t="s">
        <v>22</v>
      </c>
      <c r="AF333" s="4" t="s">
        <v>22</v>
      </c>
      <c r="AG333" s="4" t="s">
        <v>22</v>
      </c>
      <c r="AH333" s="4" t="s">
        <v>22</v>
      </c>
      <c r="AI333" s="4" t="s">
        <v>22</v>
      </c>
      <c r="AK333" s="4" t="s">
        <v>22</v>
      </c>
      <c r="AL333" s="4" t="s">
        <v>22</v>
      </c>
      <c r="AM333" s="4" t="s">
        <v>22</v>
      </c>
      <c r="AN333" s="4" t="s">
        <v>22</v>
      </c>
      <c r="AO333" s="4" t="s">
        <v>22</v>
      </c>
      <c r="AP333" s="4" t="s">
        <v>22</v>
      </c>
      <c r="AQ333" s="4" t="s">
        <v>22</v>
      </c>
    </row>
    <row r="334" spans="29:43"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  <c r="AO334" s="4" t="s">
        <v>22</v>
      </c>
      <c r="AP334" s="4" t="s">
        <v>22</v>
      </c>
      <c r="AQ334" s="4" t="s">
        <v>22</v>
      </c>
    </row>
    <row r="335" spans="29:43">
      <c r="AC335" s="4" t="s">
        <v>22</v>
      </c>
      <c r="AD335" s="4" t="s">
        <v>22</v>
      </c>
      <c r="AE335" s="4" t="s">
        <v>22</v>
      </c>
      <c r="AF335" s="4" t="s">
        <v>22</v>
      </c>
      <c r="AG335" s="4" t="s">
        <v>22</v>
      </c>
      <c r="AH335" s="4" t="s">
        <v>22</v>
      </c>
      <c r="AI335" s="4" t="s">
        <v>22</v>
      </c>
      <c r="AK335" s="4" t="s">
        <v>22</v>
      </c>
      <c r="AL335" s="4" t="s">
        <v>22</v>
      </c>
      <c r="AM335" s="4" t="s">
        <v>22</v>
      </c>
      <c r="AN335" s="4" t="s">
        <v>22</v>
      </c>
      <c r="AO335" s="4" t="s">
        <v>22</v>
      </c>
      <c r="AP335" s="4" t="s">
        <v>22</v>
      </c>
      <c r="AQ335" s="4" t="s">
        <v>22</v>
      </c>
    </row>
    <row r="336" spans="29:43">
      <c r="AC336" s="4" t="s">
        <v>22</v>
      </c>
      <c r="AD336" s="4" t="s">
        <v>22</v>
      </c>
      <c r="AE336" s="4" t="s">
        <v>22</v>
      </c>
      <c r="AF336" s="4" t="s">
        <v>22</v>
      </c>
      <c r="AG336" s="4" t="s">
        <v>22</v>
      </c>
      <c r="AH336" s="4" t="s">
        <v>22</v>
      </c>
      <c r="AI336" s="4" t="s">
        <v>22</v>
      </c>
      <c r="AK336" s="4" t="s">
        <v>22</v>
      </c>
      <c r="AL336" s="4" t="s">
        <v>22</v>
      </c>
      <c r="AM336" s="4" t="s">
        <v>22</v>
      </c>
      <c r="AN336" s="4" t="s">
        <v>22</v>
      </c>
      <c r="AO336" s="4" t="s">
        <v>22</v>
      </c>
      <c r="AP336" s="4" t="s">
        <v>22</v>
      </c>
      <c r="AQ336" s="4" t="s">
        <v>22</v>
      </c>
    </row>
    <row r="337" spans="29:43">
      <c r="AC337" s="4" t="s">
        <v>22</v>
      </c>
      <c r="AD337" s="4" t="s">
        <v>22</v>
      </c>
      <c r="AE337" s="4" t="s">
        <v>22</v>
      </c>
      <c r="AF337" s="4" t="s">
        <v>22</v>
      </c>
      <c r="AG337" s="4" t="s">
        <v>22</v>
      </c>
      <c r="AH337" s="4" t="s">
        <v>22</v>
      </c>
      <c r="AI337" s="4" t="s">
        <v>22</v>
      </c>
      <c r="AK337" s="4" t="s">
        <v>22</v>
      </c>
      <c r="AL337" s="4" t="s">
        <v>22</v>
      </c>
      <c r="AM337" s="4" t="s">
        <v>22</v>
      </c>
      <c r="AN337" s="4" t="s">
        <v>22</v>
      </c>
      <c r="AO337" s="4" t="s">
        <v>22</v>
      </c>
      <c r="AP337" s="4" t="s">
        <v>22</v>
      </c>
      <c r="AQ337" s="4" t="s">
        <v>22</v>
      </c>
    </row>
    <row r="338" spans="29:43">
      <c r="AC338" s="4" t="s">
        <v>22</v>
      </c>
      <c r="AD338" s="4" t="s">
        <v>22</v>
      </c>
      <c r="AE338" s="4" t="s">
        <v>22</v>
      </c>
      <c r="AF338" s="4" t="s">
        <v>22</v>
      </c>
      <c r="AG338" s="4" t="s">
        <v>22</v>
      </c>
      <c r="AH338" s="4" t="s">
        <v>22</v>
      </c>
      <c r="AI338" s="4" t="s">
        <v>22</v>
      </c>
      <c r="AK338" s="4" t="s">
        <v>22</v>
      </c>
      <c r="AL338" s="4" t="s">
        <v>22</v>
      </c>
      <c r="AM338" s="4" t="s">
        <v>22</v>
      </c>
      <c r="AN338" s="4" t="s">
        <v>22</v>
      </c>
      <c r="AO338" s="4" t="s">
        <v>22</v>
      </c>
      <c r="AP338" s="4" t="s">
        <v>22</v>
      </c>
      <c r="AQ338" s="4" t="s">
        <v>22</v>
      </c>
    </row>
    <row r="339" spans="29:43"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  <c r="AO339" s="4" t="s">
        <v>22</v>
      </c>
      <c r="AP339" s="4" t="s">
        <v>22</v>
      </c>
      <c r="AQ339" s="4" t="s">
        <v>22</v>
      </c>
    </row>
    <row r="340" spans="29:43"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  <c r="AH340" s="4" t="s">
        <v>22</v>
      </c>
      <c r="AI340" s="4" t="s">
        <v>22</v>
      </c>
      <c r="AK340" s="4" t="s">
        <v>22</v>
      </c>
      <c r="AL340" s="4" t="s">
        <v>22</v>
      </c>
      <c r="AM340" s="4" t="s">
        <v>22</v>
      </c>
      <c r="AN340" s="4" t="s">
        <v>22</v>
      </c>
      <c r="AO340" s="4" t="s">
        <v>22</v>
      </c>
      <c r="AP340" s="4" t="s">
        <v>22</v>
      </c>
      <c r="AQ340" s="4" t="s">
        <v>22</v>
      </c>
    </row>
    <row r="341" spans="29:43"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  <c r="AO341" s="4" t="s">
        <v>22</v>
      </c>
      <c r="AP341" s="4" t="s">
        <v>22</v>
      </c>
      <c r="AQ341" s="4" t="s">
        <v>22</v>
      </c>
    </row>
    <row r="342" spans="29:43">
      <c r="AC342" s="4" t="s">
        <v>22</v>
      </c>
      <c r="AD342" s="4" t="s">
        <v>22</v>
      </c>
      <c r="AE342" s="4" t="s">
        <v>22</v>
      </c>
      <c r="AF342" s="4" t="s">
        <v>22</v>
      </c>
      <c r="AG342" s="4" t="s">
        <v>22</v>
      </c>
      <c r="AH342" s="4" t="s">
        <v>22</v>
      </c>
      <c r="AI342" s="4" t="s">
        <v>22</v>
      </c>
      <c r="AK342" s="4" t="s">
        <v>22</v>
      </c>
      <c r="AL342" s="4" t="s">
        <v>22</v>
      </c>
      <c r="AM342" s="4" t="s">
        <v>22</v>
      </c>
      <c r="AN342" s="4" t="s">
        <v>22</v>
      </c>
      <c r="AO342" s="4" t="s">
        <v>22</v>
      </c>
      <c r="AP342" s="4" t="s">
        <v>22</v>
      </c>
      <c r="AQ342" s="4" t="s">
        <v>22</v>
      </c>
    </row>
    <row r="343" spans="29:43"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  <c r="AH343" s="4" t="s">
        <v>22</v>
      </c>
      <c r="AI343" s="4" t="s">
        <v>22</v>
      </c>
      <c r="AK343" s="4" t="s">
        <v>22</v>
      </c>
      <c r="AL343" s="4" t="s">
        <v>22</v>
      </c>
      <c r="AM343" s="4" t="s">
        <v>22</v>
      </c>
      <c r="AN343" s="4" t="s">
        <v>22</v>
      </c>
      <c r="AO343" s="4" t="s">
        <v>22</v>
      </c>
      <c r="AP343" s="4" t="s">
        <v>22</v>
      </c>
      <c r="AQ343" s="4" t="s">
        <v>22</v>
      </c>
    </row>
    <row r="344" spans="29:43"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  <c r="AH344" s="4" t="s">
        <v>22</v>
      </c>
      <c r="AI344" s="4" t="s">
        <v>22</v>
      </c>
      <c r="AK344" s="4" t="s">
        <v>22</v>
      </c>
      <c r="AL344" s="4" t="s">
        <v>22</v>
      </c>
      <c r="AM344" s="4" t="s">
        <v>22</v>
      </c>
      <c r="AN344" s="4" t="s">
        <v>22</v>
      </c>
      <c r="AO344" s="4" t="s">
        <v>22</v>
      </c>
      <c r="AP344" s="4" t="s">
        <v>22</v>
      </c>
      <c r="AQ344" s="4" t="s">
        <v>22</v>
      </c>
    </row>
    <row r="345" spans="29:43">
      <c r="AC345" s="4" t="s">
        <v>22</v>
      </c>
      <c r="AD345" s="4" t="s">
        <v>22</v>
      </c>
      <c r="AE345" s="4" t="s">
        <v>22</v>
      </c>
      <c r="AF345" s="4" t="s">
        <v>22</v>
      </c>
      <c r="AG345" s="4" t="s">
        <v>22</v>
      </c>
      <c r="AH345" s="4" t="s">
        <v>22</v>
      </c>
      <c r="AI345" s="4" t="s">
        <v>22</v>
      </c>
      <c r="AK345" s="4" t="s">
        <v>22</v>
      </c>
      <c r="AL345" s="4" t="s">
        <v>22</v>
      </c>
      <c r="AM345" s="4" t="s">
        <v>22</v>
      </c>
      <c r="AN345" s="4" t="s">
        <v>22</v>
      </c>
      <c r="AO345" s="4" t="s">
        <v>22</v>
      </c>
      <c r="AP345" s="4" t="s">
        <v>22</v>
      </c>
      <c r="AQ345" s="4" t="s">
        <v>22</v>
      </c>
    </row>
    <row r="346" spans="29:43"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  <c r="AH346" s="4" t="s">
        <v>22</v>
      </c>
      <c r="AI346" s="4" t="s">
        <v>22</v>
      </c>
      <c r="AK346" s="4" t="s">
        <v>22</v>
      </c>
      <c r="AL346" s="4" t="s">
        <v>22</v>
      </c>
      <c r="AM346" s="4" t="s">
        <v>22</v>
      </c>
      <c r="AN346" s="4" t="s">
        <v>22</v>
      </c>
      <c r="AO346" s="4" t="s">
        <v>22</v>
      </c>
      <c r="AP346" s="4" t="s">
        <v>22</v>
      </c>
      <c r="AQ346" s="4" t="s">
        <v>22</v>
      </c>
    </row>
    <row r="347" spans="29:43">
      <c r="AC347" s="4" t="s">
        <v>22</v>
      </c>
      <c r="AD347" s="4" t="s">
        <v>22</v>
      </c>
      <c r="AE347" s="4" t="s">
        <v>22</v>
      </c>
      <c r="AF347" s="4" t="s">
        <v>22</v>
      </c>
      <c r="AG347" s="4" t="s">
        <v>22</v>
      </c>
      <c r="AH347" s="4" t="s">
        <v>22</v>
      </c>
      <c r="AI347" s="4" t="s">
        <v>22</v>
      </c>
      <c r="AK347" s="4" t="s">
        <v>22</v>
      </c>
      <c r="AL347" s="4" t="s">
        <v>22</v>
      </c>
      <c r="AM347" s="4" t="s">
        <v>22</v>
      </c>
      <c r="AN347" s="4" t="s">
        <v>22</v>
      </c>
      <c r="AO347" s="4" t="s">
        <v>22</v>
      </c>
      <c r="AP347" s="4" t="s">
        <v>22</v>
      </c>
      <c r="AQ347" s="4" t="s">
        <v>22</v>
      </c>
    </row>
    <row r="348" spans="29:43">
      <c r="AC348" s="4" t="s">
        <v>22</v>
      </c>
      <c r="AD348" s="4" t="s">
        <v>22</v>
      </c>
      <c r="AE348" s="4" t="s">
        <v>22</v>
      </c>
      <c r="AF348" s="4" t="s">
        <v>22</v>
      </c>
      <c r="AG348" s="4" t="s">
        <v>22</v>
      </c>
      <c r="AH348" s="4" t="s">
        <v>22</v>
      </c>
      <c r="AI348" s="4" t="s">
        <v>22</v>
      </c>
      <c r="AK348" s="4" t="s">
        <v>22</v>
      </c>
      <c r="AL348" s="4" t="s">
        <v>22</v>
      </c>
      <c r="AM348" s="4" t="s">
        <v>22</v>
      </c>
      <c r="AN348" s="4" t="s">
        <v>22</v>
      </c>
      <c r="AO348" s="4" t="s">
        <v>22</v>
      </c>
      <c r="AP348" s="4" t="s">
        <v>22</v>
      </c>
      <c r="AQ348" s="4" t="s">
        <v>22</v>
      </c>
    </row>
    <row r="349" spans="29:43"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  <c r="AO349" s="4" t="s">
        <v>22</v>
      </c>
      <c r="AP349" s="4" t="s">
        <v>22</v>
      </c>
      <c r="AQ349" s="4" t="s">
        <v>22</v>
      </c>
    </row>
    <row r="350" spans="29:43">
      <c r="AC350" s="4" t="s">
        <v>22</v>
      </c>
      <c r="AD350" s="4" t="s">
        <v>22</v>
      </c>
      <c r="AE350" s="4" t="s">
        <v>22</v>
      </c>
      <c r="AF350" s="4" t="s">
        <v>22</v>
      </c>
      <c r="AG350" s="4" t="s">
        <v>22</v>
      </c>
      <c r="AH350" s="4" t="s">
        <v>22</v>
      </c>
      <c r="AI350" s="4" t="s">
        <v>22</v>
      </c>
      <c r="AK350" s="4" t="s">
        <v>22</v>
      </c>
      <c r="AL350" s="4" t="s">
        <v>22</v>
      </c>
      <c r="AM350" s="4" t="s">
        <v>22</v>
      </c>
      <c r="AN350" s="4" t="s">
        <v>22</v>
      </c>
      <c r="AO350" s="4" t="s">
        <v>22</v>
      </c>
      <c r="AP350" s="4" t="s">
        <v>22</v>
      </c>
      <c r="AQ350" s="4" t="s">
        <v>22</v>
      </c>
    </row>
    <row r="351" spans="29:43"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  <c r="AO351" s="4" t="s">
        <v>22</v>
      </c>
      <c r="AP351" s="4" t="s">
        <v>22</v>
      </c>
      <c r="AQ351" s="4" t="s">
        <v>22</v>
      </c>
    </row>
    <row r="352" spans="29:43">
      <c r="AC352" s="4" t="s">
        <v>22</v>
      </c>
      <c r="AD352" s="4" t="s">
        <v>22</v>
      </c>
      <c r="AE352" s="4" t="s">
        <v>22</v>
      </c>
      <c r="AF352" s="4" t="s">
        <v>22</v>
      </c>
      <c r="AG352" s="4" t="s">
        <v>22</v>
      </c>
      <c r="AH352" s="4" t="s">
        <v>22</v>
      </c>
      <c r="AI352" s="4" t="s">
        <v>22</v>
      </c>
      <c r="AK352" s="4" t="s">
        <v>22</v>
      </c>
      <c r="AL352" s="4" t="s">
        <v>22</v>
      </c>
      <c r="AM352" s="4" t="s">
        <v>22</v>
      </c>
      <c r="AN352" s="4" t="s">
        <v>22</v>
      </c>
      <c r="AO352" s="4" t="s">
        <v>22</v>
      </c>
      <c r="AP352" s="4" t="s">
        <v>22</v>
      </c>
      <c r="AQ352" s="4" t="s">
        <v>22</v>
      </c>
    </row>
    <row r="353" spans="29:43">
      <c r="AC353" s="4" t="s">
        <v>22</v>
      </c>
      <c r="AD353" s="4" t="s">
        <v>22</v>
      </c>
      <c r="AE353" s="4" t="s">
        <v>22</v>
      </c>
      <c r="AF353" s="4" t="s">
        <v>22</v>
      </c>
      <c r="AG353" s="4" t="s">
        <v>22</v>
      </c>
      <c r="AH353" s="4" t="s">
        <v>22</v>
      </c>
      <c r="AI353" s="4" t="s">
        <v>22</v>
      </c>
      <c r="AK353" s="4" t="s">
        <v>22</v>
      </c>
      <c r="AL353" s="4" t="s">
        <v>22</v>
      </c>
      <c r="AM353" s="4" t="s">
        <v>22</v>
      </c>
      <c r="AN353" s="4" t="s">
        <v>22</v>
      </c>
      <c r="AO353" s="4" t="s">
        <v>22</v>
      </c>
      <c r="AP353" s="4" t="s">
        <v>22</v>
      </c>
      <c r="AQ353" s="4" t="s">
        <v>22</v>
      </c>
    </row>
    <row r="354" spans="29:43">
      <c r="AC354" s="4" t="s">
        <v>22</v>
      </c>
      <c r="AD354" s="4" t="s">
        <v>22</v>
      </c>
      <c r="AE354" s="4" t="s">
        <v>22</v>
      </c>
      <c r="AF354" s="4" t="s">
        <v>22</v>
      </c>
      <c r="AG354" s="4" t="s">
        <v>22</v>
      </c>
      <c r="AH354" s="4" t="s">
        <v>22</v>
      </c>
      <c r="AI354" s="4" t="s">
        <v>22</v>
      </c>
      <c r="AK354" s="4" t="s">
        <v>22</v>
      </c>
      <c r="AL354" s="4" t="s">
        <v>22</v>
      </c>
      <c r="AM354" s="4" t="s">
        <v>22</v>
      </c>
      <c r="AN354" s="4" t="s">
        <v>22</v>
      </c>
      <c r="AO354" s="4" t="s">
        <v>22</v>
      </c>
      <c r="AP354" s="4" t="s">
        <v>22</v>
      </c>
      <c r="AQ354" s="4" t="s">
        <v>22</v>
      </c>
    </row>
    <row r="355" spans="29:43"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  <c r="AH355" s="4" t="s">
        <v>22</v>
      </c>
      <c r="AI355" s="4" t="s">
        <v>22</v>
      </c>
      <c r="AK355" s="4" t="s">
        <v>22</v>
      </c>
      <c r="AL355" s="4" t="s">
        <v>22</v>
      </c>
      <c r="AM355" s="4" t="s">
        <v>22</v>
      </c>
      <c r="AN355" s="4" t="s">
        <v>22</v>
      </c>
      <c r="AO355" s="4" t="s">
        <v>22</v>
      </c>
      <c r="AP355" s="4" t="s">
        <v>22</v>
      </c>
      <c r="AQ355" s="4" t="s">
        <v>22</v>
      </c>
    </row>
    <row r="356" spans="29:43">
      <c r="AC356" s="4" t="s">
        <v>22</v>
      </c>
      <c r="AD356" s="4" t="s">
        <v>22</v>
      </c>
      <c r="AE356" s="4" t="s">
        <v>22</v>
      </c>
      <c r="AF356" s="4" t="s">
        <v>22</v>
      </c>
      <c r="AG356" s="4" t="s">
        <v>22</v>
      </c>
      <c r="AH356" s="4" t="s">
        <v>22</v>
      </c>
      <c r="AI356" s="4" t="s">
        <v>22</v>
      </c>
      <c r="AK356" s="4" t="s">
        <v>22</v>
      </c>
      <c r="AL356" s="4" t="s">
        <v>22</v>
      </c>
      <c r="AM356" s="4" t="s">
        <v>22</v>
      </c>
      <c r="AN356" s="4" t="s">
        <v>22</v>
      </c>
      <c r="AO356" s="4" t="s">
        <v>22</v>
      </c>
      <c r="AP356" s="4" t="s">
        <v>22</v>
      </c>
      <c r="AQ356" s="4" t="s">
        <v>22</v>
      </c>
    </row>
    <row r="357" spans="29:43"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  <c r="AH357" s="4" t="s">
        <v>22</v>
      </c>
      <c r="AI357" s="4" t="s">
        <v>22</v>
      </c>
      <c r="AK357" s="4" t="s">
        <v>22</v>
      </c>
      <c r="AL357" s="4" t="s">
        <v>22</v>
      </c>
      <c r="AM357" s="4" t="s">
        <v>22</v>
      </c>
      <c r="AN357" s="4" t="s">
        <v>22</v>
      </c>
      <c r="AO357" s="4" t="s">
        <v>22</v>
      </c>
      <c r="AP357" s="4" t="s">
        <v>22</v>
      </c>
      <c r="AQ357" s="4" t="s">
        <v>22</v>
      </c>
    </row>
    <row r="358" spans="29:43">
      <c r="AC358" s="4" t="s">
        <v>22</v>
      </c>
      <c r="AD358" s="4" t="s">
        <v>22</v>
      </c>
      <c r="AE358" s="4" t="s">
        <v>22</v>
      </c>
      <c r="AF358" s="4" t="s">
        <v>22</v>
      </c>
      <c r="AG358" s="4" t="s">
        <v>22</v>
      </c>
      <c r="AH358" s="4" t="s">
        <v>22</v>
      </c>
      <c r="AI358" s="4" t="s">
        <v>22</v>
      </c>
      <c r="AK358" s="4" t="s">
        <v>22</v>
      </c>
      <c r="AL358" s="4" t="s">
        <v>22</v>
      </c>
      <c r="AM358" s="4" t="s">
        <v>22</v>
      </c>
      <c r="AN358" s="4" t="s">
        <v>22</v>
      </c>
      <c r="AO358" s="4" t="s">
        <v>22</v>
      </c>
      <c r="AP358" s="4" t="s">
        <v>22</v>
      </c>
      <c r="AQ358" s="4" t="s">
        <v>22</v>
      </c>
    </row>
    <row r="359" spans="29:43">
      <c r="AC359" s="4" t="s">
        <v>22</v>
      </c>
      <c r="AD359" s="4" t="s">
        <v>22</v>
      </c>
      <c r="AE359" s="4" t="s">
        <v>22</v>
      </c>
      <c r="AF359" s="4" t="s">
        <v>22</v>
      </c>
      <c r="AG359" s="4" t="s">
        <v>22</v>
      </c>
      <c r="AH359" s="4" t="s">
        <v>22</v>
      </c>
      <c r="AI359" s="4" t="s">
        <v>22</v>
      </c>
      <c r="AK359" s="4" t="s">
        <v>22</v>
      </c>
      <c r="AL359" s="4" t="s">
        <v>22</v>
      </c>
      <c r="AM359" s="4" t="s">
        <v>22</v>
      </c>
      <c r="AN359" s="4" t="s">
        <v>22</v>
      </c>
      <c r="AO359" s="4" t="s">
        <v>22</v>
      </c>
      <c r="AP359" s="4" t="s">
        <v>22</v>
      </c>
      <c r="AQ359" s="4" t="s">
        <v>22</v>
      </c>
    </row>
    <row r="360" spans="29:43"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  <c r="AH360" s="4" t="s">
        <v>22</v>
      </c>
      <c r="AI360" s="4" t="s">
        <v>22</v>
      </c>
      <c r="AK360" s="4" t="s">
        <v>22</v>
      </c>
      <c r="AL360" s="4" t="s">
        <v>22</v>
      </c>
      <c r="AM360" s="4" t="s">
        <v>22</v>
      </c>
      <c r="AN360" s="4" t="s">
        <v>22</v>
      </c>
      <c r="AO360" s="4" t="s">
        <v>22</v>
      </c>
      <c r="AP360" s="4" t="s">
        <v>22</v>
      </c>
      <c r="AQ360" s="4" t="s">
        <v>22</v>
      </c>
    </row>
    <row r="361" spans="29:43">
      <c r="AC361" s="4" t="s">
        <v>22</v>
      </c>
      <c r="AD361" s="4" t="s">
        <v>22</v>
      </c>
      <c r="AE361" s="4" t="s">
        <v>22</v>
      </c>
      <c r="AF361" s="4" t="s">
        <v>22</v>
      </c>
      <c r="AG361" s="4" t="s">
        <v>22</v>
      </c>
      <c r="AH361" s="4" t="s">
        <v>22</v>
      </c>
      <c r="AI361" s="4" t="s">
        <v>22</v>
      </c>
      <c r="AK361" s="4" t="s">
        <v>22</v>
      </c>
      <c r="AL361" s="4" t="s">
        <v>22</v>
      </c>
      <c r="AM361" s="4" t="s">
        <v>22</v>
      </c>
      <c r="AN361" s="4" t="s">
        <v>22</v>
      </c>
      <c r="AO361" s="4" t="s">
        <v>22</v>
      </c>
      <c r="AP361" s="4" t="s">
        <v>22</v>
      </c>
      <c r="AQ361" s="4" t="s">
        <v>22</v>
      </c>
    </row>
    <row r="362" spans="29:43">
      <c r="AC362" s="4" t="s">
        <v>22</v>
      </c>
      <c r="AD362" s="4" t="s">
        <v>22</v>
      </c>
      <c r="AE362" s="4" t="s">
        <v>22</v>
      </c>
      <c r="AF362" s="4" t="s">
        <v>22</v>
      </c>
      <c r="AG362" s="4" t="s">
        <v>22</v>
      </c>
      <c r="AH362" s="4" t="s">
        <v>22</v>
      </c>
      <c r="AI362" s="4" t="s">
        <v>22</v>
      </c>
      <c r="AK362" s="4" t="s">
        <v>22</v>
      </c>
      <c r="AL362" s="4" t="s">
        <v>22</v>
      </c>
      <c r="AM362" s="4" t="s">
        <v>22</v>
      </c>
      <c r="AN362" s="4" t="s">
        <v>22</v>
      </c>
      <c r="AO362" s="4" t="s">
        <v>22</v>
      </c>
      <c r="AP362" s="4" t="s">
        <v>22</v>
      </c>
      <c r="AQ362" s="4" t="s">
        <v>22</v>
      </c>
    </row>
    <row r="363" spans="29:43">
      <c r="AC363" s="4" t="s">
        <v>22</v>
      </c>
      <c r="AD363" s="4" t="s">
        <v>22</v>
      </c>
      <c r="AE363" s="4" t="s">
        <v>22</v>
      </c>
      <c r="AF363" s="4" t="s">
        <v>22</v>
      </c>
      <c r="AG363" s="4" t="s">
        <v>22</v>
      </c>
      <c r="AH363" s="4" t="s">
        <v>22</v>
      </c>
      <c r="AI363" s="4" t="s">
        <v>22</v>
      </c>
      <c r="AK363" s="4" t="s">
        <v>22</v>
      </c>
      <c r="AL363" s="4" t="s">
        <v>22</v>
      </c>
      <c r="AM363" s="4" t="s">
        <v>22</v>
      </c>
      <c r="AN363" s="4" t="s">
        <v>22</v>
      </c>
      <c r="AO363" s="4" t="s">
        <v>22</v>
      </c>
      <c r="AP363" s="4" t="s">
        <v>22</v>
      </c>
      <c r="AQ363" s="4" t="s">
        <v>22</v>
      </c>
    </row>
    <row r="364" spans="29:43">
      <c r="AC364" s="4" t="s">
        <v>22</v>
      </c>
      <c r="AD364" s="4" t="s">
        <v>22</v>
      </c>
      <c r="AE364" s="4" t="s">
        <v>22</v>
      </c>
      <c r="AF364" s="4" t="s">
        <v>22</v>
      </c>
      <c r="AG364" s="4" t="s">
        <v>22</v>
      </c>
      <c r="AH364" s="4" t="s">
        <v>22</v>
      </c>
      <c r="AI364" s="4" t="s">
        <v>22</v>
      </c>
      <c r="AK364" s="4" t="s">
        <v>22</v>
      </c>
      <c r="AL364" s="4" t="s">
        <v>22</v>
      </c>
      <c r="AM364" s="4" t="s">
        <v>22</v>
      </c>
      <c r="AN364" s="4" t="s">
        <v>22</v>
      </c>
      <c r="AO364" s="4" t="s">
        <v>22</v>
      </c>
      <c r="AP364" s="4" t="s">
        <v>22</v>
      </c>
      <c r="AQ364" s="4" t="s">
        <v>22</v>
      </c>
    </row>
    <row r="365" spans="29:43">
      <c r="AC365" s="4" t="s">
        <v>22</v>
      </c>
      <c r="AD365" s="4" t="s">
        <v>22</v>
      </c>
      <c r="AE365" s="4" t="s">
        <v>22</v>
      </c>
      <c r="AF365" s="4" t="s">
        <v>22</v>
      </c>
      <c r="AG365" s="4" t="s">
        <v>22</v>
      </c>
      <c r="AH365" s="4" t="s">
        <v>22</v>
      </c>
      <c r="AI365" s="4" t="s">
        <v>22</v>
      </c>
      <c r="AK365" s="4" t="s">
        <v>22</v>
      </c>
      <c r="AL365" s="4" t="s">
        <v>22</v>
      </c>
      <c r="AM365" s="4" t="s">
        <v>22</v>
      </c>
      <c r="AN365" s="4" t="s">
        <v>22</v>
      </c>
      <c r="AO365" s="4" t="s">
        <v>22</v>
      </c>
      <c r="AP365" s="4" t="s">
        <v>22</v>
      </c>
      <c r="AQ365" s="4" t="s">
        <v>22</v>
      </c>
    </row>
    <row r="366" spans="29:43">
      <c r="AC366" s="4" t="s">
        <v>22</v>
      </c>
      <c r="AD366" s="4" t="s">
        <v>22</v>
      </c>
      <c r="AE366" s="4" t="s">
        <v>22</v>
      </c>
      <c r="AF366" s="4" t="s">
        <v>22</v>
      </c>
      <c r="AG366" s="4" t="s">
        <v>22</v>
      </c>
      <c r="AH366" s="4" t="s">
        <v>22</v>
      </c>
      <c r="AI366" s="4" t="s">
        <v>22</v>
      </c>
      <c r="AK366" s="4" t="s">
        <v>22</v>
      </c>
      <c r="AL366" s="4" t="s">
        <v>22</v>
      </c>
      <c r="AM366" s="4" t="s">
        <v>22</v>
      </c>
      <c r="AN366" s="4" t="s">
        <v>22</v>
      </c>
      <c r="AO366" s="4" t="s">
        <v>22</v>
      </c>
      <c r="AP366" s="4" t="s">
        <v>22</v>
      </c>
      <c r="AQ366" s="4" t="s">
        <v>22</v>
      </c>
    </row>
    <row r="367" spans="29:43">
      <c r="AC367" s="4" t="s">
        <v>22</v>
      </c>
      <c r="AD367" s="4" t="s">
        <v>22</v>
      </c>
      <c r="AE367" s="4" t="s">
        <v>22</v>
      </c>
      <c r="AF367" s="4" t="s">
        <v>22</v>
      </c>
      <c r="AG367" s="4" t="s">
        <v>22</v>
      </c>
      <c r="AH367" s="4" t="s">
        <v>22</v>
      </c>
      <c r="AI367" s="4" t="s">
        <v>22</v>
      </c>
      <c r="AK367" s="4" t="s">
        <v>22</v>
      </c>
      <c r="AL367" s="4" t="s">
        <v>22</v>
      </c>
      <c r="AM367" s="4" t="s">
        <v>22</v>
      </c>
      <c r="AN367" s="4" t="s">
        <v>22</v>
      </c>
      <c r="AO367" s="4" t="s">
        <v>22</v>
      </c>
      <c r="AP367" s="4" t="s">
        <v>22</v>
      </c>
      <c r="AQ367" s="4" t="s">
        <v>22</v>
      </c>
    </row>
    <row r="368" spans="29:43">
      <c r="AC368" s="4" t="s">
        <v>22</v>
      </c>
      <c r="AD368" s="4" t="s">
        <v>22</v>
      </c>
      <c r="AE368" s="4" t="s">
        <v>22</v>
      </c>
      <c r="AF368" s="4" t="s">
        <v>22</v>
      </c>
      <c r="AG368" s="4" t="s">
        <v>22</v>
      </c>
      <c r="AH368" s="4" t="s">
        <v>22</v>
      </c>
      <c r="AI368" s="4" t="s">
        <v>22</v>
      </c>
      <c r="AK368" s="4" t="s">
        <v>22</v>
      </c>
      <c r="AL368" s="4" t="s">
        <v>22</v>
      </c>
      <c r="AM368" s="4" t="s">
        <v>22</v>
      </c>
      <c r="AN368" s="4" t="s">
        <v>22</v>
      </c>
      <c r="AO368" s="4" t="s">
        <v>22</v>
      </c>
      <c r="AP368" s="4" t="s">
        <v>22</v>
      </c>
      <c r="AQ368" s="4" t="s">
        <v>22</v>
      </c>
    </row>
    <row r="369" spans="29:43"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  <c r="AH369" s="4" t="s">
        <v>22</v>
      </c>
      <c r="AI369" s="4" t="s">
        <v>22</v>
      </c>
      <c r="AK369" s="4" t="s">
        <v>22</v>
      </c>
      <c r="AL369" s="4" t="s">
        <v>22</v>
      </c>
      <c r="AM369" s="4" t="s">
        <v>22</v>
      </c>
      <c r="AN369" s="4" t="s">
        <v>22</v>
      </c>
      <c r="AO369" s="4" t="s">
        <v>22</v>
      </c>
      <c r="AP369" s="4" t="s">
        <v>22</v>
      </c>
      <c r="AQ369" s="4" t="s">
        <v>22</v>
      </c>
    </row>
    <row r="370" spans="29:43">
      <c r="AC370" s="4" t="s">
        <v>22</v>
      </c>
      <c r="AD370" s="4" t="s">
        <v>22</v>
      </c>
      <c r="AE370" s="4" t="s">
        <v>22</v>
      </c>
      <c r="AF370" s="4" t="s">
        <v>22</v>
      </c>
      <c r="AG370" s="4" t="s">
        <v>22</v>
      </c>
      <c r="AH370" s="4" t="s">
        <v>22</v>
      </c>
      <c r="AI370" s="4" t="s">
        <v>22</v>
      </c>
      <c r="AK370" s="4" t="s">
        <v>22</v>
      </c>
      <c r="AL370" s="4" t="s">
        <v>22</v>
      </c>
      <c r="AM370" s="4" t="s">
        <v>22</v>
      </c>
      <c r="AN370" s="4" t="s">
        <v>22</v>
      </c>
      <c r="AO370" s="4" t="s">
        <v>22</v>
      </c>
      <c r="AP370" s="4" t="s">
        <v>22</v>
      </c>
      <c r="AQ370" s="4" t="s">
        <v>22</v>
      </c>
    </row>
    <row r="371" spans="29:43">
      <c r="AC371" s="4" t="s">
        <v>22</v>
      </c>
      <c r="AD371" s="4" t="s">
        <v>22</v>
      </c>
      <c r="AE371" s="4" t="s">
        <v>22</v>
      </c>
      <c r="AF371" s="4" t="s">
        <v>22</v>
      </c>
      <c r="AG371" s="4" t="s">
        <v>22</v>
      </c>
      <c r="AH371" s="4" t="s">
        <v>22</v>
      </c>
      <c r="AI371" s="4" t="s">
        <v>22</v>
      </c>
      <c r="AK371" s="4" t="s">
        <v>22</v>
      </c>
      <c r="AL371" s="4" t="s">
        <v>22</v>
      </c>
      <c r="AM371" s="4" t="s">
        <v>22</v>
      </c>
      <c r="AN371" s="4" t="s">
        <v>22</v>
      </c>
      <c r="AO371" s="4" t="s">
        <v>22</v>
      </c>
      <c r="AP371" s="4" t="s">
        <v>22</v>
      </c>
      <c r="AQ371" s="4" t="s">
        <v>22</v>
      </c>
    </row>
    <row r="372" spans="29:43">
      <c r="AC372" s="4" t="s">
        <v>22</v>
      </c>
      <c r="AD372" s="4" t="s">
        <v>22</v>
      </c>
      <c r="AE372" s="4" t="s">
        <v>22</v>
      </c>
      <c r="AF372" s="4" t="s">
        <v>22</v>
      </c>
      <c r="AG372" s="4" t="s">
        <v>22</v>
      </c>
      <c r="AH372" s="4" t="s">
        <v>22</v>
      </c>
      <c r="AI372" s="4" t="s">
        <v>22</v>
      </c>
      <c r="AK372" s="4" t="s">
        <v>22</v>
      </c>
      <c r="AL372" s="4" t="s">
        <v>22</v>
      </c>
      <c r="AM372" s="4" t="s">
        <v>22</v>
      </c>
      <c r="AN372" s="4" t="s">
        <v>22</v>
      </c>
      <c r="AO372" s="4" t="s">
        <v>22</v>
      </c>
      <c r="AP372" s="4" t="s">
        <v>22</v>
      </c>
      <c r="AQ372" s="4" t="s">
        <v>22</v>
      </c>
    </row>
    <row r="373" spans="29:43">
      <c r="AC373" s="4" t="s">
        <v>22</v>
      </c>
      <c r="AD373" s="4" t="s">
        <v>22</v>
      </c>
      <c r="AE373" s="4" t="s">
        <v>22</v>
      </c>
      <c r="AF373" s="4" t="s">
        <v>22</v>
      </c>
      <c r="AG373" s="4" t="s">
        <v>22</v>
      </c>
      <c r="AH373" s="4" t="s">
        <v>22</v>
      </c>
      <c r="AI373" s="4" t="s">
        <v>22</v>
      </c>
      <c r="AK373" s="4" t="s">
        <v>22</v>
      </c>
      <c r="AL373" s="4" t="s">
        <v>22</v>
      </c>
      <c r="AM373" s="4" t="s">
        <v>22</v>
      </c>
      <c r="AN373" s="4" t="s">
        <v>22</v>
      </c>
      <c r="AO373" s="4" t="s">
        <v>22</v>
      </c>
      <c r="AP373" s="4" t="s">
        <v>22</v>
      </c>
      <c r="AQ373" s="4" t="s">
        <v>22</v>
      </c>
    </row>
    <row r="374" spans="29:43">
      <c r="AC374" s="4" t="s">
        <v>22</v>
      </c>
      <c r="AD374" s="4" t="s">
        <v>22</v>
      </c>
      <c r="AE374" s="4" t="s">
        <v>22</v>
      </c>
      <c r="AF374" s="4" t="s">
        <v>22</v>
      </c>
      <c r="AG374" s="4" t="s">
        <v>22</v>
      </c>
      <c r="AH374" s="4" t="s">
        <v>22</v>
      </c>
      <c r="AI374" s="4" t="s">
        <v>22</v>
      </c>
      <c r="AK374" s="4" t="s">
        <v>22</v>
      </c>
      <c r="AL374" s="4" t="s">
        <v>22</v>
      </c>
      <c r="AM374" s="4" t="s">
        <v>22</v>
      </c>
      <c r="AN374" s="4" t="s">
        <v>22</v>
      </c>
      <c r="AO374" s="4" t="s">
        <v>22</v>
      </c>
      <c r="AP374" s="4" t="s">
        <v>22</v>
      </c>
      <c r="AQ374" s="4" t="s">
        <v>22</v>
      </c>
    </row>
    <row r="375" spans="29:43"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  <c r="AH375" s="4" t="s">
        <v>22</v>
      </c>
      <c r="AI375" s="4" t="s">
        <v>22</v>
      </c>
      <c r="AK375" s="4" t="s">
        <v>22</v>
      </c>
      <c r="AL375" s="4" t="s">
        <v>22</v>
      </c>
      <c r="AM375" s="4" t="s">
        <v>22</v>
      </c>
      <c r="AN375" s="4" t="s">
        <v>22</v>
      </c>
      <c r="AO375" s="4" t="s">
        <v>22</v>
      </c>
      <c r="AP375" s="4" t="s">
        <v>22</v>
      </c>
      <c r="AQ375" s="4" t="s">
        <v>22</v>
      </c>
    </row>
    <row r="376" spans="29:43">
      <c r="AC376" s="4" t="s">
        <v>22</v>
      </c>
      <c r="AD376" s="4" t="s">
        <v>22</v>
      </c>
      <c r="AE376" s="4" t="s">
        <v>22</v>
      </c>
      <c r="AF376" s="4" t="s">
        <v>22</v>
      </c>
      <c r="AG376" s="4" t="s">
        <v>22</v>
      </c>
      <c r="AH376" s="4" t="s">
        <v>22</v>
      </c>
      <c r="AI376" s="4" t="s">
        <v>22</v>
      </c>
      <c r="AK376" s="4" t="s">
        <v>22</v>
      </c>
      <c r="AL376" s="4" t="s">
        <v>22</v>
      </c>
      <c r="AM376" s="4" t="s">
        <v>22</v>
      </c>
      <c r="AN376" s="4" t="s">
        <v>22</v>
      </c>
      <c r="AO376" s="4" t="s">
        <v>22</v>
      </c>
      <c r="AP376" s="4" t="s">
        <v>22</v>
      </c>
      <c r="AQ376" s="4" t="s">
        <v>22</v>
      </c>
    </row>
    <row r="377" spans="29:43"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  <c r="AH377" s="4" t="s">
        <v>22</v>
      </c>
      <c r="AI377" s="4" t="s">
        <v>22</v>
      </c>
      <c r="AK377" s="4" t="s">
        <v>22</v>
      </c>
      <c r="AL377" s="4" t="s">
        <v>22</v>
      </c>
      <c r="AM377" s="4" t="s">
        <v>22</v>
      </c>
      <c r="AN377" s="4" t="s">
        <v>22</v>
      </c>
      <c r="AO377" s="4" t="s">
        <v>22</v>
      </c>
      <c r="AP377" s="4" t="s">
        <v>22</v>
      </c>
      <c r="AQ377" s="4" t="s">
        <v>22</v>
      </c>
    </row>
    <row r="378" spans="29:43">
      <c r="AC378" s="4" t="s">
        <v>22</v>
      </c>
      <c r="AD378" s="4" t="s">
        <v>22</v>
      </c>
      <c r="AE378" s="4" t="s">
        <v>22</v>
      </c>
      <c r="AF378" s="4" t="s">
        <v>22</v>
      </c>
      <c r="AG378" s="4" t="s">
        <v>22</v>
      </c>
      <c r="AH378" s="4" t="s">
        <v>22</v>
      </c>
      <c r="AI378" s="4" t="s">
        <v>22</v>
      </c>
      <c r="AK378" s="4" t="s">
        <v>22</v>
      </c>
      <c r="AL378" s="4" t="s">
        <v>22</v>
      </c>
      <c r="AM378" s="4" t="s">
        <v>22</v>
      </c>
      <c r="AN378" s="4" t="s">
        <v>22</v>
      </c>
      <c r="AO378" s="4" t="s">
        <v>22</v>
      </c>
      <c r="AP378" s="4" t="s">
        <v>22</v>
      </c>
      <c r="AQ378" s="4" t="s">
        <v>22</v>
      </c>
    </row>
    <row r="379" spans="29:43"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  <c r="AH379" s="4" t="s">
        <v>22</v>
      </c>
      <c r="AI379" s="4" t="s">
        <v>22</v>
      </c>
      <c r="AK379" s="4" t="s">
        <v>22</v>
      </c>
      <c r="AL379" s="4" t="s">
        <v>22</v>
      </c>
      <c r="AM379" s="4" t="s">
        <v>22</v>
      </c>
      <c r="AN379" s="4" t="s">
        <v>22</v>
      </c>
      <c r="AO379" s="4" t="s">
        <v>22</v>
      </c>
      <c r="AP379" s="4" t="s">
        <v>22</v>
      </c>
      <c r="AQ379" s="4" t="s">
        <v>22</v>
      </c>
    </row>
    <row r="380" spans="29:43">
      <c r="AC380" s="4" t="s">
        <v>22</v>
      </c>
      <c r="AD380" s="4" t="s">
        <v>22</v>
      </c>
      <c r="AE380" s="4" t="s">
        <v>22</v>
      </c>
      <c r="AF380" s="4" t="s">
        <v>22</v>
      </c>
      <c r="AG380" s="4" t="s">
        <v>22</v>
      </c>
      <c r="AH380" s="4" t="s">
        <v>22</v>
      </c>
      <c r="AI380" s="4" t="s">
        <v>22</v>
      </c>
      <c r="AK380" s="4" t="s">
        <v>22</v>
      </c>
      <c r="AL380" s="4" t="s">
        <v>22</v>
      </c>
      <c r="AM380" s="4" t="s">
        <v>22</v>
      </c>
      <c r="AN380" s="4" t="s">
        <v>22</v>
      </c>
      <c r="AO380" s="4" t="s">
        <v>22</v>
      </c>
      <c r="AP380" s="4" t="s">
        <v>22</v>
      </c>
      <c r="AQ380" s="4" t="s">
        <v>22</v>
      </c>
    </row>
    <row r="381" spans="29:43">
      <c r="AC381" s="4" t="s">
        <v>22</v>
      </c>
      <c r="AD381" s="4" t="s">
        <v>22</v>
      </c>
      <c r="AE381" s="4" t="s">
        <v>22</v>
      </c>
      <c r="AF381" s="4" t="s">
        <v>22</v>
      </c>
      <c r="AG381" s="4" t="s">
        <v>22</v>
      </c>
      <c r="AH381" s="4" t="s">
        <v>22</v>
      </c>
      <c r="AI381" s="4" t="s">
        <v>22</v>
      </c>
      <c r="AK381" s="4" t="s">
        <v>22</v>
      </c>
      <c r="AL381" s="4" t="s">
        <v>22</v>
      </c>
      <c r="AM381" s="4" t="s">
        <v>22</v>
      </c>
      <c r="AN381" s="4" t="s">
        <v>22</v>
      </c>
      <c r="AO381" s="4" t="s">
        <v>22</v>
      </c>
      <c r="AP381" s="4" t="s">
        <v>22</v>
      </c>
      <c r="AQ381" s="4" t="s">
        <v>22</v>
      </c>
    </row>
    <row r="382" spans="29:43"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  <c r="AO382" s="4" t="s">
        <v>22</v>
      </c>
      <c r="AP382" s="4" t="s">
        <v>22</v>
      </c>
      <c r="AQ382" s="4" t="s">
        <v>22</v>
      </c>
    </row>
    <row r="383" spans="29:43">
      <c r="AC383" s="4" t="s">
        <v>22</v>
      </c>
      <c r="AD383" s="4" t="s">
        <v>22</v>
      </c>
      <c r="AE383" s="4" t="s">
        <v>22</v>
      </c>
      <c r="AF383" s="4" t="s">
        <v>22</v>
      </c>
      <c r="AG383" s="4" t="s">
        <v>22</v>
      </c>
      <c r="AH383" s="4" t="s">
        <v>22</v>
      </c>
      <c r="AI383" s="4" t="s">
        <v>22</v>
      </c>
      <c r="AK383" s="4" t="s">
        <v>22</v>
      </c>
      <c r="AL383" s="4" t="s">
        <v>22</v>
      </c>
      <c r="AM383" s="4" t="s">
        <v>22</v>
      </c>
      <c r="AN383" s="4" t="s">
        <v>22</v>
      </c>
      <c r="AO383" s="4" t="s">
        <v>22</v>
      </c>
      <c r="AP383" s="4" t="s">
        <v>22</v>
      </c>
      <c r="AQ383" s="4" t="s">
        <v>22</v>
      </c>
    </row>
    <row r="384" spans="29:43">
      <c r="AC384" s="4" t="s">
        <v>22</v>
      </c>
      <c r="AD384" s="4" t="s">
        <v>22</v>
      </c>
      <c r="AE384" s="4" t="s">
        <v>22</v>
      </c>
      <c r="AF384" s="4" t="s">
        <v>22</v>
      </c>
      <c r="AG384" s="4" t="s">
        <v>22</v>
      </c>
      <c r="AH384" s="4" t="s">
        <v>22</v>
      </c>
      <c r="AI384" s="4" t="s">
        <v>22</v>
      </c>
      <c r="AK384" s="4" t="s">
        <v>22</v>
      </c>
      <c r="AL384" s="4" t="s">
        <v>22</v>
      </c>
      <c r="AM384" s="4" t="s">
        <v>22</v>
      </c>
      <c r="AN384" s="4" t="s">
        <v>22</v>
      </c>
      <c r="AO384" s="4" t="s">
        <v>22</v>
      </c>
      <c r="AP384" s="4" t="s">
        <v>22</v>
      </c>
      <c r="AQ384" s="4" t="s">
        <v>22</v>
      </c>
    </row>
    <row r="385" spans="29:43"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  <c r="AO385" s="4" t="s">
        <v>22</v>
      </c>
      <c r="AP385" s="4" t="s">
        <v>22</v>
      </c>
      <c r="AQ385" s="4" t="s">
        <v>22</v>
      </c>
    </row>
    <row r="386" spans="29:43">
      <c r="AC386" s="4" t="s">
        <v>22</v>
      </c>
      <c r="AD386" s="4" t="s">
        <v>22</v>
      </c>
      <c r="AE386" s="4" t="s">
        <v>22</v>
      </c>
      <c r="AF386" s="4" t="s">
        <v>22</v>
      </c>
      <c r="AG386" s="4" t="s">
        <v>22</v>
      </c>
      <c r="AH386" s="4" t="s">
        <v>22</v>
      </c>
      <c r="AI386" s="4" t="s">
        <v>22</v>
      </c>
      <c r="AK386" s="4" t="s">
        <v>22</v>
      </c>
      <c r="AL386" s="4" t="s">
        <v>22</v>
      </c>
      <c r="AM386" s="4" t="s">
        <v>22</v>
      </c>
      <c r="AN386" s="4" t="s">
        <v>22</v>
      </c>
      <c r="AO386" s="4" t="s">
        <v>22</v>
      </c>
      <c r="AP386" s="4" t="s">
        <v>22</v>
      </c>
      <c r="AQ386" s="4" t="s">
        <v>22</v>
      </c>
    </row>
    <row r="387" spans="29:43">
      <c r="AC387" s="4" t="s">
        <v>22</v>
      </c>
      <c r="AD387" s="4" t="s">
        <v>22</v>
      </c>
      <c r="AE387" s="4" t="s">
        <v>22</v>
      </c>
      <c r="AF387" s="4" t="s">
        <v>22</v>
      </c>
      <c r="AG387" s="4" t="s">
        <v>22</v>
      </c>
      <c r="AH387" s="4" t="s">
        <v>22</v>
      </c>
      <c r="AI387" s="4" t="s">
        <v>22</v>
      </c>
      <c r="AK387" s="4" t="s">
        <v>22</v>
      </c>
      <c r="AL387" s="4" t="s">
        <v>22</v>
      </c>
      <c r="AM387" s="4" t="s">
        <v>22</v>
      </c>
      <c r="AN387" s="4" t="s">
        <v>22</v>
      </c>
      <c r="AO387" s="4" t="s">
        <v>22</v>
      </c>
      <c r="AP387" s="4" t="s">
        <v>22</v>
      </c>
      <c r="AQ387" s="4" t="s">
        <v>22</v>
      </c>
    </row>
    <row r="388" spans="29:43">
      <c r="AC388" s="4" t="s">
        <v>22</v>
      </c>
      <c r="AD388" s="4" t="s">
        <v>22</v>
      </c>
      <c r="AE388" s="4" t="s">
        <v>22</v>
      </c>
      <c r="AF388" s="4" t="s">
        <v>22</v>
      </c>
      <c r="AG388" s="4" t="s">
        <v>22</v>
      </c>
      <c r="AH388" s="4" t="s">
        <v>22</v>
      </c>
      <c r="AI388" s="4" t="s">
        <v>22</v>
      </c>
      <c r="AK388" s="4" t="s">
        <v>22</v>
      </c>
      <c r="AL388" s="4" t="s">
        <v>22</v>
      </c>
      <c r="AM388" s="4" t="s">
        <v>22</v>
      </c>
      <c r="AN388" s="4" t="s">
        <v>22</v>
      </c>
      <c r="AO388" s="4" t="s">
        <v>22</v>
      </c>
      <c r="AP388" s="4" t="s">
        <v>22</v>
      </c>
      <c r="AQ388" s="4" t="s">
        <v>22</v>
      </c>
    </row>
    <row r="389" spans="29:43">
      <c r="AC389" s="4" t="s">
        <v>22</v>
      </c>
      <c r="AD389" s="4" t="s">
        <v>22</v>
      </c>
      <c r="AE389" s="4" t="s">
        <v>22</v>
      </c>
      <c r="AF389" s="4" t="s">
        <v>22</v>
      </c>
      <c r="AG389" s="4" t="s">
        <v>22</v>
      </c>
      <c r="AH389" s="4" t="s">
        <v>22</v>
      </c>
      <c r="AI389" s="4" t="s">
        <v>22</v>
      </c>
      <c r="AK389" s="4" t="s">
        <v>22</v>
      </c>
      <c r="AL389" s="4" t="s">
        <v>22</v>
      </c>
      <c r="AM389" s="4" t="s">
        <v>22</v>
      </c>
      <c r="AN389" s="4" t="s">
        <v>22</v>
      </c>
      <c r="AO389" s="4" t="s">
        <v>22</v>
      </c>
      <c r="AP389" s="4" t="s">
        <v>22</v>
      </c>
      <c r="AQ389" s="4" t="s">
        <v>22</v>
      </c>
    </row>
    <row r="390" spans="29:43"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  <c r="AH390" s="4" t="s">
        <v>22</v>
      </c>
      <c r="AI390" s="4" t="s">
        <v>22</v>
      </c>
      <c r="AK390" s="4" t="s">
        <v>22</v>
      </c>
      <c r="AL390" s="4" t="s">
        <v>22</v>
      </c>
      <c r="AM390" s="4" t="s">
        <v>22</v>
      </c>
      <c r="AN390" s="4" t="s">
        <v>22</v>
      </c>
      <c r="AO390" s="4" t="s">
        <v>22</v>
      </c>
      <c r="AP390" s="4" t="s">
        <v>22</v>
      </c>
      <c r="AQ390" s="4" t="s">
        <v>22</v>
      </c>
    </row>
    <row r="391" spans="29:43">
      <c r="AC391" s="4" t="s">
        <v>22</v>
      </c>
      <c r="AD391" s="4" t="s">
        <v>22</v>
      </c>
      <c r="AE391" s="4" t="s">
        <v>22</v>
      </c>
      <c r="AF391" s="4" t="s">
        <v>22</v>
      </c>
      <c r="AG391" s="4" t="s">
        <v>22</v>
      </c>
      <c r="AH391" s="4" t="s">
        <v>22</v>
      </c>
      <c r="AI391" s="4" t="s">
        <v>22</v>
      </c>
      <c r="AK391" s="4" t="s">
        <v>22</v>
      </c>
      <c r="AL391" s="4" t="s">
        <v>22</v>
      </c>
      <c r="AM391" s="4" t="s">
        <v>22</v>
      </c>
      <c r="AN391" s="4" t="s">
        <v>22</v>
      </c>
      <c r="AO391" s="4" t="s">
        <v>22</v>
      </c>
      <c r="AP391" s="4" t="s">
        <v>22</v>
      </c>
      <c r="AQ391" s="4" t="s">
        <v>22</v>
      </c>
    </row>
    <row r="392" spans="29:43">
      <c r="AC392" s="4" t="s">
        <v>22</v>
      </c>
      <c r="AD392" s="4" t="s">
        <v>22</v>
      </c>
      <c r="AE392" s="4" t="s">
        <v>22</v>
      </c>
      <c r="AF392" s="4" t="s">
        <v>22</v>
      </c>
      <c r="AG392" s="4" t="s">
        <v>22</v>
      </c>
      <c r="AH392" s="4" t="s">
        <v>22</v>
      </c>
      <c r="AI392" s="4" t="s">
        <v>22</v>
      </c>
      <c r="AK392" s="4" t="s">
        <v>22</v>
      </c>
      <c r="AL392" s="4" t="s">
        <v>22</v>
      </c>
      <c r="AM392" s="4" t="s">
        <v>22</v>
      </c>
      <c r="AN392" s="4" t="s">
        <v>22</v>
      </c>
      <c r="AO392" s="4" t="s">
        <v>22</v>
      </c>
      <c r="AP392" s="4" t="s">
        <v>22</v>
      </c>
      <c r="AQ392" s="4" t="s">
        <v>22</v>
      </c>
    </row>
    <row r="393" spans="29:43"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  <c r="AH393" s="4" t="s">
        <v>22</v>
      </c>
      <c r="AI393" s="4" t="s">
        <v>22</v>
      </c>
      <c r="AK393" s="4" t="s">
        <v>22</v>
      </c>
      <c r="AL393" s="4" t="s">
        <v>22</v>
      </c>
      <c r="AM393" s="4" t="s">
        <v>22</v>
      </c>
      <c r="AN393" s="4" t="s">
        <v>22</v>
      </c>
      <c r="AO393" s="4" t="s">
        <v>22</v>
      </c>
      <c r="AP393" s="4" t="s">
        <v>22</v>
      </c>
      <c r="AQ393" s="4" t="s">
        <v>22</v>
      </c>
    </row>
    <row r="394" spans="29:43">
      <c r="AC394" s="4" t="s">
        <v>22</v>
      </c>
      <c r="AD394" s="4" t="s">
        <v>22</v>
      </c>
      <c r="AE394" s="4" t="s">
        <v>22</v>
      </c>
      <c r="AF394" s="4" t="s">
        <v>22</v>
      </c>
      <c r="AG394" s="4" t="s">
        <v>22</v>
      </c>
      <c r="AH394" s="4" t="s">
        <v>22</v>
      </c>
      <c r="AI394" s="4" t="s">
        <v>22</v>
      </c>
      <c r="AK394" s="4" t="s">
        <v>22</v>
      </c>
      <c r="AL394" s="4" t="s">
        <v>22</v>
      </c>
      <c r="AM394" s="4" t="s">
        <v>22</v>
      </c>
      <c r="AN394" s="4" t="s">
        <v>22</v>
      </c>
      <c r="AO394" s="4" t="s">
        <v>22</v>
      </c>
      <c r="AP394" s="4" t="s">
        <v>22</v>
      </c>
      <c r="AQ394" s="4" t="s">
        <v>22</v>
      </c>
    </row>
    <row r="395" spans="29:43">
      <c r="AC395" s="4" t="s">
        <v>22</v>
      </c>
      <c r="AD395" s="4" t="s">
        <v>22</v>
      </c>
      <c r="AE395" s="4" t="s">
        <v>22</v>
      </c>
      <c r="AF395" s="4" t="s">
        <v>22</v>
      </c>
      <c r="AG395" s="4" t="s">
        <v>22</v>
      </c>
      <c r="AH395" s="4" t="s">
        <v>22</v>
      </c>
      <c r="AI395" s="4" t="s">
        <v>22</v>
      </c>
      <c r="AK395" s="4" t="s">
        <v>22</v>
      </c>
      <c r="AL395" s="4" t="s">
        <v>22</v>
      </c>
      <c r="AM395" s="4" t="s">
        <v>22</v>
      </c>
      <c r="AN395" s="4" t="s">
        <v>22</v>
      </c>
      <c r="AO395" s="4" t="s">
        <v>22</v>
      </c>
      <c r="AP395" s="4" t="s">
        <v>22</v>
      </c>
      <c r="AQ395" s="4" t="s">
        <v>22</v>
      </c>
    </row>
    <row r="396" spans="29:43">
      <c r="AC396" s="4" t="s">
        <v>22</v>
      </c>
      <c r="AD396" s="4" t="s">
        <v>22</v>
      </c>
      <c r="AE396" s="4" t="s">
        <v>22</v>
      </c>
      <c r="AF396" s="4" t="s">
        <v>22</v>
      </c>
      <c r="AG396" s="4" t="s">
        <v>22</v>
      </c>
      <c r="AH396" s="4" t="s">
        <v>22</v>
      </c>
      <c r="AI396" s="4" t="s">
        <v>22</v>
      </c>
      <c r="AK396" s="4" t="s">
        <v>22</v>
      </c>
      <c r="AL396" s="4" t="s">
        <v>22</v>
      </c>
      <c r="AM396" s="4" t="s">
        <v>22</v>
      </c>
      <c r="AN396" s="4" t="s">
        <v>22</v>
      </c>
      <c r="AO396" s="4" t="s">
        <v>22</v>
      </c>
      <c r="AP396" s="4" t="s">
        <v>22</v>
      </c>
      <c r="AQ396" s="4" t="s">
        <v>22</v>
      </c>
    </row>
    <row r="397" spans="29:43">
      <c r="AC397" s="4" t="s">
        <v>22</v>
      </c>
      <c r="AD397" s="4" t="s">
        <v>22</v>
      </c>
      <c r="AE397" s="4" t="s">
        <v>22</v>
      </c>
      <c r="AF397" s="4" t="s">
        <v>22</v>
      </c>
      <c r="AG397" s="4" t="s">
        <v>22</v>
      </c>
      <c r="AH397" s="4" t="s">
        <v>22</v>
      </c>
      <c r="AI397" s="4" t="s">
        <v>22</v>
      </c>
      <c r="AK397" s="4" t="s">
        <v>22</v>
      </c>
      <c r="AL397" s="4" t="s">
        <v>22</v>
      </c>
      <c r="AM397" s="4" t="s">
        <v>22</v>
      </c>
      <c r="AN397" s="4" t="s">
        <v>22</v>
      </c>
      <c r="AO397" s="4" t="s">
        <v>22</v>
      </c>
      <c r="AP397" s="4" t="s">
        <v>22</v>
      </c>
      <c r="AQ397" s="4" t="s">
        <v>22</v>
      </c>
    </row>
    <row r="398" spans="29:43">
      <c r="AC398" s="4" t="s">
        <v>22</v>
      </c>
      <c r="AD398" s="4" t="s">
        <v>22</v>
      </c>
      <c r="AE398" s="4" t="s">
        <v>22</v>
      </c>
      <c r="AF398" s="4" t="s">
        <v>22</v>
      </c>
      <c r="AG398" s="4" t="s">
        <v>22</v>
      </c>
      <c r="AH398" s="4" t="s">
        <v>22</v>
      </c>
      <c r="AI398" s="4" t="s">
        <v>22</v>
      </c>
      <c r="AK398" s="4" t="s">
        <v>22</v>
      </c>
      <c r="AL398" s="4" t="s">
        <v>22</v>
      </c>
      <c r="AM398" s="4" t="s">
        <v>22</v>
      </c>
      <c r="AN398" s="4" t="s">
        <v>22</v>
      </c>
      <c r="AO398" s="4" t="s">
        <v>22</v>
      </c>
      <c r="AP398" s="4" t="s">
        <v>22</v>
      </c>
      <c r="AQ398" s="4" t="s">
        <v>22</v>
      </c>
    </row>
    <row r="399" spans="29:43">
      <c r="AC399" s="4" t="s">
        <v>22</v>
      </c>
      <c r="AD399" s="4" t="s">
        <v>22</v>
      </c>
      <c r="AE399" s="4" t="s">
        <v>22</v>
      </c>
      <c r="AF399" s="4" t="s">
        <v>22</v>
      </c>
      <c r="AG399" s="4" t="s">
        <v>22</v>
      </c>
      <c r="AH399" s="4" t="s">
        <v>22</v>
      </c>
      <c r="AI399" s="4" t="s">
        <v>22</v>
      </c>
      <c r="AK399" s="4" t="s">
        <v>22</v>
      </c>
      <c r="AL399" s="4" t="s">
        <v>22</v>
      </c>
      <c r="AM399" s="4" t="s">
        <v>22</v>
      </c>
      <c r="AN399" s="4" t="s">
        <v>22</v>
      </c>
      <c r="AO399" s="4" t="s">
        <v>22</v>
      </c>
      <c r="AP399" s="4" t="s">
        <v>22</v>
      </c>
      <c r="AQ399" s="4" t="s">
        <v>22</v>
      </c>
    </row>
    <row r="400" spans="29:43">
      <c r="AC400" s="4" t="s">
        <v>22</v>
      </c>
      <c r="AD400" s="4" t="s">
        <v>22</v>
      </c>
      <c r="AE400" s="4" t="s">
        <v>22</v>
      </c>
      <c r="AF400" s="4" t="s">
        <v>22</v>
      </c>
      <c r="AG400" s="4" t="s">
        <v>22</v>
      </c>
      <c r="AH400" s="4" t="s">
        <v>22</v>
      </c>
      <c r="AI400" s="4" t="s">
        <v>22</v>
      </c>
      <c r="AK400" s="4" t="s">
        <v>22</v>
      </c>
      <c r="AL400" s="4" t="s">
        <v>22</v>
      </c>
      <c r="AM400" s="4" t="s">
        <v>22</v>
      </c>
      <c r="AN400" s="4" t="s">
        <v>22</v>
      </c>
      <c r="AO400" s="4" t="s">
        <v>22</v>
      </c>
      <c r="AP400" s="4" t="s">
        <v>22</v>
      </c>
      <c r="AQ400" s="4" t="s">
        <v>22</v>
      </c>
    </row>
    <row r="401" spans="29:43">
      <c r="AC401" s="4" t="s">
        <v>22</v>
      </c>
      <c r="AD401" s="4" t="s">
        <v>22</v>
      </c>
      <c r="AE401" s="4" t="s">
        <v>22</v>
      </c>
      <c r="AF401" s="4" t="s">
        <v>22</v>
      </c>
      <c r="AG401" s="4" t="s">
        <v>22</v>
      </c>
      <c r="AH401" s="4" t="s">
        <v>22</v>
      </c>
      <c r="AI401" s="4" t="s">
        <v>22</v>
      </c>
      <c r="AK401" s="4" t="s">
        <v>22</v>
      </c>
      <c r="AL401" s="4" t="s">
        <v>22</v>
      </c>
      <c r="AM401" s="4" t="s">
        <v>22</v>
      </c>
      <c r="AN401" s="4" t="s">
        <v>22</v>
      </c>
      <c r="AO401" s="4" t="s">
        <v>22</v>
      </c>
      <c r="AP401" s="4" t="s">
        <v>22</v>
      </c>
      <c r="AQ401" s="4" t="s">
        <v>22</v>
      </c>
    </row>
    <row r="402" spans="29:43">
      <c r="AC402" s="4" t="s">
        <v>22</v>
      </c>
      <c r="AD402" s="4" t="s">
        <v>22</v>
      </c>
      <c r="AE402" s="4" t="s">
        <v>22</v>
      </c>
      <c r="AF402" s="4" t="s">
        <v>22</v>
      </c>
      <c r="AG402" s="4" t="s">
        <v>22</v>
      </c>
      <c r="AH402" s="4" t="s">
        <v>22</v>
      </c>
      <c r="AI402" s="4" t="s">
        <v>22</v>
      </c>
      <c r="AK402" s="4" t="s">
        <v>22</v>
      </c>
      <c r="AL402" s="4" t="s">
        <v>22</v>
      </c>
      <c r="AM402" s="4" t="s">
        <v>22</v>
      </c>
      <c r="AN402" s="4" t="s">
        <v>22</v>
      </c>
      <c r="AO402" s="4" t="s">
        <v>22</v>
      </c>
      <c r="AP402" s="4" t="s">
        <v>22</v>
      </c>
      <c r="AQ402" s="4" t="s">
        <v>22</v>
      </c>
    </row>
    <row r="403" spans="29:43">
      <c r="AC403" s="4" t="s">
        <v>22</v>
      </c>
      <c r="AD403" s="4" t="s">
        <v>22</v>
      </c>
      <c r="AE403" s="4" t="s">
        <v>22</v>
      </c>
      <c r="AF403" s="4" t="s">
        <v>22</v>
      </c>
      <c r="AG403" s="4" t="s">
        <v>22</v>
      </c>
      <c r="AH403" s="4" t="s">
        <v>22</v>
      </c>
      <c r="AI403" s="4" t="s">
        <v>22</v>
      </c>
      <c r="AK403" s="4" t="s">
        <v>22</v>
      </c>
      <c r="AL403" s="4" t="s">
        <v>22</v>
      </c>
      <c r="AM403" s="4" t="s">
        <v>22</v>
      </c>
      <c r="AN403" s="4" t="s">
        <v>22</v>
      </c>
      <c r="AO403" s="4" t="s">
        <v>22</v>
      </c>
      <c r="AP403" s="4" t="s">
        <v>22</v>
      </c>
      <c r="AQ403" s="4" t="s">
        <v>22</v>
      </c>
    </row>
    <row r="404" spans="29:43">
      <c r="AC404" s="4" t="s">
        <v>22</v>
      </c>
      <c r="AD404" s="4" t="s">
        <v>22</v>
      </c>
      <c r="AE404" s="4" t="s">
        <v>22</v>
      </c>
      <c r="AF404" s="4" t="s">
        <v>22</v>
      </c>
      <c r="AG404" s="4" t="s">
        <v>22</v>
      </c>
      <c r="AH404" s="4" t="s">
        <v>22</v>
      </c>
      <c r="AI404" s="4" t="s">
        <v>22</v>
      </c>
      <c r="AK404" s="4" t="s">
        <v>22</v>
      </c>
      <c r="AL404" s="4" t="s">
        <v>22</v>
      </c>
      <c r="AM404" s="4" t="s">
        <v>22</v>
      </c>
      <c r="AN404" s="4" t="s">
        <v>22</v>
      </c>
      <c r="AO404" s="4" t="s">
        <v>22</v>
      </c>
      <c r="AP404" s="4" t="s">
        <v>22</v>
      </c>
      <c r="AQ404" s="4" t="s">
        <v>22</v>
      </c>
    </row>
  </sheetData>
  <phoneticPr fontId="20" type="noConversion"/>
  <conditionalFormatting sqref="AS4:AY403">
    <cfRule type="cellIs" dxfId="41" priority="14" operator="equal">
      <formula>"ERROR"</formula>
    </cfRule>
  </conditionalFormatting>
  <conditionalFormatting sqref="M1:S1048576">
    <cfRule type="cellIs" dxfId="40" priority="1" operator="equal">
      <formula>"C1"</formula>
    </cfRule>
    <cfRule type="cellIs" dxfId="39" priority="2" operator="equal">
      <formula>"G6"</formula>
    </cfRule>
    <cfRule type="cellIs" dxfId="38" priority="3" operator="equal">
      <formula>"G5"</formula>
    </cfRule>
    <cfRule type="cellIs" dxfId="37" priority="4" operator="equal">
      <formula>"G4"</formula>
    </cfRule>
    <cfRule type="cellIs" dxfId="36" priority="5" operator="equal">
      <formula>"G3"</formula>
    </cfRule>
    <cfRule type="cellIs" dxfId="35" priority="6" operator="equal">
      <formula>"G2"</formula>
    </cfRule>
    <cfRule type="cellIs" dxfId="34" priority="7" operator="equal">
      <formula>"G1"</formula>
    </cfRule>
    <cfRule type="cellIs" dxfId="33" priority="8" operator="equal">
      <formula>"M5"</formula>
    </cfRule>
    <cfRule type="cellIs" dxfId="32" priority="9" operator="equal">
      <formula>"M4"</formula>
    </cfRule>
    <cfRule type="cellIs" dxfId="31" priority="10" operator="equal">
      <formula>"M3"</formula>
    </cfRule>
    <cfRule type="cellIs" dxfId="30" priority="11" operator="equal">
      <formula>"M6"</formula>
    </cfRule>
    <cfRule type="cellIs" dxfId="29" priority="12" operator="equal">
      <formula>"M2"</formula>
    </cfRule>
    <cfRule type="cellIs" dxfId="28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E9CC-D7E9-4AB8-8877-2D3AF3D7DB5B}">
  <sheetPr codeName="工作表16"/>
  <dimension ref="A2:AY404"/>
  <sheetViews>
    <sheetView topLeftCell="O1" workbookViewId="0">
      <selection activeCell="H13" sqref="H13"/>
    </sheetView>
  </sheetViews>
  <sheetFormatPr defaultRowHeight="16.2"/>
  <cols>
    <col min="1" max="1" width="17.88671875" style="1" bestFit="1" customWidth="1"/>
    <col min="2" max="2" width="21.21875" style="1" bestFit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50" customWidth="1"/>
    <col min="27" max="27" width="5.5546875" style="1" customWidth="1"/>
    <col min="28" max="28" width="8.88671875" style="1" customWidth="1"/>
    <col min="29" max="33" width="4.77734375" style="150" customWidth="1"/>
    <col min="34" max="34" width="4.6640625" style="150" customWidth="1"/>
    <col min="35" max="35" width="4.6640625" style="1" bestFit="1" customWidth="1"/>
    <col min="36" max="36" width="8.88671875" style="1"/>
    <col min="37" max="37" width="4.88671875" style="1" customWidth="1"/>
    <col min="38" max="43" width="4.6640625" style="1" bestFit="1" customWidth="1"/>
    <col min="45" max="51" width="8.88671875" style="1"/>
  </cols>
  <sheetData>
    <row r="2" spans="1:51">
      <c r="A2" s="9"/>
      <c r="B2" s="9"/>
      <c r="C2" s="9"/>
      <c r="D2" s="9"/>
      <c r="E2" s="9"/>
      <c r="F2" s="9"/>
      <c r="G2" s="9"/>
      <c r="H2" s="9"/>
      <c r="I2" s="9"/>
      <c r="J2" s="9"/>
      <c r="K2" s="33"/>
      <c r="L2" s="9" t="s">
        <v>52</v>
      </c>
      <c r="M2" s="9"/>
      <c r="N2" s="9"/>
      <c r="O2" s="9"/>
      <c r="P2" s="9"/>
      <c r="Q2" s="9"/>
      <c r="R2" s="9"/>
      <c r="S2" s="9"/>
      <c r="T2" s="9"/>
      <c r="U2" s="9" t="s">
        <v>219</v>
      </c>
      <c r="V2" s="9"/>
      <c r="W2" s="9"/>
      <c r="X2" s="9"/>
      <c r="Y2" s="9"/>
      <c r="Z2" s="9"/>
      <c r="AA2" s="9"/>
      <c r="AB2" s="9"/>
      <c r="AC2" s="9" t="s">
        <v>70</v>
      </c>
      <c r="AD2" s="9"/>
      <c r="AE2" s="9"/>
      <c r="AF2" s="9"/>
      <c r="AG2" s="9"/>
      <c r="AH2" s="9"/>
      <c r="AI2" s="9"/>
      <c r="AJ2" s="9"/>
      <c r="AK2" s="9" t="s">
        <v>100</v>
      </c>
      <c r="AL2" s="9"/>
      <c r="AM2" s="9"/>
      <c r="AN2" s="9"/>
      <c r="AO2" s="9"/>
      <c r="AP2" s="9"/>
      <c r="AQ2" s="9"/>
      <c r="AS2" s="9"/>
      <c r="AT2" s="9"/>
      <c r="AU2" s="9"/>
      <c r="AV2" s="9"/>
      <c r="AW2" s="9"/>
      <c r="AX2" s="9"/>
      <c r="AY2" s="9"/>
    </row>
    <row r="3" spans="1:5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50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39" t="s">
        <v>41</v>
      </c>
      <c r="AL3" s="39" t="s">
        <v>42</v>
      </c>
      <c r="AM3" s="39" t="s">
        <v>43</v>
      </c>
      <c r="AN3" s="39" t="s">
        <v>44</v>
      </c>
      <c r="AO3" s="39" t="s">
        <v>45</v>
      </c>
      <c r="AP3" s="39" t="s">
        <v>23</v>
      </c>
      <c r="AQ3" s="39" t="s">
        <v>66</v>
      </c>
    </row>
    <row r="4" spans="1:51">
      <c r="A4" s="171" t="str" cm="1">
        <f t="array" ref="A4:B29">Overview!$A$42:$B$67</f>
        <v>WW</v>
      </c>
      <c r="B4" s="171" t="str">
        <v>Wild</v>
      </c>
      <c r="C4" s="52">
        <f>COUNTIF(M$4:M$304,$A4)</f>
        <v>0</v>
      </c>
      <c r="D4" s="52">
        <f t="shared" ref="D4:I19" si="0">COUNTIF(N$4:N$304,$A4)</f>
        <v>0</v>
      </c>
      <c r="E4" s="52">
        <f t="shared" si="0"/>
        <v>0</v>
      </c>
      <c r="F4" s="52">
        <f t="shared" si="0"/>
        <v>0</v>
      </c>
      <c r="G4" s="52">
        <f t="shared" si="0"/>
        <v>0</v>
      </c>
      <c r="H4" s="52">
        <f t="shared" si="0"/>
        <v>0</v>
      </c>
      <c r="I4" s="52">
        <f t="shared" si="0"/>
        <v>0</v>
      </c>
      <c r="J4" s="171">
        <v>0</v>
      </c>
      <c r="K4" s="34"/>
      <c r="L4" s="15">
        <v>0</v>
      </c>
      <c r="M4" s="156" t="s">
        <v>90</v>
      </c>
      <c r="N4" s="156" t="s">
        <v>25</v>
      </c>
      <c r="O4" s="156" t="s">
        <v>35</v>
      </c>
      <c r="P4" s="156" t="s">
        <v>34</v>
      </c>
      <c r="Q4" s="156" t="s">
        <v>39</v>
      </c>
      <c r="R4" s="156" t="s">
        <v>38</v>
      </c>
      <c r="S4" s="157" t="s">
        <v>35</v>
      </c>
      <c r="U4" s="158">
        <f t="shared" ref="U4:AA19" si="1">VLOOKUP(M4, $A$4:$J$29, 9, 0)</f>
        <v>6</v>
      </c>
      <c r="V4" s="158">
        <f t="shared" si="1"/>
        <v>5</v>
      </c>
      <c r="W4" s="158">
        <f t="shared" si="1"/>
        <v>15</v>
      </c>
      <c r="X4" s="158">
        <f t="shared" si="1"/>
        <v>16</v>
      </c>
      <c r="Y4" s="158">
        <f t="shared" si="1"/>
        <v>5</v>
      </c>
      <c r="Z4" s="158">
        <f t="shared" si="1"/>
        <v>15</v>
      </c>
      <c r="AA4" s="158">
        <f t="shared" si="1"/>
        <v>15</v>
      </c>
      <c r="AC4" s="18">
        <v>5</v>
      </c>
      <c r="AD4" s="18">
        <v>5</v>
      </c>
      <c r="AE4" s="18">
        <v>5</v>
      </c>
      <c r="AF4" s="18">
        <v>5</v>
      </c>
      <c r="AG4" s="18">
        <v>6</v>
      </c>
      <c r="AH4" s="18">
        <v>5</v>
      </c>
      <c r="AI4" s="18">
        <v>5</v>
      </c>
      <c r="AK4" s="4">
        <v>1</v>
      </c>
      <c r="AL4" s="4">
        <v>3</v>
      </c>
      <c r="AM4" s="4">
        <v>1</v>
      </c>
      <c r="AN4" s="4">
        <v>1</v>
      </c>
      <c r="AO4" s="4">
        <v>3</v>
      </c>
      <c r="AP4" s="4">
        <v>1</v>
      </c>
      <c r="AQ4" s="4">
        <v>1</v>
      </c>
    </row>
    <row r="5" spans="1:51">
      <c r="A5" s="4" t="str">
        <v>C1</v>
      </c>
      <c r="B5" s="4" t="str">
        <v>Scatter</v>
      </c>
      <c r="C5" s="10">
        <f t="shared" ref="C5:I29" si="2">COUNTIF(M$4:M$304,$A5)</f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4"/>
      <c r="L5" s="14">
        <v>1</v>
      </c>
      <c r="M5" s="38" t="s">
        <v>39</v>
      </c>
      <c r="N5" s="38" t="s">
        <v>65</v>
      </c>
      <c r="O5" s="38" t="s">
        <v>25</v>
      </c>
      <c r="P5" s="38" t="s">
        <v>34</v>
      </c>
      <c r="Q5" s="38" t="s">
        <v>39</v>
      </c>
      <c r="R5" s="38" t="s">
        <v>38</v>
      </c>
      <c r="S5" s="24" t="s">
        <v>35</v>
      </c>
      <c r="U5" s="37">
        <f t="shared" si="1"/>
        <v>5</v>
      </c>
      <c r="V5" s="37">
        <f t="shared" si="1"/>
        <v>17</v>
      </c>
      <c r="W5" s="37">
        <f t="shared" si="1"/>
        <v>5</v>
      </c>
      <c r="X5" s="37">
        <f t="shared" si="1"/>
        <v>16</v>
      </c>
      <c r="Y5" s="37">
        <f t="shared" si="1"/>
        <v>5</v>
      </c>
      <c r="Z5" s="37">
        <f t="shared" si="1"/>
        <v>15</v>
      </c>
      <c r="AA5" s="37">
        <f t="shared" si="1"/>
        <v>15</v>
      </c>
      <c r="AC5" s="18">
        <v>5</v>
      </c>
      <c r="AD5" s="18">
        <v>0</v>
      </c>
      <c r="AE5" s="18">
        <v>0</v>
      </c>
      <c r="AF5" s="18">
        <v>0</v>
      </c>
      <c r="AG5" s="18">
        <v>0</v>
      </c>
      <c r="AH5" s="18">
        <v>5</v>
      </c>
      <c r="AI5" s="18">
        <v>5</v>
      </c>
      <c r="AK5" s="4">
        <v>1</v>
      </c>
      <c r="AL5" s="4">
        <v>0</v>
      </c>
      <c r="AM5" s="4">
        <v>3</v>
      </c>
      <c r="AN5" s="4">
        <v>3</v>
      </c>
      <c r="AO5" s="4">
        <v>0</v>
      </c>
      <c r="AP5" s="4">
        <v>1</v>
      </c>
      <c r="AQ5" s="4">
        <v>1</v>
      </c>
    </row>
    <row r="6" spans="1:51">
      <c r="A6" s="151" t="str">
        <v>M1</v>
      </c>
      <c r="B6" s="151" t="str">
        <v>M1</v>
      </c>
      <c r="C6" s="153">
        <f t="shared" si="2"/>
        <v>1</v>
      </c>
      <c r="D6" s="153">
        <f t="shared" si="0"/>
        <v>1</v>
      </c>
      <c r="E6" s="153">
        <f t="shared" si="0"/>
        <v>2</v>
      </c>
      <c r="F6" s="153">
        <f t="shared" si="0"/>
        <v>1</v>
      </c>
      <c r="G6" s="153">
        <f t="shared" si="0"/>
        <v>1</v>
      </c>
      <c r="H6" s="153">
        <f t="shared" si="0"/>
        <v>2</v>
      </c>
      <c r="I6" s="153">
        <f t="shared" si="0"/>
        <v>4</v>
      </c>
      <c r="J6" s="151">
        <v>2</v>
      </c>
      <c r="L6" s="15">
        <v>2</v>
      </c>
      <c r="M6" s="38" t="s">
        <v>39</v>
      </c>
      <c r="N6" s="38" t="s">
        <v>38</v>
      </c>
      <c r="O6" s="38" t="s">
        <v>39</v>
      </c>
      <c r="P6" s="38" t="s">
        <v>226</v>
      </c>
      <c r="Q6" s="38" t="s">
        <v>37</v>
      </c>
      <c r="R6" s="38" t="s">
        <v>38</v>
      </c>
      <c r="S6" s="24" t="s">
        <v>35</v>
      </c>
      <c r="U6" s="37">
        <f t="shared" si="1"/>
        <v>5</v>
      </c>
      <c r="V6" s="37">
        <f t="shared" si="1"/>
        <v>15</v>
      </c>
      <c r="W6" s="37">
        <f t="shared" si="1"/>
        <v>5</v>
      </c>
      <c r="X6" s="37">
        <f t="shared" si="1"/>
        <v>0</v>
      </c>
      <c r="Y6" s="37">
        <f t="shared" si="1"/>
        <v>13</v>
      </c>
      <c r="Z6" s="37">
        <f t="shared" si="1"/>
        <v>15</v>
      </c>
      <c r="AA6" s="37">
        <f t="shared" si="1"/>
        <v>15</v>
      </c>
      <c r="AC6" s="18">
        <v>5</v>
      </c>
      <c r="AD6" s="18">
        <v>0</v>
      </c>
      <c r="AE6" s="18">
        <v>0</v>
      </c>
      <c r="AF6" s="18">
        <v>0</v>
      </c>
      <c r="AG6" s="18">
        <v>0</v>
      </c>
      <c r="AH6" s="18">
        <v>5</v>
      </c>
      <c r="AI6" s="18">
        <v>5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1</v>
      </c>
      <c r="AQ6" s="4">
        <v>1</v>
      </c>
    </row>
    <row r="7" spans="1:51">
      <c r="A7" s="151" t="str">
        <v>M2</v>
      </c>
      <c r="B7" s="151" t="str">
        <v>M2</v>
      </c>
      <c r="C7" s="153">
        <f t="shared" si="2"/>
        <v>1</v>
      </c>
      <c r="D7" s="153">
        <f t="shared" si="0"/>
        <v>5</v>
      </c>
      <c r="E7" s="153">
        <f t="shared" si="0"/>
        <v>6</v>
      </c>
      <c r="F7" s="153">
        <f t="shared" si="0"/>
        <v>10</v>
      </c>
      <c r="G7" s="153">
        <f t="shared" si="0"/>
        <v>2</v>
      </c>
      <c r="H7" s="153">
        <f t="shared" si="0"/>
        <v>5</v>
      </c>
      <c r="I7" s="153">
        <f t="shared" si="0"/>
        <v>11</v>
      </c>
      <c r="J7" s="151">
        <v>3</v>
      </c>
      <c r="L7" s="14">
        <v>3</v>
      </c>
      <c r="M7" s="38" t="s">
        <v>40</v>
      </c>
      <c r="N7" s="38" t="s">
        <v>65</v>
      </c>
      <c r="O7" s="38" t="s">
        <v>39</v>
      </c>
      <c r="P7" s="38" t="s">
        <v>65</v>
      </c>
      <c r="Q7" s="38" t="s">
        <v>226</v>
      </c>
      <c r="R7" s="38" t="s">
        <v>40</v>
      </c>
      <c r="S7" s="24" t="s">
        <v>33</v>
      </c>
      <c r="U7" s="37">
        <f t="shared" si="1"/>
        <v>12</v>
      </c>
      <c r="V7" s="37">
        <f t="shared" si="1"/>
        <v>17</v>
      </c>
      <c r="W7" s="37">
        <f t="shared" si="1"/>
        <v>5</v>
      </c>
      <c r="X7" s="37">
        <f t="shared" si="1"/>
        <v>17</v>
      </c>
      <c r="Y7" s="37">
        <f t="shared" si="1"/>
        <v>0</v>
      </c>
      <c r="Z7" s="37">
        <f t="shared" si="1"/>
        <v>12</v>
      </c>
      <c r="AA7" s="37">
        <f t="shared" si="1"/>
        <v>11</v>
      </c>
      <c r="AC7" s="18">
        <v>5</v>
      </c>
      <c r="AD7" s="18">
        <v>0</v>
      </c>
      <c r="AE7" s="18">
        <v>0</v>
      </c>
      <c r="AF7" s="18">
        <v>0</v>
      </c>
      <c r="AG7" s="18">
        <v>0</v>
      </c>
      <c r="AH7" s="18">
        <v>5</v>
      </c>
      <c r="AI7" s="18">
        <v>5</v>
      </c>
      <c r="AK7" s="4">
        <v>1</v>
      </c>
      <c r="AL7" s="4">
        <v>2</v>
      </c>
      <c r="AM7" s="4">
        <v>0</v>
      </c>
      <c r="AN7" s="4">
        <v>0</v>
      </c>
      <c r="AO7" s="4">
        <v>2</v>
      </c>
      <c r="AP7" s="4">
        <v>1</v>
      </c>
      <c r="AQ7" s="4">
        <v>1</v>
      </c>
    </row>
    <row r="8" spans="1:51">
      <c r="A8" s="151" t="str">
        <v>M3</v>
      </c>
      <c r="B8" s="151" t="str">
        <v>M3</v>
      </c>
      <c r="C8" s="153">
        <f t="shared" si="2"/>
        <v>11</v>
      </c>
      <c r="D8" s="153">
        <f t="shared" si="0"/>
        <v>4</v>
      </c>
      <c r="E8" s="153">
        <f t="shared" si="0"/>
        <v>8</v>
      </c>
      <c r="F8" s="153">
        <f t="shared" si="0"/>
        <v>5</v>
      </c>
      <c r="G8" s="153">
        <f t="shared" si="0"/>
        <v>7</v>
      </c>
      <c r="H8" s="153">
        <f t="shared" si="0"/>
        <v>4</v>
      </c>
      <c r="I8" s="153">
        <f t="shared" si="0"/>
        <v>16</v>
      </c>
      <c r="J8" s="151">
        <v>4</v>
      </c>
      <c r="L8" s="15">
        <v>4</v>
      </c>
      <c r="M8" s="38" t="s">
        <v>40</v>
      </c>
      <c r="N8" s="38" t="s">
        <v>35</v>
      </c>
      <c r="O8" s="38" t="s">
        <v>25</v>
      </c>
      <c r="P8" s="38" t="s">
        <v>33</v>
      </c>
      <c r="Q8" s="38" t="s">
        <v>35</v>
      </c>
      <c r="R8" s="38" t="s">
        <v>40</v>
      </c>
      <c r="S8" s="24" t="s">
        <v>33</v>
      </c>
      <c r="U8" s="37">
        <f t="shared" si="1"/>
        <v>12</v>
      </c>
      <c r="V8" s="37">
        <f t="shared" si="1"/>
        <v>15</v>
      </c>
      <c r="W8" s="37">
        <f t="shared" si="1"/>
        <v>5</v>
      </c>
      <c r="X8" s="37">
        <f t="shared" si="1"/>
        <v>11</v>
      </c>
      <c r="Y8" s="37">
        <f t="shared" si="1"/>
        <v>15</v>
      </c>
      <c r="Z8" s="37">
        <f t="shared" si="1"/>
        <v>12</v>
      </c>
      <c r="AA8" s="37">
        <f t="shared" si="1"/>
        <v>11</v>
      </c>
      <c r="AC8" s="18">
        <v>5</v>
      </c>
      <c r="AD8" s="18">
        <v>0</v>
      </c>
      <c r="AE8" s="18">
        <v>0</v>
      </c>
      <c r="AF8" s="18">
        <v>0</v>
      </c>
      <c r="AG8" s="18">
        <v>0</v>
      </c>
      <c r="AH8" s="18">
        <v>5</v>
      </c>
      <c r="AI8" s="18">
        <v>5</v>
      </c>
      <c r="AK8" s="4">
        <v>1</v>
      </c>
      <c r="AL8" s="4">
        <v>0</v>
      </c>
      <c r="AM8" s="4">
        <v>1</v>
      </c>
      <c r="AN8" s="4">
        <v>1</v>
      </c>
      <c r="AO8" s="4">
        <v>0</v>
      </c>
      <c r="AP8" s="4">
        <v>1</v>
      </c>
      <c r="AQ8" s="4">
        <v>1</v>
      </c>
    </row>
    <row r="9" spans="1:51">
      <c r="A9" s="151" t="str">
        <v>M4</v>
      </c>
      <c r="B9" s="151" t="str">
        <v>M4</v>
      </c>
      <c r="C9" s="153">
        <f t="shared" si="2"/>
        <v>10</v>
      </c>
      <c r="D9" s="153">
        <f t="shared" si="0"/>
        <v>6</v>
      </c>
      <c r="E9" s="153">
        <f t="shared" si="0"/>
        <v>16</v>
      </c>
      <c r="F9" s="153">
        <f t="shared" si="0"/>
        <v>6</v>
      </c>
      <c r="G9" s="153">
        <f t="shared" si="0"/>
        <v>17</v>
      </c>
      <c r="H9" s="153">
        <f t="shared" si="0"/>
        <v>2</v>
      </c>
      <c r="I9" s="153">
        <f t="shared" si="0"/>
        <v>15</v>
      </c>
      <c r="J9" s="151">
        <v>5</v>
      </c>
      <c r="L9" s="14">
        <v>5</v>
      </c>
      <c r="M9" s="38" t="s">
        <v>39</v>
      </c>
      <c r="N9" s="38" t="s">
        <v>38</v>
      </c>
      <c r="O9" s="38" t="s">
        <v>37</v>
      </c>
      <c r="P9" s="38" t="s">
        <v>33</v>
      </c>
      <c r="Q9" s="38" t="s">
        <v>39</v>
      </c>
      <c r="R9" s="38" t="s">
        <v>40</v>
      </c>
      <c r="S9" s="24" t="s">
        <v>33</v>
      </c>
      <c r="U9" s="37">
        <f t="shared" si="1"/>
        <v>5</v>
      </c>
      <c r="V9" s="37">
        <f t="shared" si="1"/>
        <v>15</v>
      </c>
      <c r="W9" s="37">
        <f t="shared" si="1"/>
        <v>13</v>
      </c>
      <c r="X9" s="37">
        <f t="shared" si="1"/>
        <v>11</v>
      </c>
      <c r="Y9" s="37">
        <f t="shared" si="1"/>
        <v>5</v>
      </c>
      <c r="Z9" s="37">
        <f t="shared" si="1"/>
        <v>12</v>
      </c>
      <c r="AA9" s="37">
        <f t="shared" si="1"/>
        <v>11</v>
      </c>
      <c r="AC9" s="18">
        <v>5</v>
      </c>
      <c r="AD9" s="18">
        <v>5</v>
      </c>
      <c r="AE9" s="18">
        <v>5</v>
      </c>
      <c r="AF9" s="18">
        <v>5</v>
      </c>
      <c r="AG9" s="18">
        <v>4</v>
      </c>
      <c r="AH9" s="18">
        <v>5</v>
      </c>
      <c r="AI9" s="18">
        <v>5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</row>
    <row r="10" spans="1:51">
      <c r="A10" s="151" t="str">
        <v>M5</v>
      </c>
      <c r="B10" s="151" t="str">
        <v>M5</v>
      </c>
      <c r="C10" s="153">
        <f t="shared" si="2"/>
        <v>7</v>
      </c>
      <c r="D10" s="153">
        <f t="shared" si="0"/>
        <v>16</v>
      </c>
      <c r="E10" s="153">
        <f t="shared" si="0"/>
        <v>10</v>
      </c>
      <c r="F10" s="153">
        <f t="shared" si="0"/>
        <v>19</v>
      </c>
      <c r="G10" s="153">
        <f t="shared" si="0"/>
        <v>5</v>
      </c>
      <c r="H10" s="153">
        <f t="shared" si="0"/>
        <v>25</v>
      </c>
      <c r="I10" s="153">
        <f t="shared" si="0"/>
        <v>17</v>
      </c>
      <c r="J10" s="151">
        <v>6</v>
      </c>
      <c r="L10" s="15">
        <v>6</v>
      </c>
      <c r="M10" s="38" t="s">
        <v>25</v>
      </c>
      <c r="N10" s="38" t="s">
        <v>38</v>
      </c>
      <c r="O10" s="38" t="s">
        <v>37</v>
      </c>
      <c r="P10" s="38" t="s">
        <v>34</v>
      </c>
      <c r="Q10" s="38" t="s">
        <v>39</v>
      </c>
      <c r="R10" s="38" t="s">
        <v>35</v>
      </c>
      <c r="S10" s="24" t="s">
        <v>65</v>
      </c>
      <c r="U10" s="37">
        <f t="shared" si="1"/>
        <v>5</v>
      </c>
      <c r="V10" s="37">
        <f t="shared" si="1"/>
        <v>15</v>
      </c>
      <c r="W10" s="37">
        <f t="shared" si="1"/>
        <v>13</v>
      </c>
      <c r="X10" s="37">
        <f t="shared" si="1"/>
        <v>16</v>
      </c>
      <c r="Y10" s="37">
        <f t="shared" si="1"/>
        <v>5</v>
      </c>
      <c r="Z10" s="37">
        <f t="shared" si="1"/>
        <v>15</v>
      </c>
      <c r="AA10" s="37">
        <f t="shared" si="1"/>
        <v>17</v>
      </c>
      <c r="AC10" s="18">
        <v>5</v>
      </c>
      <c r="AD10" s="18">
        <v>0</v>
      </c>
      <c r="AE10" s="18">
        <v>0</v>
      </c>
      <c r="AF10" s="18">
        <v>0</v>
      </c>
      <c r="AG10" s="18">
        <v>1</v>
      </c>
      <c r="AH10" s="18">
        <v>5</v>
      </c>
      <c r="AI10" s="18">
        <v>5</v>
      </c>
      <c r="AK10" s="4">
        <v>1</v>
      </c>
      <c r="AL10" s="4">
        <v>1</v>
      </c>
      <c r="AM10" s="4">
        <v>1</v>
      </c>
      <c r="AN10" s="4">
        <v>1</v>
      </c>
      <c r="AO10" s="4">
        <v>3</v>
      </c>
      <c r="AP10" s="4">
        <v>1</v>
      </c>
      <c r="AQ10" s="4">
        <v>1</v>
      </c>
    </row>
    <row r="11" spans="1:51">
      <c r="A11" s="151" t="str">
        <v>M6</v>
      </c>
      <c r="B11" s="151" t="str">
        <v>M6</v>
      </c>
      <c r="C11" s="153">
        <f t="shared" si="2"/>
        <v>15</v>
      </c>
      <c r="D11" s="153">
        <f t="shared" si="0"/>
        <v>9</v>
      </c>
      <c r="E11" s="153">
        <f t="shared" si="0"/>
        <v>12</v>
      </c>
      <c r="F11" s="153">
        <f t="shared" si="0"/>
        <v>6</v>
      </c>
      <c r="G11" s="153">
        <f t="shared" si="0"/>
        <v>21</v>
      </c>
      <c r="H11" s="153">
        <f t="shared" si="0"/>
        <v>1</v>
      </c>
      <c r="I11" s="153">
        <f t="shared" si="0"/>
        <v>6</v>
      </c>
      <c r="J11" s="151">
        <v>7</v>
      </c>
      <c r="L11" s="14">
        <v>7</v>
      </c>
      <c r="M11" s="38" t="s">
        <v>37</v>
      </c>
      <c r="N11" s="38" t="s">
        <v>65</v>
      </c>
      <c r="O11" s="38" t="s">
        <v>65</v>
      </c>
      <c r="P11" s="38" t="s">
        <v>38</v>
      </c>
      <c r="Q11" s="38" t="s">
        <v>40</v>
      </c>
      <c r="R11" s="38" t="s">
        <v>25</v>
      </c>
      <c r="S11" s="24" t="s">
        <v>40</v>
      </c>
      <c r="U11" s="37">
        <f t="shared" si="1"/>
        <v>13</v>
      </c>
      <c r="V11" s="37">
        <f t="shared" si="1"/>
        <v>17</v>
      </c>
      <c r="W11" s="37">
        <f t="shared" si="1"/>
        <v>17</v>
      </c>
      <c r="X11" s="37">
        <f t="shared" si="1"/>
        <v>15</v>
      </c>
      <c r="Y11" s="37">
        <f t="shared" si="1"/>
        <v>12</v>
      </c>
      <c r="Z11" s="37">
        <f t="shared" si="1"/>
        <v>5</v>
      </c>
      <c r="AA11" s="37">
        <f t="shared" si="1"/>
        <v>12</v>
      </c>
      <c r="AC11" s="18">
        <v>5</v>
      </c>
      <c r="AD11" s="18">
        <v>0</v>
      </c>
      <c r="AE11" s="18">
        <v>0</v>
      </c>
      <c r="AF11" s="18">
        <v>0</v>
      </c>
      <c r="AG11" s="18">
        <v>0</v>
      </c>
      <c r="AH11" s="18">
        <v>5</v>
      </c>
      <c r="AI11" s="18">
        <v>5</v>
      </c>
      <c r="AK11" s="4">
        <v>1</v>
      </c>
      <c r="AL11" s="4">
        <v>2</v>
      </c>
      <c r="AM11" s="4">
        <v>1</v>
      </c>
      <c r="AN11" s="4">
        <v>1</v>
      </c>
      <c r="AO11" s="4">
        <v>0</v>
      </c>
      <c r="AP11" s="4">
        <v>1</v>
      </c>
      <c r="AQ11" s="4">
        <v>1</v>
      </c>
    </row>
    <row r="12" spans="1:51">
      <c r="A12" s="24" t="str">
        <v>A</v>
      </c>
      <c r="B12" s="37" t="str">
        <v>A</v>
      </c>
      <c r="C12" s="10">
        <f t="shared" si="2"/>
        <v>11</v>
      </c>
      <c r="D12" s="10">
        <f t="shared" si="0"/>
        <v>16</v>
      </c>
      <c r="E12" s="10">
        <f t="shared" si="0"/>
        <v>10</v>
      </c>
      <c r="F12" s="10">
        <f t="shared" si="0"/>
        <v>20</v>
      </c>
      <c r="G12" s="10">
        <f t="shared" si="0"/>
        <v>2</v>
      </c>
      <c r="H12" s="10">
        <f t="shared" si="0"/>
        <v>31</v>
      </c>
      <c r="I12" s="10">
        <f t="shared" si="0"/>
        <v>5</v>
      </c>
      <c r="J12" s="4">
        <v>8</v>
      </c>
      <c r="L12" s="15">
        <v>8</v>
      </c>
      <c r="M12" s="38" t="s">
        <v>90</v>
      </c>
      <c r="N12" s="38" t="s">
        <v>226</v>
      </c>
      <c r="O12" s="38" t="s">
        <v>35</v>
      </c>
      <c r="P12" s="38" t="s">
        <v>65</v>
      </c>
      <c r="Q12" s="38" t="s">
        <v>35</v>
      </c>
      <c r="R12" s="38" t="s">
        <v>65</v>
      </c>
      <c r="S12" s="24" t="s">
        <v>40</v>
      </c>
      <c r="U12" s="37">
        <f t="shared" si="1"/>
        <v>6</v>
      </c>
      <c r="V12" s="37">
        <f t="shared" si="1"/>
        <v>0</v>
      </c>
      <c r="W12" s="37">
        <f t="shared" si="1"/>
        <v>15</v>
      </c>
      <c r="X12" s="37">
        <f t="shared" si="1"/>
        <v>17</v>
      </c>
      <c r="Y12" s="37">
        <f t="shared" si="1"/>
        <v>15</v>
      </c>
      <c r="Z12" s="37">
        <f t="shared" si="1"/>
        <v>17</v>
      </c>
      <c r="AA12" s="37">
        <f t="shared" si="1"/>
        <v>12</v>
      </c>
      <c r="AC12" s="18">
        <v>5</v>
      </c>
      <c r="AD12" s="18">
        <v>0</v>
      </c>
      <c r="AE12" s="18">
        <v>0</v>
      </c>
      <c r="AF12" s="18">
        <v>0</v>
      </c>
      <c r="AG12" s="18">
        <v>0</v>
      </c>
      <c r="AH12" s="18">
        <v>5</v>
      </c>
      <c r="AI12" s="18">
        <v>5</v>
      </c>
      <c r="AK12" s="4">
        <v>1</v>
      </c>
      <c r="AL12" s="4">
        <v>0</v>
      </c>
      <c r="AM12" s="4">
        <v>1</v>
      </c>
      <c r="AN12" s="4">
        <v>2</v>
      </c>
      <c r="AO12" s="4">
        <v>0</v>
      </c>
      <c r="AP12" s="4">
        <v>1</v>
      </c>
      <c r="AQ12" s="4">
        <v>1</v>
      </c>
    </row>
    <row r="13" spans="1:51">
      <c r="A13" s="24" t="str">
        <v>K</v>
      </c>
      <c r="B13" s="37" t="str">
        <v>K</v>
      </c>
      <c r="C13" s="10">
        <f t="shared" si="2"/>
        <v>16</v>
      </c>
      <c r="D13" s="10">
        <f t="shared" si="0"/>
        <v>9</v>
      </c>
      <c r="E13" s="10">
        <f t="shared" si="0"/>
        <v>12</v>
      </c>
      <c r="F13" s="10">
        <f t="shared" si="0"/>
        <v>5</v>
      </c>
      <c r="G13" s="10">
        <f t="shared" si="0"/>
        <v>16</v>
      </c>
      <c r="H13" s="10">
        <f t="shared" si="0"/>
        <v>4</v>
      </c>
      <c r="I13" s="10">
        <f t="shared" si="0"/>
        <v>13</v>
      </c>
      <c r="J13" s="4">
        <v>9</v>
      </c>
      <c r="L13" s="14">
        <v>9</v>
      </c>
      <c r="M13" s="38" t="s">
        <v>39</v>
      </c>
      <c r="N13" s="38" t="s">
        <v>34</v>
      </c>
      <c r="O13" s="38" t="s">
        <v>35</v>
      </c>
      <c r="P13" s="38" t="s">
        <v>40</v>
      </c>
      <c r="Q13" s="38" t="s">
        <v>35</v>
      </c>
      <c r="R13" s="38" t="s">
        <v>65</v>
      </c>
      <c r="S13" s="24" t="s">
        <v>25</v>
      </c>
      <c r="U13" s="37">
        <f t="shared" si="1"/>
        <v>5</v>
      </c>
      <c r="V13" s="37">
        <f t="shared" si="1"/>
        <v>16</v>
      </c>
      <c r="W13" s="37">
        <f t="shared" si="1"/>
        <v>15</v>
      </c>
      <c r="X13" s="37">
        <f t="shared" si="1"/>
        <v>12</v>
      </c>
      <c r="Y13" s="37">
        <f t="shared" si="1"/>
        <v>15</v>
      </c>
      <c r="Z13" s="37">
        <f t="shared" si="1"/>
        <v>17</v>
      </c>
      <c r="AA13" s="37">
        <f t="shared" si="1"/>
        <v>5</v>
      </c>
      <c r="AC13" s="18">
        <v>5</v>
      </c>
      <c r="AD13" s="18">
        <v>0</v>
      </c>
      <c r="AE13" s="18">
        <v>0</v>
      </c>
      <c r="AF13" s="18">
        <v>0</v>
      </c>
      <c r="AG13" s="18">
        <v>1</v>
      </c>
      <c r="AH13" s="18">
        <v>5</v>
      </c>
      <c r="AI13" s="18">
        <v>5</v>
      </c>
      <c r="AK13" s="4">
        <v>1</v>
      </c>
      <c r="AL13" s="4">
        <v>1</v>
      </c>
      <c r="AM13" s="4">
        <v>1</v>
      </c>
      <c r="AN13" s="4">
        <v>0</v>
      </c>
      <c r="AO13" s="4">
        <v>1</v>
      </c>
      <c r="AP13" s="4">
        <v>1</v>
      </c>
      <c r="AQ13" s="4">
        <v>1</v>
      </c>
    </row>
    <row r="14" spans="1:51">
      <c r="A14" s="24" t="str">
        <v>Q</v>
      </c>
      <c r="B14" s="37" t="str">
        <v>Q</v>
      </c>
      <c r="C14" s="10">
        <f t="shared" si="2"/>
        <v>3</v>
      </c>
      <c r="D14" s="10">
        <f t="shared" si="0"/>
        <v>17</v>
      </c>
      <c r="E14" s="10">
        <f t="shared" si="0"/>
        <v>4</v>
      </c>
      <c r="F14" s="10">
        <f t="shared" si="0"/>
        <v>19</v>
      </c>
      <c r="G14" s="10">
        <f t="shared" si="0"/>
        <v>2</v>
      </c>
      <c r="H14" s="10">
        <f t="shared" si="0"/>
        <v>22</v>
      </c>
      <c r="I14" s="10">
        <f t="shared" si="0"/>
        <v>15</v>
      </c>
      <c r="J14" s="4">
        <v>10</v>
      </c>
      <c r="L14" s="15">
        <v>10</v>
      </c>
      <c r="M14" s="38" t="s">
        <v>39</v>
      </c>
      <c r="N14" s="38" t="s">
        <v>34</v>
      </c>
      <c r="O14" s="38" t="s">
        <v>35</v>
      </c>
      <c r="P14" s="38" t="s">
        <v>40</v>
      </c>
      <c r="Q14" s="38" t="s">
        <v>39</v>
      </c>
      <c r="R14" s="38" t="s">
        <v>40</v>
      </c>
      <c r="S14" s="24" t="s">
        <v>35</v>
      </c>
      <c r="U14" s="37">
        <f t="shared" si="1"/>
        <v>5</v>
      </c>
      <c r="V14" s="37">
        <f t="shared" si="1"/>
        <v>16</v>
      </c>
      <c r="W14" s="37">
        <f t="shared" si="1"/>
        <v>15</v>
      </c>
      <c r="X14" s="37">
        <f t="shared" si="1"/>
        <v>12</v>
      </c>
      <c r="Y14" s="37">
        <f t="shared" si="1"/>
        <v>5</v>
      </c>
      <c r="Z14" s="37">
        <f t="shared" si="1"/>
        <v>12</v>
      </c>
      <c r="AA14" s="37">
        <f t="shared" si="1"/>
        <v>15</v>
      </c>
      <c r="AC14" s="18">
        <v>5</v>
      </c>
      <c r="AD14" s="18">
        <v>5</v>
      </c>
      <c r="AE14" s="18">
        <v>5</v>
      </c>
      <c r="AF14" s="18">
        <v>5</v>
      </c>
      <c r="AG14" s="18">
        <v>5</v>
      </c>
      <c r="AH14" s="18">
        <v>5</v>
      </c>
      <c r="AI14" s="18">
        <v>5</v>
      </c>
      <c r="AK14" s="4">
        <v>1</v>
      </c>
      <c r="AL14" s="4">
        <v>1</v>
      </c>
      <c r="AM14" s="4">
        <v>1</v>
      </c>
      <c r="AN14" s="4">
        <v>2</v>
      </c>
      <c r="AO14" s="4">
        <v>1</v>
      </c>
      <c r="AP14" s="4">
        <v>1</v>
      </c>
      <c r="AQ14" s="4">
        <v>1</v>
      </c>
    </row>
    <row r="15" spans="1:51">
      <c r="A15" s="24" t="str">
        <v>J</v>
      </c>
      <c r="B15" s="37" t="str">
        <v>J</v>
      </c>
      <c r="C15" s="10">
        <f t="shared" si="2"/>
        <v>25</v>
      </c>
      <c r="D15" s="10">
        <f t="shared" si="0"/>
        <v>1</v>
      </c>
      <c r="E15" s="10">
        <f t="shared" si="0"/>
        <v>20</v>
      </c>
      <c r="F15" s="10">
        <f t="shared" si="0"/>
        <v>6</v>
      </c>
      <c r="G15" s="10">
        <f t="shared" si="0"/>
        <v>27</v>
      </c>
      <c r="H15" s="10">
        <f t="shared" si="0"/>
        <v>5</v>
      </c>
      <c r="I15" s="10">
        <f t="shared" si="0"/>
        <v>5</v>
      </c>
      <c r="J15" s="4">
        <v>11</v>
      </c>
      <c r="L15" s="14">
        <v>11</v>
      </c>
      <c r="M15" s="38" t="s">
        <v>34</v>
      </c>
      <c r="N15" s="38" t="s">
        <v>38</v>
      </c>
      <c r="O15" s="38" t="s">
        <v>90</v>
      </c>
      <c r="P15" s="38" t="s">
        <v>90</v>
      </c>
      <c r="Q15" s="38" t="s">
        <v>90</v>
      </c>
      <c r="R15" s="38" t="s">
        <v>40</v>
      </c>
      <c r="S15" s="24" t="s">
        <v>40</v>
      </c>
      <c r="U15" s="37">
        <f t="shared" si="1"/>
        <v>16</v>
      </c>
      <c r="V15" s="37">
        <f t="shared" si="1"/>
        <v>15</v>
      </c>
      <c r="W15" s="37">
        <f t="shared" si="1"/>
        <v>6</v>
      </c>
      <c r="X15" s="37">
        <f t="shared" si="1"/>
        <v>6</v>
      </c>
      <c r="Y15" s="37">
        <f t="shared" si="1"/>
        <v>6</v>
      </c>
      <c r="Z15" s="37">
        <f t="shared" si="1"/>
        <v>12</v>
      </c>
      <c r="AA15" s="37">
        <f t="shared" si="1"/>
        <v>12</v>
      </c>
      <c r="AC15" s="18">
        <v>5</v>
      </c>
      <c r="AD15" s="18">
        <v>0</v>
      </c>
      <c r="AE15" s="18">
        <v>0</v>
      </c>
      <c r="AF15" s="18">
        <v>0</v>
      </c>
      <c r="AG15" s="18">
        <v>0</v>
      </c>
      <c r="AH15" s="18">
        <v>5</v>
      </c>
      <c r="AI15" s="18">
        <v>5</v>
      </c>
      <c r="AK15" s="4">
        <v>1</v>
      </c>
      <c r="AL15" s="4">
        <v>1</v>
      </c>
      <c r="AM15" s="4">
        <v>1</v>
      </c>
      <c r="AN15" s="4">
        <v>0</v>
      </c>
      <c r="AO15" s="4">
        <v>2</v>
      </c>
      <c r="AP15" s="4">
        <v>1</v>
      </c>
      <c r="AQ15" s="4">
        <v>1</v>
      </c>
    </row>
    <row r="16" spans="1:51">
      <c r="A16" s="37" t="str">
        <v>TE</v>
      </c>
      <c r="B16" s="37" t="str">
        <v>TE</v>
      </c>
      <c r="C16" s="10">
        <f t="shared" si="2"/>
        <v>19</v>
      </c>
      <c r="D16" s="10">
        <f t="shared" si="0"/>
        <v>15</v>
      </c>
      <c r="E16" s="10">
        <f t="shared" si="0"/>
        <v>6</v>
      </c>
      <c r="F16" s="10">
        <f t="shared" si="0"/>
        <v>13</v>
      </c>
      <c r="G16" s="10">
        <f t="shared" si="0"/>
        <v>10</v>
      </c>
      <c r="H16" s="10">
        <f t="shared" si="0"/>
        <v>18</v>
      </c>
      <c r="I16" s="10">
        <f t="shared" si="0"/>
        <v>12</v>
      </c>
      <c r="J16" s="4">
        <v>12</v>
      </c>
      <c r="L16" s="15">
        <v>12</v>
      </c>
      <c r="M16" s="38" t="s">
        <v>90</v>
      </c>
      <c r="N16" s="38" t="s">
        <v>38</v>
      </c>
      <c r="O16" s="38" t="s">
        <v>39</v>
      </c>
      <c r="P16" s="38" t="s">
        <v>38</v>
      </c>
      <c r="Q16" s="38" t="s">
        <v>90</v>
      </c>
      <c r="R16" s="38" t="s">
        <v>40</v>
      </c>
      <c r="S16" s="24" t="s">
        <v>40</v>
      </c>
      <c r="U16" s="37">
        <f t="shared" si="1"/>
        <v>6</v>
      </c>
      <c r="V16" s="37">
        <f t="shared" si="1"/>
        <v>15</v>
      </c>
      <c r="W16" s="37">
        <f t="shared" si="1"/>
        <v>5</v>
      </c>
      <c r="X16" s="37">
        <f t="shared" si="1"/>
        <v>15</v>
      </c>
      <c r="Y16" s="37">
        <f t="shared" si="1"/>
        <v>6</v>
      </c>
      <c r="Z16" s="37">
        <f t="shared" si="1"/>
        <v>12</v>
      </c>
      <c r="AA16" s="37">
        <f t="shared" si="1"/>
        <v>12</v>
      </c>
      <c r="AC16" s="18">
        <v>5</v>
      </c>
      <c r="AD16" s="18">
        <v>0</v>
      </c>
      <c r="AE16" s="18">
        <v>0</v>
      </c>
      <c r="AF16" s="18">
        <v>0</v>
      </c>
      <c r="AG16" s="18">
        <v>0</v>
      </c>
      <c r="AH16" s="18">
        <v>5</v>
      </c>
      <c r="AI16" s="18">
        <v>5</v>
      </c>
      <c r="AK16" s="4">
        <v>1</v>
      </c>
      <c r="AL16" s="4">
        <v>2</v>
      </c>
      <c r="AM16" s="4">
        <v>2</v>
      </c>
      <c r="AN16" s="4">
        <v>1</v>
      </c>
      <c r="AO16" s="4">
        <v>0</v>
      </c>
      <c r="AP16" s="4">
        <v>1</v>
      </c>
      <c r="AQ16" s="4">
        <v>1</v>
      </c>
    </row>
    <row r="17" spans="1:43">
      <c r="A17" s="154" t="str">
        <v>G1</v>
      </c>
      <c r="B17" s="151" t="str">
        <v>Golden M1</v>
      </c>
      <c r="C17" s="153">
        <f t="shared" si="2"/>
        <v>0</v>
      </c>
      <c r="D17" s="153">
        <f t="shared" si="0"/>
        <v>1</v>
      </c>
      <c r="E17" s="153">
        <f t="shared" si="0"/>
        <v>0</v>
      </c>
      <c r="F17" s="153">
        <f t="shared" si="0"/>
        <v>0</v>
      </c>
      <c r="G17" s="153">
        <f t="shared" si="0"/>
        <v>0</v>
      </c>
      <c r="H17" s="153">
        <f t="shared" si="0"/>
        <v>0</v>
      </c>
      <c r="I17" s="153">
        <f t="shared" si="0"/>
        <v>0</v>
      </c>
      <c r="J17" s="151">
        <v>13</v>
      </c>
      <c r="L17" s="14">
        <v>13</v>
      </c>
      <c r="M17" s="38" t="s">
        <v>90</v>
      </c>
      <c r="N17" s="38" t="s">
        <v>234</v>
      </c>
      <c r="O17" s="38" t="s">
        <v>39</v>
      </c>
      <c r="P17" s="38" t="s">
        <v>38</v>
      </c>
      <c r="Q17" s="38" t="s">
        <v>230</v>
      </c>
      <c r="R17" s="38" t="s">
        <v>38</v>
      </c>
      <c r="S17" s="24" t="s">
        <v>40</v>
      </c>
      <c r="U17" s="37">
        <f t="shared" si="1"/>
        <v>6</v>
      </c>
      <c r="V17" s="37">
        <f t="shared" si="1"/>
        <v>0</v>
      </c>
      <c r="W17" s="37">
        <f t="shared" si="1"/>
        <v>5</v>
      </c>
      <c r="X17" s="37">
        <f t="shared" si="1"/>
        <v>15</v>
      </c>
      <c r="Y17" s="37">
        <f t="shared" si="1"/>
        <v>0</v>
      </c>
      <c r="Z17" s="37">
        <f t="shared" si="1"/>
        <v>15</v>
      </c>
      <c r="AA17" s="37">
        <f t="shared" si="1"/>
        <v>12</v>
      </c>
      <c r="AC17" s="18">
        <v>5</v>
      </c>
      <c r="AD17" s="18">
        <v>0</v>
      </c>
      <c r="AE17" s="18">
        <v>0</v>
      </c>
      <c r="AF17" s="18">
        <v>0</v>
      </c>
      <c r="AG17" s="18">
        <v>0</v>
      </c>
      <c r="AH17" s="18">
        <v>5</v>
      </c>
      <c r="AI17" s="18">
        <v>5</v>
      </c>
      <c r="AK17" s="4">
        <v>1</v>
      </c>
      <c r="AL17" s="4">
        <v>0</v>
      </c>
      <c r="AM17" s="4">
        <v>0</v>
      </c>
      <c r="AN17" s="4">
        <v>1</v>
      </c>
      <c r="AO17" s="4">
        <v>1</v>
      </c>
      <c r="AP17" s="4">
        <v>1</v>
      </c>
      <c r="AQ17" s="4">
        <v>1</v>
      </c>
    </row>
    <row r="18" spans="1:43">
      <c r="A18" s="154" t="str">
        <v>G2</v>
      </c>
      <c r="B18" s="151" t="str">
        <v>Golden M2</v>
      </c>
      <c r="C18" s="153">
        <f t="shared" si="2"/>
        <v>0</v>
      </c>
      <c r="D18" s="153">
        <f t="shared" si="0"/>
        <v>1</v>
      </c>
      <c r="E18" s="153">
        <f t="shared" si="0"/>
        <v>1</v>
      </c>
      <c r="F18" s="153">
        <f t="shared" si="0"/>
        <v>0</v>
      </c>
      <c r="G18" s="153">
        <f t="shared" si="0"/>
        <v>1</v>
      </c>
      <c r="H18" s="153">
        <f t="shared" si="0"/>
        <v>0</v>
      </c>
      <c r="I18" s="153">
        <f t="shared" si="0"/>
        <v>0</v>
      </c>
      <c r="J18" s="151">
        <v>14</v>
      </c>
      <c r="L18" s="15">
        <v>14</v>
      </c>
      <c r="M18" s="38" t="s">
        <v>38</v>
      </c>
      <c r="N18" s="38" t="s">
        <v>32</v>
      </c>
      <c r="O18" s="38" t="s">
        <v>39</v>
      </c>
      <c r="P18" s="38" t="s">
        <v>39</v>
      </c>
      <c r="Q18" s="38" t="s">
        <v>65</v>
      </c>
      <c r="R18" s="38" t="s">
        <v>39</v>
      </c>
      <c r="S18" s="24" t="s">
        <v>37</v>
      </c>
      <c r="T18" s="150"/>
      <c r="U18" s="37">
        <f t="shared" si="1"/>
        <v>15</v>
      </c>
      <c r="V18" s="37">
        <f t="shared" si="1"/>
        <v>4</v>
      </c>
      <c r="W18" s="37">
        <f t="shared" si="1"/>
        <v>5</v>
      </c>
      <c r="X18" s="37">
        <f t="shared" si="1"/>
        <v>5</v>
      </c>
      <c r="Y18" s="37">
        <f t="shared" si="1"/>
        <v>17</v>
      </c>
      <c r="Z18" s="37">
        <f t="shared" si="1"/>
        <v>5</v>
      </c>
      <c r="AA18" s="37">
        <f t="shared" si="1"/>
        <v>13</v>
      </c>
      <c r="AB18" s="150"/>
      <c r="AC18" s="18">
        <v>5</v>
      </c>
      <c r="AD18" s="18">
        <v>0</v>
      </c>
      <c r="AE18" s="18">
        <v>0</v>
      </c>
      <c r="AF18" s="18">
        <v>0</v>
      </c>
      <c r="AG18" s="18">
        <v>1</v>
      </c>
      <c r="AH18" s="18">
        <v>5</v>
      </c>
      <c r="AI18" s="18">
        <v>5</v>
      </c>
      <c r="AJ18" s="150"/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</row>
    <row r="19" spans="1:43">
      <c r="A19" s="154" t="str">
        <v>G3</v>
      </c>
      <c r="B19" s="151" t="str">
        <v>Golden M3</v>
      </c>
      <c r="C19" s="153">
        <f t="shared" si="2"/>
        <v>0</v>
      </c>
      <c r="D19" s="153">
        <f t="shared" si="0"/>
        <v>1</v>
      </c>
      <c r="E19" s="153">
        <f t="shared" si="0"/>
        <v>1</v>
      </c>
      <c r="F19" s="153">
        <f t="shared" si="0"/>
        <v>1</v>
      </c>
      <c r="G19" s="153">
        <f t="shared" si="0"/>
        <v>1</v>
      </c>
      <c r="H19" s="153">
        <f t="shared" si="0"/>
        <v>0</v>
      </c>
      <c r="I19" s="153">
        <f t="shared" si="0"/>
        <v>0</v>
      </c>
      <c r="J19" s="151">
        <v>15</v>
      </c>
      <c r="K19" s="42"/>
      <c r="L19" s="14">
        <v>15</v>
      </c>
      <c r="M19" s="38" t="s">
        <v>40</v>
      </c>
      <c r="N19" s="38" t="s">
        <v>222</v>
      </c>
      <c r="O19" s="38" t="s">
        <v>90</v>
      </c>
      <c r="P19" s="38" t="s">
        <v>39</v>
      </c>
      <c r="Q19" s="38" t="s">
        <v>232</v>
      </c>
      <c r="R19" s="38" t="s">
        <v>65</v>
      </c>
      <c r="S19" s="24" t="s">
        <v>37</v>
      </c>
      <c r="U19" s="37">
        <f t="shared" si="1"/>
        <v>12</v>
      </c>
      <c r="V19" s="37">
        <f t="shared" si="1"/>
        <v>0</v>
      </c>
      <c r="W19" s="37">
        <f t="shared" si="1"/>
        <v>6</v>
      </c>
      <c r="X19" s="37">
        <f t="shared" si="1"/>
        <v>5</v>
      </c>
      <c r="Y19" s="37">
        <f t="shared" si="1"/>
        <v>0</v>
      </c>
      <c r="Z19" s="37">
        <f t="shared" si="1"/>
        <v>17</v>
      </c>
      <c r="AA19" s="37">
        <f t="shared" si="1"/>
        <v>13</v>
      </c>
      <c r="AC19" s="18">
        <v>5</v>
      </c>
      <c r="AD19" s="18">
        <v>5</v>
      </c>
      <c r="AE19" s="18">
        <v>5</v>
      </c>
      <c r="AF19" s="18">
        <v>5</v>
      </c>
      <c r="AG19" s="18">
        <v>6</v>
      </c>
      <c r="AH19" s="18">
        <v>5</v>
      </c>
      <c r="AI19" s="18">
        <v>5</v>
      </c>
      <c r="AK19" s="4">
        <v>1</v>
      </c>
      <c r="AL19" s="4">
        <v>1</v>
      </c>
      <c r="AM19" s="4">
        <v>1</v>
      </c>
      <c r="AN19" s="4">
        <v>2</v>
      </c>
      <c r="AO19" s="4">
        <v>2</v>
      </c>
      <c r="AP19" s="4">
        <v>1</v>
      </c>
      <c r="AQ19" s="4">
        <v>1</v>
      </c>
    </row>
    <row r="20" spans="1:43">
      <c r="A20" s="154" t="str">
        <v>G4</v>
      </c>
      <c r="B20" s="151" t="str">
        <v>Golden M4</v>
      </c>
      <c r="C20" s="153">
        <f t="shared" si="2"/>
        <v>0</v>
      </c>
      <c r="D20" s="153">
        <f t="shared" si="2"/>
        <v>1</v>
      </c>
      <c r="E20" s="153">
        <f t="shared" si="2"/>
        <v>1</v>
      </c>
      <c r="F20" s="153">
        <f t="shared" si="2"/>
        <v>0</v>
      </c>
      <c r="G20" s="153">
        <f t="shared" si="2"/>
        <v>1</v>
      </c>
      <c r="H20" s="153">
        <f t="shared" si="2"/>
        <v>0</v>
      </c>
      <c r="I20" s="153">
        <f t="shared" si="2"/>
        <v>0</v>
      </c>
      <c r="J20" s="151">
        <v>16</v>
      </c>
      <c r="L20" s="15">
        <v>16</v>
      </c>
      <c r="M20" s="38" t="s">
        <v>40</v>
      </c>
      <c r="N20" s="38" t="s">
        <v>40</v>
      </c>
      <c r="O20" s="38" t="s">
        <v>90</v>
      </c>
      <c r="P20" s="38" t="s">
        <v>25</v>
      </c>
      <c r="Q20" s="38" t="s">
        <v>90</v>
      </c>
      <c r="R20" s="38" t="s">
        <v>25</v>
      </c>
      <c r="S20" s="24" t="s">
        <v>37</v>
      </c>
      <c r="U20" s="37">
        <f t="shared" ref="U20:AA56" si="3">VLOOKUP(M20, $A$4:$J$29, 9, 0)</f>
        <v>12</v>
      </c>
      <c r="V20" s="37">
        <f t="shared" si="3"/>
        <v>12</v>
      </c>
      <c r="W20" s="37">
        <f t="shared" si="3"/>
        <v>6</v>
      </c>
      <c r="X20" s="37">
        <f t="shared" si="3"/>
        <v>5</v>
      </c>
      <c r="Y20" s="37">
        <f t="shared" si="3"/>
        <v>6</v>
      </c>
      <c r="Z20" s="37">
        <f t="shared" si="3"/>
        <v>5</v>
      </c>
      <c r="AA20" s="37">
        <f t="shared" si="3"/>
        <v>13</v>
      </c>
      <c r="AC20" s="18">
        <v>5</v>
      </c>
      <c r="AD20" s="18">
        <v>0</v>
      </c>
      <c r="AE20" s="18">
        <v>0</v>
      </c>
      <c r="AF20" s="18">
        <v>0</v>
      </c>
      <c r="AG20" s="18">
        <v>0</v>
      </c>
      <c r="AH20" s="18">
        <v>5</v>
      </c>
      <c r="AI20" s="18">
        <v>5</v>
      </c>
      <c r="AK20" s="4">
        <v>1</v>
      </c>
      <c r="AL20" s="4">
        <v>2</v>
      </c>
      <c r="AM20" s="4">
        <v>1</v>
      </c>
      <c r="AN20" s="4">
        <v>0</v>
      </c>
      <c r="AO20" s="4">
        <v>0</v>
      </c>
      <c r="AP20" s="4">
        <v>1</v>
      </c>
      <c r="AQ20" s="4">
        <v>1</v>
      </c>
    </row>
    <row r="21" spans="1:43">
      <c r="A21" s="154" t="str">
        <v>G5</v>
      </c>
      <c r="B21" s="151" t="str">
        <v>Golden M5</v>
      </c>
      <c r="C21" s="153">
        <f t="shared" si="2"/>
        <v>0</v>
      </c>
      <c r="D21" s="153">
        <f t="shared" si="2"/>
        <v>4</v>
      </c>
      <c r="E21" s="153">
        <f t="shared" si="2"/>
        <v>1</v>
      </c>
      <c r="F21" s="153">
        <f t="shared" si="2"/>
        <v>1</v>
      </c>
      <c r="G21" s="153">
        <f t="shared" si="2"/>
        <v>1</v>
      </c>
      <c r="H21" s="153">
        <f t="shared" si="2"/>
        <v>0</v>
      </c>
      <c r="I21" s="153">
        <f t="shared" si="2"/>
        <v>0</v>
      </c>
      <c r="J21" s="151">
        <v>17</v>
      </c>
      <c r="L21" s="14">
        <v>17</v>
      </c>
      <c r="M21" s="38" t="s">
        <v>39</v>
      </c>
      <c r="N21" s="38" t="s">
        <v>40</v>
      </c>
      <c r="O21" s="38" t="s">
        <v>37</v>
      </c>
      <c r="P21" s="38" t="s">
        <v>25</v>
      </c>
      <c r="Q21" s="38" t="s">
        <v>90</v>
      </c>
      <c r="R21" s="38" t="s">
        <v>65</v>
      </c>
      <c r="S21" s="24" t="s">
        <v>65</v>
      </c>
      <c r="U21" s="37">
        <f t="shared" si="3"/>
        <v>5</v>
      </c>
      <c r="V21" s="37">
        <f t="shared" si="3"/>
        <v>12</v>
      </c>
      <c r="W21" s="37">
        <f t="shared" si="3"/>
        <v>13</v>
      </c>
      <c r="X21" s="37">
        <f t="shared" si="3"/>
        <v>5</v>
      </c>
      <c r="Y21" s="37">
        <f t="shared" si="3"/>
        <v>6</v>
      </c>
      <c r="Z21" s="37">
        <f t="shared" si="3"/>
        <v>17</v>
      </c>
      <c r="AA21" s="37">
        <f t="shared" si="3"/>
        <v>17</v>
      </c>
      <c r="AC21" s="18">
        <v>5</v>
      </c>
      <c r="AD21" s="18">
        <v>0</v>
      </c>
      <c r="AE21" s="18">
        <v>0</v>
      </c>
      <c r="AF21" s="18">
        <v>0</v>
      </c>
      <c r="AG21" s="18">
        <v>0</v>
      </c>
      <c r="AH21" s="18">
        <v>5</v>
      </c>
      <c r="AI21" s="18">
        <v>5</v>
      </c>
      <c r="AK21" s="4">
        <v>1</v>
      </c>
      <c r="AL21" s="4">
        <v>0</v>
      </c>
      <c r="AM21" s="4">
        <v>1</v>
      </c>
      <c r="AN21" s="4">
        <v>1</v>
      </c>
      <c r="AO21" s="4">
        <v>2</v>
      </c>
      <c r="AP21" s="4">
        <v>1</v>
      </c>
      <c r="AQ21" s="4">
        <v>1</v>
      </c>
    </row>
    <row r="22" spans="1:43">
      <c r="A22" s="154" t="str">
        <v>G6</v>
      </c>
      <c r="B22" s="151" t="str">
        <v>Golden M6</v>
      </c>
      <c r="C22" s="153">
        <f t="shared" si="2"/>
        <v>0</v>
      </c>
      <c r="D22" s="153">
        <f t="shared" si="2"/>
        <v>4</v>
      </c>
      <c r="E22" s="153">
        <f t="shared" si="2"/>
        <v>2</v>
      </c>
      <c r="F22" s="153">
        <f t="shared" si="2"/>
        <v>1</v>
      </c>
      <c r="G22" s="153">
        <f t="shared" si="2"/>
        <v>1</v>
      </c>
      <c r="H22" s="153">
        <f t="shared" si="2"/>
        <v>0</v>
      </c>
      <c r="I22" s="153">
        <f t="shared" si="2"/>
        <v>0</v>
      </c>
      <c r="J22" s="151">
        <v>18</v>
      </c>
      <c r="L22" s="15">
        <v>18</v>
      </c>
      <c r="M22" s="38" t="s">
        <v>39</v>
      </c>
      <c r="N22" s="38" t="s">
        <v>90</v>
      </c>
      <c r="O22" s="38" t="s">
        <v>65</v>
      </c>
      <c r="P22" s="38" t="s">
        <v>34</v>
      </c>
      <c r="Q22" s="38" t="s">
        <v>37</v>
      </c>
      <c r="R22" s="38" t="s">
        <v>65</v>
      </c>
      <c r="S22" s="38" t="s">
        <v>34</v>
      </c>
      <c r="U22" s="37">
        <f t="shared" si="3"/>
        <v>5</v>
      </c>
      <c r="V22" s="37">
        <f t="shared" si="3"/>
        <v>6</v>
      </c>
      <c r="W22" s="37">
        <f t="shared" si="3"/>
        <v>17</v>
      </c>
      <c r="X22" s="37">
        <f t="shared" si="3"/>
        <v>16</v>
      </c>
      <c r="Y22" s="37">
        <f t="shared" si="3"/>
        <v>13</v>
      </c>
      <c r="Z22" s="37">
        <f t="shared" si="3"/>
        <v>17</v>
      </c>
      <c r="AA22" s="37">
        <f t="shared" si="3"/>
        <v>16</v>
      </c>
      <c r="AC22" s="18">
        <v>5</v>
      </c>
      <c r="AD22" s="18">
        <v>0</v>
      </c>
      <c r="AE22" s="18">
        <v>0</v>
      </c>
      <c r="AF22" s="18">
        <v>0</v>
      </c>
      <c r="AG22" s="18">
        <v>0</v>
      </c>
      <c r="AH22" s="18">
        <v>5</v>
      </c>
      <c r="AI22" s="18">
        <v>5</v>
      </c>
      <c r="AK22" s="4">
        <v>1</v>
      </c>
      <c r="AL22" s="4">
        <v>1</v>
      </c>
      <c r="AM22" s="4">
        <v>1</v>
      </c>
      <c r="AN22" s="4">
        <v>2</v>
      </c>
      <c r="AO22" s="4">
        <v>0</v>
      </c>
      <c r="AP22" s="4">
        <v>1</v>
      </c>
      <c r="AQ22" s="4">
        <v>1</v>
      </c>
    </row>
    <row r="23" spans="1:43">
      <c r="A23" s="37" t="str">
        <v>GA</v>
      </c>
      <c r="B23" s="4" t="str">
        <v>Golden A</v>
      </c>
      <c r="C23" s="10">
        <f t="shared" si="2"/>
        <v>0</v>
      </c>
      <c r="D23" s="10">
        <f t="shared" si="2"/>
        <v>2</v>
      </c>
      <c r="E23" s="10">
        <f t="shared" si="2"/>
        <v>1</v>
      </c>
      <c r="F23" s="10">
        <f t="shared" si="2"/>
        <v>1</v>
      </c>
      <c r="G23" s="10">
        <f t="shared" si="2"/>
        <v>0</v>
      </c>
      <c r="H23" s="10">
        <f t="shared" si="2"/>
        <v>0</v>
      </c>
      <c r="I23" s="10">
        <f t="shared" si="2"/>
        <v>0</v>
      </c>
      <c r="J23" s="4">
        <v>19</v>
      </c>
      <c r="L23" s="14">
        <v>19</v>
      </c>
      <c r="M23" s="38" t="s">
        <v>90</v>
      </c>
      <c r="N23" s="38" t="s">
        <v>25</v>
      </c>
      <c r="O23" s="38" t="s">
        <v>37</v>
      </c>
      <c r="P23" s="38" t="s">
        <v>25</v>
      </c>
      <c r="Q23" s="38" t="s">
        <v>90</v>
      </c>
      <c r="R23" s="38" t="s">
        <v>65</v>
      </c>
      <c r="S23" s="24" t="s">
        <v>34</v>
      </c>
      <c r="U23" s="37">
        <f t="shared" si="3"/>
        <v>6</v>
      </c>
      <c r="V23" s="37">
        <f t="shared" si="3"/>
        <v>5</v>
      </c>
      <c r="W23" s="37">
        <f t="shared" si="3"/>
        <v>13</v>
      </c>
      <c r="X23" s="37">
        <f t="shared" si="3"/>
        <v>5</v>
      </c>
      <c r="Y23" s="37">
        <f t="shared" si="3"/>
        <v>6</v>
      </c>
      <c r="Z23" s="37">
        <f t="shared" si="3"/>
        <v>17</v>
      </c>
      <c r="AA23" s="37">
        <f t="shared" si="3"/>
        <v>16</v>
      </c>
      <c r="AC23" s="18">
        <v>5</v>
      </c>
      <c r="AD23" s="18">
        <v>0</v>
      </c>
      <c r="AE23" s="18">
        <v>0</v>
      </c>
      <c r="AF23" s="18">
        <v>0</v>
      </c>
      <c r="AG23" s="18">
        <v>0</v>
      </c>
      <c r="AH23" s="18">
        <v>5</v>
      </c>
      <c r="AI23" s="18">
        <v>5</v>
      </c>
      <c r="AK23" s="4">
        <v>1</v>
      </c>
      <c r="AL23" s="4">
        <v>1</v>
      </c>
      <c r="AM23" s="4">
        <v>1</v>
      </c>
      <c r="AN23" s="4">
        <v>0</v>
      </c>
      <c r="AO23" s="4">
        <v>1</v>
      </c>
      <c r="AP23" s="4">
        <v>1</v>
      </c>
      <c r="AQ23" s="4">
        <v>1</v>
      </c>
    </row>
    <row r="24" spans="1:43">
      <c r="A24" s="37" t="str">
        <v>GK</v>
      </c>
      <c r="B24" s="4" t="str">
        <v>Golden K</v>
      </c>
      <c r="C24" s="10">
        <f t="shared" si="2"/>
        <v>0</v>
      </c>
      <c r="D24" s="10">
        <f t="shared" si="2"/>
        <v>1</v>
      </c>
      <c r="E24" s="10">
        <f t="shared" si="2"/>
        <v>1</v>
      </c>
      <c r="F24" s="10">
        <f t="shared" si="2"/>
        <v>1</v>
      </c>
      <c r="G24" s="10">
        <f t="shared" si="2"/>
        <v>1</v>
      </c>
      <c r="H24" s="10">
        <f t="shared" si="2"/>
        <v>0</v>
      </c>
      <c r="I24" s="10">
        <f t="shared" si="2"/>
        <v>0</v>
      </c>
      <c r="J24" s="4">
        <v>20</v>
      </c>
      <c r="L24" s="15">
        <v>20</v>
      </c>
      <c r="M24" s="38" t="s">
        <v>39</v>
      </c>
      <c r="N24" s="38" t="s">
        <v>40</v>
      </c>
      <c r="O24" s="38" t="s">
        <v>37</v>
      </c>
      <c r="P24" s="38" t="s">
        <v>25</v>
      </c>
      <c r="Q24" s="38" t="s">
        <v>34</v>
      </c>
      <c r="R24" s="38" t="s">
        <v>38</v>
      </c>
      <c r="S24" s="24" t="s">
        <v>34</v>
      </c>
      <c r="U24" s="37">
        <f t="shared" si="3"/>
        <v>5</v>
      </c>
      <c r="V24" s="37">
        <f t="shared" si="3"/>
        <v>12</v>
      </c>
      <c r="W24" s="37">
        <f t="shared" si="3"/>
        <v>13</v>
      </c>
      <c r="X24" s="37">
        <f t="shared" si="3"/>
        <v>5</v>
      </c>
      <c r="Y24" s="37">
        <f t="shared" si="3"/>
        <v>16</v>
      </c>
      <c r="Z24" s="37">
        <f t="shared" si="3"/>
        <v>15</v>
      </c>
      <c r="AA24" s="37">
        <f t="shared" si="3"/>
        <v>16</v>
      </c>
      <c r="AC24" s="18">
        <v>5</v>
      </c>
      <c r="AD24" s="18">
        <v>5</v>
      </c>
      <c r="AE24" s="18">
        <v>5</v>
      </c>
      <c r="AF24" s="18">
        <v>5</v>
      </c>
      <c r="AG24" s="18">
        <v>6</v>
      </c>
      <c r="AH24" s="18">
        <v>5</v>
      </c>
      <c r="AI24" s="18">
        <v>5</v>
      </c>
      <c r="AK24" s="4">
        <v>1</v>
      </c>
      <c r="AL24" s="4">
        <v>3</v>
      </c>
      <c r="AM24" s="4">
        <v>1</v>
      </c>
      <c r="AN24" s="4">
        <v>1</v>
      </c>
      <c r="AO24" s="4">
        <v>3</v>
      </c>
      <c r="AP24" s="4">
        <v>1</v>
      </c>
      <c r="AQ24" s="4">
        <v>1</v>
      </c>
    </row>
    <row r="25" spans="1:43">
      <c r="A25" s="37" t="str">
        <v>GQ</v>
      </c>
      <c r="B25" s="4" t="str">
        <v>Golden Q</v>
      </c>
      <c r="C25" s="10">
        <f t="shared" si="2"/>
        <v>0</v>
      </c>
      <c r="D25" s="10">
        <f t="shared" si="2"/>
        <v>1</v>
      </c>
      <c r="E25" s="10">
        <f t="shared" si="2"/>
        <v>1</v>
      </c>
      <c r="F25" s="10">
        <f t="shared" si="2"/>
        <v>3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4">
        <v>21</v>
      </c>
      <c r="L25" s="14">
        <v>21</v>
      </c>
      <c r="M25" s="38" t="s">
        <v>40</v>
      </c>
      <c r="N25" s="38" t="s">
        <v>232</v>
      </c>
      <c r="O25" s="38" t="s">
        <v>37</v>
      </c>
      <c r="P25" s="38" t="s">
        <v>238</v>
      </c>
      <c r="Q25" s="38" t="s">
        <v>34</v>
      </c>
      <c r="R25" s="38" t="s">
        <v>38</v>
      </c>
      <c r="S25" s="24" t="s">
        <v>38</v>
      </c>
      <c r="U25" s="37">
        <f t="shared" si="3"/>
        <v>12</v>
      </c>
      <c r="V25" s="37">
        <f t="shared" si="3"/>
        <v>0</v>
      </c>
      <c r="W25" s="37">
        <f t="shared" si="3"/>
        <v>13</v>
      </c>
      <c r="X25" s="37">
        <f t="shared" si="3"/>
        <v>0</v>
      </c>
      <c r="Y25" s="37">
        <f t="shared" si="3"/>
        <v>16</v>
      </c>
      <c r="Z25" s="37">
        <f t="shared" si="3"/>
        <v>15</v>
      </c>
      <c r="AA25" s="37">
        <f t="shared" si="3"/>
        <v>15</v>
      </c>
      <c r="AC25" s="18">
        <v>5</v>
      </c>
      <c r="AD25" s="18">
        <v>0</v>
      </c>
      <c r="AE25" s="18">
        <v>0</v>
      </c>
      <c r="AF25" s="18">
        <v>0</v>
      </c>
      <c r="AG25" s="18">
        <v>0</v>
      </c>
      <c r="AH25" s="18">
        <v>5</v>
      </c>
      <c r="AI25" s="18">
        <v>5</v>
      </c>
      <c r="AK25" s="4">
        <v>1</v>
      </c>
      <c r="AL25" s="4">
        <v>0</v>
      </c>
      <c r="AM25" s="4">
        <v>3</v>
      </c>
      <c r="AN25" s="4">
        <v>3</v>
      </c>
      <c r="AO25" s="4">
        <v>0</v>
      </c>
      <c r="AP25" s="4">
        <v>1</v>
      </c>
      <c r="AQ25" s="4">
        <v>1</v>
      </c>
    </row>
    <row r="26" spans="1:43">
      <c r="A26" s="37" t="str">
        <v>GJ</v>
      </c>
      <c r="B26" s="4" t="str">
        <v>Golden J</v>
      </c>
      <c r="C26" s="10">
        <f t="shared" si="2"/>
        <v>0</v>
      </c>
      <c r="D26" s="10">
        <f t="shared" si="2"/>
        <v>1</v>
      </c>
      <c r="E26" s="10">
        <f t="shared" si="2"/>
        <v>1</v>
      </c>
      <c r="F26" s="10">
        <f t="shared" si="2"/>
        <v>0</v>
      </c>
      <c r="G26" s="10">
        <f t="shared" si="2"/>
        <v>1</v>
      </c>
      <c r="H26" s="10">
        <f t="shared" si="2"/>
        <v>0</v>
      </c>
      <c r="I26" s="10">
        <f t="shared" si="2"/>
        <v>0</v>
      </c>
      <c r="J26" s="4">
        <v>22</v>
      </c>
      <c r="L26" s="15">
        <v>22</v>
      </c>
      <c r="M26" s="38" t="s">
        <v>90</v>
      </c>
      <c r="N26" s="38" t="s">
        <v>37</v>
      </c>
      <c r="O26" s="38" t="s">
        <v>39</v>
      </c>
      <c r="P26" s="38" t="s">
        <v>38</v>
      </c>
      <c r="Q26" s="38" t="s">
        <v>37</v>
      </c>
      <c r="R26" s="38" t="s">
        <v>38</v>
      </c>
      <c r="S26" s="24" t="s">
        <v>37</v>
      </c>
      <c r="U26" s="37">
        <f t="shared" si="3"/>
        <v>6</v>
      </c>
      <c r="V26" s="37">
        <f t="shared" si="3"/>
        <v>13</v>
      </c>
      <c r="W26" s="37">
        <f t="shared" si="3"/>
        <v>5</v>
      </c>
      <c r="X26" s="37">
        <f t="shared" si="3"/>
        <v>15</v>
      </c>
      <c r="Y26" s="37">
        <f t="shared" si="3"/>
        <v>13</v>
      </c>
      <c r="Z26" s="37">
        <f t="shared" si="3"/>
        <v>15</v>
      </c>
      <c r="AA26" s="37">
        <f t="shared" si="3"/>
        <v>13</v>
      </c>
      <c r="AC26" s="18">
        <v>5</v>
      </c>
      <c r="AD26" s="18">
        <v>0</v>
      </c>
      <c r="AE26" s="18">
        <v>0</v>
      </c>
      <c r="AF26" s="18">
        <v>0</v>
      </c>
      <c r="AG26" s="18">
        <v>0</v>
      </c>
      <c r="AH26" s="18">
        <v>5</v>
      </c>
      <c r="AI26" s="18">
        <v>5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1</v>
      </c>
      <c r="AQ26" s="4">
        <v>1</v>
      </c>
    </row>
    <row r="27" spans="1:43">
      <c r="A27" s="37" t="str">
        <v>GT</v>
      </c>
      <c r="B27" s="37" t="str">
        <v>Golden TE</v>
      </c>
      <c r="C27" s="10">
        <f t="shared" si="2"/>
        <v>0</v>
      </c>
      <c r="D27" s="10">
        <f t="shared" si="2"/>
        <v>2</v>
      </c>
      <c r="E27" s="10">
        <f t="shared" si="2"/>
        <v>1</v>
      </c>
      <c r="F27" s="10">
        <f t="shared" si="2"/>
        <v>0</v>
      </c>
      <c r="G27" s="10">
        <f t="shared" si="2"/>
        <v>1</v>
      </c>
      <c r="H27" s="10">
        <f t="shared" si="2"/>
        <v>0</v>
      </c>
      <c r="I27" s="10">
        <f t="shared" si="2"/>
        <v>0</v>
      </c>
      <c r="J27" s="4">
        <v>23</v>
      </c>
      <c r="L27" s="14">
        <v>23</v>
      </c>
      <c r="M27" s="38" t="s">
        <v>37</v>
      </c>
      <c r="N27" s="38" t="s">
        <v>37</v>
      </c>
      <c r="O27" s="38" t="s">
        <v>39</v>
      </c>
      <c r="P27" s="38" t="s">
        <v>38</v>
      </c>
      <c r="Q27" s="38" t="s">
        <v>33</v>
      </c>
      <c r="R27" s="38" t="s">
        <v>65</v>
      </c>
      <c r="S27" s="24" t="s">
        <v>37</v>
      </c>
      <c r="U27" s="37">
        <f t="shared" si="3"/>
        <v>13</v>
      </c>
      <c r="V27" s="37">
        <f t="shared" si="3"/>
        <v>13</v>
      </c>
      <c r="W27" s="37">
        <f t="shared" si="3"/>
        <v>5</v>
      </c>
      <c r="X27" s="37">
        <f t="shared" si="3"/>
        <v>15</v>
      </c>
      <c r="Y27" s="37">
        <f t="shared" si="3"/>
        <v>11</v>
      </c>
      <c r="Z27" s="37">
        <f t="shared" si="3"/>
        <v>17</v>
      </c>
      <c r="AA27" s="37">
        <f t="shared" si="3"/>
        <v>13</v>
      </c>
      <c r="AC27" s="18">
        <v>5</v>
      </c>
      <c r="AD27" s="18">
        <v>0</v>
      </c>
      <c r="AE27" s="18">
        <v>0</v>
      </c>
      <c r="AF27" s="18">
        <v>0</v>
      </c>
      <c r="AG27" s="18">
        <v>0</v>
      </c>
      <c r="AH27" s="18">
        <v>5</v>
      </c>
      <c r="AI27" s="18">
        <v>5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1</v>
      </c>
      <c r="AQ27" s="4">
        <v>1</v>
      </c>
    </row>
    <row r="28" spans="1:43">
      <c r="A28" s="154" t="str">
        <v>MY</v>
      </c>
      <c r="B28" s="154" t="str">
        <v>Mystery</v>
      </c>
      <c r="C28" s="153">
        <f t="shared" si="2"/>
        <v>2</v>
      </c>
      <c r="D28" s="153">
        <f t="shared" si="2"/>
        <v>2</v>
      </c>
      <c r="E28" s="153">
        <f t="shared" si="2"/>
        <v>3</v>
      </c>
      <c r="F28" s="153">
        <f t="shared" si="2"/>
        <v>2</v>
      </c>
      <c r="G28" s="153">
        <f t="shared" si="2"/>
        <v>2</v>
      </c>
      <c r="H28" s="153">
        <f t="shared" si="2"/>
        <v>2</v>
      </c>
      <c r="I28" s="153">
        <f t="shared" si="2"/>
        <v>2</v>
      </c>
      <c r="J28" s="151">
        <v>24</v>
      </c>
      <c r="L28" s="15">
        <v>24</v>
      </c>
      <c r="M28" s="38" t="s">
        <v>37</v>
      </c>
      <c r="N28" s="38" t="s">
        <v>230</v>
      </c>
      <c r="O28" s="38" t="s">
        <v>35</v>
      </c>
      <c r="P28" s="38" t="s">
        <v>25</v>
      </c>
      <c r="Q28" s="38" t="s">
        <v>37</v>
      </c>
      <c r="R28" s="38" t="s">
        <v>34</v>
      </c>
      <c r="S28" s="24" t="s">
        <v>33</v>
      </c>
      <c r="U28" s="37">
        <f t="shared" si="3"/>
        <v>13</v>
      </c>
      <c r="V28" s="37">
        <f t="shared" si="3"/>
        <v>0</v>
      </c>
      <c r="W28" s="37">
        <f t="shared" si="3"/>
        <v>15</v>
      </c>
      <c r="X28" s="37">
        <f t="shared" si="3"/>
        <v>5</v>
      </c>
      <c r="Y28" s="37">
        <f t="shared" si="3"/>
        <v>13</v>
      </c>
      <c r="Z28" s="37">
        <f t="shared" si="3"/>
        <v>16</v>
      </c>
      <c r="AA28" s="37">
        <f t="shared" si="3"/>
        <v>11</v>
      </c>
      <c r="AC28" s="18">
        <v>5</v>
      </c>
      <c r="AD28" s="18">
        <v>0</v>
      </c>
      <c r="AE28" s="18">
        <v>0</v>
      </c>
      <c r="AF28" s="18">
        <v>0</v>
      </c>
      <c r="AG28" s="18">
        <v>0</v>
      </c>
      <c r="AH28" s="18">
        <v>5</v>
      </c>
      <c r="AI28" s="18">
        <v>5</v>
      </c>
      <c r="AK28" s="4">
        <v>1</v>
      </c>
      <c r="AL28" s="4">
        <v>0</v>
      </c>
      <c r="AM28" s="4">
        <v>1</v>
      </c>
      <c r="AN28" s="4">
        <v>1</v>
      </c>
      <c r="AO28" s="4">
        <v>0</v>
      </c>
      <c r="AP28" s="4">
        <v>1</v>
      </c>
      <c r="AQ28" s="4">
        <v>1</v>
      </c>
    </row>
    <row r="29" spans="1:43">
      <c r="A29" s="154" t="str">
        <v>GM</v>
      </c>
      <c r="B29" s="154" t="str">
        <v>Golden Mystery</v>
      </c>
      <c r="C29" s="153">
        <f t="shared" si="2"/>
        <v>0</v>
      </c>
      <c r="D29" s="153">
        <f t="shared" si="2"/>
        <v>1</v>
      </c>
      <c r="E29" s="153">
        <f t="shared" si="2"/>
        <v>1</v>
      </c>
      <c r="F29" s="153">
        <f t="shared" si="2"/>
        <v>1</v>
      </c>
      <c r="G29" s="153">
        <f t="shared" si="2"/>
        <v>1</v>
      </c>
      <c r="H29" s="153">
        <f t="shared" si="2"/>
        <v>0</v>
      </c>
      <c r="I29" s="153">
        <f t="shared" si="2"/>
        <v>0</v>
      </c>
      <c r="J29" s="151">
        <v>25</v>
      </c>
      <c r="L29" s="14">
        <v>25</v>
      </c>
      <c r="M29" s="38" t="s">
        <v>39</v>
      </c>
      <c r="N29" s="38" t="s">
        <v>65</v>
      </c>
      <c r="O29" s="38" t="s">
        <v>35</v>
      </c>
      <c r="P29" s="38" t="s">
        <v>34</v>
      </c>
      <c r="Q29" s="38" t="s">
        <v>38</v>
      </c>
      <c r="R29" s="38" t="s">
        <v>25</v>
      </c>
      <c r="S29" s="24" t="s">
        <v>33</v>
      </c>
      <c r="U29" s="37">
        <f t="shared" si="3"/>
        <v>5</v>
      </c>
      <c r="V29" s="37">
        <f t="shared" si="3"/>
        <v>17</v>
      </c>
      <c r="W29" s="37">
        <f t="shared" si="3"/>
        <v>15</v>
      </c>
      <c r="X29" s="37">
        <f t="shared" si="3"/>
        <v>16</v>
      </c>
      <c r="Y29" s="37">
        <f t="shared" si="3"/>
        <v>15</v>
      </c>
      <c r="Z29" s="37">
        <f t="shared" si="3"/>
        <v>5</v>
      </c>
      <c r="AA29" s="37">
        <f t="shared" si="3"/>
        <v>11</v>
      </c>
      <c r="AC29" s="18">
        <v>5</v>
      </c>
      <c r="AD29" s="18">
        <v>5</v>
      </c>
      <c r="AE29" s="18">
        <v>5</v>
      </c>
      <c r="AF29" s="18">
        <v>5</v>
      </c>
      <c r="AG29" s="18">
        <v>4</v>
      </c>
      <c r="AH29" s="18">
        <v>5</v>
      </c>
      <c r="AI29" s="18">
        <v>5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</row>
    <row r="30" spans="1:43">
      <c r="A30" s="150"/>
      <c r="B30" s="150"/>
      <c r="C30" s="170">
        <f>SUM(C4:C29)</f>
        <v>121</v>
      </c>
      <c r="D30" s="170">
        <f t="shared" ref="D30:I30" si="4">SUM(D4:D29)</f>
        <v>121</v>
      </c>
      <c r="E30" s="170">
        <f t="shared" si="4"/>
        <v>121</v>
      </c>
      <c r="F30" s="170">
        <f t="shared" si="4"/>
        <v>121</v>
      </c>
      <c r="G30" s="170">
        <f t="shared" si="4"/>
        <v>121</v>
      </c>
      <c r="H30" s="170">
        <f t="shared" si="4"/>
        <v>121</v>
      </c>
      <c r="I30" s="170">
        <f t="shared" si="4"/>
        <v>121</v>
      </c>
      <c r="J30" s="13"/>
      <c r="L30" s="15">
        <v>26</v>
      </c>
      <c r="M30" s="38" t="s">
        <v>37</v>
      </c>
      <c r="N30" s="38" t="s">
        <v>65</v>
      </c>
      <c r="O30" s="38" t="s">
        <v>40</v>
      </c>
      <c r="P30" s="38" t="s">
        <v>38</v>
      </c>
      <c r="Q30" s="38" t="s">
        <v>37</v>
      </c>
      <c r="R30" s="38" t="s">
        <v>65</v>
      </c>
      <c r="S30" s="24" t="s">
        <v>33</v>
      </c>
      <c r="U30" s="37">
        <f t="shared" si="3"/>
        <v>13</v>
      </c>
      <c r="V30" s="37">
        <f t="shared" si="3"/>
        <v>17</v>
      </c>
      <c r="W30" s="37">
        <f t="shared" si="3"/>
        <v>12</v>
      </c>
      <c r="X30" s="37">
        <f t="shared" si="3"/>
        <v>15</v>
      </c>
      <c r="Y30" s="37">
        <f t="shared" si="3"/>
        <v>13</v>
      </c>
      <c r="Z30" s="37">
        <f t="shared" si="3"/>
        <v>17</v>
      </c>
      <c r="AA30" s="37">
        <f t="shared" si="3"/>
        <v>11</v>
      </c>
      <c r="AC30" s="18">
        <v>5</v>
      </c>
      <c r="AD30" s="18">
        <v>0</v>
      </c>
      <c r="AE30" s="18">
        <v>0</v>
      </c>
      <c r="AF30" s="18">
        <v>0</v>
      </c>
      <c r="AG30" s="18">
        <v>1</v>
      </c>
      <c r="AH30" s="18">
        <v>5</v>
      </c>
      <c r="AI30" s="18">
        <v>5</v>
      </c>
      <c r="AK30" s="4">
        <v>1</v>
      </c>
      <c r="AL30" s="4">
        <v>1</v>
      </c>
      <c r="AM30" s="4">
        <v>1</v>
      </c>
      <c r="AN30" s="4">
        <v>1</v>
      </c>
      <c r="AO30" s="4">
        <v>3</v>
      </c>
      <c r="AP30" s="4">
        <v>1</v>
      </c>
      <c r="AQ30" s="4">
        <v>1</v>
      </c>
    </row>
    <row r="31" spans="1:43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35</v>
      </c>
      <c r="N31" s="38" t="s">
        <v>224</v>
      </c>
      <c r="O31" s="38" t="s">
        <v>40</v>
      </c>
      <c r="P31" s="38" t="s">
        <v>38</v>
      </c>
      <c r="Q31" s="38" t="s">
        <v>32</v>
      </c>
      <c r="R31" s="38" t="s">
        <v>65</v>
      </c>
      <c r="S31" s="24" t="s">
        <v>37</v>
      </c>
      <c r="U31" s="37">
        <f t="shared" si="3"/>
        <v>15</v>
      </c>
      <c r="V31" s="37">
        <f t="shared" si="3"/>
        <v>0</v>
      </c>
      <c r="W31" s="37">
        <f t="shared" si="3"/>
        <v>12</v>
      </c>
      <c r="X31" s="37">
        <f t="shared" si="3"/>
        <v>15</v>
      </c>
      <c r="Y31" s="37">
        <f t="shared" si="3"/>
        <v>4</v>
      </c>
      <c r="Z31" s="37">
        <f t="shared" si="3"/>
        <v>17</v>
      </c>
      <c r="AA31" s="37">
        <f t="shared" si="3"/>
        <v>13</v>
      </c>
      <c r="AC31" s="18">
        <v>5</v>
      </c>
      <c r="AD31" s="18">
        <v>0</v>
      </c>
      <c r="AE31" s="18">
        <v>0</v>
      </c>
      <c r="AF31" s="18">
        <v>0</v>
      </c>
      <c r="AG31" s="18">
        <v>0</v>
      </c>
      <c r="AH31" s="18">
        <v>5</v>
      </c>
      <c r="AI31" s="18">
        <v>5</v>
      </c>
      <c r="AK31" s="4">
        <v>1</v>
      </c>
      <c r="AL31" s="4">
        <v>2</v>
      </c>
      <c r="AM31" s="4">
        <v>1</v>
      </c>
      <c r="AN31" s="4">
        <v>1</v>
      </c>
      <c r="AO31" s="4">
        <v>0</v>
      </c>
      <c r="AP31" s="4">
        <v>1</v>
      </c>
      <c r="AQ31" s="4">
        <v>1</v>
      </c>
    </row>
    <row r="32" spans="1:43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40</v>
      </c>
      <c r="N32" s="38" t="s">
        <v>33</v>
      </c>
      <c r="O32" s="38" t="s">
        <v>33</v>
      </c>
      <c r="P32" s="38" t="s">
        <v>38</v>
      </c>
      <c r="Q32" s="38" t="s">
        <v>39</v>
      </c>
      <c r="R32" s="38" t="s">
        <v>65</v>
      </c>
      <c r="S32" s="24" t="s">
        <v>37</v>
      </c>
      <c r="U32" s="37">
        <f t="shared" si="3"/>
        <v>12</v>
      </c>
      <c r="V32" s="37">
        <f t="shared" si="3"/>
        <v>11</v>
      </c>
      <c r="W32" s="37">
        <f t="shared" si="3"/>
        <v>11</v>
      </c>
      <c r="X32" s="37">
        <f t="shared" si="3"/>
        <v>15</v>
      </c>
      <c r="Y32" s="37">
        <f t="shared" si="3"/>
        <v>5</v>
      </c>
      <c r="Z32" s="37">
        <f t="shared" si="3"/>
        <v>17</v>
      </c>
      <c r="AA32" s="37">
        <f t="shared" si="3"/>
        <v>13</v>
      </c>
      <c r="AC32" s="18">
        <v>5</v>
      </c>
      <c r="AD32" s="18">
        <v>0</v>
      </c>
      <c r="AE32" s="18">
        <v>0</v>
      </c>
      <c r="AF32" s="18">
        <v>0</v>
      </c>
      <c r="AG32" s="18">
        <v>0</v>
      </c>
      <c r="AH32" s="18">
        <v>5</v>
      </c>
      <c r="AI32" s="18">
        <v>5</v>
      </c>
      <c r="AK32" s="4">
        <v>1</v>
      </c>
      <c r="AL32" s="4">
        <v>0</v>
      </c>
      <c r="AM32" s="4">
        <v>1</v>
      </c>
      <c r="AN32" s="4">
        <v>2</v>
      </c>
      <c r="AO32" s="4">
        <v>0</v>
      </c>
      <c r="AP32" s="4">
        <v>1</v>
      </c>
      <c r="AQ32" s="4">
        <v>1</v>
      </c>
    </row>
    <row r="33" spans="1:43">
      <c r="B33" s="171" t="s">
        <v>72</v>
      </c>
      <c r="C33" s="155">
        <v>0</v>
      </c>
      <c r="D33" s="155">
        <v>390</v>
      </c>
      <c r="E33" s="155">
        <v>390</v>
      </c>
      <c r="F33" s="155">
        <v>185</v>
      </c>
      <c r="G33" s="155">
        <v>120</v>
      </c>
      <c r="H33" s="155">
        <v>0</v>
      </c>
      <c r="J33" s="13"/>
      <c r="L33" s="14">
        <v>29</v>
      </c>
      <c r="M33" s="38" t="s">
        <v>40</v>
      </c>
      <c r="N33" s="38" t="s">
        <v>33</v>
      </c>
      <c r="O33" s="38" t="s">
        <v>224</v>
      </c>
      <c r="P33" s="38" t="s">
        <v>65</v>
      </c>
      <c r="Q33" s="38" t="s">
        <v>39</v>
      </c>
      <c r="R33" s="38" t="s">
        <v>40</v>
      </c>
      <c r="S33" s="24" t="s">
        <v>25</v>
      </c>
      <c r="U33" s="37">
        <f t="shared" si="3"/>
        <v>12</v>
      </c>
      <c r="V33" s="37">
        <f t="shared" si="3"/>
        <v>11</v>
      </c>
      <c r="W33" s="37">
        <f t="shared" si="3"/>
        <v>0</v>
      </c>
      <c r="X33" s="37">
        <f t="shared" si="3"/>
        <v>17</v>
      </c>
      <c r="Y33" s="37">
        <f t="shared" si="3"/>
        <v>5</v>
      </c>
      <c r="Z33" s="37">
        <f t="shared" si="3"/>
        <v>12</v>
      </c>
      <c r="AA33" s="37">
        <f t="shared" si="3"/>
        <v>5</v>
      </c>
      <c r="AC33" s="18">
        <v>5</v>
      </c>
      <c r="AD33" s="18">
        <v>0</v>
      </c>
      <c r="AE33" s="18">
        <v>0</v>
      </c>
      <c r="AF33" s="18">
        <v>0</v>
      </c>
      <c r="AG33" s="18">
        <v>1</v>
      </c>
      <c r="AH33" s="18">
        <v>5</v>
      </c>
      <c r="AI33" s="18">
        <v>5</v>
      </c>
      <c r="AK33" s="4">
        <v>1</v>
      </c>
      <c r="AL33" s="4">
        <v>1</v>
      </c>
      <c r="AM33" s="4">
        <v>1</v>
      </c>
      <c r="AN33" s="4">
        <v>0</v>
      </c>
      <c r="AO33" s="4">
        <v>1</v>
      </c>
      <c r="AP33" s="4">
        <v>1</v>
      </c>
      <c r="AQ33" s="4">
        <v>1</v>
      </c>
    </row>
    <row r="34" spans="1:43">
      <c r="B34" s="4" t="s">
        <v>75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5">
        <v>30</v>
      </c>
      <c r="M34" s="38" t="s">
        <v>39</v>
      </c>
      <c r="N34" s="38" t="s">
        <v>34</v>
      </c>
      <c r="O34" s="38" t="s">
        <v>226</v>
      </c>
      <c r="P34" s="38" t="s">
        <v>65</v>
      </c>
      <c r="Q34" s="38" t="s">
        <v>33</v>
      </c>
      <c r="R34" s="38" t="s">
        <v>65</v>
      </c>
      <c r="S34" s="38" t="s">
        <v>25</v>
      </c>
      <c r="U34" s="37">
        <f t="shared" si="3"/>
        <v>5</v>
      </c>
      <c r="V34" s="37">
        <f t="shared" si="3"/>
        <v>16</v>
      </c>
      <c r="W34" s="37">
        <f t="shared" si="3"/>
        <v>0</v>
      </c>
      <c r="X34" s="37">
        <f t="shared" si="3"/>
        <v>17</v>
      </c>
      <c r="Y34" s="37">
        <f t="shared" si="3"/>
        <v>11</v>
      </c>
      <c r="Z34" s="37">
        <f t="shared" si="3"/>
        <v>17</v>
      </c>
      <c r="AA34" s="37">
        <f t="shared" si="3"/>
        <v>5</v>
      </c>
      <c r="AC34" s="18">
        <v>5</v>
      </c>
      <c r="AD34" s="18">
        <v>5</v>
      </c>
      <c r="AE34" s="18">
        <v>5</v>
      </c>
      <c r="AF34" s="18">
        <v>5</v>
      </c>
      <c r="AG34" s="18">
        <v>5</v>
      </c>
      <c r="AH34" s="18">
        <v>5</v>
      </c>
      <c r="AI34" s="18">
        <v>5</v>
      </c>
      <c r="AK34" s="4">
        <v>1</v>
      </c>
      <c r="AL34" s="4">
        <v>1</v>
      </c>
      <c r="AM34" s="4">
        <v>1</v>
      </c>
      <c r="AN34" s="4">
        <v>2</v>
      </c>
      <c r="AO34" s="4">
        <v>1</v>
      </c>
      <c r="AP34" s="4">
        <v>1</v>
      </c>
      <c r="AQ34" s="4">
        <v>1</v>
      </c>
    </row>
    <row r="35" spans="1:43">
      <c r="B35" s="4" t="s">
        <v>73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4">
        <v>31</v>
      </c>
      <c r="M35" s="38" t="s">
        <v>37</v>
      </c>
      <c r="N35" s="38" t="s">
        <v>34</v>
      </c>
      <c r="O35" s="38" t="s">
        <v>34</v>
      </c>
      <c r="P35" s="38" t="s">
        <v>25</v>
      </c>
      <c r="Q35" s="38" t="s">
        <v>90</v>
      </c>
      <c r="R35" s="38" t="s">
        <v>65</v>
      </c>
      <c r="S35" s="24" t="s">
        <v>32</v>
      </c>
      <c r="U35" s="37">
        <f t="shared" si="3"/>
        <v>13</v>
      </c>
      <c r="V35" s="37">
        <f t="shared" si="3"/>
        <v>16</v>
      </c>
      <c r="W35" s="37">
        <f t="shared" si="3"/>
        <v>16</v>
      </c>
      <c r="X35" s="37">
        <f t="shared" si="3"/>
        <v>5</v>
      </c>
      <c r="Y35" s="37">
        <f t="shared" si="3"/>
        <v>6</v>
      </c>
      <c r="Z35" s="37">
        <f t="shared" si="3"/>
        <v>17</v>
      </c>
      <c r="AA35" s="37">
        <f t="shared" si="3"/>
        <v>4</v>
      </c>
      <c r="AC35" s="18">
        <v>5</v>
      </c>
      <c r="AD35" s="18">
        <v>0</v>
      </c>
      <c r="AE35" s="18">
        <v>0</v>
      </c>
      <c r="AF35" s="18">
        <v>0</v>
      </c>
      <c r="AG35" s="18">
        <v>0</v>
      </c>
      <c r="AH35" s="18">
        <v>5</v>
      </c>
      <c r="AI35" s="18">
        <v>5</v>
      </c>
      <c r="AK35" s="4">
        <v>1</v>
      </c>
      <c r="AL35" s="4">
        <v>1</v>
      </c>
      <c r="AM35" s="4">
        <v>1</v>
      </c>
      <c r="AN35" s="4">
        <v>0</v>
      </c>
      <c r="AO35" s="4">
        <v>2</v>
      </c>
      <c r="AP35" s="4">
        <v>1</v>
      </c>
      <c r="AQ35" s="4">
        <v>1</v>
      </c>
    </row>
    <row r="36" spans="1:43">
      <c r="B36" s="4" t="s">
        <v>76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5">
        <v>32</v>
      </c>
      <c r="M36" s="38" t="s">
        <v>37</v>
      </c>
      <c r="N36" s="38" t="s">
        <v>25</v>
      </c>
      <c r="O36" s="38" t="s">
        <v>25</v>
      </c>
      <c r="P36" s="38" t="s">
        <v>33</v>
      </c>
      <c r="Q36" s="38" t="s">
        <v>90</v>
      </c>
      <c r="R36" s="38" t="s">
        <v>38</v>
      </c>
      <c r="S36" s="24" t="s">
        <v>32</v>
      </c>
      <c r="U36" s="37">
        <f t="shared" si="3"/>
        <v>13</v>
      </c>
      <c r="V36" s="37">
        <f t="shared" si="3"/>
        <v>5</v>
      </c>
      <c r="W36" s="37">
        <f t="shared" si="3"/>
        <v>5</v>
      </c>
      <c r="X36" s="37">
        <f t="shared" si="3"/>
        <v>11</v>
      </c>
      <c r="Y36" s="37">
        <f t="shared" si="3"/>
        <v>6</v>
      </c>
      <c r="Z36" s="37">
        <f t="shared" si="3"/>
        <v>15</v>
      </c>
      <c r="AA36" s="37">
        <f t="shared" si="3"/>
        <v>4</v>
      </c>
      <c r="AC36" s="18">
        <v>5</v>
      </c>
      <c r="AD36" s="18">
        <v>0</v>
      </c>
      <c r="AE36" s="18">
        <v>0</v>
      </c>
      <c r="AF36" s="18">
        <v>0</v>
      </c>
      <c r="AG36" s="18">
        <v>0</v>
      </c>
      <c r="AH36" s="18">
        <v>5</v>
      </c>
      <c r="AI36" s="18">
        <v>5</v>
      </c>
      <c r="AK36" s="4">
        <v>1</v>
      </c>
      <c r="AL36" s="4">
        <v>2</v>
      </c>
      <c r="AM36" s="4">
        <v>2</v>
      </c>
      <c r="AN36" s="4">
        <v>1</v>
      </c>
      <c r="AO36" s="4">
        <v>0</v>
      </c>
      <c r="AP36" s="4">
        <v>1</v>
      </c>
      <c r="AQ36" s="4">
        <v>1</v>
      </c>
    </row>
    <row r="37" spans="1:43">
      <c r="B37" s="4" t="s">
        <v>74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4">
        <v>33</v>
      </c>
      <c r="M37" s="38" t="s">
        <v>90</v>
      </c>
      <c r="N37" s="38" t="s">
        <v>25</v>
      </c>
      <c r="O37" s="38" t="s">
        <v>39</v>
      </c>
      <c r="P37" s="38" t="s">
        <v>33</v>
      </c>
      <c r="Q37" s="38" t="s">
        <v>65</v>
      </c>
      <c r="R37" s="38" t="s">
        <v>90</v>
      </c>
      <c r="S37" s="24" t="s">
        <v>33</v>
      </c>
      <c r="U37" s="37">
        <f t="shared" si="3"/>
        <v>6</v>
      </c>
      <c r="V37" s="37">
        <f t="shared" si="3"/>
        <v>5</v>
      </c>
      <c r="W37" s="37">
        <f t="shared" si="3"/>
        <v>5</v>
      </c>
      <c r="X37" s="37">
        <f t="shared" si="3"/>
        <v>11</v>
      </c>
      <c r="Y37" s="37">
        <f t="shared" si="3"/>
        <v>17</v>
      </c>
      <c r="Z37" s="37">
        <f t="shared" si="3"/>
        <v>6</v>
      </c>
      <c r="AA37" s="37">
        <f t="shared" si="3"/>
        <v>11</v>
      </c>
      <c r="AC37" s="18">
        <v>5</v>
      </c>
      <c r="AD37" s="18">
        <v>0</v>
      </c>
      <c r="AE37" s="18">
        <v>0</v>
      </c>
      <c r="AF37" s="18">
        <v>0</v>
      </c>
      <c r="AG37" s="18">
        <v>0</v>
      </c>
      <c r="AH37" s="18">
        <v>5</v>
      </c>
      <c r="AI37" s="18">
        <v>5</v>
      </c>
      <c r="AK37" s="4">
        <v>1</v>
      </c>
      <c r="AL37" s="4">
        <v>0</v>
      </c>
      <c r="AM37" s="4">
        <v>0</v>
      </c>
      <c r="AN37" s="4">
        <v>1</v>
      </c>
      <c r="AO37" s="4">
        <v>1</v>
      </c>
      <c r="AP37" s="4">
        <v>1</v>
      </c>
      <c r="AQ37" s="4">
        <v>1</v>
      </c>
    </row>
    <row r="38" spans="1:43">
      <c r="B38" s="4" t="s">
        <v>77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5">
        <v>34</v>
      </c>
      <c r="M38" s="38" t="s">
        <v>40</v>
      </c>
      <c r="N38" s="38" t="s">
        <v>65</v>
      </c>
      <c r="O38" s="38" t="s">
        <v>90</v>
      </c>
      <c r="P38" s="38" t="s">
        <v>65</v>
      </c>
      <c r="Q38" s="38" t="s">
        <v>35</v>
      </c>
      <c r="R38" s="38" t="s">
        <v>40</v>
      </c>
      <c r="S38" s="24" t="s">
        <v>33</v>
      </c>
      <c r="U38" s="37">
        <f t="shared" si="3"/>
        <v>12</v>
      </c>
      <c r="V38" s="37">
        <f t="shared" si="3"/>
        <v>17</v>
      </c>
      <c r="W38" s="37">
        <f t="shared" si="3"/>
        <v>6</v>
      </c>
      <c r="X38" s="37">
        <f t="shared" si="3"/>
        <v>17</v>
      </c>
      <c r="Y38" s="37">
        <f t="shared" si="3"/>
        <v>15</v>
      </c>
      <c r="Z38" s="37">
        <f t="shared" si="3"/>
        <v>12</v>
      </c>
      <c r="AA38" s="37">
        <f t="shared" si="3"/>
        <v>11</v>
      </c>
      <c r="AC38" s="18">
        <v>5</v>
      </c>
      <c r="AD38" s="18">
        <v>0</v>
      </c>
      <c r="AE38" s="18">
        <v>0</v>
      </c>
      <c r="AF38" s="18">
        <v>0</v>
      </c>
      <c r="AG38" s="18">
        <v>1</v>
      </c>
      <c r="AH38" s="18">
        <v>5</v>
      </c>
      <c r="AI38" s="18">
        <v>5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</row>
    <row r="39" spans="1:43">
      <c r="B39" s="4" t="s">
        <v>78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4">
        <v>35</v>
      </c>
      <c r="M39" s="38" t="s">
        <v>40</v>
      </c>
      <c r="N39" s="38" t="s">
        <v>40</v>
      </c>
      <c r="O39" s="38" t="s">
        <v>37</v>
      </c>
      <c r="P39" s="38" t="s">
        <v>25</v>
      </c>
      <c r="Q39" s="38" t="s">
        <v>224</v>
      </c>
      <c r="R39" s="38" t="s">
        <v>40</v>
      </c>
      <c r="S39" s="24" t="s">
        <v>40</v>
      </c>
      <c r="U39" s="37">
        <f t="shared" si="3"/>
        <v>12</v>
      </c>
      <c r="V39" s="37">
        <f t="shared" si="3"/>
        <v>12</v>
      </c>
      <c r="W39" s="37">
        <f t="shared" si="3"/>
        <v>13</v>
      </c>
      <c r="X39" s="37">
        <f t="shared" si="3"/>
        <v>5</v>
      </c>
      <c r="Y39" s="37">
        <f t="shared" si="3"/>
        <v>0</v>
      </c>
      <c r="Z39" s="37">
        <f t="shared" si="3"/>
        <v>12</v>
      </c>
      <c r="AA39" s="37">
        <f t="shared" si="3"/>
        <v>12</v>
      </c>
      <c r="AC39" s="18">
        <v>5</v>
      </c>
      <c r="AD39" s="18">
        <v>5</v>
      </c>
      <c r="AE39" s="18">
        <v>5</v>
      </c>
      <c r="AF39" s="18">
        <v>5</v>
      </c>
      <c r="AG39" s="18">
        <v>6</v>
      </c>
      <c r="AH39" s="18">
        <v>5</v>
      </c>
      <c r="AI39" s="18">
        <v>5</v>
      </c>
      <c r="AK39" s="4">
        <v>1</v>
      </c>
      <c r="AL39" s="4">
        <v>1</v>
      </c>
      <c r="AM39" s="4">
        <v>1</v>
      </c>
      <c r="AN39" s="4">
        <v>2</v>
      </c>
      <c r="AO39" s="4">
        <v>2</v>
      </c>
      <c r="AP39" s="4">
        <v>1</v>
      </c>
      <c r="AQ39" s="4">
        <v>1</v>
      </c>
    </row>
    <row r="40" spans="1:43">
      <c r="B40" s="4" t="s">
        <v>79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5">
        <v>36</v>
      </c>
      <c r="M40" s="37" t="s">
        <v>35</v>
      </c>
      <c r="N40" s="37" t="s">
        <v>40</v>
      </c>
      <c r="O40" s="37" t="s">
        <v>34</v>
      </c>
      <c r="P40" s="37" t="s">
        <v>25</v>
      </c>
      <c r="Q40" s="37" t="s">
        <v>39</v>
      </c>
      <c r="R40" s="37" t="s">
        <v>40</v>
      </c>
      <c r="S40" s="37" t="s">
        <v>34</v>
      </c>
      <c r="U40" s="37">
        <f t="shared" si="3"/>
        <v>15</v>
      </c>
      <c r="V40" s="37">
        <f t="shared" si="3"/>
        <v>12</v>
      </c>
      <c r="W40" s="37">
        <f t="shared" si="3"/>
        <v>16</v>
      </c>
      <c r="X40" s="37">
        <f t="shared" si="3"/>
        <v>5</v>
      </c>
      <c r="Y40" s="37">
        <f t="shared" si="3"/>
        <v>5</v>
      </c>
      <c r="Z40" s="37">
        <f t="shared" si="3"/>
        <v>12</v>
      </c>
      <c r="AA40" s="37">
        <f t="shared" si="3"/>
        <v>16</v>
      </c>
      <c r="AC40" s="18">
        <v>5</v>
      </c>
      <c r="AD40" s="18">
        <v>0</v>
      </c>
      <c r="AE40" s="18">
        <v>0</v>
      </c>
      <c r="AF40" s="18">
        <v>0</v>
      </c>
      <c r="AG40" s="18">
        <v>0</v>
      </c>
      <c r="AH40" s="18">
        <v>5</v>
      </c>
      <c r="AI40" s="18">
        <v>5</v>
      </c>
      <c r="AK40" s="4">
        <v>1</v>
      </c>
      <c r="AL40" s="4">
        <v>2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</row>
    <row r="41" spans="1:43">
      <c r="B41" s="4" t="s">
        <v>80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4">
        <v>37</v>
      </c>
      <c r="M41" s="38" t="s">
        <v>34</v>
      </c>
      <c r="N41" s="38" t="s">
        <v>242</v>
      </c>
      <c r="O41" s="38" t="s">
        <v>34</v>
      </c>
      <c r="P41" s="38" t="s">
        <v>38</v>
      </c>
      <c r="Q41" s="38" t="s">
        <v>39</v>
      </c>
      <c r="R41" s="38" t="s">
        <v>65</v>
      </c>
      <c r="S41" s="24" t="s">
        <v>34</v>
      </c>
      <c r="U41" s="37">
        <f t="shared" si="3"/>
        <v>16</v>
      </c>
      <c r="V41" s="37">
        <f t="shared" si="3"/>
        <v>0</v>
      </c>
      <c r="W41" s="37">
        <f t="shared" si="3"/>
        <v>16</v>
      </c>
      <c r="X41" s="37">
        <f t="shared" si="3"/>
        <v>15</v>
      </c>
      <c r="Y41" s="37">
        <f t="shared" si="3"/>
        <v>5</v>
      </c>
      <c r="Z41" s="37">
        <f t="shared" si="3"/>
        <v>17</v>
      </c>
      <c r="AA41" s="37">
        <f t="shared" si="3"/>
        <v>16</v>
      </c>
      <c r="AC41" s="18">
        <v>5</v>
      </c>
      <c r="AD41" s="18">
        <v>0</v>
      </c>
      <c r="AE41" s="18">
        <v>0</v>
      </c>
      <c r="AF41" s="18">
        <v>0</v>
      </c>
      <c r="AG41" s="18">
        <v>0</v>
      </c>
      <c r="AH41" s="18">
        <v>5</v>
      </c>
      <c r="AI41" s="18">
        <v>5</v>
      </c>
      <c r="AK41" s="4">
        <v>1</v>
      </c>
      <c r="AL41" s="4">
        <v>0</v>
      </c>
      <c r="AM41" s="4">
        <v>1</v>
      </c>
      <c r="AN41" s="4">
        <v>1</v>
      </c>
      <c r="AO41" s="4">
        <v>2</v>
      </c>
      <c r="AP41" s="4">
        <v>1</v>
      </c>
      <c r="AQ41" s="4">
        <v>1</v>
      </c>
    </row>
    <row r="42" spans="1:43">
      <c r="B42" s="4" t="s">
        <v>81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5">
        <v>38</v>
      </c>
      <c r="M42" s="38" t="s">
        <v>34</v>
      </c>
      <c r="N42" s="38" t="s">
        <v>90</v>
      </c>
      <c r="O42" s="38" t="s">
        <v>232</v>
      </c>
      <c r="P42" s="38" t="s">
        <v>38</v>
      </c>
      <c r="Q42" s="38" t="s">
        <v>37</v>
      </c>
      <c r="R42" s="38" t="s">
        <v>65</v>
      </c>
      <c r="S42" s="24" t="s">
        <v>34</v>
      </c>
      <c r="U42" s="37">
        <f t="shared" si="3"/>
        <v>16</v>
      </c>
      <c r="V42" s="37">
        <f t="shared" si="3"/>
        <v>6</v>
      </c>
      <c r="W42" s="37">
        <f t="shared" si="3"/>
        <v>0</v>
      </c>
      <c r="X42" s="37">
        <f t="shared" si="3"/>
        <v>15</v>
      </c>
      <c r="Y42" s="37">
        <f t="shared" si="3"/>
        <v>13</v>
      </c>
      <c r="Z42" s="37">
        <f t="shared" si="3"/>
        <v>17</v>
      </c>
      <c r="AA42" s="37">
        <f t="shared" si="3"/>
        <v>16</v>
      </c>
      <c r="AC42" s="18">
        <v>5</v>
      </c>
      <c r="AD42" s="18">
        <v>0</v>
      </c>
      <c r="AE42" s="18">
        <v>0</v>
      </c>
      <c r="AF42" s="18">
        <v>0</v>
      </c>
      <c r="AG42" s="18">
        <v>0</v>
      </c>
      <c r="AH42" s="18">
        <v>5</v>
      </c>
      <c r="AI42" s="18">
        <v>5</v>
      </c>
      <c r="AK42" s="4">
        <v>1</v>
      </c>
      <c r="AL42" s="4">
        <v>1</v>
      </c>
      <c r="AM42" s="4">
        <v>1</v>
      </c>
      <c r="AN42" s="4">
        <v>2</v>
      </c>
      <c r="AO42" s="4">
        <v>0</v>
      </c>
      <c r="AP42" s="4">
        <v>1</v>
      </c>
      <c r="AQ42" s="4">
        <v>1</v>
      </c>
    </row>
    <row r="43" spans="1:43">
      <c r="B43" s="4" t="s">
        <v>82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4">
        <v>39</v>
      </c>
      <c r="M43" s="38" t="s">
        <v>65</v>
      </c>
      <c r="N43" s="38" t="s">
        <v>35</v>
      </c>
      <c r="O43" s="38" t="s">
        <v>90</v>
      </c>
      <c r="P43" s="38" t="s">
        <v>35</v>
      </c>
      <c r="Q43" s="38" t="s">
        <v>37</v>
      </c>
      <c r="R43" s="38" t="s">
        <v>38</v>
      </c>
      <c r="S43" s="24" t="s">
        <v>65</v>
      </c>
      <c r="U43" s="37">
        <f t="shared" si="3"/>
        <v>17</v>
      </c>
      <c r="V43" s="37">
        <f t="shared" si="3"/>
        <v>15</v>
      </c>
      <c r="W43" s="37">
        <f t="shared" si="3"/>
        <v>6</v>
      </c>
      <c r="X43" s="37">
        <f t="shared" si="3"/>
        <v>15</v>
      </c>
      <c r="Y43" s="37">
        <f t="shared" si="3"/>
        <v>13</v>
      </c>
      <c r="Z43" s="37">
        <f t="shared" si="3"/>
        <v>15</v>
      </c>
      <c r="AA43" s="37">
        <f t="shared" si="3"/>
        <v>17</v>
      </c>
      <c r="AC43" s="18">
        <v>5</v>
      </c>
      <c r="AD43" s="18">
        <v>0</v>
      </c>
      <c r="AE43" s="18">
        <v>0</v>
      </c>
      <c r="AF43" s="18">
        <v>0</v>
      </c>
      <c r="AG43" s="18">
        <v>0</v>
      </c>
      <c r="AH43" s="18">
        <v>5</v>
      </c>
      <c r="AI43" s="18">
        <v>5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1</v>
      </c>
      <c r="AQ43" s="4">
        <v>1</v>
      </c>
    </row>
    <row r="44" spans="1:43">
      <c r="B44" s="4" t="s">
        <v>83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5">
        <v>40</v>
      </c>
      <c r="M44" s="38" t="s">
        <v>90</v>
      </c>
      <c r="N44" s="38" t="s">
        <v>228</v>
      </c>
      <c r="O44" s="38" t="s">
        <v>40</v>
      </c>
      <c r="P44" s="38" t="s">
        <v>35</v>
      </c>
      <c r="Q44" s="38" t="s">
        <v>34</v>
      </c>
      <c r="R44" s="38" t="s">
        <v>25</v>
      </c>
      <c r="S44" s="24" t="s">
        <v>65</v>
      </c>
      <c r="U44" s="37">
        <f t="shared" si="3"/>
        <v>6</v>
      </c>
      <c r="V44" s="37">
        <f t="shared" si="3"/>
        <v>0</v>
      </c>
      <c r="W44" s="37">
        <f t="shared" si="3"/>
        <v>12</v>
      </c>
      <c r="X44" s="37">
        <f t="shared" si="3"/>
        <v>15</v>
      </c>
      <c r="Y44" s="37">
        <f t="shared" si="3"/>
        <v>16</v>
      </c>
      <c r="Z44" s="37">
        <f t="shared" si="3"/>
        <v>5</v>
      </c>
      <c r="AA44" s="37">
        <f t="shared" si="3"/>
        <v>17</v>
      </c>
      <c r="AC44" s="18">
        <v>5</v>
      </c>
      <c r="AD44" s="18">
        <v>5</v>
      </c>
      <c r="AE44" s="18">
        <v>5</v>
      </c>
      <c r="AF44" s="18">
        <v>5</v>
      </c>
      <c r="AG44" s="18">
        <v>6</v>
      </c>
      <c r="AH44" s="18">
        <v>5</v>
      </c>
      <c r="AI44" s="18">
        <v>5</v>
      </c>
      <c r="AK44" s="4">
        <v>1</v>
      </c>
      <c r="AL44" s="4">
        <v>3</v>
      </c>
      <c r="AM44" s="4">
        <v>1</v>
      </c>
      <c r="AN44" s="4">
        <v>1</v>
      </c>
      <c r="AO44" s="4">
        <v>3</v>
      </c>
      <c r="AP44" s="4">
        <v>1</v>
      </c>
      <c r="AQ44" s="4">
        <v>1</v>
      </c>
    </row>
    <row r="45" spans="1:43">
      <c r="B45" s="4" t="s">
        <v>84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4">
        <v>41</v>
      </c>
      <c r="M45" s="38" t="s">
        <v>39</v>
      </c>
      <c r="N45" s="38" t="s">
        <v>65</v>
      </c>
      <c r="O45" s="38" t="s">
        <v>65</v>
      </c>
      <c r="P45" s="38" t="s">
        <v>37</v>
      </c>
      <c r="Q45" s="38" t="s">
        <v>34</v>
      </c>
      <c r="R45" s="38" t="s">
        <v>65</v>
      </c>
      <c r="S45" s="24" t="s">
        <v>65</v>
      </c>
      <c r="U45" s="37">
        <f t="shared" si="3"/>
        <v>5</v>
      </c>
      <c r="V45" s="37">
        <f t="shared" si="3"/>
        <v>17</v>
      </c>
      <c r="W45" s="37">
        <f t="shared" si="3"/>
        <v>17</v>
      </c>
      <c r="X45" s="37">
        <f t="shared" si="3"/>
        <v>13</v>
      </c>
      <c r="Y45" s="37">
        <f t="shared" si="3"/>
        <v>16</v>
      </c>
      <c r="Z45" s="37">
        <f t="shared" si="3"/>
        <v>17</v>
      </c>
      <c r="AA45" s="37">
        <f t="shared" si="3"/>
        <v>17</v>
      </c>
      <c r="AC45" s="18">
        <v>5</v>
      </c>
      <c r="AD45" s="18">
        <v>0</v>
      </c>
      <c r="AE45" s="18">
        <v>0</v>
      </c>
      <c r="AF45" s="18">
        <v>0</v>
      </c>
      <c r="AG45" s="18">
        <v>0</v>
      </c>
      <c r="AH45" s="18">
        <v>5</v>
      </c>
      <c r="AI45" s="18">
        <v>5</v>
      </c>
      <c r="AK45" s="4">
        <v>1</v>
      </c>
      <c r="AL45" s="4">
        <v>0</v>
      </c>
      <c r="AM45" s="4">
        <v>3</v>
      </c>
      <c r="AN45" s="4">
        <v>3</v>
      </c>
      <c r="AO45" s="4">
        <v>0</v>
      </c>
      <c r="AP45" s="4">
        <v>1</v>
      </c>
      <c r="AQ45" s="4">
        <v>1</v>
      </c>
    </row>
    <row r="46" spans="1:43">
      <c r="B46" s="4" t="s">
        <v>85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5">
        <v>42</v>
      </c>
      <c r="M46" s="38" t="s">
        <v>39</v>
      </c>
      <c r="N46" s="38" t="s">
        <v>90</v>
      </c>
      <c r="O46" s="38" t="s">
        <v>35</v>
      </c>
      <c r="P46" s="38" t="s">
        <v>37</v>
      </c>
      <c r="Q46" s="38" t="s">
        <v>90</v>
      </c>
      <c r="R46" s="38" t="s">
        <v>33</v>
      </c>
      <c r="S46" s="24" t="s">
        <v>34</v>
      </c>
      <c r="U46" s="37">
        <f t="shared" si="3"/>
        <v>5</v>
      </c>
      <c r="V46" s="37">
        <f t="shared" si="3"/>
        <v>6</v>
      </c>
      <c r="W46" s="37">
        <f t="shared" si="3"/>
        <v>15</v>
      </c>
      <c r="X46" s="37">
        <f t="shared" si="3"/>
        <v>13</v>
      </c>
      <c r="Y46" s="37">
        <f t="shared" si="3"/>
        <v>6</v>
      </c>
      <c r="Z46" s="37">
        <f t="shared" si="3"/>
        <v>11</v>
      </c>
      <c r="AA46" s="37">
        <f t="shared" si="3"/>
        <v>16</v>
      </c>
      <c r="AC46" s="18">
        <v>5</v>
      </c>
      <c r="AD46" s="18">
        <v>0</v>
      </c>
      <c r="AE46" s="18">
        <v>0</v>
      </c>
      <c r="AF46" s="18">
        <v>0</v>
      </c>
      <c r="AG46" s="18">
        <v>0</v>
      </c>
      <c r="AH46" s="18">
        <v>5</v>
      </c>
      <c r="AI46" s="18">
        <v>5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1</v>
      </c>
      <c r="AQ46" s="4">
        <v>1</v>
      </c>
    </row>
    <row r="47" spans="1:43">
      <c r="B47" s="4" t="s">
        <v>86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4">
        <v>43</v>
      </c>
      <c r="M47" s="38" t="s">
        <v>34</v>
      </c>
      <c r="N47" s="38" t="s">
        <v>38</v>
      </c>
      <c r="O47" s="38" t="s">
        <v>228</v>
      </c>
      <c r="P47" s="38" t="s">
        <v>65</v>
      </c>
      <c r="Q47" s="38" t="s">
        <v>90</v>
      </c>
      <c r="R47" s="38" t="s">
        <v>33</v>
      </c>
      <c r="S47" s="24" t="s">
        <v>34</v>
      </c>
      <c r="U47" s="37">
        <f t="shared" si="3"/>
        <v>16</v>
      </c>
      <c r="V47" s="37">
        <f t="shared" si="3"/>
        <v>15</v>
      </c>
      <c r="W47" s="37">
        <f t="shared" si="3"/>
        <v>0</v>
      </c>
      <c r="X47" s="37">
        <f t="shared" si="3"/>
        <v>17</v>
      </c>
      <c r="Y47" s="37">
        <f t="shared" si="3"/>
        <v>6</v>
      </c>
      <c r="Z47" s="37">
        <f t="shared" si="3"/>
        <v>11</v>
      </c>
      <c r="AA47" s="37">
        <f t="shared" si="3"/>
        <v>16</v>
      </c>
      <c r="AC47" s="18">
        <v>5</v>
      </c>
      <c r="AD47" s="18">
        <v>0</v>
      </c>
      <c r="AE47" s="18">
        <v>0</v>
      </c>
      <c r="AF47" s="18">
        <v>0</v>
      </c>
      <c r="AG47" s="18">
        <v>0</v>
      </c>
      <c r="AH47" s="18">
        <v>5</v>
      </c>
      <c r="AI47" s="18">
        <v>5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1</v>
      </c>
      <c r="AQ47" s="4">
        <v>1</v>
      </c>
    </row>
    <row r="48" spans="1:43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34</v>
      </c>
      <c r="N48" s="38" t="s">
        <v>238</v>
      </c>
      <c r="O48" s="38" t="s">
        <v>94</v>
      </c>
      <c r="P48" s="38" t="s">
        <v>25</v>
      </c>
      <c r="Q48" s="38" t="s">
        <v>90</v>
      </c>
      <c r="R48" s="38" t="s">
        <v>38</v>
      </c>
      <c r="S48" s="24" t="s">
        <v>34</v>
      </c>
      <c r="U48" s="37">
        <f t="shared" si="3"/>
        <v>16</v>
      </c>
      <c r="V48" s="37">
        <f t="shared" si="3"/>
        <v>0</v>
      </c>
      <c r="W48" s="37">
        <f t="shared" si="3"/>
        <v>2</v>
      </c>
      <c r="X48" s="37">
        <f t="shared" si="3"/>
        <v>5</v>
      </c>
      <c r="Y48" s="37">
        <f t="shared" si="3"/>
        <v>6</v>
      </c>
      <c r="Z48" s="37">
        <f t="shared" si="3"/>
        <v>15</v>
      </c>
      <c r="AA48" s="37">
        <f t="shared" si="3"/>
        <v>16</v>
      </c>
      <c r="AC48" s="18">
        <v>5</v>
      </c>
      <c r="AD48" s="18">
        <v>0</v>
      </c>
      <c r="AE48" s="18">
        <v>0</v>
      </c>
      <c r="AF48" s="18">
        <v>0</v>
      </c>
      <c r="AG48" s="18">
        <v>0</v>
      </c>
      <c r="AH48" s="18">
        <v>5</v>
      </c>
      <c r="AI48" s="18">
        <v>5</v>
      </c>
      <c r="AK48" s="4">
        <v>1</v>
      </c>
      <c r="AL48" s="4">
        <v>0</v>
      </c>
      <c r="AM48" s="4">
        <v>1</v>
      </c>
      <c r="AN48" s="4">
        <v>1</v>
      </c>
      <c r="AO48" s="4">
        <v>0</v>
      </c>
      <c r="AP48" s="4">
        <v>1</v>
      </c>
      <c r="AQ48" s="4">
        <v>1</v>
      </c>
    </row>
    <row r="49" spans="2:43">
      <c r="L49" s="14">
        <v>45</v>
      </c>
      <c r="M49" s="38" t="s">
        <v>90</v>
      </c>
      <c r="N49" s="38" t="s">
        <v>232</v>
      </c>
      <c r="O49" s="38" t="s">
        <v>33</v>
      </c>
      <c r="P49" s="38" t="s">
        <v>40</v>
      </c>
      <c r="Q49" s="38" t="s">
        <v>35</v>
      </c>
      <c r="R49" s="38" t="s">
        <v>38</v>
      </c>
      <c r="S49" s="24" t="s">
        <v>90</v>
      </c>
      <c r="U49" s="37">
        <f t="shared" si="3"/>
        <v>6</v>
      </c>
      <c r="V49" s="37">
        <f t="shared" si="3"/>
        <v>0</v>
      </c>
      <c r="W49" s="37">
        <f t="shared" si="3"/>
        <v>11</v>
      </c>
      <c r="X49" s="37">
        <f t="shared" si="3"/>
        <v>12</v>
      </c>
      <c r="Y49" s="37">
        <f t="shared" si="3"/>
        <v>15</v>
      </c>
      <c r="Z49" s="37">
        <f t="shared" si="3"/>
        <v>15</v>
      </c>
      <c r="AA49" s="37">
        <f t="shared" si="3"/>
        <v>6</v>
      </c>
      <c r="AC49" s="18">
        <v>5</v>
      </c>
      <c r="AD49" s="18">
        <v>5</v>
      </c>
      <c r="AE49" s="18">
        <v>5</v>
      </c>
      <c r="AF49" s="18">
        <v>5</v>
      </c>
      <c r="AG49" s="18">
        <v>4</v>
      </c>
      <c r="AH49" s="18">
        <v>5</v>
      </c>
      <c r="AI49" s="18">
        <v>5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</row>
    <row r="50" spans="2:43">
      <c r="B50" s="165" t="s">
        <v>97</v>
      </c>
      <c r="C50" s="162" t="s">
        <v>259</v>
      </c>
      <c r="L50" s="15">
        <v>46</v>
      </c>
      <c r="M50" s="38" t="s">
        <v>25</v>
      </c>
      <c r="N50" s="38" t="s">
        <v>90</v>
      </c>
      <c r="O50" s="38" t="s">
        <v>90</v>
      </c>
      <c r="P50" s="38" t="s">
        <v>35</v>
      </c>
      <c r="Q50" s="38" t="s">
        <v>38</v>
      </c>
      <c r="R50" s="38" t="s">
        <v>38</v>
      </c>
      <c r="S50" s="24" t="s">
        <v>65</v>
      </c>
      <c r="U50" s="37">
        <f t="shared" si="3"/>
        <v>5</v>
      </c>
      <c r="V50" s="37">
        <f t="shared" si="3"/>
        <v>6</v>
      </c>
      <c r="W50" s="37">
        <f t="shared" si="3"/>
        <v>6</v>
      </c>
      <c r="X50" s="37">
        <f t="shared" si="3"/>
        <v>15</v>
      </c>
      <c r="Y50" s="37">
        <f t="shared" si="3"/>
        <v>15</v>
      </c>
      <c r="Z50" s="37">
        <f t="shared" si="3"/>
        <v>15</v>
      </c>
      <c r="AA50" s="37">
        <f t="shared" si="3"/>
        <v>17</v>
      </c>
      <c r="AC50" s="18">
        <v>5</v>
      </c>
      <c r="AD50" s="18">
        <v>0</v>
      </c>
      <c r="AE50" s="18">
        <v>0</v>
      </c>
      <c r="AF50" s="18">
        <v>0</v>
      </c>
      <c r="AG50" s="18">
        <v>1</v>
      </c>
      <c r="AH50" s="18">
        <v>5</v>
      </c>
      <c r="AI50" s="18">
        <v>5</v>
      </c>
      <c r="AK50" s="4">
        <v>1</v>
      </c>
      <c r="AL50" s="4">
        <v>1</v>
      </c>
      <c r="AM50" s="4">
        <v>1</v>
      </c>
      <c r="AN50" s="4">
        <v>1</v>
      </c>
      <c r="AO50" s="4">
        <v>3</v>
      </c>
      <c r="AP50" s="4">
        <v>1</v>
      </c>
      <c r="AQ50" s="4">
        <v>1</v>
      </c>
    </row>
    <row r="51" spans="2:43">
      <c r="B51" s="163" t="s">
        <v>68</v>
      </c>
      <c r="C51" s="161">
        <v>0</v>
      </c>
      <c r="L51" s="14">
        <v>47</v>
      </c>
      <c r="M51" s="38" t="s">
        <v>65</v>
      </c>
      <c r="N51" s="38" t="s">
        <v>25</v>
      </c>
      <c r="O51" s="38" t="s">
        <v>230</v>
      </c>
      <c r="P51" s="38" t="s">
        <v>35</v>
      </c>
      <c r="Q51" s="38" t="s">
        <v>35</v>
      </c>
      <c r="R51" s="38" t="s">
        <v>65</v>
      </c>
      <c r="S51" s="24" t="s">
        <v>33</v>
      </c>
      <c r="U51" s="37">
        <f t="shared" si="3"/>
        <v>17</v>
      </c>
      <c r="V51" s="37">
        <f t="shared" si="3"/>
        <v>5</v>
      </c>
      <c r="W51" s="37">
        <f t="shared" si="3"/>
        <v>0</v>
      </c>
      <c r="X51" s="37">
        <f t="shared" si="3"/>
        <v>15</v>
      </c>
      <c r="Y51" s="37">
        <f t="shared" si="3"/>
        <v>15</v>
      </c>
      <c r="Z51" s="37">
        <f t="shared" si="3"/>
        <v>17</v>
      </c>
      <c r="AA51" s="37">
        <f t="shared" si="3"/>
        <v>11</v>
      </c>
      <c r="AC51" s="18">
        <v>5</v>
      </c>
      <c r="AD51" s="18">
        <v>0</v>
      </c>
      <c r="AE51" s="18">
        <v>0</v>
      </c>
      <c r="AF51" s="18">
        <v>0</v>
      </c>
      <c r="AG51" s="18">
        <v>0</v>
      </c>
      <c r="AH51" s="18">
        <v>5</v>
      </c>
      <c r="AI51" s="18">
        <v>5</v>
      </c>
      <c r="AK51" s="4">
        <v>1</v>
      </c>
      <c r="AL51" s="4">
        <v>2</v>
      </c>
      <c r="AM51" s="4">
        <v>1</v>
      </c>
      <c r="AN51" s="4">
        <v>1</v>
      </c>
      <c r="AO51" s="4">
        <v>0</v>
      </c>
      <c r="AP51" s="4">
        <v>1</v>
      </c>
      <c r="AQ51" s="4">
        <v>1</v>
      </c>
    </row>
    <row r="52" spans="2:43">
      <c r="B52" s="164" t="s">
        <v>19</v>
      </c>
      <c r="C52" s="159">
        <v>0</v>
      </c>
      <c r="L52" s="15">
        <v>48</v>
      </c>
      <c r="M52" s="38" t="s">
        <v>40</v>
      </c>
      <c r="N52" s="38" t="s">
        <v>40</v>
      </c>
      <c r="O52" s="38" t="s">
        <v>232</v>
      </c>
      <c r="P52" s="38" t="s">
        <v>40</v>
      </c>
      <c r="Q52" s="38" t="s">
        <v>34</v>
      </c>
      <c r="R52" s="38" t="s">
        <v>38</v>
      </c>
      <c r="S52" s="24" t="s">
        <v>40</v>
      </c>
      <c r="U52" s="37">
        <f t="shared" si="3"/>
        <v>12</v>
      </c>
      <c r="V52" s="37">
        <f t="shared" si="3"/>
        <v>12</v>
      </c>
      <c r="W52" s="37">
        <f t="shared" si="3"/>
        <v>0</v>
      </c>
      <c r="X52" s="37">
        <f t="shared" si="3"/>
        <v>12</v>
      </c>
      <c r="Y52" s="37">
        <f t="shared" si="3"/>
        <v>16</v>
      </c>
      <c r="Z52" s="37">
        <f t="shared" si="3"/>
        <v>15</v>
      </c>
      <c r="AA52" s="37">
        <f t="shared" si="3"/>
        <v>12</v>
      </c>
      <c r="AC52" s="18">
        <v>5</v>
      </c>
      <c r="AD52" s="18">
        <v>0</v>
      </c>
      <c r="AE52" s="18">
        <v>0</v>
      </c>
      <c r="AF52" s="18">
        <v>0</v>
      </c>
      <c r="AG52" s="18">
        <v>0</v>
      </c>
      <c r="AH52" s="18">
        <v>5</v>
      </c>
      <c r="AI52" s="18">
        <v>5</v>
      </c>
      <c r="AK52" s="4">
        <v>1</v>
      </c>
      <c r="AL52" s="4">
        <v>0</v>
      </c>
      <c r="AM52" s="4">
        <v>1</v>
      </c>
      <c r="AN52" s="4">
        <v>2</v>
      </c>
      <c r="AO52" s="4">
        <v>0</v>
      </c>
      <c r="AP52" s="4">
        <v>1</v>
      </c>
      <c r="AQ52" s="4">
        <v>1</v>
      </c>
    </row>
    <row r="53" spans="2:43">
      <c r="B53" s="164" t="s">
        <v>20</v>
      </c>
      <c r="C53" s="159">
        <v>2</v>
      </c>
      <c r="L53" s="14">
        <v>49</v>
      </c>
      <c r="M53" s="38" t="s">
        <v>34</v>
      </c>
      <c r="N53" s="38" t="s">
        <v>40</v>
      </c>
      <c r="O53" s="38" t="s">
        <v>90</v>
      </c>
      <c r="P53" s="38" t="s">
        <v>25</v>
      </c>
      <c r="Q53" s="38" t="s">
        <v>34</v>
      </c>
      <c r="R53" s="38" t="s">
        <v>38</v>
      </c>
      <c r="S53" s="24" t="s">
        <v>40</v>
      </c>
      <c r="U53" s="37">
        <f t="shared" si="3"/>
        <v>16</v>
      </c>
      <c r="V53" s="37">
        <f t="shared" si="3"/>
        <v>12</v>
      </c>
      <c r="W53" s="37">
        <f t="shared" si="3"/>
        <v>6</v>
      </c>
      <c r="X53" s="37">
        <f t="shared" si="3"/>
        <v>5</v>
      </c>
      <c r="Y53" s="37">
        <f t="shared" si="3"/>
        <v>16</v>
      </c>
      <c r="Z53" s="37">
        <f t="shared" si="3"/>
        <v>15</v>
      </c>
      <c r="AA53" s="37">
        <f t="shared" si="3"/>
        <v>12</v>
      </c>
      <c r="AC53" s="18">
        <v>5</v>
      </c>
      <c r="AD53" s="18">
        <v>0</v>
      </c>
      <c r="AE53" s="18">
        <v>0</v>
      </c>
      <c r="AF53" s="18">
        <v>0</v>
      </c>
      <c r="AG53" s="18">
        <v>1</v>
      </c>
      <c r="AH53" s="18">
        <v>5</v>
      </c>
      <c r="AI53" s="18">
        <v>5</v>
      </c>
      <c r="AK53" s="4">
        <v>1</v>
      </c>
      <c r="AL53" s="4">
        <v>1</v>
      </c>
      <c r="AM53" s="4">
        <v>1</v>
      </c>
      <c r="AN53" s="4">
        <v>0</v>
      </c>
      <c r="AO53" s="4">
        <v>1</v>
      </c>
      <c r="AP53" s="4">
        <v>1</v>
      </c>
      <c r="AQ53" s="4">
        <v>1</v>
      </c>
    </row>
    <row r="54" spans="2:43">
      <c r="B54" s="164" t="s">
        <v>21</v>
      </c>
      <c r="C54" s="159">
        <v>3</v>
      </c>
      <c r="L54" s="15">
        <v>50</v>
      </c>
      <c r="M54" s="38" t="s">
        <v>34</v>
      </c>
      <c r="N54" s="38" t="s">
        <v>38</v>
      </c>
      <c r="O54" s="38" t="s">
        <v>39</v>
      </c>
      <c r="P54" s="38" t="s">
        <v>65</v>
      </c>
      <c r="Q54" s="38" t="s">
        <v>242</v>
      </c>
      <c r="R54" s="38" t="s">
        <v>65</v>
      </c>
      <c r="S54" s="24" t="s">
        <v>40</v>
      </c>
      <c r="U54" s="37">
        <f t="shared" si="3"/>
        <v>16</v>
      </c>
      <c r="V54" s="37">
        <f t="shared" si="3"/>
        <v>15</v>
      </c>
      <c r="W54" s="37">
        <f t="shared" si="3"/>
        <v>5</v>
      </c>
      <c r="X54" s="37">
        <f t="shared" si="3"/>
        <v>17</v>
      </c>
      <c r="Y54" s="37">
        <f t="shared" si="3"/>
        <v>0</v>
      </c>
      <c r="Z54" s="37">
        <f t="shared" si="3"/>
        <v>17</v>
      </c>
      <c r="AA54" s="37">
        <f t="shared" si="3"/>
        <v>12</v>
      </c>
      <c r="AC54" s="18">
        <v>5</v>
      </c>
      <c r="AD54" s="18">
        <v>5</v>
      </c>
      <c r="AE54" s="18">
        <v>5</v>
      </c>
      <c r="AF54" s="18">
        <v>5</v>
      </c>
      <c r="AG54" s="18">
        <v>5</v>
      </c>
      <c r="AH54" s="18">
        <v>5</v>
      </c>
      <c r="AI54" s="18">
        <v>5</v>
      </c>
      <c r="AK54" s="4">
        <v>1</v>
      </c>
      <c r="AL54" s="4">
        <v>1</v>
      </c>
      <c r="AM54" s="4">
        <v>1</v>
      </c>
      <c r="AN54" s="4">
        <v>2</v>
      </c>
      <c r="AO54" s="4">
        <v>1</v>
      </c>
      <c r="AP54" s="4">
        <v>1</v>
      </c>
      <c r="AQ54" s="4">
        <v>1</v>
      </c>
    </row>
    <row r="55" spans="2:43">
      <c r="B55" s="164" t="s">
        <v>17</v>
      </c>
      <c r="C55" s="159">
        <v>5</v>
      </c>
      <c r="L55" s="14">
        <v>51</v>
      </c>
      <c r="M55" s="38" t="s">
        <v>33</v>
      </c>
      <c r="N55" s="38" t="s">
        <v>25</v>
      </c>
      <c r="O55" s="38" t="s">
        <v>33</v>
      </c>
      <c r="P55" s="38" t="s">
        <v>33</v>
      </c>
      <c r="Q55" s="38" t="s">
        <v>40</v>
      </c>
      <c r="R55" s="38" t="s">
        <v>65</v>
      </c>
      <c r="S55" s="24" t="s">
        <v>90</v>
      </c>
      <c r="U55" s="37">
        <f t="shared" si="3"/>
        <v>11</v>
      </c>
      <c r="V55" s="37">
        <f t="shared" si="3"/>
        <v>5</v>
      </c>
      <c r="W55" s="37">
        <f t="shared" si="3"/>
        <v>11</v>
      </c>
      <c r="X55" s="37">
        <f t="shared" si="3"/>
        <v>11</v>
      </c>
      <c r="Y55" s="37">
        <f t="shared" si="3"/>
        <v>12</v>
      </c>
      <c r="Z55" s="37">
        <f t="shared" si="3"/>
        <v>17</v>
      </c>
      <c r="AA55" s="37">
        <f t="shared" si="3"/>
        <v>6</v>
      </c>
      <c r="AC55" s="18">
        <v>5</v>
      </c>
      <c r="AD55" s="18">
        <v>0</v>
      </c>
      <c r="AE55" s="18">
        <v>0</v>
      </c>
      <c r="AF55" s="18">
        <v>0</v>
      </c>
      <c r="AG55" s="18">
        <v>0</v>
      </c>
      <c r="AH55" s="18">
        <v>5</v>
      </c>
      <c r="AI55" s="18">
        <v>5</v>
      </c>
      <c r="AK55" s="4">
        <v>1</v>
      </c>
      <c r="AL55" s="4">
        <v>1</v>
      </c>
      <c r="AM55" s="4">
        <v>1</v>
      </c>
      <c r="AN55" s="4">
        <v>0</v>
      </c>
      <c r="AO55" s="4">
        <v>2</v>
      </c>
      <c r="AP55" s="4">
        <v>1</v>
      </c>
      <c r="AQ55" s="4">
        <v>1</v>
      </c>
    </row>
    <row r="56" spans="2:43">
      <c r="B56" s="164" t="s">
        <v>18</v>
      </c>
      <c r="C56" s="159">
        <v>8</v>
      </c>
      <c r="L56" s="15">
        <v>52</v>
      </c>
      <c r="M56" s="38" t="s">
        <v>40</v>
      </c>
      <c r="N56" s="38" t="s">
        <v>35</v>
      </c>
      <c r="O56" s="38" t="s">
        <v>38</v>
      </c>
      <c r="P56" s="38" t="s">
        <v>238</v>
      </c>
      <c r="Q56" s="38" t="s">
        <v>40</v>
      </c>
      <c r="R56" s="38" t="s">
        <v>38</v>
      </c>
      <c r="S56" s="24" t="s">
        <v>35</v>
      </c>
      <c r="U56" s="37">
        <f t="shared" si="3"/>
        <v>12</v>
      </c>
      <c r="V56" s="37">
        <f t="shared" si="3"/>
        <v>15</v>
      </c>
      <c r="W56" s="37">
        <f t="shared" si="3"/>
        <v>15</v>
      </c>
      <c r="X56" s="37">
        <f t="shared" ref="X56:AA119" si="5">VLOOKUP(P56, $A$4:$J$29, 9, 0)</f>
        <v>0</v>
      </c>
      <c r="Y56" s="37">
        <f t="shared" si="5"/>
        <v>12</v>
      </c>
      <c r="Z56" s="37">
        <f t="shared" si="5"/>
        <v>15</v>
      </c>
      <c r="AA56" s="37">
        <f t="shared" si="5"/>
        <v>15</v>
      </c>
      <c r="AC56" s="18">
        <v>5</v>
      </c>
      <c r="AD56" s="18">
        <v>0</v>
      </c>
      <c r="AE56" s="18">
        <v>0</v>
      </c>
      <c r="AF56" s="18">
        <v>0</v>
      </c>
      <c r="AG56" s="18">
        <v>0</v>
      </c>
      <c r="AH56" s="18">
        <v>5</v>
      </c>
      <c r="AI56" s="18">
        <v>5</v>
      </c>
      <c r="AK56" s="4">
        <v>1</v>
      </c>
      <c r="AL56" s="4">
        <v>2</v>
      </c>
      <c r="AM56" s="4">
        <v>2</v>
      </c>
      <c r="AN56" s="4">
        <v>1</v>
      </c>
      <c r="AO56" s="4">
        <v>0</v>
      </c>
      <c r="AP56" s="4">
        <v>1</v>
      </c>
      <c r="AQ56" s="4">
        <v>1</v>
      </c>
    </row>
    <row r="57" spans="2:43">
      <c r="B57" s="164" t="s">
        <v>64</v>
      </c>
      <c r="C57" s="159">
        <v>12</v>
      </c>
      <c r="L57" s="14">
        <v>53</v>
      </c>
      <c r="M57" s="38" t="s">
        <v>39</v>
      </c>
      <c r="N57" s="38" t="s">
        <v>35</v>
      </c>
      <c r="O57" s="38" t="s">
        <v>238</v>
      </c>
      <c r="P57" s="38" t="s">
        <v>65</v>
      </c>
      <c r="Q57" s="38" t="s">
        <v>39</v>
      </c>
      <c r="R57" s="38" t="s">
        <v>65</v>
      </c>
      <c r="S57" s="24" t="s">
        <v>35</v>
      </c>
      <c r="U57" s="37">
        <f t="shared" ref="U57:Z120" si="6">VLOOKUP(M57, $A$4:$J$29, 9, 0)</f>
        <v>5</v>
      </c>
      <c r="V57" s="37">
        <f t="shared" si="6"/>
        <v>15</v>
      </c>
      <c r="W57" s="37">
        <f t="shared" si="6"/>
        <v>0</v>
      </c>
      <c r="X57" s="37">
        <f t="shared" si="5"/>
        <v>17</v>
      </c>
      <c r="Y57" s="37">
        <f t="shared" si="5"/>
        <v>5</v>
      </c>
      <c r="Z57" s="37">
        <f t="shared" si="5"/>
        <v>17</v>
      </c>
      <c r="AA57" s="37">
        <f t="shared" si="5"/>
        <v>15</v>
      </c>
      <c r="AC57" s="18">
        <v>5</v>
      </c>
      <c r="AD57" s="18">
        <v>0</v>
      </c>
      <c r="AE57" s="18">
        <v>0</v>
      </c>
      <c r="AF57" s="18">
        <v>0</v>
      </c>
      <c r="AG57" s="18">
        <v>0</v>
      </c>
      <c r="AH57" s="18">
        <v>5</v>
      </c>
      <c r="AI57" s="18">
        <v>5</v>
      </c>
      <c r="AK57" s="4">
        <v>1</v>
      </c>
      <c r="AL57" s="4">
        <v>0</v>
      </c>
      <c r="AM57" s="4">
        <v>0</v>
      </c>
      <c r="AN57" s="4">
        <v>1</v>
      </c>
      <c r="AO57" s="4">
        <v>1</v>
      </c>
      <c r="AP57" s="4">
        <v>1</v>
      </c>
      <c r="AQ57" s="4">
        <v>1</v>
      </c>
    </row>
    <row r="58" spans="2:43">
      <c r="B58" s="164" t="s">
        <v>92</v>
      </c>
      <c r="C58" s="159">
        <v>10</v>
      </c>
      <c r="L58" s="15">
        <v>54</v>
      </c>
      <c r="M58" s="38" t="s">
        <v>34</v>
      </c>
      <c r="N58" s="38" t="s">
        <v>240</v>
      </c>
      <c r="O58" s="38" t="s">
        <v>39</v>
      </c>
      <c r="P58" s="38" t="s">
        <v>65</v>
      </c>
      <c r="Q58" s="38" t="s">
        <v>35</v>
      </c>
      <c r="R58" s="38" t="s">
        <v>40</v>
      </c>
      <c r="S58" s="24" t="s">
        <v>35</v>
      </c>
      <c r="U58" s="37">
        <f t="shared" si="6"/>
        <v>16</v>
      </c>
      <c r="V58" s="37">
        <f t="shared" si="6"/>
        <v>0</v>
      </c>
      <c r="W58" s="37">
        <f t="shared" si="6"/>
        <v>5</v>
      </c>
      <c r="X58" s="37">
        <f t="shared" si="5"/>
        <v>17</v>
      </c>
      <c r="Y58" s="37">
        <f t="shared" si="5"/>
        <v>15</v>
      </c>
      <c r="Z58" s="37">
        <f t="shared" si="5"/>
        <v>12</v>
      </c>
      <c r="AA58" s="37">
        <f t="shared" si="5"/>
        <v>15</v>
      </c>
      <c r="AC58" s="18">
        <v>5</v>
      </c>
      <c r="AD58" s="18">
        <v>0</v>
      </c>
      <c r="AE58" s="18">
        <v>0</v>
      </c>
      <c r="AF58" s="18">
        <v>0</v>
      </c>
      <c r="AG58" s="18">
        <v>1</v>
      </c>
      <c r="AH58" s="18">
        <v>5</v>
      </c>
      <c r="AI58" s="18">
        <v>5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</row>
    <row r="59" spans="2:43">
      <c r="B59" s="164" t="s">
        <v>93</v>
      </c>
      <c r="C59" s="159">
        <v>10</v>
      </c>
      <c r="L59" s="14">
        <v>55</v>
      </c>
      <c r="M59" s="38" t="s">
        <v>34</v>
      </c>
      <c r="N59" s="38" t="s">
        <v>236</v>
      </c>
      <c r="O59" s="38" t="s">
        <v>39</v>
      </c>
      <c r="P59" s="38" t="s">
        <v>25</v>
      </c>
      <c r="Q59" s="38" t="s">
        <v>35</v>
      </c>
      <c r="R59" s="38" t="s">
        <v>40</v>
      </c>
      <c r="S59" s="24" t="s">
        <v>25</v>
      </c>
      <c r="U59" s="37">
        <f t="shared" si="6"/>
        <v>16</v>
      </c>
      <c r="V59" s="37">
        <f t="shared" si="6"/>
        <v>0</v>
      </c>
      <c r="W59" s="37">
        <f t="shared" si="6"/>
        <v>5</v>
      </c>
      <c r="X59" s="37">
        <f t="shared" si="5"/>
        <v>5</v>
      </c>
      <c r="Y59" s="37">
        <f t="shared" si="5"/>
        <v>15</v>
      </c>
      <c r="Z59" s="37">
        <f t="shared" si="5"/>
        <v>12</v>
      </c>
      <c r="AA59" s="37">
        <f t="shared" si="5"/>
        <v>5</v>
      </c>
      <c r="AC59" s="18">
        <v>5</v>
      </c>
      <c r="AD59" s="18">
        <v>5</v>
      </c>
      <c r="AE59" s="18">
        <v>5</v>
      </c>
      <c r="AF59" s="18">
        <v>5</v>
      </c>
      <c r="AG59" s="18">
        <v>6</v>
      </c>
      <c r="AH59" s="18">
        <v>5</v>
      </c>
      <c r="AI59" s="18">
        <v>5</v>
      </c>
      <c r="AK59" s="4">
        <v>1</v>
      </c>
      <c r="AL59" s="4">
        <v>1</v>
      </c>
      <c r="AM59" s="4">
        <v>1</v>
      </c>
      <c r="AN59" s="4">
        <v>2</v>
      </c>
      <c r="AO59" s="4">
        <v>2</v>
      </c>
      <c r="AP59" s="4">
        <v>1</v>
      </c>
      <c r="AQ59" s="4">
        <v>1</v>
      </c>
    </row>
    <row r="60" spans="2:43">
      <c r="B60" s="4" t="s">
        <v>37</v>
      </c>
      <c r="C60" s="160">
        <v>10</v>
      </c>
      <c r="L60" s="15">
        <v>56</v>
      </c>
      <c r="M60" s="38" t="s">
        <v>38</v>
      </c>
      <c r="N60" s="38" t="s">
        <v>37</v>
      </c>
      <c r="O60" s="38" t="s">
        <v>39</v>
      </c>
      <c r="P60" s="38" t="s">
        <v>25</v>
      </c>
      <c r="Q60" s="38" t="s">
        <v>39</v>
      </c>
      <c r="R60" s="38" t="s">
        <v>40</v>
      </c>
      <c r="S60" s="24" t="s">
        <v>65</v>
      </c>
      <c r="U60" s="37">
        <f t="shared" si="6"/>
        <v>15</v>
      </c>
      <c r="V60" s="37">
        <f t="shared" si="6"/>
        <v>13</v>
      </c>
      <c r="W60" s="37">
        <f t="shared" si="6"/>
        <v>5</v>
      </c>
      <c r="X60" s="37">
        <f t="shared" si="5"/>
        <v>5</v>
      </c>
      <c r="Y60" s="37">
        <f t="shared" si="5"/>
        <v>5</v>
      </c>
      <c r="Z60" s="37">
        <f t="shared" si="5"/>
        <v>12</v>
      </c>
      <c r="AA60" s="37">
        <f t="shared" si="5"/>
        <v>17</v>
      </c>
      <c r="AC60" s="18">
        <v>5</v>
      </c>
      <c r="AD60" s="18">
        <v>0</v>
      </c>
      <c r="AE60" s="18">
        <v>0</v>
      </c>
      <c r="AF60" s="18">
        <v>0</v>
      </c>
      <c r="AG60" s="18">
        <v>0</v>
      </c>
      <c r="AH60" s="18">
        <v>5</v>
      </c>
      <c r="AI60" s="18">
        <v>5</v>
      </c>
      <c r="AK60" s="4">
        <v>1</v>
      </c>
      <c r="AL60" s="4">
        <v>2</v>
      </c>
      <c r="AM60" s="4">
        <v>1</v>
      </c>
      <c r="AN60" s="4">
        <v>0</v>
      </c>
      <c r="AO60" s="4">
        <v>0</v>
      </c>
      <c r="AP60" s="4">
        <v>1</v>
      </c>
      <c r="AQ60" s="4">
        <v>1</v>
      </c>
    </row>
    <row r="61" spans="2:43">
      <c r="B61" s="4" t="s">
        <v>38</v>
      </c>
      <c r="C61" s="160">
        <v>10</v>
      </c>
      <c r="L61" s="14">
        <v>57</v>
      </c>
      <c r="M61" s="38" t="s">
        <v>40</v>
      </c>
      <c r="N61" s="38" t="s">
        <v>37</v>
      </c>
      <c r="O61" s="38" t="s">
        <v>90</v>
      </c>
      <c r="P61" s="38" t="s">
        <v>25</v>
      </c>
      <c r="Q61" s="38" t="s">
        <v>35</v>
      </c>
      <c r="R61" s="38" t="s">
        <v>25</v>
      </c>
      <c r="S61" s="24" t="s">
        <v>65</v>
      </c>
      <c r="U61" s="37">
        <f t="shared" si="6"/>
        <v>12</v>
      </c>
      <c r="V61" s="37">
        <f t="shared" si="6"/>
        <v>13</v>
      </c>
      <c r="W61" s="37">
        <f t="shared" si="6"/>
        <v>6</v>
      </c>
      <c r="X61" s="37">
        <f t="shared" si="5"/>
        <v>5</v>
      </c>
      <c r="Y61" s="37">
        <f t="shared" si="5"/>
        <v>15</v>
      </c>
      <c r="Z61" s="37">
        <f t="shared" si="5"/>
        <v>5</v>
      </c>
      <c r="AA61" s="37">
        <f t="shared" si="5"/>
        <v>17</v>
      </c>
      <c r="AC61" s="18">
        <v>5</v>
      </c>
      <c r="AD61" s="18">
        <v>0</v>
      </c>
      <c r="AE61" s="18">
        <v>0</v>
      </c>
      <c r="AF61" s="18">
        <v>0</v>
      </c>
      <c r="AG61" s="18">
        <v>0</v>
      </c>
      <c r="AH61" s="18">
        <v>5</v>
      </c>
      <c r="AI61" s="18">
        <v>5</v>
      </c>
      <c r="AK61" s="4">
        <v>1</v>
      </c>
      <c r="AL61" s="4">
        <v>0</v>
      </c>
      <c r="AM61" s="4">
        <v>1</v>
      </c>
      <c r="AN61" s="4">
        <v>1</v>
      </c>
      <c r="AO61" s="4">
        <v>2</v>
      </c>
      <c r="AP61" s="4">
        <v>1</v>
      </c>
      <c r="AQ61" s="4">
        <v>1</v>
      </c>
    </row>
    <row r="62" spans="2:43">
      <c r="B62" s="4" t="s">
        <v>39</v>
      </c>
      <c r="C62" s="160">
        <v>10</v>
      </c>
      <c r="L62" s="15">
        <v>58</v>
      </c>
      <c r="M62" s="38" t="s">
        <v>90</v>
      </c>
      <c r="N62" s="38" t="s">
        <v>65</v>
      </c>
      <c r="O62" s="38" t="s">
        <v>90</v>
      </c>
      <c r="P62" s="38" t="s">
        <v>90</v>
      </c>
      <c r="Q62" s="38" t="s">
        <v>39</v>
      </c>
      <c r="R62" s="38" t="s">
        <v>65</v>
      </c>
      <c r="S62" s="24" t="s">
        <v>39</v>
      </c>
      <c r="U62" s="37">
        <f t="shared" si="6"/>
        <v>6</v>
      </c>
      <c r="V62" s="37">
        <f t="shared" si="6"/>
        <v>17</v>
      </c>
      <c r="W62" s="37">
        <f t="shared" si="6"/>
        <v>6</v>
      </c>
      <c r="X62" s="37">
        <f t="shared" si="5"/>
        <v>6</v>
      </c>
      <c r="Y62" s="37">
        <f t="shared" si="5"/>
        <v>5</v>
      </c>
      <c r="Z62" s="37">
        <f t="shared" si="5"/>
        <v>17</v>
      </c>
      <c r="AA62" s="37">
        <f t="shared" si="5"/>
        <v>5</v>
      </c>
      <c r="AC62" s="18">
        <v>5</v>
      </c>
      <c r="AD62" s="18">
        <v>0</v>
      </c>
      <c r="AE62" s="18">
        <v>0</v>
      </c>
      <c r="AF62" s="18">
        <v>0</v>
      </c>
      <c r="AG62" s="18">
        <v>0</v>
      </c>
      <c r="AH62" s="18">
        <v>5</v>
      </c>
      <c r="AI62" s="18">
        <v>5</v>
      </c>
      <c r="AK62" s="4">
        <v>1</v>
      </c>
      <c r="AL62" s="4">
        <v>1</v>
      </c>
      <c r="AM62" s="4">
        <v>1</v>
      </c>
      <c r="AN62" s="4">
        <v>2</v>
      </c>
      <c r="AO62" s="4">
        <v>0</v>
      </c>
      <c r="AP62" s="4">
        <v>1</v>
      </c>
      <c r="AQ62" s="4">
        <v>1</v>
      </c>
    </row>
    <row r="63" spans="2:43">
      <c r="B63" s="4" t="s">
        <v>40</v>
      </c>
      <c r="C63" s="160">
        <v>10</v>
      </c>
      <c r="L63" s="14">
        <v>59</v>
      </c>
      <c r="M63" s="38" t="s">
        <v>90</v>
      </c>
      <c r="N63" s="38" t="s">
        <v>242</v>
      </c>
      <c r="O63" s="38" t="s">
        <v>37</v>
      </c>
      <c r="P63" s="38" t="s">
        <v>90</v>
      </c>
      <c r="Q63" s="38" t="s">
        <v>40</v>
      </c>
      <c r="R63" s="38" t="s">
        <v>65</v>
      </c>
      <c r="S63" s="38" t="s">
        <v>38</v>
      </c>
      <c r="U63" s="37">
        <f t="shared" si="6"/>
        <v>6</v>
      </c>
      <c r="V63" s="37">
        <f t="shared" si="6"/>
        <v>0</v>
      </c>
      <c r="W63" s="37">
        <f t="shared" si="6"/>
        <v>13</v>
      </c>
      <c r="X63" s="37">
        <f t="shared" si="5"/>
        <v>6</v>
      </c>
      <c r="Y63" s="37">
        <f t="shared" si="5"/>
        <v>12</v>
      </c>
      <c r="Z63" s="37">
        <f t="shared" si="5"/>
        <v>17</v>
      </c>
      <c r="AA63" s="37">
        <f t="shared" si="5"/>
        <v>15</v>
      </c>
      <c r="AC63" s="18">
        <v>5</v>
      </c>
      <c r="AD63" s="18">
        <v>0</v>
      </c>
      <c r="AE63" s="18">
        <v>0</v>
      </c>
      <c r="AF63" s="18">
        <v>0</v>
      </c>
      <c r="AG63" s="18">
        <v>0</v>
      </c>
      <c r="AH63" s="18">
        <v>5</v>
      </c>
      <c r="AI63" s="18">
        <v>5</v>
      </c>
      <c r="AK63" s="4">
        <v>1</v>
      </c>
      <c r="AL63" s="4">
        <v>1</v>
      </c>
      <c r="AM63" s="4">
        <v>1</v>
      </c>
      <c r="AN63" s="4">
        <v>0</v>
      </c>
      <c r="AO63" s="4">
        <v>1</v>
      </c>
      <c r="AP63" s="4">
        <v>1</v>
      </c>
      <c r="AQ63" s="4">
        <v>1</v>
      </c>
    </row>
    <row r="64" spans="2:43">
      <c r="L64" s="15">
        <v>60</v>
      </c>
      <c r="M64" s="38" t="s">
        <v>39</v>
      </c>
      <c r="N64" s="38" t="s">
        <v>40</v>
      </c>
      <c r="O64" s="38" t="s">
        <v>65</v>
      </c>
      <c r="P64" s="38" t="s">
        <v>25</v>
      </c>
      <c r="Q64" s="38" t="s">
        <v>40</v>
      </c>
      <c r="R64" s="38" t="s">
        <v>25</v>
      </c>
      <c r="S64" s="24" t="s">
        <v>38</v>
      </c>
      <c r="U64" s="37">
        <f t="shared" si="6"/>
        <v>5</v>
      </c>
      <c r="V64" s="37">
        <f t="shared" si="6"/>
        <v>12</v>
      </c>
      <c r="W64" s="37">
        <f t="shared" si="6"/>
        <v>17</v>
      </c>
      <c r="X64" s="37">
        <f t="shared" si="5"/>
        <v>5</v>
      </c>
      <c r="Y64" s="37">
        <f t="shared" si="5"/>
        <v>12</v>
      </c>
      <c r="Z64" s="37">
        <f t="shared" si="5"/>
        <v>5</v>
      </c>
      <c r="AA64" s="37">
        <f t="shared" si="5"/>
        <v>15</v>
      </c>
      <c r="AC64" s="18">
        <v>5</v>
      </c>
      <c r="AD64" s="18">
        <v>5</v>
      </c>
      <c r="AE64" s="18">
        <v>5</v>
      </c>
      <c r="AF64" s="18">
        <v>5</v>
      </c>
      <c r="AG64" s="18">
        <v>6</v>
      </c>
      <c r="AH64" s="18">
        <v>5</v>
      </c>
      <c r="AI64" s="18">
        <v>5</v>
      </c>
      <c r="AK64" s="4">
        <v>1</v>
      </c>
      <c r="AL64" s="4">
        <v>3</v>
      </c>
      <c r="AM64" s="4">
        <v>1</v>
      </c>
      <c r="AN64" s="4">
        <v>1</v>
      </c>
      <c r="AO64" s="4">
        <v>3</v>
      </c>
      <c r="AP64" s="4">
        <v>1</v>
      </c>
      <c r="AQ64" s="4">
        <v>1</v>
      </c>
    </row>
    <row r="65" spans="2:43">
      <c r="L65" s="14">
        <v>61</v>
      </c>
      <c r="M65" s="38" t="s">
        <v>25</v>
      </c>
      <c r="N65" s="38" t="s">
        <v>40</v>
      </c>
      <c r="O65" s="38" t="s">
        <v>65</v>
      </c>
      <c r="P65" s="38" t="s">
        <v>38</v>
      </c>
      <c r="Q65" s="38" t="s">
        <v>90</v>
      </c>
      <c r="R65" s="38" t="s">
        <v>25</v>
      </c>
      <c r="S65" s="24" t="s">
        <v>38</v>
      </c>
      <c r="U65" s="37">
        <f t="shared" si="6"/>
        <v>5</v>
      </c>
      <c r="V65" s="37">
        <f t="shared" si="6"/>
        <v>12</v>
      </c>
      <c r="W65" s="37">
        <f t="shared" si="6"/>
        <v>17</v>
      </c>
      <c r="X65" s="37">
        <f t="shared" si="5"/>
        <v>15</v>
      </c>
      <c r="Y65" s="37">
        <f t="shared" si="5"/>
        <v>6</v>
      </c>
      <c r="Z65" s="37">
        <f t="shared" si="5"/>
        <v>5</v>
      </c>
      <c r="AA65" s="37">
        <f t="shared" si="5"/>
        <v>15</v>
      </c>
      <c r="AC65" s="18">
        <v>5</v>
      </c>
      <c r="AD65" s="18">
        <v>0</v>
      </c>
      <c r="AE65" s="18">
        <v>0</v>
      </c>
      <c r="AF65" s="18">
        <v>0</v>
      </c>
      <c r="AG65" s="18">
        <v>0</v>
      </c>
      <c r="AH65" s="18">
        <v>5</v>
      </c>
      <c r="AI65" s="18">
        <v>5</v>
      </c>
      <c r="AK65" s="4">
        <v>1</v>
      </c>
      <c r="AL65" s="4">
        <v>0</v>
      </c>
      <c r="AM65" s="4">
        <v>3</v>
      </c>
      <c r="AN65" s="4">
        <v>3</v>
      </c>
      <c r="AO65" s="4">
        <v>0</v>
      </c>
      <c r="AP65" s="4">
        <v>1</v>
      </c>
      <c r="AQ65" s="4">
        <v>1</v>
      </c>
    </row>
    <row r="66" spans="2:43">
      <c r="B66" s="165" t="s">
        <v>95</v>
      </c>
      <c r="C66" s="162" t="s">
        <v>259</v>
      </c>
      <c r="L66" s="15">
        <v>62</v>
      </c>
      <c r="M66" s="38" t="s">
        <v>25</v>
      </c>
      <c r="N66" s="38" t="s">
        <v>37</v>
      </c>
      <c r="O66" s="38" t="s">
        <v>40</v>
      </c>
      <c r="P66" s="38" t="s">
        <v>40</v>
      </c>
      <c r="Q66" s="38" t="s">
        <v>90</v>
      </c>
      <c r="R66" s="38" t="s">
        <v>38</v>
      </c>
      <c r="S66" s="24" t="s">
        <v>39</v>
      </c>
      <c r="U66" s="37">
        <f t="shared" si="6"/>
        <v>5</v>
      </c>
      <c r="V66" s="37">
        <f t="shared" si="6"/>
        <v>13</v>
      </c>
      <c r="W66" s="37">
        <f t="shared" si="6"/>
        <v>12</v>
      </c>
      <c r="X66" s="37">
        <f t="shared" si="5"/>
        <v>12</v>
      </c>
      <c r="Y66" s="37">
        <f t="shared" si="5"/>
        <v>6</v>
      </c>
      <c r="Z66" s="37">
        <f t="shared" si="5"/>
        <v>15</v>
      </c>
      <c r="AA66" s="37">
        <f t="shared" si="5"/>
        <v>5</v>
      </c>
      <c r="AC66" s="18">
        <v>5</v>
      </c>
      <c r="AD66" s="18">
        <v>0</v>
      </c>
      <c r="AE66" s="18">
        <v>0</v>
      </c>
      <c r="AF66" s="18">
        <v>0</v>
      </c>
      <c r="AG66" s="18">
        <v>0</v>
      </c>
      <c r="AH66" s="18">
        <v>5</v>
      </c>
      <c r="AI66" s="18">
        <v>5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1</v>
      </c>
      <c r="AQ66" s="4">
        <v>1</v>
      </c>
    </row>
    <row r="67" spans="2:43">
      <c r="B67" s="163">
        <v>0</v>
      </c>
      <c r="C67" s="161">
        <v>1000</v>
      </c>
      <c r="L67" s="14">
        <v>63</v>
      </c>
      <c r="M67" s="38" t="s">
        <v>94</v>
      </c>
      <c r="N67" s="38" t="s">
        <v>94</v>
      </c>
      <c r="O67" s="38" t="s">
        <v>94</v>
      </c>
      <c r="P67" s="38" t="s">
        <v>94</v>
      </c>
      <c r="Q67" s="38" t="s">
        <v>94</v>
      </c>
      <c r="R67" s="38" t="s">
        <v>94</v>
      </c>
      <c r="S67" s="24" t="s">
        <v>94</v>
      </c>
      <c r="U67" s="37">
        <f t="shared" si="6"/>
        <v>2</v>
      </c>
      <c r="V67" s="37">
        <f t="shared" si="6"/>
        <v>2</v>
      </c>
      <c r="W67" s="37">
        <f t="shared" si="6"/>
        <v>2</v>
      </c>
      <c r="X67" s="37">
        <f t="shared" si="5"/>
        <v>2</v>
      </c>
      <c r="Y67" s="37">
        <f t="shared" si="5"/>
        <v>2</v>
      </c>
      <c r="Z67" s="37">
        <f t="shared" si="5"/>
        <v>2</v>
      </c>
      <c r="AA67" s="37">
        <f t="shared" si="5"/>
        <v>2</v>
      </c>
      <c r="AC67" s="18">
        <v>5</v>
      </c>
      <c r="AD67" s="18">
        <v>0</v>
      </c>
      <c r="AE67" s="18">
        <v>0</v>
      </c>
      <c r="AF67" s="18">
        <v>0</v>
      </c>
      <c r="AG67" s="18">
        <v>0</v>
      </c>
      <c r="AH67" s="18">
        <v>5</v>
      </c>
      <c r="AI67" s="18">
        <v>5</v>
      </c>
      <c r="AK67" s="4">
        <v>1</v>
      </c>
      <c r="AL67" s="4">
        <v>2</v>
      </c>
      <c r="AM67" s="4">
        <v>0</v>
      </c>
      <c r="AN67" s="4">
        <v>0</v>
      </c>
      <c r="AO67" s="4">
        <v>2</v>
      </c>
      <c r="AP67" s="4">
        <v>1</v>
      </c>
      <c r="AQ67" s="4">
        <v>1</v>
      </c>
    </row>
    <row r="68" spans="2:43">
      <c r="B68" s="164">
        <v>1</v>
      </c>
      <c r="C68" s="159">
        <v>50</v>
      </c>
      <c r="L68" s="15">
        <v>64</v>
      </c>
      <c r="M68" s="38" t="s">
        <v>94</v>
      </c>
      <c r="N68" s="38" t="s">
        <v>94</v>
      </c>
      <c r="O68" s="38" t="s">
        <v>94</v>
      </c>
      <c r="P68" s="38" t="s">
        <v>94</v>
      </c>
      <c r="Q68" s="38" t="s">
        <v>94</v>
      </c>
      <c r="R68" s="38" t="s">
        <v>94</v>
      </c>
      <c r="S68" s="24" t="s">
        <v>94</v>
      </c>
      <c r="U68" s="37">
        <f t="shared" si="6"/>
        <v>2</v>
      </c>
      <c r="V68" s="37">
        <f t="shared" si="6"/>
        <v>2</v>
      </c>
      <c r="W68" s="37">
        <f t="shared" si="6"/>
        <v>2</v>
      </c>
      <c r="X68" s="37">
        <f t="shared" si="5"/>
        <v>2</v>
      </c>
      <c r="Y68" s="37">
        <f t="shared" si="5"/>
        <v>2</v>
      </c>
      <c r="Z68" s="37">
        <f t="shared" si="5"/>
        <v>2</v>
      </c>
      <c r="AA68" s="37">
        <f t="shared" si="5"/>
        <v>2</v>
      </c>
      <c r="AC68" s="18">
        <v>5</v>
      </c>
      <c r="AD68" s="18">
        <v>0</v>
      </c>
      <c r="AE68" s="18">
        <v>0</v>
      </c>
      <c r="AF68" s="18">
        <v>0</v>
      </c>
      <c r="AG68" s="18">
        <v>0</v>
      </c>
      <c r="AH68" s="18">
        <v>5</v>
      </c>
      <c r="AI68" s="18">
        <v>5</v>
      </c>
      <c r="AK68" s="4">
        <v>1</v>
      </c>
      <c r="AL68" s="4">
        <v>0</v>
      </c>
      <c r="AM68" s="4">
        <v>1</v>
      </c>
      <c r="AN68" s="4">
        <v>1</v>
      </c>
      <c r="AO68" s="4">
        <v>0</v>
      </c>
      <c r="AP68" s="4">
        <v>1</v>
      </c>
      <c r="AQ68" s="4">
        <v>1</v>
      </c>
    </row>
    <row r="69" spans="2:43">
      <c r="B69" s="164">
        <v>2</v>
      </c>
      <c r="C69" s="159">
        <v>20</v>
      </c>
      <c r="L69" s="14">
        <v>65</v>
      </c>
      <c r="M69" s="38" t="s">
        <v>90</v>
      </c>
      <c r="N69" s="38" t="s">
        <v>65</v>
      </c>
      <c r="O69" s="38" t="s">
        <v>38</v>
      </c>
      <c r="P69" s="38" t="s">
        <v>65</v>
      </c>
      <c r="Q69" s="38" t="s">
        <v>25</v>
      </c>
      <c r="R69" s="38" t="s">
        <v>65</v>
      </c>
      <c r="S69" s="24" t="s">
        <v>38</v>
      </c>
      <c r="U69" s="37">
        <f t="shared" si="6"/>
        <v>6</v>
      </c>
      <c r="V69" s="37">
        <f t="shared" si="6"/>
        <v>17</v>
      </c>
      <c r="W69" s="37">
        <f t="shared" si="6"/>
        <v>15</v>
      </c>
      <c r="X69" s="37">
        <f t="shared" si="5"/>
        <v>17</v>
      </c>
      <c r="Y69" s="37">
        <f t="shared" si="5"/>
        <v>5</v>
      </c>
      <c r="Z69" s="37">
        <f t="shared" si="5"/>
        <v>17</v>
      </c>
      <c r="AA69" s="37">
        <f t="shared" si="5"/>
        <v>15</v>
      </c>
      <c r="AC69" s="18">
        <v>5</v>
      </c>
      <c r="AD69" s="18">
        <v>5</v>
      </c>
      <c r="AE69" s="18">
        <v>5</v>
      </c>
      <c r="AF69" s="18">
        <v>5</v>
      </c>
      <c r="AG69" s="18">
        <v>4</v>
      </c>
      <c r="AH69" s="18">
        <v>5</v>
      </c>
      <c r="AI69" s="18">
        <v>5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</row>
    <row r="70" spans="2:43">
      <c r="B70" s="164">
        <v>3</v>
      </c>
      <c r="C70" s="159">
        <v>10</v>
      </c>
      <c r="L70" s="15">
        <v>66</v>
      </c>
      <c r="M70" s="38" t="s">
        <v>25</v>
      </c>
      <c r="N70" s="38" t="s">
        <v>38</v>
      </c>
      <c r="O70" s="38" t="s">
        <v>39</v>
      </c>
      <c r="P70" s="38" t="s">
        <v>65</v>
      </c>
      <c r="Q70" s="38" t="s">
        <v>37</v>
      </c>
      <c r="R70" s="38" t="s">
        <v>25</v>
      </c>
      <c r="S70" s="24" t="s">
        <v>38</v>
      </c>
      <c r="U70" s="37">
        <f t="shared" si="6"/>
        <v>5</v>
      </c>
      <c r="V70" s="37">
        <f t="shared" si="6"/>
        <v>15</v>
      </c>
      <c r="W70" s="37">
        <f t="shared" si="6"/>
        <v>5</v>
      </c>
      <c r="X70" s="37">
        <f t="shared" si="5"/>
        <v>17</v>
      </c>
      <c r="Y70" s="37">
        <f t="shared" si="5"/>
        <v>13</v>
      </c>
      <c r="Z70" s="37">
        <f t="shared" si="5"/>
        <v>5</v>
      </c>
      <c r="AA70" s="37">
        <f t="shared" si="5"/>
        <v>15</v>
      </c>
      <c r="AC70" s="18">
        <v>5</v>
      </c>
      <c r="AD70" s="18">
        <v>0</v>
      </c>
      <c r="AE70" s="18">
        <v>0</v>
      </c>
      <c r="AF70" s="18">
        <v>0</v>
      </c>
      <c r="AG70" s="18">
        <v>1</v>
      </c>
      <c r="AH70" s="18">
        <v>5</v>
      </c>
      <c r="AI70" s="18">
        <v>5</v>
      </c>
      <c r="AK70" s="4">
        <v>1</v>
      </c>
      <c r="AL70" s="4">
        <v>1</v>
      </c>
      <c r="AM70" s="4">
        <v>1</v>
      </c>
      <c r="AN70" s="4">
        <v>1</v>
      </c>
      <c r="AO70" s="4">
        <v>3</v>
      </c>
      <c r="AP70" s="4">
        <v>1</v>
      </c>
      <c r="AQ70" s="4">
        <v>1</v>
      </c>
    </row>
    <row r="71" spans="2:43">
      <c r="B71" s="164">
        <v>4</v>
      </c>
      <c r="C71" s="159">
        <v>1</v>
      </c>
      <c r="L71" s="14">
        <v>67</v>
      </c>
      <c r="M71" s="38" t="s">
        <v>37</v>
      </c>
      <c r="N71" s="38" t="s">
        <v>256</v>
      </c>
      <c r="O71" s="38" t="s">
        <v>256</v>
      </c>
      <c r="P71" s="38" t="s">
        <v>256</v>
      </c>
      <c r="Q71" s="38" t="s">
        <v>256</v>
      </c>
      <c r="R71" s="38" t="s">
        <v>25</v>
      </c>
      <c r="S71" s="24" t="s">
        <v>35</v>
      </c>
      <c r="U71" s="37">
        <f t="shared" si="6"/>
        <v>13</v>
      </c>
      <c r="V71" s="37">
        <f t="shared" si="6"/>
        <v>0</v>
      </c>
      <c r="W71" s="37">
        <f t="shared" si="6"/>
        <v>0</v>
      </c>
      <c r="X71" s="37">
        <f t="shared" si="5"/>
        <v>0</v>
      </c>
      <c r="Y71" s="37">
        <f t="shared" si="5"/>
        <v>0</v>
      </c>
      <c r="Z71" s="37">
        <f t="shared" si="5"/>
        <v>5</v>
      </c>
      <c r="AA71" s="37">
        <f t="shared" si="5"/>
        <v>15</v>
      </c>
      <c r="AC71" s="18">
        <v>5</v>
      </c>
      <c r="AD71" s="18">
        <v>0</v>
      </c>
      <c r="AE71" s="18">
        <v>0</v>
      </c>
      <c r="AF71" s="18">
        <v>0</v>
      </c>
      <c r="AG71" s="18">
        <v>0</v>
      </c>
      <c r="AH71" s="18">
        <v>5</v>
      </c>
      <c r="AI71" s="18">
        <v>5</v>
      </c>
      <c r="AK71" s="4">
        <v>1</v>
      </c>
      <c r="AL71" s="4">
        <v>2</v>
      </c>
      <c r="AM71" s="4">
        <v>1</v>
      </c>
      <c r="AN71" s="4">
        <v>1</v>
      </c>
      <c r="AO71" s="4">
        <v>0</v>
      </c>
      <c r="AP71" s="4">
        <v>1</v>
      </c>
      <c r="AQ71" s="4">
        <v>1</v>
      </c>
    </row>
    <row r="72" spans="2:43">
      <c r="B72" s="164">
        <v>5</v>
      </c>
      <c r="C72" s="159">
        <v>0</v>
      </c>
      <c r="L72" s="15">
        <v>68</v>
      </c>
      <c r="M72" s="38" t="s">
        <v>37</v>
      </c>
      <c r="N72" s="38" t="s">
        <v>40</v>
      </c>
      <c r="O72" s="38" t="s">
        <v>25</v>
      </c>
      <c r="P72" s="38" t="s">
        <v>39</v>
      </c>
      <c r="Q72" s="38" t="s">
        <v>34</v>
      </c>
      <c r="R72" s="38" t="s">
        <v>65</v>
      </c>
      <c r="S72" s="24" t="s">
        <v>35</v>
      </c>
      <c r="U72" s="37">
        <f t="shared" si="6"/>
        <v>13</v>
      </c>
      <c r="V72" s="37">
        <f t="shared" si="6"/>
        <v>12</v>
      </c>
      <c r="W72" s="37">
        <f t="shared" si="6"/>
        <v>5</v>
      </c>
      <c r="X72" s="37">
        <f t="shared" si="5"/>
        <v>5</v>
      </c>
      <c r="Y72" s="37">
        <f t="shared" si="5"/>
        <v>16</v>
      </c>
      <c r="Z72" s="37">
        <f t="shared" si="5"/>
        <v>17</v>
      </c>
      <c r="AA72" s="37">
        <f t="shared" si="5"/>
        <v>15</v>
      </c>
      <c r="AC72" s="18">
        <v>5</v>
      </c>
      <c r="AD72" s="18">
        <v>0</v>
      </c>
      <c r="AE72" s="18">
        <v>0</v>
      </c>
      <c r="AF72" s="18">
        <v>0</v>
      </c>
      <c r="AG72" s="18">
        <v>0</v>
      </c>
      <c r="AH72" s="18">
        <v>5</v>
      </c>
      <c r="AI72" s="18">
        <v>5</v>
      </c>
      <c r="AK72" s="4">
        <v>1</v>
      </c>
      <c r="AL72" s="4">
        <v>0</v>
      </c>
      <c r="AM72" s="4">
        <v>1</v>
      </c>
      <c r="AN72" s="4">
        <v>2</v>
      </c>
      <c r="AO72" s="4">
        <v>0</v>
      </c>
      <c r="AP72" s="4">
        <v>1</v>
      </c>
      <c r="AQ72" s="4">
        <v>1</v>
      </c>
    </row>
    <row r="73" spans="2:43">
      <c r="B73" s="164">
        <v>6</v>
      </c>
      <c r="C73" s="159">
        <v>0</v>
      </c>
      <c r="L73" s="14">
        <v>69</v>
      </c>
      <c r="M73" s="38" t="s">
        <v>40</v>
      </c>
      <c r="N73" s="38" t="s">
        <v>65</v>
      </c>
      <c r="O73" s="38" t="s">
        <v>25</v>
      </c>
      <c r="P73" s="38" t="s">
        <v>25</v>
      </c>
      <c r="Q73" s="38" t="s">
        <v>39</v>
      </c>
      <c r="R73" s="38" t="s">
        <v>25</v>
      </c>
      <c r="S73" s="24" t="s">
        <v>35</v>
      </c>
      <c r="U73" s="37">
        <f t="shared" si="6"/>
        <v>12</v>
      </c>
      <c r="V73" s="37">
        <f t="shared" si="6"/>
        <v>17</v>
      </c>
      <c r="W73" s="37">
        <f t="shared" si="6"/>
        <v>5</v>
      </c>
      <c r="X73" s="37">
        <f t="shared" si="5"/>
        <v>5</v>
      </c>
      <c r="Y73" s="37">
        <f t="shared" si="5"/>
        <v>5</v>
      </c>
      <c r="Z73" s="37">
        <f t="shared" si="5"/>
        <v>5</v>
      </c>
      <c r="AA73" s="37">
        <f t="shared" si="5"/>
        <v>15</v>
      </c>
      <c r="AC73" s="18">
        <v>5</v>
      </c>
      <c r="AD73" s="18">
        <v>0</v>
      </c>
      <c r="AE73" s="18">
        <v>0</v>
      </c>
      <c r="AF73" s="18">
        <v>0</v>
      </c>
      <c r="AG73" s="18">
        <v>1</v>
      </c>
      <c r="AH73" s="18">
        <v>5</v>
      </c>
      <c r="AI73" s="18">
        <v>5</v>
      </c>
      <c r="AK73" s="4">
        <v>1</v>
      </c>
      <c r="AL73" s="4">
        <v>1</v>
      </c>
      <c r="AM73" s="4">
        <v>1</v>
      </c>
      <c r="AN73" s="4">
        <v>0</v>
      </c>
      <c r="AO73" s="4">
        <v>1</v>
      </c>
      <c r="AP73" s="4">
        <v>1</v>
      </c>
      <c r="AQ73" s="4">
        <v>1</v>
      </c>
    </row>
    <row r="74" spans="2:43">
      <c r="B74" s="164">
        <v>7</v>
      </c>
      <c r="C74" s="159">
        <v>0</v>
      </c>
      <c r="L74" s="15">
        <v>70</v>
      </c>
      <c r="M74" s="38" t="s">
        <v>32</v>
      </c>
      <c r="N74" s="38" t="s">
        <v>230</v>
      </c>
      <c r="O74" s="38" t="s">
        <v>35</v>
      </c>
      <c r="P74" s="38" t="s">
        <v>65</v>
      </c>
      <c r="Q74" s="38" t="s">
        <v>35</v>
      </c>
      <c r="R74" s="38" t="s">
        <v>25</v>
      </c>
      <c r="S74" s="24" t="s">
        <v>65</v>
      </c>
      <c r="U74" s="37">
        <f t="shared" si="6"/>
        <v>4</v>
      </c>
      <c r="V74" s="37">
        <f t="shared" si="6"/>
        <v>0</v>
      </c>
      <c r="W74" s="37">
        <f t="shared" si="6"/>
        <v>15</v>
      </c>
      <c r="X74" s="37">
        <f t="shared" si="5"/>
        <v>17</v>
      </c>
      <c r="Y74" s="37">
        <f t="shared" si="5"/>
        <v>15</v>
      </c>
      <c r="Z74" s="37">
        <f t="shared" si="5"/>
        <v>5</v>
      </c>
      <c r="AA74" s="37">
        <f t="shared" si="5"/>
        <v>17</v>
      </c>
      <c r="AC74" s="18">
        <v>5</v>
      </c>
      <c r="AD74" s="18">
        <v>5</v>
      </c>
      <c r="AE74" s="18">
        <v>5</v>
      </c>
      <c r="AF74" s="18">
        <v>5</v>
      </c>
      <c r="AG74" s="18">
        <v>5</v>
      </c>
      <c r="AH74" s="18">
        <v>5</v>
      </c>
      <c r="AI74" s="18">
        <v>5</v>
      </c>
      <c r="AK74" s="4">
        <v>1</v>
      </c>
      <c r="AL74" s="4">
        <v>1</v>
      </c>
      <c r="AM74" s="4">
        <v>1</v>
      </c>
      <c r="AN74" s="4">
        <v>2</v>
      </c>
      <c r="AO74" s="4">
        <v>1</v>
      </c>
      <c r="AP74" s="4">
        <v>1</v>
      </c>
      <c r="AQ74" s="4">
        <v>1</v>
      </c>
    </row>
    <row r="75" spans="2:43">
      <c r="L75" s="14">
        <v>71</v>
      </c>
      <c r="M75" s="38" t="s">
        <v>35</v>
      </c>
      <c r="N75" s="38" t="s">
        <v>38</v>
      </c>
      <c r="O75" s="38" t="s">
        <v>90</v>
      </c>
      <c r="P75" s="38" t="s">
        <v>33</v>
      </c>
      <c r="Q75" s="38" t="s">
        <v>39</v>
      </c>
      <c r="R75" s="38" t="s">
        <v>33</v>
      </c>
      <c r="S75" s="24" t="s">
        <v>65</v>
      </c>
      <c r="U75" s="37">
        <f t="shared" si="6"/>
        <v>15</v>
      </c>
      <c r="V75" s="37">
        <f t="shared" si="6"/>
        <v>15</v>
      </c>
      <c r="W75" s="37">
        <f t="shared" si="6"/>
        <v>6</v>
      </c>
      <c r="X75" s="37">
        <f t="shared" si="5"/>
        <v>11</v>
      </c>
      <c r="Y75" s="37">
        <f t="shared" si="5"/>
        <v>5</v>
      </c>
      <c r="Z75" s="37">
        <f t="shared" si="5"/>
        <v>11</v>
      </c>
      <c r="AA75" s="37">
        <f t="shared" si="5"/>
        <v>17</v>
      </c>
      <c r="AC75" s="18">
        <v>5</v>
      </c>
      <c r="AD75" s="18">
        <v>0</v>
      </c>
      <c r="AE75" s="18">
        <v>0</v>
      </c>
      <c r="AF75" s="18">
        <v>0</v>
      </c>
      <c r="AG75" s="18">
        <v>0</v>
      </c>
      <c r="AH75" s="18">
        <v>5</v>
      </c>
      <c r="AI75" s="18">
        <v>5</v>
      </c>
      <c r="AK75" s="4">
        <v>1</v>
      </c>
      <c r="AL75" s="4">
        <v>1</v>
      </c>
      <c r="AM75" s="4">
        <v>1</v>
      </c>
      <c r="AN75" s="4">
        <v>0</v>
      </c>
      <c r="AO75" s="4">
        <v>2</v>
      </c>
      <c r="AP75" s="4">
        <v>1</v>
      </c>
      <c r="AQ75" s="4">
        <v>1</v>
      </c>
    </row>
    <row r="76" spans="2:43">
      <c r="L76" s="15">
        <v>72</v>
      </c>
      <c r="M76" s="38" t="s">
        <v>39</v>
      </c>
      <c r="N76" s="38" t="s">
        <v>35</v>
      </c>
      <c r="O76" s="38" t="s">
        <v>90</v>
      </c>
      <c r="P76" s="38" t="s">
        <v>35</v>
      </c>
      <c r="Q76" s="38" t="s">
        <v>39</v>
      </c>
      <c r="R76" s="38" t="s">
        <v>34</v>
      </c>
      <c r="S76" s="24" t="s">
        <v>65</v>
      </c>
      <c r="U76" s="37">
        <f t="shared" si="6"/>
        <v>5</v>
      </c>
      <c r="V76" s="37">
        <f t="shared" si="6"/>
        <v>15</v>
      </c>
      <c r="W76" s="37">
        <f t="shared" si="6"/>
        <v>6</v>
      </c>
      <c r="X76" s="37">
        <f t="shared" si="5"/>
        <v>15</v>
      </c>
      <c r="Y76" s="37">
        <f t="shared" si="5"/>
        <v>5</v>
      </c>
      <c r="Z76" s="37">
        <f t="shared" si="5"/>
        <v>16</v>
      </c>
      <c r="AA76" s="37">
        <f t="shared" si="5"/>
        <v>17</v>
      </c>
      <c r="AC76" s="18">
        <v>5</v>
      </c>
      <c r="AD76" s="18">
        <v>0</v>
      </c>
      <c r="AE76" s="18">
        <v>0</v>
      </c>
      <c r="AF76" s="18">
        <v>0</v>
      </c>
      <c r="AG76" s="18">
        <v>0</v>
      </c>
      <c r="AH76" s="18">
        <v>5</v>
      </c>
      <c r="AI76" s="18">
        <v>5</v>
      </c>
      <c r="AK76" s="4">
        <v>1</v>
      </c>
      <c r="AL76" s="4">
        <v>2</v>
      </c>
      <c r="AM76" s="4">
        <v>2</v>
      </c>
      <c r="AN76" s="4">
        <v>1</v>
      </c>
      <c r="AO76" s="4">
        <v>0</v>
      </c>
      <c r="AP76" s="4">
        <v>1</v>
      </c>
      <c r="AQ76" s="4">
        <v>1</v>
      </c>
    </row>
    <row r="77" spans="2:43">
      <c r="L77" s="14">
        <v>73</v>
      </c>
      <c r="M77" s="38" t="s">
        <v>39</v>
      </c>
      <c r="N77" s="38" t="s">
        <v>90</v>
      </c>
      <c r="O77" s="38" t="s">
        <v>90</v>
      </c>
      <c r="P77" s="38" t="s">
        <v>32</v>
      </c>
      <c r="Q77" s="38" t="s">
        <v>236</v>
      </c>
      <c r="R77" s="38" t="s">
        <v>25</v>
      </c>
      <c r="S77" s="24" t="s">
        <v>37</v>
      </c>
      <c r="U77" s="37">
        <f t="shared" si="6"/>
        <v>5</v>
      </c>
      <c r="V77" s="37">
        <f t="shared" si="6"/>
        <v>6</v>
      </c>
      <c r="W77" s="37">
        <f t="shared" si="6"/>
        <v>6</v>
      </c>
      <c r="X77" s="37">
        <f t="shared" si="5"/>
        <v>4</v>
      </c>
      <c r="Y77" s="37">
        <f t="shared" si="5"/>
        <v>0</v>
      </c>
      <c r="Z77" s="37">
        <f t="shared" si="5"/>
        <v>5</v>
      </c>
      <c r="AA77" s="37">
        <f t="shared" si="5"/>
        <v>13</v>
      </c>
      <c r="AC77" s="18">
        <v>5</v>
      </c>
      <c r="AD77" s="18">
        <v>0</v>
      </c>
      <c r="AE77" s="18">
        <v>0</v>
      </c>
      <c r="AF77" s="18">
        <v>0</v>
      </c>
      <c r="AG77" s="18">
        <v>0</v>
      </c>
      <c r="AH77" s="18">
        <v>5</v>
      </c>
      <c r="AI77" s="18">
        <v>5</v>
      </c>
      <c r="AK77" s="4">
        <v>1</v>
      </c>
      <c r="AL77" s="4">
        <v>0</v>
      </c>
      <c r="AM77" s="4">
        <v>0</v>
      </c>
      <c r="AN77" s="4">
        <v>1</v>
      </c>
      <c r="AO77" s="4">
        <v>1</v>
      </c>
      <c r="AP77" s="4">
        <v>1</v>
      </c>
      <c r="AQ77" s="4">
        <v>1</v>
      </c>
    </row>
    <row r="78" spans="2:43">
      <c r="L78" s="15">
        <v>74</v>
      </c>
      <c r="M78" s="38" t="s">
        <v>65</v>
      </c>
      <c r="N78" s="38" t="s">
        <v>25</v>
      </c>
      <c r="O78" s="38" t="s">
        <v>39</v>
      </c>
      <c r="P78" s="38" t="s">
        <v>65</v>
      </c>
      <c r="Q78" s="38" t="s">
        <v>37</v>
      </c>
      <c r="R78" s="38" t="s">
        <v>25</v>
      </c>
      <c r="S78" s="24" t="s">
        <v>34</v>
      </c>
      <c r="U78" s="37">
        <f t="shared" si="6"/>
        <v>17</v>
      </c>
      <c r="V78" s="37">
        <f t="shared" si="6"/>
        <v>5</v>
      </c>
      <c r="W78" s="37">
        <f t="shared" si="6"/>
        <v>5</v>
      </c>
      <c r="X78" s="37">
        <f t="shared" si="5"/>
        <v>17</v>
      </c>
      <c r="Y78" s="37">
        <f t="shared" si="5"/>
        <v>13</v>
      </c>
      <c r="Z78" s="37">
        <f t="shared" si="5"/>
        <v>5</v>
      </c>
      <c r="AA78" s="37">
        <f t="shared" si="5"/>
        <v>16</v>
      </c>
      <c r="AC78" s="18">
        <v>5</v>
      </c>
      <c r="AD78" s="18">
        <v>0</v>
      </c>
      <c r="AE78" s="18">
        <v>0</v>
      </c>
      <c r="AF78" s="18">
        <v>0</v>
      </c>
      <c r="AG78" s="18">
        <v>1</v>
      </c>
      <c r="AH78" s="18">
        <v>5</v>
      </c>
      <c r="AI78" s="18">
        <v>5</v>
      </c>
      <c r="AJ78" s="150"/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</row>
    <row r="79" spans="2:43">
      <c r="L79" s="14">
        <v>75</v>
      </c>
      <c r="M79" s="38" t="s">
        <v>25</v>
      </c>
      <c r="N79" s="38" t="s">
        <v>40</v>
      </c>
      <c r="O79" s="38" t="s">
        <v>65</v>
      </c>
      <c r="P79" s="38" t="s">
        <v>90</v>
      </c>
      <c r="Q79" s="38" t="s">
        <v>37</v>
      </c>
      <c r="R79" s="38" t="s">
        <v>65</v>
      </c>
      <c r="S79" s="24" t="s">
        <v>38</v>
      </c>
      <c r="U79" s="37">
        <f t="shared" si="6"/>
        <v>5</v>
      </c>
      <c r="V79" s="37">
        <f t="shared" si="6"/>
        <v>12</v>
      </c>
      <c r="W79" s="37">
        <f t="shared" si="6"/>
        <v>17</v>
      </c>
      <c r="X79" s="37">
        <f t="shared" si="5"/>
        <v>6</v>
      </c>
      <c r="Y79" s="37">
        <f t="shared" si="5"/>
        <v>13</v>
      </c>
      <c r="Z79" s="37">
        <f t="shared" si="5"/>
        <v>17</v>
      </c>
      <c r="AA79" s="37">
        <f t="shared" si="5"/>
        <v>15</v>
      </c>
      <c r="AC79" s="18">
        <v>5</v>
      </c>
      <c r="AD79" s="18">
        <v>5</v>
      </c>
      <c r="AE79" s="18">
        <v>5</v>
      </c>
      <c r="AF79" s="18">
        <v>5</v>
      </c>
      <c r="AG79" s="18">
        <v>6</v>
      </c>
      <c r="AH79" s="18">
        <v>5</v>
      </c>
      <c r="AI79" s="18">
        <v>5</v>
      </c>
      <c r="AK79" s="4">
        <v>1</v>
      </c>
      <c r="AL79" s="4">
        <v>1</v>
      </c>
      <c r="AM79" s="4">
        <v>1</v>
      </c>
      <c r="AN79" s="4">
        <v>2</v>
      </c>
      <c r="AO79" s="4">
        <v>2</v>
      </c>
      <c r="AP79" s="4">
        <v>1</v>
      </c>
      <c r="AQ79" s="4">
        <v>1</v>
      </c>
    </row>
    <row r="80" spans="2:43">
      <c r="L80" s="15">
        <v>76</v>
      </c>
      <c r="M80" s="38" t="s">
        <v>90</v>
      </c>
      <c r="N80" s="38" t="s">
        <v>40</v>
      </c>
      <c r="O80" s="38" t="s">
        <v>34</v>
      </c>
      <c r="P80" s="38" t="s">
        <v>236</v>
      </c>
      <c r="Q80" s="38" t="s">
        <v>40</v>
      </c>
      <c r="R80" s="38" t="s">
        <v>38</v>
      </c>
      <c r="S80" s="38" t="s">
        <v>38</v>
      </c>
      <c r="U80" s="37">
        <f t="shared" si="6"/>
        <v>6</v>
      </c>
      <c r="V80" s="37">
        <f t="shared" si="6"/>
        <v>12</v>
      </c>
      <c r="W80" s="37">
        <f t="shared" si="6"/>
        <v>16</v>
      </c>
      <c r="X80" s="37">
        <f t="shared" si="5"/>
        <v>0</v>
      </c>
      <c r="Y80" s="37">
        <f t="shared" si="5"/>
        <v>12</v>
      </c>
      <c r="Z80" s="37">
        <f t="shared" si="5"/>
        <v>15</v>
      </c>
      <c r="AA80" s="37">
        <f t="shared" si="5"/>
        <v>15</v>
      </c>
      <c r="AC80" s="18">
        <v>5</v>
      </c>
      <c r="AD80" s="18">
        <v>0</v>
      </c>
      <c r="AE80" s="18">
        <v>0</v>
      </c>
      <c r="AF80" s="18">
        <v>0</v>
      </c>
      <c r="AG80" s="18">
        <v>0</v>
      </c>
      <c r="AH80" s="18">
        <v>5</v>
      </c>
      <c r="AI80" s="18">
        <v>5</v>
      </c>
      <c r="AK80" s="4">
        <v>1</v>
      </c>
      <c r="AL80" s="4">
        <v>2</v>
      </c>
      <c r="AM80" s="4">
        <v>1</v>
      </c>
      <c r="AN80" s="4">
        <v>0</v>
      </c>
      <c r="AO80" s="4">
        <v>0</v>
      </c>
      <c r="AP80" s="4">
        <v>1</v>
      </c>
      <c r="AQ80" s="4">
        <v>1</v>
      </c>
    </row>
    <row r="81" spans="12:43">
      <c r="L81" s="14">
        <v>77</v>
      </c>
      <c r="M81" s="38" t="s">
        <v>65</v>
      </c>
      <c r="N81" s="38" t="s">
        <v>232</v>
      </c>
      <c r="O81" s="38" t="s">
        <v>34</v>
      </c>
      <c r="P81" s="38" t="s">
        <v>37</v>
      </c>
      <c r="Q81" s="38" t="s">
        <v>40</v>
      </c>
      <c r="R81" s="38" t="s">
        <v>38</v>
      </c>
      <c r="S81" s="24" t="s">
        <v>35</v>
      </c>
      <c r="U81" s="37">
        <f t="shared" si="6"/>
        <v>17</v>
      </c>
      <c r="V81" s="37">
        <f t="shared" si="6"/>
        <v>0</v>
      </c>
      <c r="W81" s="37">
        <f t="shared" si="6"/>
        <v>16</v>
      </c>
      <c r="X81" s="37">
        <f t="shared" si="5"/>
        <v>13</v>
      </c>
      <c r="Y81" s="37">
        <f t="shared" si="5"/>
        <v>12</v>
      </c>
      <c r="Z81" s="37">
        <f t="shared" si="5"/>
        <v>15</v>
      </c>
      <c r="AA81" s="37">
        <f t="shared" si="5"/>
        <v>15</v>
      </c>
      <c r="AC81" s="18">
        <v>5</v>
      </c>
      <c r="AD81" s="18">
        <v>0</v>
      </c>
      <c r="AE81" s="18">
        <v>0</v>
      </c>
      <c r="AF81" s="18">
        <v>0</v>
      </c>
      <c r="AG81" s="18">
        <v>0</v>
      </c>
      <c r="AH81" s="18">
        <v>5</v>
      </c>
      <c r="AI81" s="18">
        <v>5</v>
      </c>
      <c r="AK81" s="4">
        <v>1</v>
      </c>
      <c r="AL81" s="4">
        <v>0</v>
      </c>
      <c r="AM81" s="4">
        <v>1</v>
      </c>
      <c r="AN81" s="4">
        <v>1</v>
      </c>
      <c r="AO81" s="4">
        <v>2</v>
      </c>
      <c r="AP81" s="4">
        <v>1</v>
      </c>
      <c r="AQ81" s="4">
        <v>1</v>
      </c>
    </row>
    <row r="82" spans="12:43">
      <c r="L82" s="15">
        <v>78</v>
      </c>
      <c r="M82" s="38" t="s">
        <v>35</v>
      </c>
      <c r="N82" s="38" t="s">
        <v>65</v>
      </c>
      <c r="O82" s="38" t="s">
        <v>37</v>
      </c>
      <c r="P82" s="38" t="s">
        <v>65</v>
      </c>
      <c r="Q82" s="38" t="s">
        <v>35</v>
      </c>
      <c r="R82" s="38" t="s">
        <v>25</v>
      </c>
      <c r="S82" s="24" t="s">
        <v>38</v>
      </c>
      <c r="U82" s="37">
        <f t="shared" si="6"/>
        <v>15</v>
      </c>
      <c r="V82" s="37">
        <f t="shared" si="6"/>
        <v>17</v>
      </c>
      <c r="W82" s="37">
        <f t="shared" si="6"/>
        <v>13</v>
      </c>
      <c r="X82" s="37">
        <f t="shared" si="5"/>
        <v>17</v>
      </c>
      <c r="Y82" s="37">
        <f t="shared" si="5"/>
        <v>15</v>
      </c>
      <c r="Z82" s="37">
        <f t="shared" si="5"/>
        <v>5</v>
      </c>
      <c r="AA82" s="37">
        <f t="shared" si="5"/>
        <v>15</v>
      </c>
      <c r="AC82" s="18">
        <v>5</v>
      </c>
      <c r="AD82" s="18">
        <v>0</v>
      </c>
      <c r="AE82" s="18">
        <v>0</v>
      </c>
      <c r="AF82" s="18">
        <v>0</v>
      </c>
      <c r="AG82" s="18">
        <v>0</v>
      </c>
      <c r="AH82" s="18">
        <v>5</v>
      </c>
      <c r="AI82" s="18">
        <v>5</v>
      </c>
      <c r="AK82" s="4">
        <v>1</v>
      </c>
      <c r="AL82" s="4">
        <v>1</v>
      </c>
      <c r="AM82" s="4">
        <v>1</v>
      </c>
      <c r="AN82" s="4">
        <v>2</v>
      </c>
      <c r="AO82" s="4">
        <v>0</v>
      </c>
      <c r="AP82" s="4">
        <v>1</v>
      </c>
      <c r="AQ82" s="4">
        <v>1</v>
      </c>
    </row>
    <row r="83" spans="12:43">
      <c r="L83" s="14">
        <v>79</v>
      </c>
      <c r="M83" s="38" t="s">
        <v>37</v>
      </c>
      <c r="N83" s="38" t="s">
        <v>65</v>
      </c>
      <c r="O83" s="38" t="s">
        <v>38</v>
      </c>
      <c r="P83" s="38" t="s">
        <v>238</v>
      </c>
      <c r="Q83" s="38" t="s">
        <v>228</v>
      </c>
      <c r="R83" s="38" t="s">
        <v>25</v>
      </c>
      <c r="S83" s="24" t="s">
        <v>38</v>
      </c>
      <c r="U83" s="37">
        <f t="shared" si="6"/>
        <v>13</v>
      </c>
      <c r="V83" s="37">
        <f t="shared" si="6"/>
        <v>17</v>
      </c>
      <c r="W83" s="37">
        <f t="shared" si="6"/>
        <v>15</v>
      </c>
      <c r="X83" s="37">
        <f t="shared" si="5"/>
        <v>0</v>
      </c>
      <c r="Y83" s="37">
        <f t="shared" si="5"/>
        <v>0</v>
      </c>
      <c r="Z83" s="37">
        <f t="shared" si="5"/>
        <v>5</v>
      </c>
      <c r="AA83" s="37">
        <f t="shared" si="5"/>
        <v>15</v>
      </c>
      <c r="AC83" s="18">
        <v>5</v>
      </c>
      <c r="AD83" s="18">
        <v>0</v>
      </c>
      <c r="AE83" s="18">
        <v>0</v>
      </c>
      <c r="AF83" s="18">
        <v>0</v>
      </c>
      <c r="AG83" s="18">
        <v>0</v>
      </c>
      <c r="AH83" s="18">
        <v>5</v>
      </c>
      <c r="AI83" s="18">
        <v>5</v>
      </c>
      <c r="AK83" s="4">
        <v>1</v>
      </c>
      <c r="AL83" s="4">
        <v>1</v>
      </c>
      <c r="AM83" s="4">
        <v>1</v>
      </c>
      <c r="AN83" s="4">
        <v>0</v>
      </c>
      <c r="AO83" s="4">
        <v>1</v>
      </c>
      <c r="AP83" s="4">
        <v>1</v>
      </c>
      <c r="AQ83" s="4">
        <v>1</v>
      </c>
    </row>
    <row r="84" spans="12:43">
      <c r="L84" s="15">
        <v>80</v>
      </c>
      <c r="M84" s="38" t="s">
        <v>37</v>
      </c>
      <c r="N84" s="38" t="s">
        <v>230</v>
      </c>
      <c r="O84" s="38" t="s">
        <v>236</v>
      </c>
      <c r="P84" s="38" t="s">
        <v>38</v>
      </c>
      <c r="Q84" s="38" t="s">
        <v>37</v>
      </c>
      <c r="R84" s="38" t="s">
        <v>37</v>
      </c>
      <c r="S84" s="24" t="s">
        <v>38</v>
      </c>
      <c r="U84" s="37">
        <f t="shared" si="6"/>
        <v>13</v>
      </c>
      <c r="V84" s="37">
        <f t="shared" si="6"/>
        <v>0</v>
      </c>
      <c r="W84" s="37">
        <f t="shared" si="6"/>
        <v>0</v>
      </c>
      <c r="X84" s="37">
        <f t="shared" si="5"/>
        <v>15</v>
      </c>
      <c r="Y84" s="37">
        <f t="shared" si="5"/>
        <v>13</v>
      </c>
      <c r="Z84" s="37">
        <f t="shared" si="5"/>
        <v>13</v>
      </c>
      <c r="AA84" s="37">
        <f t="shared" si="5"/>
        <v>15</v>
      </c>
      <c r="AC84" s="18">
        <v>5</v>
      </c>
      <c r="AD84" s="18">
        <v>5</v>
      </c>
      <c r="AE84" s="18">
        <v>5</v>
      </c>
      <c r="AF84" s="18">
        <v>5</v>
      </c>
      <c r="AG84" s="18">
        <v>6</v>
      </c>
      <c r="AH84" s="18">
        <v>5</v>
      </c>
      <c r="AI84" s="18">
        <v>5</v>
      </c>
      <c r="AK84" s="4">
        <v>1</v>
      </c>
      <c r="AL84" s="4">
        <v>3</v>
      </c>
      <c r="AM84" s="4">
        <v>1</v>
      </c>
      <c r="AN84" s="4">
        <v>1</v>
      </c>
      <c r="AO84" s="4">
        <v>3</v>
      </c>
      <c r="AP84" s="4">
        <v>1</v>
      </c>
      <c r="AQ84" s="4">
        <v>1</v>
      </c>
    </row>
    <row r="85" spans="12:43">
      <c r="L85" s="14">
        <v>81</v>
      </c>
      <c r="M85" s="38" t="s">
        <v>40</v>
      </c>
      <c r="N85" s="38" t="s">
        <v>25</v>
      </c>
      <c r="O85" s="38" t="s">
        <v>39</v>
      </c>
      <c r="P85" s="38" t="s">
        <v>38</v>
      </c>
      <c r="Q85" s="38" t="s">
        <v>37</v>
      </c>
      <c r="R85" s="38" t="s">
        <v>33</v>
      </c>
      <c r="S85" s="24" t="s">
        <v>33</v>
      </c>
      <c r="U85" s="37">
        <f t="shared" si="6"/>
        <v>12</v>
      </c>
      <c r="V85" s="37">
        <f t="shared" si="6"/>
        <v>5</v>
      </c>
      <c r="W85" s="37">
        <f t="shared" si="6"/>
        <v>5</v>
      </c>
      <c r="X85" s="37">
        <f t="shared" si="5"/>
        <v>15</v>
      </c>
      <c r="Y85" s="37">
        <f t="shared" si="5"/>
        <v>13</v>
      </c>
      <c r="Z85" s="37">
        <f t="shared" si="5"/>
        <v>11</v>
      </c>
      <c r="AA85" s="37">
        <f t="shared" si="5"/>
        <v>11</v>
      </c>
      <c r="AC85" s="18">
        <v>5</v>
      </c>
      <c r="AD85" s="18">
        <v>0</v>
      </c>
      <c r="AE85" s="18">
        <v>0</v>
      </c>
      <c r="AF85" s="18">
        <v>0</v>
      </c>
      <c r="AG85" s="18">
        <v>0</v>
      </c>
      <c r="AH85" s="18">
        <v>5</v>
      </c>
      <c r="AI85" s="18">
        <v>5</v>
      </c>
      <c r="AK85" s="4">
        <v>1</v>
      </c>
      <c r="AL85" s="4">
        <v>0</v>
      </c>
      <c r="AM85" s="4">
        <v>3</v>
      </c>
      <c r="AN85" s="4">
        <v>3</v>
      </c>
      <c r="AO85" s="4">
        <v>0</v>
      </c>
      <c r="AP85" s="4">
        <v>1</v>
      </c>
      <c r="AQ85" s="4">
        <v>1</v>
      </c>
    </row>
    <row r="86" spans="12:43">
      <c r="L86" s="15">
        <v>82</v>
      </c>
      <c r="M86" s="38" t="s">
        <v>40</v>
      </c>
      <c r="N86" s="38" t="s">
        <v>37</v>
      </c>
      <c r="O86" s="38" t="s">
        <v>32</v>
      </c>
      <c r="P86" s="38" t="s">
        <v>25</v>
      </c>
      <c r="Q86" s="38" t="s">
        <v>25</v>
      </c>
      <c r="R86" s="38" t="s">
        <v>33</v>
      </c>
      <c r="S86" s="24" t="s">
        <v>35</v>
      </c>
      <c r="U86" s="37">
        <f t="shared" si="6"/>
        <v>12</v>
      </c>
      <c r="V86" s="37">
        <f t="shared" si="6"/>
        <v>13</v>
      </c>
      <c r="W86" s="37">
        <f t="shared" si="6"/>
        <v>4</v>
      </c>
      <c r="X86" s="37">
        <f t="shared" si="5"/>
        <v>5</v>
      </c>
      <c r="Y86" s="37">
        <f t="shared" si="5"/>
        <v>5</v>
      </c>
      <c r="Z86" s="37">
        <f t="shared" si="5"/>
        <v>11</v>
      </c>
      <c r="AA86" s="37">
        <f t="shared" si="5"/>
        <v>15</v>
      </c>
      <c r="AC86" s="18">
        <v>5</v>
      </c>
      <c r="AD86" s="18">
        <v>0</v>
      </c>
      <c r="AE86" s="18">
        <v>0</v>
      </c>
      <c r="AF86" s="18">
        <v>0</v>
      </c>
      <c r="AG86" s="18">
        <v>0</v>
      </c>
      <c r="AH86" s="18">
        <v>5</v>
      </c>
      <c r="AI86" s="18">
        <v>5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1</v>
      </c>
    </row>
    <row r="87" spans="12:43">
      <c r="L87" s="14">
        <v>83</v>
      </c>
      <c r="M87" s="38" t="s">
        <v>37</v>
      </c>
      <c r="N87" s="38" t="s">
        <v>35</v>
      </c>
      <c r="O87" s="38" t="s">
        <v>32</v>
      </c>
      <c r="P87" s="38" t="s">
        <v>38</v>
      </c>
      <c r="Q87" s="38" t="s">
        <v>90</v>
      </c>
      <c r="R87" s="38" t="s">
        <v>65</v>
      </c>
      <c r="S87" s="24" t="s">
        <v>33</v>
      </c>
      <c r="U87" s="37">
        <f t="shared" si="6"/>
        <v>13</v>
      </c>
      <c r="V87" s="37">
        <f t="shared" si="6"/>
        <v>15</v>
      </c>
      <c r="W87" s="37">
        <f t="shared" si="6"/>
        <v>4</v>
      </c>
      <c r="X87" s="37">
        <f t="shared" si="5"/>
        <v>15</v>
      </c>
      <c r="Y87" s="37">
        <f t="shared" si="5"/>
        <v>6</v>
      </c>
      <c r="Z87" s="37">
        <f t="shared" si="5"/>
        <v>17</v>
      </c>
      <c r="AA87" s="37">
        <f t="shared" si="5"/>
        <v>11</v>
      </c>
      <c r="AC87" s="18">
        <v>5</v>
      </c>
      <c r="AD87" s="18">
        <v>0</v>
      </c>
      <c r="AE87" s="18">
        <v>0</v>
      </c>
      <c r="AF87" s="18">
        <v>0</v>
      </c>
      <c r="AG87" s="18">
        <v>0</v>
      </c>
      <c r="AH87" s="18">
        <v>5</v>
      </c>
      <c r="AI87" s="18">
        <v>5</v>
      </c>
      <c r="AK87" s="4">
        <v>1</v>
      </c>
      <c r="AL87" s="4">
        <v>2</v>
      </c>
      <c r="AM87" s="4">
        <v>0</v>
      </c>
      <c r="AN87" s="4">
        <v>0</v>
      </c>
      <c r="AO87" s="4">
        <v>2</v>
      </c>
      <c r="AP87" s="4">
        <v>1</v>
      </c>
      <c r="AQ87" s="4">
        <v>1</v>
      </c>
    </row>
    <row r="88" spans="12:43">
      <c r="L88" s="15">
        <v>84</v>
      </c>
      <c r="M88" s="38" t="s">
        <v>37</v>
      </c>
      <c r="N88" s="38" t="s">
        <v>234</v>
      </c>
      <c r="O88" s="38" t="s">
        <v>65</v>
      </c>
      <c r="P88" s="38" t="s">
        <v>38</v>
      </c>
      <c r="Q88" s="38" t="s">
        <v>90</v>
      </c>
      <c r="R88" s="38" t="s">
        <v>25</v>
      </c>
      <c r="S88" s="24" t="s">
        <v>90</v>
      </c>
      <c r="U88" s="37">
        <f t="shared" si="6"/>
        <v>13</v>
      </c>
      <c r="V88" s="37">
        <f t="shared" si="6"/>
        <v>0</v>
      </c>
      <c r="W88" s="37">
        <f t="shared" si="6"/>
        <v>17</v>
      </c>
      <c r="X88" s="37">
        <f t="shared" si="5"/>
        <v>15</v>
      </c>
      <c r="Y88" s="37">
        <f t="shared" si="5"/>
        <v>6</v>
      </c>
      <c r="Z88" s="37">
        <f t="shared" si="5"/>
        <v>5</v>
      </c>
      <c r="AA88" s="37">
        <f t="shared" si="5"/>
        <v>6</v>
      </c>
      <c r="AC88" s="18">
        <v>5</v>
      </c>
      <c r="AD88" s="18">
        <v>0</v>
      </c>
      <c r="AE88" s="18">
        <v>0</v>
      </c>
      <c r="AF88" s="18">
        <v>0</v>
      </c>
      <c r="AG88" s="18">
        <v>0</v>
      </c>
      <c r="AH88" s="18">
        <v>5</v>
      </c>
      <c r="AI88" s="18">
        <v>5</v>
      </c>
      <c r="AK88" s="4">
        <v>1</v>
      </c>
      <c r="AL88" s="4">
        <v>0</v>
      </c>
      <c r="AM88" s="4">
        <v>1</v>
      </c>
      <c r="AN88" s="4">
        <v>1</v>
      </c>
      <c r="AO88" s="4">
        <v>0</v>
      </c>
      <c r="AP88" s="4">
        <v>1</v>
      </c>
      <c r="AQ88" s="4">
        <v>1</v>
      </c>
    </row>
    <row r="89" spans="12:43">
      <c r="L89" s="14">
        <v>85</v>
      </c>
      <c r="M89" s="38" t="s">
        <v>35</v>
      </c>
      <c r="N89" s="38" t="s">
        <v>25</v>
      </c>
      <c r="O89" s="38" t="s">
        <v>37</v>
      </c>
      <c r="P89" s="38" t="s">
        <v>234</v>
      </c>
      <c r="Q89" s="38" t="s">
        <v>39</v>
      </c>
      <c r="R89" s="38" t="s">
        <v>25</v>
      </c>
      <c r="S89" s="24" t="s">
        <v>90</v>
      </c>
      <c r="U89" s="37">
        <f t="shared" si="6"/>
        <v>15</v>
      </c>
      <c r="V89" s="37">
        <f t="shared" si="6"/>
        <v>5</v>
      </c>
      <c r="W89" s="37">
        <f t="shared" si="6"/>
        <v>13</v>
      </c>
      <c r="X89" s="37">
        <f t="shared" si="5"/>
        <v>0</v>
      </c>
      <c r="Y89" s="37">
        <f t="shared" si="5"/>
        <v>5</v>
      </c>
      <c r="Z89" s="37">
        <f t="shared" si="5"/>
        <v>5</v>
      </c>
      <c r="AA89" s="37">
        <f t="shared" si="5"/>
        <v>6</v>
      </c>
      <c r="AC89" s="18">
        <v>5</v>
      </c>
      <c r="AD89" s="18">
        <v>5</v>
      </c>
      <c r="AE89" s="18">
        <v>5</v>
      </c>
      <c r="AF89" s="18">
        <v>5</v>
      </c>
      <c r="AG89" s="18">
        <v>4</v>
      </c>
      <c r="AH89" s="18">
        <v>5</v>
      </c>
      <c r="AI89" s="18">
        <v>5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</row>
    <row r="90" spans="12:43">
      <c r="L90" s="15">
        <v>86</v>
      </c>
      <c r="M90" s="38" t="s">
        <v>25</v>
      </c>
      <c r="N90" s="38" t="s">
        <v>25</v>
      </c>
      <c r="O90" s="38" t="s">
        <v>40</v>
      </c>
      <c r="P90" s="38" t="s">
        <v>25</v>
      </c>
      <c r="Q90" s="38" t="s">
        <v>39</v>
      </c>
      <c r="R90" s="38" t="s">
        <v>25</v>
      </c>
      <c r="S90" s="24" t="s">
        <v>65</v>
      </c>
      <c r="U90" s="37">
        <f t="shared" si="6"/>
        <v>5</v>
      </c>
      <c r="V90" s="37">
        <f t="shared" si="6"/>
        <v>5</v>
      </c>
      <c r="W90" s="37">
        <f t="shared" si="6"/>
        <v>12</v>
      </c>
      <c r="X90" s="37">
        <f t="shared" si="5"/>
        <v>5</v>
      </c>
      <c r="Y90" s="37">
        <f t="shared" si="5"/>
        <v>5</v>
      </c>
      <c r="Z90" s="37">
        <f t="shared" si="5"/>
        <v>5</v>
      </c>
      <c r="AA90" s="37">
        <f t="shared" si="5"/>
        <v>17</v>
      </c>
      <c r="AC90" s="18">
        <v>5</v>
      </c>
      <c r="AD90" s="18">
        <v>0</v>
      </c>
      <c r="AE90" s="18">
        <v>0</v>
      </c>
      <c r="AF90" s="18">
        <v>0</v>
      </c>
      <c r="AG90" s="18">
        <v>1</v>
      </c>
      <c r="AH90" s="18">
        <v>5</v>
      </c>
      <c r="AI90" s="18">
        <v>5</v>
      </c>
      <c r="AK90" s="4">
        <v>1</v>
      </c>
      <c r="AL90" s="4">
        <v>1</v>
      </c>
      <c r="AM90" s="4">
        <v>1</v>
      </c>
      <c r="AN90" s="4">
        <v>1</v>
      </c>
      <c r="AO90" s="4">
        <v>3</v>
      </c>
      <c r="AP90" s="4">
        <v>1</v>
      </c>
      <c r="AQ90" s="4">
        <v>1</v>
      </c>
    </row>
    <row r="91" spans="12:43">
      <c r="L91" s="14">
        <v>87</v>
      </c>
      <c r="M91" s="38" t="s">
        <v>25</v>
      </c>
      <c r="N91" s="38" t="s">
        <v>65</v>
      </c>
      <c r="O91" s="38" t="s">
        <v>39</v>
      </c>
      <c r="P91" s="38" t="s">
        <v>25</v>
      </c>
      <c r="Q91" s="38" t="s">
        <v>35</v>
      </c>
      <c r="R91" s="38" t="s">
        <v>40</v>
      </c>
      <c r="S91" s="24" t="s">
        <v>37</v>
      </c>
      <c r="U91" s="37">
        <f t="shared" si="6"/>
        <v>5</v>
      </c>
      <c r="V91" s="37">
        <f t="shared" si="6"/>
        <v>17</v>
      </c>
      <c r="W91" s="37">
        <f t="shared" si="6"/>
        <v>5</v>
      </c>
      <c r="X91" s="37">
        <f t="shared" si="5"/>
        <v>5</v>
      </c>
      <c r="Y91" s="37">
        <f t="shared" si="5"/>
        <v>15</v>
      </c>
      <c r="Z91" s="37">
        <f t="shared" si="5"/>
        <v>12</v>
      </c>
      <c r="AA91" s="37">
        <f t="shared" si="5"/>
        <v>13</v>
      </c>
      <c r="AC91" s="18">
        <v>5</v>
      </c>
      <c r="AD91" s="18">
        <v>0</v>
      </c>
      <c r="AE91" s="18">
        <v>0</v>
      </c>
      <c r="AF91" s="18">
        <v>0</v>
      </c>
      <c r="AG91" s="18">
        <v>0</v>
      </c>
      <c r="AH91" s="18">
        <v>5</v>
      </c>
      <c r="AI91" s="18">
        <v>5</v>
      </c>
      <c r="AK91" s="4">
        <v>1</v>
      </c>
      <c r="AL91" s="4">
        <v>2</v>
      </c>
      <c r="AM91" s="4">
        <v>1</v>
      </c>
      <c r="AN91" s="4">
        <v>1</v>
      </c>
      <c r="AO91" s="4">
        <v>0</v>
      </c>
      <c r="AP91" s="4">
        <v>1</v>
      </c>
      <c r="AQ91" s="4">
        <v>1</v>
      </c>
    </row>
    <row r="92" spans="12:43">
      <c r="L92" s="15">
        <v>88</v>
      </c>
      <c r="M92" s="38" t="s">
        <v>35</v>
      </c>
      <c r="N92" s="38" t="s">
        <v>65</v>
      </c>
      <c r="O92" s="38" t="s">
        <v>25</v>
      </c>
      <c r="P92" s="38" t="s">
        <v>38</v>
      </c>
      <c r="Q92" s="38" t="s">
        <v>90</v>
      </c>
      <c r="R92" s="38" t="s">
        <v>25</v>
      </c>
      <c r="S92" s="24" t="s">
        <v>34</v>
      </c>
      <c r="U92" s="37">
        <f t="shared" si="6"/>
        <v>15</v>
      </c>
      <c r="V92" s="37">
        <f t="shared" si="6"/>
        <v>17</v>
      </c>
      <c r="W92" s="37">
        <f t="shared" si="6"/>
        <v>5</v>
      </c>
      <c r="X92" s="37">
        <f t="shared" si="5"/>
        <v>15</v>
      </c>
      <c r="Y92" s="37">
        <f t="shared" si="5"/>
        <v>6</v>
      </c>
      <c r="Z92" s="37">
        <f t="shared" si="5"/>
        <v>5</v>
      </c>
      <c r="AA92" s="37">
        <f t="shared" si="5"/>
        <v>16</v>
      </c>
      <c r="AC92" s="18">
        <v>5</v>
      </c>
      <c r="AD92" s="18">
        <v>0</v>
      </c>
      <c r="AE92" s="18">
        <v>0</v>
      </c>
      <c r="AF92" s="18">
        <v>0</v>
      </c>
      <c r="AG92" s="18">
        <v>0</v>
      </c>
      <c r="AH92" s="18">
        <v>5</v>
      </c>
      <c r="AI92" s="18">
        <v>5</v>
      </c>
      <c r="AK92" s="4">
        <v>1</v>
      </c>
      <c r="AL92" s="4">
        <v>0</v>
      </c>
      <c r="AM92" s="4">
        <v>1</v>
      </c>
      <c r="AN92" s="4">
        <v>2</v>
      </c>
      <c r="AO92" s="4">
        <v>0</v>
      </c>
      <c r="AP92" s="4">
        <v>1</v>
      </c>
      <c r="AQ92" s="4">
        <v>1</v>
      </c>
    </row>
    <row r="93" spans="12:43">
      <c r="L93" s="14">
        <v>89</v>
      </c>
      <c r="M93" s="38" t="s">
        <v>35</v>
      </c>
      <c r="N93" s="38" t="s">
        <v>90</v>
      </c>
      <c r="O93" s="38" t="s">
        <v>25</v>
      </c>
      <c r="P93" s="38" t="s">
        <v>38</v>
      </c>
      <c r="Q93" s="38" t="s">
        <v>39</v>
      </c>
      <c r="R93" s="38" t="s">
        <v>25</v>
      </c>
      <c r="S93" s="24" t="s">
        <v>34</v>
      </c>
      <c r="U93" s="37">
        <f t="shared" si="6"/>
        <v>15</v>
      </c>
      <c r="V93" s="37">
        <f t="shared" si="6"/>
        <v>6</v>
      </c>
      <c r="W93" s="37">
        <f t="shared" si="6"/>
        <v>5</v>
      </c>
      <c r="X93" s="37">
        <f t="shared" si="5"/>
        <v>15</v>
      </c>
      <c r="Y93" s="37">
        <f t="shared" si="5"/>
        <v>5</v>
      </c>
      <c r="Z93" s="37">
        <f t="shared" si="5"/>
        <v>5</v>
      </c>
      <c r="AA93" s="37">
        <f t="shared" si="5"/>
        <v>16</v>
      </c>
      <c r="AC93" s="18">
        <v>5</v>
      </c>
      <c r="AD93" s="18">
        <v>0</v>
      </c>
      <c r="AE93" s="18">
        <v>0</v>
      </c>
      <c r="AF93" s="18">
        <v>0</v>
      </c>
      <c r="AG93" s="18">
        <v>1</v>
      </c>
      <c r="AH93" s="18">
        <v>5</v>
      </c>
      <c r="AI93" s="18">
        <v>5</v>
      </c>
      <c r="AK93" s="4">
        <v>1</v>
      </c>
      <c r="AL93" s="4">
        <v>1</v>
      </c>
      <c r="AM93" s="4">
        <v>1</v>
      </c>
      <c r="AN93" s="4">
        <v>0</v>
      </c>
      <c r="AO93" s="4">
        <v>1</v>
      </c>
      <c r="AP93" s="4">
        <v>1</v>
      </c>
      <c r="AQ93" s="4">
        <v>1</v>
      </c>
    </row>
    <row r="94" spans="12:43">
      <c r="L94" s="15">
        <v>90</v>
      </c>
      <c r="M94" s="38" t="s">
        <v>25</v>
      </c>
      <c r="N94" s="38" t="s">
        <v>37</v>
      </c>
      <c r="O94" s="38" t="s">
        <v>35</v>
      </c>
      <c r="P94" s="38" t="s">
        <v>40</v>
      </c>
      <c r="Q94" s="38" t="s">
        <v>39</v>
      </c>
      <c r="R94" s="38" t="s">
        <v>25</v>
      </c>
      <c r="S94" s="24" t="s">
        <v>65</v>
      </c>
      <c r="U94" s="37">
        <f t="shared" si="6"/>
        <v>5</v>
      </c>
      <c r="V94" s="37">
        <f t="shared" si="6"/>
        <v>13</v>
      </c>
      <c r="W94" s="37">
        <f t="shared" si="6"/>
        <v>15</v>
      </c>
      <c r="X94" s="37">
        <f t="shared" si="5"/>
        <v>12</v>
      </c>
      <c r="Y94" s="37">
        <f t="shared" si="5"/>
        <v>5</v>
      </c>
      <c r="Z94" s="37">
        <f t="shared" si="5"/>
        <v>5</v>
      </c>
      <c r="AA94" s="37">
        <f t="shared" si="5"/>
        <v>17</v>
      </c>
      <c r="AC94" s="18">
        <v>5</v>
      </c>
      <c r="AD94" s="18">
        <v>5</v>
      </c>
      <c r="AE94" s="18">
        <v>5</v>
      </c>
      <c r="AF94" s="18">
        <v>5</v>
      </c>
      <c r="AG94" s="18">
        <v>5</v>
      </c>
      <c r="AH94" s="18">
        <v>5</v>
      </c>
      <c r="AI94" s="18">
        <v>5</v>
      </c>
      <c r="AK94" s="4">
        <v>1</v>
      </c>
      <c r="AL94" s="4">
        <v>1</v>
      </c>
      <c r="AM94" s="4">
        <v>1</v>
      </c>
      <c r="AN94" s="4">
        <v>2</v>
      </c>
      <c r="AO94" s="4">
        <v>1</v>
      </c>
      <c r="AP94" s="4">
        <v>1</v>
      </c>
      <c r="AQ94" s="4">
        <v>1</v>
      </c>
    </row>
    <row r="95" spans="12:43">
      <c r="L95" s="14">
        <v>91</v>
      </c>
      <c r="M95" s="38" t="s">
        <v>35</v>
      </c>
      <c r="N95" s="38" t="s">
        <v>65</v>
      </c>
      <c r="O95" s="38" t="s">
        <v>35</v>
      </c>
      <c r="P95" s="38" t="s">
        <v>33</v>
      </c>
      <c r="Q95" s="38" t="s">
        <v>240</v>
      </c>
      <c r="R95" s="38" t="s">
        <v>39</v>
      </c>
      <c r="S95" s="24" t="s">
        <v>90</v>
      </c>
      <c r="U95" s="37">
        <f t="shared" si="6"/>
        <v>15</v>
      </c>
      <c r="V95" s="37">
        <f t="shared" si="6"/>
        <v>17</v>
      </c>
      <c r="W95" s="37">
        <f t="shared" si="6"/>
        <v>15</v>
      </c>
      <c r="X95" s="37">
        <f t="shared" si="5"/>
        <v>11</v>
      </c>
      <c r="Y95" s="37">
        <f t="shared" si="5"/>
        <v>0</v>
      </c>
      <c r="Z95" s="37">
        <f t="shared" si="5"/>
        <v>5</v>
      </c>
      <c r="AA95" s="37">
        <f t="shared" si="5"/>
        <v>6</v>
      </c>
      <c r="AC95" s="18">
        <v>5</v>
      </c>
      <c r="AD95" s="18">
        <v>0</v>
      </c>
      <c r="AE95" s="18">
        <v>0</v>
      </c>
      <c r="AF95" s="18">
        <v>0</v>
      </c>
      <c r="AG95" s="18">
        <v>0</v>
      </c>
      <c r="AH95" s="18">
        <v>5</v>
      </c>
      <c r="AI95" s="18">
        <v>5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1</v>
      </c>
      <c r="AQ95" s="4">
        <v>1</v>
      </c>
    </row>
    <row r="96" spans="12:43">
      <c r="L96" s="15">
        <v>92</v>
      </c>
      <c r="M96" s="38" t="s">
        <v>39</v>
      </c>
      <c r="N96" s="38" t="s">
        <v>38</v>
      </c>
      <c r="O96" s="38" t="s">
        <v>37</v>
      </c>
      <c r="P96" s="38" t="s">
        <v>33</v>
      </c>
      <c r="Q96" s="38" t="s">
        <v>40</v>
      </c>
      <c r="R96" s="38" t="s">
        <v>39</v>
      </c>
      <c r="S96" s="24" t="s">
        <v>90</v>
      </c>
      <c r="U96" s="37">
        <f t="shared" si="6"/>
        <v>5</v>
      </c>
      <c r="V96" s="37">
        <f t="shared" si="6"/>
        <v>15</v>
      </c>
      <c r="W96" s="37">
        <f t="shared" si="6"/>
        <v>13</v>
      </c>
      <c r="X96" s="37">
        <f t="shared" si="5"/>
        <v>11</v>
      </c>
      <c r="Y96" s="37">
        <f t="shared" si="5"/>
        <v>12</v>
      </c>
      <c r="Z96" s="37">
        <f t="shared" si="5"/>
        <v>5</v>
      </c>
      <c r="AA96" s="37">
        <f t="shared" si="5"/>
        <v>6</v>
      </c>
      <c r="AC96" s="18">
        <v>5</v>
      </c>
      <c r="AD96" s="18">
        <v>0</v>
      </c>
      <c r="AE96" s="18">
        <v>0</v>
      </c>
      <c r="AF96" s="18">
        <v>0</v>
      </c>
      <c r="AG96" s="18">
        <v>0</v>
      </c>
      <c r="AH96" s="18">
        <v>5</v>
      </c>
      <c r="AI96" s="18">
        <v>5</v>
      </c>
      <c r="AK96" s="4">
        <v>1</v>
      </c>
      <c r="AL96" s="4">
        <v>2</v>
      </c>
      <c r="AM96" s="4">
        <v>2</v>
      </c>
      <c r="AN96" s="4">
        <v>1</v>
      </c>
      <c r="AO96" s="4">
        <v>0</v>
      </c>
      <c r="AP96" s="4">
        <v>1</v>
      </c>
      <c r="AQ96" s="4">
        <v>1</v>
      </c>
    </row>
    <row r="97" spans="12:43">
      <c r="L97" s="14">
        <v>93</v>
      </c>
      <c r="M97" s="38" t="s">
        <v>40</v>
      </c>
      <c r="N97" s="38" t="s">
        <v>38</v>
      </c>
      <c r="O97" s="38" t="s">
        <v>35</v>
      </c>
      <c r="P97" s="38" t="s">
        <v>33</v>
      </c>
      <c r="Q97" s="38" t="s">
        <v>39</v>
      </c>
      <c r="R97" s="38" t="s">
        <v>32</v>
      </c>
      <c r="S97" s="24" t="s">
        <v>37</v>
      </c>
      <c r="U97" s="37">
        <f t="shared" si="6"/>
        <v>12</v>
      </c>
      <c r="V97" s="37">
        <f t="shared" si="6"/>
        <v>15</v>
      </c>
      <c r="W97" s="37">
        <f t="shared" si="6"/>
        <v>15</v>
      </c>
      <c r="X97" s="37">
        <f t="shared" si="5"/>
        <v>11</v>
      </c>
      <c r="Y97" s="37">
        <f t="shared" si="5"/>
        <v>5</v>
      </c>
      <c r="Z97" s="37">
        <f t="shared" si="5"/>
        <v>4</v>
      </c>
      <c r="AA97" s="37">
        <f t="shared" si="5"/>
        <v>13</v>
      </c>
      <c r="AC97" s="18">
        <v>5</v>
      </c>
      <c r="AD97" s="18">
        <v>0</v>
      </c>
      <c r="AE97" s="18">
        <v>0</v>
      </c>
      <c r="AF97" s="18">
        <v>0</v>
      </c>
      <c r="AG97" s="18">
        <v>0</v>
      </c>
      <c r="AH97" s="18">
        <v>5</v>
      </c>
      <c r="AI97" s="18">
        <v>5</v>
      </c>
      <c r="AK97" s="4">
        <v>1</v>
      </c>
      <c r="AL97" s="4">
        <v>0</v>
      </c>
      <c r="AM97" s="4">
        <v>0</v>
      </c>
      <c r="AN97" s="4">
        <v>1</v>
      </c>
      <c r="AO97" s="4">
        <v>1</v>
      </c>
      <c r="AP97" s="4">
        <v>1</v>
      </c>
      <c r="AQ97" s="4">
        <v>1</v>
      </c>
    </row>
    <row r="98" spans="12:43">
      <c r="L98" s="15">
        <v>94</v>
      </c>
      <c r="M98" s="38" t="s">
        <v>90</v>
      </c>
      <c r="N98" s="38" t="s">
        <v>38</v>
      </c>
      <c r="O98" s="38" t="s">
        <v>35</v>
      </c>
      <c r="P98" s="38" t="s">
        <v>40</v>
      </c>
      <c r="Q98" s="38" t="s">
        <v>39</v>
      </c>
      <c r="R98" s="38" t="s">
        <v>32</v>
      </c>
      <c r="S98" s="24" t="s">
        <v>37</v>
      </c>
      <c r="U98" s="37">
        <f t="shared" si="6"/>
        <v>6</v>
      </c>
      <c r="V98" s="37">
        <f t="shared" si="6"/>
        <v>15</v>
      </c>
      <c r="W98" s="37">
        <f t="shared" si="6"/>
        <v>15</v>
      </c>
      <c r="X98" s="37">
        <f t="shared" si="5"/>
        <v>12</v>
      </c>
      <c r="Y98" s="37">
        <f t="shared" si="5"/>
        <v>5</v>
      </c>
      <c r="Z98" s="37">
        <f t="shared" si="5"/>
        <v>4</v>
      </c>
      <c r="AA98" s="37">
        <f t="shared" si="5"/>
        <v>13</v>
      </c>
      <c r="AC98" s="18">
        <v>5</v>
      </c>
      <c r="AD98" s="18">
        <v>0</v>
      </c>
      <c r="AE98" s="18">
        <v>0</v>
      </c>
      <c r="AF98" s="18">
        <v>0</v>
      </c>
      <c r="AG98" s="18">
        <v>1</v>
      </c>
      <c r="AH98" s="18">
        <v>5</v>
      </c>
      <c r="AI98" s="18">
        <v>5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</row>
    <row r="99" spans="12:43">
      <c r="L99" s="14">
        <v>95</v>
      </c>
      <c r="M99" s="38" t="s">
        <v>40</v>
      </c>
      <c r="N99" s="38" t="s">
        <v>65</v>
      </c>
      <c r="O99" s="38" t="s">
        <v>35</v>
      </c>
      <c r="P99" s="38" t="s">
        <v>40</v>
      </c>
      <c r="Q99" s="38" t="s">
        <v>90</v>
      </c>
      <c r="R99" s="38" t="s">
        <v>37</v>
      </c>
      <c r="S99" s="24" t="s">
        <v>37</v>
      </c>
      <c r="U99" s="37">
        <f t="shared" si="6"/>
        <v>12</v>
      </c>
      <c r="V99" s="37">
        <f t="shared" si="6"/>
        <v>17</v>
      </c>
      <c r="W99" s="37">
        <f t="shared" si="6"/>
        <v>15</v>
      </c>
      <c r="X99" s="37">
        <f t="shared" si="5"/>
        <v>12</v>
      </c>
      <c r="Y99" s="37">
        <f t="shared" si="5"/>
        <v>6</v>
      </c>
      <c r="Z99" s="37">
        <f t="shared" si="5"/>
        <v>13</v>
      </c>
      <c r="AA99" s="37">
        <f t="shared" si="5"/>
        <v>13</v>
      </c>
      <c r="AC99" s="18">
        <v>5</v>
      </c>
      <c r="AD99" s="18">
        <v>5</v>
      </c>
      <c r="AE99" s="18">
        <v>5</v>
      </c>
      <c r="AF99" s="18">
        <v>5</v>
      </c>
      <c r="AG99" s="18">
        <v>6</v>
      </c>
      <c r="AH99" s="18">
        <v>5</v>
      </c>
      <c r="AI99" s="18">
        <v>5</v>
      </c>
      <c r="AK99" s="4">
        <v>1</v>
      </c>
      <c r="AL99" s="4">
        <v>1</v>
      </c>
      <c r="AM99" s="4">
        <v>1</v>
      </c>
      <c r="AN99" s="4">
        <v>2</v>
      </c>
      <c r="AO99" s="4">
        <v>2</v>
      </c>
      <c r="AP99" s="4">
        <v>1</v>
      </c>
      <c r="AQ99" s="4">
        <v>1</v>
      </c>
    </row>
    <row r="100" spans="12:43">
      <c r="L100" s="15">
        <v>96</v>
      </c>
      <c r="M100" s="38" t="s">
        <v>37</v>
      </c>
      <c r="N100" s="38" t="s">
        <v>230</v>
      </c>
      <c r="O100" s="38" t="s">
        <v>25</v>
      </c>
      <c r="P100" s="38" t="s">
        <v>39</v>
      </c>
      <c r="Q100" s="38" t="s">
        <v>39</v>
      </c>
      <c r="R100" s="38" t="s">
        <v>37</v>
      </c>
      <c r="S100" s="24" t="s">
        <v>39</v>
      </c>
      <c r="U100" s="37">
        <f t="shared" si="6"/>
        <v>13</v>
      </c>
      <c r="V100" s="37">
        <f t="shared" si="6"/>
        <v>0</v>
      </c>
      <c r="W100" s="37">
        <f t="shared" si="6"/>
        <v>5</v>
      </c>
      <c r="X100" s="37">
        <f t="shared" si="5"/>
        <v>5</v>
      </c>
      <c r="Y100" s="37">
        <f t="shared" si="5"/>
        <v>5</v>
      </c>
      <c r="Z100" s="37">
        <f t="shared" si="5"/>
        <v>13</v>
      </c>
      <c r="AA100" s="37">
        <f t="shared" si="5"/>
        <v>5</v>
      </c>
      <c r="AC100" s="18">
        <v>5</v>
      </c>
      <c r="AD100" s="18">
        <v>0</v>
      </c>
      <c r="AE100" s="18">
        <v>0</v>
      </c>
      <c r="AF100" s="18">
        <v>0</v>
      </c>
      <c r="AG100" s="18">
        <v>0</v>
      </c>
      <c r="AH100" s="18">
        <v>5</v>
      </c>
      <c r="AI100" s="18">
        <v>5</v>
      </c>
      <c r="AK100" s="4">
        <v>1</v>
      </c>
      <c r="AL100" s="4">
        <v>2</v>
      </c>
      <c r="AM100" s="4">
        <v>1</v>
      </c>
      <c r="AN100" s="4">
        <v>0</v>
      </c>
      <c r="AO100" s="4">
        <v>0</v>
      </c>
      <c r="AP100" s="4">
        <v>1</v>
      </c>
      <c r="AQ100" s="4">
        <v>1</v>
      </c>
    </row>
    <row r="101" spans="12:43">
      <c r="L101" s="14">
        <v>97</v>
      </c>
      <c r="M101" s="38" t="s">
        <v>39</v>
      </c>
      <c r="N101" s="38" t="s">
        <v>232</v>
      </c>
      <c r="O101" s="38" t="s">
        <v>25</v>
      </c>
      <c r="P101" s="38" t="s">
        <v>37</v>
      </c>
      <c r="Q101" s="38" t="s">
        <v>65</v>
      </c>
      <c r="R101" s="38" t="s">
        <v>40</v>
      </c>
      <c r="S101" s="24" t="s">
        <v>39</v>
      </c>
      <c r="U101" s="37">
        <f t="shared" si="6"/>
        <v>5</v>
      </c>
      <c r="V101" s="37">
        <f t="shared" si="6"/>
        <v>0</v>
      </c>
      <c r="W101" s="37">
        <f t="shared" si="6"/>
        <v>5</v>
      </c>
      <c r="X101" s="37">
        <f t="shared" si="5"/>
        <v>13</v>
      </c>
      <c r="Y101" s="37">
        <f t="shared" si="5"/>
        <v>17</v>
      </c>
      <c r="Z101" s="37">
        <f t="shared" si="5"/>
        <v>12</v>
      </c>
      <c r="AA101" s="37">
        <f t="shared" si="5"/>
        <v>5</v>
      </c>
      <c r="AC101" s="18">
        <v>5</v>
      </c>
      <c r="AD101" s="18">
        <v>0</v>
      </c>
      <c r="AE101" s="18">
        <v>0</v>
      </c>
      <c r="AF101" s="18">
        <v>0</v>
      </c>
      <c r="AG101" s="18">
        <v>0</v>
      </c>
      <c r="AH101" s="18">
        <v>5</v>
      </c>
      <c r="AI101" s="18">
        <v>5</v>
      </c>
      <c r="AK101" s="4">
        <v>1</v>
      </c>
      <c r="AL101" s="4">
        <v>0</v>
      </c>
      <c r="AM101" s="4">
        <v>1</v>
      </c>
      <c r="AN101" s="4">
        <v>1</v>
      </c>
      <c r="AO101" s="4">
        <v>2</v>
      </c>
      <c r="AP101" s="4">
        <v>1</v>
      </c>
      <c r="AQ101" s="4">
        <v>1</v>
      </c>
    </row>
    <row r="102" spans="12:43">
      <c r="L102" s="15">
        <v>98</v>
      </c>
      <c r="M102" s="38" t="s">
        <v>39</v>
      </c>
      <c r="N102" s="38" t="s">
        <v>38</v>
      </c>
      <c r="O102" s="38" t="s">
        <v>234</v>
      </c>
      <c r="P102" s="38" t="s">
        <v>37</v>
      </c>
      <c r="Q102" s="38" t="s">
        <v>37</v>
      </c>
      <c r="R102" s="38" t="s">
        <v>40</v>
      </c>
      <c r="S102" s="24" t="s">
        <v>39</v>
      </c>
      <c r="U102" s="37">
        <f t="shared" si="6"/>
        <v>5</v>
      </c>
      <c r="V102" s="37">
        <f t="shared" si="6"/>
        <v>15</v>
      </c>
      <c r="W102" s="37">
        <f t="shared" si="6"/>
        <v>0</v>
      </c>
      <c r="X102" s="37">
        <f t="shared" si="5"/>
        <v>13</v>
      </c>
      <c r="Y102" s="37">
        <f t="shared" si="5"/>
        <v>13</v>
      </c>
      <c r="Z102" s="37">
        <f t="shared" si="5"/>
        <v>12</v>
      </c>
      <c r="AA102" s="37">
        <f t="shared" si="5"/>
        <v>5</v>
      </c>
      <c r="AC102" s="18">
        <v>5</v>
      </c>
      <c r="AD102" s="18">
        <v>0</v>
      </c>
      <c r="AE102" s="18">
        <v>0</v>
      </c>
      <c r="AF102" s="18">
        <v>0</v>
      </c>
      <c r="AG102" s="18">
        <v>0</v>
      </c>
      <c r="AH102" s="18">
        <v>5</v>
      </c>
      <c r="AI102" s="18">
        <v>5</v>
      </c>
      <c r="AK102" s="4">
        <v>1</v>
      </c>
      <c r="AL102" s="4">
        <v>1</v>
      </c>
      <c r="AM102" s="4">
        <v>1</v>
      </c>
      <c r="AN102" s="4">
        <v>2</v>
      </c>
      <c r="AO102" s="4">
        <v>0</v>
      </c>
      <c r="AP102" s="4">
        <v>1</v>
      </c>
      <c r="AQ102" s="4">
        <v>1</v>
      </c>
    </row>
    <row r="103" spans="12:43">
      <c r="L103" s="14">
        <v>99</v>
      </c>
      <c r="M103" s="38" t="s">
        <v>37</v>
      </c>
      <c r="N103" s="38" t="s">
        <v>38</v>
      </c>
      <c r="O103" s="38" t="s">
        <v>240</v>
      </c>
      <c r="P103" s="38" t="s">
        <v>230</v>
      </c>
      <c r="Q103" s="38" t="s">
        <v>90</v>
      </c>
      <c r="R103" s="38" t="s">
        <v>37</v>
      </c>
      <c r="S103" s="24" t="s">
        <v>35</v>
      </c>
      <c r="U103" s="37">
        <f t="shared" si="6"/>
        <v>13</v>
      </c>
      <c r="V103" s="37">
        <f t="shared" si="6"/>
        <v>15</v>
      </c>
      <c r="W103" s="37">
        <f t="shared" si="6"/>
        <v>0</v>
      </c>
      <c r="X103" s="37">
        <f t="shared" si="5"/>
        <v>0</v>
      </c>
      <c r="Y103" s="37">
        <f t="shared" si="5"/>
        <v>6</v>
      </c>
      <c r="Z103" s="37">
        <f t="shared" si="5"/>
        <v>13</v>
      </c>
      <c r="AA103" s="37">
        <f t="shared" si="5"/>
        <v>15</v>
      </c>
      <c r="AC103" s="18">
        <v>5</v>
      </c>
      <c r="AD103" s="18">
        <v>0</v>
      </c>
      <c r="AE103" s="18">
        <v>0</v>
      </c>
      <c r="AF103" s="18">
        <v>0</v>
      </c>
      <c r="AG103" s="18">
        <v>0</v>
      </c>
      <c r="AH103" s="18">
        <v>5</v>
      </c>
      <c r="AI103" s="18">
        <v>5</v>
      </c>
      <c r="AK103" s="4">
        <v>1</v>
      </c>
      <c r="AL103" s="4">
        <v>1</v>
      </c>
      <c r="AM103" s="4">
        <v>1</v>
      </c>
      <c r="AN103" s="4">
        <v>0</v>
      </c>
      <c r="AO103" s="4">
        <v>1</v>
      </c>
      <c r="AP103" s="4">
        <v>1</v>
      </c>
      <c r="AQ103" s="4">
        <v>1</v>
      </c>
    </row>
    <row r="104" spans="12:43">
      <c r="L104" s="15">
        <v>100</v>
      </c>
      <c r="M104" s="38" t="s">
        <v>37</v>
      </c>
      <c r="N104" s="38" t="s">
        <v>38</v>
      </c>
      <c r="O104" s="38" t="s">
        <v>39</v>
      </c>
      <c r="P104" s="38" t="s">
        <v>65</v>
      </c>
      <c r="Q104" s="38" t="s">
        <v>90</v>
      </c>
      <c r="R104" s="38" t="s">
        <v>25</v>
      </c>
      <c r="S104" s="24" t="s">
        <v>35</v>
      </c>
      <c r="U104" s="37">
        <f t="shared" si="6"/>
        <v>13</v>
      </c>
      <c r="V104" s="37">
        <f t="shared" si="6"/>
        <v>15</v>
      </c>
      <c r="W104" s="37">
        <f t="shared" si="6"/>
        <v>5</v>
      </c>
      <c r="X104" s="37">
        <f t="shared" si="5"/>
        <v>17</v>
      </c>
      <c r="Y104" s="37">
        <f t="shared" si="5"/>
        <v>6</v>
      </c>
      <c r="Z104" s="37">
        <f t="shared" si="5"/>
        <v>5</v>
      </c>
      <c r="AA104" s="37">
        <f t="shared" si="5"/>
        <v>15</v>
      </c>
      <c r="AC104" s="18">
        <v>5</v>
      </c>
      <c r="AD104" s="18">
        <v>5</v>
      </c>
      <c r="AE104" s="18">
        <v>5</v>
      </c>
      <c r="AF104" s="18">
        <v>5</v>
      </c>
      <c r="AG104" s="18">
        <v>6</v>
      </c>
      <c r="AH104" s="18">
        <v>5</v>
      </c>
      <c r="AI104" s="18">
        <v>5</v>
      </c>
      <c r="AK104" s="4">
        <v>1</v>
      </c>
      <c r="AL104" s="4">
        <v>3</v>
      </c>
      <c r="AM104" s="4">
        <v>1</v>
      </c>
      <c r="AN104" s="4">
        <v>1</v>
      </c>
      <c r="AO104" s="4">
        <v>3</v>
      </c>
      <c r="AP104" s="4">
        <v>1</v>
      </c>
      <c r="AQ104" s="4">
        <v>1</v>
      </c>
    </row>
    <row r="105" spans="12:43">
      <c r="L105" s="14">
        <v>101</v>
      </c>
      <c r="M105" s="38" t="s">
        <v>39</v>
      </c>
      <c r="N105" s="38" t="s">
        <v>90</v>
      </c>
      <c r="O105" s="38" t="s">
        <v>25</v>
      </c>
      <c r="P105" s="38" t="s">
        <v>65</v>
      </c>
      <c r="Q105" s="38" t="s">
        <v>37</v>
      </c>
      <c r="R105" s="38" t="s">
        <v>38</v>
      </c>
      <c r="S105" s="24" t="s">
        <v>35</v>
      </c>
      <c r="U105" s="37">
        <f t="shared" si="6"/>
        <v>5</v>
      </c>
      <c r="V105" s="37">
        <f t="shared" si="6"/>
        <v>6</v>
      </c>
      <c r="W105" s="37">
        <f t="shared" si="6"/>
        <v>5</v>
      </c>
      <c r="X105" s="37">
        <f t="shared" si="5"/>
        <v>17</v>
      </c>
      <c r="Y105" s="37">
        <f t="shared" si="5"/>
        <v>13</v>
      </c>
      <c r="Z105" s="37">
        <f t="shared" si="5"/>
        <v>15</v>
      </c>
      <c r="AA105" s="37">
        <f t="shared" si="5"/>
        <v>15</v>
      </c>
      <c r="AC105" s="18">
        <v>5</v>
      </c>
      <c r="AD105" s="18">
        <v>0</v>
      </c>
      <c r="AE105" s="18">
        <v>0</v>
      </c>
      <c r="AF105" s="18">
        <v>0</v>
      </c>
      <c r="AG105" s="18">
        <v>0</v>
      </c>
      <c r="AH105" s="18">
        <v>5</v>
      </c>
      <c r="AI105" s="18">
        <v>5</v>
      </c>
      <c r="AK105" s="4">
        <v>1</v>
      </c>
      <c r="AL105" s="4">
        <v>0</v>
      </c>
      <c r="AM105" s="4">
        <v>3</v>
      </c>
      <c r="AN105" s="4">
        <v>3</v>
      </c>
      <c r="AO105" s="4">
        <v>0</v>
      </c>
      <c r="AP105" s="4">
        <v>1</v>
      </c>
      <c r="AQ105" s="4">
        <v>1</v>
      </c>
    </row>
    <row r="106" spans="12:43">
      <c r="L106" s="15">
        <v>102</v>
      </c>
      <c r="M106" s="38" t="s">
        <v>38</v>
      </c>
      <c r="N106" s="38" t="s">
        <v>39</v>
      </c>
      <c r="O106" s="38" t="s">
        <v>33</v>
      </c>
      <c r="P106" s="38" t="s">
        <v>35</v>
      </c>
      <c r="Q106" s="38" t="s">
        <v>37</v>
      </c>
      <c r="R106" s="38" t="s">
        <v>25</v>
      </c>
      <c r="S106" s="24" t="s">
        <v>65</v>
      </c>
      <c r="U106" s="37">
        <f t="shared" si="6"/>
        <v>15</v>
      </c>
      <c r="V106" s="37">
        <f t="shared" si="6"/>
        <v>5</v>
      </c>
      <c r="W106" s="37">
        <f t="shared" si="6"/>
        <v>11</v>
      </c>
      <c r="X106" s="37">
        <f t="shared" si="5"/>
        <v>15</v>
      </c>
      <c r="Y106" s="37">
        <f t="shared" si="5"/>
        <v>13</v>
      </c>
      <c r="Z106" s="37">
        <f t="shared" si="5"/>
        <v>5</v>
      </c>
      <c r="AA106" s="37">
        <f t="shared" si="5"/>
        <v>17</v>
      </c>
      <c r="AC106" s="18">
        <v>5</v>
      </c>
      <c r="AD106" s="18">
        <v>0</v>
      </c>
      <c r="AE106" s="18">
        <v>0</v>
      </c>
      <c r="AF106" s="18">
        <v>0</v>
      </c>
      <c r="AG106" s="18">
        <v>0</v>
      </c>
      <c r="AH106" s="18">
        <v>5</v>
      </c>
      <c r="AI106" s="18">
        <v>5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1</v>
      </c>
      <c r="AQ106" s="4">
        <v>1</v>
      </c>
    </row>
    <row r="107" spans="12:43">
      <c r="L107" s="14">
        <v>103</v>
      </c>
      <c r="M107" s="38" t="s">
        <v>65</v>
      </c>
      <c r="N107" s="38" t="s">
        <v>25</v>
      </c>
      <c r="O107" s="38" t="s">
        <v>33</v>
      </c>
      <c r="P107" s="38" t="s">
        <v>40</v>
      </c>
      <c r="Q107" s="38" t="s">
        <v>37</v>
      </c>
      <c r="R107" s="38" t="s">
        <v>25</v>
      </c>
      <c r="S107" s="24" t="s">
        <v>25</v>
      </c>
      <c r="U107" s="37">
        <f t="shared" si="6"/>
        <v>17</v>
      </c>
      <c r="V107" s="37">
        <f t="shared" si="6"/>
        <v>5</v>
      </c>
      <c r="W107" s="37">
        <f t="shared" si="6"/>
        <v>11</v>
      </c>
      <c r="X107" s="37">
        <f t="shared" si="5"/>
        <v>12</v>
      </c>
      <c r="Y107" s="37">
        <f t="shared" si="5"/>
        <v>13</v>
      </c>
      <c r="Z107" s="37">
        <f t="shared" si="5"/>
        <v>5</v>
      </c>
      <c r="AA107" s="37">
        <f t="shared" si="5"/>
        <v>5</v>
      </c>
      <c r="AC107" s="18">
        <v>5</v>
      </c>
      <c r="AD107" s="18">
        <v>0</v>
      </c>
      <c r="AE107" s="18">
        <v>0</v>
      </c>
      <c r="AF107" s="18">
        <v>0</v>
      </c>
      <c r="AG107" s="18">
        <v>0</v>
      </c>
      <c r="AH107" s="18">
        <v>5</v>
      </c>
      <c r="AI107" s="18">
        <v>5</v>
      </c>
      <c r="AK107" s="4">
        <v>1</v>
      </c>
      <c r="AL107" s="4">
        <v>2</v>
      </c>
      <c r="AM107" s="4">
        <v>0</v>
      </c>
      <c r="AN107" s="4">
        <v>0</v>
      </c>
      <c r="AO107" s="4">
        <v>2</v>
      </c>
      <c r="AP107" s="4">
        <v>1</v>
      </c>
      <c r="AQ107" s="4">
        <v>1</v>
      </c>
    </row>
    <row r="108" spans="12:43">
      <c r="L108" s="15">
        <v>104</v>
      </c>
      <c r="M108" s="38" t="s">
        <v>40</v>
      </c>
      <c r="N108" s="38" t="s">
        <v>25</v>
      </c>
      <c r="O108" s="38" t="s">
        <v>33</v>
      </c>
      <c r="P108" s="38" t="s">
        <v>40</v>
      </c>
      <c r="Q108" s="38" t="s">
        <v>39</v>
      </c>
      <c r="R108" s="38" t="s">
        <v>25</v>
      </c>
      <c r="S108" s="24" t="s">
        <v>65</v>
      </c>
      <c r="U108" s="37">
        <f t="shared" si="6"/>
        <v>12</v>
      </c>
      <c r="V108" s="37">
        <f t="shared" si="6"/>
        <v>5</v>
      </c>
      <c r="W108" s="37">
        <f t="shared" si="6"/>
        <v>11</v>
      </c>
      <c r="X108" s="37">
        <f t="shared" si="5"/>
        <v>12</v>
      </c>
      <c r="Y108" s="37">
        <f t="shared" si="5"/>
        <v>5</v>
      </c>
      <c r="Z108" s="37">
        <f t="shared" si="5"/>
        <v>5</v>
      </c>
      <c r="AA108" s="37">
        <f t="shared" si="5"/>
        <v>17</v>
      </c>
      <c r="AC108" s="18">
        <v>5</v>
      </c>
      <c r="AD108" s="18">
        <v>0</v>
      </c>
      <c r="AE108" s="18">
        <v>0</v>
      </c>
      <c r="AF108" s="18">
        <v>0</v>
      </c>
      <c r="AG108" s="18">
        <v>0</v>
      </c>
      <c r="AH108" s="18">
        <v>5</v>
      </c>
      <c r="AI108" s="18">
        <v>5</v>
      </c>
      <c r="AK108" s="4">
        <v>1</v>
      </c>
      <c r="AL108" s="4">
        <v>0</v>
      </c>
      <c r="AM108" s="4">
        <v>1</v>
      </c>
      <c r="AN108" s="4">
        <v>1</v>
      </c>
      <c r="AO108" s="4">
        <v>0</v>
      </c>
      <c r="AP108" s="4">
        <v>1</v>
      </c>
      <c r="AQ108" s="4">
        <v>1</v>
      </c>
    </row>
    <row r="109" spans="12:43">
      <c r="L109" s="14">
        <v>105</v>
      </c>
      <c r="M109" s="38" t="s">
        <v>37</v>
      </c>
      <c r="N109" s="38" t="s">
        <v>25</v>
      </c>
      <c r="O109" s="38" t="s">
        <v>35</v>
      </c>
      <c r="P109" s="38" t="s">
        <v>38</v>
      </c>
      <c r="Q109" s="38" t="s">
        <v>90</v>
      </c>
      <c r="R109" s="38" t="s">
        <v>35</v>
      </c>
      <c r="S109" s="24" t="s">
        <v>65</v>
      </c>
      <c r="U109" s="37">
        <f t="shared" si="6"/>
        <v>13</v>
      </c>
      <c r="V109" s="37">
        <f t="shared" si="6"/>
        <v>5</v>
      </c>
      <c r="W109" s="37">
        <f t="shared" si="6"/>
        <v>15</v>
      </c>
      <c r="X109" s="37">
        <f t="shared" si="5"/>
        <v>15</v>
      </c>
      <c r="Y109" s="37">
        <f t="shared" si="5"/>
        <v>6</v>
      </c>
      <c r="Z109" s="37">
        <f t="shared" si="5"/>
        <v>15</v>
      </c>
      <c r="AA109" s="37">
        <f t="shared" si="5"/>
        <v>17</v>
      </c>
      <c r="AC109" s="18">
        <v>5</v>
      </c>
      <c r="AD109" s="18">
        <v>5</v>
      </c>
      <c r="AE109" s="18">
        <v>5</v>
      </c>
      <c r="AF109" s="18">
        <v>5</v>
      </c>
      <c r="AG109" s="18">
        <v>4</v>
      </c>
      <c r="AH109" s="18">
        <v>5</v>
      </c>
      <c r="AI109" s="18">
        <v>5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</row>
    <row r="110" spans="12:43">
      <c r="L110" s="15">
        <v>106</v>
      </c>
      <c r="M110" s="38" t="s">
        <v>35</v>
      </c>
      <c r="N110" s="38" t="s">
        <v>40</v>
      </c>
      <c r="O110" s="38" t="s">
        <v>35</v>
      </c>
      <c r="P110" s="38" t="s">
        <v>38</v>
      </c>
      <c r="Q110" s="38" t="s">
        <v>90</v>
      </c>
      <c r="R110" s="38" t="s">
        <v>25</v>
      </c>
      <c r="S110" s="24" t="s">
        <v>65</v>
      </c>
      <c r="U110" s="37">
        <f t="shared" si="6"/>
        <v>15</v>
      </c>
      <c r="V110" s="37">
        <f t="shared" si="6"/>
        <v>12</v>
      </c>
      <c r="W110" s="37">
        <f t="shared" si="6"/>
        <v>15</v>
      </c>
      <c r="X110" s="37">
        <f t="shared" si="5"/>
        <v>15</v>
      </c>
      <c r="Y110" s="37">
        <f t="shared" si="5"/>
        <v>6</v>
      </c>
      <c r="Z110" s="37">
        <f t="shared" si="5"/>
        <v>5</v>
      </c>
      <c r="AA110" s="37">
        <f t="shared" si="5"/>
        <v>17</v>
      </c>
      <c r="AC110" s="18">
        <v>5</v>
      </c>
      <c r="AD110" s="18">
        <v>0</v>
      </c>
      <c r="AE110" s="18">
        <v>0</v>
      </c>
      <c r="AF110" s="18">
        <v>0</v>
      </c>
      <c r="AG110" s="18">
        <v>1</v>
      </c>
      <c r="AH110" s="18">
        <v>5</v>
      </c>
      <c r="AI110" s="18">
        <v>5</v>
      </c>
      <c r="AK110" s="4">
        <v>1</v>
      </c>
      <c r="AL110" s="4">
        <v>1</v>
      </c>
      <c r="AM110" s="4">
        <v>1</v>
      </c>
      <c r="AN110" s="4">
        <v>1</v>
      </c>
      <c r="AO110" s="4">
        <v>3</v>
      </c>
      <c r="AP110" s="4">
        <v>1</v>
      </c>
      <c r="AQ110" s="4">
        <v>1</v>
      </c>
    </row>
    <row r="111" spans="12:43">
      <c r="L111" s="14">
        <v>107</v>
      </c>
      <c r="M111" s="38" t="s">
        <v>35</v>
      </c>
      <c r="N111" s="38" t="s">
        <v>40</v>
      </c>
      <c r="O111" s="38" t="s">
        <v>65</v>
      </c>
      <c r="P111" s="38" t="s">
        <v>65</v>
      </c>
      <c r="Q111" s="38" t="s">
        <v>39</v>
      </c>
      <c r="R111" s="38" t="s">
        <v>25</v>
      </c>
      <c r="S111" s="24" t="s">
        <v>38</v>
      </c>
      <c r="U111" s="37">
        <f t="shared" si="6"/>
        <v>15</v>
      </c>
      <c r="V111" s="37">
        <f t="shared" si="6"/>
        <v>12</v>
      </c>
      <c r="W111" s="37">
        <f t="shared" si="6"/>
        <v>17</v>
      </c>
      <c r="X111" s="37">
        <f t="shared" si="5"/>
        <v>17</v>
      </c>
      <c r="Y111" s="37">
        <f t="shared" si="5"/>
        <v>5</v>
      </c>
      <c r="Z111" s="37">
        <f t="shared" si="5"/>
        <v>5</v>
      </c>
      <c r="AA111" s="37">
        <f t="shared" si="5"/>
        <v>15</v>
      </c>
      <c r="AC111" s="18">
        <v>5</v>
      </c>
      <c r="AD111" s="18">
        <v>0</v>
      </c>
      <c r="AE111" s="18">
        <v>0</v>
      </c>
      <c r="AF111" s="18">
        <v>0</v>
      </c>
      <c r="AG111" s="18">
        <v>0</v>
      </c>
      <c r="AH111" s="18">
        <v>5</v>
      </c>
      <c r="AI111" s="18">
        <v>5</v>
      </c>
      <c r="AK111" s="4">
        <v>1</v>
      </c>
      <c r="AL111" s="4">
        <v>2</v>
      </c>
      <c r="AM111" s="4">
        <v>1</v>
      </c>
      <c r="AN111" s="4">
        <v>1</v>
      </c>
      <c r="AO111" s="4">
        <v>0</v>
      </c>
      <c r="AP111" s="4">
        <v>1</v>
      </c>
      <c r="AQ111" s="4">
        <v>1</v>
      </c>
    </row>
    <row r="112" spans="12:43">
      <c r="L112" s="15">
        <v>108</v>
      </c>
      <c r="M112" s="38" t="s">
        <v>39</v>
      </c>
      <c r="N112" s="38" t="s">
        <v>40</v>
      </c>
      <c r="O112" s="38" t="s">
        <v>65</v>
      </c>
      <c r="P112" s="38" t="s">
        <v>65</v>
      </c>
      <c r="Q112" s="38" t="s">
        <v>39</v>
      </c>
      <c r="R112" s="38" t="s">
        <v>34</v>
      </c>
      <c r="S112" s="24" t="s">
        <v>32</v>
      </c>
      <c r="U112" s="37">
        <f t="shared" si="6"/>
        <v>5</v>
      </c>
      <c r="V112" s="37">
        <f t="shared" si="6"/>
        <v>12</v>
      </c>
      <c r="W112" s="37">
        <f t="shared" si="6"/>
        <v>17</v>
      </c>
      <c r="X112" s="37">
        <f t="shared" si="5"/>
        <v>17</v>
      </c>
      <c r="Y112" s="37">
        <f t="shared" si="5"/>
        <v>5</v>
      </c>
      <c r="Z112" s="37">
        <f t="shared" si="5"/>
        <v>16</v>
      </c>
      <c r="AA112" s="37">
        <f t="shared" si="5"/>
        <v>4</v>
      </c>
      <c r="AC112" s="18">
        <v>5</v>
      </c>
      <c r="AD112" s="18">
        <v>0</v>
      </c>
      <c r="AE112" s="18">
        <v>0</v>
      </c>
      <c r="AF112" s="18">
        <v>0</v>
      </c>
      <c r="AG112" s="18">
        <v>0</v>
      </c>
      <c r="AH112" s="18">
        <v>5</v>
      </c>
      <c r="AI112" s="18">
        <v>5</v>
      </c>
      <c r="AK112" s="4">
        <v>1</v>
      </c>
      <c r="AL112" s="4">
        <v>0</v>
      </c>
      <c r="AM112" s="4">
        <v>1</v>
      </c>
      <c r="AN112" s="4">
        <v>2</v>
      </c>
      <c r="AO112" s="4">
        <v>0</v>
      </c>
      <c r="AP112" s="4">
        <v>1</v>
      </c>
      <c r="AQ112" s="4">
        <v>1</v>
      </c>
    </row>
    <row r="113" spans="12:43">
      <c r="L113" s="14">
        <v>109</v>
      </c>
      <c r="M113" s="38" t="s">
        <v>34</v>
      </c>
      <c r="N113" s="38" t="s">
        <v>25</v>
      </c>
      <c r="O113" s="38" t="s">
        <v>65</v>
      </c>
      <c r="P113" s="38" t="s">
        <v>65</v>
      </c>
      <c r="Q113" s="38" t="s">
        <v>90</v>
      </c>
      <c r="R113" s="38" t="s">
        <v>25</v>
      </c>
      <c r="S113" s="38" t="s">
        <v>32</v>
      </c>
      <c r="U113" s="37">
        <f t="shared" si="6"/>
        <v>16</v>
      </c>
      <c r="V113" s="37">
        <f t="shared" si="6"/>
        <v>5</v>
      </c>
      <c r="W113" s="37">
        <f t="shared" si="6"/>
        <v>17</v>
      </c>
      <c r="X113" s="37">
        <f t="shared" si="5"/>
        <v>17</v>
      </c>
      <c r="Y113" s="37">
        <f t="shared" si="5"/>
        <v>6</v>
      </c>
      <c r="Z113" s="37">
        <f t="shared" si="5"/>
        <v>5</v>
      </c>
      <c r="AA113" s="37">
        <f t="shared" si="5"/>
        <v>4</v>
      </c>
      <c r="AC113" s="18">
        <v>5</v>
      </c>
      <c r="AD113" s="18">
        <v>0</v>
      </c>
      <c r="AE113" s="18">
        <v>0</v>
      </c>
      <c r="AF113" s="18">
        <v>0</v>
      </c>
      <c r="AG113" s="18">
        <v>1</v>
      </c>
      <c r="AH113" s="18">
        <v>5</v>
      </c>
      <c r="AI113" s="18">
        <v>5</v>
      </c>
      <c r="AK113" s="4">
        <v>1</v>
      </c>
      <c r="AL113" s="4">
        <v>1</v>
      </c>
      <c r="AM113" s="4">
        <v>1</v>
      </c>
      <c r="AN113" s="4">
        <v>0</v>
      </c>
      <c r="AO113" s="4">
        <v>1</v>
      </c>
      <c r="AP113" s="4">
        <v>1</v>
      </c>
      <c r="AQ113" s="4">
        <v>1</v>
      </c>
    </row>
    <row r="114" spans="12:43">
      <c r="L114" s="15">
        <v>110</v>
      </c>
      <c r="M114" s="38" t="s">
        <v>25</v>
      </c>
      <c r="N114" s="38" t="s">
        <v>25</v>
      </c>
      <c r="O114" s="38" t="s">
        <v>37</v>
      </c>
      <c r="P114" s="38" t="s">
        <v>232</v>
      </c>
      <c r="Q114" s="38" t="s">
        <v>35</v>
      </c>
      <c r="R114" s="38" t="s">
        <v>25</v>
      </c>
      <c r="S114" s="24" t="s">
        <v>34</v>
      </c>
      <c r="U114" s="37">
        <f t="shared" si="6"/>
        <v>5</v>
      </c>
      <c r="V114" s="37">
        <f t="shared" si="6"/>
        <v>5</v>
      </c>
      <c r="W114" s="37">
        <f t="shared" si="6"/>
        <v>13</v>
      </c>
      <c r="X114" s="37">
        <f t="shared" si="5"/>
        <v>0</v>
      </c>
      <c r="Y114" s="37">
        <f t="shared" si="5"/>
        <v>15</v>
      </c>
      <c r="Z114" s="37">
        <f t="shared" si="5"/>
        <v>5</v>
      </c>
      <c r="AA114" s="37">
        <f t="shared" si="5"/>
        <v>16</v>
      </c>
      <c r="AC114" s="18">
        <v>5</v>
      </c>
      <c r="AD114" s="18">
        <v>5</v>
      </c>
      <c r="AE114" s="18">
        <v>5</v>
      </c>
      <c r="AF114" s="18">
        <v>5</v>
      </c>
      <c r="AG114" s="18">
        <v>5</v>
      </c>
      <c r="AH114" s="18">
        <v>5</v>
      </c>
      <c r="AI114" s="18">
        <v>5</v>
      </c>
      <c r="AK114" s="4">
        <v>1</v>
      </c>
      <c r="AL114" s="4">
        <v>1</v>
      </c>
      <c r="AM114" s="4">
        <v>1</v>
      </c>
      <c r="AN114" s="4">
        <v>2</v>
      </c>
      <c r="AO114" s="4">
        <v>1</v>
      </c>
      <c r="AP114" s="4">
        <v>1</v>
      </c>
      <c r="AQ114" s="4">
        <v>1</v>
      </c>
    </row>
    <row r="115" spans="12:43">
      <c r="L115" s="14">
        <v>111</v>
      </c>
      <c r="M115" s="38" t="s">
        <v>40</v>
      </c>
      <c r="N115" s="38" t="s">
        <v>25</v>
      </c>
      <c r="O115" s="38" t="s">
        <v>39</v>
      </c>
      <c r="P115" s="38" t="s">
        <v>90</v>
      </c>
      <c r="Q115" s="38" t="s">
        <v>35</v>
      </c>
      <c r="R115" s="38" t="s">
        <v>40</v>
      </c>
      <c r="S115" s="24" t="s">
        <v>38</v>
      </c>
      <c r="U115" s="37">
        <f t="shared" si="6"/>
        <v>12</v>
      </c>
      <c r="V115" s="37">
        <f t="shared" si="6"/>
        <v>5</v>
      </c>
      <c r="W115" s="37">
        <f t="shared" si="6"/>
        <v>5</v>
      </c>
      <c r="X115" s="37">
        <f t="shared" si="5"/>
        <v>6</v>
      </c>
      <c r="Y115" s="37">
        <f t="shared" si="5"/>
        <v>15</v>
      </c>
      <c r="Z115" s="37">
        <f t="shared" si="5"/>
        <v>12</v>
      </c>
      <c r="AA115" s="37">
        <f t="shared" si="5"/>
        <v>15</v>
      </c>
      <c r="AC115" s="18">
        <v>5</v>
      </c>
      <c r="AD115" s="18">
        <v>0</v>
      </c>
      <c r="AE115" s="18">
        <v>0</v>
      </c>
      <c r="AF115" s="18">
        <v>0</v>
      </c>
      <c r="AG115" s="18">
        <v>0</v>
      </c>
      <c r="AH115" s="18">
        <v>5</v>
      </c>
      <c r="AI115" s="18">
        <v>5</v>
      </c>
      <c r="AK115" s="4">
        <v>1</v>
      </c>
      <c r="AL115" s="4">
        <v>1</v>
      </c>
      <c r="AM115" s="4">
        <v>1</v>
      </c>
      <c r="AN115" s="4">
        <v>0</v>
      </c>
      <c r="AO115" s="4">
        <v>2</v>
      </c>
      <c r="AP115" s="4">
        <v>1</v>
      </c>
      <c r="AQ115" s="4">
        <v>1</v>
      </c>
    </row>
    <row r="116" spans="12:43">
      <c r="L116" s="15">
        <v>112</v>
      </c>
      <c r="M116" s="38" t="s">
        <v>39</v>
      </c>
      <c r="N116" s="38" t="s">
        <v>37</v>
      </c>
      <c r="O116" s="38" t="s">
        <v>39</v>
      </c>
      <c r="P116" s="38" t="s">
        <v>90</v>
      </c>
      <c r="Q116" s="38" t="s">
        <v>65</v>
      </c>
      <c r="R116" s="38" t="s">
        <v>39</v>
      </c>
      <c r="S116" s="24" t="s">
        <v>38</v>
      </c>
      <c r="U116" s="37">
        <f t="shared" si="6"/>
        <v>5</v>
      </c>
      <c r="V116" s="37">
        <f t="shared" si="6"/>
        <v>13</v>
      </c>
      <c r="W116" s="37">
        <f t="shared" si="6"/>
        <v>5</v>
      </c>
      <c r="X116" s="37">
        <f t="shared" si="5"/>
        <v>6</v>
      </c>
      <c r="Y116" s="37">
        <f t="shared" si="5"/>
        <v>17</v>
      </c>
      <c r="Z116" s="37">
        <f t="shared" si="5"/>
        <v>5</v>
      </c>
      <c r="AA116" s="37">
        <f t="shared" si="5"/>
        <v>15</v>
      </c>
      <c r="AC116" s="18">
        <v>5</v>
      </c>
      <c r="AD116" s="18">
        <v>0</v>
      </c>
      <c r="AE116" s="18">
        <v>0</v>
      </c>
      <c r="AF116" s="18">
        <v>0</v>
      </c>
      <c r="AG116" s="18">
        <v>0</v>
      </c>
      <c r="AH116" s="18">
        <v>5</v>
      </c>
      <c r="AI116" s="18">
        <v>5</v>
      </c>
      <c r="AK116" s="4">
        <v>1</v>
      </c>
      <c r="AL116" s="4">
        <v>2</v>
      </c>
      <c r="AM116" s="4">
        <v>2</v>
      </c>
      <c r="AN116" s="4">
        <v>1</v>
      </c>
      <c r="AO116" s="4">
        <v>0</v>
      </c>
      <c r="AP116" s="4">
        <v>1</v>
      </c>
      <c r="AQ116" s="4">
        <v>1</v>
      </c>
    </row>
    <row r="117" spans="12:43">
      <c r="L117" s="14">
        <v>113</v>
      </c>
      <c r="M117" s="38" t="s">
        <v>90</v>
      </c>
      <c r="N117" s="38" t="s">
        <v>38</v>
      </c>
      <c r="O117" s="38" t="s">
        <v>39</v>
      </c>
      <c r="P117" s="38" t="s">
        <v>25</v>
      </c>
      <c r="Q117" s="38" t="s">
        <v>39</v>
      </c>
      <c r="R117" s="38" t="s">
        <v>39</v>
      </c>
      <c r="S117" s="24" t="s">
        <v>38</v>
      </c>
      <c r="U117" s="37">
        <f t="shared" si="6"/>
        <v>6</v>
      </c>
      <c r="V117" s="37">
        <f t="shared" si="6"/>
        <v>15</v>
      </c>
      <c r="W117" s="37">
        <f t="shared" si="6"/>
        <v>5</v>
      </c>
      <c r="X117" s="37">
        <f t="shared" si="5"/>
        <v>5</v>
      </c>
      <c r="Y117" s="37">
        <f t="shared" si="5"/>
        <v>5</v>
      </c>
      <c r="Z117" s="37">
        <f t="shared" si="5"/>
        <v>5</v>
      </c>
      <c r="AA117" s="37">
        <f t="shared" si="5"/>
        <v>15</v>
      </c>
      <c r="AC117" s="18">
        <v>5</v>
      </c>
      <c r="AD117" s="18">
        <v>0</v>
      </c>
      <c r="AE117" s="18">
        <v>0</v>
      </c>
      <c r="AF117" s="18">
        <v>0</v>
      </c>
      <c r="AG117" s="18">
        <v>0</v>
      </c>
      <c r="AH117" s="18">
        <v>5</v>
      </c>
      <c r="AI117" s="18">
        <v>5</v>
      </c>
      <c r="AK117" s="4">
        <v>1</v>
      </c>
      <c r="AL117" s="4">
        <v>0</v>
      </c>
      <c r="AM117" s="4">
        <v>0</v>
      </c>
      <c r="AN117" s="4">
        <v>1</v>
      </c>
      <c r="AO117" s="4">
        <v>1</v>
      </c>
      <c r="AP117" s="4">
        <v>1</v>
      </c>
      <c r="AQ117" s="4">
        <v>1</v>
      </c>
    </row>
    <row r="118" spans="12:43">
      <c r="L118" s="15">
        <v>114</v>
      </c>
      <c r="M118" s="38" t="s">
        <v>34</v>
      </c>
      <c r="N118" s="38" t="s">
        <v>33</v>
      </c>
      <c r="O118" s="38" t="s">
        <v>34</v>
      </c>
      <c r="P118" s="38" t="s">
        <v>40</v>
      </c>
      <c r="Q118" s="38" t="s">
        <v>39</v>
      </c>
      <c r="R118" s="38" t="s">
        <v>38</v>
      </c>
      <c r="S118" s="24" t="s">
        <v>34</v>
      </c>
      <c r="U118" s="37">
        <f t="shared" si="6"/>
        <v>16</v>
      </c>
      <c r="V118" s="37">
        <f t="shared" si="6"/>
        <v>11</v>
      </c>
      <c r="W118" s="37">
        <f t="shared" si="6"/>
        <v>16</v>
      </c>
      <c r="X118" s="37">
        <f t="shared" si="5"/>
        <v>12</v>
      </c>
      <c r="Y118" s="37">
        <f t="shared" si="5"/>
        <v>5</v>
      </c>
      <c r="Z118" s="37">
        <f t="shared" si="5"/>
        <v>15</v>
      </c>
      <c r="AA118" s="37">
        <f t="shared" si="5"/>
        <v>16</v>
      </c>
      <c r="AC118" s="18">
        <v>5</v>
      </c>
      <c r="AD118" s="18">
        <v>0</v>
      </c>
      <c r="AE118" s="18">
        <v>0</v>
      </c>
      <c r="AF118" s="18">
        <v>0</v>
      </c>
      <c r="AG118" s="18">
        <v>1</v>
      </c>
      <c r="AH118" s="18">
        <v>5</v>
      </c>
      <c r="AI118" s="18">
        <v>5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</row>
    <row r="119" spans="12:43">
      <c r="L119" s="14">
        <v>115</v>
      </c>
      <c r="M119" s="38" t="s">
        <v>39</v>
      </c>
      <c r="N119" s="38" t="s">
        <v>33</v>
      </c>
      <c r="O119" s="38" t="s">
        <v>34</v>
      </c>
      <c r="P119" s="38" t="s">
        <v>40</v>
      </c>
      <c r="Q119" s="38" t="s">
        <v>35</v>
      </c>
      <c r="R119" s="38" t="s">
        <v>38</v>
      </c>
      <c r="S119" s="24" t="s">
        <v>34</v>
      </c>
      <c r="U119" s="37">
        <f t="shared" si="6"/>
        <v>5</v>
      </c>
      <c r="V119" s="37">
        <f t="shared" si="6"/>
        <v>11</v>
      </c>
      <c r="W119" s="37">
        <f t="shared" si="6"/>
        <v>16</v>
      </c>
      <c r="X119" s="37">
        <f t="shared" si="5"/>
        <v>12</v>
      </c>
      <c r="Y119" s="37">
        <f t="shared" si="5"/>
        <v>15</v>
      </c>
      <c r="Z119" s="37">
        <f t="shared" si="5"/>
        <v>15</v>
      </c>
      <c r="AA119" s="37">
        <f t="shared" ref="AA119:AA124" si="7">VLOOKUP(S119, $A$4:$J$29, 9, 0)</f>
        <v>16</v>
      </c>
      <c r="AC119" s="18">
        <v>5</v>
      </c>
      <c r="AD119" s="18">
        <v>5</v>
      </c>
      <c r="AE119" s="18">
        <v>5</v>
      </c>
      <c r="AF119" s="18">
        <v>5</v>
      </c>
      <c r="AG119" s="18">
        <v>6</v>
      </c>
      <c r="AH119" s="18">
        <v>5</v>
      </c>
      <c r="AI119" s="18">
        <v>5</v>
      </c>
      <c r="AK119" s="4">
        <v>1</v>
      </c>
      <c r="AL119" s="4">
        <v>1</v>
      </c>
      <c r="AM119" s="4">
        <v>1</v>
      </c>
      <c r="AN119" s="4">
        <v>2</v>
      </c>
      <c r="AO119" s="4">
        <v>2</v>
      </c>
      <c r="AP119" s="4">
        <v>1</v>
      </c>
      <c r="AQ119" s="4">
        <v>1</v>
      </c>
    </row>
    <row r="120" spans="12:43">
      <c r="L120" s="15">
        <v>116</v>
      </c>
      <c r="M120" s="38" t="s">
        <v>65</v>
      </c>
      <c r="N120" s="38" t="s">
        <v>33</v>
      </c>
      <c r="O120" s="38" t="s">
        <v>38</v>
      </c>
      <c r="P120" s="38" t="s">
        <v>40</v>
      </c>
      <c r="Q120" s="38" t="s">
        <v>35</v>
      </c>
      <c r="R120" s="38" t="s">
        <v>40</v>
      </c>
      <c r="S120" s="24" t="s">
        <v>34</v>
      </c>
      <c r="U120" s="37">
        <f t="shared" si="6"/>
        <v>17</v>
      </c>
      <c r="V120" s="37">
        <f t="shared" si="6"/>
        <v>11</v>
      </c>
      <c r="W120" s="37">
        <f t="shared" si="6"/>
        <v>15</v>
      </c>
      <c r="X120" s="37">
        <f t="shared" si="6"/>
        <v>12</v>
      </c>
      <c r="Y120" s="37">
        <f t="shared" si="6"/>
        <v>15</v>
      </c>
      <c r="Z120" s="37">
        <f t="shared" si="6"/>
        <v>12</v>
      </c>
      <c r="AA120" s="37">
        <f t="shared" si="7"/>
        <v>16</v>
      </c>
      <c r="AC120" s="18">
        <v>5</v>
      </c>
      <c r="AD120" s="18">
        <v>0</v>
      </c>
      <c r="AE120" s="18">
        <v>0</v>
      </c>
      <c r="AF120" s="18">
        <v>0</v>
      </c>
      <c r="AG120" s="18">
        <v>0</v>
      </c>
      <c r="AH120" s="18">
        <v>5</v>
      </c>
      <c r="AI120" s="18">
        <v>5</v>
      </c>
      <c r="AK120" s="4">
        <v>1</v>
      </c>
      <c r="AL120" s="4">
        <v>2</v>
      </c>
      <c r="AM120" s="4">
        <v>1</v>
      </c>
      <c r="AN120" s="4">
        <v>0</v>
      </c>
      <c r="AO120" s="4">
        <v>0</v>
      </c>
      <c r="AP120" s="4">
        <v>1</v>
      </c>
      <c r="AQ120" s="4">
        <v>1</v>
      </c>
    </row>
    <row r="121" spans="12:43">
      <c r="L121" s="14">
        <v>117</v>
      </c>
      <c r="M121" s="38" t="s">
        <v>65</v>
      </c>
      <c r="N121" s="38" t="s">
        <v>38</v>
      </c>
      <c r="O121" s="38" t="s">
        <v>242</v>
      </c>
      <c r="P121" s="38" t="s">
        <v>25</v>
      </c>
      <c r="Q121" s="38" t="s">
        <v>35</v>
      </c>
      <c r="R121" s="38" t="s">
        <v>38</v>
      </c>
      <c r="S121" s="24" t="s">
        <v>40</v>
      </c>
      <c r="U121" s="37">
        <f t="shared" ref="U121:Z124" si="8">VLOOKUP(M121, $A$4:$J$29, 9, 0)</f>
        <v>17</v>
      </c>
      <c r="V121" s="37">
        <f t="shared" si="8"/>
        <v>15</v>
      </c>
      <c r="W121" s="37">
        <f t="shared" si="8"/>
        <v>0</v>
      </c>
      <c r="X121" s="37">
        <f t="shared" si="8"/>
        <v>5</v>
      </c>
      <c r="Y121" s="37">
        <f t="shared" si="8"/>
        <v>15</v>
      </c>
      <c r="Z121" s="37">
        <f t="shared" si="8"/>
        <v>15</v>
      </c>
      <c r="AA121" s="37">
        <f t="shared" si="7"/>
        <v>12</v>
      </c>
      <c r="AC121" s="18">
        <v>5</v>
      </c>
      <c r="AD121" s="18">
        <v>0</v>
      </c>
      <c r="AE121" s="18">
        <v>0</v>
      </c>
      <c r="AF121" s="18">
        <v>0</v>
      </c>
      <c r="AG121" s="18">
        <v>0</v>
      </c>
      <c r="AH121" s="18">
        <v>5</v>
      </c>
      <c r="AI121" s="18">
        <v>5</v>
      </c>
      <c r="AK121" s="4">
        <v>1</v>
      </c>
      <c r="AL121" s="4">
        <v>0</v>
      </c>
      <c r="AM121" s="4">
        <v>1</v>
      </c>
      <c r="AN121" s="4">
        <v>1</v>
      </c>
      <c r="AO121" s="4">
        <v>2</v>
      </c>
      <c r="AP121" s="4">
        <v>1</v>
      </c>
      <c r="AQ121" s="4">
        <v>1</v>
      </c>
    </row>
    <row r="122" spans="12:43">
      <c r="L122" s="15">
        <v>118</v>
      </c>
      <c r="M122" s="38" t="s">
        <v>25</v>
      </c>
      <c r="N122" s="38" t="s">
        <v>90</v>
      </c>
      <c r="O122" s="38" t="s">
        <v>40</v>
      </c>
      <c r="P122" s="38" t="s">
        <v>33</v>
      </c>
      <c r="Q122" s="38" t="s">
        <v>65</v>
      </c>
      <c r="R122" s="38" t="s">
        <v>34</v>
      </c>
      <c r="S122" s="24" t="s">
        <v>40</v>
      </c>
      <c r="U122" s="37">
        <f t="shared" si="8"/>
        <v>5</v>
      </c>
      <c r="V122" s="37">
        <f t="shared" si="8"/>
        <v>6</v>
      </c>
      <c r="W122" s="37">
        <f t="shared" si="8"/>
        <v>12</v>
      </c>
      <c r="X122" s="37">
        <f t="shared" si="8"/>
        <v>11</v>
      </c>
      <c r="Y122" s="37">
        <f t="shared" si="8"/>
        <v>17</v>
      </c>
      <c r="Z122" s="37">
        <f t="shared" si="8"/>
        <v>16</v>
      </c>
      <c r="AA122" s="37">
        <f t="shared" si="7"/>
        <v>12</v>
      </c>
      <c r="AC122" s="18">
        <v>5</v>
      </c>
      <c r="AD122" s="18">
        <v>0</v>
      </c>
      <c r="AE122" s="18">
        <v>0</v>
      </c>
      <c r="AF122" s="18">
        <v>0</v>
      </c>
      <c r="AG122" s="18">
        <v>0</v>
      </c>
      <c r="AH122" s="18">
        <v>5</v>
      </c>
      <c r="AI122" s="18">
        <v>5</v>
      </c>
      <c r="AK122" s="4">
        <v>1</v>
      </c>
      <c r="AL122" s="4">
        <v>1</v>
      </c>
      <c r="AM122" s="4">
        <v>1</v>
      </c>
      <c r="AN122" s="4">
        <v>2</v>
      </c>
      <c r="AO122" s="4">
        <v>0</v>
      </c>
      <c r="AP122" s="4">
        <v>1</v>
      </c>
      <c r="AQ122" s="4">
        <v>1</v>
      </c>
    </row>
    <row r="123" spans="12:43">
      <c r="L123" s="14">
        <v>119</v>
      </c>
      <c r="M123" s="38" t="s">
        <v>39</v>
      </c>
      <c r="N123" s="38" t="s">
        <v>90</v>
      </c>
      <c r="O123" s="38" t="s">
        <v>34</v>
      </c>
      <c r="P123" s="38" t="s">
        <v>39</v>
      </c>
      <c r="Q123" s="38" t="s">
        <v>40</v>
      </c>
      <c r="R123" s="38" t="s">
        <v>25</v>
      </c>
      <c r="S123" s="24" t="s">
        <v>40</v>
      </c>
      <c r="U123" s="37">
        <f t="shared" si="8"/>
        <v>5</v>
      </c>
      <c r="V123" s="37">
        <f t="shared" si="8"/>
        <v>6</v>
      </c>
      <c r="W123" s="37">
        <f t="shared" si="8"/>
        <v>16</v>
      </c>
      <c r="X123" s="37">
        <f t="shared" si="8"/>
        <v>5</v>
      </c>
      <c r="Y123" s="37">
        <f t="shared" si="8"/>
        <v>12</v>
      </c>
      <c r="Z123" s="37">
        <f t="shared" si="8"/>
        <v>5</v>
      </c>
      <c r="AA123" s="37">
        <f t="shared" si="7"/>
        <v>12</v>
      </c>
      <c r="AC123" s="18">
        <v>5</v>
      </c>
      <c r="AD123" s="18">
        <v>0</v>
      </c>
      <c r="AE123" s="18">
        <v>0</v>
      </c>
      <c r="AF123" s="18">
        <v>0</v>
      </c>
      <c r="AG123" s="18">
        <v>0</v>
      </c>
      <c r="AH123" s="18">
        <v>5</v>
      </c>
      <c r="AI123" s="18">
        <v>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1</v>
      </c>
      <c r="AQ123" s="4">
        <v>1</v>
      </c>
    </row>
    <row r="124" spans="12:43">
      <c r="L124" s="15">
        <v>120</v>
      </c>
      <c r="M124" s="38" t="s">
        <v>39</v>
      </c>
      <c r="N124" s="38" t="s">
        <v>37</v>
      </c>
      <c r="O124" s="38" t="s">
        <v>35</v>
      </c>
      <c r="P124" s="38" t="s">
        <v>39</v>
      </c>
      <c r="Q124" s="38" t="s">
        <v>40</v>
      </c>
      <c r="R124" s="38" t="s">
        <v>25</v>
      </c>
      <c r="S124" s="24" t="s">
        <v>37</v>
      </c>
      <c r="U124" s="37">
        <f t="shared" si="8"/>
        <v>5</v>
      </c>
      <c r="V124" s="37">
        <f t="shared" si="8"/>
        <v>13</v>
      </c>
      <c r="W124" s="37">
        <f t="shared" si="8"/>
        <v>15</v>
      </c>
      <c r="X124" s="37">
        <f t="shared" si="8"/>
        <v>5</v>
      </c>
      <c r="Y124" s="37">
        <f t="shared" si="8"/>
        <v>12</v>
      </c>
      <c r="Z124" s="37">
        <f t="shared" si="8"/>
        <v>5</v>
      </c>
      <c r="AA124" s="37">
        <f t="shared" si="7"/>
        <v>13</v>
      </c>
      <c r="AC124" s="18">
        <v>5</v>
      </c>
      <c r="AD124" s="18">
        <v>5</v>
      </c>
      <c r="AE124" s="18">
        <v>5</v>
      </c>
      <c r="AF124" s="18">
        <v>5</v>
      </c>
      <c r="AG124" s="18">
        <v>5</v>
      </c>
      <c r="AH124" s="18">
        <v>5</v>
      </c>
      <c r="AI124" s="4">
        <v>5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</row>
    <row r="125" spans="12:43">
      <c r="AC125" s="18" t="s">
        <v>22</v>
      </c>
      <c r="AD125" s="18" t="s">
        <v>22</v>
      </c>
      <c r="AE125" s="18" t="s">
        <v>22</v>
      </c>
      <c r="AF125" s="18" t="s">
        <v>22</v>
      </c>
      <c r="AG125" s="18" t="s">
        <v>22</v>
      </c>
      <c r="AH125" s="18" t="s">
        <v>22</v>
      </c>
      <c r="AI125" s="4" t="s">
        <v>22</v>
      </c>
      <c r="AK125" s="4" t="s">
        <v>22</v>
      </c>
      <c r="AL125" s="4" t="s">
        <v>22</v>
      </c>
      <c r="AM125" s="4" t="s">
        <v>22</v>
      </c>
      <c r="AN125" s="4" t="s">
        <v>22</v>
      </c>
      <c r="AO125" s="4" t="s">
        <v>22</v>
      </c>
      <c r="AP125" s="4" t="s">
        <v>22</v>
      </c>
      <c r="AQ125" s="4" t="s">
        <v>22</v>
      </c>
    </row>
    <row r="126" spans="12:43">
      <c r="AC126" s="18" t="s">
        <v>22</v>
      </c>
      <c r="AD126" s="18" t="s">
        <v>22</v>
      </c>
      <c r="AE126" s="18" t="s">
        <v>22</v>
      </c>
      <c r="AF126" s="18" t="s">
        <v>22</v>
      </c>
      <c r="AG126" s="18" t="s">
        <v>22</v>
      </c>
      <c r="AH126" s="18" t="s">
        <v>22</v>
      </c>
      <c r="AI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  <c r="AQ126" s="4" t="s">
        <v>22</v>
      </c>
    </row>
    <row r="127" spans="12:43">
      <c r="AC127" s="18" t="s">
        <v>22</v>
      </c>
      <c r="AD127" s="18" t="s">
        <v>22</v>
      </c>
      <c r="AE127" s="18" t="s">
        <v>22</v>
      </c>
      <c r="AF127" s="18" t="s">
        <v>22</v>
      </c>
      <c r="AG127" s="18" t="s">
        <v>22</v>
      </c>
      <c r="AH127" s="18" t="s">
        <v>22</v>
      </c>
      <c r="AI127" s="4" t="s">
        <v>22</v>
      </c>
      <c r="AK127" s="4" t="s">
        <v>22</v>
      </c>
      <c r="AL127" s="4" t="s">
        <v>22</v>
      </c>
      <c r="AM127" s="4" t="s">
        <v>22</v>
      </c>
      <c r="AN127" s="4" t="s">
        <v>22</v>
      </c>
      <c r="AO127" s="4" t="s">
        <v>22</v>
      </c>
      <c r="AP127" s="4" t="s">
        <v>22</v>
      </c>
      <c r="AQ127" s="4" t="s">
        <v>22</v>
      </c>
    </row>
    <row r="128" spans="12:43">
      <c r="AC128" s="18" t="s">
        <v>22</v>
      </c>
      <c r="AD128" s="18" t="s">
        <v>22</v>
      </c>
      <c r="AE128" s="18" t="s">
        <v>22</v>
      </c>
      <c r="AF128" s="18" t="s">
        <v>22</v>
      </c>
      <c r="AG128" s="18" t="s">
        <v>22</v>
      </c>
      <c r="AH128" s="18" t="s">
        <v>22</v>
      </c>
      <c r="AI128" s="4" t="s">
        <v>22</v>
      </c>
      <c r="AK128" s="4" t="s">
        <v>22</v>
      </c>
      <c r="AL128" s="4" t="s">
        <v>22</v>
      </c>
      <c r="AM128" s="4" t="s">
        <v>22</v>
      </c>
      <c r="AN128" s="4" t="s">
        <v>22</v>
      </c>
      <c r="AO128" s="4" t="s">
        <v>22</v>
      </c>
      <c r="AP128" s="4" t="s">
        <v>22</v>
      </c>
      <c r="AQ128" s="4" t="s">
        <v>22</v>
      </c>
    </row>
    <row r="129" spans="29:43">
      <c r="AC129" s="18" t="s">
        <v>22</v>
      </c>
      <c r="AD129" s="18" t="s">
        <v>22</v>
      </c>
      <c r="AE129" s="18" t="s">
        <v>22</v>
      </c>
      <c r="AF129" s="18" t="s">
        <v>22</v>
      </c>
      <c r="AG129" s="18" t="s">
        <v>22</v>
      </c>
      <c r="AH129" s="18" t="s">
        <v>22</v>
      </c>
      <c r="AI129" s="4" t="s">
        <v>22</v>
      </c>
      <c r="AK129" s="4" t="s">
        <v>22</v>
      </c>
      <c r="AL129" s="4" t="s">
        <v>22</v>
      </c>
      <c r="AM129" s="4" t="s">
        <v>22</v>
      </c>
      <c r="AN129" s="4" t="s">
        <v>22</v>
      </c>
      <c r="AO129" s="4" t="s">
        <v>22</v>
      </c>
      <c r="AP129" s="4" t="s">
        <v>22</v>
      </c>
      <c r="AQ129" s="4" t="s">
        <v>22</v>
      </c>
    </row>
    <row r="130" spans="29:43">
      <c r="AC130" s="18" t="s">
        <v>22</v>
      </c>
      <c r="AD130" s="18" t="s">
        <v>22</v>
      </c>
      <c r="AE130" s="18" t="s">
        <v>22</v>
      </c>
      <c r="AF130" s="18" t="s">
        <v>22</v>
      </c>
      <c r="AG130" s="18" t="s">
        <v>22</v>
      </c>
      <c r="AH130" s="18" t="s">
        <v>22</v>
      </c>
      <c r="AI130" s="4" t="s">
        <v>22</v>
      </c>
      <c r="AK130" s="4" t="s">
        <v>22</v>
      </c>
      <c r="AL130" s="4" t="s">
        <v>22</v>
      </c>
      <c r="AM130" s="4" t="s">
        <v>22</v>
      </c>
      <c r="AN130" s="4" t="s">
        <v>22</v>
      </c>
      <c r="AO130" s="4" t="s">
        <v>22</v>
      </c>
      <c r="AP130" s="4" t="s">
        <v>22</v>
      </c>
      <c r="AQ130" s="4" t="s">
        <v>22</v>
      </c>
    </row>
    <row r="131" spans="29:43">
      <c r="AC131" s="18" t="s">
        <v>22</v>
      </c>
      <c r="AD131" s="18" t="s">
        <v>22</v>
      </c>
      <c r="AE131" s="18" t="s">
        <v>22</v>
      </c>
      <c r="AF131" s="18" t="s">
        <v>22</v>
      </c>
      <c r="AG131" s="18" t="s">
        <v>22</v>
      </c>
      <c r="AH131" s="18" t="s">
        <v>22</v>
      </c>
      <c r="AI131" s="4" t="s">
        <v>22</v>
      </c>
      <c r="AK131" s="4" t="s">
        <v>22</v>
      </c>
      <c r="AL131" s="4" t="s">
        <v>22</v>
      </c>
      <c r="AM131" s="4" t="s">
        <v>22</v>
      </c>
      <c r="AN131" s="4" t="s">
        <v>22</v>
      </c>
      <c r="AO131" s="4" t="s">
        <v>22</v>
      </c>
      <c r="AP131" s="4" t="s">
        <v>22</v>
      </c>
      <c r="AQ131" s="4" t="s">
        <v>22</v>
      </c>
    </row>
    <row r="132" spans="29:43">
      <c r="AC132" s="18" t="s">
        <v>22</v>
      </c>
      <c r="AD132" s="18" t="s">
        <v>22</v>
      </c>
      <c r="AE132" s="18" t="s">
        <v>22</v>
      </c>
      <c r="AF132" s="18" t="s">
        <v>22</v>
      </c>
      <c r="AG132" s="18" t="s">
        <v>22</v>
      </c>
      <c r="AH132" s="18" t="s">
        <v>22</v>
      </c>
      <c r="AI132" s="4" t="s">
        <v>22</v>
      </c>
      <c r="AK132" s="4" t="s">
        <v>22</v>
      </c>
      <c r="AL132" s="4" t="s">
        <v>22</v>
      </c>
      <c r="AM132" s="4" t="s">
        <v>22</v>
      </c>
      <c r="AN132" s="4" t="s">
        <v>22</v>
      </c>
      <c r="AO132" s="4" t="s">
        <v>22</v>
      </c>
      <c r="AP132" s="4" t="s">
        <v>22</v>
      </c>
      <c r="AQ132" s="4" t="s">
        <v>22</v>
      </c>
    </row>
    <row r="133" spans="29:43">
      <c r="AC133" s="18" t="s">
        <v>22</v>
      </c>
      <c r="AD133" s="18" t="s">
        <v>22</v>
      </c>
      <c r="AE133" s="18" t="s">
        <v>22</v>
      </c>
      <c r="AF133" s="18" t="s">
        <v>22</v>
      </c>
      <c r="AG133" s="18" t="s">
        <v>22</v>
      </c>
      <c r="AH133" s="18" t="s">
        <v>22</v>
      </c>
      <c r="AI133" s="4" t="s">
        <v>22</v>
      </c>
      <c r="AK133" s="4" t="s">
        <v>22</v>
      </c>
      <c r="AL133" s="4" t="s">
        <v>22</v>
      </c>
      <c r="AM133" s="4" t="s">
        <v>22</v>
      </c>
      <c r="AN133" s="4" t="s">
        <v>22</v>
      </c>
      <c r="AO133" s="4" t="s">
        <v>22</v>
      </c>
      <c r="AP133" s="4" t="s">
        <v>22</v>
      </c>
      <c r="AQ133" s="4" t="s">
        <v>22</v>
      </c>
    </row>
    <row r="134" spans="29:43">
      <c r="AC134" s="18" t="s">
        <v>22</v>
      </c>
      <c r="AD134" s="18" t="s">
        <v>22</v>
      </c>
      <c r="AE134" s="18" t="s">
        <v>22</v>
      </c>
      <c r="AF134" s="18" t="s">
        <v>22</v>
      </c>
      <c r="AG134" s="18" t="s">
        <v>22</v>
      </c>
      <c r="AH134" s="18" t="s">
        <v>22</v>
      </c>
      <c r="AI134" s="4" t="s">
        <v>22</v>
      </c>
      <c r="AK134" s="4" t="s">
        <v>22</v>
      </c>
      <c r="AL134" s="4" t="s">
        <v>22</v>
      </c>
      <c r="AM134" s="4" t="s">
        <v>22</v>
      </c>
      <c r="AN134" s="4" t="s">
        <v>22</v>
      </c>
      <c r="AO134" s="4" t="s">
        <v>22</v>
      </c>
      <c r="AP134" s="4" t="s">
        <v>22</v>
      </c>
      <c r="AQ134" s="4" t="s">
        <v>22</v>
      </c>
    </row>
    <row r="135" spans="29:43">
      <c r="AC135" s="18" t="s">
        <v>22</v>
      </c>
      <c r="AD135" s="18" t="s">
        <v>22</v>
      </c>
      <c r="AE135" s="18" t="s">
        <v>22</v>
      </c>
      <c r="AF135" s="18" t="s">
        <v>22</v>
      </c>
      <c r="AG135" s="18" t="s">
        <v>22</v>
      </c>
      <c r="AH135" s="18" t="s">
        <v>22</v>
      </c>
      <c r="AI135" s="4" t="s">
        <v>22</v>
      </c>
      <c r="AK135" s="4" t="s">
        <v>22</v>
      </c>
      <c r="AL135" s="4" t="s">
        <v>22</v>
      </c>
      <c r="AM135" s="4" t="s">
        <v>22</v>
      </c>
      <c r="AN135" s="4" t="s">
        <v>22</v>
      </c>
      <c r="AO135" s="4" t="s">
        <v>22</v>
      </c>
      <c r="AP135" s="4" t="s">
        <v>22</v>
      </c>
      <c r="AQ135" s="4" t="s">
        <v>22</v>
      </c>
    </row>
    <row r="136" spans="29:43">
      <c r="AC136" s="18" t="s">
        <v>22</v>
      </c>
      <c r="AD136" s="18" t="s">
        <v>22</v>
      </c>
      <c r="AE136" s="18" t="s">
        <v>22</v>
      </c>
      <c r="AF136" s="18" t="s">
        <v>22</v>
      </c>
      <c r="AG136" s="18" t="s">
        <v>22</v>
      </c>
      <c r="AH136" s="18" t="s">
        <v>22</v>
      </c>
      <c r="AI136" s="4" t="s">
        <v>22</v>
      </c>
      <c r="AK136" s="4" t="s">
        <v>22</v>
      </c>
      <c r="AL136" s="4" t="s">
        <v>22</v>
      </c>
      <c r="AM136" s="4" t="s">
        <v>22</v>
      </c>
      <c r="AN136" s="4" t="s">
        <v>22</v>
      </c>
      <c r="AO136" s="4" t="s">
        <v>22</v>
      </c>
      <c r="AP136" s="4" t="s">
        <v>22</v>
      </c>
      <c r="AQ136" s="4" t="s">
        <v>22</v>
      </c>
    </row>
    <row r="137" spans="29:43">
      <c r="AC137" s="18" t="s">
        <v>22</v>
      </c>
      <c r="AD137" s="18" t="s">
        <v>22</v>
      </c>
      <c r="AE137" s="18" t="s">
        <v>22</v>
      </c>
      <c r="AF137" s="18" t="s">
        <v>22</v>
      </c>
      <c r="AG137" s="18" t="s">
        <v>22</v>
      </c>
      <c r="AH137" s="18" t="s">
        <v>22</v>
      </c>
      <c r="AI137" s="4" t="s">
        <v>22</v>
      </c>
      <c r="AK137" s="4" t="s">
        <v>22</v>
      </c>
      <c r="AL137" s="4" t="s">
        <v>22</v>
      </c>
      <c r="AM137" s="4" t="s">
        <v>22</v>
      </c>
      <c r="AN137" s="4" t="s">
        <v>22</v>
      </c>
      <c r="AO137" s="4" t="s">
        <v>22</v>
      </c>
      <c r="AP137" s="4" t="s">
        <v>22</v>
      </c>
      <c r="AQ137" s="4" t="s">
        <v>22</v>
      </c>
    </row>
    <row r="138" spans="29:43">
      <c r="AC138" s="18" t="s">
        <v>22</v>
      </c>
      <c r="AD138" s="18" t="s">
        <v>22</v>
      </c>
      <c r="AE138" s="18" t="s">
        <v>22</v>
      </c>
      <c r="AF138" s="18" t="s">
        <v>22</v>
      </c>
      <c r="AG138" s="18" t="s">
        <v>22</v>
      </c>
      <c r="AH138" s="18" t="s">
        <v>22</v>
      </c>
      <c r="AI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  <c r="AQ138" s="4" t="s">
        <v>22</v>
      </c>
    </row>
    <row r="139" spans="29:43">
      <c r="AC139" s="18" t="s">
        <v>22</v>
      </c>
      <c r="AD139" s="18" t="s">
        <v>22</v>
      </c>
      <c r="AE139" s="18" t="s">
        <v>22</v>
      </c>
      <c r="AF139" s="18" t="s">
        <v>22</v>
      </c>
      <c r="AG139" s="18" t="s">
        <v>22</v>
      </c>
      <c r="AH139" s="18" t="s">
        <v>22</v>
      </c>
      <c r="AI139" s="4" t="s">
        <v>22</v>
      </c>
      <c r="AK139" s="4" t="s">
        <v>22</v>
      </c>
      <c r="AL139" s="4" t="s">
        <v>22</v>
      </c>
      <c r="AM139" s="4" t="s">
        <v>22</v>
      </c>
      <c r="AN139" s="4" t="s">
        <v>22</v>
      </c>
      <c r="AO139" s="4" t="s">
        <v>22</v>
      </c>
      <c r="AP139" s="4" t="s">
        <v>22</v>
      </c>
      <c r="AQ139" s="4" t="s">
        <v>22</v>
      </c>
    </row>
    <row r="140" spans="29:43">
      <c r="AC140" s="18" t="s">
        <v>22</v>
      </c>
      <c r="AD140" s="18" t="s">
        <v>22</v>
      </c>
      <c r="AE140" s="18" t="s">
        <v>22</v>
      </c>
      <c r="AF140" s="18" t="s">
        <v>22</v>
      </c>
      <c r="AG140" s="18" t="s">
        <v>22</v>
      </c>
      <c r="AH140" s="18" t="s">
        <v>22</v>
      </c>
      <c r="AI140" s="4" t="s">
        <v>22</v>
      </c>
      <c r="AK140" s="4" t="s">
        <v>22</v>
      </c>
      <c r="AL140" s="4" t="s">
        <v>22</v>
      </c>
      <c r="AM140" s="4" t="s">
        <v>22</v>
      </c>
      <c r="AN140" s="4" t="s">
        <v>22</v>
      </c>
      <c r="AO140" s="4" t="s">
        <v>22</v>
      </c>
      <c r="AP140" s="4" t="s">
        <v>22</v>
      </c>
      <c r="AQ140" s="4" t="s">
        <v>22</v>
      </c>
    </row>
    <row r="141" spans="29:43">
      <c r="AC141" s="18" t="s">
        <v>22</v>
      </c>
      <c r="AD141" s="18" t="s">
        <v>22</v>
      </c>
      <c r="AE141" s="18" t="s">
        <v>22</v>
      </c>
      <c r="AF141" s="18" t="s">
        <v>22</v>
      </c>
      <c r="AG141" s="18" t="s">
        <v>22</v>
      </c>
      <c r="AH141" s="18" t="s">
        <v>22</v>
      </c>
      <c r="AI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  <c r="AQ141" s="4" t="s">
        <v>22</v>
      </c>
    </row>
    <row r="142" spans="29:43">
      <c r="AC142" s="18" t="s">
        <v>22</v>
      </c>
      <c r="AD142" s="18" t="s">
        <v>22</v>
      </c>
      <c r="AE142" s="18" t="s">
        <v>22</v>
      </c>
      <c r="AF142" s="18" t="s">
        <v>22</v>
      </c>
      <c r="AG142" s="18" t="s">
        <v>22</v>
      </c>
      <c r="AH142" s="18" t="s">
        <v>22</v>
      </c>
      <c r="AI142" s="4" t="s">
        <v>22</v>
      </c>
      <c r="AK142" s="4" t="s">
        <v>22</v>
      </c>
      <c r="AL142" s="4" t="s">
        <v>22</v>
      </c>
      <c r="AM142" s="4" t="s">
        <v>22</v>
      </c>
      <c r="AN142" s="4" t="s">
        <v>22</v>
      </c>
      <c r="AO142" s="4" t="s">
        <v>22</v>
      </c>
      <c r="AP142" s="4" t="s">
        <v>22</v>
      </c>
      <c r="AQ142" s="4" t="s">
        <v>22</v>
      </c>
    </row>
    <row r="143" spans="29:43">
      <c r="AC143" s="18" t="s">
        <v>22</v>
      </c>
      <c r="AD143" s="18" t="s">
        <v>22</v>
      </c>
      <c r="AE143" s="18" t="s">
        <v>22</v>
      </c>
      <c r="AF143" s="18" t="s">
        <v>22</v>
      </c>
      <c r="AG143" s="18" t="s">
        <v>22</v>
      </c>
      <c r="AH143" s="18" t="s">
        <v>22</v>
      </c>
      <c r="AI143" s="4" t="s">
        <v>22</v>
      </c>
      <c r="AK143" s="4" t="s">
        <v>22</v>
      </c>
      <c r="AL143" s="4" t="s">
        <v>22</v>
      </c>
      <c r="AM143" s="4" t="s">
        <v>22</v>
      </c>
      <c r="AN143" s="4" t="s">
        <v>22</v>
      </c>
      <c r="AO143" s="4" t="s">
        <v>22</v>
      </c>
      <c r="AP143" s="4" t="s">
        <v>22</v>
      </c>
      <c r="AQ143" s="4" t="s">
        <v>22</v>
      </c>
    </row>
    <row r="144" spans="29:43">
      <c r="AC144" s="18" t="s">
        <v>22</v>
      </c>
      <c r="AD144" s="18" t="s">
        <v>22</v>
      </c>
      <c r="AE144" s="18" t="s">
        <v>22</v>
      </c>
      <c r="AF144" s="18" t="s">
        <v>22</v>
      </c>
      <c r="AG144" s="18" t="s">
        <v>22</v>
      </c>
      <c r="AH144" s="18" t="s">
        <v>22</v>
      </c>
      <c r="AI144" s="4" t="s">
        <v>22</v>
      </c>
      <c r="AK144" s="4" t="s">
        <v>22</v>
      </c>
      <c r="AL144" s="4" t="s">
        <v>22</v>
      </c>
      <c r="AM144" s="4" t="s">
        <v>22</v>
      </c>
      <c r="AN144" s="4" t="s">
        <v>22</v>
      </c>
      <c r="AO144" s="4" t="s">
        <v>22</v>
      </c>
      <c r="AP144" s="4" t="s">
        <v>22</v>
      </c>
      <c r="AQ144" s="4" t="s">
        <v>22</v>
      </c>
    </row>
    <row r="145" spans="29:43">
      <c r="AC145" s="18" t="s">
        <v>22</v>
      </c>
      <c r="AD145" s="18" t="s">
        <v>22</v>
      </c>
      <c r="AE145" s="18" t="s">
        <v>22</v>
      </c>
      <c r="AF145" s="18" t="s">
        <v>22</v>
      </c>
      <c r="AG145" s="18" t="s">
        <v>22</v>
      </c>
      <c r="AH145" s="18" t="s">
        <v>22</v>
      </c>
      <c r="AI145" s="4" t="s">
        <v>22</v>
      </c>
      <c r="AK145" s="4" t="s">
        <v>22</v>
      </c>
      <c r="AL145" s="4" t="s">
        <v>22</v>
      </c>
      <c r="AM145" s="4" t="s">
        <v>22</v>
      </c>
      <c r="AN145" s="4" t="s">
        <v>22</v>
      </c>
      <c r="AO145" s="4" t="s">
        <v>22</v>
      </c>
      <c r="AP145" s="4" t="s">
        <v>22</v>
      </c>
      <c r="AQ145" s="4" t="s">
        <v>22</v>
      </c>
    </row>
    <row r="146" spans="29:43">
      <c r="AC146" s="18" t="s">
        <v>22</v>
      </c>
      <c r="AD146" s="18" t="s">
        <v>22</v>
      </c>
      <c r="AE146" s="18" t="s">
        <v>22</v>
      </c>
      <c r="AF146" s="18" t="s">
        <v>22</v>
      </c>
      <c r="AG146" s="18" t="s">
        <v>22</v>
      </c>
      <c r="AH146" s="18" t="s">
        <v>22</v>
      </c>
      <c r="AI146" s="4" t="s">
        <v>22</v>
      </c>
      <c r="AK146" s="4" t="s">
        <v>22</v>
      </c>
      <c r="AL146" s="4" t="s">
        <v>22</v>
      </c>
      <c r="AM146" s="4" t="s">
        <v>22</v>
      </c>
      <c r="AN146" s="4" t="s">
        <v>22</v>
      </c>
      <c r="AO146" s="4" t="s">
        <v>22</v>
      </c>
      <c r="AP146" s="4" t="s">
        <v>22</v>
      </c>
      <c r="AQ146" s="4" t="s">
        <v>22</v>
      </c>
    </row>
    <row r="147" spans="29:43">
      <c r="AC147" s="18" t="s">
        <v>22</v>
      </c>
      <c r="AD147" s="18" t="s">
        <v>22</v>
      </c>
      <c r="AE147" s="18" t="s">
        <v>22</v>
      </c>
      <c r="AF147" s="18" t="s">
        <v>22</v>
      </c>
      <c r="AG147" s="18" t="s">
        <v>22</v>
      </c>
      <c r="AH147" s="18" t="s">
        <v>22</v>
      </c>
      <c r="AI147" s="4" t="s">
        <v>22</v>
      </c>
      <c r="AK147" s="4" t="s">
        <v>22</v>
      </c>
      <c r="AL147" s="4" t="s">
        <v>22</v>
      </c>
      <c r="AM147" s="4" t="s">
        <v>22</v>
      </c>
      <c r="AN147" s="4" t="s">
        <v>22</v>
      </c>
      <c r="AO147" s="4" t="s">
        <v>22</v>
      </c>
      <c r="AP147" s="4" t="s">
        <v>22</v>
      </c>
      <c r="AQ147" s="4" t="s">
        <v>22</v>
      </c>
    </row>
    <row r="148" spans="29:43">
      <c r="AC148" s="18" t="s">
        <v>22</v>
      </c>
      <c r="AD148" s="18" t="s">
        <v>22</v>
      </c>
      <c r="AE148" s="18" t="s">
        <v>22</v>
      </c>
      <c r="AF148" s="18" t="s">
        <v>22</v>
      </c>
      <c r="AG148" s="18" t="s">
        <v>22</v>
      </c>
      <c r="AH148" s="18" t="s">
        <v>22</v>
      </c>
      <c r="AI148" s="4" t="s">
        <v>22</v>
      </c>
      <c r="AK148" s="4" t="s">
        <v>22</v>
      </c>
      <c r="AL148" s="4" t="s">
        <v>22</v>
      </c>
      <c r="AM148" s="4" t="s">
        <v>22</v>
      </c>
      <c r="AN148" s="4" t="s">
        <v>22</v>
      </c>
      <c r="AO148" s="4" t="s">
        <v>22</v>
      </c>
      <c r="AP148" s="4" t="s">
        <v>22</v>
      </c>
      <c r="AQ148" s="4" t="s">
        <v>22</v>
      </c>
    </row>
    <row r="149" spans="29:43">
      <c r="AC149" s="18" t="s">
        <v>22</v>
      </c>
      <c r="AD149" s="18" t="s">
        <v>22</v>
      </c>
      <c r="AE149" s="18" t="s">
        <v>22</v>
      </c>
      <c r="AF149" s="18" t="s">
        <v>22</v>
      </c>
      <c r="AG149" s="18" t="s">
        <v>22</v>
      </c>
      <c r="AH149" s="18" t="s">
        <v>22</v>
      </c>
      <c r="AI149" s="4" t="s">
        <v>22</v>
      </c>
      <c r="AK149" s="4" t="s">
        <v>22</v>
      </c>
      <c r="AL149" s="4" t="s">
        <v>22</v>
      </c>
      <c r="AM149" s="4" t="s">
        <v>22</v>
      </c>
      <c r="AN149" s="4" t="s">
        <v>22</v>
      </c>
      <c r="AO149" s="4" t="s">
        <v>22</v>
      </c>
      <c r="AP149" s="4" t="s">
        <v>22</v>
      </c>
      <c r="AQ149" s="4" t="s">
        <v>22</v>
      </c>
    </row>
    <row r="150" spans="29:43">
      <c r="AC150" s="18" t="s">
        <v>22</v>
      </c>
      <c r="AD150" s="18" t="s">
        <v>22</v>
      </c>
      <c r="AE150" s="18" t="s">
        <v>22</v>
      </c>
      <c r="AF150" s="18" t="s">
        <v>22</v>
      </c>
      <c r="AG150" s="18" t="s">
        <v>22</v>
      </c>
      <c r="AH150" s="18" t="s">
        <v>22</v>
      </c>
      <c r="AI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  <c r="AO150" s="4" t="s">
        <v>22</v>
      </c>
      <c r="AP150" s="4" t="s">
        <v>22</v>
      </c>
      <c r="AQ150" s="4" t="s">
        <v>22</v>
      </c>
    </row>
    <row r="151" spans="29:43">
      <c r="AC151" s="18" t="s">
        <v>22</v>
      </c>
      <c r="AD151" s="18" t="s">
        <v>22</v>
      </c>
      <c r="AE151" s="18" t="s">
        <v>22</v>
      </c>
      <c r="AF151" s="18" t="s">
        <v>22</v>
      </c>
      <c r="AG151" s="18" t="s">
        <v>22</v>
      </c>
      <c r="AH151" s="18" t="s">
        <v>22</v>
      </c>
      <c r="AI151" s="4" t="s">
        <v>22</v>
      </c>
      <c r="AK151" s="4" t="s">
        <v>22</v>
      </c>
      <c r="AL151" s="4" t="s">
        <v>22</v>
      </c>
      <c r="AM151" s="4" t="s">
        <v>22</v>
      </c>
      <c r="AN151" s="4" t="s">
        <v>22</v>
      </c>
      <c r="AO151" s="4" t="s">
        <v>22</v>
      </c>
      <c r="AP151" s="4" t="s">
        <v>22</v>
      </c>
      <c r="AQ151" s="4" t="s">
        <v>22</v>
      </c>
    </row>
    <row r="152" spans="29:43">
      <c r="AC152" s="18" t="s">
        <v>22</v>
      </c>
      <c r="AD152" s="18" t="s">
        <v>22</v>
      </c>
      <c r="AE152" s="18" t="s">
        <v>22</v>
      </c>
      <c r="AF152" s="18" t="s">
        <v>22</v>
      </c>
      <c r="AG152" s="18" t="s">
        <v>22</v>
      </c>
      <c r="AH152" s="18" t="s">
        <v>22</v>
      </c>
      <c r="AI152" s="4" t="s">
        <v>22</v>
      </c>
      <c r="AK152" s="4" t="s">
        <v>22</v>
      </c>
      <c r="AL152" s="4" t="s">
        <v>22</v>
      </c>
      <c r="AM152" s="4" t="s">
        <v>22</v>
      </c>
      <c r="AN152" s="4" t="s">
        <v>22</v>
      </c>
      <c r="AO152" s="4" t="s">
        <v>22</v>
      </c>
      <c r="AP152" s="4" t="s">
        <v>22</v>
      </c>
      <c r="AQ152" s="4" t="s">
        <v>22</v>
      </c>
    </row>
    <row r="153" spans="29:43">
      <c r="AC153" s="18" t="s">
        <v>22</v>
      </c>
      <c r="AD153" s="18" t="s">
        <v>22</v>
      </c>
      <c r="AE153" s="18" t="s">
        <v>22</v>
      </c>
      <c r="AF153" s="18" t="s">
        <v>22</v>
      </c>
      <c r="AG153" s="18" t="s">
        <v>22</v>
      </c>
      <c r="AH153" s="18" t="s">
        <v>22</v>
      </c>
      <c r="AI153" s="4" t="s">
        <v>22</v>
      </c>
      <c r="AK153" s="4" t="s">
        <v>22</v>
      </c>
      <c r="AL153" s="4" t="s">
        <v>22</v>
      </c>
      <c r="AM153" s="4" t="s">
        <v>22</v>
      </c>
      <c r="AN153" s="4" t="s">
        <v>22</v>
      </c>
      <c r="AO153" s="4" t="s">
        <v>22</v>
      </c>
      <c r="AP153" s="4" t="s">
        <v>22</v>
      </c>
      <c r="AQ153" s="4" t="s">
        <v>22</v>
      </c>
    </row>
    <row r="154" spans="29:43">
      <c r="AC154" s="18" t="s">
        <v>22</v>
      </c>
      <c r="AD154" s="18" t="s">
        <v>22</v>
      </c>
      <c r="AE154" s="18" t="s">
        <v>22</v>
      </c>
      <c r="AF154" s="18" t="s">
        <v>22</v>
      </c>
      <c r="AG154" s="18" t="s">
        <v>22</v>
      </c>
      <c r="AH154" s="18" t="s">
        <v>22</v>
      </c>
      <c r="AI154" s="4" t="s">
        <v>22</v>
      </c>
      <c r="AK154" s="4" t="s">
        <v>22</v>
      </c>
      <c r="AL154" s="4" t="s">
        <v>22</v>
      </c>
      <c r="AM154" s="4" t="s">
        <v>22</v>
      </c>
      <c r="AN154" s="4" t="s">
        <v>22</v>
      </c>
      <c r="AO154" s="4" t="s">
        <v>22</v>
      </c>
      <c r="AP154" s="4" t="s">
        <v>22</v>
      </c>
      <c r="AQ154" s="4" t="s">
        <v>22</v>
      </c>
    </row>
    <row r="155" spans="29:43">
      <c r="AC155" s="18" t="s">
        <v>22</v>
      </c>
      <c r="AD155" s="18" t="s">
        <v>22</v>
      </c>
      <c r="AE155" s="18" t="s">
        <v>22</v>
      </c>
      <c r="AF155" s="18" t="s">
        <v>22</v>
      </c>
      <c r="AG155" s="18" t="s">
        <v>22</v>
      </c>
      <c r="AH155" s="18" t="s">
        <v>22</v>
      </c>
      <c r="AI155" s="4" t="s">
        <v>22</v>
      </c>
      <c r="AK155" s="4" t="s">
        <v>22</v>
      </c>
      <c r="AL155" s="4" t="s">
        <v>22</v>
      </c>
      <c r="AM155" s="4" t="s">
        <v>22</v>
      </c>
      <c r="AN155" s="4" t="s">
        <v>22</v>
      </c>
      <c r="AO155" s="4" t="s">
        <v>22</v>
      </c>
      <c r="AP155" s="4" t="s">
        <v>22</v>
      </c>
      <c r="AQ155" s="4" t="s">
        <v>22</v>
      </c>
    </row>
    <row r="156" spans="29:43">
      <c r="AC156" s="18" t="s">
        <v>22</v>
      </c>
      <c r="AD156" s="18" t="s">
        <v>22</v>
      </c>
      <c r="AE156" s="18" t="s">
        <v>22</v>
      </c>
      <c r="AF156" s="18" t="s">
        <v>22</v>
      </c>
      <c r="AG156" s="18" t="s">
        <v>22</v>
      </c>
      <c r="AH156" s="18" t="s">
        <v>22</v>
      </c>
      <c r="AI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  <c r="AQ156" s="4" t="s">
        <v>22</v>
      </c>
    </row>
    <row r="157" spans="29:43">
      <c r="AC157" s="18" t="s">
        <v>22</v>
      </c>
      <c r="AD157" s="18" t="s">
        <v>22</v>
      </c>
      <c r="AE157" s="18" t="s">
        <v>22</v>
      </c>
      <c r="AF157" s="18" t="s">
        <v>22</v>
      </c>
      <c r="AG157" s="18" t="s">
        <v>22</v>
      </c>
      <c r="AH157" s="18" t="s">
        <v>22</v>
      </c>
      <c r="AI157" s="4" t="s">
        <v>22</v>
      </c>
      <c r="AK157" s="4" t="s">
        <v>22</v>
      </c>
      <c r="AL157" s="4" t="s">
        <v>22</v>
      </c>
      <c r="AM157" s="4" t="s">
        <v>22</v>
      </c>
      <c r="AN157" s="4" t="s">
        <v>22</v>
      </c>
      <c r="AO157" s="4" t="s">
        <v>22</v>
      </c>
      <c r="AP157" s="4" t="s">
        <v>22</v>
      </c>
      <c r="AQ157" s="4" t="s">
        <v>22</v>
      </c>
    </row>
    <row r="158" spans="29:43">
      <c r="AC158" s="18" t="s">
        <v>22</v>
      </c>
      <c r="AD158" s="18" t="s">
        <v>22</v>
      </c>
      <c r="AE158" s="18" t="s">
        <v>22</v>
      </c>
      <c r="AF158" s="18" t="s">
        <v>22</v>
      </c>
      <c r="AG158" s="18" t="s">
        <v>22</v>
      </c>
      <c r="AH158" s="18" t="s">
        <v>22</v>
      </c>
      <c r="AI158" s="4" t="s">
        <v>22</v>
      </c>
      <c r="AK158" s="4" t="s">
        <v>22</v>
      </c>
      <c r="AL158" s="4" t="s">
        <v>22</v>
      </c>
      <c r="AM158" s="4" t="s">
        <v>22</v>
      </c>
      <c r="AN158" s="4" t="s">
        <v>22</v>
      </c>
      <c r="AO158" s="4" t="s">
        <v>22</v>
      </c>
      <c r="AP158" s="4" t="s">
        <v>22</v>
      </c>
      <c r="AQ158" s="4" t="s">
        <v>22</v>
      </c>
    </row>
    <row r="159" spans="29:43">
      <c r="AC159" s="18" t="s">
        <v>22</v>
      </c>
      <c r="AD159" s="18" t="s">
        <v>22</v>
      </c>
      <c r="AE159" s="18" t="s">
        <v>22</v>
      </c>
      <c r="AF159" s="18" t="s">
        <v>22</v>
      </c>
      <c r="AG159" s="18" t="s">
        <v>22</v>
      </c>
      <c r="AH159" s="18" t="s">
        <v>22</v>
      </c>
      <c r="AI159" s="4" t="s">
        <v>22</v>
      </c>
      <c r="AK159" s="4" t="s">
        <v>22</v>
      </c>
      <c r="AL159" s="4" t="s">
        <v>22</v>
      </c>
      <c r="AM159" s="4" t="s">
        <v>22</v>
      </c>
      <c r="AN159" s="4" t="s">
        <v>22</v>
      </c>
      <c r="AO159" s="4" t="s">
        <v>22</v>
      </c>
      <c r="AP159" s="4" t="s">
        <v>22</v>
      </c>
      <c r="AQ159" s="4" t="s">
        <v>22</v>
      </c>
    </row>
    <row r="160" spans="29:43">
      <c r="AC160" s="18" t="s">
        <v>22</v>
      </c>
      <c r="AD160" s="18" t="s">
        <v>22</v>
      </c>
      <c r="AE160" s="18" t="s">
        <v>22</v>
      </c>
      <c r="AF160" s="18" t="s">
        <v>22</v>
      </c>
      <c r="AG160" s="18" t="s">
        <v>22</v>
      </c>
      <c r="AH160" s="18" t="s">
        <v>22</v>
      </c>
      <c r="AI160" s="4" t="s">
        <v>22</v>
      </c>
      <c r="AK160" s="4" t="s">
        <v>22</v>
      </c>
      <c r="AL160" s="4" t="s">
        <v>22</v>
      </c>
      <c r="AM160" s="4" t="s">
        <v>22</v>
      </c>
      <c r="AN160" s="4" t="s">
        <v>22</v>
      </c>
      <c r="AO160" s="4" t="s">
        <v>22</v>
      </c>
      <c r="AP160" s="4" t="s">
        <v>22</v>
      </c>
      <c r="AQ160" s="4" t="s">
        <v>22</v>
      </c>
    </row>
    <row r="161" spans="29:43">
      <c r="AC161" s="18" t="s">
        <v>22</v>
      </c>
      <c r="AD161" s="18" t="s">
        <v>22</v>
      </c>
      <c r="AE161" s="18" t="s">
        <v>22</v>
      </c>
      <c r="AF161" s="18" t="s">
        <v>22</v>
      </c>
      <c r="AG161" s="18" t="s">
        <v>22</v>
      </c>
      <c r="AH161" s="18" t="s">
        <v>22</v>
      </c>
      <c r="AI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  <c r="AQ161" s="4" t="s">
        <v>22</v>
      </c>
    </row>
    <row r="162" spans="29:43">
      <c r="AC162" s="18" t="s">
        <v>22</v>
      </c>
      <c r="AD162" s="18" t="s">
        <v>22</v>
      </c>
      <c r="AE162" s="18" t="s">
        <v>22</v>
      </c>
      <c r="AF162" s="18" t="s">
        <v>22</v>
      </c>
      <c r="AG162" s="18" t="s">
        <v>22</v>
      </c>
      <c r="AH162" s="18" t="s">
        <v>22</v>
      </c>
      <c r="AI162" s="4" t="s">
        <v>22</v>
      </c>
      <c r="AK162" s="4" t="s">
        <v>22</v>
      </c>
      <c r="AL162" s="4" t="s">
        <v>22</v>
      </c>
      <c r="AM162" s="4" t="s">
        <v>22</v>
      </c>
      <c r="AN162" s="4" t="s">
        <v>22</v>
      </c>
      <c r="AO162" s="4" t="s">
        <v>22</v>
      </c>
      <c r="AP162" s="4" t="s">
        <v>22</v>
      </c>
      <c r="AQ162" s="4" t="s">
        <v>22</v>
      </c>
    </row>
    <row r="163" spans="29:43">
      <c r="AC163" s="18" t="s">
        <v>22</v>
      </c>
      <c r="AD163" s="18" t="s">
        <v>22</v>
      </c>
      <c r="AE163" s="18" t="s">
        <v>22</v>
      </c>
      <c r="AF163" s="18" t="s">
        <v>22</v>
      </c>
      <c r="AG163" s="18" t="s">
        <v>22</v>
      </c>
      <c r="AH163" s="18" t="s">
        <v>22</v>
      </c>
      <c r="AI163" s="4" t="s">
        <v>22</v>
      </c>
      <c r="AK163" s="4" t="s">
        <v>22</v>
      </c>
      <c r="AL163" s="4" t="s">
        <v>22</v>
      </c>
      <c r="AM163" s="4" t="s">
        <v>22</v>
      </c>
      <c r="AN163" s="4" t="s">
        <v>22</v>
      </c>
      <c r="AO163" s="4" t="s">
        <v>22</v>
      </c>
      <c r="AP163" s="4" t="s">
        <v>22</v>
      </c>
      <c r="AQ163" s="4" t="s">
        <v>22</v>
      </c>
    </row>
    <row r="164" spans="29:43">
      <c r="AC164" s="18" t="s">
        <v>22</v>
      </c>
      <c r="AD164" s="18" t="s">
        <v>22</v>
      </c>
      <c r="AE164" s="18" t="s">
        <v>22</v>
      </c>
      <c r="AF164" s="18" t="s">
        <v>22</v>
      </c>
      <c r="AG164" s="18" t="s">
        <v>22</v>
      </c>
      <c r="AH164" s="18" t="s">
        <v>22</v>
      </c>
      <c r="AI164" s="4" t="s">
        <v>22</v>
      </c>
      <c r="AK164" s="4" t="s">
        <v>22</v>
      </c>
      <c r="AL164" s="4" t="s">
        <v>22</v>
      </c>
      <c r="AM164" s="4" t="s">
        <v>22</v>
      </c>
      <c r="AN164" s="4" t="s">
        <v>22</v>
      </c>
      <c r="AO164" s="4" t="s">
        <v>22</v>
      </c>
      <c r="AP164" s="4" t="s">
        <v>22</v>
      </c>
      <c r="AQ164" s="4" t="s">
        <v>22</v>
      </c>
    </row>
    <row r="165" spans="29:43">
      <c r="AC165" s="18" t="s">
        <v>22</v>
      </c>
      <c r="AD165" s="18" t="s">
        <v>22</v>
      </c>
      <c r="AE165" s="18" t="s">
        <v>22</v>
      </c>
      <c r="AF165" s="18" t="s">
        <v>22</v>
      </c>
      <c r="AG165" s="18" t="s">
        <v>22</v>
      </c>
      <c r="AH165" s="18" t="s">
        <v>22</v>
      </c>
      <c r="AI165" s="4" t="s">
        <v>22</v>
      </c>
      <c r="AK165" s="4" t="s">
        <v>22</v>
      </c>
      <c r="AL165" s="4" t="s">
        <v>22</v>
      </c>
      <c r="AM165" s="4" t="s">
        <v>22</v>
      </c>
      <c r="AN165" s="4" t="s">
        <v>22</v>
      </c>
      <c r="AO165" s="4" t="s">
        <v>22</v>
      </c>
      <c r="AP165" s="4" t="s">
        <v>22</v>
      </c>
      <c r="AQ165" s="4" t="s">
        <v>22</v>
      </c>
    </row>
    <row r="166" spans="29:43">
      <c r="AC166" s="18" t="s">
        <v>22</v>
      </c>
      <c r="AD166" s="18" t="s">
        <v>22</v>
      </c>
      <c r="AE166" s="18" t="s">
        <v>22</v>
      </c>
      <c r="AF166" s="18" t="s">
        <v>22</v>
      </c>
      <c r="AG166" s="18" t="s">
        <v>22</v>
      </c>
      <c r="AH166" s="18" t="s">
        <v>22</v>
      </c>
      <c r="AI166" s="4" t="s">
        <v>22</v>
      </c>
      <c r="AK166" s="4" t="s">
        <v>22</v>
      </c>
      <c r="AL166" s="4" t="s">
        <v>22</v>
      </c>
      <c r="AM166" s="4" t="s">
        <v>22</v>
      </c>
      <c r="AN166" s="4" t="s">
        <v>22</v>
      </c>
      <c r="AO166" s="4" t="s">
        <v>22</v>
      </c>
      <c r="AP166" s="4" t="s">
        <v>22</v>
      </c>
      <c r="AQ166" s="4" t="s">
        <v>22</v>
      </c>
    </row>
    <row r="167" spans="29:43">
      <c r="AC167" s="18" t="s">
        <v>22</v>
      </c>
      <c r="AD167" s="18" t="s">
        <v>22</v>
      </c>
      <c r="AE167" s="18" t="s">
        <v>22</v>
      </c>
      <c r="AF167" s="18" t="s">
        <v>22</v>
      </c>
      <c r="AG167" s="18" t="s">
        <v>22</v>
      </c>
      <c r="AH167" s="18" t="s">
        <v>22</v>
      </c>
      <c r="AI167" s="4" t="s">
        <v>22</v>
      </c>
      <c r="AK167" s="4" t="s">
        <v>22</v>
      </c>
      <c r="AL167" s="4" t="s">
        <v>22</v>
      </c>
      <c r="AM167" s="4" t="s">
        <v>22</v>
      </c>
      <c r="AN167" s="4" t="s">
        <v>22</v>
      </c>
      <c r="AO167" s="4" t="s">
        <v>22</v>
      </c>
      <c r="AP167" s="4" t="s">
        <v>22</v>
      </c>
      <c r="AQ167" s="4" t="s">
        <v>22</v>
      </c>
    </row>
    <row r="168" spans="29:43">
      <c r="AC168" s="18" t="s">
        <v>22</v>
      </c>
      <c r="AD168" s="18" t="s">
        <v>22</v>
      </c>
      <c r="AE168" s="18" t="s">
        <v>22</v>
      </c>
      <c r="AF168" s="18" t="s">
        <v>22</v>
      </c>
      <c r="AG168" s="18" t="s">
        <v>22</v>
      </c>
      <c r="AH168" s="18" t="s">
        <v>22</v>
      </c>
      <c r="AI168" s="4" t="s">
        <v>22</v>
      </c>
      <c r="AK168" s="4" t="s">
        <v>22</v>
      </c>
      <c r="AL168" s="4" t="s">
        <v>22</v>
      </c>
      <c r="AM168" s="4" t="s">
        <v>22</v>
      </c>
      <c r="AN168" s="4" t="s">
        <v>22</v>
      </c>
      <c r="AO168" s="4" t="s">
        <v>22</v>
      </c>
      <c r="AP168" s="4" t="s">
        <v>22</v>
      </c>
      <c r="AQ168" s="4" t="s">
        <v>22</v>
      </c>
    </row>
    <row r="169" spans="29:43">
      <c r="AC169" s="18" t="s">
        <v>22</v>
      </c>
      <c r="AD169" s="18" t="s">
        <v>22</v>
      </c>
      <c r="AE169" s="18" t="s">
        <v>22</v>
      </c>
      <c r="AF169" s="18" t="s">
        <v>22</v>
      </c>
      <c r="AG169" s="18" t="s">
        <v>22</v>
      </c>
      <c r="AH169" s="18" t="s">
        <v>22</v>
      </c>
      <c r="AI169" s="4" t="s">
        <v>22</v>
      </c>
      <c r="AK169" s="4" t="s">
        <v>22</v>
      </c>
      <c r="AL169" s="4" t="s">
        <v>22</v>
      </c>
      <c r="AM169" s="4" t="s">
        <v>22</v>
      </c>
      <c r="AN169" s="4" t="s">
        <v>22</v>
      </c>
      <c r="AO169" s="4" t="s">
        <v>22</v>
      </c>
      <c r="AP169" s="4" t="s">
        <v>22</v>
      </c>
      <c r="AQ169" s="4" t="s">
        <v>22</v>
      </c>
    </row>
    <row r="170" spans="29:43">
      <c r="AC170" s="18" t="s">
        <v>22</v>
      </c>
      <c r="AD170" s="18" t="s">
        <v>22</v>
      </c>
      <c r="AE170" s="18" t="s">
        <v>22</v>
      </c>
      <c r="AF170" s="18" t="s">
        <v>22</v>
      </c>
      <c r="AG170" s="18" t="s">
        <v>22</v>
      </c>
      <c r="AH170" s="18" t="s">
        <v>22</v>
      </c>
      <c r="AI170" s="4" t="s">
        <v>22</v>
      </c>
      <c r="AK170" s="4" t="s">
        <v>22</v>
      </c>
      <c r="AL170" s="4" t="s">
        <v>22</v>
      </c>
      <c r="AM170" s="4" t="s">
        <v>22</v>
      </c>
      <c r="AN170" s="4" t="s">
        <v>22</v>
      </c>
      <c r="AO170" s="4" t="s">
        <v>22</v>
      </c>
      <c r="AP170" s="4" t="s">
        <v>22</v>
      </c>
      <c r="AQ170" s="4" t="s">
        <v>22</v>
      </c>
    </row>
    <row r="171" spans="29:43">
      <c r="AC171" s="18" t="s">
        <v>22</v>
      </c>
      <c r="AD171" s="18" t="s">
        <v>22</v>
      </c>
      <c r="AE171" s="18" t="s">
        <v>22</v>
      </c>
      <c r="AF171" s="18" t="s">
        <v>22</v>
      </c>
      <c r="AG171" s="18" t="s">
        <v>22</v>
      </c>
      <c r="AH171" s="18" t="s">
        <v>22</v>
      </c>
      <c r="AI171" s="4" t="s">
        <v>22</v>
      </c>
      <c r="AK171" s="4" t="s">
        <v>22</v>
      </c>
      <c r="AL171" s="4" t="s">
        <v>22</v>
      </c>
      <c r="AM171" s="4" t="s">
        <v>22</v>
      </c>
      <c r="AN171" s="4" t="s">
        <v>22</v>
      </c>
      <c r="AO171" s="4" t="s">
        <v>22</v>
      </c>
      <c r="AP171" s="4" t="s">
        <v>22</v>
      </c>
      <c r="AQ171" s="4" t="s">
        <v>22</v>
      </c>
    </row>
    <row r="172" spans="29:43">
      <c r="AC172" s="18" t="s">
        <v>22</v>
      </c>
      <c r="AD172" s="18" t="s">
        <v>22</v>
      </c>
      <c r="AE172" s="18" t="s">
        <v>22</v>
      </c>
      <c r="AF172" s="18" t="s">
        <v>22</v>
      </c>
      <c r="AG172" s="18" t="s">
        <v>22</v>
      </c>
      <c r="AH172" s="18" t="s">
        <v>22</v>
      </c>
      <c r="AI172" s="4" t="s">
        <v>22</v>
      </c>
      <c r="AK172" s="4" t="s">
        <v>22</v>
      </c>
      <c r="AL172" s="4" t="s">
        <v>22</v>
      </c>
      <c r="AM172" s="4" t="s">
        <v>22</v>
      </c>
      <c r="AN172" s="4" t="s">
        <v>22</v>
      </c>
      <c r="AO172" s="4" t="s">
        <v>22</v>
      </c>
      <c r="AP172" s="4" t="s">
        <v>22</v>
      </c>
      <c r="AQ172" s="4" t="s">
        <v>22</v>
      </c>
    </row>
    <row r="173" spans="29:43">
      <c r="AC173" s="18" t="s">
        <v>22</v>
      </c>
      <c r="AD173" s="18" t="s">
        <v>22</v>
      </c>
      <c r="AE173" s="18" t="s">
        <v>22</v>
      </c>
      <c r="AF173" s="18" t="s">
        <v>22</v>
      </c>
      <c r="AG173" s="18" t="s">
        <v>22</v>
      </c>
      <c r="AH173" s="18" t="s">
        <v>22</v>
      </c>
      <c r="AI173" s="4" t="s">
        <v>22</v>
      </c>
      <c r="AK173" s="4" t="s">
        <v>22</v>
      </c>
      <c r="AL173" s="4" t="s">
        <v>22</v>
      </c>
      <c r="AM173" s="4" t="s">
        <v>22</v>
      </c>
      <c r="AN173" s="4" t="s">
        <v>22</v>
      </c>
      <c r="AO173" s="4" t="s">
        <v>22</v>
      </c>
      <c r="AP173" s="4" t="s">
        <v>22</v>
      </c>
      <c r="AQ173" s="4" t="s">
        <v>22</v>
      </c>
    </row>
    <row r="174" spans="29:43">
      <c r="AC174" s="18" t="s">
        <v>22</v>
      </c>
      <c r="AD174" s="18" t="s">
        <v>22</v>
      </c>
      <c r="AE174" s="18" t="s">
        <v>22</v>
      </c>
      <c r="AF174" s="18" t="s">
        <v>22</v>
      </c>
      <c r="AG174" s="18" t="s">
        <v>22</v>
      </c>
      <c r="AH174" s="18" t="s">
        <v>22</v>
      </c>
      <c r="AI174" s="4" t="s">
        <v>22</v>
      </c>
      <c r="AK174" s="4" t="s">
        <v>22</v>
      </c>
      <c r="AL174" s="4" t="s">
        <v>22</v>
      </c>
      <c r="AM174" s="4" t="s">
        <v>22</v>
      </c>
      <c r="AN174" s="4" t="s">
        <v>22</v>
      </c>
      <c r="AO174" s="4" t="s">
        <v>22</v>
      </c>
      <c r="AP174" s="4" t="s">
        <v>22</v>
      </c>
      <c r="AQ174" s="4" t="s">
        <v>22</v>
      </c>
    </row>
    <row r="175" spans="29:43">
      <c r="AC175" s="18" t="s">
        <v>22</v>
      </c>
      <c r="AD175" s="18" t="s">
        <v>22</v>
      </c>
      <c r="AE175" s="18" t="s">
        <v>22</v>
      </c>
      <c r="AF175" s="18" t="s">
        <v>22</v>
      </c>
      <c r="AG175" s="18" t="s">
        <v>22</v>
      </c>
      <c r="AH175" s="18" t="s">
        <v>22</v>
      </c>
      <c r="AI175" s="4" t="s">
        <v>22</v>
      </c>
      <c r="AK175" s="4" t="s">
        <v>22</v>
      </c>
      <c r="AL175" s="4" t="s">
        <v>22</v>
      </c>
      <c r="AM175" s="4" t="s">
        <v>22</v>
      </c>
      <c r="AN175" s="4" t="s">
        <v>22</v>
      </c>
      <c r="AO175" s="4" t="s">
        <v>22</v>
      </c>
      <c r="AP175" s="4" t="s">
        <v>22</v>
      </c>
      <c r="AQ175" s="4" t="s">
        <v>22</v>
      </c>
    </row>
    <row r="176" spans="29:43">
      <c r="AC176" s="18" t="s">
        <v>22</v>
      </c>
      <c r="AD176" s="18" t="s">
        <v>22</v>
      </c>
      <c r="AE176" s="18" t="s">
        <v>22</v>
      </c>
      <c r="AF176" s="18" t="s">
        <v>22</v>
      </c>
      <c r="AG176" s="18" t="s">
        <v>22</v>
      </c>
      <c r="AH176" s="18" t="s">
        <v>22</v>
      </c>
      <c r="AI176" s="4" t="s">
        <v>22</v>
      </c>
      <c r="AK176" s="4" t="s">
        <v>22</v>
      </c>
      <c r="AL176" s="4" t="s">
        <v>22</v>
      </c>
      <c r="AM176" s="4" t="s">
        <v>22</v>
      </c>
      <c r="AN176" s="4" t="s">
        <v>22</v>
      </c>
      <c r="AO176" s="4" t="s">
        <v>22</v>
      </c>
      <c r="AP176" s="4" t="s">
        <v>22</v>
      </c>
      <c r="AQ176" s="4" t="s">
        <v>22</v>
      </c>
    </row>
    <row r="177" spans="29:43">
      <c r="AC177" s="18" t="s">
        <v>22</v>
      </c>
      <c r="AD177" s="18" t="s">
        <v>22</v>
      </c>
      <c r="AE177" s="18" t="s">
        <v>22</v>
      </c>
      <c r="AF177" s="18" t="s">
        <v>22</v>
      </c>
      <c r="AG177" s="18" t="s">
        <v>22</v>
      </c>
      <c r="AH177" s="18" t="s">
        <v>22</v>
      </c>
      <c r="AI177" s="4" t="s">
        <v>22</v>
      </c>
      <c r="AK177" s="4" t="s">
        <v>22</v>
      </c>
      <c r="AL177" s="4" t="s">
        <v>22</v>
      </c>
      <c r="AM177" s="4" t="s">
        <v>22</v>
      </c>
      <c r="AN177" s="4" t="s">
        <v>22</v>
      </c>
      <c r="AO177" s="4" t="s">
        <v>22</v>
      </c>
      <c r="AP177" s="4" t="s">
        <v>22</v>
      </c>
      <c r="AQ177" s="4" t="s">
        <v>22</v>
      </c>
    </row>
    <row r="178" spans="29:43">
      <c r="AC178" s="18" t="s">
        <v>22</v>
      </c>
      <c r="AD178" s="18" t="s">
        <v>22</v>
      </c>
      <c r="AE178" s="18" t="s">
        <v>22</v>
      </c>
      <c r="AF178" s="18" t="s">
        <v>22</v>
      </c>
      <c r="AG178" s="18" t="s">
        <v>22</v>
      </c>
      <c r="AH178" s="18" t="s">
        <v>22</v>
      </c>
      <c r="AI178" s="4" t="s">
        <v>22</v>
      </c>
      <c r="AK178" s="4" t="s">
        <v>22</v>
      </c>
      <c r="AL178" s="4" t="s">
        <v>22</v>
      </c>
      <c r="AM178" s="4" t="s">
        <v>22</v>
      </c>
      <c r="AN178" s="4" t="s">
        <v>22</v>
      </c>
      <c r="AO178" s="4" t="s">
        <v>22</v>
      </c>
      <c r="AP178" s="4" t="s">
        <v>22</v>
      </c>
      <c r="AQ178" s="4" t="s">
        <v>22</v>
      </c>
    </row>
    <row r="179" spans="29:43">
      <c r="AC179" s="18" t="s">
        <v>22</v>
      </c>
      <c r="AD179" s="18" t="s">
        <v>22</v>
      </c>
      <c r="AE179" s="18" t="s">
        <v>22</v>
      </c>
      <c r="AF179" s="18" t="s">
        <v>22</v>
      </c>
      <c r="AG179" s="18" t="s">
        <v>22</v>
      </c>
      <c r="AH179" s="18" t="s">
        <v>22</v>
      </c>
      <c r="AI179" s="4" t="s">
        <v>22</v>
      </c>
      <c r="AK179" s="4" t="s">
        <v>22</v>
      </c>
      <c r="AL179" s="4" t="s">
        <v>22</v>
      </c>
      <c r="AM179" s="4" t="s">
        <v>22</v>
      </c>
      <c r="AN179" s="4" t="s">
        <v>22</v>
      </c>
      <c r="AO179" s="4" t="s">
        <v>22</v>
      </c>
      <c r="AP179" s="4" t="s">
        <v>22</v>
      </c>
      <c r="AQ179" s="4" t="s">
        <v>22</v>
      </c>
    </row>
    <row r="180" spans="29:43">
      <c r="AC180" s="18" t="s">
        <v>22</v>
      </c>
      <c r="AD180" s="18" t="s">
        <v>22</v>
      </c>
      <c r="AE180" s="18" t="s">
        <v>22</v>
      </c>
      <c r="AF180" s="18" t="s">
        <v>22</v>
      </c>
      <c r="AG180" s="18" t="s">
        <v>22</v>
      </c>
      <c r="AH180" s="18" t="s">
        <v>22</v>
      </c>
      <c r="AI180" s="4" t="s">
        <v>22</v>
      </c>
      <c r="AK180" s="4" t="s">
        <v>22</v>
      </c>
      <c r="AL180" s="4" t="s">
        <v>22</v>
      </c>
      <c r="AM180" s="4" t="s">
        <v>22</v>
      </c>
      <c r="AN180" s="4" t="s">
        <v>22</v>
      </c>
      <c r="AO180" s="4" t="s">
        <v>22</v>
      </c>
      <c r="AP180" s="4" t="s">
        <v>22</v>
      </c>
      <c r="AQ180" s="4" t="s">
        <v>22</v>
      </c>
    </row>
    <row r="181" spans="29:43">
      <c r="AC181" s="18" t="s">
        <v>22</v>
      </c>
      <c r="AD181" s="18" t="s">
        <v>22</v>
      </c>
      <c r="AE181" s="18" t="s">
        <v>22</v>
      </c>
      <c r="AF181" s="18" t="s">
        <v>22</v>
      </c>
      <c r="AG181" s="18" t="s">
        <v>22</v>
      </c>
      <c r="AH181" s="18" t="s">
        <v>22</v>
      </c>
      <c r="AI181" s="4" t="s">
        <v>22</v>
      </c>
      <c r="AK181" s="4" t="s">
        <v>22</v>
      </c>
      <c r="AL181" s="4" t="s">
        <v>22</v>
      </c>
      <c r="AM181" s="4" t="s">
        <v>22</v>
      </c>
      <c r="AN181" s="4" t="s">
        <v>22</v>
      </c>
      <c r="AO181" s="4" t="s">
        <v>22</v>
      </c>
      <c r="AP181" s="4" t="s">
        <v>22</v>
      </c>
      <c r="AQ181" s="4" t="s">
        <v>22</v>
      </c>
    </row>
    <row r="182" spans="29:43">
      <c r="AC182" s="18" t="s">
        <v>22</v>
      </c>
      <c r="AD182" s="18" t="s">
        <v>22</v>
      </c>
      <c r="AE182" s="18" t="s">
        <v>22</v>
      </c>
      <c r="AF182" s="18" t="s">
        <v>22</v>
      </c>
      <c r="AG182" s="18" t="s">
        <v>22</v>
      </c>
      <c r="AH182" s="18" t="s">
        <v>22</v>
      </c>
      <c r="AI182" s="4" t="s">
        <v>22</v>
      </c>
      <c r="AK182" s="4" t="s">
        <v>22</v>
      </c>
      <c r="AL182" s="4" t="s">
        <v>22</v>
      </c>
      <c r="AM182" s="4" t="s">
        <v>22</v>
      </c>
      <c r="AN182" s="4" t="s">
        <v>22</v>
      </c>
      <c r="AO182" s="4" t="s">
        <v>22</v>
      </c>
      <c r="AP182" s="4" t="s">
        <v>22</v>
      </c>
      <c r="AQ182" s="4" t="s">
        <v>22</v>
      </c>
    </row>
    <row r="183" spans="29:43">
      <c r="AC183" s="18" t="s">
        <v>22</v>
      </c>
      <c r="AD183" s="18" t="s">
        <v>22</v>
      </c>
      <c r="AE183" s="18" t="s">
        <v>22</v>
      </c>
      <c r="AF183" s="18" t="s">
        <v>22</v>
      </c>
      <c r="AG183" s="18" t="s">
        <v>22</v>
      </c>
      <c r="AH183" s="18" t="s">
        <v>22</v>
      </c>
      <c r="AI183" s="4" t="s">
        <v>22</v>
      </c>
      <c r="AK183" s="4" t="s">
        <v>22</v>
      </c>
      <c r="AL183" s="4" t="s">
        <v>22</v>
      </c>
      <c r="AM183" s="4" t="s">
        <v>22</v>
      </c>
      <c r="AN183" s="4" t="s">
        <v>22</v>
      </c>
      <c r="AO183" s="4" t="s">
        <v>22</v>
      </c>
      <c r="AP183" s="4" t="s">
        <v>22</v>
      </c>
      <c r="AQ183" s="4" t="s">
        <v>22</v>
      </c>
    </row>
    <row r="184" spans="29:43">
      <c r="AC184" s="18" t="s">
        <v>22</v>
      </c>
      <c r="AD184" s="18" t="s">
        <v>22</v>
      </c>
      <c r="AE184" s="18" t="s">
        <v>22</v>
      </c>
      <c r="AF184" s="18" t="s">
        <v>22</v>
      </c>
      <c r="AG184" s="18" t="s">
        <v>22</v>
      </c>
      <c r="AH184" s="18" t="s">
        <v>22</v>
      </c>
      <c r="AI184" s="4" t="s">
        <v>22</v>
      </c>
      <c r="AK184" s="4" t="s">
        <v>22</v>
      </c>
      <c r="AL184" s="4" t="s">
        <v>22</v>
      </c>
      <c r="AM184" s="4" t="s">
        <v>22</v>
      </c>
      <c r="AN184" s="4" t="s">
        <v>22</v>
      </c>
      <c r="AO184" s="4" t="s">
        <v>22</v>
      </c>
      <c r="AP184" s="4" t="s">
        <v>22</v>
      </c>
      <c r="AQ184" s="4" t="s">
        <v>22</v>
      </c>
    </row>
    <row r="185" spans="29:43">
      <c r="AC185" s="18" t="s">
        <v>22</v>
      </c>
      <c r="AD185" s="18" t="s">
        <v>22</v>
      </c>
      <c r="AE185" s="18" t="s">
        <v>22</v>
      </c>
      <c r="AF185" s="18" t="s">
        <v>22</v>
      </c>
      <c r="AG185" s="18" t="s">
        <v>22</v>
      </c>
      <c r="AH185" s="18" t="s">
        <v>22</v>
      </c>
      <c r="AI185" s="4" t="s">
        <v>22</v>
      </c>
      <c r="AK185" s="4" t="s">
        <v>22</v>
      </c>
      <c r="AL185" s="4" t="s">
        <v>22</v>
      </c>
      <c r="AM185" s="4" t="s">
        <v>22</v>
      </c>
      <c r="AN185" s="4" t="s">
        <v>22</v>
      </c>
      <c r="AO185" s="4" t="s">
        <v>22</v>
      </c>
      <c r="AP185" s="4" t="s">
        <v>22</v>
      </c>
      <c r="AQ185" s="4" t="s">
        <v>22</v>
      </c>
    </row>
    <row r="186" spans="29:43">
      <c r="AC186" s="18" t="s">
        <v>22</v>
      </c>
      <c r="AD186" s="18" t="s">
        <v>22</v>
      </c>
      <c r="AE186" s="18" t="s">
        <v>22</v>
      </c>
      <c r="AF186" s="18" t="s">
        <v>22</v>
      </c>
      <c r="AG186" s="18" t="s">
        <v>22</v>
      </c>
      <c r="AH186" s="18" t="s">
        <v>22</v>
      </c>
      <c r="AI186" s="4" t="s">
        <v>22</v>
      </c>
      <c r="AK186" s="4" t="s">
        <v>22</v>
      </c>
      <c r="AL186" s="4" t="s">
        <v>22</v>
      </c>
      <c r="AM186" s="4" t="s">
        <v>22</v>
      </c>
      <c r="AN186" s="4" t="s">
        <v>22</v>
      </c>
      <c r="AO186" s="4" t="s">
        <v>22</v>
      </c>
      <c r="AP186" s="4" t="s">
        <v>22</v>
      </c>
      <c r="AQ186" s="4" t="s">
        <v>22</v>
      </c>
    </row>
    <row r="187" spans="29:43">
      <c r="AC187" s="18" t="s">
        <v>22</v>
      </c>
      <c r="AD187" s="18" t="s">
        <v>22</v>
      </c>
      <c r="AE187" s="18" t="s">
        <v>22</v>
      </c>
      <c r="AF187" s="18" t="s">
        <v>22</v>
      </c>
      <c r="AG187" s="18" t="s">
        <v>22</v>
      </c>
      <c r="AH187" s="18" t="s">
        <v>22</v>
      </c>
      <c r="AI187" s="4" t="s">
        <v>22</v>
      </c>
      <c r="AK187" s="4" t="s">
        <v>22</v>
      </c>
      <c r="AL187" s="4" t="s">
        <v>22</v>
      </c>
      <c r="AM187" s="4" t="s">
        <v>22</v>
      </c>
      <c r="AN187" s="4" t="s">
        <v>22</v>
      </c>
      <c r="AO187" s="4" t="s">
        <v>22</v>
      </c>
      <c r="AP187" s="4" t="s">
        <v>22</v>
      </c>
      <c r="AQ187" s="4" t="s">
        <v>22</v>
      </c>
    </row>
    <row r="188" spans="29:43">
      <c r="AC188" s="18" t="s">
        <v>22</v>
      </c>
      <c r="AD188" s="18" t="s">
        <v>22</v>
      </c>
      <c r="AE188" s="18" t="s">
        <v>22</v>
      </c>
      <c r="AF188" s="18" t="s">
        <v>22</v>
      </c>
      <c r="AG188" s="18" t="s">
        <v>22</v>
      </c>
      <c r="AH188" s="18" t="s">
        <v>22</v>
      </c>
      <c r="AI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  <c r="AO188" s="4" t="s">
        <v>22</v>
      </c>
      <c r="AP188" s="4" t="s">
        <v>22</v>
      </c>
      <c r="AQ188" s="4" t="s">
        <v>22</v>
      </c>
    </row>
    <row r="189" spans="29:43">
      <c r="AC189" s="18" t="s">
        <v>22</v>
      </c>
      <c r="AD189" s="18" t="s">
        <v>22</v>
      </c>
      <c r="AE189" s="18" t="s">
        <v>22</v>
      </c>
      <c r="AF189" s="18" t="s">
        <v>22</v>
      </c>
      <c r="AG189" s="18" t="s">
        <v>22</v>
      </c>
      <c r="AH189" s="18" t="s">
        <v>22</v>
      </c>
      <c r="AI189" s="4" t="s">
        <v>22</v>
      </c>
      <c r="AK189" s="4" t="s">
        <v>22</v>
      </c>
      <c r="AL189" s="4" t="s">
        <v>22</v>
      </c>
      <c r="AM189" s="4" t="s">
        <v>22</v>
      </c>
      <c r="AN189" s="4" t="s">
        <v>22</v>
      </c>
      <c r="AO189" s="4" t="s">
        <v>22</v>
      </c>
      <c r="AP189" s="4" t="s">
        <v>22</v>
      </c>
      <c r="AQ189" s="4" t="s">
        <v>22</v>
      </c>
    </row>
    <row r="190" spans="29:43">
      <c r="AC190" s="18" t="s">
        <v>22</v>
      </c>
      <c r="AD190" s="18" t="s">
        <v>22</v>
      </c>
      <c r="AE190" s="18" t="s">
        <v>22</v>
      </c>
      <c r="AF190" s="18" t="s">
        <v>22</v>
      </c>
      <c r="AG190" s="18" t="s">
        <v>22</v>
      </c>
      <c r="AH190" s="18" t="s">
        <v>22</v>
      </c>
      <c r="AI190" s="4" t="s">
        <v>22</v>
      </c>
      <c r="AK190" s="4" t="s">
        <v>22</v>
      </c>
      <c r="AL190" s="4" t="s">
        <v>22</v>
      </c>
      <c r="AM190" s="4" t="s">
        <v>22</v>
      </c>
      <c r="AN190" s="4" t="s">
        <v>22</v>
      </c>
      <c r="AO190" s="4" t="s">
        <v>22</v>
      </c>
      <c r="AP190" s="4" t="s">
        <v>22</v>
      </c>
      <c r="AQ190" s="4" t="s">
        <v>22</v>
      </c>
    </row>
    <row r="191" spans="29:43">
      <c r="AC191" s="18" t="s">
        <v>22</v>
      </c>
      <c r="AD191" s="18" t="s">
        <v>22</v>
      </c>
      <c r="AE191" s="18" t="s">
        <v>22</v>
      </c>
      <c r="AF191" s="18" t="s">
        <v>22</v>
      </c>
      <c r="AG191" s="18" t="s">
        <v>22</v>
      </c>
      <c r="AH191" s="18" t="s">
        <v>22</v>
      </c>
      <c r="AI191" s="4" t="s">
        <v>22</v>
      </c>
      <c r="AK191" s="4" t="s">
        <v>22</v>
      </c>
      <c r="AL191" s="4" t="s">
        <v>22</v>
      </c>
      <c r="AM191" s="4" t="s">
        <v>22</v>
      </c>
      <c r="AN191" s="4" t="s">
        <v>22</v>
      </c>
      <c r="AO191" s="4" t="s">
        <v>22</v>
      </c>
      <c r="AP191" s="4" t="s">
        <v>22</v>
      </c>
      <c r="AQ191" s="4" t="s">
        <v>22</v>
      </c>
    </row>
    <row r="192" spans="29:43">
      <c r="AC192" s="18" t="s">
        <v>22</v>
      </c>
      <c r="AD192" s="18" t="s">
        <v>22</v>
      </c>
      <c r="AE192" s="18" t="s">
        <v>22</v>
      </c>
      <c r="AF192" s="18" t="s">
        <v>22</v>
      </c>
      <c r="AG192" s="18" t="s">
        <v>22</v>
      </c>
      <c r="AH192" s="18" t="s">
        <v>22</v>
      </c>
      <c r="AI192" s="4" t="s">
        <v>22</v>
      </c>
      <c r="AK192" s="4" t="s">
        <v>22</v>
      </c>
      <c r="AL192" s="4" t="s">
        <v>22</v>
      </c>
      <c r="AM192" s="4" t="s">
        <v>22</v>
      </c>
      <c r="AN192" s="4" t="s">
        <v>22</v>
      </c>
      <c r="AO192" s="4" t="s">
        <v>22</v>
      </c>
      <c r="AP192" s="4" t="s">
        <v>22</v>
      </c>
      <c r="AQ192" s="4" t="s">
        <v>22</v>
      </c>
    </row>
    <row r="193" spans="29:43">
      <c r="AC193" s="18" t="s">
        <v>22</v>
      </c>
      <c r="AD193" s="18" t="s">
        <v>22</v>
      </c>
      <c r="AE193" s="18" t="s">
        <v>22</v>
      </c>
      <c r="AF193" s="18" t="s">
        <v>22</v>
      </c>
      <c r="AG193" s="18" t="s">
        <v>22</v>
      </c>
      <c r="AH193" s="18" t="s">
        <v>22</v>
      </c>
      <c r="AI193" s="4" t="s">
        <v>22</v>
      </c>
      <c r="AK193" s="4" t="s">
        <v>22</v>
      </c>
      <c r="AL193" s="4" t="s">
        <v>22</v>
      </c>
      <c r="AM193" s="4" t="s">
        <v>22</v>
      </c>
      <c r="AN193" s="4" t="s">
        <v>22</v>
      </c>
      <c r="AO193" s="4" t="s">
        <v>22</v>
      </c>
      <c r="AP193" s="4" t="s">
        <v>22</v>
      </c>
      <c r="AQ193" s="4" t="s">
        <v>22</v>
      </c>
    </row>
    <row r="194" spans="29:43">
      <c r="AC194" s="18" t="s">
        <v>22</v>
      </c>
      <c r="AD194" s="18" t="s">
        <v>22</v>
      </c>
      <c r="AE194" s="18" t="s">
        <v>22</v>
      </c>
      <c r="AF194" s="18" t="s">
        <v>22</v>
      </c>
      <c r="AG194" s="18" t="s">
        <v>22</v>
      </c>
      <c r="AH194" s="18" t="s">
        <v>22</v>
      </c>
      <c r="AI194" s="4" t="s">
        <v>22</v>
      </c>
      <c r="AK194" s="4" t="s">
        <v>22</v>
      </c>
      <c r="AL194" s="4" t="s">
        <v>22</v>
      </c>
      <c r="AM194" s="4" t="s">
        <v>22</v>
      </c>
      <c r="AN194" s="4" t="s">
        <v>22</v>
      </c>
      <c r="AO194" s="4" t="s">
        <v>22</v>
      </c>
      <c r="AP194" s="4" t="s">
        <v>22</v>
      </c>
      <c r="AQ194" s="4" t="s">
        <v>22</v>
      </c>
    </row>
    <row r="195" spans="29:43">
      <c r="AC195" s="18" t="s">
        <v>22</v>
      </c>
      <c r="AD195" s="18" t="s">
        <v>22</v>
      </c>
      <c r="AE195" s="18" t="s">
        <v>22</v>
      </c>
      <c r="AF195" s="18" t="s">
        <v>22</v>
      </c>
      <c r="AG195" s="18" t="s">
        <v>22</v>
      </c>
      <c r="AH195" s="18" t="s">
        <v>22</v>
      </c>
      <c r="AI195" s="4" t="s">
        <v>22</v>
      </c>
      <c r="AK195" s="4" t="s">
        <v>22</v>
      </c>
      <c r="AL195" s="4" t="s">
        <v>22</v>
      </c>
      <c r="AM195" s="4" t="s">
        <v>22</v>
      </c>
      <c r="AN195" s="4" t="s">
        <v>22</v>
      </c>
      <c r="AO195" s="4" t="s">
        <v>22</v>
      </c>
      <c r="AP195" s="4" t="s">
        <v>22</v>
      </c>
      <c r="AQ195" s="4" t="s">
        <v>22</v>
      </c>
    </row>
    <row r="196" spans="29:43">
      <c r="AC196" s="18" t="s">
        <v>22</v>
      </c>
      <c r="AD196" s="18" t="s">
        <v>22</v>
      </c>
      <c r="AE196" s="18" t="s">
        <v>22</v>
      </c>
      <c r="AF196" s="18" t="s">
        <v>22</v>
      </c>
      <c r="AG196" s="18" t="s">
        <v>22</v>
      </c>
      <c r="AH196" s="18" t="s">
        <v>22</v>
      </c>
      <c r="AI196" s="4" t="s">
        <v>22</v>
      </c>
      <c r="AK196" s="4" t="s">
        <v>22</v>
      </c>
      <c r="AL196" s="4" t="s">
        <v>22</v>
      </c>
      <c r="AM196" s="4" t="s">
        <v>22</v>
      </c>
      <c r="AN196" s="4" t="s">
        <v>22</v>
      </c>
      <c r="AO196" s="4" t="s">
        <v>22</v>
      </c>
      <c r="AP196" s="4" t="s">
        <v>22</v>
      </c>
      <c r="AQ196" s="4" t="s">
        <v>22</v>
      </c>
    </row>
    <row r="197" spans="29:43">
      <c r="AC197" s="18" t="s">
        <v>22</v>
      </c>
      <c r="AD197" s="18" t="s">
        <v>22</v>
      </c>
      <c r="AE197" s="18" t="s">
        <v>22</v>
      </c>
      <c r="AF197" s="18" t="s">
        <v>22</v>
      </c>
      <c r="AG197" s="18" t="s">
        <v>22</v>
      </c>
      <c r="AH197" s="18" t="s">
        <v>22</v>
      </c>
      <c r="AI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  <c r="AO197" s="4" t="s">
        <v>22</v>
      </c>
      <c r="AP197" s="4" t="s">
        <v>22</v>
      </c>
      <c r="AQ197" s="4" t="s">
        <v>22</v>
      </c>
    </row>
    <row r="198" spans="29:43">
      <c r="AC198" s="4" t="s">
        <v>22</v>
      </c>
      <c r="AD198" s="4" t="s">
        <v>22</v>
      </c>
      <c r="AE198" s="4" t="s">
        <v>22</v>
      </c>
      <c r="AF198" s="4" t="s">
        <v>22</v>
      </c>
      <c r="AG198" s="4" t="s">
        <v>22</v>
      </c>
      <c r="AH198" s="4" t="s">
        <v>22</v>
      </c>
      <c r="AI198" s="4" t="s">
        <v>22</v>
      </c>
      <c r="AK198" s="4" t="s">
        <v>22</v>
      </c>
      <c r="AL198" s="4" t="s">
        <v>22</v>
      </c>
      <c r="AM198" s="4" t="s">
        <v>22</v>
      </c>
      <c r="AN198" s="4" t="s">
        <v>22</v>
      </c>
      <c r="AO198" s="4" t="s">
        <v>22</v>
      </c>
      <c r="AP198" s="4" t="s">
        <v>22</v>
      </c>
      <c r="AQ198" s="4" t="s">
        <v>22</v>
      </c>
    </row>
    <row r="199" spans="29:43">
      <c r="AC199" s="4" t="s">
        <v>22</v>
      </c>
      <c r="AD199" s="4" t="s">
        <v>22</v>
      </c>
      <c r="AE199" s="4" t="s">
        <v>22</v>
      </c>
      <c r="AF199" s="4" t="s">
        <v>22</v>
      </c>
      <c r="AG199" s="4" t="s">
        <v>22</v>
      </c>
      <c r="AH199" s="4" t="s">
        <v>22</v>
      </c>
      <c r="AI199" s="4" t="s">
        <v>22</v>
      </c>
      <c r="AK199" s="4" t="s">
        <v>22</v>
      </c>
      <c r="AL199" s="4" t="s">
        <v>22</v>
      </c>
      <c r="AM199" s="4" t="s">
        <v>22</v>
      </c>
      <c r="AN199" s="4" t="s">
        <v>22</v>
      </c>
      <c r="AO199" s="4" t="s">
        <v>22</v>
      </c>
      <c r="AP199" s="4" t="s">
        <v>22</v>
      </c>
      <c r="AQ199" s="4" t="s">
        <v>22</v>
      </c>
    </row>
    <row r="200" spans="29:43"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  <c r="AQ200" s="4" t="s">
        <v>22</v>
      </c>
    </row>
    <row r="201" spans="29:43"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  <c r="AO201" s="4" t="s">
        <v>22</v>
      </c>
      <c r="AP201" s="4" t="s">
        <v>22</v>
      </c>
      <c r="AQ201" s="4" t="s">
        <v>22</v>
      </c>
    </row>
    <row r="202" spans="29:43"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  <c r="AH202" s="4" t="s">
        <v>22</v>
      </c>
      <c r="AI202" s="4" t="s">
        <v>22</v>
      </c>
      <c r="AK202" s="4" t="s">
        <v>22</v>
      </c>
      <c r="AL202" s="4" t="s">
        <v>22</v>
      </c>
      <c r="AM202" s="4" t="s">
        <v>22</v>
      </c>
      <c r="AN202" s="4" t="s">
        <v>22</v>
      </c>
      <c r="AO202" s="4" t="s">
        <v>22</v>
      </c>
      <c r="AP202" s="4" t="s">
        <v>22</v>
      </c>
      <c r="AQ202" s="4" t="s">
        <v>22</v>
      </c>
    </row>
    <row r="203" spans="29:43">
      <c r="AC203" s="4" t="s">
        <v>22</v>
      </c>
      <c r="AD203" s="4" t="s">
        <v>22</v>
      </c>
      <c r="AE203" s="4" t="s">
        <v>22</v>
      </c>
      <c r="AF203" s="4" t="s">
        <v>22</v>
      </c>
      <c r="AG203" s="4" t="s">
        <v>22</v>
      </c>
      <c r="AH203" s="4" t="s">
        <v>22</v>
      </c>
      <c r="AI203" s="4" t="s">
        <v>22</v>
      </c>
      <c r="AK203" s="4" t="s">
        <v>22</v>
      </c>
      <c r="AL203" s="4" t="s">
        <v>22</v>
      </c>
      <c r="AM203" s="4" t="s">
        <v>22</v>
      </c>
      <c r="AN203" s="4" t="s">
        <v>22</v>
      </c>
      <c r="AO203" s="4" t="s">
        <v>22</v>
      </c>
      <c r="AP203" s="4" t="s">
        <v>22</v>
      </c>
      <c r="AQ203" s="4" t="s">
        <v>22</v>
      </c>
    </row>
    <row r="204" spans="29:43"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  <c r="AH204" s="4" t="s">
        <v>22</v>
      </c>
      <c r="AI204" s="4" t="s">
        <v>22</v>
      </c>
      <c r="AK204" s="4" t="s">
        <v>22</v>
      </c>
      <c r="AL204" s="4" t="s">
        <v>22</v>
      </c>
      <c r="AM204" s="4" t="s">
        <v>22</v>
      </c>
      <c r="AN204" s="4" t="s">
        <v>22</v>
      </c>
      <c r="AO204" s="4" t="s">
        <v>22</v>
      </c>
      <c r="AP204" s="4" t="s">
        <v>22</v>
      </c>
      <c r="AQ204" s="4" t="s">
        <v>22</v>
      </c>
    </row>
    <row r="205" spans="29:43"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  <c r="AH205" s="4" t="s">
        <v>22</v>
      </c>
      <c r="AI205" s="4" t="s">
        <v>22</v>
      </c>
      <c r="AK205" s="4" t="s">
        <v>22</v>
      </c>
      <c r="AL205" s="4" t="s">
        <v>22</v>
      </c>
      <c r="AM205" s="4" t="s">
        <v>22</v>
      </c>
      <c r="AN205" s="4" t="s">
        <v>22</v>
      </c>
      <c r="AO205" s="4" t="s">
        <v>22</v>
      </c>
      <c r="AP205" s="4" t="s">
        <v>22</v>
      </c>
      <c r="AQ205" s="4" t="s">
        <v>22</v>
      </c>
    </row>
    <row r="206" spans="29:43">
      <c r="AC206" s="4" t="s">
        <v>22</v>
      </c>
      <c r="AD206" s="4" t="s">
        <v>22</v>
      </c>
      <c r="AE206" s="4" t="s">
        <v>22</v>
      </c>
      <c r="AF206" s="4" t="s">
        <v>22</v>
      </c>
      <c r="AG206" s="4" t="s">
        <v>22</v>
      </c>
      <c r="AH206" s="4" t="s">
        <v>22</v>
      </c>
      <c r="AI206" s="4" t="s">
        <v>22</v>
      </c>
      <c r="AK206" s="4" t="s">
        <v>22</v>
      </c>
      <c r="AL206" s="4" t="s">
        <v>22</v>
      </c>
      <c r="AM206" s="4" t="s">
        <v>22</v>
      </c>
      <c r="AN206" s="4" t="s">
        <v>22</v>
      </c>
      <c r="AO206" s="4" t="s">
        <v>22</v>
      </c>
      <c r="AP206" s="4" t="s">
        <v>22</v>
      </c>
      <c r="AQ206" s="4" t="s">
        <v>22</v>
      </c>
    </row>
    <row r="207" spans="29:43">
      <c r="AC207" s="4" t="s">
        <v>22</v>
      </c>
      <c r="AD207" s="4" t="s">
        <v>22</v>
      </c>
      <c r="AE207" s="4" t="s">
        <v>22</v>
      </c>
      <c r="AF207" s="4" t="s">
        <v>22</v>
      </c>
      <c r="AG207" s="4" t="s">
        <v>22</v>
      </c>
      <c r="AH207" s="4" t="s">
        <v>22</v>
      </c>
      <c r="AI207" s="4" t="s">
        <v>22</v>
      </c>
      <c r="AK207" s="4" t="s">
        <v>22</v>
      </c>
      <c r="AL207" s="4" t="s">
        <v>22</v>
      </c>
      <c r="AM207" s="4" t="s">
        <v>22</v>
      </c>
      <c r="AN207" s="4" t="s">
        <v>22</v>
      </c>
      <c r="AO207" s="4" t="s">
        <v>22</v>
      </c>
      <c r="AP207" s="4" t="s">
        <v>22</v>
      </c>
      <c r="AQ207" s="4" t="s">
        <v>22</v>
      </c>
    </row>
    <row r="208" spans="29:43">
      <c r="AC208" s="4" t="s">
        <v>22</v>
      </c>
      <c r="AD208" s="4" t="s">
        <v>22</v>
      </c>
      <c r="AE208" s="4" t="s">
        <v>22</v>
      </c>
      <c r="AF208" s="4" t="s">
        <v>22</v>
      </c>
      <c r="AG208" s="4" t="s">
        <v>22</v>
      </c>
      <c r="AH208" s="4" t="s">
        <v>22</v>
      </c>
      <c r="AI208" s="4" t="s">
        <v>22</v>
      </c>
      <c r="AK208" s="4" t="s">
        <v>22</v>
      </c>
      <c r="AL208" s="4" t="s">
        <v>22</v>
      </c>
      <c r="AM208" s="4" t="s">
        <v>22</v>
      </c>
      <c r="AN208" s="4" t="s">
        <v>22</v>
      </c>
      <c r="AO208" s="4" t="s">
        <v>22</v>
      </c>
      <c r="AP208" s="4" t="s">
        <v>22</v>
      </c>
      <c r="AQ208" s="4" t="s">
        <v>22</v>
      </c>
    </row>
    <row r="209" spans="29:43"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  <c r="AH209" s="4" t="s">
        <v>22</v>
      </c>
      <c r="AI209" s="4" t="s">
        <v>22</v>
      </c>
      <c r="AK209" s="4" t="s">
        <v>22</v>
      </c>
      <c r="AL209" s="4" t="s">
        <v>22</v>
      </c>
      <c r="AM209" s="4" t="s">
        <v>22</v>
      </c>
      <c r="AN209" s="4" t="s">
        <v>22</v>
      </c>
      <c r="AO209" s="4" t="s">
        <v>22</v>
      </c>
      <c r="AP209" s="4" t="s">
        <v>22</v>
      </c>
      <c r="AQ209" s="4" t="s">
        <v>22</v>
      </c>
    </row>
    <row r="210" spans="29:43">
      <c r="AC210" s="4" t="s">
        <v>22</v>
      </c>
      <c r="AD210" s="4" t="s">
        <v>22</v>
      </c>
      <c r="AE210" s="4" t="s">
        <v>22</v>
      </c>
      <c r="AF210" s="4" t="s">
        <v>22</v>
      </c>
      <c r="AG210" s="4" t="s">
        <v>22</v>
      </c>
      <c r="AH210" s="4" t="s">
        <v>22</v>
      </c>
      <c r="AI210" s="4" t="s">
        <v>22</v>
      </c>
      <c r="AK210" s="4" t="s">
        <v>22</v>
      </c>
      <c r="AL210" s="4" t="s">
        <v>22</v>
      </c>
      <c r="AM210" s="4" t="s">
        <v>22</v>
      </c>
      <c r="AN210" s="4" t="s">
        <v>22</v>
      </c>
      <c r="AO210" s="4" t="s">
        <v>22</v>
      </c>
      <c r="AP210" s="4" t="s">
        <v>22</v>
      </c>
      <c r="AQ210" s="4" t="s">
        <v>22</v>
      </c>
    </row>
    <row r="211" spans="29:43">
      <c r="AC211" s="4" t="s">
        <v>22</v>
      </c>
      <c r="AD211" s="4" t="s">
        <v>22</v>
      </c>
      <c r="AE211" s="4" t="s">
        <v>22</v>
      </c>
      <c r="AF211" s="4" t="s">
        <v>22</v>
      </c>
      <c r="AG211" s="4" t="s">
        <v>22</v>
      </c>
      <c r="AH211" s="4" t="s">
        <v>22</v>
      </c>
      <c r="AI211" s="4" t="s">
        <v>22</v>
      </c>
      <c r="AK211" s="4" t="s">
        <v>22</v>
      </c>
      <c r="AL211" s="4" t="s">
        <v>22</v>
      </c>
      <c r="AM211" s="4" t="s">
        <v>22</v>
      </c>
      <c r="AN211" s="4" t="s">
        <v>22</v>
      </c>
      <c r="AO211" s="4" t="s">
        <v>22</v>
      </c>
      <c r="AP211" s="4" t="s">
        <v>22</v>
      </c>
      <c r="AQ211" s="4" t="s">
        <v>22</v>
      </c>
    </row>
    <row r="212" spans="29:43">
      <c r="AC212" s="4" t="s">
        <v>22</v>
      </c>
      <c r="AD212" s="4" t="s">
        <v>22</v>
      </c>
      <c r="AE212" s="4" t="s">
        <v>22</v>
      </c>
      <c r="AF212" s="4" t="s">
        <v>22</v>
      </c>
      <c r="AG212" s="4" t="s">
        <v>22</v>
      </c>
      <c r="AH212" s="4" t="s">
        <v>22</v>
      </c>
      <c r="AI212" s="4" t="s">
        <v>22</v>
      </c>
      <c r="AK212" s="4" t="s">
        <v>22</v>
      </c>
      <c r="AL212" s="4" t="s">
        <v>22</v>
      </c>
      <c r="AM212" s="4" t="s">
        <v>22</v>
      </c>
      <c r="AN212" s="4" t="s">
        <v>22</v>
      </c>
      <c r="AO212" s="4" t="s">
        <v>22</v>
      </c>
      <c r="AP212" s="4" t="s">
        <v>22</v>
      </c>
      <c r="AQ212" s="4" t="s">
        <v>22</v>
      </c>
    </row>
    <row r="213" spans="29:43"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  <c r="AH213" s="4" t="s">
        <v>22</v>
      </c>
      <c r="AI213" s="4" t="s">
        <v>22</v>
      </c>
      <c r="AK213" s="4" t="s">
        <v>22</v>
      </c>
      <c r="AL213" s="4" t="s">
        <v>22</v>
      </c>
      <c r="AM213" s="4" t="s">
        <v>22</v>
      </c>
      <c r="AN213" s="4" t="s">
        <v>22</v>
      </c>
      <c r="AO213" s="4" t="s">
        <v>22</v>
      </c>
      <c r="AP213" s="4" t="s">
        <v>22</v>
      </c>
      <c r="AQ213" s="4" t="s">
        <v>22</v>
      </c>
    </row>
    <row r="214" spans="29:43"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  <c r="AH214" s="4" t="s">
        <v>22</v>
      </c>
      <c r="AI214" s="4" t="s">
        <v>22</v>
      </c>
      <c r="AK214" s="4" t="s">
        <v>22</v>
      </c>
      <c r="AL214" s="4" t="s">
        <v>22</v>
      </c>
      <c r="AM214" s="4" t="s">
        <v>22</v>
      </c>
      <c r="AN214" s="4" t="s">
        <v>22</v>
      </c>
      <c r="AO214" s="4" t="s">
        <v>22</v>
      </c>
      <c r="AP214" s="4" t="s">
        <v>22</v>
      </c>
      <c r="AQ214" s="4" t="s">
        <v>22</v>
      </c>
    </row>
    <row r="215" spans="29:43"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  <c r="AH215" s="4" t="s">
        <v>22</v>
      </c>
      <c r="AI215" s="4" t="s">
        <v>22</v>
      </c>
      <c r="AK215" s="4" t="s">
        <v>22</v>
      </c>
      <c r="AL215" s="4" t="s">
        <v>22</v>
      </c>
      <c r="AM215" s="4" t="s">
        <v>22</v>
      </c>
      <c r="AN215" s="4" t="s">
        <v>22</v>
      </c>
      <c r="AO215" s="4" t="s">
        <v>22</v>
      </c>
      <c r="AP215" s="4" t="s">
        <v>22</v>
      </c>
      <c r="AQ215" s="4" t="s">
        <v>22</v>
      </c>
    </row>
    <row r="216" spans="29:43"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  <c r="AH216" s="4" t="s">
        <v>22</v>
      </c>
      <c r="AI216" s="4" t="s">
        <v>22</v>
      </c>
      <c r="AK216" s="4" t="s">
        <v>22</v>
      </c>
      <c r="AL216" s="4" t="s">
        <v>22</v>
      </c>
      <c r="AM216" s="4" t="s">
        <v>22</v>
      </c>
      <c r="AN216" s="4" t="s">
        <v>22</v>
      </c>
      <c r="AO216" s="4" t="s">
        <v>22</v>
      </c>
      <c r="AP216" s="4" t="s">
        <v>22</v>
      </c>
      <c r="AQ216" s="4" t="s">
        <v>22</v>
      </c>
    </row>
    <row r="217" spans="29:43"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  <c r="AH217" s="4" t="s">
        <v>22</v>
      </c>
      <c r="AI217" s="4" t="s">
        <v>22</v>
      </c>
      <c r="AK217" s="4" t="s">
        <v>22</v>
      </c>
      <c r="AL217" s="4" t="s">
        <v>22</v>
      </c>
      <c r="AM217" s="4" t="s">
        <v>22</v>
      </c>
      <c r="AN217" s="4" t="s">
        <v>22</v>
      </c>
      <c r="AO217" s="4" t="s">
        <v>22</v>
      </c>
      <c r="AP217" s="4" t="s">
        <v>22</v>
      </c>
      <c r="AQ217" s="4" t="s">
        <v>22</v>
      </c>
    </row>
    <row r="218" spans="29:43"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  <c r="AQ218" s="4" t="s">
        <v>22</v>
      </c>
    </row>
    <row r="219" spans="29:43">
      <c r="AC219" s="4" t="s">
        <v>22</v>
      </c>
      <c r="AD219" s="4" t="s">
        <v>22</v>
      </c>
      <c r="AE219" s="4" t="s">
        <v>22</v>
      </c>
      <c r="AF219" s="4" t="s">
        <v>22</v>
      </c>
      <c r="AG219" s="4" t="s">
        <v>22</v>
      </c>
      <c r="AH219" s="4" t="s">
        <v>22</v>
      </c>
      <c r="AI219" s="4" t="s">
        <v>22</v>
      </c>
      <c r="AK219" s="4" t="s">
        <v>22</v>
      </c>
      <c r="AL219" s="4" t="s">
        <v>22</v>
      </c>
      <c r="AM219" s="4" t="s">
        <v>22</v>
      </c>
      <c r="AN219" s="4" t="s">
        <v>22</v>
      </c>
      <c r="AO219" s="4" t="s">
        <v>22</v>
      </c>
      <c r="AP219" s="4" t="s">
        <v>22</v>
      </c>
      <c r="AQ219" s="4" t="s">
        <v>22</v>
      </c>
    </row>
    <row r="220" spans="29:43">
      <c r="AC220" s="4" t="s">
        <v>22</v>
      </c>
      <c r="AD220" s="4" t="s">
        <v>22</v>
      </c>
      <c r="AE220" s="4" t="s">
        <v>22</v>
      </c>
      <c r="AF220" s="4" t="s">
        <v>22</v>
      </c>
      <c r="AG220" s="4" t="s">
        <v>22</v>
      </c>
      <c r="AH220" s="4" t="s">
        <v>22</v>
      </c>
      <c r="AI220" s="4" t="s">
        <v>22</v>
      </c>
      <c r="AK220" s="4" t="s">
        <v>22</v>
      </c>
      <c r="AL220" s="4" t="s">
        <v>22</v>
      </c>
      <c r="AM220" s="4" t="s">
        <v>22</v>
      </c>
      <c r="AN220" s="4" t="s">
        <v>22</v>
      </c>
      <c r="AO220" s="4" t="s">
        <v>22</v>
      </c>
      <c r="AP220" s="4" t="s">
        <v>22</v>
      </c>
      <c r="AQ220" s="4" t="s">
        <v>22</v>
      </c>
    </row>
    <row r="221" spans="29:43"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  <c r="AH221" s="4" t="s">
        <v>22</v>
      </c>
      <c r="AI221" s="4" t="s">
        <v>22</v>
      </c>
      <c r="AK221" s="4" t="s">
        <v>22</v>
      </c>
      <c r="AL221" s="4" t="s">
        <v>22</v>
      </c>
      <c r="AM221" s="4" t="s">
        <v>22</v>
      </c>
      <c r="AN221" s="4" t="s">
        <v>22</v>
      </c>
      <c r="AO221" s="4" t="s">
        <v>22</v>
      </c>
      <c r="AP221" s="4" t="s">
        <v>22</v>
      </c>
      <c r="AQ221" s="4" t="s">
        <v>22</v>
      </c>
    </row>
    <row r="222" spans="29:43">
      <c r="AC222" s="4" t="s">
        <v>22</v>
      </c>
      <c r="AD222" s="4" t="s">
        <v>22</v>
      </c>
      <c r="AE222" s="4" t="s">
        <v>22</v>
      </c>
      <c r="AF222" s="4" t="s">
        <v>22</v>
      </c>
      <c r="AG222" s="4" t="s">
        <v>22</v>
      </c>
      <c r="AH222" s="4" t="s">
        <v>22</v>
      </c>
      <c r="AI222" s="4" t="s">
        <v>22</v>
      </c>
      <c r="AK222" s="4" t="s">
        <v>22</v>
      </c>
      <c r="AL222" s="4" t="s">
        <v>22</v>
      </c>
      <c r="AM222" s="4" t="s">
        <v>22</v>
      </c>
      <c r="AN222" s="4" t="s">
        <v>22</v>
      </c>
      <c r="AO222" s="4" t="s">
        <v>22</v>
      </c>
      <c r="AP222" s="4" t="s">
        <v>22</v>
      </c>
      <c r="AQ222" s="4" t="s">
        <v>22</v>
      </c>
    </row>
    <row r="223" spans="29:43"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  <c r="AQ223" s="4" t="s">
        <v>22</v>
      </c>
    </row>
    <row r="224" spans="29:43">
      <c r="AC224" s="4" t="s">
        <v>22</v>
      </c>
      <c r="AD224" s="4" t="s">
        <v>22</v>
      </c>
      <c r="AE224" s="4" t="s">
        <v>22</v>
      </c>
      <c r="AF224" s="4" t="s">
        <v>22</v>
      </c>
      <c r="AG224" s="4" t="s">
        <v>22</v>
      </c>
      <c r="AH224" s="4" t="s">
        <v>22</v>
      </c>
      <c r="AI224" s="4" t="s">
        <v>22</v>
      </c>
      <c r="AK224" s="4" t="s">
        <v>22</v>
      </c>
      <c r="AL224" s="4" t="s">
        <v>22</v>
      </c>
      <c r="AM224" s="4" t="s">
        <v>22</v>
      </c>
      <c r="AN224" s="4" t="s">
        <v>22</v>
      </c>
      <c r="AO224" s="4" t="s">
        <v>22</v>
      </c>
      <c r="AP224" s="4" t="s">
        <v>22</v>
      </c>
      <c r="AQ224" s="4" t="s">
        <v>22</v>
      </c>
    </row>
    <row r="225" spans="29:43"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  <c r="AQ225" s="4" t="s">
        <v>22</v>
      </c>
    </row>
    <row r="226" spans="29:43">
      <c r="AC226" s="4" t="s">
        <v>22</v>
      </c>
      <c r="AD226" s="4" t="s">
        <v>22</v>
      </c>
      <c r="AE226" s="4" t="s">
        <v>22</v>
      </c>
      <c r="AF226" s="4" t="s">
        <v>22</v>
      </c>
      <c r="AG226" s="4" t="s">
        <v>22</v>
      </c>
      <c r="AH226" s="4" t="s">
        <v>22</v>
      </c>
      <c r="AI226" s="4" t="s">
        <v>22</v>
      </c>
      <c r="AK226" s="4" t="s">
        <v>22</v>
      </c>
      <c r="AL226" s="4" t="s">
        <v>22</v>
      </c>
      <c r="AM226" s="4" t="s">
        <v>22</v>
      </c>
      <c r="AN226" s="4" t="s">
        <v>22</v>
      </c>
      <c r="AO226" s="4" t="s">
        <v>22</v>
      </c>
      <c r="AP226" s="4" t="s">
        <v>22</v>
      </c>
      <c r="AQ226" s="4" t="s">
        <v>22</v>
      </c>
    </row>
    <row r="227" spans="29:43"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  <c r="AH227" s="4" t="s">
        <v>22</v>
      </c>
      <c r="AI227" s="4" t="s">
        <v>22</v>
      </c>
      <c r="AK227" s="4" t="s">
        <v>22</v>
      </c>
      <c r="AL227" s="4" t="s">
        <v>22</v>
      </c>
      <c r="AM227" s="4" t="s">
        <v>22</v>
      </c>
      <c r="AN227" s="4" t="s">
        <v>22</v>
      </c>
      <c r="AO227" s="4" t="s">
        <v>22</v>
      </c>
      <c r="AP227" s="4" t="s">
        <v>22</v>
      </c>
      <c r="AQ227" s="4" t="s">
        <v>22</v>
      </c>
    </row>
    <row r="228" spans="29:43"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  <c r="AH228" s="4" t="s">
        <v>22</v>
      </c>
      <c r="AI228" s="4" t="s">
        <v>22</v>
      </c>
      <c r="AK228" s="4" t="s">
        <v>22</v>
      </c>
      <c r="AL228" s="4" t="s">
        <v>22</v>
      </c>
      <c r="AM228" s="4" t="s">
        <v>22</v>
      </c>
      <c r="AN228" s="4" t="s">
        <v>22</v>
      </c>
      <c r="AO228" s="4" t="s">
        <v>22</v>
      </c>
      <c r="AP228" s="4" t="s">
        <v>22</v>
      </c>
      <c r="AQ228" s="4" t="s">
        <v>22</v>
      </c>
    </row>
    <row r="229" spans="29:43"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  <c r="AH229" s="4" t="s">
        <v>22</v>
      </c>
      <c r="AI229" s="4" t="s">
        <v>22</v>
      </c>
      <c r="AK229" s="4" t="s">
        <v>22</v>
      </c>
      <c r="AL229" s="4" t="s">
        <v>22</v>
      </c>
      <c r="AM229" s="4" t="s">
        <v>22</v>
      </c>
      <c r="AN229" s="4" t="s">
        <v>22</v>
      </c>
      <c r="AO229" s="4" t="s">
        <v>22</v>
      </c>
      <c r="AP229" s="4" t="s">
        <v>22</v>
      </c>
      <c r="AQ229" s="4" t="s">
        <v>22</v>
      </c>
    </row>
    <row r="230" spans="29:43"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  <c r="AQ230" s="4" t="s">
        <v>22</v>
      </c>
    </row>
    <row r="231" spans="29:43">
      <c r="AC231" s="4" t="s">
        <v>22</v>
      </c>
      <c r="AD231" s="4" t="s">
        <v>22</v>
      </c>
      <c r="AE231" s="4" t="s">
        <v>22</v>
      </c>
      <c r="AF231" s="4" t="s">
        <v>22</v>
      </c>
      <c r="AG231" s="4" t="s">
        <v>22</v>
      </c>
      <c r="AH231" s="4" t="s">
        <v>22</v>
      </c>
      <c r="AI231" s="4" t="s">
        <v>22</v>
      </c>
      <c r="AK231" s="4" t="s">
        <v>22</v>
      </c>
      <c r="AL231" s="4" t="s">
        <v>22</v>
      </c>
      <c r="AM231" s="4" t="s">
        <v>22</v>
      </c>
      <c r="AN231" s="4" t="s">
        <v>22</v>
      </c>
      <c r="AO231" s="4" t="s">
        <v>22</v>
      </c>
      <c r="AP231" s="4" t="s">
        <v>22</v>
      </c>
      <c r="AQ231" s="4" t="s">
        <v>22</v>
      </c>
    </row>
    <row r="232" spans="29:43"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  <c r="AH232" s="4" t="s">
        <v>22</v>
      </c>
      <c r="AI232" s="4" t="s">
        <v>22</v>
      </c>
      <c r="AK232" s="4" t="s">
        <v>22</v>
      </c>
      <c r="AL232" s="4" t="s">
        <v>22</v>
      </c>
      <c r="AM232" s="4" t="s">
        <v>22</v>
      </c>
      <c r="AN232" s="4" t="s">
        <v>22</v>
      </c>
      <c r="AO232" s="4" t="s">
        <v>22</v>
      </c>
      <c r="AP232" s="4" t="s">
        <v>22</v>
      </c>
      <c r="AQ232" s="4" t="s">
        <v>22</v>
      </c>
    </row>
    <row r="233" spans="29:43"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  <c r="AH233" s="4" t="s">
        <v>22</v>
      </c>
      <c r="AI233" s="4" t="s">
        <v>22</v>
      </c>
      <c r="AK233" s="4" t="s">
        <v>22</v>
      </c>
      <c r="AL233" s="4" t="s">
        <v>22</v>
      </c>
      <c r="AM233" s="4" t="s">
        <v>22</v>
      </c>
      <c r="AN233" s="4" t="s">
        <v>22</v>
      </c>
      <c r="AO233" s="4" t="s">
        <v>22</v>
      </c>
      <c r="AP233" s="4" t="s">
        <v>22</v>
      </c>
      <c r="AQ233" s="4" t="s">
        <v>22</v>
      </c>
    </row>
    <row r="234" spans="29:43">
      <c r="AC234" s="4" t="s">
        <v>22</v>
      </c>
      <c r="AD234" s="4" t="s">
        <v>22</v>
      </c>
      <c r="AE234" s="4" t="s">
        <v>22</v>
      </c>
      <c r="AF234" s="4" t="s">
        <v>22</v>
      </c>
      <c r="AG234" s="4" t="s">
        <v>22</v>
      </c>
      <c r="AH234" s="4" t="s">
        <v>22</v>
      </c>
      <c r="AI234" s="4" t="s">
        <v>22</v>
      </c>
      <c r="AK234" s="4" t="s">
        <v>22</v>
      </c>
      <c r="AL234" s="4" t="s">
        <v>22</v>
      </c>
      <c r="AM234" s="4" t="s">
        <v>22</v>
      </c>
      <c r="AN234" s="4" t="s">
        <v>22</v>
      </c>
      <c r="AO234" s="4" t="s">
        <v>22</v>
      </c>
      <c r="AP234" s="4" t="s">
        <v>22</v>
      </c>
      <c r="AQ234" s="4" t="s">
        <v>22</v>
      </c>
    </row>
    <row r="235" spans="29:43"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  <c r="AH235" s="4" t="s">
        <v>22</v>
      </c>
      <c r="AI235" s="4" t="s">
        <v>22</v>
      </c>
      <c r="AK235" s="4" t="s">
        <v>22</v>
      </c>
      <c r="AL235" s="4" t="s">
        <v>22</v>
      </c>
      <c r="AM235" s="4" t="s">
        <v>22</v>
      </c>
      <c r="AN235" s="4" t="s">
        <v>22</v>
      </c>
      <c r="AO235" s="4" t="s">
        <v>22</v>
      </c>
      <c r="AP235" s="4" t="s">
        <v>22</v>
      </c>
      <c r="AQ235" s="4" t="s">
        <v>22</v>
      </c>
    </row>
    <row r="236" spans="29:43">
      <c r="AC236" s="4" t="s">
        <v>22</v>
      </c>
      <c r="AD236" s="4" t="s">
        <v>22</v>
      </c>
      <c r="AE236" s="4" t="s">
        <v>22</v>
      </c>
      <c r="AF236" s="4" t="s">
        <v>22</v>
      </c>
      <c r="AG236" s="4" t="s">
        <v>22</v>
      </c>
      <c r="AH236" s="4" t="s">
        <v>22</v>
      </c>
      <c r="AI236" s="4" t="s">
        <v>22</v>
      </c>
      <c r="AK236" s="4" t="s">
        <v>22</v>
      </c>
      <c r="AL236" s="4" t="s">
        <v>22</v>
      </c>
      <c r="AM236" s="4" t="s">
        <v>22</v>
      </c>
      <c r="AN236" s="4" t="s">
        <v>22</v>
      </c>
      <c r="AO236" s="4" t="s">
        <v>22</v>
      </c>
      <c r="AP236" s="4" t="s">
        <v>22</v>
      </c>
      <c r="AQ236" s="4" t="s">
        <v>22</v>
      </c>
    </row>
    <row r="237" spans="29:43">
      <c r="AC237" s="4" t="s">
        <v>22</v>
      </c>
      <c r="AD237" s="4" t="s">
        <v>22</v>
      </c>
      <c r="AE237" s="4" t="s">
        <v>22</v>
      </c>
      <c r="AF237" s="4" t="s">
        <v>22</v>
      </c>
      <c r="AG237" s="4" t="s">
        <v>22</v>
      </c>
      <c r="AH237" s="4" t="s">
        <v>22</v>
      </c>
      <c r="AI237" s="4" t="s">
        <v>22</v>
      </c>
      <c r="AK237" s="4" t="s">
        <v>22</v>
      </c>
      <c r="AL237" s="4" t="s">
        <v>22</v>
      </c>
      <c r="AM237" s="4" t="s">
        <v>22</v>
      </c>
      <c r="AN237" s="4" t="s">
        <v>22</v>
      </c>
      <c r="AO237" s="4" t="s">
        <v>22</v>
      </c>
      <c r="AP237" s="4" t="s">
        <v>22</v>
      </c>
      <c r="AQ237" s="4" t="s">
        <v>22</v>
      </c>
    </row>
    <row r="238" spans="29:43"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  <c r="AH238" s="4" t="s">
        <v>22</v>
      </c>
      <c r="AI238" s="4" t="s">
        <v>22</v>
      </c>
      <c r="AK238" s="4" t="s">
        <v>22</v>
      </c>
      <c r="AL238" s="4" t="s">
        <v>22</v>
      </c>
      <c r="AM238" s="4" t="s">
        <v>22</v>
      </c>
      <c r="AN238" s="4" t="s">
        <v>22</v>
      </c>
      <c r="AO238" s="4" t="s">
        <v>22</v>
      </c>
      <c r="AP238" s="4" t="s">
        <v>22</v>
      </c>
      <c r="AQ238" s="4" t="s">
        <v>22</v>
      </c>
    </row>
    <row r="239" spans="29:43">
      <c r="AC239" s="4" t="s">
        <v>22</v>
      </c>
      <c r="AD239" s="4" t="s">
        <v>22</v>
      </c>
      <c r="AE239" s="4" t="s">
        <v>22</v>
      </c>
      <c r="AF239" s="4" t="s">
        <v>22</v>
      </c>
      <c r="AG239" s="4" t="s">
        <v>22</v>
      </c>
      <c r="AH239" s="4" t="s">
        <v>22</v>
      </c>
      <c r="AI239" s="4" t="s">
        <v>22</v>
      </c>
      <c r="AK239" s="4" t="s">
        <v>22</v>
      </c>
      <c r="AL239" s="4" t="s">
        <v>22</v>
      </c>
      <c r="AM239" s="4" t="s">
        <v>22</v>
      </c>
      <c r="AN239" s="4" t="s">
        <v>22</v>
      </c>
      <c r="AO239" s="4" t="s">
        <v>22</v>
      </c>
      <c r="AP239" s="4" t="s">
        <v>22</v>
      </c>
      <c r="AQ239" s="4" t="s">
        <v>22</v>
      </c>
    </row>
    <row r="240" spans="29:43"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  <c r="AH240" s="4" t="s">
        <v>22</v>
      </c>
      <c r="AI240" s="4" t="s">
        <v>22</v>
      </c>
      <c r="AK240" s="4" t="s">
        <v>22</v>
      </c>
      <c r="AL240" s="4" t="s">
        <v>22</v>
      </c>
      <c r="AM240" s="4" t="s">
        <v>22</v>
      </c>
      <c r="AN240" s="4" t="s">
        <v>22</v>
      </c>
      <c r="AO240" s="4" t="s">
        <v>22</v>
      </c>
      <c r="AP240" s="4" t="s">
        <v>22</v>
      </c>
      <c r="AQ240" s="4" t="s">
        <v>22</v>
      </c>
    </row>
    <row r="241" spans="29:43">
      <c r="AC241" s="4" t="s">
        <v>22</v>
      </c>
      <c r="AD241" s="4" t="s">
        <v>22</v>
      </c>
      <c r="AE241" s="4" t="s">
        <v>22</v>
      </c>
      <c r="AF241" s="4" t="s">
        <v>22</v>
      </c>
      <c r="AG241" s="4" t="s">
        <v>22</v>
      </c>
      <c r="AH241" s="4" t="s">
        <v>22</v>
      </c>
      <c r="AI241" s="4" t="s">
        <v>22</v>
      </c>
      <c r="AK241" s="4" t="s">
        <v>22</v>
      </c>
      <c r="AL241" s="4" t="s">
        <v>22</v>
      </c>
      <c r="AM241" s="4" t="s">
        <v>22</v>
      </c>
      <c r="AN241" s="4" t="s">
        <v>22</v>
      </c>
      <c r="AO241" s="4" t="s">
        <v>22</v>
      </c>
      <c r="AP241" s="4" t="s">
        <v>22</v>
      </c>
      <c r="AQ241" s="4" t="s">
        <v>22</v>
      </c>
    </row>
    <row r="242" spans="29:43">
      <c r="AC242" s="4" t="s">
        <v>22</v>
      </c>
      <c r="AD242" s="4" t="s">
        <v>22</v>
      </c>
      <c r="AE242" s="4" t="s">
        <v>22</v>
      </c>
      <c r="AF242" s="4" t="s">
        <v>22</v>
      </c>
      <c r="AG242" s="4" t="s">
        <v>22</v>
      </c>
      <c r="AH242" s="4" t="s">
        <v>22</v>
      </c>
      <c r="AI242" s="4" t="s">
        <v>22</v>
      </c>
      <c r="AK242" s="4" t="s">
        <v>22</v>
      </c>
      <c r="AL242" s="4" t="s">
        <v>22</v>
      </c>
      <c r="AM242" s="4" t="s">
        <v>22</v>
      </c>
      <c r="AN242" s="4" t="s">
        <v>22</v>
      </c>
      <c r="AO242" s="4" t="s">
        <v>22</v>
      </c>
      <c r="AP242" s="4" t="s">
        <v>22</v>
      </c>
      <c r="AQ242" s="4" t="s">
        <v>22</v>
      </c>
    </row>
    <row r="243" spans="29:43">
      <c r="AC243" s="4" t="s">
        <v>22</v>
      </c>
      <c r="AD243" s="4" t="s">
        <v>22</v>
      </c>
      <c r="AE243" s="4" t="s">
        <v>22</v>
      </c>
      <c r="AF243" s="4" t="s">
        <v>22</v>
      </c>
      <c r="AG243" s="4" t="s">
        <v>22</v>
      </c>
      <c r="AH243" s="4" t="s">
        <v>22</v>
      </c>
      <c r="AI243" s="4" t="s">
        <v>22</v>
      </c>
      <c r="AK243" s="4" t="s">
        <v>22</v>
      </c>
      <c r="AL243" s="4" t="s">
        <v>22</v>
      </c>
      <c r="AM243" s="4" t="s">
        <v>22</v>
      </c>
      <c r="AN243" s="4" t="s">
        <v>22</v>
      </c>
      <c r="AO243" s="4" t="s">
        <v>22</v>
      </c>
      <c r="AP243" s="4" t="s">
        <v>22</v>
      </c>
      <c r="AQ243" s="4" t="s">
        <v>22</v>
      </c>
    </row>
    <row r="244" spans="29:43"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  <c r="AH244" s="4" t="s">
        <v>22</v>
      </c>
      <c r="AI244" s="4" t="s">
        <v>22</v>
      </c>
      <c r="AK244" s="4" t="s">
        <v>22</v>
      </c>
      <c r="AL244" s="4" t="s">
        <v>22</v>
      </c>
      <c r="AM244" s="4" t="s">
        <v>22</v>
      </c>
      <c r="AN244" s="4" t="s">
        <v>22</v>
      </c>
      <c r="AO244" s="4" t="s">
        <v>22</v>
      </c>
      <c r="AP244" s="4" t="s">
        <v>22</v>
      </c>
      <c r="AQ244" s="4" t="s">
        <v>22</v>
      </c>
    </row>
    <row r="245" spans="29:43">
      <c r="AC245" s="4" t="s">
        <v>22</v>
      </c>
      <c r="AD245" s="4" t="s">
        <v>22</v>
      </c>
      <c r="AE245" s="4" t="s">
        <v>22</v>
      </c>
      <c r="AF245" s="4" t="s">
        <v>22</v>
      </c>
      <c r="AG245" s="4" t="s">
        <v>22</v>
      </c>
      <c r="AH245" s="4" t="s">
        <v>22</v>
      </c>
      <c r="AI245" s="4" t="s">
        <v>22</v>
      </c>
      <c r="AK245" s="4" t="s">
        <v>22</v>
      </c>
      <c r="AL245" s="4" t="s">
        <v>22</v>
      </c>
      <c r="AM245" s="4" t="s">
        <v>22</v>
      </c>
      <c r="AN245" s="4" t="s">
        <v>22</v>
      </c>
      <c r="AO245" s="4" t="s">
        <v>22</v>
      </c>
      <c r="AP245" s="4" t="s">
        <v>22</v>
      </c>
      <c r="AQ245" s="4" t="s">
        <v>22</v>
      </c>
    </row>
    <row r="246" spans="29:43">
      <c r="AC246" s="4" t="s">
        <v>22</v>
      </c>
      <c r="AD246" s="4" t="s">
        <v>22</v>
      </c>
      <c r="AE246" s="4" t="s">
        <v>22</v>
      </c>
      <c r="AF246" s="4" t="s">
        <v>22</v>
      </c>
      <c r="AG246" s="4" t="s">
        <v>22</v>
      </c>
      <c r="AH246" s="4" t="s">
        <v>22</v>
      </c>
      <c r="AI246" s="4" t="s">
        <v>22</v>
      </c>
      <c r="AK246" s="4" t="s">
        <v>22</v>
      </c>
      <c r="AL246" s="4" t="s">
        <v>22</v>
      </c>
      <c r="AM246" s="4" t="s">
        <v>22</v>
      </c>
      <c r="AN246" s="4" t="s">
        <v>22</v>
      </c>
      <c r="AO246" s="4" t="s">
        <v>22</v>
      </c>
      <c r="AP246" s="4" t="s">
        <v>22</v>
      </c>
      <c r="AQ246" s="4" t="s">
        <v>22</v>
      </c>
    </row>
    <row r="247" spans="29:43">
      <c r="AC247" s="4" t="s">
        <v>22</v>
      </c>
      <c r="AD247" s="4" t="s">
        <v>22</v>
      </c>
      <c r="AE247" s="4" t="s">
        <v>22</v>
      </c>
      <c r="AF247" s="4" t="s">
        <v>22</v>
      </c>
      <c r="AG247" s="4" t="s">
        <v>22</v>
      </c>
      <c r="AH247" s="4" t="s">
        <v>22</v>
      </c>
      <c r="AI247" s="4" t="s">
        <v>22</v>
      </c>
      <c r="AK247" s="4" t="s">
        <v>22</v>
      </c>
      <c r="AL247" s="4" t="s">
        <v>22</v>
      </c>
      <c r="AM247" s="4" t="s">
        <v>22</v>
      </c>
      <c r="AN247" s="4" t="s">
        <v>22</v>
      </c>
      <c r="AO247" s="4" t="s">
        <v>22</v>
      </c>
      <c r="AP247" s="4" t="s">
        <v>22</v>
      </c>
      <c r="AQ247" s="4" t="s">
        <v>22</v>
      </c>
    </row>
    <row r="248" spans="29:43">
      <c r="AC248" s="4" t="s">
        <v>22</v>
      </c>
      <c r="AD248" s="4" t="s">
        <v>22</v>
      </c>
      <c r="AE248" s="4" t="s">
        <v>22</v>
      </c>
      <c r="AF248" s="4" t="s">
        <v>22</v>
      </c>
      <c r="AG248" s="4" t="s">
        <v>22</v>
      </c>
      <c r="AH248" s="4" t="s">
        <v>22</v>
      </c>
      <c r="AI248" s="4" t="s">
        <v>22</v>
      </c>
      <c r="AK248" s="4" t="s">
        <v>22</v>
      </c>
      <c r="AL248" s="4" t="s">
        <v>22</v>
      </c>
      <c r="AM248" s="4" t="s">
        <v>22</v>
      </c>
      <c r="AN248" s="4" t="s">
        <v>22</v>
      </c>
      <c r="AO248" s="4" t="s">
        <v>22</v>
      </c>
      <c r="AP248" s="4" t="s">
        <v>22</v>
      </c>
      <c r="AQ248" s="4" t="s">
        <v>22</v>
      </c>
    </row>
    <row r="249" spans="29:43">
      <c r="AC249" s="4" t="s">
        <v>22</v>
      </c>
      <c r="AD249" s="4" t="s">
        <v>22</v>
      </c>
      <c r="AE249" s="4" t="s">
        <v>22</v>
      </c>
      <c r="AF249" s="4" t="s">
        <v>22</v>
      </c>
      <c r="AG249" s="4" t="s">
        <v>22</v>
      </c>
      <c r="AH249" s="4" t="s">
        <v>22</v>
      </c>
      <c r="AI249" s="4" t="s">
        <v>22</v>
      </c>
      <c r="AK249" s="4" t="s">
        <v>22</v>
      </c>
      <c r="AL249" s="4" t="s">
        <v>22</v>
      </c>
      <c r="AM249" s="4" t="s">
        <v>22</v>
      </c>
      <c r="AN249" s="4" t="s">
        <v>22</v>
      </c>
      <c r="AO249" s="4" t="s">
        <v>22</v>
      </c>
      <c r="AP249" s="4" t="s">
        <v>22</v>
      </c>
      <c r="AQ249" s="4" t="s">
        <v>22</v>
      </c>
    </row>
    <row r="250" spans="29:43">
      <c r="AC250" s="4" t="s">
        <v>22</v>
      </c>
      <c r="AD250" s="4" t="s">
        <v>22</v>
      </c>
      <c r="AE250" s="4" t="s">
        <v>22</v>
      </c>
      <c r="AF250" s="4" t="s">
        <v>22</v>
      </c>
      <c r="AG250" s="4" t="s">
        <v>22</v>
      </c>
      <c r="AH250" s="4" t="s">
        <v>22</v>
      </c>
      <c r="AI250" s="4" t="s">
        <v>22</v>
      </c>
      <c r="AK250" s="4" t="s">
        <v>22</v>
      </c>
      <c r="AL250" s="4" t="s">
        <v>22</v>
      </c>
      <c r="AM250" s="4" t="s">
        <v>22</v>
      </c>
      <c r="AN250" s="4" t="s">
        <v>22</v>
      </c>
      <c r="AO250" s="4" t="s">
        <v>22</v>
      </c>
      <c r="AP250" s="4" t="s">
        <v>22</v>
      </c>
      <c r="AQ250" s="4" t="s">
        <v>22</v>
      </c>
    </row>
    <row r="251" spans="29:43">
      <c r="AC251" s="4" t="s">
        <v>22</v>
      </c>
      <c r="AD251" s="4" t="s">
        <v>22</v>
      </c>
      <c r="AE251" s="4" t="s">
        <v>22</v>
      </c>
      <c r="AF251" s="4" t="s">
        <v>22</v>
      </c>
      <c r="AG251" s="4" t="s">
        <v>22</v>
      </c>
      <c r="AH251" s="4" t="s">
        <v>22</v>
      </c>
      <c r="AI251" s="4" t="s">
        <v>22</v>
      </c>
      <c r="AK251" s="4" t="s">
        <v>22</v>
      </c>
      <c r="AL251" s="4" t="s">
        <v>22</v>
      </c>
      <c r="AM251" s="4" t="s">
        <v>22</v>
      </c>
      <c r="AN251" s="4" t="s">
        <v>22</v>
      </c>
      <c r="AO251" s="4" t="s">
        <v>22</v>
      </c>
      <c r="AP251" s="4" t="s">
        <v>22</v>
      </c>
      <c r="AQ251" s="4" t="s">
        <v>22</v>
      </c>
    </row>
    <row r="252" spans="29:43">
      <c r="AC252" s="4" t="s">
        <v>22</v>
      </c>
      <c r="AD252" s="4" t="s">
        <v>22</v>
      </c>
      <c r="AE252" s="4" t="s">
        <v>22</v>
      </c>
      <c r="AF252" s="4" t="s">
        <v>22</v>
      </c>
      <c r="AG252" s="4" t="s">
        <v>22</v>
      </c>
      <c r="AH252" s="4" t="s">
        <v>22</v>
      </c>
      <c r="AI252" s="4" t="s">
        <v>22</v>
      </c>
      <c r="AK252" s="4" t="s">
        <v>22</v>
      </c>
      <c r="AL252" s="4" t="s">
        <v>22</v>
      </c>
      <c r="AM252" s="4" t="s">
        <v>22</v>
      </c>
      <c r="AN252" s="4" t="s">
        <v>22</v>
      </c>
      <c r="AO252" s="4" t="s">
        <v>22</v>
      </c>
      <c r="AP252" s="4" t="s">
        <v>22</v>
      </c>
      <c r="AQ252" s="4" t="s">
        <v>22</v>
      </c>
    </row>
    <row r="253" spans="29:43">
      <c r="AC253" s="4" t="s">
        <v>22</v>
      </c>
      <c r="AD253" s="4" t="s">
        <v>22</v>
      </c>
      <c r="AE253" s="4" t="s">
        <v>22</v>
      </c>
      <c r="AF253" s="4" t="s">
        <v>22</v>
      </c>
      <c r="AG253" s="4" t="s">
        <v>22</v>
      </c>
      <c r="AH253" s="4" t="s">
        <v>22</v>
      </c>
      <c r="AI253" s="4" t="s">
        <v>22</v>
      </c>
      <c r="AK253" s="4" t="s">
        <v>22</v>
      </c>
      <c r="AL253" s="4" t="s">
        <v>22</v>
      </c>
      <c r="AM253" s="4" t="s">
        <v>22</v>
      </c>
      <c r="AN253" s="4" t="s">
        <v>22</v>
      </c>
      <c r="AO253" s="4" t="s">
        <v>22</v>
      </c>
      <c r="AP253" s="4" t="s">
        <v>22</v>
      </c>
      <c r="AQ253" s="4" t="s">
        <v>22</v>
      </c>
    </row>
    <row r="254" spans="29:43">
      <c r="AC254" s="4" t="s">
        <v>22</v>
      </c>
      <c r="AD254" s="4" t="s">
        <v>22</v>
      </c>
      <c r="AE254" s="4" t="s">
        <v>22</v>
      </c>
      <c r="AF254" s="4" t="s">
        <v>22</v>
      </c>
      <c r="AG254" s="4" t="s">
        <v>22</v>
      </c>
      <c r="AH254" s="4" t="s">
        <v>22</v>
      </c>
      <c r="AI254" s="4" t="s">
        <v>22</v>
      </c>
      <c r="AK254" s="4" t="s">
        <v>22</v>
      </c>
      <c r="AL254" s="4" t="s">
        <v>22</v>
      </c>
      <c r="AM254" s="4" t="s">
        <v>22</v>
      </c>
      <c r="AN254" s="4" t="s">
        <v>22</v>
      </c>
      <c r="AO254" s="4" t="s">
        <v>22</v>
      </c>
      <c r="AP254" s="4" t="s">
        <v>22</v>
      </c>
      <c r="AQ254" s="4" t="s">
        <v>22</v>
      </c>
    </row>
    <row r="255" spans="29:43"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  <c r="AH255" s="4" t="s">
        <v>22</v>
      </c>
      <c r="AI255" s="4" t="s">
        <v>22</v>
      </c>
      <c r="AK255" s="4" t="s">
        <v>22</v>
      </c>
      <c r="AL255" s="4" t="s">
        <v>22</v>
      </c>
      <c r="AM255" s="4" t="s">
        <v>22</v>
      </c>
      <c r="AN255" s="4" t="s">
        <v>22</v>
      </c>
      <c r="AO255" s="4" t="s">
        <v>22</v>
      </c>
      <c r="AP255" s="4" t="s">
        <v>22</v>
      </c>
      <c r="AQ255" s="4" t="s">
        <v>22</v>
      </c>
    </row>
    <row r="256" spans="29:43">
      <c r="AC256" s="4" t="s">
        <v>22</v>
      </c>
      <c r="AD256" s="4" t="s">
        <v>22</v>
      </c>
      <c r="AE256" s="4" t="s">
        <v>22</v>
      </c>
      <c r="AF256" s="4" t="s">
        <v>22</v>
      </c>
      <c r="AG256" s="4" t="s">
        <v>22</v>
      </c>
      <c r="AH256" s="4" t="s">
        <v>22</v>
      </c>
      <c r="AI256" s="4" t="s">
        <v>22</v>
      </c>
      <c r="AK256" s="4" t="s">
        <v>22</v>
      </c>
      <c r="AL256" s="4" t="s">
        <v>22</v>
      </c>
      <c r="AM256" s="4" t="s">
        <v>22</v>
      </c>
      <c r="AN256" s="4" t="s">
        <v>22</v>
      </c>
      <c r="AO256" s="4" t="s">
        <v>22</v>
      </c>
      <c r="AP256" s="4" t="s">
        <v>22</v>
      </c>
      <c r="AQ256" s="4" t="s">
        <v>22</v>
      </c>
    </row>
    <row r="257" spans="29:43"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  <c r="AH257" s="4" t="s">
        <v>22</v>
      </c>
      <c r="AI257" s="4" t="s">
        <v>22</v>
      </c>
      <c r="AK257" s="4" t="s">
        <v>22</v>
      </c>
      <c r="AL257" s="4" t="s">
        <v>22</v>
      </c>
      <c r="AM257" s="4" t="s">
        <v>22</v>
      </c>
      <c r="AN257" s="4" t="s">
        <v>22</v>
      </c>
      <c r="AO257" s="4" t="s">
        <v>22</v>
      </c>
      <c r="AP257" s="4" t="s">
        <v>22</v>
      </c>
      <c r="AQ257" s="4" t="s">
        <v>22</v>
      </c>
    </row>
    <row r="258" spans="29:43">
      <c r="AC258" s="4" t="s">
        <v>22</v>
      </c>
      <c r="AD258" s="4" t="s">
        <v>22</v>
      </c>
      <c r="AE258" s="4" t="s">
        <v>22</v>
      </c>
      <c r="AF258" s="4" t="s">
        <v>22</v>
      </c>
      <c r="AG258" s="4" t="s">
        <v>22</v>
      </c>
      <c r="AH258" s="4" t="s">
        <v>22</v>
      </c>
      <c r="AI258" s="4" t="s">
        <v>22</v>
      </c>
      <c r="AK258" s="4" t="s">
        <v>22</v>
      </c>
      <c r="AL258" s="4" t="s">
        <v>22</v>
      </c>
      <c r="AM258" s="4" t="s">
        <v>22</v>
      </c>
      <c r="AN258" s="4" t="s">
        <v>22</v>
      </c>
      <c r="AO258" s="4" t="s">
        <v>22</v>
      </c>
      <c r="AP258" s="4" t="s">
        <v>22</v>
      </c>
      <c r="AQ258" s="4" t="s">
        <v>22</v>
      </c>
    </row>
    <row r="259" spans="29:43"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  <c r="AH259" s="4" t="s">
        <v>22</v>
      </c>
      <c r="AI259" s="4" t="s">
        <v>22</v>
      </c>
      <c r="AK259" s="4" t="s">
        <v>22</v>
      </c>
      <c r="AL259" s="4" t="s">
        <v>22</v>
      </c>
      <c r="AM259" s="4" t="s">
        <v>22</v>
      </c>
      <c r="AN259" s="4" t="s">
        <v>22</v>
      </c>
      <c r="AO259" s="4" t="s">
        <v>22</v>
      </c>
      <c r="AP259" s="4" t="s">
        <v>22</v>
      </c>
      <c r="AQ259" s="4" t="s">
        <v>22</v>
      </c>
    </row>
    <row r="260" spans="29:43">
      <c r="AC260" s="4" t="s">
        <v>22</v>
      </c>
      <c r="AD260" s="4" t="s">
        <v>22</v>
      </c>
      <c r="AE260" s="4" t="s">
        <v>22</v>
      </c>
      <c r="AF260" s="4" t="s">
        <v>22</v>
      </c>
      <c r="AG260" s="4" t="s">
        <v>22</v>
      </c>
      <c r="AH260" s="4" t="s">
        <v>22</v>
      </c>
      <c r="AI260" s="4" t="s">
        <v>22</v>
      </c>
      <c r="AK260" s="4" t="s">
        <v>22</v>
      </c>
      <c r="AL260" s="4" t="s">
        <v>22</v>
      </c>
      <c r="AM260" s="4" t="s">
        <v>22</v>
      </c>
      <c r="AN260" s="4" t="s">
        <v>22</v>
      </c>
      <c r="AO260" s="4" t="s">
        <v>22</v>
      </c>
      <c r="AP260" s="4" t="s">
        <v>22</v>
      </c>
      <c r="AQ260" s="4" t="s">
        <v>22</v>
      </c>
    </row>
    <row r="261" spans="29:43"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  <c r="AH261" s="4" t="s">
        <v>22</v>
      </c>
      <c r="AI261" s="4" t="s">
        <v>22</v>
      </c>
      <c r="AK261" s="4" t="s">
        <v>22</v>
      </c>
      <c r="AL261" s="4" t="s">
        <v>22</v>
      </c>
      <c r="AM261" s="4" t="s">
        <v>22</v>
      </c>
      <c r="AN261" s="4" t="s">
        <v>22</v>
      </c>
      <c r="AO261" s="4" t="s">
        <v>22</v>
      </c>
      <c r="AP261" s="4" t="s">
        <v>22</v>
      </c>
      <c r="AQ261" s="4" t="s">
        <v>22</v>
      </c>
    </row>
    <row r="262" spans="29:43">
      <c r="AC262" s="4" t="s">
        <v>22</v>
      </c>
      <c r="AD262" s="4" t="s">
        <v>22</v>
      </c>
      <c r="AE262" s="4" t="s">
        <v>22</v>
      </c>
      <c r="AF262" s="4" t="s">
        <v>22</v>
      </c>
      <c r="AG262" s="4" t="s">
        <v>22</v>
      </c>
      <c r="AH262" s="4" t="s">
        <v>22</v>
      </c>
      <c r="AI262" s="4" t="s">
        <v>22</v>
      </c>
      <c r="AK262" s="4" t="s">
        <v>22</v>
      </c>
      <c r="AL262" s="4" t="s">
        <v>22</v>
      </c>
      <c r="AM262" s="4" t="s">
        <v>22</v>
      </c>
      <c r="AN262" s="4" t="s">
        <v>22</v>
      </c>
      <c r="AO262" s="4" t="s">
        <v>22</v>
      </c>
      <c r="AP262" s="4" t="s">
        <v>22</v>
      </c>
      <c r="AQ262" s="4" t="s">
        <v>22</v>
      </c>
    </row>
    <row r="263" spans="29:43">
      <c r="AC263" s="4" t="s">
        <v>22</v>
      </c>
      <c r="AD263" s="4" t="s">
        <v>22</v>
      </c>
      <c r="AE263" s="4" t="s">
        <v>22</v>
      </c>
      <c r="AF263" s="4" t="s">
        <v>22</v>
      </c>
      <c r="AG263" s="4" t="s">
        <v>22</v>
      </c>
      <c r="AH263" s="4" t="s">
        <v>22</v>
      </c>
      <c r="AI263" s="4" t="s">
        <v>22</v>
      </c>
      <c r="AK263" s="4" t="s">
        <v>22</v>
      </c>
      <c r="AL263" s="4" t="s">
        <v>22</v>
      </c>
      <c r="AM263" s="4" t="s">
        <v>22</v>
      </c>
      <c r="AN263" s="4" t="s">
        <v>22</v>
      </c>
      <c r="AO263" s="4" t="s">
        <v>22</v>
      </c>
      <c r="AP263" s="4" t="s">
        <v>22</v>
      </c>
      <c r="AQ263" s="4" t="s">
        <v>22</v>
      </c>
    </row>
    <row r="264" spans="29:43">
      <c r="AC264" s="4" t="s">
        <v>22</v>
      </c>
      <c r="AD264" s="4" t="s">
        <v>22</v>
      </c>
      <c r="AE264" s="4" t="s">
        <v>22</v>
      </c>
      <c r="AF264" s="4" t="s">
        <v>22</v>
      </c>
      <c r="AG264" s="4" t="s">
        <v>22</v>
      </c>
      <c r="AH264" s="4" t="s">
        <v>22</v>
      </c>
      <c r="AI264" s="4" t="s">
        <v>22</v>
      </c>
      <c r="AK264" s="4" t="s">
        <v>22</v>
      </c>
      <c r="AL264" s="4" t="s">
        <v>22</v>
      </c>
      <c r="AM264" s="4" t="s">
        <v>22</v>
      </c>
      <c r="AN264" s="4" t="s">
        <v>22</v>
      </c>
      <c r="AO264" s="4" t="s">
        <v>22</v>
      </c>
      <c r="AP264" s="4" t="s">
        <v>22</v>
      </c>
      <c r="AQ264" s="4" t="s">
        <v>22</v>
      </c>
    </row>
    <row r="265" spans="29:43">
      <c r="AC265" s="4" t="s">
        <v>22</v>
      </c>
      <c r="AD265" s="4" t="s">
        <v>22</v>
      </c>
      <c r="AE265" s="4" t="s">
        <v>22</v>
      </c>
      <c r="AF265" s="4" t="s">
        <v>22</v>
      </c>
      <c r="AG265" s="4" t="s">
        <v>22</v>
      </c>
      <c r="AH265" s="4" t="s">
        <v>22</v>
      </c>
      <c r="AI265" s="4" t="s">
        <v>22</v>
      </c>
      <c r="AK265" s="4" t="s">
        <v>22</v>
      </c>
      <c r="AL265" s="4" t="s">
        <v>22</v>
      </c>
      <c r="AM265" s="4" t="s">
        <v>22</v>
      </c>
      <c r="AN265" s="4" t="s">
        <v>22</v>
      </c>
      <c r="AO265" s="4" t="s">
        <v>22</v>
      </c>
      <c r="AP265" s="4" t="s">
        <v>22</v>
      </c>
      <c r="AQ265" s="4" t="s">
        <v>22</v>
      </c>
    </row>
    <row r="266" spans="29:43">
      <c r="AC266" s="4" t="s">
        <v>22</v>
      </c>
      <c r="AD266" s="4" t="s">
        <v>22</v>
      </c>
      <c r="AE266" s="4" t="s">
        <v>22</v>
      </c>
      <c r="AF266" s="4" t="s">
        <v>22</v>
      </c>
      <c r="AG266" s="4" t="s">
        <v>22</v>
      </c>
      <c r="AH266" s="4" t="s">
        <v>22</v>
      </c>
      <c r="AI266" s="4" t="s">
        <v>22</v>
      </c>
      <c r="AK266" s="4" t="s">
        <v>22</v>
      </c>
      <c r="AL266" s="4" t="s">
        <v>22</v>
      </c>
      <c r="AM266" s="4" t="s">
        <v>22</v>
      </c>
      <c r="AN266" s="4" t="s">
        <v>22</v>
      </c>
      <c r="AO266" s="4" t="s">
        <v>22</v>
      </c>
      <c r="AP266" s="4" t="s">
        <v>22</v>
      </c>
      <c r="AQ266" s="4" t="s">
        <v>22</v>
      </c>
    </row>
    <row r="267" spans="29:43">
      <c r="AC267" s="4" t="s">
        <v>22</v>
      </c>
      <c r="AD267" s="4" t="s">
        <v>22</v>
      </c>
      <c r="AE267" s="4" t="s">
        <v>22</v>
      </c>
      <c r="AF267" s="4" t="s">
        <v>22</v>
      </c>
      <c r="AG267" s="4" t="s">
        <v>22</v>
      </c>
      <c r="AH267" s="4" t="s">
        <v>22</v>
      </c>
      <c r="AI267" s="4" t="s">
        <v>22</v>
      </c>
      <c r="AK267" s="4" t="s">
        <v>22</v>
      </c>
      <c r="AL267" s="4" t="s">
        <v>22</v>
      </c>
      <c r="AM267" s="4" t="s">
        <v>22</v>
      </c>
      <c r="AN267" s="4" t="s">
        <v>22</v>
      </c>
      <c r="AO267" s="4" t="s">
        <v>22</v>
      </c>
      <c r="AP267" s="4" t="s">
        <v>22</v>
      </c>
      <c r="AQ267" s="4" t="s">
        <v>22</v>
      </c>
    </row>
    <row r="268" spans="29:43">
      <c r="AC268" s="4" t="s">
        <v>22</v>
      </c>
      <c r="AD268" s="4" t="s">
        <v>22</v>
      </c>
      <c r="AE268" s="4" t="s">
        <v>22</v>
      </c>
      <c r="AF268" s="4" t="s">
        <v>22</v>
      </c>
      <c r="AG268" s="4" t="s">
        <v>22</v>
      </c>
      <c r="AH268" s="4" t="s">
        <v>22</v>
      </c>
      <c r="AI268" s="4" t="s">
        <v>22</v>
      </c>
      <c r="AK268" s="4" t="s">
        <v>22</v>
      </c>
      <c r="AL268" s="4" t="s">
        <v>22</v>
      </c>
      <c r="AM268" s="4" t="s">
        <v>22</v>
      </c>
      <c r="AN268" s="4" t="s">
        <v>22</v>
      </c>
      <c r="AO268" s="4" t="s">
        <v>22</v>
      </c>
      <c r="AP268" s="4" t="s">
        <v>22</v>
      </c>
      <c r="AQ268" s="4" t="s">
        <v>22</v>
      </c>
    </row>
    <row r="269" spans="29:43"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  <c r="AH269" s="4" t="s">
        <v>22</v>
      </c>
      <c r="AI269" s="4" t="s">
        <v>22</v>
      </c>
      <c r="AK269" s="4" t="s">
        <v>22</v>
      </c>
      <c r="AL269" s="4" t="s">
        <v>22</v>
      </c>
      <c r="AM269" s="4" t="s">
        <v>22</v>
      </c>
      <c r="AN269" s="4" t="s">
        <v>22</v>
      </c>
      <c r="AO269" s="4" t="s">
        <v>22</v>
      </c>
      <c r="AP269" s="4" t="s">
        <v>22</v>
      </c>
      <c r="AQ269" s="4" t="s">
        <v>22</v>
      </c>
    </row>
    <row r="270" spans="29:43">
      <c r="AC270" s="4" t="s">
        <v>22</v>
      </c>
      <c r="AD270" s="4" t="s">
        <v>22</v>
      </c>
      <c r="AE270" s="4" t="s">
        <v>22</v>
      </c>
      <c r="AF270" s="4" t="s">
        <v>22</v>
      </c>
      <c r="AG270" s="4" t="s">
        <v>22</v>
      </c>
      <c r="AH270" s="4" t="s">
        <v>22</v>
      </c>
      <c r="AI270" s="4" t="s">
        <v>22</v>
      </c>
      <c r="AK270" s="4" t="s">
        <v>22</v>
      </c>
      <c r="AL270" s="4" t="s">
        <v>22</v>
      </c>
      <c r="AM270" s="4" t="s">
        <v>22</v>
      </c>
      <c r="AN270" s="4" t="s">
        <v>22</v>
      </c>
      <c r="AO270" s="4" t="s">
        <v>22</v>
      </c>
      <c r="AP270" s="4" t="s">
        <v>22</v>
      </c>
      <c r="AQ270" s="4" t="s">
        <v>22</v>
      </c>
    </row>
    <row r="271" spans="29:43">
      <c r="AC271" s="4" t="s">
        <v>22</v>
      </c>
      <c r="AD271" s="4" t="s">
        <v>22</v>
      </c>
      <c r="AE271" s="4" t="s">
        <v>22</v>
      </c>
      <c r="AF271" s="4" t="s">
        <v>22</v>
      </c>
      <c r="AG271" s="4" t="s">
        <v>22</v>
      </c>
      <c r="AH271" s="4" t="s">
        <v>22</v>
      </c>
      <c r="AI271" s="4" t="s">
        <v>22</v>
      </c>
      <c r="AK271" s="4" t="s">
        <v>22</v>
      </c>
      <c r="AL271" s="4" t="s">
        <v>22</v>
      </c>
      <c r="AM271" s="4" t="s">
        <v>22</v>
      </c>
      <c r="AN271" s="4" t="s">
        <v>22</v>
      </c>
      <c r="AO271" s="4" t="s">
        <v>22</v>
      </c>
      <c r="AP271" s="4" t="s">
        <v>22</v>
      </c>
      <c r="AQ271" s="4" t="s">
        <v>22</v>
      </c>
    </row>
    <row r="272" spans="29:43">
      <c r="AC272" s="4" t="s">
        <v>22</v>
      </c>
      <c r="AD272" s="4" t="s">
        <v>22</v>
      </c>
      <c r="AE272" s="4" t="s">
        <v>22</v>
      </c>
      <c r="AF272" s="4" t="s">
        <v>22</v>
      </c>
      <c r="AG272" s="4" t="s">
        <v>22</v>
      </c>
      <c r="AH272" s="4" t="s">
        <v>22</v>
      </c>
      <c r="AI272" s="4" t="s">
        <v>22</v>
      </c>
      <c r="AK272" s="4" t="s">
        <v>22</v>
      </c>
      <c r="AL272" s="4" t="s">
        <v>22</v>
      </c>
      <c r="AM272" s="4" t="s">
        <v>22</v>
      </c>
      <c r="AN272" s="4" t="s">
        <v>22</v>
      </c>
      <c r="AO272" s="4" t="s">
        <v>22</v>
      </c>
      <c r="AP272" s="4" t="s">
        <v>22</v>
      </c>
      <c r="AQ272" s="4" t="s">
        <v>22</v>
      </c>
    </row>
    <row r="273" spans="29:43">
      <c r="AC273" s="4" t="s">
        <v>22</v>
      </c>
      <c r="AD273" s="4" t="s">
        <v>22</v>
      </c>
      <c r="AE273" s="4" t="s">
        <v>22</v>
      </c>
      <c r="AF273" s="4" t="s">
        <v>22</v>
      </c>
      <c r="AG273" s="4" t="s">
        <v>22</v>
      </c>
      <c r="AH273" s="4" t="s">
        <v>22</v>
      </c>
      <c r="AI273" s="4" t="s">
        <v>22</v>
      </c>
      <c r="AK273" s="4" t="s">
        <v>22</v>
      </c>
      <c r="AL273" s="4" t="s">
        <v>22</v>
      </c>
      <c r="AM273" s="4" t="s">
        <v>22</v>
      </c>
      <c r="AN273" s="4" t="s">
        <v>22</v>
      </c>
      <c r="AO273" s="4" t="s">
        <v>22</v>
      </c>
      <c r="AP273" s="4" t="s">
        <v>22</v>
      </c>
      <c r="AQ273" s="4" t="s">
        <v>22</v>
      </c>
    </row>
    <row r="274" spans="29:43"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  <c r="AH274" s="4" t="s">
        <v>22</v>
      </c>
      <c r="AI274" s="4" t="s">
        <v>22</v>
      </c>
      <c r="AK274" s="4" t="s">
        <v>22</v>
      </c>
      <c r="AL274" s="4" t="s">
        <v>22</v>
      </c>
      <c r="AM274" s="4" t="s">
        <v>22</v>
      </c>
      <c r="AN274" s="4" t="s">
        <v>22</v>
      </c>
      <c r="AO274" s="4" t="s">
        <v>22</v>
      </c>
      <c r="AP274" s="4" t="s">
        <v>22</v>
      </c>
      <c r="AQ274" s="4" t="s">
        <v>22</v>
      </c>
    </row>
    <row r="275" spans="29:43">
      <c r="AC275" s="4" t="s">
        <v>22</v>
      </c>
      <c r="AD275" s="4" t="s">
        <v>22</v>
      </c>
      <c r="AE275" s="4" t="s">
        <v>22</v>
      </c>
      <c r="AF275" s="4" t="s">
        <v>22</v>
      </c>
      <c r="AG275" s="4" t="s">
        <v>22</v>
      </c>
      <c r="AH275" s="4" t="s">
        <v>22</v>
      </c>
      <c r="AI275" s="4" t="s">
        <v>22</v>
      </c>
      <c r="AK275" s="4" t="s">
        <v>22</v>
      </c>
      <c r="AL275" s="4" t="s">
        <v>22</v>
      </c>
      <c r="AM275" s="4" t="s">
        <v>22</v>
      </c>
      <c r="AN275" s="4" t="s">
        <v>22</v>
      </c>
      <c r="AO275" s="4" t="s">
        <v>22</v>
      </c>
      <c r="AP275" s="4" t="s">
        <v>22</v>
      </c>
      <c r="AQ275" s="4" t="s">
        <v>22</v>
      </c>
    </row>
    <row r="276" spans="29:43">
      <c r="AC276" s="4" t="s">
        <v>22</v>
      </c>
      <c r="AD276" s="4" t="s">
        <v>22</v>
      </c>
      <c r="AE276" s="4" t="s">
        <v>22</v>
      </c>
      <c r="AF276" s="4" t="s">
        <v>22</v>
      </c>
      <c r="AG276" s="4" t="s">
        <v>22</v>
      </c>
      <c r="AH276" s="4" t="s">
        <v>22</v>
      </c>
      <c r="AI276" s="4" t="s">
        <v>22</v>
      </c>
      <c r="AK276" s="4" t="s">
        <v>22</v>
      </c>
      <c r="AL276" s="4" t="s">
        <v>22</v>
      </c>
      <c r="AM276" s="4" t="s">
        <v>22</v>
      </c>
      <c r="AN276" s="4" t="s">
        <v>22</v>
      </c>
      <c r="AO276" s="4" t="s">
        <v>22</v>
      </c>
      <c r="AP276" s="4" t="s">
        <v>22</v>
      </c>
      <c r="AQ276" s="4" t="s">
        <v>22</v>
      </c>
    </row>
    <row r="277" spans="29:43">
      <c r="AC277" s="4" t="s">
        <v>22</v>
      </c>
      <c r="AD277" s="4" t="s">
        <v>22</v>
      </c>
      <c r="AE277" s="4" t="s">
        <v>22</v>
      </c>
      <c r="AF277" s="4" t="s">
        <v>22</v>
      </c>
      <c r="AG277" s="4" t="s">
        <v>22</v>
      </c>
      <c r="AH277" s="4" t="s">
        <v>22</v>
      </c>
      <c r="AI277" s="4" t="s">
        <v>22</v>
      </c>
      <c r="AK277" s="4" t="s">
        <v>22</v>
      </c>
      <c r="AL277" s="4" t="s">
        <v>22</v>
      </c>
      <c r="AM277" s="4" t="s">
        <v>22</v>
      </c>
      <c r="AN277" s="4" t="s">
        <v>22</v>
      </c>
      <c r="AO277" s="4" t="s">
        <v>22</v>
      </c>
      <c r="AP277" s="4" t="s">
        <v>22</v>
      </c>
      <c r="AQ277" s="4" t="s">
        <v>22</v>
      </c>
    </row>
    <row r="278" spans="29:43"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  <c r="AH278" s="4" t="s">
        <v>22</v>
      </c>
      <c r="AI278" s="4" t="s">
        <v>22</v>
      </c>
      <c r="AK278" s="4" t="s">
        <v>22</v>
      </c>
      <c r="AL278" s="4" t="s">
        <v>22</v>
      </c>
      <c r="AM278" s="4" t="s">
        <v>22</v>
      </c>
      <c r="AN278" s="4" t="s">
        <v>22</v>
      </c>
      <c r="AO278" s="4" t="s">
        <v>22</v>
      </c>
      <c r="AP278" s="4" t="s">
        <v>22</v>
      </c>
      <c r="AQ278" s="4" t="s">
        <v>22</v>
      </c>
    </row>
    <row r="279" spans="29:43">
      <c r="AC279" s="4" t="s">
        <v>22</v>
      </c>
      <c r="AD279" s="4" t="s">
        <v>22</v>
      </c>
      <c r="AE279" s="4" t="s">
        <v>22</v>
      </c>
      <c r="AF279" s="4" t="s">
        <v>22</v>
      </c>
      <c r="AG279" s="4" t="s">
        <v>22</v>
      </c>
      <c r="AH279" s="4" t="s">
        <v>22</v>
      </c>
      <c r="AI279" s="4" t="s">
        <v>22</v>
      </c>
      <c r="AK279" s="4" t="s">
        <v>22</v>
      </c>
      <c r="AL279" s="4" t="s">
        <v>22</v>
      </c>
      <c r="AM279" s="4" t="s">
        <v>22</v>
      </c>
      <c r="AN279" s="4" t="s">
        <v>22</v>
      </c>
      <c r="AO279" s="4" t="s">
        <v>22</v>
      </c>
      <c r="AP279" s="4" t="s">
        <v>22</v>
      </c>
      <c r="AQ279" s="4" t="s">
        <v>22</v>
      </c>
    </row>
    <row r="280" spans="29:43">
      <c r="AC280" s="4" t="s">
        <v>22</v>
      </c>
      <c r="AD280" s="4" t="s">
        <v>22</v>
      </c>
      <c r="AE280" s="4" t="s">
        <v>22</v>
      </c>
      <c r="AF280" s="4" t="s">
        <v>22</v>
      </c>
      <c r="AG280" s="4" t="s">
        <v>22</v>
      </c>
      <c r="AH280" s="4" t="s">
        <v>22</v>
      </c>
      <c r="AI280" s="4" t="s">
        <v>22</v>
      </c>
      <c r="AK280" s="4" t="s">
        <v>22</v>
      </c>
      <c r="AL280" s="4" t="s">
        <v>22</v>
      </c>
      <c r="AM280" s="4" t="s">
        <v>22</v>
      </c>
      <c r="AN280" s="4" t="s">
        <v>22</v>
      </c>
      <c r="AO280" s="4" t="s">
        <v>22</v>
      </c>
      <c r="AP280" s="4" t="s">
        <v>22</v>
      </c>
      <c r="AQ280" s="4" t="s">
        <v>22</v>
      </c>
    </row>
    <row r="281" spans="29:43">
      <c r="AC281" s="4" t="s">
        <v>22</v>
      </c>
      <c r="AD281" s="4" t="s">
        <v>22</v>
      </c>
      <c r="AE281" s="4" t="s">
        <v>22</v>
      </c>
      <c r="AF281" s="4" t="s">
        <v>22</v>
      </c>
      <c r="AG281" s="4" t="s">
        <v>22</v>
      </c>
      <c r="AH281" s="4" t="s">
        <v>22</v>
      </c>
      <c r="AI281" s="4" t="s">
        <v>22</v>
      </c>
      <c r="AK281" s="4" t="s">
        <v>22</v>
      </c>
      <c r="AL281" s="4" t="s">
        <v>22</v>
      </c>
      <c r="AM281" s="4" t="s">
        <v>22</v>
      </c>
      <c r="AN281" s="4" t="s">
        <v>22</v>
      </c>
      <c r="AO281" s="4" t="s">
        <v>22</v>
      </c>
      <c r="AP281" s="4" t="s">
        <v>22</v>
      </c>
      <c r="AQ281" s="4" t="s">
        <v>22</v>
      </c>
    </row>
    <row r="282" spans="29:43"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  <c r="AH282" s="4" t="s">
        <v>22</v>
      </c>
      <c r="AI282" s="4" t="s">
        <v>22</v>
      </c>
      <c r="AK282" s="4" t="s">
        <v>22</v>
      </c>
      <c r="AL282" s="4" t="s">
        <v>22</v>
      </c>
      <c r="AM282" s="4" t="s">
        <v>22</v>
      </c>
      <c r="AN282" s="4" t="s">
        <v>22</v>
      </c>
      <c r="AO282" s="4" t="s">
        <v>22</v>
      </c>
      <c r="AP282" s="4" t="s">
        <v>22</v>
      </c>
      <c r="AQ282" s="4" t="s">
        <v>22</v>
      </c>
    </row>
    <row r="283" spans="29:43"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  <c r="AH283" s="4" t="s">
        <v>22</v>
      </c>
      <c r="AI283" s="4" t="s">
        <v>22</v>
      </c>
      <c r="AK283" s="4" t="s">
        <v>22</v>
      </c>
      <c r="AL283" s="4" t="s">
        <v>22</v>
      </c>
      <c r="AM283" s="4" t="s">
        <v>22</v>
      </c>
      <c r="AN283" s="4" t="s">
        <v>22</v>
      </c>
      <c r="AO283" s="4" t="s">
        <v>22</v>
      </c>
      <c r="AP283" s="4" t="s">
        <v>22</v>
      </c>
      <c r="AQ283" s="4" t="s">
        <v>22</v>
      </c>
    </row>
    <row r="284" spans="29:43">
      <c r="AC284" s="4" t="s">
        <v>22</v>
      </c>
      <c r="AD284" s="4" t="s">
        <v>22</v>
      </c>
      <c r="AE284" s="4" t="s">
        <v>22</v>
      </c>
      <c r="AF284" s="4" t="s">
        <v>22</v>
      </c>
      <c r="AG284" s="4" t="s">
        <v>22</v>
      </c>
      <c r="AH284" s="4" t="s">
        <v>22</v>
      </c>
      <c r="AI284" s="4" t="s">
        <v>22</v>
      </c>
      <c r="AK284" s="4" t="s">
        <v>22</v>
      </c>
      <c r="AL284" s="4" t="s">
        <v>22</v>
      </c>
      <c r="AM284" s="4" t="s">
        <v>22</v>
      </c>
      <c r="AN284" s="4" t="s">
        <v>22</v>
      </c>
      <c r="AO284" s="4" t="s">
        <v>22</v>
      </c>
      <c r="AP284" s="4" t="s">
        <v>22</v>
      </c>
      <c r="AQ284" s="4" t="s">
        <v>22</v>
      </c>
    </row>
    <row r="285" spans="29:43">
      <c r="AC285" s="4" t="s">
        <v>22</v>
      </c>
      <c r="AD285" s="4" t="s">
        <v>22</v>
      </c>
      <c r="AE285" s="4" t="s">
        <v>22</v>
      </c>
      <c r="AF285" s="4" t="s">
        <v>22</v>
      </c>
      <c r="AG285" s="4" t="s">
        <v>22</v>
      </c>
      <c r="AH285" s="4" t="s">
        <v>22</v>
      </c>
      <c r="AI285" s="4" t="s">
        <v>22</v>
      </c>
      <c r="AK285" s="4" t="s">
        <v>22</v>
      </c>
      <c r="AL285" s="4" t="s">
        <v>22</v>
      </c>
      <c r="AM285" s="4" t="s">
        <v>22</v>
      </c>
      <c r="AN285" s="4" t="s">
        <v>22</v>
      </c>
      <c r="AO285" s="4" t="s">
        <v>22</v>
      </c>
      <c r="AP285" s="4" t="s">
        <v>22</v>
      </c>
      <c r="AQ285" s="4" t="s">
        <v>22</v>
      </c>
    </row>
    <row r="286" spans="29:43">
      <c r="AC286" s="4" t="s">
        <v>22</v>
      </c>
      <c r="AD286" s="4" t="s">
        <v>22</v>
      </c>
      <c r="AE286" s="4" t="s">
        <v>22</v>
      </c>
      <c r="AF286" s="4" t="s">
        <v>22</v>
      </c>
      <c r="AG286" s="4" t="s">
        <v>22</v>
      </c>
      <c r="AH286" s="4" t="s">
        <v>22</v>
      </c>
      <c r="AI286" s="4" t="s">
        <v>22</v>
      </c>
      <c r="AK286" s="4" t="s">
        <v>22</v>
      </c>
      <c r="AL286" s="4" t="s">
        <v>22</v>
      </c>
      <c r="AM286" s="4" t="s">
        <v>22</v>
      </c>
      <c r="AN286" s="4" t="s">
        <v>22</v>
      </c>
      <c r="AO286" s="4" t="s">
        <v>22</v>
      </c>
      <c r="AP286" s="4" t="s">
        <v>22</v>
      </c>
      <c r="AQ286" s="4" t="s">
        <v>22</v>
      </c>
    </row>
    <row r="287" spans="29:43"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  <c r="AH287" s="4" t="s">
        <v>22</v>
      </c>
      <c r="AI287" s="4" t="s">
        <v>22</v>
      </c>
      <c r="AK287" s="4" t="s">
        <v>22</v>
      </c>
      <c r="AL287" s="4" t="s">
        <v>22</v>
      </c>
      <c r="AM287" s="4" t="s">
        <v>22</v>
      </c>
      <c r="AN287" s="4" t="s">
        <v>22</v>
      </c>
      <c r="AO287" s="4" t="s">
        <v>22</v>
      </c>
      <c r="AP287" s="4" t="s">
        <v>22</v>
      </c>
      <c r="AQ287" s="4" t="s">
        <v>22</v>
      </c>
    </row>
    <row r="288" spans="29:43"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  <c r="AH288" s="4" t="s">
        <v>22</v>
      </c>
      <c r="AI288" s="4" t="s">
        <v>22</v>
      </c>
      <c r="AK288" s="4" t="s">
        <v>22</v>
      </c>
      <c r="AL288" s="4" t="s">
        <v>22</v>
      </c>
      <c r="AM288" s="4" t="s">
        <v>22</v>
      </c>
      <c r="AN288" s="4" t="s">
        <v>22</v>
      </c>
      <c r="AO288" s="4" t="s">
        <v>22</v>
      </c>
      <c r="AP288" s="4" t="s">
        <v>22</v>
      </c>
      <c r="AQ288" s="4" t="s">
        <v>22</v>
      </c>
    </row>
    <row r="289" spans="29:43">
      <c r="AC289" s="4" t="s">
        <v>22</v>
      </c>
      <c r="AD289" s="4" t="s">
        <v>22</v>
      </c>
      <c r="AE289" s="4" t="s">
        <v>22</v>
      </c>
      <c r="AF289" s="4" t="s">
        <v>22</v>
      </c>
      <c r="AG289" s="4" t="s">
        <v>22</v>
      </c>
      <c r="AH289" s="4" t="s">
        <v>22</v>
      </c>
      <c r="AI289" s="4" t="s">
        <v>22</v>
      </c>
      <c r="AK289" s="4" t="s">
        <v>22</v>
      </c>
      <c r="AL289" s="4" t="s">
        <v>22</v>
      </c>
      <c r="AM289" s="4" t="s">
        <v>22</v>
      </c>
      <c r="AN289" s="4" t="s">
        <v>22</v>
      </c>
      <c r="AO289" s="4" t="s">
        <v>22</v>
      </c>
      <c r="AP289" s="4" t="s">
        <v>22</v>
      </c>
      <c r="AQ289" s="4" t="s">
        <v>22</v>
      </c>
    </row>
    <row r="290" spans="29:43">
      <c r="AC290" s="4" t="s">
        <v>22</v>
      </c>
      <c r="AD290" s="4" t="s">
        <v>22</v>
      </c>
      <c r="AE290" s="4" t="s">
        <v>22</v>
      </c>
      <c r="AF290" s="4" t="s">
        <v>22</v>
      </c>
      <c r="AG290" s="4" t="s">
        <v>22</v>
      </c>
      <c r="AH290" s="4" t="s">
        <v>22</v>
      </c>
      <c r="AI290" s="4" t="s">
        <v>22</v>
      </c>
      <c r="AK290" s="4" t="s">
        <v>22</v>
      </c>
      <c r="AL290" s="4" t="s">
        <v>22</v>
      </c>
      <c r="AM290" s="4" t="s">
        <v>22</v>
      </c>
      <c r="AN290" s="4" t="s">
        <v>22</v>
      </c>
      <c r="AO290" s="4" t="s">
        <v>22</v>
      </c>
      <c r="AP290" s="4" t="s">
        <v>22</v>
      </c>
      <c r="AQ290" s="4" t="s">
        <v>22</v>
      </c>
    </row>
    <row r="291" spans="29:43"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  <c r="AH291" s="4" t="s">
        <v>22</v>
      </c>
      <c r="AI291" s="4" t="s">
        <v>22</v>
      </c>
      <c r="AK291" s="4" t="s">
        <v>22</v>
      </c>
      <c r="AL291" s="4" t="s">
        <v>22</v>
      </c>
      <c r="AM291" s="4" t="s">
        <v>22</v>
      </c>
      <c r="AN291" s="4" t="s">
        <v>22</v>
      </c>
      <c r="AO291" s="4" t="s">
        <v>22</v>
      </c>
      <c r="AP291" s="4" t="s">
        <v>22</v>
      </c>
      <c r="AQ291" s="4" t="s">
        <v>22</v>
      </c>
    </row>
    <row r="292" spans="29:43">
      <c r="AC292" s="4" t="s">
        <v>22</v>
      </c>
      <c r="AD292" s="4" t="s">
        <v>22</v>
      </c>
      <c r="AE292" s="4" t="s">
        <v>22</v>
      </c>
      <c r="AF292" s="4" t="s">
        <v>22</v>
      </c>
      <c r="AG292" s="4" t="s">
        <v>22</v>
      </c>
      <c r="AH292" s="4" t="s">
        <v>22</v>
      </c>
      <c r="AI292" s="4" t="s">
        <v>22</v>
      </c>
      <c r="AK292" s="4" t="s">
        <v>22</v>
      </c>
      <c r="AL292" s="4" t="s">
        <v>22</v>
      </c>
      <c r="AM292" s="4" t="s">
        <v>22</v>
      </c>
      <c r="AN292" s="4" t="s">
        <v>22</v>
      </c>
      <c r="AO292" s="4" t="s">
        <v>22</v>
      </c>
      <c r="AP292" s="4" t="s">
        <v>22</v>
      </c>
      <c r="AQ292" s="4" t="s">
        <v>22</v>
      </c>
    </row>
    <row r="293" spans="29:43"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  <c r="AH293" s="4" t="s">
        <v>22</v>
      </c>
      <c r="AI293" s="4" t="s">
        <v>22</v>
      </c>
      <c r="AK293" s="4" t="s">
        <v>22</v>
      </c>
      <c r="AL293" s="4" t="s">
        <v>22</v>
      </c>
      <c r="AM293" s="4" t="s">
        <v>22</v>
      </c>
      <c r="AN293" s="4" t="s">
        <v>22</v>
      </c>
      <c r="AO293" s="4" t="s">
        <v>22</v>
      </c>
      <c r="AP293" s="4" t="s">
        <v>22</v>
      </c>
      <c r="AQ293" s="4" t="s">
        <v>22</v>
      </c>
    </row>
    <row r="294" spans="29:43">
      <c r="AC294" s="4" t="s">
        <v>22</v>
      </c>
      <c r="AD294" s="4" t="s">
        <v>22</v>
      </c>
      <c r="AE294" s="4" t="s">
        <v>22</v>
      </c>
      <c r="AF294" s="4" t="s">
        <v>22</v>
      </c>
      <c r="AG294" s="4" t="s">
        <v>22</v>
      </c>
      <c r="AH294" s="4" t="s">
        <v>22</v>
      </c>
      <c r="AI294" s="4" t="s">
        <v>22</v>
      </c>
      <c r="AK294" s="4" t="s">
        <v>22</v>
      </c>
      <c r="AL294" s="4" t="s">
        <v>22</v>
      </c>
      <c r="AM294" s="4" t="s">
        <v>22</v>
      </c>
      <c r="AN294" s="4" t="s">
        <v>22</v>
      </c>
      <c r="AO294" s="4" t="s">
        <v>22</v>
      </c>
      <c r="AP294" s="4" t="s">
        <v>22</v>
      </c>
      <c r="AQ294" s="4" t="s">
        <v>22</v>
      </c>
    </row>
    <row r="295" spans="29:43">
      <c r="AC295" s="4" t="s">
        <v>22</v>
      </c>
      <c r="AD295" s="4" t="s">
        <v>22</v>
      </c>
      <c r="AE295" s="4" t="s">
        <v>22</v>
      </c>
      <c r="AF295" s="4" t="s">
        <v>22</v>
      </c>
      <c r="AG295" s="4" t="s">
        <v>22</v>
      </c>
      <c r="AH295" s="4" t="s">
        <v>22</v>
      </c>
      <c r="AI295" s="4" t="s">
        <v>22</v>
      </c>
      <c r="AK295" s="4" t="s">
        <v>22</v>
      </c>
      <c r="AL295" s="4" t="s">
        <v>22</v>
      </c>
      <c r="AM295" s="4" t="s">
        <v>22</v>
      </c>
      <c r="AN295" s="4" t="s">
        <v>22</v>
      </c>
      <c r="AO295" s="4" t="s">
        <v>22</v>
      </c>
      <c r="AP295" s="4" t="s">
        <v>22</v>
      </c>
      <c r="AQ295" s="4" t="s">
        <v>22</v>
      </c>
    </row>
    <row r="296" spans="29:43">
      <c r="AC296" s="4" t="s">
        <v>22</v>
      </c>
      <c r="AD296" s="4" t="s">
        <v>22</v>
      </c>
      <c r="AE296" s="4" t="s">
        <v>22</v>
      </c>
      <c r="AF296" s="4" t="s">
        <v>22</v>
      </c>
      <c r="AG296" s="4" t="s">
        <v>22</v>
      </c>
      <c r="AH296" s="4" t="s">
        <v>22</v>
      </c>
      <c r="AI296" s="4" t="s">
        <v>22</v>
      </c>
      <c r="AK296" s="4" t="s">
        <v>22</v>
      </c>
      <c r="AL296" s="4" t="s">
        <v>22</v>
      </c>
      <c r="AM296" s="4" t="s">
        <v>22</v>
      </c>
      <c r="AN296" s="4" t="s">
        <v>22</v>
      </c>
      <c r="AO296" s="4" t="s">
        <v>22</v>
      </c>
      <c r="AP296" s="4" t="s">
        <v>22</v>
      </c>
      <c r="AQ296" s="4" t="s">
        <v>22</v>
      </c>
    </row>
    <row r="297" spans="29:43">
      <c r="AC297" s="4" t="s">
        <v>22</v>
      </c>
      <c r="AD297" s="4" t="s">
        <v>22</v>
      </c>
      <c r="AE297" s="4" t="s">
        <v>22</v>
      </c>
      <c r="AF297" s="4" t="s">
        <v>22</v>
      </c>
      <c r="AG297" s="4" t="s">
        <v>22</v>
      </c>
      <c r="AH297" s="4" t="s">
        <v>22</v>
      </c>
      <c r="AI297" s="4" t="s">
        <v>22</v>
      </c>
      <c r="AK297" s="4" t="s">
        <v>22</v>
      </c>
      <c r="AL297" s="4" t="s">
        <v>22</v>
      </c>
      <c r="AM297" s="4" t="s">
        <v>22</v>
      </c>
      <c r="AN297" s="4" t="s">
        <v>22</v>
      </c>
      <c r="AO297" s="4" t="s">
        <v>22</v>
      </c>
      <c r="AP297" s="4" t="s">
        <v>22</v>
      </c>
      <c r="AQ297" s="4" t="s">
        <v>22</v>
      </c>
    </row>
    <row r="298" spans="29:43">
      <c r="AC298" s="4" t="s">
        <v>22</v>
      </c>
      <c r="AD298" s="4" t="s">
        <v>22</v>
      </c>
      <c r="AE298" s="4" t="s">
        <v>22</v>
      </c>
      <c r="AF298" s="4" t="s">
        <v>22</v>
      </c>
      <c r="AG298" s="4" t="s">
        <v>22</v>
      </c>
      <c r="AH298" s="4" t="s">
        <v>22</v>
      </c>
      <c r="AI298" s="4" t="s">
        <v>22</v>
      </c>
      <c r="AK298" s="4" t="s">
        <v>22</v>
      </c>
      <c r="AL298" s="4" t="s">
        <v>22</v>
      </c>
      <c r="AM298" s="4" t="s">
        <v>22</v>
      </c>
      <c r="AN298" s="4" t="s">
        <v>22</v>
      </c>
      <c r="AO298" s="4" t="s">
        <v>22</v>
      </c>
      <c r="AP298" s="4" t="s">
        <v>22</v>
      </c>
      <c r="AQ298" s="4" t="s">
        <v>22</v>
      </c>
    </row>
    <row r="299" spans="29:43">
      <c r="AC299" s="4" t="s">
        <v>22</v>
      </c>
      <c r="AD299" s="4" t="s">
        <v>22</v>
      </c>
      <c r="AE299" s="4" t="s">
        <v>22</v>
      </c>
      <c r="AF299" s="4" t="s">
        <v>22</v>
      </c>
      <c r="AG299" s="4" t="s">
        <v>22</v>
      </c>
      <c r="AH299" s="4" t="s">
        <v>22</v>
      </c>
      <c r="AI299" s="4" t="s">
        <v>22</v>
      </c>
      <c r="AK299" s="4" t="s">
        <v>22</v>
      </c>
      <c r="AL299" s="4" t="s">
        <v>22</v>
      </c>
      <c r="AM299" s="4" t="s">
        <v>22</v>
      </c>
      <c r="AN299" s="4" t="s">
        <v>22</v>
      </c>
      <c r="AO299" s="4" t="s">
        <v>22</v>
      </c>
      <c r="AP299" s="4" t="s">
        <v>22</v>
      </c>
      <c r="AQ299" s="4" t="s">
        <v>22</v>
      </c>
    </row>
    <row r="300" spans="29:43">
      <c r="AC300" s="4" t="s">
        <v>22</v>
      </c>
      <c r="AD300" s="4" t="s">
        <v>22</v>
      </c>
      <c r="AE300" s="4" t="s">
        <v>22</v>
      </c>
      <c r="AF300" s="4" t="s">
        <v>22</v>
      </c>
      <c r="AG300" s="4" t="s">
        <v>22</v>
      </c>
      <c r="AH300" s="4" t="s">
        <v>22</v>
      </c>
      <c r="AI300" s="4" t="s">
        <v>22</v>
      </c>
      <c r="AK300" s="4" t="s">
        <v>22</v>
      </c>
      <c r="AL300" s="4" t="s">
        <v>22</v>
      </c>
      <c r="AM300" s="4" t="s">
        <v>22</v>
      </c>
      <c r="AN300" s="4" t="s">
        <v>22</v>
      </c>
      <c r="AO300" s="4" t="s">
        <v>22</v>
      </c>
      <c r="AP300" s="4" t="s">
        <v>22</v>
      </c>
      <c r="AQ300" s="4" t="s">
        <v>22</v>
      </c>
    </row>
    <row r="301" spans="29:43">
      <c r="AC301" s="4" t="s">
        <v>22</v>
      </c>
      <c r="AD301" s="4" t="s">
        <v>22</v>
      </c>
      <c r="AE301" s="4" t="s">
        <v>22</v>
      </c>
      <c r="AF301" s="4" t="s">
        <v>22</v>
      </c>
      <c r="AG301" s="4" t="s">
        <v>22</v>
      </c>
      <c r="AH301" s="4" t="s">
        <v>22</v>
      </c>
      <c r="AI301" s="4" t="s">
        <v>22</v>
      </c>
      <c r="AK301" s="4" t="s">
        <v>22</v>
      </c>
      <c r="AL301" s="4" t="s">
        <v>22</v>
      </c>
      <c r="AM301" s="4" t="s">
        <v>22</v>
      </c>
      <c r="AN301" s="4" t="s">
        <v>22</v>
      </c>
      <c r="AO301" s="4" t="s">
        <v>22</v>
      </c>
      <c r="AP301" s="4" t="s">
        <v>22</v>
      </c>
      <c r="AQ301" s="4" t="s">
        <v>22</v>
      </c>
    </row>
    <row r="302" spans="29:43">
      <c r="AC302" s="4" t="s">
        <v>22</v>
      </c>
      <c r="AD302" s="4" t="s">
        <v>22</v>
      </c>
      <c r="AE302" s="4" t="s">
        <v>22</v>
      </c>
      <c r="AF302" s="4" t="s">
        <v>22</v>
      </c>
      <c r="AG302" s="4" t="s">
        <v>22</v>
      </c>
      <c r="AH302" s="4" t="s">
        <v>22</v>
      </c>
      <c r="AI302" s="4" t="s">
        <v>22</v>
      </c>
      <c r="AK302" s="4" t="s">
        <v>22</v>
      </c>
      <c r="AL302" s="4" t="s">
        <v>22</v>
      </c>
      <c r="AM302" s="4" t="s">
        <v>22</v>
      </c>
      <c r="AN302" s="4" t="s">
        <v>22</v>
      </c>
      <c r="AO302" s="4" t="s">
        <v>22</v>
      </c>
      <c r="AP302" s="4" t="s">
        <v>22</v>
      </c>
      <c r="AQ302" s="4" t="s">
        <v>22</v>
      </c>
    </row>
    <row r="303" spans="29:43">
      <c r="AC303" s="4" t="s">
        <v>22</v>
      </c>
      <c r="AD303" s="4" t="s">
        <v>22</v>
      </c>
      <c r="AE303" s="4" t="s">
        <v>22</v>
      </c>
      <c r="AF303" s="4" t="s">
        <v>22</v>
      </c>
      <c r="AG303" s="4" t="s">
        <v>22</v>
      </c>
      <c r="AH303" s="4" t="s">
        <v>22</v>
      </c>
      <c r="AI303" s="4" t="s">
        <v>22</v>
      </c>
      <c r="AK303" s="4" t="s">
        <v>22</v>
      </c>
      <c r="AL303" s="4" t="s">
        <v>22</v>
      </c>
      <c r="AM303" s="4" t="s">
        <v>22</v>
      </c>
      <c r="AN303" s="4" t="s">
        <v>22</v>
      </c>
      <c r="AO303" s="4" t="s">
        <v>22</v>
      </c>
      <c r="AP303" s="4" t="s">
        <v>22</v>
      </c>
      <c r="AQ303" s="4" t="s">
        <v>22</v>
      </c>
    </row>
    <row r="304" spans="29:43">
      <c r="AC304" s="4" t="s">
        <v>22</v>
      </c>
      <c r="AD304" s="4" t="s">
        <v>22</v>
      </c>
      <c r="AE304" s="4" t="s">
        <v>22</v>
      </c>
      <c r="AF304" s="4" t="s">
        <v>22</v>
      </c>
      <c r="AG304" s="4" t="s">
        <v>22</v>
      </c>
      <c r="AH304" s="4" t="s">
        <v>22</v>
      </c>
      <c r="AI304" s="4" t="s">
        <v>22</v>
      </c>
      <c r="AK304" s="4" t="s">
        <v>22</v>
      </c>
      <c r="AL304" s="4" t="s">
        <v>22</v>
      </c>
      <c r="AM304" s="4" t="s">
        <v>22</v>
      </c>
      <c r="AN304" s="4" t="s">
        <v>22</v>
      </c>
      <c r="AO304" s="4" t="s">
        <v>22</v>
      </c>
      <c r="AP304" s="4" t="s">
        <v>22</v>
      </c>
      <c r="AQ304" s="4" t="s">
        <v>22</v>
      </c>
    </row>
    <row r="305" spans="1:43">
      <c r="K305" s="35"/>
      <c r="AC305" s="4" t="s">
        <v>22</v>
      </c>
      <c r="AD305" s="4" t="s">
        <v>22</v>
      </c>
      <c r="AE305" s="4" t="s">
        <v>22</v>
      </c>
      <c r="AF305" s="4" t="s">
        <v>22</v>
      </c>
      <c r="AG305" s="4" t="s">
        <v>22</v>
      </c>
      <c r="AH305" s="4" t="s">
        <v>22</v>
      </c>
      <c r="AI305" s="4" t="s">
        <v>22</v>
      </c>
      <c r="AK305" s="4" t="s">
        <v>22</v>
      </c>
      <c r="AL305" s="4" t="s">
        <v>22</v>
      </c>
      <c r="AM305" s="4" t="s">
        <v>22</v>
      </c>
      <c r="AN305" s="4" t="s">
        <v>22</v>
      </c>
      <c r="AO305" s="4" t="s">
        <v>22</v>
      </c>
      <c r="AP305" s="4" t="s">
        <v>22</v>
      </c>
      <c r="AQ305" s="4" t="s">
        <v>22</v>
      </c>
    </row>
    <row r="306" spans="1:4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AC306" s="4" t="s">
        <v>22</v>
      </c>
      <c r="AD306" s="4" t="s">
        <v>22</v>
      </c>
      <c r="AE306" s="4" t="s">
        <v>22</v>
      </c>
      <c r="AF306" s="4" t="s">
        <v>22</v>
      </c>
      <c r="AG306" s="4" t="s">
        <v>22</v>
      </c>
      <c r="AH306" s="4" t="s">
        <v>22</v>
      </c>
      <c r="AI306" s="4" t="s">
        <v>22</v>
      </c>
      <c r="AK306" s="4" t="s">
        <v>22</v>
      </c>
      <c r="AL306" s="4" t="s">
        <v>22</v>
      </c>
      <c r="AM306" s="4" t="s">
        <v>22</v>
      </c>
      <c r="AN306" s="4" t="s">
        <v>22</v>
      </c>
      <c r="AO306" s="4" t="s">
        <v>22</v>
      </c>
      <c r="AP306" s="4" t="s">
        <v>22</v>
      </c>
      <c r="AQ306" s="4" t="s">
        <v>22</v>
      </c>
    </row>
    <row r="307" spans="1:43">
      <c r="AC307" s="4" t="s">
        <v>22</v>
      </c>
      <c r="AD307" s="4" t="s">
        <v>22</v>
      </c>
      <c r="AE307" s="4" t="s">
        <v>22</v>
      </c>
      <c r="AF307" s="4" t="s">
        <v>22</v>
      </c>
      <c r="AG307" s="4" t="s">
        <v>22</v>
      </c>
      <c r="AH307" s="4" t="s">
        <v>22</v>
      </c>
      <c r="AI307" s="4" t="s">
        <v>22</v>
      </c>
      <c r="AK307" s="4" t="s">
        <v>22</v>
      </c>
      <c r="AL307" s="4" t="s">
        <v>22</v>
      </c>
      <c r="AM307" s="4" t="s">
        <v>22</v>
      </c>
      <c r="AN307" s="4" t="s">
        <v>22</v>
      </c>
      <c r="AO307" s="4" t="s">
        <v>22</v>
      </c>
      <c r="AP307" s="4" t="s">
        <v>22</v>
      </c>
      <c r="AQ307" s="4" t="s">
        <v>22</v>
      </c>
    </row>
    <row r="308" spans="1:43">
      <c r="AC308" s="4" t="s">
        <v>22</v>
      </c>
      <c r="AD308" s="4" t="s">
        <v>22</v>
      </c>
      <c r="AE308" s="4" t="s">
        <v>22</v>
      </c>
      <c r="AF308" s="4" t="s">
        <v>22</v>
      </c>
      <c r="AG308" s="4" t="s">
        <v>22</v>
      </c>
      <c r="AH308" s="4" t="s">
        <v>22</v>
      </c>
      <c r="AI308" s="4" t="s">
        <v>22</v>
      </c>
      <c r="AK308" s="4" t="s">
        <v>22</v>
      </c>
      <c r="AL308" s="4" t="s">
        <v>22</v>
      </c>
      <c r="AM308" s="4" t="s">
        <v>22</v>
      </c>
      <c r="AN308" s="4" t="s">
        <v>22</v>
      </c>
      <c r="AO308" s="4" t="s">
        <v>22</v>
      </c>
      <c r="AP308" s="4" t="s">
        <v>22</v>
      </c>
      <c r="AQ308" s="4" t="s">
        <v>22</v>
      </c>
    </row>
    <row r="309" spans="1:43">
      <c r="AC309" s="4" t="s">
        <v>22</v>
      </c>
      <c r="AD309" s="4" t="s">
        <v>22</v>
      </c>
      <c r="AE309" s="4" t="s">
        <v>22</v>
      </c>
      <c r="AF309" s="4" t="s">
        <v>22</v>
      </c>
      <c r="AG309" s="4" t="s">
        <v>22</v>
      </c>
      <c r="AH309" s="4" t="s">
        <v>22</v>
      </c>
      <c r="AI309" s="4" t="s">
        <v>22</v>
      </c>
      <c r="AK309" s="4" t="s">
        <v>22</v>
      </c>
      <c r="AL309" s="4" t="s">
        <v>22</v>
      </c>
      <c r="AM309" s="4" t="s">
        <v>22</v>
      </c>
      <c r="AN309" s="4" t="s">
        <v>22</v>
      </c>
      <c r="AO309" s="4" t="s">
        <v>22</v>
      </c>
      <c r="AP309" s="4" t="s">
        <v>22</v>
      </c>
      <c r="AQ309" s="4" t="s">
        <v>22</v>
      </c>
    </row>
    <row r="310" spans="1:43">
      <c r="AC310" s="4" t="s">
        <v>22</v>
      </c>
      <c r="AD310" s="4" t="s">
        <v>22</v>
      </c>
      <c r="AE310" s="4" t="s">
        <v>22</v>
      </c>
      <c r="AF310" s="4" t="s">
        <v>22</v>
      </c>
      <c r="AG310" s="4" t="s">
        <v>22</v>
      </c>
      <c r="AH310" s="4" t="s">
        <v>22</v>
      </c>
      <c r="AI310" s="4" t="s">
        <v>22</v>
      </c>
      <c r="AK310" s="4" t="s">
        <v>22</v>
      </c>
      <c r="AL310" s="4" t="s">
        <v>22</v>
      </c>
      <c r="AM310" s="4" t="s">
        <v>22</v>
      </c>
      <c r="AN310" s="4" t="s">
        <v>22</v>
      </c>
      <c r="AO310" s="4" t="s">
        <v>22</v>
      </c>
      <c r="AP310" s="4" t="s">
        <v>22</v>
      </c>
      <c r="AQ310" s="4" t="s">
        <v>22</v>
      </c>
    </row>
    <row r="311" spans="1:43">
      <c r="AC311" s="4" t="s">
        <v>22</v>
      </c>
      <c r="AD311" s="4" t="s">
        <v>22</v>
      </c>
      <c r="AE311" s="4" t="s">
        <v>22</v>
      </c>
      <c r="AF311" s="4" t="s">
        <v>22</v>
      </c>
      <c r="AG311" s="4" t="s">
        <v>22</v>
      </c>
      <c r="AH311" s="4" t="s">
        <v>22</v>
      </c>
      <c r="AI311" s="4" t="s">
        <v>22</v>
      </c>
      <c r="AK311" s="4" t="s">
        <v>22</v>
      </c>
      <c r="AL311" s="4" t="s">
        <v>22</v>
      </c>
      <c r="AM311" s="4" t="s">
        <v>22</v>
      </c>
      <c r="AN311" s="4" t="s">
        <v>22</v>
      </c>
      <c r="AO311" s="4" t="s">
        <v>22</v>
      </c>
      <c r="AP311" s="4" t="s">
        <v>22</v>
      </c>
      <c r="AQ311" s="4" t="s">
        <v>22</v>
      </c>
    </row>
    <row r="312" spans="1:43">
      <c r="AC312" s="4" t="s">
        <v>22</v>
      </c>
      <c r="AD312" s="4" t="s">
        <v>22</v>
      </c>
      <c r="AE312" s="4" t="s">
        <v>22</v>
      </c>
      <c r="AF312" s="4" t="s">
        <v>22</v>
      </c>
      <c r="AG312" s="4" t="s">
        <v>22</v>
      </c>
      <c r="AH312" s="4" t="s">
        <v>22</v>
      </c>
      <c r="AI312" s="4" t="s">
        <v>22</v>
      </c>
      <c r="AK312" s="4" t="s">
        <v>22</v>
      </c>
      <c r="AL312" s="4" t="s">
        <v>22</v>
      </c>
      <c r="AM312" s="4" t="s">
        <v>22</v>
      </c>
      <c r="AN312" s="4" t="s">
        <v>22</v>
      </c>
      <c r="AO312" s="4" t="s">
        <v>22</v>
      </c>
      <c r="AP312" s="4" t="s">
        <v>22</v>
      </c>
      <c r="AQ312" s="4" t="s">
        <v>22</v>
      </c>
    </row>
    <row r="313" spans="1:43">
      <c r="AC313" s="4" t="s">
        <v>22</v>
      </c>
      <c r="AD313" s="4" t="s">
        <v>22</v>
      </c>
      <c r="AE313" s="4" t="s">
        <v>22</v>
      </c>
      <c r="AF313" s="4" t="s">
        <v>22</v>
      </c>
      <c r="AG313" s="4" t="s">
        <v>22</v>
      </c>
      <c r="AH313" s="4" t="s">
        <v>22</v>
      </c>
      <c r="AI313" s="4" t="s">
        <v>22</v>
      </c>
      <c r="AK313" s="4" t="s">
        <v>22</v>
      </c>
      <c r="AL313" s="4" t="s">
        <v>22</v>
      </c>
      <c r="AM313" s="4" t="s">
        <v>22</v>
      </c>
      <c r="AN313" s="4" t="s">
        <v>22</v>
      </c>
      <c r="AO313" s="4" t="s">
        <v>22</v>
      </c>
      <c r="AP313" s="4" t="s">
        <v>22</v>
      </c>
      <c r="AQ313" s="4" t="s">
        <v>22</v>
      </c>
    </row>
    <row r="314" spans="1:43">
      <c r="AC314" s="4" t="s">
        <v>22</v>
      </c>
      <c r="AD314" s="4" t="s">
        <v>22</v>
      </c>
      <c r="AE314" s="4" t="s">
        <v>22</v>
      </c>
      <c r="AF314" s="4" t="s">
        <v>22</v>
      </c>
      <c r="AG314" s="4" t="s">
        <v>22</v>
      </c>
      <c r="AH314" s="4" t="s">
        <v>22</v>
      </c>
      <c r="AI314" s="4" t="s">
        <v>22</v>
      </c>
      <c r="AK314" s="4" t="s">
        <v>22</v>
      </c>
      <c r="AL314" s="4" t="s">
        <v>22</v>
      </c>
      <c r="AM314" s="4" t="s">
        <v>22</v>
      </c>
      <c r="AN314" s="4" t="s">
        <v>22</v>
      </c>
      <c r="AO314" s="4" t="s">
        <v>22</v>
      </c>
      <c r="AP314" s="4" t="s">
        <v>22</v>
      </c>
      <c r="AQ314" s="4" t="s">
        <v>22</v>
      </c>
    </row>
    <row r="315" spans="1:43">
      <c r="AC315" s="4" t="s">
        <v>22</v>
      </c>
      <c r="AD315" s="4" t="s">
        <v>22</v>
      </c>
      <c r="AE315" s="4" t="s">
        <v>22</v>
      </c>
      <c r="AF315" s="4" t="s">
        <v>22</v>
      </c>
      <c r="AG315" s="4" t="s">
        <v>22</v>
      </c>
      <c r="AH315" s="4" t="s">
        <v>22</v>
      </c>
      <c r="AI315" s="4" t="s">
        <v>22</v>
      </c>
      <c r="AK315" s="4" t="s">
        <v>22</v>
      </c>
      <c r="AL315" s="4" t="s">
        <v>22</v>
      </c>
      <c r="AM315" s="4" t="s">
        <v>22</v>
      </c>
      <c r="AN315" s="4" t="s">
        <v>22</v>
      </c>
      <c r="AO315" s="4" t="s">
        <v>22</v>
      </c>
      <c r="AP315" s="4" t="s">
        <v>22</v>
      </c>
      <c r="AQ315" s="4" t="s">
        <v>22</v>
      </c>
    </row>
    <row r="316" spans="1:43">
      <c r="AC316" s="4" t="s">
        <v>22</v>
      </c>
      <c r="AD316" s="4" t="s">
        <v>22</v>
      </c>
      <c r="AE316" s="4" t="s">
        <v>22</v>
      </c>
      <c r="AF316" s="4" t="s">
        <v>22</v>
      </c>
      <c r="AG316" s="4" t="s">
        <v>22</v>
      </c>
      <c r="AH316" s="4" t="s">
        <v>22</v>
      </c>
      <c r="AI316" s="4" t="s">
        <v>22</v>
      </c>
      <c r="AK316" s="4" t="s">
        <v>22</v>
      </c>
      <c r="AL316" s="4" t="s">
        <v>22</v>
      </c>
      <c r="AM316" s="4" t="s">
        <v>22</v>
      </c>
      <c r="AN316" s="4" t="s">
        <v>22</v>
      </c>
      <c r="AO316" s="4" t="s">
        <v>22</v>
      </c>
      <c r="AP316" s="4" t="s">
        <v>22</v>
      </c>
      <c r="AQ316" s="4" t="s">
        <v>22</v>
      </c>
    </row>
    <row r="317" spans="1:43">
      <c r="AC317" s="4" t="s">
        <v>22</v>
      </c>
      <c r="AD317" s="4" t="s">
        <v>22</v>
      </c>
      <c r="AE317" s="4" t="s">
        <v>22</v>
      </c>
      <c r="AF317" s="4" t="s">
        <v>22</v>
      </c>
      <c r="AG317" s="4" t="s">
        <v>22</v>
      </c>
      <c r="AH317" s="4" t="s">
        <v>22</v>
      </c>
      <c r="AI317" s="4" t="s">
        <v>22</v>
      </c>
      <c r="AK317" s="4" t="s">
        <v>22</v>
      </c>
      <c r="AL317" s="4" t="s">
        <v>22</v>
      </c>
      <c r="AM317" s="4" t="s">
        <v>22</v>
      </c>
      <c r="AN317" s="4" t="s">
        <v>22</v>
      </c>
      <c r="AO317" s="4" t="s">
        <v>22</v>
      </c>
      <c r="AP317" s="4" t="s">
        <v>22</v>
      </c>
      <c r="AQ317" s="4" t="s">
        <v>22</v>
      </c>
    </row>
    <row r="318" spans="1:43">
      <c r="AC318" s="4" t="s">
        <v>22</v>
      </c>
      <c r="AD318" s="4" t="s">
        <v>22</v>
      </c>
      <c r="AE318" s="4" t="s">
        <v>22</v>
      </c>
      <c r="AF318" s="4" t="s">
        <v>22</v>
      </c>
      <c r="AG318" s="4" t="s">
        <v>22</v>
      </c>
      <c r="AH318" s="4" t="s">
        <v>22</v>
      </c>
      <c r="AI318" s="4" t="s">
        <v>22</v>
      </c>
      <c r="AK318" s="4" t="s">
        <v>22</v>
      </c>
      <c r="AL318" s="4" t="s">
        <v>22</v>
      </c>
      <c r="AM318" s="4" t="s">
        <v>22</v>
      </c>
      <c r="AN318" s="4" t="s">
        <v>22</v>
      </c>
      <c r="AO318" s="4" t="s">
        <v>22</v>
      </c>
      <c r="AP318" s="4" t="s">
        <v>22</v>
      </c>
      <c r="AQ318" s="4" t="s">
        <v>22</v>
      </c>
    </row>
    <row r="319" spans="1:43">
      <c r="AC319" s="4" t="s">
        <v>22</v>
      </c>
      <c r="AD319" s="4" t="s">
        <v>22</v>
      </c>
      <c r="AE319" s="4" t="s">
        <v>22</v>
      </c>
      <c r="AF319" s="4" t="s">
        <v>22</v>
      </c>
      <c r="AG319" s="4" t="s">
        <v>22</v>
      </c>
      <c r="AH319" s="4" t="s">
        <v>22</v>
      </c>
      <c r="AI319" s="4" t="s">
        <v>22</v>
      </c>
      <c r="AK319" s="4" t="s">
        <v>22</v>
      </c>
      <c r="AL319" s="4" t="s">
        <v>22</v>
      </c>
      <c r="AM319" s="4" t="s">
        <v>22</v>
      </c>
      <c r="AN319" s="4" t="s">
        <v>22</v>
      </c>
      <c r="AO319" s="4" t="s">
        <v>22</v>
      </c>
      <c r="AP319" s="4" t="s">
        <v>22</v>
      </c>
      <c r="AQ319" s="4" t="s">
        <v>22</v>
      </c>
    </row>
    <row r="320" spans="1:43">
      <c r="AC320" s="4" t="s">
        <v>22</v>
      </c>
      <c r="AD320" s="4" t="s">
        <v>22</v>
      </c>
      <c r="AE320" s="4" t="s">
        <v>22</v>
      </c>
      <c r="AF320" s="4" t="s">
        <v>22</v>
      </c>
      <c r="AG320" s="4" t="s">
        <v>22</v>
      </c>
      <c r="AH320" s="4" t="s">
        <v>22</v>
      </c>
      <c r="AI320" s="4" t="s">
        <v>22</v>
      </c>
      <c r="AK320" s="4" t="s">
        <v>22</v>
      </c>
      <c r="AL320" s="4" t="s">
        <v>22</v>
      </c>
      <c r="AM320" s="4" t="s">
        <v>22</v>
      </c>
      <c r="AN320" s="4" t="s">
        <v>22</v>
      </c>
      <c r="AO320" s="4" t="s">
        <v>22</v>
      </c>
      <c r="AP320" s="4" t="s">
        <v>22</v>
      </c>
      <c r="AQ320" s="4" t="s">
        <v>22</v>
      </c>
    </row>
    <row r="321" spans="29:43">
      <c r="AC321" s="4" t="s">
        <v>22</v>
      </c>
      <c r="AD321" s="4" t="s">
        <v>22</v>
      </c>
      <c r="AE321" s="4" t="s">
        <v>22</v>
      </c>
      <c r="AF321" s="4" t="s">
        <v>22</v>
      </c>
      <c r="AG321" s="4" t="s">
        <v>22</v>
      </c>
      <c r="AH321" s="4" t="s">
        <v>22</v>
      </c>
      <c r="AI321" s="4" t="s">
        <v>22</v>
      </c>
      <c r="AK321" s="4" t="s">
        <v>22</v>
      </c>
      <c r="AL321" s="4" t="s">
        <v>22</v>
      </c>
      <c r="AM321" s="4" t="s">
        <v>22</v>
      </c>
      <c r="AN321" s="4" t="s">
        <v>22</v>
      </c>
      <c r="AO321" s="4" t="s">
        <v>22</v>
      </c>
      <c r="AP321" s="4" t="s">
        <v>22</v>
      </c>
      <c r="AQ321" s="4" t="s">
        <v>22</v>
      </c>
    </row>
    <row r="322" spans="29:43">
      <c r="AC322" s="4" t="s">
        <v>22</v>
      </c>
      <c r="AD322" s="4" t="s">
        <v>22</v>
      </c>
      <c r="AE322" s="4" t="s">
        <v>22</v>
      </c>
      <c r="AF322" s="4" t="s">
        <v>22</v>
      </c>
      <c r="AG322" s="4" t="s">
        <v>22</v>
      </c>
      <c r="AH322" s="4" t="s">
        <v>22</v>
      </c>
      <c r="AI322" s="4" t="s">
        <v>22</v>
      </c>
      <c r="AK322" s="4" t="s">
        <v>22</v>
      </c>
      <c r="AL322" s="4" t="s">
        <v>22</v>
      </c>
      <c r="AM322" s="4" t="s">
        <v>22</v>
      </c>
      <c r="AN322" s="4" t="s">
        <v>22</v>
      </c>
      <c r="AO322" s="4" t="s">
        <v>22</v>
      </c>
      <c r="AP322" s="4" t="s">
        <v>22</v>
      </c>
      <c r="AQ322" s="4" t="s">
        <v>22</v>
      </c>
    </row>
    <row r="323" spans="29:43">
      <c r="AC323" s="4" t="s">
        <v>22</v>
      </c>
      <c r="AD323" s="4" t="s">
        <v>22</v>
      </c>
      <c r="AE323" s="4" t="s">
        <v>22</v>
      </c>
      <c r="AF323" s="4" t="s">
        <v>22</v>
      </c>
      <c r="AG323" s="4" t="s">
        <v>22</v>
      </c>
      <c r="AH323" s="4" t="s">
        <v>22</v>
      </c>
      <c r="AI323" s="4" t="s">
        <v>22</v>
      </c>
      <c r="AK323" s="4" t="s">
        <v>22</v>
      </c>
      <c r="AL323" s="4" t="s">
        <v>22</v>
      </c>
      <c r="AM323" s="4" t="s">
        <v>22</v>
      </c>
      <c r="AN323" s="4" t="s">
        <v>22</v>
      </c>
      <c r="AO323" s="4" t="s">
        <v>22</v>
      </c>
      <c r="AP323" s="4" t="s">
        <v>22</v>
      </c>
      <c r="AQ323" s="4" t="s">
        <v>22</v>
      </c>
    </row>
    <row r="324" spans="29:43"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  <c r="AO324" s="4" t="s">
        <v>22</v>
      </c>
      <c r="AP324" s="4" t="s">
        <v>22</v>
      </c>
      <c r="AQ324" s="4" t="s">
        <v>22</v>
      </c>
    </row>
    <row r="325" spans="29:43">
      <c r="AC325" s="4" t="s">
        <v>22</v>
      </c>
      <c r="AD325" s="4" t="s">
        <v>22</v>
      </c>
      <c r="AE325" s="4" t="s">
        <v>22</v>
      </c>
      <c r="AF325" s="4" t="s">
        <v>22</v>
      </c>
      <c r="AG325" s="4" t="s">
        <v>22</v>
      </c>
      <c r="AH325" s="4" t="s">
        <v>22</v>
      </c>
      <c r="AI325" s="4" t="s">
        <v>22</v>
      </c>
      <c r="AK325" s="4" t="s">
        <v>22</v>
      </c>
      <c r="AL325" s="4" t="s">
        <v>22</v>
      </c>
      <c r="AM325" s="4" t="s">
        <v>22</v>
      </c>
      <c r="AN325" s="4" t="s">
        <v>22</v>
      </c>
      <c r="AO325" s="4" t="s">
        <v>22</v>
      </c>
      <c r="AP325" s="4" t="s">
        <v>22</v>
      </c>
      <c r="AQ325" s="4" t="s">
        <v>22</v>
      </c>
    </row>
    <row r="326" spans="29:43"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  <c r="AH326" s="4" t="s">
        <v>22</v>
      </c>
      <c r="AI326" s="4" t="s">
        <v>22</v>
      </c>
      <c r="AK326" s="4" t="s">
        <v>22</v>
      </c>
      <c r="AL326" s="4" t="s">
        <v>22</v>
      </c>
      <c r="AM326" s="4" t="s">
        <v>22</v>
      </c>
      <c r="AN326" s="4" t="s">
        <v>22</v>
      </c>
      <c r="AO326" s="4" t="s">
        <v>22</v>
      </c>
      <c r="AP326" s="4" t="s">
        <v>22</v>
      </c>
      <c r="AQ326" s="4" t="s">
        <v>22</v>
      </c>
    </row>
    <row r="327" spans="29:43">
      <c r="AC327" s="4" t="s">
        <v>22</v>
      </c>
      <c r="AD327" s="4" t="s">
        <v>22</v>
      </c>
      <c r="AE327" s="4" t="s">
        <v>22</v>
      </c>
      <c r="AF327" s="4" t="s">
        <v>22</v>
      </c>
      <c r="AG327" s="4" t="s">
        <v>22</v>
      </c>
      <c r="AH327" s="4" t="s">
        <v>22</v>
      </c>
      <c r="AI327" s="4" t="s">
        <v>22</v>
      </c>
      <c r="AK327" s="4" t="s">
        <v>22</v>
      </c>
      <c r="AL327" s="4" t="s">
        <v>22</v>
      </c>
      <c r="AM327" s="4" t="s">
        <v>22</v>
      </c>
      <c r="AN327" s="4" t="s">
        <v>22</v>
      </c>
      <c r="AO327" s="4" t="s">
        <v>22</v>
      </c>
      <c r="AP327" s="4" t="s">
        <v>22</v>
      </c>
      <c r="AQ327" s="4" t="s">
        <v>22</v>
      </c>
    </row>
    <row r="328" spans="29:43">
      <c r="AC328" s="4" t="s">
        <v>22</v>
      </c>
      <c r="AD328" s="4" t="s">
        <v>22</v>
      </c>
      <c r="AE328" s="4" t="s">
        <v>22</v>
      </c>
      <c r="AF328" s="4" t="s">
        <v>22</v>
      </c>
      <c r="AG328" s="4" t="s">
        <v>22</v>
      </c>
      <c r="AH328" s="4" t="s">
        <v>22</v>
      </c>
      <c r="AI328" s="4" t="s">
        <v>22</v>
      </c>
      <c r="AK328" s="4" t="s">
        <v>22</v>
      </c>
      <c r="AL328" s="4" t="s">
        <v>22</v>
      </c>
      <c r="AM328" s="4" t="s">
        <v>22</v>
      </c>
      <c r="AN328" s="4" t="s">
        <v>22</v>
      </c>
      <c r="AO328" s="4" t="s">
        <v>22</v>
      </c>
      <c r="AP328" s="4" t="s">
        <v>22</v>
      </c>
      <c r="AQ328" s="4" t="s">
        <v>22</v>
      </c>
    </row>
    <row r="329" spans="29:43"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  <c r="AO329" s="4" t="s">
        <v>22</v>
      </c>
      <c r="AP329" s="4" t="s">
        <v>22</v>
      </c>
      <c r="AQ329" s="4" t="s">
        <v>22</v>
      </c>
    </row>
    <row r="330" spans="29:43">
      <c r="AC330" s="4" t="s">
        <v>22</v>
      </c>
      <c r="AD330" s="4" t="s">
        <v>22</v>
      </c>
      <c r="AE330" s="4" t="s">
        <v>22</v>
      </c>
      <c r="AF330" s="4" t="s">
        <v>22</v>
      </c>
      <c r="AG330" s="4" t="s">
        <v>22</v>
      </c>
      <c r="AH330" s="4" t="s">
        <v>22</v>
      </c>
      <c r="AI330" s="4" t="s">
        <v>22</v>
      </c>
      <c r="AK330" s="4" t="s">
        <v>22</v>
      </c>
      <c r="AL330" s="4" t="s">
        <v>22</v>
      </c>
      <c r="AM330" s="4" t="s">
        <v>22</v>
      </c>
      <c r="AN330" s="4" t="s">
        <v>22</v>
      </c>
      <c r="AO330" s="4" t="s">
        <v>22</v>
      </c>
      <c r="AP330" s="4" t="s">
        <v>22</v>
      </c>
      <c r="AQ330" s="4" t="s">
        <v>22</v>
      </c>
    </row>
    <row r="331" spans="29:43">
      <c r="AC331" s="4" t="s">
        <v>22</v>
      </c>
      <c r="AD331" s="4" t="s">
        <v>22</v>
      </c>
      <c r="AE331" s="4" t="s">
        <v>22</v>
      </c>
      <c r="AF331" s="4" t="s">
        <v>22</v>
      </c>
      <c r="AG331" s="4" t="s">
        <v>22</v>
      </c>
      <c r="AH331" s="4" t="s">
        <v>22</v>
      </c>
      <c r="AI331" s="4" t="s">
        <v>22</v>
      </c>
      <c r="AK331" s="4" t="s">
        <v>22</v>
      </c>
      <c r="AL331" s="4" t="s">
        <v>22</v>
      </c>
      <c r="AM331" s="4" t="s">
        <v>22</v>
      </c>
      <c r="AN331" s="4" t="s">
        <v>22</v>
      </c>
      <c r="AO331" s="4" t="s">
        <v>22</v>
      </c>
      <c r="AP331" s="4" t="s">
        <v>22</v>
      </c>
      <c r="AQ331" s="4" t="s">
        <v>22</v>
      </c>
    </row>
    <row r="332" spans="29:43">
      <c r="AC332" s="4" t="s">
        <v>22</v>
      </c>
      <c r="AD332" s="4" t="s">
        <v>22</v>
      </c>
      <c r="AE332" s="4" t="s">
        <v>22</v>
      </c>
      <c r="AF332" s="4" t="s">
        <v>22</v>
      </c>
      <c r="AG332" s="4" t="s">
        <v>22</v>
      </c>
      <c r="AH332" s="4" t="s">
        <v>22</v>
      </c>
      <c r="AI332" s="4" t="s">
        <v>22</v>
      </c>
      <c r="AK332" s="4" t="s">
        <v>22</v>
      </c>
      <c r="AL332" s="4" t="s">
        <v>22</v>
      </c>
      <c r="AM332" s="4" t="s">
        <v>22</v>
      </c>
      <c r="AN332" s="4" t="s">
        <v>22</v>
      </c>
      <c r="AO332" s="4" t="s">
        <v>22</v>
      </c>
      <c r="AP332" s="4" t="s">
        <v>22</v>
      </c>
      <c r="AQ332" s="4" t="s">
        <v>22</v>
      </c>
    </row>
    <row r="333" spans="29:43">
      <c r="AC333" s="4" t="s">
        <v>22</v>
      </c>
      <c r="AD333" s="4" t="s">
        <v>22</v>
      </c>
      <c r="AE333" s="4" t="s">
        <v>22</v>
      </c>
      <c r="AF333" s="4" t="s">
        <v>22</v>
      </c>
      <c r="AG333" s="4" t="s">
        <v>22</v>
      </c>
      <c r="AH333" s="4" t="s">
        <v>22</v>
      </c>
      <c r="AI333" s="4" t="s">
        <v>22</v>
      </c>
      <c r="AK333" s="4" t="s">
        <v>22</v>
      </c>
      <c r="AL333" s="4" t="s">
        <v>22</v>
      </c>
      <c r="AM333" s="4" t="s">
        <v>22</v>
      </c>
      <c r="AN333" s="4" t="s">
        <v>22</v>
      </c>
      <c r="AO333" s="4" t="s">
        <v>22</v>
      </c>
      <c r="AP333" s="4" t="s">
        <v>22</v>
      </c>
      <c r="AQ333" s="4" t="s">
        <v>22</v>
      </c>
    </row>
    <row r="334" spans="29:43"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  <c r="AO334" s="4" t="s">
        <v>22</v>
      </c>
      <c r="AP334" s="4" t="s">
        <v>22</v>
      </c>
      <c r="AQ334" s="4" t="s">
        <v>22</v>
      </c>
    </row>
    <row r="335" spans="29:43">
      <c r="AC335" s="4" t="s">
        <v>22</v>
      </c>
      <c r="AD335" s="4" t="s">
        <v>22</v>
      </c>
      <c r="AE335" s="4" t="s">
        <v>22</v>
      </c>
      <c r="AF335" s="4" t="s">
        <v>22</v>
      </c>
      <c r="AG335" s="4" t="s">
        <v>22</v>
      </c>
      <c r="AH335" s="4" t="s">
        <v>22</v>
      </c>
      <c r="AI335" s="4" t="s">
        <v>22</v>
      </c>
      <c r="AK335" s="4" t="s">
        <v>22</v>
      </c>
      <c r="AL335" s="4" t="s">
        <v>22</v>
      </c>
      <c r="AM335" s="4" t="s">
        <v>22</v>
      </c>
      <c r="AN335" s="4" t="s">
        <v>22</v>
      </c>
      <c r="AO335" s="4" t="s">
        <v>22</v>
      </c>
      <c r="AP335" s="4" t="s">
        <v>22</v>
      </c>
      <c r="AQ335" s="4" t="s">
        <v>22</v>
      </c>
    </row>
    <row r="336" spans="29:43">
      <c r="AC336" s="4" t="s">
        <v>22</v>
      </c>
      <c r="AD336" s="4" t="s">
        <v>22</v>
      </c>
      <c r="AE336" s="4" t="s">
        <v>22</v>
      </c>
      <c r="AF336" s="4" t="s">
        <v>22</v>
      </c>
      <c r="AG336" s="4" t="s">
        <v>22</v>
      </c>
      <c r="AH336" s="4" t="s">
        <v>22</v>
      </c>
      <c r="AI336" s="4" t="s">
        <v>22</v>
      </c>
      <c r="AK336" s="4" t="s">
        <v>22</v>
      </c>
      <c r="AL336" s="4" t="s">
        <v>22</v>
      </c>
      <c r="AM336" s="4" t="s">
        <v>22</v>
      </c>
      <c r="AN336" s="4" t="s">
        <v>22</v>
      </c>
      <c r="AO336" s="4" t="s">
        <v>22</v>
      </c>
      <c r="AP336" s="4" t="s">
        <v>22</v>
      </c>
      <c r="AQ336" s="4" t="s">
        <v>22</v>
      </c>
    </row>
    <row r="337" spans="29:43">
      <c r="AC337" s="4" t="s">
        <v>22</v>
      </c>
      <c r="AD337" s="4" t="s">
        <v>22</v>
      </c>
      <c r="AE337" s="4" t="s">
        <v>22</v>
      </c>
      <c r="AF337" s="4" t="s">
        <v>22</v>
      </c>
      <c r="AG337" s="4" t="s">
        <v>22</v>
      </c>
      <c r="AH337" s="4" t="s">
        <v>22</v>
      </c>
      <c r="AI337" s="4" t="s">
        <v>22</v>
      </c>
      <c r="AK337" s="4" t="s">
        <v>22</v>
      </c>
      <c r="AL337" s="4" t="s">
        <v>22</v>
      </c>
      <c r="AM337" s="4" t="s">
        <v>22</v>
      </c>
      <c r="AN337" s="4" t="s">
        <v>22</v>
      </c>
      <c r="AO337" s="4" t="s">
        <v>22</v>
      </c>
      <c r="AP337" s="4" t="s">
        <v>22</v>
      </c>
      <c r="AQ337" s="4" t="s">
        <v>22</v>
      </c>
    </row>
    <row r="338" spans="29:43">
      <c r="AC338" s="4" t="s">
        <v>22</v>
      </c>
      <c r="AD338" s="4" t="s">
        <v>22</v>
      </c>
      <c r="AE338" s="4" t="s">
        <v>22</v>
      </c>
      <c r="AF338" s="4" t="s">
        <v>22</v>
      </c>
      <c r="AG338" s="4" t="s">
        <v>22</v>
      </c>
      <c r="AH338" s="4" t="s">
        <v>22</v>
      </c>
      <c r="AI338" s="4" t="s">
        <v>22</v>
      </c>
      <c r="AK338" s="4" t="s">
        <v>22</v>
      </c>
      <c r="AL338" s="4" t="s">
        <v>22</v>
      </c>
      <c r="AM338" s="4" t="s">
        <v>22</v>
      </c>
      <c r="AN338" s="4" t="s">
        <v>22</v>
      </c>
      <c r="AO338" s="4" t="s">
        <v>22</v>
      </c>
      <c r="AP338" s="4" t="s">
        <v>22</v>
      </c>
      <c r="AQ338" s="4" t="s">
        <v>22</v>
      </c>
    </row>
    <row r="339" spans="29:43"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  <c r="AO339" s="4" t="s">
        <v>22</v>
      </c>
      <c r="AP339" s="4" t="s">
        <v>22</v>
      </c>
      <c r="AQ339" s="4" t="s">
        <v>22</v>
      </c>
    </row>
    <row r="340" spans="29:43"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  <c r="AH340" s="4" t="s">
        <v>22</v>
      </c>
      <c r="AI340" s="4" t="s">
        <v>22</v>
      </c>
      <c r="AK340" s="4" t="s">
        <v>22</v>
      </c>
      <c r="AL340" s="4" t="s">
        <v>22</v>
      </c>
      <c r="AM340" s="4" t="s">
        <v>22</v>
      </c>
      <c r="AN340" s="4" t="s">
        <v>22</v>
      </c>
      <c r="AO340" s="4" t="s">
        <v>22</v>
      </c>
      <c r="AP340" s="4" t="s">
        <v>22</v>
      </c>
      <c r="AQ340" s="4" t="s">
        <v>22</v>
      </c>
    </row>
    <row r="341" spans="29:43"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  <c r="AO341" s="4" t="s">
        <v>22</v>
      </c>
      <c r="AP341" s="4" t="s">
        <v>22</v>
      </c>
      <c r="AQ341" s="4" t="s">
        <v>22</v>
      </c>
    </row>
    <row r="342" spans="29:43">
      <c r="AC342" s="4" t="s">
        <v>22</v>
      </c>
      <c r="AD342" s="4" t="s">
        <v>22</v>
      </c>
      <c r="AE342" s="4" t="s">
        <v>22</v>
      </c>
      <c r="AF342" s="4" t="s">
        <v>22</v>
      </c>
      <c r="AG342" s="4" t="s">
        <v>22</v>
      </c>
      <c r="AH342" s="4" t="s">
        <v>22</v>
      </c>
      <c r="AI342" s="4" t="s">
        <v>22</v>
      </c>
      <c r="AK342" s="4" t="s">
        <v>22</v>
      </c>
      <c r="AL342" s="4" t="s">
        <v>22</v>
      </c>
      <c r="AM342" s="4" t="s">
        <v>22</v>
      </c>
      <c r="AN342" s="4" t="s">
        <v>22</v>
      </c>
      <c r="AO342" s="4" t="s">
        <v>22</v>
      </c>
      <c r="AP342" s="4" t="s">
        <v>22</v>
      </c>
      <c r="AQ342" s="4" t="s">
        <v>22</v>
      </c>
    </row>
    <row r="343" spans="29:43"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  <c r="AH343" s="4" t="s">
        <v>22</v>
      </c>
      <c r="AI343" s="4" t="s">
        <v>22</v>
      </c>
      <c r="AK343" s="4" t="s">
        <v>22</v>
      </c>
      <c r="AL343" s="4" t="s">
        <v>22</v>
      </c>
      <c r="AM343" s="4" t="s">
        <v>22</v>
      </c>
      <c r="AN343" s="4" t="s">
        <v>22</v>
      </c>
      <c r="AO343" s="4" t="s">
        <v>22</v>
      </c>
      <c r="AP343" s="4" t="s">
        <v>22</v>
      </c>
      <c r="AQ343" s="4" t="s">
        <v>22</v>
      </c>
    </row>
    <row r="344" spans="29:43"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  <c r="AH344" s="4" t="s">
        <v>22</v>
      </c>
      <c r="AI344" s="4" t="s">
        <v>22</v>
      </c>
      <c r="AK344" s="4" t="s">
        <v>22</v>
      </c>
      <c r="AL344" s="4" t="s">
        <v>22</v>
      </c>
      <c r="AM344" s="4" t="s">
        <v>22</v>
      </c>
      <c r="AN344" s="4" t="s">
        <v>22</v>
      </c>
      <c r="AO344" s="4" t="s">
        <v>22</v>
      </c>
      <c r="AP344" s="4" t="s">
        <v>22</v>
      </c>
      <c r="AQ344" s="4" t="s">
        <v>22</v>
      </c>
    </row>
    <row r="345" spans="29:43">
      <c r="AC345" s="4" t="s">
        <v>22</v>
      </c>
      <c r="AD345" s="4" t="s">
        <v>22</v>
      </c>
      <c r="AE345" s="4" t="s">
        <v>22</v>
      </c>
      <c r="AF345" s="4" t="s">
        <v>22</v>
      </c>
      <c r="AG345" s="4" t="s">
        <v>22</v>
      </c>
      <c r="AH345" s="4" t="s">
        <v>22</v>
      </c>
      <c r="AI345" s="4" t="s">
        <v>22</v>
      </c>
      <c r="AK345" s="4" t="s">
        <v>22</v>
      </c>
      <c r="AL345" s="4" t="s">
        <v>22</v>
      </c>
      <c r="AM345" s="4" t="s">
        <v>22</v>
      </c>
      <c r="AN345" s="4" t="s">
        <v>22</v>
      </c>
      <c r="AO345" s="4" t="s">
        <v>22</v>
      </c>
      <c r="AP345" s="4" t="s">
        <v>22</v>
      </c>
      <c r="AQ345" s="4" t="s">
        <v>22</v>
      </c>
    </row>
    <row r="346" spans="29:43"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  <c r="AH346" s="4" t="s">
        <v>22</v>
      </c>
      <c r="AI346" s="4" t="s">
        <v>22</v>
      </c>
      <c r="AK346" s="4" t="s">
        <v>22</v>
      </c>
      <c r="AL346" s="4" t="s">
        <v>22</v>
      </c>
      <c r="AM346" s="4" t="s">
        <v>22</v>
      </c>
      <c r="AN346" s="4" t="s">
        <v>22</v>
      </c>
      <c r="AO346" s="4" t="s">
        <v>22</v>
      </c>
      <c r="AP346" s="4" t="s">
        <v>22</v>
      </c>
      <c r="AQ346" s="4" t="s">
        <v>22</v>
      </c>
    </row>
    <row r="347" spans="29:43">
      <c r="AC347" s="4" t="s">
        <v>22</v>
      </c>
      <c r="AD347" s="4" t="s">
        <v>22</v>
      </c>
      <c r="AE347" s="4" t="s">
        <v>22</v>
      </c>
      <c r="AF347" s="4" t="s">
        <v>22</v>
      </c>
      <c r="AG347" s="4" t="s">
        <v>22</v>
      </c>
      <c r="AH347" s="4" t="s">
        <v>22</v>
      </c>
      <c r="AI347" s="4" t="s">
        <v>22</v>
      </c>
      <c r="AK347" s="4" t="s">
        <v>22</v>
      </c>
      <c r="AL347" s="4" t="s">
        <v>22</v>
      </c>
      <c r="AM347" s="4" t="s">
        <v>22</v>
      </c>
      <c r="AN347" s="4" t="s">
        <v>22</v>
      </c>
      <c r="AO347" s="4" t="s">
        <v>22</v>
      </c>
      <c r="AP347" s="4" t="s">
        <v>22</v>
      </c>
      <c r="AQ347" s="4" t="s">
        <v>22</v>
      </c>
    </row>
    <row r="348" spans="29:43">
      <c r="AC348" s="4" t="s">
        <v>22</v>
      </c>
      <c r="AD348" s="4" t="s">
        <v>22</v>
      </c>
      <c r="AE348" s="4" t="s">
        <v>22</v>
      </c>
      <c r="AF348" s="4" t="s">
        <v>22</v>
      </c>
      <c r="AG348" s="4" t="s">
        <v>22</v>
      </c>
      <c r="AH348" s="4" t="s">
        <v>22</v>
      </c>
      <c r="AI348" s="4" t="s">
        <v>22</v>
      </c>
      <c r="AK348" s="4" t="s">
        <v>22</v>
      </c>
      <c r="AL348" s="4" t="s">
        <v>22</v>
      </c>
      <c r="AM348" s="4" t="s">
        <v>22</v>
      </c>
      <c r="AN348" s="4" t="s">
        <v>22</v>
      </c>
      <c r="AO348" s="4" t="s">
        <v>22</v>
      </c>
      <c r="AP348" s="4" t="s">
        <v>22</v>
      </c>
      <c r="AQ348" s="4" t="s">
        <v>22</v>
      </c>
    </row>
    <row r="349" spans="29:43"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  <c r="AO349" s="4" t="s">
        <v>22</v>
      </c>
      <c r="AP349" s="4" t="s">
        <v>22</v>
      </c>
      <c r="AQ349" s="4" t="s">
        <v>22</v>
      </c>
    </row>
    <row r="350" spans="29:43">
      <c r="AC350" s="4" t="s">
        <v>22</v>
      </c>
      <c r="AD350" s="4" t="s">
        <v>22</v>
      </c>
      <c r="AE350" s="4" t="s">
        <v>22</v>
      </c>
      <c r="AF350" s="4" t="s">
        <v>22</v>
      </c>
      <c r="AG350" s="4" t="s">
        <v>22</v>
      </c>
      <c r="AH350" s="4" t="s">
        <v>22</v>
      </c>
      <c r="AI350" s="4" t="s">
        <v>22</v>
      </c>
      <c r="AK350" s="4" t="s">
        <v>22</v>
      </c>
      <c r="AL350" s="4" t="s">
        <v>22</v>
      </c>
      <c r="AM350" s="4" t="s">
        <v>22</v>
      </c>
      <c r="AN350" s="4" t="s">
        <v>22</v>
      </c>
      <c r="AO350" s="4" t="s">
        <v>22</v>
      </c>
      <c r="AP350" s="4" t="s">
        <v>22</v>
      </c>
      <c r="AQ350" s="4" t="s">
        <v>22</v>
      </c>
    </row>
    <row r="351" spans="29:43"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  <c r="AO351" s="4" t="s">
        <v>22</v>
      </c>
      <c r="AP351" s="4" t="s">
        <v>22</v>
      </c>
      <c r="AQ351" s="4" t="s">
        <v>22</v>
      </c>
    </row>
    <row r="352" spans="29:43">
      <c r="AC352" s="4" t="s">
        <v>22</v>
      </c>
      <c r="AD352" s="4" t="s">
        <v>22</v>
      </c>
      <c r="AE352" s="4" t="s">
        <v>22</v>
      </c>
      <c r="AF352" s="4" t="s">
        <v>22</v>
      </c>
      <c r="AG352" s="4" t="s">
        <v>22</v>
      </c>
      <c r="AH352" s="4" t="s">
        <v>22</v>
      </c>
      <c r="AI352" s="4" t="s">
        <v>22</v>
      </c>
      <c r="AK352" s="4" t="s">
        <v>22</v>
      </c>
      <c r="AL352" s="4" t="s">
        <v>22</v>
      </c>
      <c r="AM352" s="4" t="s">
        <v>22</v>
      </c>
      <c r="AN352" s="4" t="s">
        <v>22</v>
      </c>
      <c r="AO352" s="4" t="s">
        <v>22</v>
      </c>
      <c r="AP352" s="4" t="s">
        <v>22</v>
      </c>
      <c r="AQ352" s="4" t="s">
        <v>22</v>
      </c>
    </row>
    <row r="353" spans="29:43">
      <c r="AC353" s="4" t="s">
        <v>22</v>
      </c>
      <c r="AD353" s="4" t="s">
        <v>22</v>
      </c>
      <c r="AE353" s="4" t="s">
        <v>22</v>
      </c>
      <c r="AF353" s="4" t="s">
        <v>22</v>
      </c>
      <c r="AG353" s="4" t="s">
        <v>22</v>
      </c>
      <c r="AH353" s="4" t="s">
        <v>22</v>
      </c>
      <c r="AI353" s="4" t="s">
        <v>22</v>
      </c>
      <c r="AK353" s="4" t="s">
        <v>22</v>
      </c>
      <c r="AL353" s="4" t="s">
        <v>22</v>
      </c>
      <c r="AM353" s="4" t="s">
        <v>22</v>
      </c>
      <c r="AN353" s="4" t="s">
        <v>22</v>
      </c>
      <c r="AO353" s="4" t="s">
        <v>22</v>
      </c>
      <c r="AP353" s="4" t="s">
        <v>22</v>
      </c>
      <c r="AQ353" s="4" t="s">
        <v>22</v>
      </c>
    </row>
    <row r="354" spans="29:43">
      <c r="AC354" s="4" t="s">
        <v>22</v>
      </c>
      <c r="AD354" s="4" t="s">
        <v>22</v>
      </c>
      <c r="AE354" s="4" t="s">
        <v>22</v>
      </c>
      <c r="AF354" s="4" t="s">
        <v>22</v>
      </c>
      <c r="AG354" s="4" t="s">
        <v>22</v>
      </c>
      <c r="AH354" s="4" t="s">
        <v>22</v>
      </c>
      <c r="AI354" s="4" t="s">
        <v>22</v>
      </c>
      <c r="AK354" s="4" t="s">
        <v>22</v>
      </c>
      <c r="AL354" s="4" t="s">
        <v>22</v>
      </c>
      <c r="AM354" s="4" t="s">
        <v>22</v>
      </c>
      <c r="AN354" s="4" t="s">
        <v>22</v>
      </c>
      <c r="AO354" s="4" t="s">
        <v>22</v>
      </c>
      <c r="AP354" s="4" t="s">
        <v>22</v>
      </c>
      <c r="AQ354" s="4" t="s">
        <v>22</v>
      </c>
    </row>
    <row r="355" spans="29:43"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  <c r="AH355" s="4" t="s">
        <v>22</v>
      </c>
      <c r="AI355" s="4" t="s">
        <v>22</v>
      </c>
      <c r="AK355" s="4" t="s">
        <v>22</v>
      </c>
      <c r="AL355" s="4" t="s">
        <v>22</v>
      </c>
      <c r="AM355" s="4" t="s">
        <v>22</v>
      </c>
      <c r="AN355" s="4" t="s">
        <v>22</v>
      </c>
      <c r="AO355" s="4" t="s">
        <v>22</v>
      </c>
      <c r="AP355" s="4" t="s">
        <v>22</v>
      </c>
      <c r="AQ355" s="4" t="s">
        <v>22</v>
      </c>
    </row>
    <row r="356" spans="29:43">
      <c r="AC356" s="4" t="s">
        <v>22</v>
      </c>
      <c r="AD356" s="4" t="s">
        <v>22</v>
      </c>
      <c r="AE356" s="4" t="s">
        <v>22</v>
      </c>
      <c r="AF356" s="4" t="s">
        <v>22</v>
      </c>
      <c r="AG356" s="4" t="s">
        <v>22</v>
      </c>
      <c r="AH356" s="4" t="s">
        <v>22</v>
      </c>
      <c r="AI356" s="4" t="s">
        <v>22</v>
      </c>
      <c r="AK356" s="4" t="s">
        <v>22</v>
      </c>
      <c r="AL356" s="4" t="s">
        <v>22</v>
      </c>
      <c r="AM356" s="4" t="s">
        <v>22</v>
      </c>
      <c r="AN356" s="4" t="s">
        <v>22</v>
      </c>
      <c r="AO356" s="4" t="s">
        <v>22</v>
      </c>
      <c r="AP356" s="4" t="s">
        <v>22</v>
      </c>
      <c r="AQ356" s="4" t="s">
        <v>22</v>
      </c>
    </row>
    <row r="357" spans="29:43"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  <c r="AH357" s="4" t="s">
        <v>22</v>
      </c>
      <c r="AI357" s="4" t="s">
        <v>22</v>
      </c>
      <c r="AK357" s="4" t="s">
        <v>22</v>
      </c>
      <c r="AL357" s="4" t="s">
        <v>22</v>
      </c>
      <c r="AM357" s="4" t="s">
        <v>22</v>
      </c>
      <c r="AN357" s="4" t="s">
        <v>22</v>
      </c>
      <c r="AO357" s="4" t="s">
        <v>22</v>
      </c>
      <c r="AP357" s="4" t="s">
        <v>22</v>
      </c>
      <c r="AQ357" s="4" t="s">
        <v>22</v>
      </c>
    </row>
    <row r="358" spans="29:43">
      <c r="AC358" s="4" t="s">
        <v>22</v>
      </c>
      <c r="AD358" s="4" t="s">
        <v>22</v>
      </c>
      <c r="AE358" s="4" t="s">
        <v>22</v>
      </c>
      <c r="AF358" s="4" t="s">
        <v>22</v>
      </c>
      <c r="AG358" s="4" t="s">
        <v>22</v>
      </c>
      <c r="AH358" s="4" t="s">
        <v>22</v>
      </c>
      <c r="AI358" s="4" t="s">
        <v>22</v>
      </c>
      <c r="AK358" s="4" t="s">
        <v>22</v>
      </c>
      <c r="AL358" s="4" t="s">
        <v>22</v>
      </c>
      <c r="AM358" s="4" t="s">
        <v>22</v>
      </c>
      <c r="AN358" s="4" t="s">
        <v>22</v>
      </c>
      <c r="AO358" s="4" t="s">
        <v>22</v>
      </c>
      <c r="AP358" s="4" t="s">
        <v>22</v>
      </c>
      <c r="AQ358" s="4" t="s">
        <v>22</v>
      </c>
    </row>
    <row r="359" spans="29:43">
      <c r="AC359" s="4" t="s">
        <v>22</v>
      </c>
      <c r="AD359" s="4" t="s">
        <v>22</v>
      </c>
      <c r="AE359" s="4" t="s">
        <v>22</v>
      </c>
      <c r="AF359" s="4" t="s">
        <v>22</v>
      </c>
      <c r="AG359" s="4" t="s">
        <v>22</v>
      </c>
      <c r="AH359" s="4" t="s">
        <v>22</v>
      </c>
      <c r="AI359" s="4" t="s">
        <v>22</v>
      </c>
      <c r="AK359" s="4" t="s">
        <v>22</v>
      </c>
      <c r="AL359" s="4" t="s">
        <v>22</v>
      </c>
      <c r="AM359" s="4" t="s">
        <v>22</v>
      </c>
      <c r="AN359" s="4" t="s">
        <v>22</v>
      </c>
      <c r="AO359" s="4" t="s">
        <v>22</v>
      </c>
      <c r="AP359" s="4" t="s">
        <v>22</v>
      </c>
      <c r="AQ359" s="4" t="s">
        <v>22</v>
      </c>
    </row>
    <row r="360" spans="29:43"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  <c r="AH360" s="4" t="s">
        <v>22</v>
      </c>
      <c r="AI360" s="4" t="s">
        <v>22</v>
      </c>
      <c r="AK360" s="4" t="s">
        <v>22</v>
      </c>
      <c r="AL360" s="4" t="s">
        <v>22</v>
      </c>
      <c r="AM360" s="4" t="s">
        <v>22</v>
      </c>
      <c r="AN360" s="4" t="s">
        <v>22</v>
      </c>
      <c r="AO360" s="4" t="s">
        <v>22</v>
      </c>
      <c r="AP360" s="4" t="s">
        <v>22</v>
      </c>
      <c r="AQ360" s="4" t="s">
        <v>22</v>
      </c>
    </row>
    <row r="361" spans="29:43">
      <c r="AC361" s="4" t="s">
        <v>22</v>
      </c>
      <c r="AD361" s="4" t="s">
        <v>22</v>
      </c>
      <c r="AE361" s="4" t="s">
        <v>22</v>
      </c>
      <c r="AF361" s="4" t="s">
        <v>22</v>
      </c>
      <c r="AG361" s="4" t="s">
        <v>22</v>
      </c>
      <c r="AH361" s="4" t="s">
        <v>22</v>
      </c>
      <c r="AI361" s="4" t="s">
        <v>22</v>
      </c>
      <c r="AK361" s="4" t="s">
        <v>22</v>
      </c>
      <c r="AL361" s="4" t="s">
        <v>22</v>
      </c>
      <c r="AM361" s="4" t="s">
        <v>22</v>
      </c>
      <c r="AN361" s="4" t="s">
        <v>22</v>
      </c>
      <c r="AO361" s="4" t="s">
        <v>22</v>
      </c>
      <c r="AP361" s="4" t="s">
        <v>22</v>
      </c>
      <c r="AQ361" s="4" t="s">
        <v>22</v>
      </c>
    </row>
    <row r="362" spans="29:43">
      <c r="AC362" s="4" t="s">
        <v>22</v>
      </c>
      <c r="AD362" s="4" t="s">
        <v>22</v>
      </c>
      <c r="AE362" s="4" t="s">
        <v>22</v>
      </c>
      <c r="AF362" s="4" t="s">
        <v>22</v>
      </c>
      <c r="AG362" s="4" t="s">
        <v>22</v>
      </c>
      <c r="AH362" s="4" t="s">
        <v>22</v>
      </c>
      <c r="AI362" s="4" t="s">
        <v>22</v>
      </c>
      <c r="AK362" s="4" t="s">
        <v>22</v>
      </c>
      <c r="AL362" s="4" t="s">
        <v>22</v>
      </c>
      <c r="AM362" s="4" t="s">
        <v>22</v>
      </c>
      <c r="AN362" s="4" t="s">
        <v>22</v>
      </c>
      <c r="AO362" s="4" t="s">
        <v>22</v>
      </c>
      <c r="AP362" s="4" t="s">
        <v>22</v>
      </c>
      <c r="AQ362" s="4" t="s">
        <v>22</v>
      </c>
    </row>
    <row r="363" spans="29:43">
      <c r="AC363" s="4" t="s">
        <v>22</v>
      </c>
      <c r="AD363" s="4" t="s">
        <v>22</v>
      </c>
      <c r="AE363" s="4" t="s">
        <v>22</v>
      </c>
      <c r="AF363" s="4" t="s">
        <v>22</v>
      </c>
      <c r="AG363" s="4" t="s">
        <v>22</v>
      </c>
      <c r="AH363" s="4" t="s">
        <v>22</v>
      </c>
      <c r="AI363" s="4" t="s">
        <v>22</v>
      </c>
      <c r="AK363" s="4" t="s">
        <v>22</v>
      </c>
      <c r="AL363" s="4" t="s">
        <v>22</v>
      </c>
      <c r="AM363" s="4" t="s">
        <v>22</v>
      </c>
      <c r="AN363" s="4" t="s">
        <v>22</v>
      </c>
      <c r="AO363" s="4" t="s">
        <v>22</v>
      </c>
      <c r="AP363" s="4" t="s">
        <v>22</v>
      </c>
      <c r="AQ363" s="4" t="s">
        <v>22</v>
      </c>
    </row>
    <row r="364" spans="29:43">
      <c r="AC364" s="4" t="s">
        <v>22</v>
      </c>
      <c r="AD364" s="4" t="s">
        <v>22</v>
      </c>
      <c r="AE364" s="4" t="s">
        <v>22</v>
      </c>
      <c r="AF364" s="4" t="s">
        <v>22</v>
      </c>
      <c r="AG364" s="4" t="s">
        <v>22</v>
      </c>
      <c r="AH364" s="4" t="s">
        <v>22</v>
      </c>
      <c r="AI364" s="4" t="s">
        <v>22</v>
      </c>
      <c r="AK364" s="4" t="s">
        <v>22</v>
      </c>
      <c r="AL364" s="4" t="s">
        <v>22</v>
      </c>
      <c r="AM364" s="4" t="s">
        <v>22</v>
      </c>
      <c r="AN364" s="4" t="s">
        <v>22</v>
      </c>
      <c r="AO364" s="4" t="s">
        <v>22</v>
      </c>
      <c r="AP364" s="4" t="s">
        <v>22</v>
      </c>
      <c r="AQ364" s="4" t="s">
        <v>22</v>
      </c>
    </row>
    <row r="365" spans="29:43">
      <c r="AC365" s="4" t="s">
        <v>22</v>
      </c>
      <c r="AD365" s="4" t="s">
        <v>22</v>
      </c>
      <c r="AE365" s="4" t="s">
        <v>22</v>
      </c>
      <c r="AF365" s="4" t="s">
        <v>22</v>
      </c>
      <c r="AG365" s="4" t="s">
        <v>22</v>
      </c>
      <c r="AH365" s="4" t="s">
        <v>22</v>
      </c>
      <c r="AI365" s="4" t="s">
        <v>22</v>
      </c>
      <c r="AK365" s="4" t="s">
        <v>22</v>
      </c>
      <c r="AL365" s="4" t="s">
        <v>22</v>
      </c>
      <c r="AM365" s="4" t="s">
        <v>22</v>
      </c>
      <c r="AN365" s="4" t="s">
        <v>22</v>
      </c>
      <c r="AO365" s="4" t="s">
        <v>22</v>
      </c>
      <c r="AP365" s="4" t="s">
        <v>22</v>
      </c>
      <c r="AQ365" s="4" t="s">
        <v>22</v>
      </c>
    </row>
    <row r="366" spans="29:43">
      <c r="AC366" s="4" t="s">
        <v>22</v>
      </c>
      <c r="AD366" s="4" t="s">
        <v>22</v>
      </c>
      <c r="AE366" s="4" t="s">
        <v>22</v>
      </c>
      <c r="AF366" s="4" t="s">
        <v>22</v>
      </c>
      <c r="AG366" s="4" t="s">
        <v>22</v>
      </c>
      <c r="AH366" s="4" t="s">
        <v>22</v>
      </c>
      <c r="AI366" s="4" t="s">
        <v>22</v>
      </c>
      <c r="AK366" s="4" t="s">
        <v>22</v>
      </c>
      <c r="AL366" s="4" t="s">
        <v>22</v>
      </c>
      <c r="AM366" s="4" t="s">
        <v>22</v>
      </c>
      <c r="AN366" s="4" t="s">
        <v>22</v>
      </c>
      <c r="AO366" s="4" t="s">
        <v>22</v>
      </c>
      <c r="AP366" s="4" t="s">
        <v>22</v>
      </c>
      <c r="AQ366" s="4" t="s">
        <v>22</v>
      </c>
    </row>
    <row r="367" spans="29:43">
      <c r="AC367" s="4" t="s">
        <v>22</v>
      </c>
      <c r="AD367" s="4" t="s">
        <v>22</v>
      </c>
      <c r="AE367" s="4" t="s">
        <v>22</v>
      </c>
      <c r="AF367" s="4" t="s">
        <v>22</v>
      </c>
      <c r="AG367" s="4" t="s">
        <v>22</v>
      </c>
      <c r="AH367" s="4" t="s">
        <v>22</v>
      </c>
      <c r="AI367" s="4" t="s">
        <v>22</v>
      </c>
      <c r="AK367" s="4" t="s">
        <v>22</v>
      </c>
      <c r="AL367" s="4" t="s">
        <v>22</v>
      </c>
      <c r="AM367" s="4" t="s">
        <v>22</v>
      </c>
      <c r="AN367" s="4" t="s">
        <v>22</v>
      </c>
      <c r="AO367" s="4" t="s">
        <v>22</v>
      </c>
      <c r="AP367" s="4" t="s">
        <v>22</v>
      </c>
      <c r="AQ367" s="4" t="s">
        <v>22</v>
      </c>
    </row>
    <row r="368" spans="29:43">
      <c r="AC368" s="4" t="s">
        <v>22</v>
      </c>
      <c r="AD368" s="4" t="s">
        <v>22</v>
      </c>
      <c r="AE368" s="4" t="s">
        <v>22</v>
      </c>
      <c r="AF368" s="4" t="s">
        <v>22</v>
      </c>
      <c r="AG368" s="4" t="s">
        <v>22</v>
      </c>
      <c r="AH368" s="4" t="s">
        <v>22</v>
      </c>
      <c r="AI368" s="4" t="s">
        <v>22</v>
      </c>
      <c r="AK368" s="4" t="s">
        <v>22</v>
      </c>
      <c r="AL368" s="4" t="s">
        <v>22</v>
      </c>
      <c r="AM368" s="4" t="s">
        <v>22</v>
      </c>
      <c r="AN368" s="4" t="s">
        <v>22</v>
      </c>
      <c r="AO368" s="4" t="s">
        <v>22</v>
      </c>
      <c r="AP368" s="4" t="s">
        <v>22</v>
      </c>
      <c r="AQ368" s="4" t="s">
        <v>22</v>
      </c>
    </row>
    <row r="369" spans="29:43"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  <c r="AH369" s="4" t="s">
        <v>22</v>
      </c>
      <c r="AI369" s="4" t="s">
        <v>22</v>
      </c>
      <c r="AK369" s="4" t="s">
        <v>22</v>
      </c>
      <c r="AL369" s="4" t="s">
        <v>22</v>
      </c>
      <c r="AM369" s="4" t="s">
        <v>22</v>
      </c>
      <c r="AN369" s="4" t="s">
        <v>22</v>
      </c>
      <c r="AO369" s="4" t="s">
        <v>22</v>
      </c>
      <c r="AP369" s="4" t="s">
        <v>22</v>
      </c>
      <c r="AQ369" s="4" t="s">
        <v>22</v>
      </c>
    </row>
    <row r="370" spans="29:43">
      <c r="AC370" s="4" t="s">
        <v>22</v>
      </c>
      <c r="AD370" s="4" t="s">
        <v>22</v>
      </c>
      <c r="AE370" s="4" t="s">
        <v>22</v>
      </c>
      <c r="AF370" s="4" t="s">
        <v>22</v>
      </c>
      <c r="AG370" s="4" t="s">
        <v>22</v>
      </c>
      <c r="AH370" s="4" t="s">
        <v>22</v>
      </c>
      <c r="AI370" s="4" t="s">
        <v>22</v>
      </c>
      <c r="AK370" s="4" t="s">
        <v>22</v>
      </c>
      <c r="AL370" s="4" t="s">
        <v>22</v>
      </c>
      <c r="AM370" s="4" t="s">
        <v>22</v>
      </c>
      <c r="AN370" s="4" t="s">
        <v>22</v>
      </c>
      <c r="AO370" s="4" t="s">
        <v>22</v>
      </c>
      <c r="AP370" s="4" t="s">
        <v>22</v>
      </c>
      <c r="AQ370" s="4" t="s">
        <v>22</v>
      </c>
    </row>
    <row r="371" spans="29:43">
      <c r="AC371" s="4" t="s">
        <v>22</v>
      </c>
      <c r="AD371" s="4" t="s">
        <v>22</v>
      </c>
      <c r="AE371" s="4" t="s">
        <v>22</v>
      </c>
      <c r="AF371" s="4" t="s">
        <v>22</v>
      </c>
      <c r="AG371" s="4" t="s">
        <v>22</v>
      </c>
      <c r="AH371" s="4" t="s">
        <v>22</v>
      </c>
      <c r="AI371" s="4" t="s">
        <v>22</v>
      </c>
      <c r="AK371" s="4" t="s">
        <v>22</v>
      </c>
      <c r="AL371" s="4" t="s">
        <v>22</v>
      </c>
      <c r="AM371" s="4" t="s">
        <v>22</v>
      </c>
      <c r="AN371" s="4" t="s">
        <v>22</v>
      </c>
      <c r="AO371" s="4" t="s">
        <v>22</v>
      </c>
      <c r="AP371" s="4" t="s">
        <v>22</v>
      </c>
      <c r="AQ371" s="4" t="s">
        <v>22</v>
      </c>
    </row>
    <row r="372" spans="29:43">
      <c r="AC372" s="4" t="s">
        <v>22</v>
      </c>
      <c r="AD372" s="4" t="s">
        <v>22</v>
      </c>
      <c r="AE372" s="4" t="s">
        <v>22</v>
      </c>
      <c r="AF372" s="4" t="s">
        <v>22</v>
      </c>
      <c r="AG372" s="4" t="s">
        <v>22</v>
      </c>
      <c r="AH372" s="4" t="s">
        <v>22</v>
      </c>
      <c r="AI372" s="4" t="s">
        <v>22</v>
      </c>
      <c r="AK372" s="4" t="s">
        <v>22</v>
      </c>
      <c r="AL372" s="4" t="s">
        <v>22</v>
      </c>
      <c r="AM372" s="4" t="s">
        <v>22</v>
      </c>
      <c r="AN372" s="4" t="s">
        <v>22</v>
      </c>
      <c r="AO372" s="4" t="s">
        <v>22</v>
      </c>
      <c r="AP372" s="4" t="s">
        <v>22</v>
      </c>
      <c r="AQ372" s="4" t="s">
        <v>22</v>
      </c>
    </row>
    <row r="373" spans="29:43">
      <c r="AC373" s="4" t="s">
        <v>22</v>
      </c>
      <c r="AD373" s="4" t="s">
        <v>22</v>
      </c>
      <c r="AE373" s="4" t="s">
        <v>22</v>
      </c>
      <c r="AF373" s="4" t="s">
        <v>22</v>
      </c>
      <c r="AG373" s="4" t="s">
        <v>22</v>
      </c>
      <c r="AH373" s="4" t="s">
        <v>22</v>
      </c>
      <c r="AI373" s="4" t="s">
        <v>22</v>
      </c>
      <c r="AK373" s="4" t="s">
        <v>22</v>
      </c>
      <c r="AL373" s="4" t="s">
        <v>22</v>
      </c>
      <c r="AM373" s="4" t="s">
        <v>22</v>
      </c>
      <c r="AN373" s="4" t="s">
        <v>22</v>
      </c>
      <c r="AO373" s="4" t="s">
        <v>22</v>
      </c>
      <c r="AP373" s="4" t="s">
        <v>22</v>
      </c>
      <c r="AQ373" s="4" t="s">
        <v>22</v>
      </c>
    </row>
    <row r="374" spans="29:43">
      <c r="AC374" s="4" t="s">
        <v>22</v>
      </c>
      <c r="AD374" s="4" t="s">
        <v>22</v>
      </c>
      <c r="AE374" s="4" t="s">
        <v>22</v>
      </c>
      <c r="AF374" s="4" t="s">
        <v>22</v>
      </c>
      <c r="AG374" s="4" t="s">
        <v>22</v>
      </c>
      <c r="AH374" s="4" t="s">
        <v>22</v>
      </c>
      <c r="AI374" s="4" t="s">
        <v>22</v>
      </c>
      <c r="AK374" s="4" t="s">
        <v>22</v>
      </c>
      <c r="AL374" s="4" t="s">
        <v>22</v>
      </c>
      <c r="AM374" s="4" t="s">
        <v>22</v>
      </c>
      <c r="AN374" s="4" t="s">
        <v>22</v>
      </c>
      <c r="AO374" s="4" t="s">
        <v>22</v>
      </c>
      <c r="AP374" s="4" t="s">
        <v>22</v>
      </c>
      <c r="AQ374" s="4" t="s">
        <v>22</v>
      </c>
    </row>
    <row r="375" spans="29:43"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  <c r="AH375" s="4" t="s">
        <v>22</v>
      </c>
      <c r="AI375" s="4" t="s">
        <v>22</v>
      </c>
      <c r="AK375" s="4" t="s">
        <v>22</v>
      </c>
      <c r="AL375" s="4" t="s">
        <v>22</v>
      </c>
      <c r="AM375" s="4" t="s">
        <v>22</v>
      </c>
      <c r="AN375" s="4" t="s">
        <v>22</v>
      </c>
      <c r="AO375" s="4" t="s">
        <v>22</v>
      </c>
      <c r="AP375" s="4" t="s">
        <v>22</v>
      </c>
      <c r="AQ375" s="4" t="s">
        <v>22</v>
      </c>
    </row>
    <row r="376" spans="29:43">
      <c r="AC376" s="4" t="s">
        <v>22</v>
      </c>
      <c r="AD376" s="4" t="s">
        <v>22</v>
      </c>
      <c r="AE376" s="4" t="s">
        <v>22</v>
      </c>
      <c r="AF376" s="4" t="s">
        <v>22</v>
      </c>
      <c r="AG376" s="4" t="s">
        <v>22</v>
      </c>
      <c r="AH376" s="4" t="s">
        <v>22</v>
      </c>
      <c r="AI376" s="4" t="s">
        <v>22</v>
      </c>
      <c r="AK376" s="4" t="s">
        <v>22</v>
      </c>
      <c r="AL376" s="4" t="s">
        <v>22</v>
      </c>
      <c r="AM376" s="4" t="s">
        <v>22</v>
      </c>
      <c r="AN376" s="4" t="s">
        <v>22</v>
      </c>
      <c r="AO376" s="4" t="s">
        <v>22</v>
      </c>
      <c r="AP376" s="4" t="s">
        <v>22</v>
      </c>
      <c r="AQ376" s="4" t="s">
        <v>22</v>
      </c>
    </row>
    <row r="377" spans="29:43"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  <c r="AH377" s="4" t="s">
        <v>22</v>
      </c>
      <c r="AI377" s="4" t="s">
        <v>22</v>
      </c>
      <c r="AK377" s="4" t="s">
        <v>22</v>
      </c>
      <c r="AL377" s="4" t="s">
        <v>22</v>
      </c>
      <c r="AM377" s="4" t="s">
        <v>22</v>
      </c>
      <c r="AN377" s="4" t="s">
        <v>22</v>
      </c>
      <c r="AO377" s="4" t="s">
        <v>22</v>
      </c>
      <c r="AP377" s="4" t="s">
        <v>22</v>
      </c>
      <c r="AQ377" s="4" t="s">
        <v>22</v>
      </c>
    </row>
    <row r="378" spans="29:43">
      <c r="AC378" s="4" t="s">
        <v>22</v>
      </c>
      <c r="AD378" s="4" t="s">
        <v>22</v>
      </c>
      <c r="AE378" s="4" t="s">
        <v>22</v>
      </c>
      <c r="AF378" s="4" t="s">
        <v>22</v>
      </c>
      <c r="AG378" s="4" t="s">
        <v>22</v>
      </c>
      <c r="AH378" s="4" t="s">
        <v>22</v>
      </c>
      <c r="AI378" s="4" t="s">
        <v>22</v>
      </c>
      <c r="AK378" s="4" t="s">
        <v>22</v>
      </c>
      <c r="AL378" s="4" t="s">
        <v>22</v>
      </c>
      <c r="AM378" s="4" t="s">
        <v>22</v>
      </c>
      <c r="AN378" s="4" t="s">
        <v>22</v>
      </c>
      <c r="AO378" s="4" t="s">
        <v>22</v>
      </c>
      <c r="AP378" s="4" t="s">
        <v>22</v>
      </c>
      <c r="AQ378" s="4" t="s">
        <v>22</v>
      </c>
    </row>
    <row r="379" spans="29:43"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  <c r="AH379" s="4" t="s">
        <v>22</v>
      </c>
      <c r="AI379" s="4" t="s">
        <v>22</v>
      </c>
      <c r="AK379" s="4" t="s">
        <v>22</v>
      </c>
      <c r="AL379" s="4" t="s">
        <v>22</v>
      </c>
      <c r="AM379" s="4" t="s">
        <v>22</v>
      </c>
      <c r="AN379" s="4" t="s">
        <v>22</v>
      </c>
      <c r="AO379" s="4" t="s">
        <v>22</v>
      </c>
      <c r="AP379" s="4" t="s">
        <v>22</v>
      </c>
      <c r="AQ379" s="4" t="s">
        <v>22</v>
      </c>
    </row>
    <row r="380" spans="29:43">
      <c r="AC380" s="4" t="s">
        <v>22</v>
      </c>
      <c r="AD380" s="4" t="s">
        <v>22</v>
      </c>
      <c r="AE380" s="4" t="s">
        <v>22</v>
      </c>
      <c r="AF380" s="4" t="s">
        <v>22</v>
      </c>
      <c r="AG380" s="4" t="s">
        <v>22</v>
      </c>
      <c r="AH380" s="4" t="s">
        <v>22</v>
      </c>
      <c r="AI380" s="4" t="s">
        <v>22</v>
      </c>
      <c r="AK380" s="4" t="s">
        <v>22</v>
      </c>
      <c r="AL380" s="4" t="s">
        <v>22</v>
      </c>
      <c r="AM380" s="4" t="s">
        <v>22</v>
      </c>
      <c r="AN380" s="4" t="s">
        <v>22</v>
      </c>
      <c r="AO380" s="4" t="s">
        <v>22</v>
      </c>
      <c r="AP380" s="4" t="s">
        <v>22</v>
      </c>
      <c r="AQ380" s="4" t="s">
        <v>22</v>
      </c>
    </row>
    <row r="381" spans="29:43">
      <c r="AC381" s="4" t="s">
        <v>22</v>
      </c>
      <c r="AD381" s="4" t="s">
        <v>22</v>
      </c>
      <c r="AE381" s="4" t="s">
        <v>22</v>
      </c>
      <c r="AF381" s="4" t="s">
        <v>22</v>
      </c>
      <c r="AG381" s="4" t="s">
        <v>22</v>
      </c>
      <c r="AH381" s="4" t="s">
        <v>22</v>
      </c>
      <c r="AI381" s="4" t="s">
        <v>22</v>
      </c>
      <c r="AK381" s="4" t="s">
        <v>22</v>
      </c>
      <c r="AL381" s="4" t="s">
        <v>22</v>
      </c>
      <c r="AM381" s="4" t="s">
        <v>22</v>
      </c>
      <c r="AN381" s="4" t="s">
        <v>22</v>
      </c>
      <c r="AO381" s="4" t="s">
        <v>22</v>
      </c>
      <c r="AP381" s="4" t="s">
        <v>22</v>
      </c>
      <c r="AQ381" s="4" t="s">
        <v>22</v>
      </c>
    </row>
    <row r="382" spans="29:43"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  <c r="AO382" s="4" t="s">
        <v>22</v>
      </c>
      <c r="AP382" s="4" t="s">
        <v>22</v>
      </c>
      <c r="AQ382" s="4" t="s">
        <v>22</v>
      </c>
    </row>
    <row r="383" spans="29:43">
      <c r="AC383" s="4" t="s">
        <v>22</v>
      </c>
      <c r="AD383" s="4" t="s">
        <v>22</v>
      </c>
      <c r="AE383" s="4" t="s">
        <v>22</v>
      </c>
      <c r="AF383" s="4" t="s">
        <v>22</v>
      </c>
      <c r="AG383" s="4" t="s">
        <v>22</v>
      </c>
      <c r="AH383" s="4" t="s">
        <v>22</v>
      </c>
      <c r="AI383" s="4" t="s">
        <v>22</v>
      </c>
      <c r="AK383" s="4" t="s">
        <v>22</v>
      </c>
      <c r="AL383" s="4" t="s">
        <v>22</v>
      </c>
      <c r="AM383" s="4" t="s">
        <v>22</v>
      </c>
      <c r="AN383" s="4" t="s">
        <v>22</v>
      </c>
      <c r="AO383" s="4" t="s">
        <v>22</v>
      </c>
      <c r="AP383" s="4" t="s">
        <v>22</v>
      </c>
      <c r="AQ383" s="4" t="s">
        <v>22</v>
      </c>
    </row>
    <row r="384" spans="29:43">
      <c r="AC384" s="4" t="s">
        <v>22</v>
      </c>
      <c r="AD384" s="4" t="s">
        <v>22</v>
      </c>
      <c r="AE384" s="4" t="s">
        <v>22</v>
      </c>
      <c r="AF384" s="4" t="s">
        <v>22</v>
      </c>
      <c r="AG384" s="4" t="s">
        <v>22</v>
      </c>
      <c r="AH384" s="4" t="s">
        <v>22</v>
      </c>
      <c r="AI384" s="4" t="s">
        <v>22</v>
      </c>
      <c r="AK384" s="4" t="s">
        <v>22</v>
      </c>
      <c r="AL384" s="4" t="s">
        <v>22</v>
      </c>
      <c r="AM384" s="4" t="s">
        <v>22</v>
      </c>
      <c r="AN384" s="4" t="s">
        <v>22</v>
      </c>
      <c r="AO384" s="4" t="s">
        <v>22</v>
      </c>
      <c r="AP384" s="4" t="s">
        <v>22</v>
      </c>
      <c r="AQ384" s="4" t="s">
        <v>22</v>
      </c>
    </row>
    <row r="385" spans="29:43"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  <c r="AO385" s="4" t="s">
        <v>22</v>
      </c>
      <c r="AP385" s="4" t="s">
        <v>22</v>
      </c>
      <c r="AQ385" s="4" t="s">
        <v>22</v>
      </c>
    </row>
    <row r="386" spans="29:43">
      <c r="AC386" s="4" t="s">
        <v>22</v>
      </c>
      <c r="AD386" s="4" t="s">
        <v>22</v>
      </c>
      <c r="AE386" s="4" t="s">
        <v>22</v>
      </c>
      <c r="AF386" s="4" t="s">
        <v>22</v>
      </c>
      <c r="AG386" s="4" t="s">
        <v>22</v>
      </c>
      <c r="AH386" s="4" t="s">
        <v>22</v>
      </c>
      <c r="AI386" s="4" t="s">
        <v>22</v>
      </c>
      <c r="AK386" s="4" t="s">
        <v>22</v>
      </c>
      <c r="AL386" s="4" t="s">
        <v>22</v>
      </c>
      <c r="AM386" s="4" t="s">
        <v>22</v>
      </c>
      <c r="AN386" s="4" t="s">
        <v>22</v>
      </c>
      <c r="AO386" s="4" t="s">
        <v>22</v>
      </c>
      <c r="AP386" s="4" t="s">
        <v>22</v>
      </c>
      <c r="AQ386" s="4" t="s">
        <v>22</v>
      </c>
    </row>
    <row r="387" spans="29:43">
      <c r="AC387" s="4" t="s">
        <v>22</v>
      </c>
      <c r="AD387" s="4" t="s">
        <v>22</v>
      </c>
      <c r="AE387" s="4" t="s">
        <v>22</v>
      </c>
      <c r="AF387" s="4" t="s">
        <v>22</v>
      </c>
      <c r="AG387" s="4" t="s">
        <v>22</v>
      </c>
      <c r="AH387" s="4" t="s">
        <v>22</v>
      </c>
      <c r="AI387" s="4" t="s">
        <v>22</v>
      </c>
      <c r="AK387" s="4" t="s">
        <v>22</v>
      </c>
      <c r="AL387" s="4" t="s">
        <v>22</v>
      </c>
      <c r="AM387" s="4" t="s">
        <v>22</v>
      </c>
      <c r="AN387" s="4" t="s">
        <v>22</v>
      </c>
      <c r="AO387" s="4" t="s">
        <v>22</v>
      </c>
      <c r="AP387" s="4" t="s">
        <v>22</v>
      </c>
      <c r="AQ387" s="4" t="s">
        <v>22</v>
      </c>
    </row>
    <row r="388" spans="29:43">
      <c r="AC388" s="4" t="s">
        <v>22</v>
      </c>
      <c r="AD388" s="4" t="s">
        <v>22</v>
      </c>
      <c r="AE388" s="4" t="s">
        <v>22</v>
      </c>
      <c r="AF388" s="4" t="s">
        <v>22</v>
      </c>
      <c r="AG388" s="4" t="s">
        <v>22</v>
      </c>
      <c r="AH388" s="4" t="s">
        <v>22</v>
      </c>
      <c r="AI388" s="4" t="s">
        <v>22</v>
      </c>
      <c r="AK388" s="4" t="s">
        <v>22</v>
      </c>
      <c r="AL388" s="4" t="s">
        <v>22</v>
      </c>
      <c r="AM388" s="4" t="s">
        <v>22</v>
      </c>
      <c r="AN388" s="4" t="s">
        <v>22</v>
      </c>
      <c r="AO388" s="4" t="s">
        <v>22</v>
      </c>
      <c r="AP388" s="4" t="s">
        <v>22</v>
      </c>
      <c r="AQ388" s="4" t="s">
        <v>22</v>
      </c>
    </row>
    <row r="389" spans="29:43">
      <c r="AC389" s="4" t="s">
        <v>22</v>
      </c>
      <c r="AD389" s="4" t="s">
        <v>22</v>
      </c>
      <c r="AE389" s="4" t="s">
        <v>22</v>
      </c>
      <c r="AF389" s="4" t="s">
        <v>22</v>
      </c>
      <c r="AG389" s="4" t="s">
        <v>22</v>
      </c>
      <c r="AH389" s="4" t="s">
        <v>22</v>
      </c>
      <c r="AI389" s="4" t="s">
        <v>22</v>
      </c>
      <c r="AK389" s="4" t="s">
        <v>22</v>
      </c>
      <c r="AL389" s="4" t="s">
        <v>22</v>
      </c>
      <c r="AM389" s="4" t="s">
        <v>22</v>
      </c>
      <c r="AN389" s="4" t="s">
        <v>22</v>
      </c>
      <c r="AO389" s="4" t="s">
        <v>22</v>
      </c>
      <c r="AP389" s="4" t="s">
        <v>22</v>
      </c>
      <c r="AQ389" s="4" t="s">
        <v>22</v>
      </c>
    </row>
    <row r="390" spans="29:43"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  <c r="AH390" s="4" t="s">
        <v>22</v>
      </c>
      <c r="AI390" s="4" t="s">
        <v>22</v>
      </c>
      <c r="AK390" s="4" t="s">
        <v>22</v>
      </c>
      <c r="AL390" s="4" t="s">
        <v>22</v>
      </c>
      <c r="AM390" s="4" t="s">
        <v>22</v>
      </c>
      <c r="AN390" s="4" t="s">
        <v>22</v>
      </c>
      <c r="AO390" s="4" t="s">
        <v>22</v>
      </c>
      <c r="AP390" s="4" t="s">
        <v>22</v>
      </c>
      <c r="AQ390" s="4" t="s">
        <v>22</v>
      </c>
    </row>
    <row r="391" spans="29:43">
      <c r="AC391" s="4" t="s">
        <v>22</v>
      </c>
      <c r="AD391" s="4" t="s">
        <v>22</v>
      </c>
      <c r="AE391" s="4" t="s">
        <v>22</v>
      </c>
      <c r="AF391" s="4" t="s">
        <v>22</v>
      </c>
      <c r="AG391" s="4" t="s">
        <v>22</v>
      </c>
      <c r="AH391" s="4" t="s">
        <v>22</v>
      </c>
      <c r="AI391" s="4" t="s">
        <v>22</v>
      </c>
      <c r="AK391" s="4" t="s">
        <v>22</v>
      </c>
      <c r="AL391" s="4" t="s">
        <v>22</v>
      </c>
      <c r="AM391" s="4" t="s">
        <v>22</v>
      </c>
      <c r="AN391" s="4" t="s">
        <v>22</v>
      </c>
      <c r="AO391" s="4" t="s">
        <v>22</v>
      </c>
      <c r="AP391" s="4" t="s">
        <v>22</v>
      </c>
      <c r="AQ391" s="4" t="s">
        <v>22</v>
      </c>
    </row>
    <row r="392" spans="29:43">
      <c r="AC392" s="4" t="s">
        <v>22</v>
      </c>
      <c r="AD392" s="4" t="s">
        <v>22</v>
      </c>
      <c r="AE392" s="4" t="s">
        <v>22</v>
      </c>
      <c r="AF392" s="4" t="s">
        <v>22</v>
      </c>
      <c r="AG392" s="4" t="s">
        <v>22</v>
      </c>
      <c r="AH392" s="4" t="s">
        <v>22</v>
      </c>
      <c r="AI392" s="4" t="s">
        <v>22</v>
      </c>
      <c r="AK392" s="4" t="s">
        <v>22</v>
      </c>
      <c r="AL392" s="4" t="s">
        <v>22</v>
      </c>
      <c r="AM392" s="4" t="s">
        <v>22</v>
      </c>
      <c r="AN392" s="4" t="s">
        <v>22</v>
      </c>
      <c r="AO392" s="4" t="s">
        <v>22</v>
      </c>
      <c r="AP392" s="4" t="s">
        <v>22</v>
      </c>
      <c r="AQ392" s="4" t="s">
        <v>22</v>
      </c>
    </row>
    <row r="393" spans="29:43"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  <c r="AH393" s="4" t="s">
        <v>22</v>
      </c>
      <c r="AI393" s="4" t="s">
        <v>22</v>
      </c>
      <c r="AK393" s="4" t="s">
        <v>22</v>
      </c>
      <c r="AL393" s="4" t="s">
        <v>22</v>
      </c>
      <c r="AM393" s="4" t="s">
        <v>22</v>
      </c>
      <c r="AN393" s="4" t="s">
        <v>22</v>
      </c>
      <c r="AO393" s="4" t="s">
        <v>22</v>
      </c>
      <c r="AP393" s="4" t="s">
        <v>22</v>
      </c>
      <c r="AQ393" s="4" t="s">
        <v>22</v>
      </c>
    </row>
    <row r="394" spans="29:43">
      <c r="AC394" s="4" t="s">
        <v>22</v>
      </c>
      <c r="AD394" s="4" t="s">
        <v>22</v>
      </c>
      <c r="AE394" s="4" t="s">
        <v>22</v>
      </c>
      <c r="AF394" s="4" t="s">
        <v>22</v>
      </c>
      <c r="AG394" s="4" t="s">
        <v>22</v>
      </c>
      <c r="AH394" s="4" t="s">
        <v>22</v>
      </c>
      <c r="AI394" s="4" t="s">
        <v>22</v>
      </c>
      <c r="AK394" s="4" t="s">
        <v>22</v>
      </c>
      <c r="AL394" s="4" t="s">
        <v>22</v>
      </c>
      <c r="AM394" s="4" t="s">
        <v>22</v>
      </c>
      <c r="AN394" s="4" t="s">
        <v>22</v>
      </c>
      <c r="AO394" s="4" t="s">
        <v>22</v>
      </c>
      <c r="AP394" s="4" t="s">
        <v>22</v>
      </c>
      <c r="AQ394" s="4" t="s">
        <v>22</v>
      </c>
    </row>
    <row r="395" spans="29:43">
      <c r="AC395" s="4" t="s">
        <v>22</v>
      </c>
      <c r="AD395" s="4" t="s">
        <v>22</v>
      </c>
      <c r="AE395" s="4" t="s">
        <v>22</v>
      </c>
      <c r="AF395" s="4" t="s">
        <v>22</v>
      </c>
      <c r="AG395" s="4" t="s">
        <v>22</v>
      </c>
      <c r="AH395" s="4" t="s">
        <v>22</v>
      </c>
      <c r="AI395" s="4" t="s">
        <v>22</v>
      </c>
      <c r="AK395" s="4" t="s">
        <v>22</v>
      </c>
      <c r="AL395" s="4" t="s">
        <v>22</v>
      </c>
      <c r="AM395" s="4" t="s">
        <v>22</v>
      </c>
      <c r="AN395" s="4" t="s">
        <v>22</v>
      </c>
      <c r="AO395" s="4" t="s">
        <v>22</v>
      </c>
      <c r="AP395" s="4" t="s">
        <v>22</v>
      </c>
      <c r="AQ395" s="4" t="s">
        <v>22</v>
      </c>
    </row>
    <row r="396" spans="29:43">
      <c r="AC396" s="4" t="s">
        <v>22</v>
      </c>
      <c r="AD396" s="4" t="s">
        <v>22</v>
      </c>
      <c r="AE396" s="4" t="s">
        <v>22</v>
      </c>
      <c r="AF396" s="4" t="s">
        <v>22</v>
      </c>
      <c r="AG396" s="4" t="s">
        <v>22</v>
      </c>
      <c r="AH396" s="4" t="s">
        <v>22</v>
      </c>
      <c r="AI396" s="4" t="s">
        <v>22</v>
      </c>
      <c r="AK396" s="4" t="s">
        <v>22</v>
      </c>
      <c r="AL396" s="4" t="s">
        <v>22</v>
      </c>
      <c r="AM396" s="4" t="s">
        <v>22</v>
      </c>
      <c r="AN396" s="4" t="s">
        <v>22</v>
      </c>
      <c r="AO396" s="4" t="s">
        <v>22</v>
      </c>
      <c r="AP396" s="4" t="s">
        <v>22</v>
      </c>
      <c r="AQ396" s="4" t="s">
        <v>22</v>
      </c>
    </row>
    <row r="397" spans="29:43">
      <c r="AC397" s="4" t="s">
        <v>22</v>
      </c>
      <c r="AD397" s="4" t="s">
        <v>22</v>
      </c>
      <c r="AE397" s="4" t="s">
        <v>22</v>
      </c>
      <c r="AF397" s="4" t="s">
        <v>22</v>
      </c>
      <c r="AG397" s="4" t="s">
        <v>22</v>
      </c>
      <c r="AH397" s="4" t="s">
        <v>22</v>
      </c>
      <c r="AI397" s="4" t="s">
        <v>22</v>
      </c>
      <c r="AK397" s="4" t="s">
        <v>22</v>
      </c>
      <c r="AL397" s="4" t="s">
        <v>22</v>
      </c>
      <c r="AM397" s="4" t="s">
        <v>22</v>
      </c>
      <c r="AN397" s="4" t="s">
        <v>22</v>
      </c>
      <c r="AO397" s="4" t="s">
        <v>22</v>
      </c>
      <c r="AP397" s="4" t="s">
        <v>22</v>
      </c>
      <c r="AQ397" s="4" t="s">
        <v>22</v>
      </c>
    </row>
    <row r="398" spans="29:43">
      <c r="AC398" s="4" t="s">
        <v>22</v>
      </c>
      <c r="AD398" s="4" t="s">
        <v>22</v>
      </c>
      <c r="AE398" s="4" t="s">
        <v>22</v>
      </c>
      <c r="AF398" s="4" t="s">
        <v>22</v>
      </c>
      <c r="AG398" s="4" t="s">
        <v>22</v>
      </c>
      <c r="AH398" s="4" t="s">
        <v>22</v>
      </c>
      <c r="AI398" s="4" t="s">
        <v>22</v>
      </c>
      <c r="AK398" s="4" t="s">
        <v>22</v>
      </c>
      <c r="AL398" s="4" t="s">
        <v>22</v>
      </c>
      <c r="AM398" s="4" t="s">
        <v>22</v>
      </c>
      <c r="AN398" s="4" t="s">
        <v>22</v>
      </c>
      <c r="AO398" s="4" t="s">
        <v>22</v>
      </c>
      <c r="AP398" s="4" t="s">
        <v>22</v>
      </c>
      <c r="AQ398" s="4" t="s">
        <v>22</v>
      </c>
    </row>
    <row r="399" spans="29:43">
      <c r="AC399" s="4" t="s">
        <v>22</v>
      </c>
      <c r="AD399" s="4" t="s">
        <v>22</v>
      </c>
      <c r="AE399" s="4" t="s">
        <v>22</v>
      </c>
      <c r="AF399" s="4" t="s">
        <v>22</v>
      </c>
      <c r="AG399" s="4" t="s">
        <v>22</v>
      </c>
      <c r="AH399" s="4" t="s">
        <v>22</v>
      </c>
      <c r="AI399" s="4" t="s">
        <v>22</v>
      </c>
      <c r="AK399" s="4" t="s">
        <v>22</v>
      </c>
      <c r="AL399" s="4" t="s">
        <v>22</v>
      </c>
      <c r="AM399" s="4" t="s">
        <v>22</v>
      </c>
      <c r="AN399" s="4" t="s">
        <v>22</v>
      </c>
      <c r="AO399" s="4" t="s">
        <v>22</v>
      </c>
      <c r="AP399" s="4" t="s">
        <v>22</v>
      </c>
      <c r="AQ399" s="4" t="s">
        <v>22</v>
      </c>
    </row>
    <row r="400" spans="29:43">
      <c r="AC400" s="4" t="s">
        <v>22</v>
      </c>
      <c r="AD400" s="4" t="s">
        <v>22</v>
      </c>
      <c r="AE400" s="4" t="s">
        <v>22</v>
      </c>
      <c r="AF400" s="4" t="s">
        <v>22</v>
      </c>
      <c r="AG400" s="4" t="s">
        <v>22</v>
      </c>
      <c r="AH400" s="4" t="s">
        <v>22</v>
      </c>
      <c r="AI400" s="4" t="s">
        <v>22</v>
      </c>
      <c r="AK400" s="4" t="s">
        <v>22</v>
      </c>
      <c r="AL400" s="4" t="s">
        <v>22</v>
      </c>
      <c r="AM400" s="4" t="s">
        <v>22</v>
      </c>
      <c r="AN400" s="4" t="s">
        <v>22</v>
      </c>
      <c r="AO400" s="4" t="s">
        <v>22</v>
      </c>
      <c r="AP400" s="4" t="s">
        <v>22</v>
      </c>
      <c r="AQ400" s="4" t="s">
        <v>22</v>
      </c>
    </row>
    <row r="401" spans="29:43">
      <c r="AC401" s="4" t="s">
        <v>22</v>
      </c>
      <c r="AD401" s="4" t="s">
        <v>22</v>
      </c>
      <c r="AE401" s="4" t="s">
        <v>22</v>
      </c>
      <c r="AF401" s="4" t="s">
        <v>22</v>
      </c>
      <c r="AG401" s="4" t="s">
        <v>22</v>
      </c>
      <c r="AH401" s="4" t="s">
        <v>22</v>
      </c>
      <c r="AI401" s="4" t="s">
        <v>22</v>
      </c>
      <c r="AK401" s="4" t="s">
        <v>22</v>
      </c>
      <c r="AL401" s="4" t="s">
        <v>22</v>
      </c>
      <c r="AM401" s="4" t="s">
        <v>22</v>
      </c>
      <c r="AN401" s="4" t="s">
        <v>22</v>
      </c>
      <c r="AO401" s="4" t="s">
        <v>22</v>
      </c>
      <c r="AP401" s="4" t="s">
        <v>22</v>
      </c>
      <c r="AQ401" s="4" t="s">
        <v>22</v>
      </c>
    </row>
    <row r="402" spans="29:43">
      <c r="AC402" s="4" t="s">
        <v>22</v>
      </c>
      <c r="AD402" s="4" t="s">
        <v>22</v>
      </c>
      <c r="AE402" s="4" t="s">
        <v>22</v>
      </c>
      <c r="AF402" s="4" t="s">
        <v>22</v>
      </c>
      <c r="AG402" s="4" t="s">
        <v>22</v>
      </c>
      <c r="AH402" s="4" t="s">
        <v>22</v>
      </c>
      <c r="AI402" s="4" t="s">
        <v>22</v>
      </c>
      <c r="AK402" s="4" t="s">
        <v>22</v>
      </c>
      <c r="AL402" s="4" t="s">
        <v>22</v>
      </c>
      <c r="AM402" s="4" t="s">
        <v>22</v>
      </c>
      <c r="AN402" s="4" t="s">
        <v>22</v>
      </c>
      <c r="AO402" s="4" t="s">
        <v>22</v>
      </c>
      <c r="AP402" s="4" t="s">
        <v>22</v>
      </c>
      <c r="AQ402" s="4" t="s">
        <v>22</v>
      </c>
    </row>
    <row r="403" spans="29:43">
      <c r="AC403" s="4" t="s">
        <v>22</v>
      </c>
      <c r="AD403" s="4" t="s">
        <v>22</v>
      </c>
      <c r="AE403" s="4" t="s">
        <v>22</v>
      </c>
      <c r="AF403" s="4" t="s">
        <v>22</v>
      </c>
      <c r="AG403" s="4" t="s">
        <v>22</v>
      </c>
      <c r="AH403" s="4" t="s">
        <v>22</v>
      </c>
      <c r="AI403" s="4" t="s">
        <v>22</v>
      </c>
      <c r="AK403" s="4" t="s">
        <v>22</v>
      </c>
      <c r="AL403" s="4" t="s">
        <v>22</v>
      </c>
      <c r="AM403" s="4" t="s">
        <v>22</v>
      </c>
      <c r="AN403" s="4" t="s">
        <v>22</v>
      </c>
      <c r="AO403" s="4" t="s">
        <v>22</v>
      </c>
      <c r="AP403" s="4" t="s">
        <v>22</v>
      </c>
      <c r="AQ403" s="4" t="s">
        <v>22</v>
      </c>
    </row>
    <row r="404" spans="29:43">
      <c r="AC404" s="4" t="s">
        <v>22</v>
      </c>
      <c r="AD404" s="4" t="s">
        <v>22</v>
      </c>
      <c r="AE404" s="4" t="s">
        <v>22</v>
      </c>
      <c r="AF404" s="4" t="s">
        <v>22</v>
      </c>
      <c r="AG404" s="4" t="s">
        <v>22</v>
      </c>
      <c r="AH404" s="4" t="s">
        <v>22</v>
      </c>
      <c r="AI404" s="4" t="s">
        <v>22</v>
      </c>
      <c r="AK404" s="4" t="s">
        <v>22</v>
      </c>
      <c r="AL404" s="4" t="s">
        <v>22</v>
      </c>
      <c r="AM404" s="4" t="s">
        <v>22</v>
      </c>
      <c r="AN404" s="4" t="s">
        <v>22</v>
      </c>
      <c r="AO404" s="4" t="s">
        <v>22</v>
      </c>
      <c r="AP404" s="4" t="s">
        <v>22</v>
      </c>
      <c r="AQ404" s="4" t="s">
        <v>22</v>
      </c>
    </row>
  </sheetData>
  <phoneticPr fontId="20" type="noConversion"/>
  <conditionalFormatting sqref="AS4:AY403">
    <cfRule type="cellIs" dxfId="27" priority="14" operator="equal">
      <formula>"ERROR"</formula>
    </cfRule>
  </conditionalFormatting>
  <conditionalFormatting sqref="M1:S1048576">
    <cfRule type="cellIs" dxfId="26" priority="1" operator="equal">
      <formula>"C1"</formula>
    </cfRule>
    <cfRule type="cellIs" dxfId="25" priority="2" operator="equal">
      <formula>"G6"</formula>
    </cfRule>
    <cfRule type="cellIs" dxfId="24" priority="3" operator="equal">
      <formula>"G5"</formula>
    </cfRule>
    <cfRule type="cellIs" dxfId="23" priority="4" operator="equal">
      <formula>"G4"</formula>
    </cfRule>
    <cfRule type="cellIs" dxfId="22" priority="5" operator="equal">
      <formula>"G3"</formula>
    </cfRule>
    <cfRule type="cellIs" dxfId="21" priority="6" operator="equal">
      <formula>"G2"</formula>
    </cfRule>
    <cfRule type="cellIs" dxfId="20" priority="7" operator="equal">
      <formula>"G1"</formula>
    </cfRule>
    <cfRule type="cellIs" dxfId="19" priority="8" operator="equal">
      <formula>"M5"</formula>
    </cfRule>
    <cfRule type="cellIs" dxfId="18" priority="9" operator="equal">
      <formula>"M4"</formula>
    </cfRule>
    <cfRule type="cellIs" dxfId="17" priority="10" operator="equal">
      <formula>"M3"</formula>
    </cfRule>
    <cfRule type="cellIs" dxfId="16" priority="11" operator="equal">
      <formula>"M6"</formula>
    </cfRule>
    <cfRule type="cellIs" dxfId="15" priority="12" operator="equal">
      <formula>"M2"</formula>
    </cfRule>
    <cfRule type="cellIs" dxfId="14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03AB-4095-4295-9669-CD161B70C958}">
  <sheetPr codeName="工作表17"/>
  <dimension ref="A2:AY404"/>
  <sheetViews>
    <sheetView workbookViewId="0">
      <selection activeCell="AN21" sqref="AN21"/>
    </sheetView>
  </sheetViews>
  <sheetFormatPr defaultRowHeight="16.2"/>
  <cols>
    <col min="1" max="1" width="17.88671875" style="1" bestFit="1" customWidth="1"/>
    <col min="2" max="2" width="21.21875" style="1" bestFit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50" customWidth="1"/>
    <col min="27" max="27" width="5.5546875" style="1" customWidth="1"/>
    <col min="28" max="28" width="8.88671875" style="1" customWidth="1"/>
    <col min="29" max="33" width="4.77734375" style="150" customWidth="1"/>
    <col min="34" max="34" width="4.6640625" style="150" customWidth="1"/>
    <col min="35" max="35" width="4.6640625" style="1" bestFit="1" customWidth="1"/>
    <col min="36" max="36" width="8.88671875" style="1"/>
    <col min="37" max="37" width="4.88671875" style="1" customWidth="1"/>
    <col min="38" max="43" width="4.6640625" style="1" bestFit="1" customWidth="1"/>
    <col min="45" max="51" width="8.88671875" style="1"/>
  </cols>
  <sheetData>
    <row r="2" spans="1:51">
      <c r="A2" s="9"/>
      <c r="B2" s="9"/>
      <c r="C2" s="9"/>
      <c r="D2" s="9"/>
      <c r="E2" s="9"/>
      <c r="F2" s="9"/>
      <c r="G2" s="9"/>
      <c r="H2" s="9"/>
      <c r="I2" s="9"/>
      <c r="J2" s="9"/>
      <c r="K2" s="33"/>
      <c r="L2" s="9" t="s">
        <v>52</v>
      </c>
      <c r="M2" s="9"/>
      <c r="N2" s="9"/>
      <c r="O2" s="9"/>
      <c r="P2" s="9"/>
      <c r="Q2" s="9"/>
      <c r="R2" s="9"/>
      <c r="S2" s="9"/>
      <c r="T2" s="9"/>
      <c r="U2" s="9" t="s">
        <v>219</v>
      </c>
      <c r="V2" s="9"/>
      <c r="W2" s="9"/>
      <c r="X2" s="9"/>
      <c r="Y2" s="9"/>
      <c r="Z2" s="9"/>
      <c r="AA2" s="9"/>
      <c r="AB2" s="9"/>
      <c r="AC2" s="9" t="s">
        <v>70</v>
      </c>
      <c r="AD2" s="9"/>
      <c r="AE2" s="9"/>
      <c r="AF2" s="9"/>
      <c r="AG2" s="9"/>
      <c r="AH2" s="9"/>
      <c r="AI2" s="9"/>
      <c r="AJ2" s="9"/>
      <c r="AK2" s="9" t="s">
        <v>100</v>
      </c>
      <c r="AL2" s="9"/>
      <c r="AM2" s="9"/>
      <c r="AN2" s="9"/>
      <c r="AO2" s="9"/>
      <c r="AP2" s="9"/>
      <c r="AQ2" s="9"/>
      <c r="AS2" s="9"/>
      <c r="AT2" s="9"/>
      <c r="AU2" s="9"/>
      <c r="AV2" s="9"/>
      <c r="AW2" s="9"/>
      <c r="AX2" s="9"/>
      <c r="AY2" s="9"/>
    </row>
    <row r="3" spans="1:5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50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39" t="s">
        <v>41</v>
      </c>
      <c r="AL3" s="39" t="s">
        <v>42</v>
      </c>
      <c r="AM3" s="39" t="s">
        <v>43</v>
      </c>
      <c r="AN3" s="39" t="s">
        <v>44</v>
      </c>
      <c r="AO3" s="39" t="s">
        <v>45</v>
      </c>
      <c r="AP3" s="39" t="s">
        <v>23</v>
      </c>
      <c r="AQ3" s="39" t="s">
        <v>66</v>
      </c>
    </row>
    <row r="4" spans="1:51">
      <c r="A4" s="171" t="str" cm="1">
        <f t="array" ref="A4:B29">Overview!$A$42:$B$67</f>
        <v>WW</v>
      </c>
      <c r="B4" s="171" t="str">
        <v>Wild</v>
      </c>
      <c r="C4" s="52">
        <f>COUNTIF(M$4:M$304,$A4)</f>
        <v>0</v>
      </c>
      <c r="D4" s="52">
        <f t="shared" ref="D4:I19" si="0">COUNTIF(N$4:N$304,$A4)</f>
        <v>0</v>
      </c>
      <c r="E4" s="52">
        <f t="shared" si="0"/>
        <v>0</v>
      </c>
      <c r="F4" s="52">
        <f t="shared" si="0"/>
        <v>0</v>
      </c>
      <c r="G4" s="52">
        <f t="shared" si="0"/>
        <v>0</v>
      </c>
      <c r="H4" s="52">
        <f t="shared" si="0"/>
        <v>0</v>
      </c>
      <c r="I4" s="52">
        <f t="shared" si="0"/>
        <v>0</v>
      </c>
      <c r="J4" s="171">
        <v>0</v>
      </c>
      <c r="K4" s="34"/>
      <c r="L4" s="15">
        <v>0</v>
      </c>
      <c r="M4" s="156" t="s">
        <v>90</v>
      </c>
      <c r="N4" s="156" t="s">
        <v>25</v>
      </c>
      <c r="O4" s="156" t="s">
        <v>35</v>
      </c>
      <c r="P4" s="156" t="s">
        <v>34</v>
      </c>
      <c r="Q4" s="156" t="s">
        <v>39</v>
      </c>
      <c r="R4" s="156" t="s">
        <v>38</v>
      </c>
      <c r="S4" s="157" t="s">
        <v>35</v>
      </c>
      <c r="U4" s="158">
        <f t="shared" ref="U4:AA19" si="1">VLOOKUP(M4, $A$4:$J$29, 9, 0)</f>
        <v>6</v>
      </c>
      <c r="V4" s="158">
        <f t="shared" si="1"/>
        <v>5</v>
      </c>
      <c r="W4" s="158">
        <f t="shared" si="1"/>
        <v>15</v>
      </c>
      <c r="X4" s="158">
        <f t="shared" si="1"/>
        <v>16</v>
      </c>
      <c r="Y4" s="158">
        <f t="shared" si="1"/>
        <v>5</v>
      </c>
      <c r="Z4" s="158">
        <f t="shared" si="1"/>
        <v>15</v>
      </c>
      <c r="AA4" s="158">
        <f t="shared" si="1"/>
        <v>15</v>
      </c>
      <c r="AC4" s="18">
        <v>5</v>
      </c>
      <c r="AD4" s="18">
        <v>5</v>
      </c>
      <c r="AE4" s="18">
        <v>5</v>
      </c>
      <c r="AF4" s="18">
        <v>5</v>
      </c>
      <c r="AG4" s="18">
        <v>6</v>
      </c>
      <c r="AH4" s="18">
        <v>5</v>
      </c>
      <c r="AI4" s="18">
        <v>5</v>
      </c>
      <c r="AK4" s="4">
        <v>1</v>
      </c>
      <c r="AL4" s="4">
        <v>3</v>
      </c>
      <c r="AM4" s="4">
        <v>1</v>
      </c>
      <c r="AN4" s="4">
        <v>1</v>
      </c>
      <c r="AO4" s="4">
        <v>3</v>
      </c>
      <c r="AP4" s="4">
        <v>1</v>
      </c>
      <c r="AQ4" s="4">
        <v>1</v>
      </c>
    </row>
    <row r="5" spans="1:51">
      <c r="A5" s="4" t="str">
        <v>C1</v>
      </c>
      <c r="B5" s="4" t="str">
        <v>Scatter</v>
      </c>
      <c r="C5" s="10">
        <f t="shared" ref="C5:I29" si="2">COUNTIF(M$4:M$304,$A5)</f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4"/>
      <c r="L5" s="14">
        <v>1</v>
      </c>
      <c r="M5" s="38" t="s">
        <v>39</v>
      </c>
      <c r="N5" s="38" t="s">
        <v>65</v>
      </c>
      <c r="O5" s="38" t="s">
        <v>25</v>
      </c>
      <c r="P5" s="38" t="s">
        <v>34</v>
      </c>
      <c r="Q5" s="38" t="s">
        <v>39</v>
      </c>
      <c r="R5" s="38" t="s">
        <v>38</v>
      </c>
      <c r="S5" s="24" t="s">
        <v>35</v>
      </c>
      <c r="U5" s="37">
        <f t="shared" si="1"/>
        <v>5</v>
      </c>
      <c r="V5" s="37">
        <f t="shared" si="1"/>
        <v>17</v>
      </c>
      <c r="W5" s="37">
        <f t="shared" si="1"/>
        <v>5</v>
      </c>
      <c r="X5" s="37">
        <f t="shared" si="1"/>
        <v>16</v>
      </c>
      <c r="Y5" s="37">
        <f t="shared" si="1"/>
        <v>5</v>
      </c>
      <c r="Z5" s="37">
        <f t="shared" si="1"/>
        <v>15</v>
      </c>
      <c r="AA5" s="37">
        <f t="shared" si="1"/>
        <v>15</v>
      </c>
      <c r="AC5" s="18">
        <v>5</v>
      </c>
      <c r="AD5" s="18">
        <v>0</v>
      </c>
      <c r="AE5" s="18">
        <v>0</v>
      </c>
      <c r="AF5" s="18">
        <v>0</v>
      </c>
      <c r="AG5" s="18">
        <v>0</v>
      </c>
      <c r="AH5" s="18">
        <v>5</v>
      </c>
      <c r="AI5" s="18">
        <v>5</v>
      </c>
      <c r="AK5" s="4">
        <v>1</v>
      </c>
      <c r="AL5" s="4">
        <v>0</v>
      </c>
      <c r="AM5" s="4">
        <v>3</v>
      </c>
      <c r="AN5" s="4">
        <v>3</v>
      </c>
      <c r="AO5" s="4">
        <v>0</v>
      </c>
      <c r="AP5" s="4">
        <v>1</v>
      </c>
      <c r="AQ5" s="4">
        <v>1</v>
      </c>
    </row>
    <row r="6" spans="1:51">
      <c r="A6" s="151" t="str">
        <v>M1</v>
      </c>
      <c r="B6" s="151" t="str">
        <v>M1</v>
      </c>
      <c r="C6" s="153">
        <f t="shared" si="2"/>
        <v>1</v>
      </c>
      <c r="D6" s="153">
        <f t="shared" si="0"/>
        <v>1</v>
      </c>
      <c r="E6" s="153">
        <f t="shared" si="0"/>
        <v>2</v>
      </c>
      <c r="F6" s="153">
        <f t="shared" si="0"/>
        <v>1</v>
      </c>
      <c r="G6" s="153">
        <f t="shared" si="0"/>
        <v>1</v>
      </c>
      <c r="H6" s="153">
        <f t="shared" si="0"/>
        <v>2</v>
      </c>
      <c r="I6" s="153">
        <f t="shared" si="0"/>
        <v>4</v>
      </c>
      <c r="J6" s="151">
        <v>2</v>
      </c>
      <c r="L6" s="15">
        <v>2</v>
      </c>
      <c r="M6" s="38" t="s">
        <v>39</v>
      </c>
      <c r="N6" s="38" t="s">
        <v>38</v>
      </c>
      <c r="O6" s="38" t="s">
        <v>39</v>
      </c>
      <c r="P6" s="38" t="s">
        <v>226</v>
      </c>
      <c r="Q6" s="38" t="s">
        <v>37</v>
      </c>
      <c r="R6" s="38" t="s">
        <v>38</v>
      </c>
      <c r="S6" s="24" t="s">
        <v>35</v>
      </c>
      <c r="U6" s="37">
        <f t="shared" si="1"/>
        <v>5</v>
      </c>
      <c r="V6" s="37">
        <f t="shared" si="1"/>
        <v>15</v>
      </c>
      <c r="W6" s="37">
        <f t="shared" si="1"/>
        <v>5</v>
      </c>
      <c r="X6" s="37">
        <f t="shared" si="1"/>
        <v>0</v>
      </c>
      <c r="Y6" s="37">
        <f t="shared" si="1"/>
        <v>13</v>
      </c>
      <c r="Z6" s="37">
        <f t="shared" si="1"/>
        <v>15</v>
      </c>
      <c r="AA6" s="37">
        <f t="shared" si="1"/>
        <v>15</v>
      </c>
      <c r="AC6" s="18">
        <v>5</v>
      </c>
      <c r="AD6" s="18">
        <v>0</v>
      </c>
      <c r="AE6" s="18">
        <v>0</v>
      </c>
      <c r="AF6" s="18">
        <v>0</v>
      </c>
      <c r="AG6" s="18">
        <v>0</v>
      </c>
      <c r="AH6" s="18">
        <v>5</v>
      </c>
      <c r="AI6" s="18">
        <v>5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1</v>
      </c>
      <c r="AQ6" s="4">
        <v>1</v>
      </c>
    </row>
    <row r="7" spans="1:51">
      <c r="A7" s="151" t="str">
        <v>M2</v>
      </c>
      <c r="B7" s="151" t="str">
        <v>M2</v>
      </c>
      <c r="C7" s="153">
        <f t="shared" si="2"/>
        <v>1</v>
      </c>
      <c r="D7" s="153">
        <f t="shared" si="0"/>
        <v>5</v>
      </c>
      <c r="E7" s="153">
        <f t="shared" si="0"/>
        <v>6</v>
      </c>
      <c r="F7" s="153">
        <f t="shared" si="0"/>
        <v>10</v>
      </c>
      <c r="G7" s="153">
        <f t="shared" si="0"/>
        <v>2</v>
      </c>
      <c r="H7" s="153">
        <f t="shared" si="0"/>
        <v>5</v>
      </c>
      <c r="I7" s="153">
        <f t="shared" si="0"/>
        <v>11</v>
      </c>
      <c r="J7" s="151">
        <v>3</v>
      </c>
      <c r="L7" s="14">
        <v>3</v>
      </c>
      <c r="M7" s="38" t="s">
        <v>40</v>
      </c>
      <c r="N7" s="38" t="s">
        <v>65</v>
      </c>
      <c r="O7" s="38" t="s">
        <v>39</v>
      </c>
      <c r="P7" s="38" t="s">
        <v>65</v>
      </c>
      <c r="Q7" s="38" t="s">
        <v>226</v>
      </c>
      <c r="R7" s="38" t="s">
        <v>40</v>
      </c>
      <c r="S7" s="24" t="s">
        <v>33</v>
      </c>
      <c r="U7" s="37">
        <f t="shared" si="1"/>
        <v>12</v>
      </c>
      <c r="V7" s="37">
        <f t="shared" si="1"/>
        <v>17</v>
      </c>
      <c r="W7" s="37">
        <f t="shared" si="1"/>
        <v>5</v>
      </c>
      <c r="X7" s="37">
        <f t="shared" si="1"/>
        <v>17</v>
      </c>
      <c r="Y7" s="37">
        <f t="shared" si="1"/>
        <v>0</v>
      </c>
      <c r="Z7" s="37">
        <f t="shared" si="1"/>
        <v>12</v>
      </c>
      <c r="AA7" s="37">
        <f t="shared" si="1"/>
        <v>11</v>
      </c>
      <c r="AC7" s="18">
        <v>5</v>
      </c>
      <c r="AD7" s="18">
        <v>0</v>
      </c>
      <c r="AE7" s="18">
        <v>0</v>
      </c>
      <c r="AF7" s="18">
        <v>0</v>
      </c>
      <c r="AG7" s="18">
        <v>0</v>
      </c>
      <c r="AH7" s="18">
        <v>5</v>
      </c>
      <c r="AI7" s="18">
        <v>5</v>
      </c>
      <c r="AK7" s="4">
        <v>1</v>
      </c>
      <c r="AL7" s="4">
        <v>2</v>
      </c>
      <c r="AM7" s="4">
        <v>0</v>
      </c>
      <c r="AN7" s="4">
        <v>0</v>
      </c>
      <c r="AO7" s="4">
        <v>2</v>
      </c>
      <c r="AP7" s="4">
        <v>1</v>
      </c>
      <c r="AQ7" s="4">
        <v>1</v>
      </c>
    </row>
    <row r="8" spans="1:51">
      <c r="A8" s="151" t="str">
        <v>M3</v>
      </c>
      <c r="B8" s="151" t="str">
        <v>M3</v>
      </c>
      <c r="C8" s="153">
        <f t="shared" si="2"/>
        <v>11</v>
      </c>
      <c r="D8" s="153">
        <f t="shared" si="0"/>
        <v>4</v>
      </c>
      <c r="E8" s="153">
        <f t="shared" si="0"/>
        <v>8</v>
      </c>
      <c r="F8" s="153">
        <f t="shared" si="0"/>
        <v>5</v>
      </c>
      <c r="G8" s="153">
        <f t="shared" si="0"/>
        <v>7</v>
      </c>
      <c r="H8" s="153">
        <f t="shared" si="0"/>
        <v>4</v>
      </c>
      <c r="I8" s="153">
        <f t="shared" si="0"/>
        <v>16</v>
      </c>
      <c r="J8" s="151">
        <v>4</v>
      </c>
      <c r="L8" s="15">
        <v>4</v>
      </c>
      <c r="M8" s="38" t="s">
        <v>40</v>
      </c>
      <c r="N8" s="38" t="s">
        <v>35</v>
      </c>
      <c r="O8" s="38" t="s">
        <v>25</v>
      </c>
      <c r="P8" s="38" t="s">
        <v>33</v>
      </c>
      <c r="Q8" s="38" t="s">
        <v>35</v>
      </c>
      <c r="R8" s="38" t="s">
        <v>40</v>
      </c>
      <c r="S8" s="24" t="s">
        <v>33</v>
      </c>
      <c r="U8" s="37">
        <f t="shared" si="1"/>
        <v>12</v>
      </c>
      <c r="V8" s="37">
        <f t="shared" si="1"/>
        <v>15</v>
      </c>
      <c r="W8" s="37">
        <f t="shared" si="1"/>
        <v>5</v>
      </c>
      <c r="X8" s="37">
        <f t="shared" si="1"/>
        <v>11</v>
      </c>
      <c r="Y8" s="37">
        <f t="shared" si="1"/>
        <v>15</v>
      </c>
      <c r="Z8" s="37">
        <f t="shared" si="1"/>
        <v>12</v>
      </c>
      <c r="AA8" s="37">
        <f t="shared" si="1"/>
        <v>11</v>
      </c>
      <c r="AC8" s="18">
        <v>5</v>
      </c>
      <c r="AD8" s="18">
        <v>0</v>
      </c>
      <c r="AE8" s="18">
        <v>0</v>
      </c>
      <c r="AF8" s="18">
        <v>0</v>
      </c>
      <c r="AG8" s="18">
        <v>0</v>
      </c>
      <c r="AH8" s="18">
        <v>5</v>
      </c>
      <c r="AI8" s="18">
        <v>5</v>
      </c>
      <c r="AK8" s="4">
        <v>1</v>
      </c>
      <c r="AL8" s="4">
        <v>0</v>
      </c>
      <c r="AM8" s="4">
        <v>1</v>
      </c>
      <c r="AN8" s="4">
        <v>1</v>
      </c>
      <c r="AO8" s="4">
        <v>0</v>
      </c>
      <c r="AP8" s="4">
        <v>1</v>
      </c>
      <c r="AQ8" s="4">
        <v>1</v>
      </c>
    </row>
    <row r="9" spans="1:51">
      <c r="A9" s="151" t="str">
        <v>M4</v>
      </c>
      <c r="B9" s="151" t="str">
        <v>M4</v>
      </c>
      <c r="C9" s="153">
        <f t="shared" si="2"/>
        <v>10</v>
      </c>
      <c r="D9" s="153">
        <f t="shared" si="0"/>
        <v>6</v>
      </c>
      <c r="E9" s="153">
        <f t="shared" si="0"/>
        <v>16</v>
      </c>
      <c r="F9" s="153">
        <f t="shared" si="0"/>
        <v>6</v>
      </c>
      <c r="G9" s="153">
        <f t="shared" si="0"/>
        <v>17</v>
      </c>
      <c r="H9" s="153">
        <f t="shared" si="0"/>
        <v>2</v>
      </c>
      <c r="I9" s="153">
        <f t="shared" si="0"/>
        <v>15</v>
      </c>
      <c r="J9" s="151">
        <v>5</v>
      </c>
      <c r="L9" s="14">
        <v>5</v>
      </c>
      <c r="M9" s="38" t="s">
        <v>39</v>
      </c>
      <c r="N9" s="38" t="s">
        <v>38</v>
      </c>
      <c r="O9" s="38" t="s">
        <v>37</v>
      </c>
      <c r="P9" s="38" t="s">
        <v>33</v>
      </c>
      <c r="Q9" s="38" t="s">
        <v>39</v>
      </c>
      <c r="R9" s="38" t="s">
        <v>40</v>
      </c>
      <c r="S9" s="24" t="s">
        <v>33</v>
      </c>
      <c r="U9" s="37">
        <f t="shared" si="1"/>
        <v>5</v>
      </c>
      <c r="V9" s="37">
        <f t="shared" si="1"/>
        <v>15</v>
      </c>
      <c r="W9" s="37">
        <f t="shared" si="1"/>
        <v>13</v>
      </c>
      <c r="X9" s="37">
        <f t="shared" si="1"/>
        <v>11</v>
      </c>
      <c r="Y9" s="37">
        <f t="shared" si="1"/>
        <v>5</v>
      </c>
      <c r="Z9" s="37">
        <f t="shared" si="1"/>
        <v>12</v>
      </c>
      <c r="AA9" s="37">
        <f t="shared" si="1"/>
        <v>11</v>
      </c>
      <c r="AC9" s="18">
        <v>5</v>
      </c>
      <c r="AD9" s="18">
        <v>5</v>
      </c>
      <c r="AE9" s="18">
        <v>5</v>
      </c>
      <c r="AF9" s="18">
        <v>5</v>
      </c>
      <c r="AG9" s="18">
        <v>4</v>
      </c>
      <c r="AH9" s="18">
        <v>5</v>
      </c>
      <c r="AI9" s="18">
        <v>5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</row>
    <row r="10" spans="1:51">
      <c r="A10" s="151" t="str">
        <v>M5</v>
      </c>
      <c r="B10" s="151" t="str">
        <v>M5</v>
      </c>
      <c r="C10" s="153">
        <f t="shared" si="2"/>
        <v>7</v>
      </c>
      <c r="D10" s="153">
        <f t="shared" si="0"/>
        <v>16</v>
      </c>
      <c r="E10" s="153">
        <f t="shared" si="0"/>
        <v>10</v>
      </c>
      <c r="F10" s="153">
        <f t="shared" si="0"/>
        <v>19</v>
      </c>
      <c r="G10" s="153">
        <f t="shared" si="0"/>
        <v>5</v>
      </c>
      <c r="H10" s="153">
        <f t="shared" si="0"/>
        <v>25</v>
      </c>
      <c r="I10" s="153">
        <f t="shared" si="0"/>
        <v>17</v>
      </c>
      <c r="J10" s="151">
        <v>6</v>
      </c>
      <c r="L10" s="15">
        <v>6</v>
      </c>
      <c r="M10" s="38" t="s">
        <v>25</v>
      </c>
      <c r="N10" s="38" t="s">
        <v>38</v>
      </c>
      <c r="O10" s="38" t="s">
        <v>37</v>
      </c>
      <c r="P10" s="38" t="s">
        <v>34</v>
      </c>
      <c r="Q10" s="38" t="s">
        <v>39</v>
      </c>
      <c r="R10" s="38" t="s">
        <v>35</v>
      </c>
      <c r="S10" s="24" t="s">
        <v>65</v>
      </c>
      <c r="U10" s="37">
        <f t="shared" si="1"/>
        <v>5</v>
      </c>
      <c r="V10" s="37">
        <f t="shared" si="1"/>
        <v>15</v>
      </c>
      <c r="W10" s="37">
        <f t="shared" si="1"/>
        <v>13</v>
      </c>
      <c r="X10" s="37">
        <f t="shared" si="1"/>
        <v>16</v>
      </c>
      <c r="Y10" s="37">
        <f t="shared" si="1"/>
        <v>5</v>
      </c>
      <c r="Z10" s="37">
        <f t="shared" si="1"/>
        <v>15</v>
      </c>
      <c r="AA10" s="37">
        <f t="shared" si="1"/>
        <v>17</v>
      </c>
      <c r="AC10" s="18">
        <v>5</v>
      </c>
      <c r="AD10" s="18">
        <v>0</v>
      </c>
      <c r="AE10" s="18">
        <v>0</v>
      </c>
      <c r="AF10" s="18">
        <v>0</v>
      </c>
      <c r="AG10" s="18">
        <v>1</v>
      </c>
      <c r="AH10" s="18">
        <v>5</v>
      </c>
      <c r="AI10" s="18">
        <v>5</v>
      </c>
      <c r="AK10" s="4">
        <v>1</v>
      </c>
      <c r="AL10" s="4">
        <v>1</v>
      </c>
      <c r="AM10" s="4">
        <v>1</v>
      </c>
      <c r="AN10" s="4">
        <v>1</v>
      </c>
      <c r="AO10" s="4">
        <v>3</v>
      </c>
      <c r="AP10" s="4">
        <v>1</v>
      </c>
      <c r="AQ10" s="4">
        <v>1</v>
      </c>
    </row>
    <row r="11" spans="1:51">
      <c r="A11" s="151" t="str">
        <v>M6</v>
      </c>
      <c r="B11" s="151" t="str">
        <v>M6</v>
      </c>
      <c r="C11" s="153">
        <f t="shared" si="2"/>
        <v>15</v>
      </c>
      <c r="D11" s="153">
        <f t="shared" si="0"/>
        <v>9</v>
      </c>
      <c r="E11" s="153">
        <f t="shared" si="0"/>
        <v>12</v>
      </c>
      <c r="F11" s="153">
        <f t="shared" si="0"/>
        <v>6</v>
      </c>
      <c r="G11" s="153">
        <f t="shared" si="0"/>
        <v>21</v>
      </c>
      <c r="H11" s="153">
        <f t="shared" si="0"/>
        <v>1</v>
      </c>
      <c r="I11" s="153">
        <f t="shared" si="0"/>
        <v>6</v>
      </c>
      <c r="J11" s="151">
        <v>7</v>
      </c>
      <c r="L11" s="14">
        <v>7</v>
      </c>
      <c r="M11" s="38" t="s">
        <v>37</v>
      </c>
      <c r="N11" s="38" t="s">
        <v>65</v>
      </c>
      <c r="O11" s="38" t="s">
        <v>65</v>
      </c>
      <c r="P11" s="38" t="s">
        <v>38</v>
      </c>
      <c r="Q11" s="38" t="s">
        <v>40</v>
      </c>
      <c r="R11" s="38" t="s">
        <v>25</v>
      </c>
      <c r="S11" s="24" t="s">
        <v>40</v>
      </c>
      <c r="U11" s="37">
        <f t="shared" si="1"/>
        <v>13</v>
      </c>
      <c r="V11" s="37">
        <f t="shared" si="1"/>
        <v>17</v>
      </c>
      <c r="W11" s="37">
        <f t="shared" si="1"/>
        <v>17</v>
      </c>
      <c r="X11" s="37">
        <f t="shared" si="1"/>
        <v>15</v>
      </c>
      <c r="Y11" s="37">
        <f t="shared" si="1"/>
        <v>12</v>
      </c>
      <c r="Z11" s="37">
        <f t="shared" si="1"/>
        <v>5</v>
      </c>
      <c r="AA11" s="37">
        <f t="shared" si="1"/>
        <v>12</v>
      </c>
      <c r="AC11" s="18">
        <v>5</v>
      </c>
      <c r="AD11" s="18">
        <v>0</v>
      </c>
      <c r="AE11" s="18">
        <v>0</v>
      </c>
      <c r="AF11" s="18">
        <v>0</v>
      </c>
      <c r="AG11" s="18">
        <v>0</v>
      </c>
      <c r="AH11" s="18">
        <v>5</v>
      </c>
      <c r="AI11" s="18">
        <v>5</v>
      </c>
      <c r="AK11" s="4">
        <v>1</v>
      </c>
      <c r="AL11" s="4">
        <v>2</v>
      </c>
      <c r="AM11" s="4">
        <v>1</v>
      </c>
      <c r="AN11" s="4">
        <v>1</v>
      </c>
      <c r="AO11" s="4">
        <v>0</v>
      </c>
      <c r="AP11" s="4">
        <v>1</v>
      </c>
      <c r="AQ11" s="4">
        <v>1</v>
      </c>
    </row>
    <row r="12" spans="1:51">
      <c r="A12" s="24" t="str">
        <v>A</v>
      </c>
      <c r="B12" s="37" t="str">
        <v>A</v>
      </c>
      <c r="C12" s="10">
        <f t="shared" si="2"/>
        <v>11</v>
      </c>
      <c r="D12" s="10">
        <f t="shared" si="0"/>
        <v>16</v>
      </c>
      <c r="E12" s="10">
        <f t="shared" si="0"/>
        <v>10</v>
      </c>
      <c r="F12" s="10">
        <f t="shared" si="0"/>
        <v>20</v>
      </c>
      <c r="G12" s="10">
        <f t="shared" si="0"/>
        <v>2</v>
      </c>
      <c r="H12" s="10">
        <f t="shared" si="0"/>
        <v>31</v>
      </c>
      <c r="I12" s="10">
        <f t="shared" si="0"/>
        <v>5</v>
      </c>
      <c r="J12" s="4">
        <v>8</v>
      </c>
      <c r="L12" s="15">
        <v>8</v>
      </c>
      <c r="M12" s="38" t="s">
        <v>90</v>
      </c>
      <c r="N12" s="38" t="s">
        <v>226</v>
      </c>
      <c r="O12" s="38" t="s">
        <v>35</v>
      </c>
      <c r="P12" s="38" t="s">
        <v>65</v>
      </c>
      <c r="Q12" s="38" t="s">
        <v>35</v>
      </c>
      <c r="R12" s="38" t="s">
        <v>65</v>
      </c>
      <c r="S12" s="24" t="s">
        <v>40</v>
      </c>
      <c r="U12" s="37">
        <f t="shared" si="1"/>
        <v>6</v>
      </c>
      <c r="V12" s="37">
        <f t="shared" si="1"/>
        <v>0</v>
      </c>
      <c r="W12" s="37">
        <f t="shared" si="1"/>
        <v>15</v>
      </c>
      <c r="X12" s="37">
        <f t="shared" si="1"/>
        <v>17</v>
      </c>
      <c r="Y12" s="37">
        <f t="shared" si="1"/>
        <v>15</v>
      </c>
      <c r="Z12" s="37">
        <f t="shared" si="1"/>
        <v>17</v>
      </c>
      <c r="AA12" s="37">
        <f t="shared" si="1"/>
        <v>12</v>
      </c>
      <c r="AC12" s="18">
        <v>5</v>
      </c>
      <c r="AD12" s="18">
        <v>0</v>
      </c>
      <c r="AE12" s="18">
        <v>0</v>
      </c>
      <c r="AF12" s="18">
        <v>0</v>
      </c>
      <c r="AG12" s="18">
        <v>0</v>
      </c>
      <c r="AH12" s="18">
        <v>5</v>
      </c>
      <c r="AI12" s="18">
        <v>5</v>
      </c>
      <c r="AK12" s="4">
        <v>1</v>
      </c>
      <c r="AL12" s="4">
        <v>0</v>
      </c>
      <c r="AM12" s="4">
        <v>1</v>
      </c>
      <c r="AN12" s="4">
        <v>2</v>
      </c>
      <c r="AO12" s="4">
        <v>0</v>
      </c>
      <c r="AP12" s="4">
        <v>1</v>
      </c>
      <c r="AQ12" s="4">
        <v>1</v>
      </c>
    </row>
    <row r="13" spans="1:51">
      <c r="A13" s="24" t="str">
        <v>K</v>
      </c>
      <c r="B13" s="37" t="str">
        <v>K</v>
      </c>
      <c r="C13" s="10">
        <f t="shared" si="2"/>
        <v>16</v>
      </c>
      <c r="D13" s="10">
        <f t="shared" si="0"/>
        <v>9</v>
      </c>
      <c r="E13" s="10">
        <f t="shared" si="0"/>
        <v>12</v>
      </c>
      <c r="F13" s="10">
        <f t="shared" si="0"/>
        <v>5</v>
      </c>
      <c r="G13" s="10">
        <f t="shared" si="0"/>
        <v>16</v>
      </c>
      <c r="H13" s="10">
        <f t="shared" si="0"/>
        <v>4</v>
      </c>
      <c r="I13" s="10">
        <f t="shared" si="0"/>
        <v>13</v>
      </c>
      <c r="J13" s="4">
        <v>9</v>
      </c>
      <c r="L13" s="14">
        <v>9</v>
      </c>
      <c r="M13" s="38" t="s">
        <v>39</v>
      </c>
      <c r="N13" s="38" t="s">
        <v>34</v>
      </c>
      <c r="O13" s="38" t="s">
        <v>35</v>
      </c>
      <c r="P13" s="38" t="s">
        <v>40</v>
      </c>
      <c r="Q13" s="38" t="s">
        <v>35</v>
      </c>
      <c r="R13" s="38" t="s">
        <v>65</v>
      </c>
      <c r="S13" s="24" t="s">
        <v>25</v>
      </c>
      <c r="U13" s="37">
        <f t="shared" si="1"/>
        <v>5</v>
      </c>
      <c r="V13" s="37">
        <f t="shared" si="1"/>
        <v>16</v>
      </c>
      <c r="W13" s="37">
        <f t="shared" si="1"/>
        <v>15</v>
      </c>
      <c r="X13" s="37">
        <f t="shared" si="1"/>
        <v>12</v>
      </c>
      <c r="Y13" s="37">
        <f t="shared" si="1"/>
        <v>15</v>
      </c>
      <c r="Z13" s="37">
        <f t="shared" si="1"/>
        <v>17</v>
      </c>
      <c r="AA13" s="37">
        <f t="shared" si="1"/>
        <v>5</v>
      </c>
      <c r="AC13" s="18">
        <v>5</v>
      </c>
      <c r="AD13" s="18">
        <v>0</v>
      </c>
      <c r="AE13" s="18">
        <v>0</v>
      </c>
      <c r="AF13" s="18">
        <v>0</v>
      </c>
      <c r="AG13" s="18">
        <v>1</v>
      </c>
      <c r="AH13" s="18">
        <v>5</v>
      </c>
      <c r="AI13" s="18">
        <v>5</v>
      </c>
      <c r="AK13" s="4">
        <v>1</v>
      </c>
      <c r="AL13" s="4">
        <v>1</v>
      </c>
      <c r="AM13" s="4">
        <v>1</v>
      </c>
      <c r="AN13" s="4">
        <v>0</v>
      </c>
      <c r="AO13" s="4">
        <v>1</v>
      </c>
      <c r="AP13" s="4">
        <v>1</v>
      </c>
      <c r="AQ13" s="4">
        <v>1</v>
      </c>
    </row>
    <row r="14" spans="1:51">
      <c r="A14" s="24" t="str">
        <v>Q</v>
      </c>
      <c r="B14" s="37" t="str">
        <v>Q</v>
      </c>
      <c r="C14" s="10">
        <f t="shared" si="2"/>
        <v>3</v>
      </c>
      <c r="D14" s="10">
        <f t="shared" si="0"/>
        <v>17</v>
      </c>
      <c r="E14" s="10">
        <f t="shared" si="0"/>
        <v>4</v>
      </c>
      <c r="F14" s="10">
        <f t="shared" si="0"/>
        <v>19</v>
      </c>
      <c r="G14" s="10">
        <f t="shared" si="0"/>
        <v>2</v>
      </c>
      <c r="H14" s="10">
        <f t="shared" si="0"/>
        <v>22</v>
      </c>
      <c r="I14" s="10">
        <f t="shared" si="0"/>
        <v>15</v>
      </c>
      <c r="J14" s="4">
        <v>10</v>
      </c>
      <c r="L14" s="15">
        <v>10</v>
      </c>
      <c r="M14" s="38" t="s">
        <v>39</v>
      </c>
      <c r="N14" s="38" t="s">
        <v>34</v>
      </c>
      <c r="O14" s="38" t="s">
        <v>35</v>
      </c>
      <c r="P14" s="38" t="s">
        <v>40</v>
      </c>
      <c r="Q14" s="38" t="s">
        <v>39</v>
      </c>
      <c r="R14" s="38" t="s">
        <v>40</v>
      </c>
      <c r="S14" s="24" t="s">
        <v>35</v>
      </c>
      <c r="U14" s="37">
        <f t="shared" si="1"/>
        <v>5</v>
      </c>
      <c r="V14" s="37">
        <f t="shared" si="1"/>
        <v>16</v>
      </c>
      <c r="W14" s="37">
        <f t="shared" si="1"/>
        <v>15</v>
      </c>
      <c r="X14" s="37">
        <f t="shared" si="1"/>
        <v>12</v>
      </c>
      <c r="Y14" s="37">
        <f t="shared" si="1"/>
        <v>5</v>
      </c>
      <c r="Z14" s="37">
        <f t="shared" si="1"/>
        <v>12</v>
      </c>
      <c r="AA14" s="37">
        <f t="shared" si="1"/>
        <v>15</v>
      </c>
      <c r="AC14" s="18">
        <v>5</v>
      </c>
      <c r="AD14" s="18">
        <v>5</v>
      </c>
      <c r="AE14" s="18">
        <v>5</v>
      </c>
      <c r="AF14" s="18">
        <v>5</v>
      </c>
      <c r="AG14" s="18">
        <v>5</v>
      </c>
      <c r="AH14" s="18">
        <v>5</v>
      </c>
      <c r="AI14" s="18">
        <v>5</v>
      </c>
      <c r="AK14" s="4">
        <v>1</v>
      </c>
      <c r="AL14" s="4">
        <v>1</v>
      </c>
      <c r="AM14" s="4">
        <v>1</v>
      </c>
      <c r="AN14" s="4">
        <v>2</v>
      </c>
      <c r="AO14" s="4">
        <v>1</v>
      </c>
      <c r="AP14" s="4">
        <v>1</v>
      </c>
      <c r="AQ14" s="4">
        <v>1</v>
      </c>
    </row>
    <row r="15" spans="1:51">
      <c r="A15" s="24" t="str">
        <v>J</v>
      </c>
      <c r="B15" s="37" t="str">
        <v>J</v>
      </c>
      <c r="C15" s="10">
        <f t="shared" si="2"/>
        <v>25</v>
      </c>
      <c r="D15" s="10">
        <f t="shared" si="0"/>
        <v>1</v>
      </c>
      <c r="E15" s="10">
        <f t="shared" si="0"/>
        <v>20</v>
      </c>
      <c r="F15" s="10">
        <f t="shared" si="0"/>
        <v>6</v>
      </c>
      <c r="G15" s="10">
        <f t="shared" si="0"/>
        <v>27</v>
      </c>
      <c r="H15" s="10">
        <f t="shared" si="0"/>
        <v>5</v>
      </c>
      <c r="I15" s="10">
        <f t="shared" si="0"/>
        <v>5</v>
      </c>
      <c r="J15" s="4">
        <v>11</v>
      </c>
      <c r="L15" s="14">
        <v>11</v>
      </c>
      <c r="M15" s="38" t="s">
        <v>34</v>
      </c>
      <c r="N15" s="38" t="s">
        <v>38</v>
      </c>
      <c r="O15" s="38" t="s">
        <v>90</v>
      </c>
      <c r="P15" s="38" t="s">
        <v>90</v>
      </c>
      <c r="Q15" s="38" t="s">
        <v>90</v>
      </c>
      <c r="R15" s="38" t="s">
        <v>40</v>
      </c>
      <c r="S15" s="24" t="s">
        <v>40</v>
      </c>
      <c r="U15" s="37">
        <f t="shared" si="1"/>
        <v>16</v>
      </c>
      <c r="V15" s="37">
        <f t="shared" si="1"/>
        <v>15</v>
      </c>
      <c r="W15" s="37">
        <f t="shared" si="1"/>
        <v>6</v>
      </c>
      <c r="X15" s="37">
        <f t="shared" si="1"/>
        <v>6</v>
      </c>
      <c r="Y15" s="37">
        <f t="shared" si="1"/>
        <v>6</v>
      </c>
      <c r="Z15" s="37">
        <f t="shared" si="1"/>
        <v>12</v>
      </c>
      <c r="AA15" s="37">
        <f t="shared" si="1"/>
        <v>12</v>
      </c>
      <c r="AC15" s="18">
        <v>5</v>
      </c>
      <c r="AD15" s="18">
        <v>0</v>
      </c>
      <c r="AE15" s="18">
        <v>0</v>
      </c>
      <c r="AF15" s="18">
        <v>0</v>
      </c>
      <c r="AG15" s="18">
        <v>0</v>
      </c>
      <c r="AH15" s="18">
        <v>5</v>
      </c>
      <c r="AI15" s="18">
        <v>5</v>
      </c>
      <c r="AK15" s="4">
        <v>1</v>
      </c>
      <c r="AL15" s="4">
        <v>1</v>
      </c>
      <c r="AM15" s="4">
        <v>1</v>
      </c>
      <c r="AN15" s="4">
        <v>0</v>
      </c>
      <c r="AO15" s="4">
        <v>2</v>
      </c>
      <c r="AP15" s="4">
        <v>1</v>
      </c>
      <c r="AQ15" s="4">
        <v>1</v>
      </c>
    </row>
    <row r="16" spans="1:51">
      <c r="A16" s="37" t="str">
        <v>TE</v>
      </c>
      <c r="B16" s="37" t="str">
        <v>TE</v>
      </c>
      <c r="C16" s="10">
        <f t="shared" si="2"/>
        <v>19</v>
      </c>
      <c r="D16" s="10">
        <f t="shared" si="0"/>
        <v>15</v>
      </c>
      <c r="E16" s="10">
        <f t="shared" si="0"/>
        <v>6</v>
      </c>
      <c r="F16" s="10">
        <f t="shared" si="0"/>
        <v>13</v>
      </c>
      <c r="G16" s="10">
        <f t="shared" si="0"/>
        <v>10</v>
      </c>
      <c r="H16" s="10">
        <f t="shared" si="0"/>
        <v>18</v>
      </c>
      <c r="I16" s="10">
        <f t="shared" si="0"/>
        <v>12</v>
      </c>
      <c r="J16" s="4">
        <v>12</v>
      </c>
      <c r="L16" s="15">
        <v>12</v>
      </c>
      <c r="M16" s="38" t="s">
        <v>90</v>
      </c>
      <c r="N16" s="38" t="s">
        <v>38</v>
      </c>
      <c r="O16" s="38" t="s">
        <v>39</v>
      </c>
      <c r="P16" s="38" t="s">
        <v>38</v>
      </c>
      <c r="Q16" s="38" t="s">
        <v>90</v>
      </c>
      <c r="R16" s="38" t="s">
        <v>40</v>
      </c>
      <c r="S16" s="24" t="s">
        <v>40</v>
      </c>
      <c r="U16" s="37">
        <f t="shared" si="1"/>
        <v>6</v>
      </c>
      <c r="V16" s="37">
        <f t="shared" si="1"/>
        <v>15</v>
      </c>
      <c r="W16" s="37">
        <f t="shared" si="1"/>
        <v>5</v>
      </c>
      <c r="X16" s="37">
        <f t="shared" si="1"/>
        <v>15</v>
      </c>
      <c r="Y16" s="37">
        <f t="shared" si="1"/>
        <v>6</v>
      </c>
      <c r="Z16" s="37">
        <f t="shared" si="1"/>
        <v>12</v>
      </c>
      <c r="AA16" s="37">
        <f t="shared" si="1"/>
        <v>12</v>
      </c>
      <c r="AC16" s="18">
        <v>5</v>
      </c>
      <c r="AD16" s="18">
        <v>0</v>
      </c>
      <c r="AE16" s="18">
        <v>0</v>
      </c>
      <c r="AF16" s="18">
        <v>0</v>
      </c>
      <c r="AG16" s="18">
        <v>0</v>
      </c>
      <c r="AH16" s="18">
        <v>5</v>
      </c>
      <c r="AI16" s="18">
        <v>5</v>
      </c>
      <c r="AK16" s="4">
        <v>1</v>
      </c>
      <c r="AL16" s="4">
        <v>2</v>
      </c>
      <c r="AM16" s="4">
        <v>2</v>
      </c>
      <c r="AN16" s="4">
        <v>1</v>
      </c>
      <c r="AO16" s="4">
        <v>0</v>
      </c>
      <c r="AP16" s="4">
        <v>1</v>
      </c>
      <c r="AQ16" s="4">
        <v>1</v>
      </c>
    </row>
    <row r="17" spans="1:43">
      <c r="A17" s="154" t="str">
        <v>G1</v>
      </c>
      <c r="B17" s="151" t="str">
        <v>Golden M1</v>
      </c>
      <c r="C17" s="153">
        <f t="shared" si="2"/>
        <v>0</v>
      </c>
      <c r="D17" s="153">
        <f t="shared" si="0"/>
        <v>1</v>
      </c>
      <c r="E17" s="153">
        <f t="shared" si="0"/>
        <v>0</v>
      </c>
      <c r="F17" s="153">
        <f t="shared" si="0"/>
        <v>0</v>
      </c>
      <c r="G17" s="153">
        <f t="shared" si="0"/>
        <v>0</v>
      </c>
      <c r="H17" s="153">
        <f t="shared" si="0"/>
        <v>0</v>
      </c>
      <c r="I17" s="153">
        <f t="shared" si="0"/>
        <v>0</v>
      </c>
      <c r="J17" s="151">
        <v>13</v>
      </c>
      <c r="L17" s="14">
        <v>13</v>
      </c>
      <c r="M17" s="38" t="s">
        <v>90</v>
      </c>
      <c r="N17" s="38" t="s">
        <v>234</v>
      </c>
      <c r="O17" s="38" t="s">
        <v>39</v>
      </c>
      <c r="P17" s="38" t="s">
        <v>38</v>
      </c>
      <c r="Q17" s="38" t="s">
        <v>230</v>
      </c>
      <c r="R17" s="38" t="s">
        <v>38</v>
      </c>
      <c r="S17" s="24" t="s">
        <v>40</v>
      </c>
      <c r="U17" s="37">
        <f t="shared" si="1"/>
        <v>6</v>
      </c>
      <c r="V17" s="37">
        <f t="shared" si="1"/>
        <v>0</v>
      </c>
      <c r="W17" s="37">
        <f t="shared" si="1"/>
        <v>5</v>
      </c>
      <c r="X17" s="37">
        <f t="shared" si="1"/>
        <v>15</v>
      </c>
      <c r="Y17" s="37">
        <f t="shared" si="1"/>
        <v>0</v>
      </c>
      <c r="Z17" s="37">
        <f t="shared" si="1"/>
        <v>15</v>
      </c>
      <c r="AA17" s="37">
        <f t="shared" si="1"/>
        <v>12</v>
      </c>
      <c r="AC17" s="18">
        <v>5</v>
      </c>
      <c r="AD17" s="18">
        <v>0</v>
      </c>
      <c r="AE17" s="18">
        <v>0</v>
      </c>
      <c r="AF17" s="18">
        <v>0</v>
      </c>
      <c r="AG17" s="18">
        <v>0</v>
      </c>
      <c r="AH17" s="18">
        <v>5</v>
      </c>
      <c r="AI17" s="18">
        <v>5</v>
      </c>
      <c r="AK17" s="4">
        <v>1</v>
      </c>
      <c r="AL17" s="4">
        <v>0</v>
      </c>
      <c r="AM17" s="4">
        <v>0</v>
      </c>
      <c r="AN17" s="4">
        <v>1</v>
      </c>
      <c r="AO17" s="4">
        <v>1</v>
      </c>
      <c r="AP17" s="4">
        <v>1</v>
      </c>
      <c r="AQ17" s="4">
        <v>1</v>
      </c>
    </row>
    <row r="18" spans="1:43">
      <c r="A18" s="154" t="str">
        <v>G2</v>
      </c>
      <c r="B18" s="151" t="str">
        <v>Golden M2</v>
      </c>
      <c r="C18" s="153">
        <f t="shared" si="2"/>
        <v>0</v>
      </c>
      <c r="D18" s="153">
        <f t="shared" si="0"/>
        <v>1</v>
      </c>
      <c r="E18" s="153">
        <f t="shared" si="0"/>
        <v>1</v>
      </c>
      <c r="F18" s="153">
        <f t="shared" si="0"/>
        <v>0</v>
      </c>
      <c r="G18" s="153">
        <f t="shared" si="0"/>
        <v>1</v>
      </c>
      <c r="H18" s="153">
        <f t="shared" si="0"/>
        <v>0</v>
      </c>
      <c r="I18" s="153">
        <f t="shared" si="0"/>
        <v>0</v>
      </c>
      <c r="J18" s="151">
        <v>14</v>
      </c>
      <c r="L18" s="15">
        <v>14</v>
      </c>
      <c r="M18" s="38" t="s">
        <v>38</v>
      </c>
      <c r="N18" s="38" t="s">
        <v>32</v>
      </c>
      <c r="O18" s="38" t="s">
        <v>39</v>
      </c>
      <c r="P18" s="38" t="s">
        <v>39</v>
      </c>
      <c r="Q18" s="38" t="s">
        <v>65</v>
      </c>
      <c r="R18" s="38" t="s">
        <v>39</v>
      </c>
      <c r="S18" s="24" t="s">
        <v>37</v>
      </c>
      <c r="T18" s="150"/>
      <c r="U18" s="37">
        <f t="shared" si="1"/>
        <v>15</v>
      </c>
      <c r="V18" s="37">
        <f t="shared" si="1"/>
        <v>4</v>
      </c>
      <c r="W18" s="37">
        <f t="shared" si="1"/>
        <v>5</v>
      </c>
      <c r="X18" s="37">
        <f t="shared" si="1"/>
        <v>5</v>
      </c>
      <c r="Y18" s="37">
        <f t="shared" si="1"/>
        <v>17</v>
      </c>
      <c r="Z18" s="37">
        <f t="shared" si="1"/>
        <v>5</v>
      </c>
      <c r="AA18" s="37">
        <f t="shared" si="1"/>
        <v>13</v>
      </c>
      <c r="AB18" s="150"/>
      <c r="AC18" s="18">
        <v>5</v>
      </c>
      <c r="AD18" s="18">
        <v>0</v>
      </c>
      <c r="AE18" s="18">
        <v>0</v>
      </c>
      <c r="AF18" s="18">
        <v>0</v>
      </c>
      <c r="AG18" s="18">
        <v>1</v>
      </c>
      <c r="AH18" s="18">
        <v>5</v>
      </c>
      <c r="AI18" s="18">
        <v>5</v>
      </c>
      <c r="AJ18" s="150"/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</row>
    <row r="19" spans="1:43">
      <c r="A19" s="154" t="str">
        <v>G3</v>
      </c>
      <c r="B19" s="151" t="str">
        <v>Golden M3</v>
      </c>
      <c r="C19" s="153">
        <f t="shared" si="2"/>
        <v>0</v>
      </c>
      <c r="D19" s="153">
        <f t="shared" si="0"/>
        <v>1</v>
      </c>
      <c r="E19" s="153">
        <f t="shared" si="0"/>
        <v>1</v>
      </c>
      <c r="F19" s="153">
        <f t="shared" si="0"/>
        <v>1</v>
      </c>
      <c r="G19" s="153">
        <f t="shared" si="0"/>
        <v>1</v>
      </c>
      <c r="H19" s="153">
        <f t="shared" si="0"/>
        <v>0</v>
      </c>
      <c r="I19" s="153">
        <f t="shared" si="0"/>
        <v>0</v>
      </c>
      <c r="J19" s="151">
        <v>15</v>
      </c>
      <c r="K19" s="42"/>
      <c r="L19" s="14">
        <v>15</v>
      </c>
      <c r="M19" s="38" t="s">
        <v>40</v>
      </c>
      <c r="N19" s="38" t="s">
        <v>222</v>
      </c>
      <c r="O19" s="38" t="s">
        <v>90</v>
      </c>
      <c r="P19" s="38" t="s">
        <v>39</v>
      </c>
      <c r="Q19" s="38" t="s">
        <v>232</v>
      </c>
      <c r="R19" s="38" t="s">
        <v>65</v>
      </c>
      <c r="S19" s="24" t="s">
        <v>37</v>
      </c>
      <c r="U19" s="37">
        <f t="shared" si="1"/>
        <v>12</v>
      </c>
      <c r="V19" s="37">
        <f t="shared" si="1"/>
        <v>0</v>
      </c>
      <c r="W19" s="37">
        <f t="shared" si="1"/>
        <v>6</v>
      </c>
      <c r="X19" s="37">
        <f t="shared" si="1"/>
        <v>5</v>
      </c>
      <c r="Y19" s="37">
        <f t="shared" si="1"/>
        <v>0</v>
      </c>
      <c r="Z19" s="37">
        <f t="shared" si="1"/>
        <v>17</v>
      </c>
      <c r="AA19" s="37">
        <f t="shared" si="1"/>
        <v>13</v>
      </c>
      <c r="AC19" s="18">
        <v>5</v>
      </c>
      <c r="AD19" s="18">
        <v>5</v>
      </c>
      <c r="AE19" s="18">
        <v>5</v>
      </c>
      <c r="AF19" s="18">
        <v>5</v>
      </c>
      <c r="AG19" s="18">
        <v>6</v>
      </c>
      <c r="AH19" s="18">
        <v>5</v>
      </c>
      <c r="AI19" s="18">
        <v>5</v>
      </c>
      <c r="AK19" s="4">
        <v>1</v>
      </c>
      <c r="AL19" s="4">
        <v>1</v>
      </c>
      <c r="AM19" s="4">
        <v>1</v>
      </c>
      <c r="AN19" s="4">
        <v>2</v>
      </c>
      <c r="AO19" s="4">
        <v>2</v>
      </c>
      <c r="AP19" s="4">
        <v>1</v>
      </c>
      <c r="AQ19" s="4">
        <v>1</v>
      </c>
    </row>
    <row r="20" spans="1:43">
      <c r="A20" s="154" t="str">
        <v>G4</v>
      </c>
      <c r="B20" s="151" t="str">
        <v>Golden M4</v>
      </c>
      <c r="C20" s="153">
        <f t="shared" si="2"/>
        <v>0</v>
      </c>
      <c r="D20" s="153">
        <f t="shared" si="2"/>
        <v>1</v>
      </c>
      <c r="E20" s="153">
        <f t="shared" si="2"/>
        <v>1</v>
      </c>
      <c r="F20" s="153">
        <f t="shared" si="2"/>
        <v>0</v>
      </c>
      <c r="G20" s="153">
        <f t="shared" si="2"/>
        <v>1</v>
      </c>
      <c r="H20" s="153">
        <f t="shared" si="2"/>
        <v>0</v>
      </c>
      <c r="I20" s="153">
        <f t="shared" si="2"/>
        <v>0</v>
      </c>
      <c r="J20" s="151">
        <v>16</v>
      </c>
      <c r="L20" s="15">
        <v>16</v>
      </c>
      <c r="M20" s="38" t="s">
        <v>40</v>
      </c>
      <c r="N20" s="38" t="s">
        <v>40</v>
      </c>
      <c r="O20" s="38" t="s">
        <v>90</v>
      </c>
      <c r="P20" s="38" t="s">
        <v>25</v>
      </c>
      <c r="Q20" s="38" t="s">
        <v>90</v>
      </c>
      <c r="R20" s="38" t="s">
        <v>25</v>
      </c>
      <c r="S20" s="24" t="s">
        <v>37</v>
      </c>
      <c r="U20" s="37">
        <f t="shared" ref="U20:AA56" si="3">VLOOKUP(M20, $A$4:$J$29, 9, 0)</f>
        <v>12</v>
      </c>
      <c r="V20" s="37">
        <f t="shared" si="3"/>
        <v>12</v>
      </c>
      <c r="W20" s="37">
        <f t="shared" si="3"/>
        <v>6</v>
      </c>
      <c r="X20" s="37">
        <f t="shared" si="3"/>
        <v>5</v>
      </c>
      <c r="Y20" s="37">
        <f t="shared" si="3"/>
        <v>6</v>
      </c>
      <c r="Z20" s="37">
        <f t="shared" si="3"/>
        <v>5</v>
      </c>
      <c r="AA20" s="37">
        <f t="shared" si="3"/>
        <v>13</v>
      </c>
      <c r="AC20" s="18">
        <v>5</v>
      </c>
      <c r="AD20" s="18">
        <v>0</v>
      </c>
      <c r="AE20" s="18">
        <v>0</v>
      </c>
      <c r="AF20" s="18">
        <v>0</v>
      </c>
      <c r="AG20" s="18">
        <v>0</v>
      </c>
      <c r="AH20" s="18">
        <v>5</v>
      </c>
      <c r="AI20" s="18">
        <v>5</v>
      </c>
      <c r="AK20" s="4">
        <v>1</v>
      </c>
      <c r="AL20" s="4">
        <v>2</v>
      </c>
      <c r="AM20" s="4">
        <v>1</v>
      </c>
      <c r="AN20" s="4">
        <v>0</v>
      </c>
      <c r="AO20" s="4">
        <v>0</v>
      </c>
      <c r="AP20" s="4">
        <v>1</v>
      </c>
      <c r="AQ20" s="4">
        <v>1</v>
      </c>
    </row>
    <row r="21" spans="1:43">
      <c r="A21" s="154" t="str">
        <v>G5</v>
      </c>
      <c r="B21" s="151" t="str">
        <v>Golden M5</v>
      </c>
      <c r="C21" s="153">
        <f t="shared" si="2"/>
        <v>0</v>
      </c>
      <c r="D21" s="153">
        <f t="shared" si="2"/>
        <v>4</v>
      </c>
      <c r="E21" s="153">
        <f t="shared" si="2"/>
        <v>1</v>
      </c>
      <c r="F21" s="153">
        <f t="shared" si="2"/>
        <v>1</v>
      </c>
      <c r="G21" s="153">
        <f t="shared" si="2"/>
        <v>1</v>
      </c>
      <c r="H21" s="153">
        <f t="shared" si="2"/>
        <v>0</v>
      </c>
      <c r="I21" s="153">
        <f t="shared" si="2"/>
        <v>0</v>
      </c>
      <c r="J21" s="151">
        <v>17</v>
      </c>
      <c r="L21" s="14">
        <v>17</v>
      </c>
      <c r="M21" s="38" t="s">
        <v>39</v>
      </c>
      <c r="N21" s="38" t="s">
        <v>40</v>
      </c>
      <c r="O21" s="38" t="s">
        <v>37</v>
      </c>
      <c r="P21" s="38" t="s">
        <v>25</v>
      </c>
      <c r="Q21" s="38" t="s">
        <v>90</v>
      </c>
      <c r="R21" s="38" t="s">
        <v>65</v>
      </c>
      <c r="S21" s="24" t="s">
        <v>65</v>
      </c>
      <c r="U21" s="37">
        <f t="shared" si="3"/>
        <v>5</v>
      </c>
      <c r="V21" s="37">
        <f t="shared" si="3"/>
        <v>12</v>
      </c>
      <c r="W21" s="37">
        <f t="shared" si="3"/>
        <v>13</v>
      </c>
      <c r="X21" s="37">
        <f t="shared" si="3"/>
        <v>5</v>
      </c>
      <c r="Y21" s="37">
        <f t="shared" si="3"/>
        <v>6</v>
      </c>
      <c r="Z21" s="37">
        <f t="shared" si="3"/>
        <v>17</v>
      </c>
      <c r="AA21" s="37">
        <f t="shared" si="3"/>
        <v>17</v>
      </c>
      <c r="AC21" s="18">
        <v>5</v>
      </c>
      <c r="AD21" s="18">
        <v>0</v>
      </c>
      <c r="AE21" s="18">
        <v>0</v>
      </c>
      <c r="AF21" s="18">
        <v>0</v>
      </c>
      <c r="AG21" s="18">
        <v>0</v>
      </c>
      <c r="AH21" s="18">
        <v>5</v>
      </c>
      <c r="AI21" s="18">
        <v>5</v>
      </c>
      <c r="AK21" s="4">
        <v>1</v>
      </c>
      <c r="AL21" s="4">
        <v>0</v>
      </c>
      <c r="AM21" s="4">
        <v>1</v>
      </c>
      <c r="AN21" s="4">
        <v>1</v>
      </c>
      <c r="AO21" s="4">
        <v>2</v>
      </c>
      <c r="AP21" s="4">
        <v>1</v>
      </c>
      <c r="AQ21" s="4">
        <v>1</v>
      </c>
    </row>
    <row r="22" spans="1:43">
      <c r="A22" s="154" t="str">
        <v>G6</v>
      </c>
      <c r="B22" s="151" t="str">
        <v>Golden M6</v>
      </c>
      <c r="C22" s="153">
        <f t="shared" si="2"/>
        <v>0</v>
      </c>
      <c r="D22" s="153">
        <f t="shared" si="2"/>
        <v>4</v>
      </c>
      <c r="E22" s="153">
        <f t="shared" si="2"/>
        <v>2</v>
      </c>
      <c r="F22" s="153">
        <f t="shared" si="2"/>
        <v>1</v>
      </c>
      <c r="G22" s="153">
        <f t="shared" si="2"/>
        <v>1</v>
      </c>
      <c r="H22" s="153">
        <f t="shared" si="2"/>
        <v>0</v>
      </c>
      <c r="I22" s="153">
        <f t="shared" si="2"/>
        <v>0</v>
      </c>
      <c r="J22" s="151">
        <v>18</v>
      </c>
      <c r="L22" s="15">
        <v>18</v>
      </c>
      <c r="M22" s="38" t="s">
        <v>39</v>
      </c>
      <c r="N22" s="38" t="s">
        <v>90</v>
      </c>
      <c r="O22" s="38" t="s">
        <v>65</v>
      </c>
      <c r="P22" s="38" t="s">
        <v>34</v>
      </c>
      <c r="Q22" s="38" t="s">
        <v>37</v>
      </c>
      <c r="R22" s="38" t="s">
        <v>65</v>
      </c>
      <c r="S22" s="38" t="s">
        <v>34</v>
      </c>
      <c r="U22" s="37">
        <f t="shared" si="3"/>
        <v>5</v>
      </c>
      <c r="V22" s="37">
        <f t="shared" si="3"/>
        <v>6</v>
      </c>
      <c r="W22" s="37">
        <f t="shared" si="3"/>
        <v>17</v>
      </c>
      <c r="X22" s="37">
        <f t="shared" si="3"/>
        <v>16</v>
      </c>
      <c r="Y22" s="37">
        <f t="shared" si="3"/>
        <v>13</v>
      </c>
      <c r="Z22" s="37">
        <f t="shared" si="3"/>
        <v>17</v>
      </c>
      <c r="AA22" s="37">
        <f t="shared" si="3"/>
        <v>16</v>
      </c>
      <c r="AC22" s="18">
        <v>5</v>
      </c>
      <c r="AD22" s="18">
        <v>0</v>
      </c>
      <c r="AE22" s="18">
        <v>0</v>
      </c>
      <c r="AF22" s="18">
        <v>0</v>
      </c>
      <c r="AG22" s="18">
        <v>0</v>
      </c>
      <c r="AH22" s="18">
        <v>5</v>
      </c>
      <c r="AI22" s="18">
        <v>5</v>
      </c>
      <c r="AK22" s="4">
        <v>1</v>
      </c>
      <c r="AL22" s="4">
        <v>1</v>
      </c>
      <c r="AM22" s="4">
        <v>1</v>
      </c>
      <c r="AN22" s="4">
        <v>2</v>
      </c>
      <c r="AO22" s="4">
        <v>0</v>
      </c>
      <c r="AP22" s="4">
        <v>1</v>
      </c>
      <c r="AQ22" s="4">
        <v>1</v>
      </c>
    </row>
    <row r="23" spans="1:43">
      <c r="A23" s="37" t="str">
        <v>GA</v>
      </c>
      <c r="B23" s="4" t="str">
        <v>Golden A</v>
      </c>
      <c r="C23" s="10">
        <f t="shared" si="2"/>
        <v>0</v>
      </c>
      <c r="D23" s="10">
        <f t="shared" si="2"/>
        <v>2</v>
      </c>
      <c r="E23" s="10">
        <f t="shared" si="2"/>
        <v>1</v>
      </c>
      <c r="F23" s="10">
        <f t="shared" si="2"/>
        <v>1</v>
      </c>
      <c r="G23" s="10">
        <f t="shared" si="2"/>
        <v>0</v>
      </c>
      <c r="H23" s="10">
        <f t="shared" si="2"/>
        <v>0</v>
      </c>
      <c r="I23" s="10">
        <f t="shared" si="2"/>
        <v>0</v>
      </c>
      <c r="J23" s="4">
        <v>19</v>
      </c>
      <c r="L23" s="14">
        <v>19</v>
      </c>
      <c r="M23" s="38" t="s">
        <v>90</v>
      </c>
      <c r="N23" s="38" t="s">
        <v>25</v>
      </c>
      <c r="O23" s="38" t="s">
        <v>37</v>
      </c>
      <c r="P23" s="38" t="s">
        <v>25</v>
      </c>
      <c r="Q23" s="38" t="s">
        <v>90</v>
      </c>
      <c r="R23" s="38" t="s">
        <v>65</v>
      </c>
      <c r="S23" s="24" t="s">
        <v>34</v>
      </c>
      <c r="U23" s="37">
        <f t="shared" si="3"/>
        <v>6</v>
      </c>
      <c r="V23" s="37">
        <f t="shared" si="3"/>
        <v>5</v>
      </c>
      <c r="W23" s="37">
        <f t="shared" si="3"/>
        <v>13</v>
      </c>
      <c r="X23" s="37">
        <f t="shared" si="3"/>
        <v>5</v>
      </c>
      <c r="Y23" s="37">
        <f t="shared" si="3"/>
        <v>6</v>
      </c>
      <c r="Z23" s="37">
        <f t="shared" si="3"/>
        <v>17</v>
      </c>
      <c r="AA23" s="37">
        <f t="shared" si="3"/>
        <v>16</v>
      </c>
      <c r="AC23" s="18">
        <v>5</v>
      </c>
      <c r="AD23" s="18">
        <v>0</v>
      </c>
      <c r="AE23" s="18">
        <v>0</v>
      </c>
      <c r="AF23" s="18">
        <v>0</v>
      </c>
      <c r="AG23" s="18">
        <v>0</v>
      </c>
      <c r="AH23" s="18">
        <v>5</v>
      </c>
      <c r="AI23" s="18">
        <v>5</v>
      </c>
      <c r="AK23" s="4">
        <v>1</v>
      </c>
      <c r="AL23" s="4">
        <v>1</v>
      </c>
      <c r="AM23" s="4">
        <v>1</v>
      </c>
      <c r="AN23" s="4">
        <v>0</v>
      </c>
      <c r="AO23" s="4">
        <v>1</v>
      </c>
      <c r="AP23" s="4">
        <v>1</v>
      </c>
      <c r="AQ23" s="4">
        <v>1</v>
      </c>
    </row>
    <row r="24" spans="1:43">
      <c r="A24" s="37" t="str">
        <v>GK</v>
      </c>
      <c r="B24" s="4" t="str">
        <v>Golden K</v>
      </c>
      <c r="C24" s="10">
        <f t="shared" si="2"/>
        <v>0</v>
      </c>
      <c r="D24" s="10">
        <f t="shared" si="2"/>
        <v>1</v>
      </c>
      <c r="E24" s="10">
        <f t="shared" si="2"/>
        <v>1</v>
      </c>
      <c r="F24" s="10">
        <f t="shared" si="2"/>
        <v>1</v>
      </c>
      <c r="G24" s="10">
        <f t="shared" si="2"/>
        <v>1</v>
      </c>
      <c r="H24" s="10">
        <f t="shared" si="2"/>
        <v>0</v>
      </c>
      <c r="I24" s="10">
        <f t="shared" si="2"/>
        <v>0</v>
      </c>
      <c r="J24" s="4">
        <v>20</v>
      </c>
      <c r="L24" s="15">
        <v>20</v>
      </c>
      <c r="M24" s="38" t="s">
        <v>39</v>
      </c>
      <c r="N24" s="38" t="s">
        <v>40</v>
      </c>
      <c r="O24" s="38" t="s">
        <v>37</v>
      </c>
      <c r="P24" s="38" t="s">
        <v>25</v>
      </c>
      <c r="Q24" s="38" t="s">
        <v>34</v>
      </c>
      <c r="R24" s="38" t="s">
        <v>38</v>
      </c>
      <c r="S24" s="24" t="s">
        <v>34</v>
      </c>
      <c r="U24" s="37">
        <f t="shared" si="3"/>
        <v>5</v>
      </c>
      <c r="V24" s="37">
        <f t="shared" si="3"/>
        <v>12</v>
      </c>
      <c r="W24" s="37">
        <f t="shared" si="3"/>
        <v>13</v>
      </c>
      <c r="X24" s="37">
        <f t="shared" si="3"/>
        <v>5</v>
      </c>
      <c r="Y24" s="37">
        <f t="shared" si="3"/>
        <v>16</v>
      </c>
      <c r="Z24" s="37">
        <f t="shared" si="3"/>
        <v>15</v>
      </c>
      <c r="AA24" s="37">
        <f t="shared" si="3"/>
        <v>16</v>
      </c>
      <c r="AC24" s="18">
        <v>5</v>
      </c>
      <c r="AD24" s="18">
        <v>5</v>
      </c>
      <c r="AE24" s="18">
        <v>5</v>
      </c>
      <c r="AF24" s="18">
        <v>5</v>
      </c>
      <c r="AG24" s="18">
        <v>6</v>
      </c>
      <c r="AH24" s="18">
        <v>5</v>
      </c>
      <c r="AI24" s="18">
        <v>5</v>
      </c>
      <c r="AK24" s="4">
        <v>1</v>
      </c>
      <c r="AL24" s="4">
        <v>3</v>
      </c>
      <c r="AM24" s="4">
        <v>1</v>
      </c>
      <c r="AN24" s="4">
        <v>1</v>
      </c>
      <c r="AO24" s="4">
        <v>3</v>
      </c>
      <c r="AP24" s="4">
        <v>1</v>
      </c>
      <c r="AQ24" s="4">
        <v>1</v>
      </c>
    </row>
    <row r="25" spans="1:43">
      <c r="A25" s="37" t="str">
        <v>GQ</v>
      </c>
      <c r="B25" s="4" t="str">
        <v>Golden Q</v>
      </c>
      <c r="C25" s="10">
        <f t="shared" si="2"/>
        <v>0</v>
      </c>
      <c r="D25" s="10">
        <f t="shared" si="2"/>
        <v>1</v>
      </c>
      <c r="E25" s="10">
        <f t="shared" si="2"/>
        <v>1</v>
      </c>
      <c r="F25" s="10">
        <f t="shared" si="2"/>
        <v>3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4">
        <v>21</v>
      </c>
      <c r="L25" s="14">
        <v>21</v>
      </c>
      <c r="M25" s="38" t="s">
        <v>40</v>
      </c>
      <c r="N25" s="38" t="s">
        <v>232</v>
      </c>
      <c r="O25" s="38" t="s">
        <v>37</v>
      </c>
      <c r="P25" s="38" t="s">
        <v>238</v>
      </c>
      <c r="Q25" s="38" t="s">
        <v>34</v>
      </c>
      <c r="R25" s="38" t="s">
        <v>38</v>
      </c>
      <c r="S25" s="24" t="s">
        <v>38</v>
      </c>
      <c r="U25" s="37">
        <f t="shared" si="3"/>
        <v>12</v>
      </c>
      <c r="V25" s="37">
        <f t="shared" si="3"/>
        <v>0</v>
      </c>
      <c r="W25" s="37">
        <f t="shared" si="3"/>
        <v>13</v>
      </c>
      <c r="X25" s="37">
        <f t="shared" si="3"/>
        <v>0</v>
      </c>
      <c r="Y25" s="37">
        <f t="shared" si="3"/>
        <v>16</v>
      </c>
      <c r="Z25" s="37">
        <f t="shared" si="3"/>
        <v>15</v>
      </c>
      <c r="AA25" s="37">
        <f t="shared" si="3"/>
        <v>15</v>
      </c>
      <c r="AC25" s="18">
        <v>5</v>
      </c>
      <c r="AD25" s="18">
        <v>0</v>
      </c>
      <c r="AE25" s="18">
        <v>0</v>
      </c>
      <c r="AF25" s="18">
        <v>0</v>
      </c>
      <c r="AG25" s="18">
        <v>0</v>
      </c>
      <c r="AH25" s="18">
        <v>5</v>
      </c>
      <c r="AI25" s="18">
        <v>5</v>
      </c>
      <c r="AK25" s="4">
        <v>1</v>
      </c>
      <c r="AL25" s="4">
        <v>0</v>
      </c>
      <c r="AM25" s="4">
        <v>3</v>
      </c>
      <c r="AN25" s="4">
        <v>3</v>
      </c>
      <c r="AO25" s="4">
        <v>0</v>
      </c>
      <c r="AP25" s="4">
        <v>1</v>
      </c>
      <c r="AQ25" s="4">
        <v>1</v>
      </c>
    </row>
    <row r="26" spans="1:43">
      <c r="A26" s="37" t="str">
        <v>GJ</v>
      </c>
      <c r="B26" s="4" t="str">
        <v>Golden J</v>
      </c>
      <c r="C26" s="10">
        <f t="shared" si="2"/>
        <v>0</v>
      </c>
      <c r="D26" s="10">
        <f t="shared" si="2"/>
        <v>1</v>
      </c>
      <c r="E26" s="10">
        <f t="shared" si="2"/>
        <v>1</v>
      </c>
      <c r="F26" s="10">
        <f t="shared" si="2"/>
        <v>0</v>
      </c>
      <c r="G26" s="10">
        <f t="shared" si="2"/>
        <v>1</v>
      </c>
      <c r="H26" s="10">
        <f t="shared" si="2"/>
        <v>0</v>
      </c>
      <c r="I26" s="10">
        <f t="shared" si="2"/>
        <v>0</v>
      </c>
      <c r="J26" s="4">
        <v>22</v>
      </c>
      <c r="L26" s="15">
        <v>22</v>
      </c>
      <c r="M26" s="38" t="s">
        <v>90</v>
      </c>
      <c r="N26" s="38" t="s">
        <v>37</v>
      </c>
      <c r="O26" s="38" t="s">
        <v>39</v>
      </c>
      <c r="P26" s="38" t="s">
        <v>38</v>
      </c>
      <c r="Q26" s="38" t="s">
        <v>37</v>
      </c>
      <c r="R26" s="38" t="s">
        <v>38</v>
      </c>
      <c r="S26" s="24" t="s">
        <v>37</v>
      </c>
      <c r="U26" s="37">
        <f t="shared" si="3"/>
        <v>6</v>
      </c>
      <c r="V26" s="37">
        <f t="shared" si="3"/>
        <v>13</v>
      </c>
      <c r="W26" s="37">
        <f t="shared" si="3"/>
        <v>5</v>
      </c>
      <c r="X26" s="37">
        <f t="shared" si="3"/>
        <v>15</v>
      </c>
      <c r="Y26" s="37">
        <f t="shared" si="3"/>
        <v>13</v>
      </c>
      <c r="Z26" s="37">
        <f t="shared" si="3"/>
        <v>15</v>
      </c>
      <c r="AA26" s="37">
        <f t="shared" si="3"/>
        <v>13</v>
      </c>
      <c r="AC26" s="18">
        <v>5</v>
      </c>
      <c r="AD26" s="18">
        <v>0</v>
      </c>
      <c r="AE26" s="18">
        <v>0</v>
      </c>
      <c r="AF26" s="18">
        <v>0</v>
      </c>
      <c r="AG26" s="18">
        <v>0</v>
      </c>
      <c r="AH26" s="18">
        <v>5</v>
      </c>
      <c r="AI26" s="18">
        <v>5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1</v>
      </c>
      <c r="AQ26" s="4">
        <v>1</v>
      </c>
    </row>
    <row r="27" spans="1:43">
      <c r="A27" s="37" t="str">
        <v>GT</v>
      </c>
      <c r="B27" s="37" t="str">
        <v>Golden TE</v>
      </c>
      <c r="C27" s="10">
        <f t="shared" si="2"/>
        <v>0</v>
      </c>
      <c r="D27" s="10">
        <f t="shared" si="2"/>
        <v>2</v>
      </c>
      <c r="E27" s="10">
        <f t="shared" si="2"/>
        <v>1</v>
      </c>
      <c r="F27" s="10">
        <f t="shared" si="2"/>
        <v>0</v>
      </c>
      <c r="G27" s="10">
        <f t="shared" si="2"/>
        <v>1</v>
      </c>
      <c r="H27" s="10">
        <f t="shared" si="2"/>
        <v>0</v>
      </c>
      <c r="I27" s="10">
        <f t="shared" si="2"/>
        <v>0</v>
      </c>
      <c r="J27" s="4">
        <v>23</v>
      </c>
      <c r="L27" s="14">
        <v>23</v>
      </c>
      <c r="M27" s="38" t="s">
        <v>37</v>
      </c>
      <c r="N27" s="38" t="s">
        <v>37</v>
      </c>
      <c r="O27" s="38" t="s">
        <v>39</v>
      </c>
      <c r="P27" s="38" t="s">
        <v>38</v>
      </c>
      <c r="Q27" s="38" t="s">
        <v>33</v>
      </c>
      <c r="R27" s="38" t="s">
        <v>65</v>
      </c>
      <c r="S27" s="24" t="s">
        <v>37</v>
      </c>
      <c r="U27" s="37">
        <f t="shared" si="3"/>
        <v>13</v>
      </c>
      <c r="V27" s="37">
        <f t="shared" si="3"/>
        <v>13</v>
      </c>
      <c r="W27" s="37">
        <f t="shared" si="3"/>
        <v>5</v>
      </c>
      <c r="X27" s="37">
        <f t="shared" si="3"/>
        <v>15</v>
      </c>
      <c r="Y27" s="37">
        <f t="shared" si="3"/>
        <v>11</v>
      </c>
      <c r="Z27" s="37">
        <f t="shared" si="3"/>
        <v>17</v>
      </c>
      <c r="AA27" s="37">
        <f t="shared" si="3"/>
        <v>13</v>
      </c>
      <c r="AC27" s="18">
        <v>5</v>
      </c>
      <c r="AD27" s="18">
        <v>0</v>
      </c>
      <c r="AE27" s="18">
        <v>0</v>
      </c>
      <c r="AF27" s="18">
        <v>0</v>
      </c>
      <c r="AG27" s="18">
        <v>0</v>
      </c>
      <c r="AH27" s="18">
        <v>5</v>
      </c>
      <c r="AI27" s="18">
        <v>5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1</v>
      </c>
      <c r="AQ27" s="4">
        <v>1</v>
      </c>
    </row>
    <row r="28" spans="1:43">
      <c r="A28" s="154" t="str">
        <v>MY</v>
      </c>
      <c r="B28" s="154" t="str">
        <v>Mystery</v>
      </c>
      <c r="C28" s="153">
        <f t="shared" si="2"/>
        <v>2</v>
      </c>
      <c r="D28" s="153">
        <f t="shared" si="2"/>
        <v>2</v>
      </c>
      <c r="E28" s="153">
        <f t="shared" si="2"/>
        <v>3</v>
      </c>
      <c r="F28" s="153">
        <f t="shared" si="2"/>
        <v>2</v>
      </c>
      <c r="G28" s="153">
        <f t="shared" si="2"/>
        <v>2</v>
      </c>
      <c r="H28" s="153">
        <f t="shared" si="2"/>
        <v>2</v>
      </c>
      <c r="I28" s="153">
        <f t="shared" si="2"/>
        <v>2</v>
      </c>
      <c r="J28" s="151">
        <v>24</v>
      </c>
      <c r="L28" s="15">
        <v>24</v>
      </c>
      <c r="M28" s="38" t="s">
        <v>37</v>
      </c>
      <c r="N28" s="38" t="s">
        <v>230</v>
      </c>
      <c r="O28" s="38" t="s">
        <v>35</v>
      </c>
      <c r="P28" s="38" t="s">
        <v>25</v>
      </c>
      <c r="Q28" s="38" t="s">
        <v>37</v>
      </c>
      <c r="R28" s="38" t="s">
        <v>34</v>
      </c>
      <c r="S28" s="24" t="s">
        <v>33</v>
      </c>
      <c r="U28" s="37">
        <f t="shared" si="3"/>
        <v>13</v>
      </c>
      <c r="V28" s="37">
        <f t="shared" si="3"/>
        <v>0</v>
      </c>
      <c r="W28" s="37">
        <f t="shared" si="3"/>
        <v>15</v>
      </c>
      <c r="X28" s="37">
        <f t="shared" si="3"/>
        <v>5</v>
      </c>
      <c r="Y28" s="37">
        <f t="shared" si="3"/>
        <v>13</v>
      </c>
      <c r="Z28" s="37">
        <f t="shared" si="3"/>
        <v>16</v>
      </c>
      <c r="AA28" s="37">
        <f t="shared" si="3"/>
        <v>11</v>
      </c>
      <c r="AC28" s="18">
        <v>5</v>
      </c>
      <c r="AD28" s="18">
        <v>0</v>
      </c>
      <c r="AE28" s="18">
        <v>0</v>
      </c>
      <c r="AF28" s="18">
        <v>0</v>
      </c>
      <c r="AG28" s="18">
        <v>0</v>
      </c>
      <c r="AH28" s="18">
        <v>5</v>
      </c>
      <c r="AI28" s="18">
        <v>5</v>
      </c>
      <c r="AK28" s="4">
        <v>1</v>
      </c>
      <c r="AL28" s="4">
        <v>0</v>
      </c>
      <c r="AM28" s="4">
        <v>1</v>
      </c>
      <c r="AN28" s="4">
        <v>1</v>
      </c>
      <c r="AO28" s="4">
        <v>0</v>
      </c>
      <c r="AP28" s="4">
        <v>1</v>
      </c>
      <c r="AQ28" s="4">
        <v>1</v>
      </c>
    </row>
    <row r="29" spans="1:43">
      <c r="A29" s="154" t="str">
        <v>GM</v>
      </c>
      <c r="B29" s="154" t="str">
        <v>Golden Mystery</v>
      </c>
      <c r="C29" s="153">
        <f t="shared" si="2"/>
        <v>0</v>
      </c>
      <c r="D29" s="153">
        <f t="shared" si="2"/>
        <v>1</v>
      </c>
      <c r="E29" s="153">
        <f t="shared" si="2"/>
        <v>1</v>
      </c>
      <c r="F29" s="153">
        <f t="shared" si="2"/>
        <v>1</v>
      </c>
      <c r="G29" s="153">
        <f t="shared" si="2"/>
        <v>1</v>
      </c>
      <c r="H29" s="153">
        <f t="shared" si="2"/>
        <v>0</v>
      </c>
      <c r="I29" s="153">
        <f t="shared" si="2"/>
        <v>0</v>
      </c>
      <c r="J29" s="151">
        <v>25</v>
      </c>
      <c r="L29" s="14">
        <v>25</v>
      </c>
      <c r="M29" s="38" t="s">
        <v>39</v>
      </c>
      <c r="N29" s="38" t="s">
        <v>65</v>
      </c>
      <c r="O29" s="38" t="s">
        <v>35</v>
      </c>
      <c r="P29" s="38" t="s">
        <v>34</v>
      </c>
      <c r="Q29" s="38" t="s">
        <v>38</v>
      </c>
      <c r="R29" s="38" t="s">
        <v>25</v>
      </c>
      <c r="S29" s="24" t="s">
        <v>33</v>
      </c>
      <c r="U29" s="37">
        <f t="shared" si="3"/>
        <v>5</v>
      </c>
      <c r="V29" s="37">
        <f t="shared" si="3"/>
        <v>17</v>
      </c>
      <c r="W29" s="37">
        <f t="shared" si="3"/>
        <v>15</v>
      </c>
      <c r="X29" s="37">
        <f t="shared" si="3"/>
        <v>16</v>
      </c>
      <c r="Y29" s="37">
        <f t="shared" si="3"/>
        <v>15</v>
      </c>
      <c r="Z29" s="37">
        <f t="shared" si="3"/>
        <v>5</v>
      </c>
      <c r="AA29" s="37">
        <f t="shared" si="3"/>
        <v>11</v>
      </c>
      <c r="AC29" s="18">
        <v>5</v>
      </c>
      <c r="AD29" s="18">
        <v>5</v>
      </c>
      <c r="AE29" s="18">
        <v>5</v>
      </c>
      <c r="AF29" s="18">
        <v>5</v>
      </c>
      <c r="AG29" s="18">
        <v>4</v>
      </c>
      <c r="AH29" s="18">
        <v>5</v>
      </c>
      <c r="AI29" s="18">
        <v>5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</row>
    <row r="30" spans="1:43">
      <c r="A30" s="150"/>
      <c r="B30" s="150"/>
      <c r="C30" s="170">
        <f>SUM(C4:C29)</f>
        <v>121</v>
      </c>
      <c r="D30" s="170">
        <f t="shared" ref="D30:I30" si="4">SUM(D4:D29)</f>
        <v>121</v>
      </c>
      <c r="E30" s="170">
        <f t="shared" si="4"/>
        <v>121</v>
      </c>
      <c r="F30" s="170">
        <f t="shared" si="4"/>
        <v>121</v>
      </c>
      <c r="G30" s="170">
        <f t="shared" si="4"/>
        <v>121</v>
      </c>
      <c r="H30" s="170">
        <f t="shared" si="4"/>
        <v>121</v>
      </c>
      <c r="I30" s="170">
        <f t="shared" si="4"/>
        <v>121</v>
      </c>
      <c r="J30" s="13"/>
      <c r="L30" s="15">
        <v>26</v>
      </c>
      <c r="M30" s="38" t="s">
        <v>37</v>
      </c>
      <c r="N30" s="38" t="s">
        <v>65</v>
      </c>
      <c r="O30" s="38" t="s">
        <v>40</v>
      </c>
      <c r="P30" s="38" t="s">
        <v>38</v>
      </c>
      <c r="Q30" s="38" t="s">
        <v>37</v>
      </c>
      <c r="R30" s="38" t="s">
        <v>65</v>
      </c>
      <c r="S30" s="24" t="s">
        <v>33</v>
      </c>
      <c r="U30" s="37">
        <f t="shared" si="3"/>
        <v>13</v>
      </c>
      <c r="V30" s="37">
        <f t="shared" si="3"/>
        <v>17</v>
      </c>
      <c r="W30" s="37">
        <f t="shared" si="3"/>
        <v>12</v>
      </c>
      <c r="X30" s="37">
        <f t="shared" si="3"/>
        <v>15</v>
      </c>
      <c r="Y30" s="37">
        <f t="shared" si="3"/>
        <v>13</v>
      </c>
      <c r="Z30" s="37">
        <f t="shared" si="3"/>
        <v>17</v>
      </c>
      <c r="AA30" s="37">
        <f t="shared" si="3"/>
        <v>11</v>
      </c>
      <c r="AC30" s="18">
        <v>5</v>
      </c>
      <c r="AD30" s="18">
        <v>0</v>
      </c>
      <c r="AE30" s="18">
        <v>0</v>
      </c>
      <c r="AF30" s="18">
        <v>0</v>
      </c>
      <c r="AG30" s="18">
        <v>1</v>
      </c>
      <c r="AH30" s="18">
        <v>5</v>
      </c>
      <c r="AI30" s="18">
        <v>5</v>
      </c>
      <c r="AK30" s="4">
        <v>1</v>
      </c>
      <c r="AL30" s="4">
        <v>1</v>
      </c>
      <c r="AM30" s="4">
        <v>1</v>
      </c>
      <c r="AN30" s="4">
        <v>1</v>
      </c>
      <c r="AO30" s="4">
        <v>3</v>
      </c>
      <c r="AP30" s="4">
        <v>1</v>
      </c>
      <c r="AQ30" s="4">
        <v>1</v>
      </c>
    </row>
    <row r="31" spans="1:43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35</v>
      </c>
      <c r="N31" s="38" t="s">
        <v>224</v>
      </c>
      <c r="O31" s="38" t="s">
        <v>40</v>
      </c>
      <c r="P31" s="38" t="s">
        <v>38</v>
      </c>
      <c r="Q31" s="38" t="s">
        <v>32</v>
      </c>
      <c r="R31" s="38" t="s">
        <v>65</v>
      </c>
      <c r="S31" s="24" t="s">
        <v>37</v>
      </c>
      <c r="U31" s="37">
        <f t="shared" si="3"/>
        <v>15</v>
      </c>
      <c r="V31" s="37">
        <f t="shared" si="3"/>
        <v>0</v>
      </c>
      <c r="W31" s="37">
        <f t="shared" si="3"/>
        <v>12</v>
      </c>
      <c r="X31" s="37">
        <f t="shared" si="3"/>
        <v>15</v>
      </c>
      <c r="Y31" s="37">
        <f t="shared" si="3"/>
        <v>4</v>
      </c>
      <c r="Z31" s="37">
        <f t="shared" si="3"/>
        <v>17</v>
      </c>
      <c r="AA31" s="37">
        <f t="shared" si="3"/>
        <v>13</v>
      </c>
      <c r="AC31" s="18">
        <v>5</v>
      </c>
      <c r="AD31" s="18">
        <v>0</v>
      </c>
      <c r="AE31" s="18">
        <v>0</v>
      </c>
      <c r="AF31" s="18">
        <v>0</v>
      </c>
      <c r="AG31" s="18">
        <v>0</v>
      </c>
      <c r="AH31" s="18">
        <v>5</v>
      </c>
      <c r="AI31" s="18">
        <v>5</v>
      </c>
      <c r="AK31" s="4">
        <v>1</v>
      </c>
      <c r="AL31" s="4">
        <v>2</v>
      </c>
      <c r="AM31" s="4">
        <v>1</v>
      </c>
      <c r="AN31" s="4">
        <v>1</v>
      </c>
      <c r="AO31" s="4">
        <v>0</v>
      </c>
      <c r="AP31" s="4">
        <v>1</v>
      </c>
      <c r="AQ31" s="4">
        <v>1</v>
      </c>
    </row>
    <row r="32" spans="1:43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40</v>
      </c>
      <c r="N32" s="38" t="s">
        <v>33</v>
      </c>
      <c r="O32" s="38" t="s">
        <v>33</v>
      </c>
      <c r="P32" s="38" t="s">
        <v>38</v>
      </c>
      <c r="Q32" s="38" t="s">
        <v>39</v>
      </c>
      <c r="R32" s="38" t="s">
        <v>65</v>
      </c>
      <c r="S32" s="24" t="s">
        <v>37</v>
      </c>
      <c r="U32" s="37">
        <f t="shared" si="3"/>
        <v>12</v>
      </c>
      <c r="V32" s="37">
        <f t="shared" si="3"/>
        <v>11</v>
      </c>
      <c r="W32" s="37">
        <f t="shared" si="3"/>
        <v>11</v>
      </c>
      <c r="X32" s="37">
        <f t="shared" si="3"/>
        <v>15</v>
      </c>
      <c r="Y32" s="37">
        <f t="shared" si="3"/>
        <v>5</v>
      </c>
      <c r="Z32" s="37">
        <f t="shared" si="3"/>
        <v>17</v>
      </c>
      <c r="AA32" s="37">
        <f t="shared" si="3"/>
        <v>13</v>
      </c>
      <c r="AC32" s="18">
        <v>5</v>
      </c>
      <c r="AD32" s="18">
        <v>0</v>
      </c>
      <c r="AE32" s="18">
        <v>0</v>
      </c>
      <c r="AF32" s="18">
        <v>0</v>
      </c>
      <c r="AG32" s="18">
        <v>0</v>
      </c>
      <c r="AH32" s="18">
        <v>5</v>
      </c>
      <c r="AI32" s="18">
        <v>5</v>
      </c>
      <c r="AK32" s="4">
        <v>1</v>
      </c>
      <c r="AL32" s="4">
        <v>0</v>
      </c>
      <c r="AM32" s="4">
        <v>1</v>
      </c>
      <c r="AN32" s="4">
        <v>2</v>
      </c>
      <c r="AO32" s="4">
        <v>0</v>
      </c>
      <c r="AP32" s="4">
        <v>1</v>
      </c>
      <c r="AQ32" s="4">
        <v>1</v>
      </c>
    </row>
    <row r="33" spans="1:43">
      <c r="B33" s="171" t="s">
        <v>72</v>
      </c>
      <c r="C33" s="155">
        <v>0</v>
      </c>
      <c r="D33" s="155">
        <v>390</v>
      </c>
      <c r="E33" s="155">
        <v>390</v>
      </c>
      <c r="F33" s="155">
        <v>185</v>
      </c>
      <c r="G33" s="155">
        <v>120</v>
      </c>
      <c r="H33" s="155">
        <v>0</v>
      </c>
      <c r="J33" s="13"/>
      <c r="L33" s="14">
        <v>29</v>
      </c>
      <c r="M33" s="38" t="s">
        <v>40</v>
      </c>
      <c r="N33" s="38" t="s">
        <v>33</v>
      </c>
      <c r="O33" s="38" t="s">
        <v>224</v>
      </c>
      <c r="P33" s="38" t="s">
        <v>65</v>
      </c>
      <c r="Q33" s="38" t="s">
        <v>39</v>
      </c>
      <c r="R33" s="38" t="s">
        <v>40</v>
      </c>
      <c r="S33" s="24" t="s">
        <v>25</v>
      </c>
      <c r="U33" s="37">
        <f t="shared" si="3"/>
        <v>12</v>
      </c>
      <c r="V33" s="37">
        <f t="shared" si="3"/>
        <v>11</v>
      </c>
      <c r="W33" s="37">
        <f t="shared" si="3"/>
        <v>0</v>
      </c>
      <c r="X33" s="37">
        <f t="shared" si="3"/>
        <v>17</v>
      </c>
      <c r="Y33" s="37">
        <f t="shared" si="3"/>
        <v>5</v>
      </c>
      <c r="Z33" s="37">
        <f t="shared" si="3"/>
        <v>12</v>
      </c>
      <c r="AA33" s="37">
        <f t="shared" si="3"/>
        <v>5</v>
      </c>
      <c r="AC33" s="18">
        <v>5</v>
      </c>
      <c r="AD33" s="18">
        <v>0</v>
      </c>
      <c r="AE33" s="18">
        <v>0</v>
      </c>
      <c r="AF33" s="18">
        <v>0</v>
      </c>
      <c r="AG33" s="18">
        <v>1</v>
      </c>
      <c r="AH33" s="18">
        <v>5</v>
      </c>
      <c r="AI33" s="18">
        <v>5</v>
      </c>
      <c r="AK33" s="4">
        <v>1</v>
      </c>
      <c r="AL33" s="4">
        <v>1</v>
      </c>
      <c r="AM33" s="4">
        <v>1</v>
      </c>
      <c r="AN33" s="4">
        <v>0</v>
      </c>
      <c r="AO33" s="4">
        <v>1</v>
      </c>
      <c r="AP33" s="4">
        <v>1</v>
      </c>
      <c r="AQ33" s="4">
        <v>1</v>
      </c>
    </row>
    <row r="34" spans="1:43">
      <c r="B34" s="4" t="s">
        <v>75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5">
        <v>30</v>
      </c>
      <c r="M34" s="38" t="s">
        <v>39</v>
      </c>
      <c r="N34" s="38" t="s">
        <v>34</v>
      </c>
      <c r="O34" s="38" t="s">
        <v>226</v>
      </c>
      <c r="P34" s="38" t="s">
        <v>65</v>
      </c>
      <c r="Q34" s="38" t="s">
        <v>33</v>
      </c>
      <c r="R34" s="38" t="s">
        <v>65</v>
      </c>
      <c r="S34" s="38" t="s">
        <v>25</v>
      </c>
      <c r="U34" s="37">
        <f t="shared" si="3"/>
        <v>5</v>
      </c>
      <c r="V34" s="37">
        <f t="shared" si="3"/>
        <v>16</v>
      </c>
      <c r="W34" s="37">
        <f t="shared" si="3"/>
        <v>0</v>
      </c>
      <c r="X34" s="37">
        <f t="shared" si="3"/>
        <v>17</v>
      </c>
      <c r="Y34" s="37">
        <f t="shared" si="3"/>
        <v>11</v>
      </c>
      <c r="Z34" s="37">
        <f t="shared" si="3"/>
        <v>17</v>
      </c>
      <c r="AA34" s="37">
        <f t="shared" si="3"/>
        <v>5</v>
      </c>
      <c r="AC34" s="18">
        <v>5</v>
      </c>
      <c r="AD34" s="18">
        <v>5</v>
      </c>
      <c r="AE34" s="18">
        <v>5</v>
      </c>
      <c r="AF34" s="18">
        <v>5</v>
      </c>
      <c r="AG34" s="18">
        <v>5</v>
      </c>
      <c r="AH34" s="18">
        <v>5</v>
      </c>
      <c r="AI34" s="18">
        <v>5</v>
      </c>
      <c r="AK34" s="4">
        <v>1</v>
      </c>
      <c r="AL34" s="4">
        <v>1</v>
      </c>
      <c r="AM34" s="4">
        <v>1</v>
      </c>
      <c r="AN34" s="4">
        <v>2</v>
      </c>
      <c r="AO34" s="4">
        <v>1</v>
      </c>
      <c r="AP34" s="4">
        <v>1</v>
      </c>
      <c r="AQ34" s="4">
        <v>1</v>
      </c>
    </row>
    <row r="35" spans="1:43">
      <c r="B35" s="4" t="s">
        <v>73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4">
        <v>31</v>
      </c>
      <c r="M35" s="38" t="s">
        <v>37</v>
      </c>
      <c r="N35" s="38" t="s">
        <v>34</v>
      </c>
      <c r="O35" s="38" t="s">
        <v>34</v>
      </c>
      <c r="P35" s="38" t="s">
        <v>25</v>
      </c>
      <c r="Q35" s="38" t="s">
        <v>90</v>
      </c>
      <c r="R35" s="38" t="s">
        <v>65</v>
      </c>
      <c r="S35" s="24" t="s">
        <v>32</v>
      </c>
      <c r="U35" s="37">
        <f t="shared" si="3"/>
        <v>13</v>
      </c>
      <c r="V35" s="37">
        <f t="shared" si="3"/>
        <v>16</v>
      </c>
      <c r="W35" s="37">
        <f t="shared" si="3"/>
        <v>16</v>
      </c>
      <c r="X35" s="37">
        <f t="shared" si="3"/>
        <v>5</v>
      </c>
      <c r="Y35" s="37">
        <f t="shared" si="3"/>
        <v>6</v>
      </c>
      <c r="Z35" s="37">
        <f t="shared" si="3"/>
        <v>17</v>
      </c>
      <c r="AA35" s="37">
        <f t="shared" si="3"/>
        <v>4</v>
      </c>
      <c r="AC35" s="18">
        <v>5</v>
      </c>
      <c r="AD35" s="18">
        <v>0</v>
      </c>
      <c r="AE35" s="18">
        <v>0</v>
      </c>
      <c r="AF35" s="18">
        <v>0</v>
      </c>
      <c r="AG35" s="18">
        <v>0</v>
      </c>
      <c r="AH35" s="18">
        <v>5</v>
      </c>
      <c r="AI35" s="18">
        <v>5</v>
      </c>
      <c r="AK35" s="4">
        <v>1</v>
      </c>
      <c r="AL35" s="4">
        <v>1</v>
      </c>
      <c r="AM35" s="4">
        <v>1</v>
      </c>
      <c r="AN35" s="4">
        <v>0</v>
      </c>
      <c r="AO35" s="4">
        <v>2</v>
      </c>
      <c r="AP35" s="4">
        <v>1</v>
      </c>
      <c r="AQ35" s="4">
        <v>1</v>
      </c>
    </row>
    <row r="36" spans="1:43">
      <c r="B36" s="4" t="s">
        <v>76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5">
        <v>32</v>
      </c>
      <c r="M36" s="38" t="s">
        <v>37</v>
      </c>
      <c r="N36" s="38" t="s">
        <v>25</v>
      </c>
      <c r="O36" s="38" t="s">
        <v>25</v>
      </c>
      <c r="P36" s="38" t="s">
        <v>33</v>
      </c>
      <c r="Q36" s="38" t="s">
        <v>90</v>
      </c>
      <c r="R36" s="38" t="s">
        <v>38</v>
      </c>
      <c r="S36" s="24" t="s">
        <v>32</v>
      </c>
      <c r="U36" s="37">
        <f t="shared" si="3"/>
        <v>13</v>
      </c>
      <c r="V36" s="37">
        <f t="shared" si="3"/>
        <v>5</v>
      </c>
      <c r="W36" s="37">
        <f t="shared" si="3"/>
        <v>5</v>
      </c>
      <c r="X36" s="37">
        <f t="shared" si="3"/>
        <v>11</v>
      </c>
      <c r="Y36" s="37">
        <f t="shared" si="3"/>
        <v>6</v>
      </c>
      <c r="Z36" s="37">
        <f t="shared" si="3"/>
        <v>15</v>
      </c>
      <c r="AA36" s="37">
        <f t="shared" si="3"/>
        <v>4</v>
      </c>
      <c r="AC36" s="18">
        <v>5</v>
      </c>
      <c r="AD36" s="18">
        <v>0</v>
      </c>
      <c r="AE36" s="18">
        <v>0</v>
      </c>
      <c r="AF36" s="18">
        <v>0</v>
      </c>
      <c r="AG36" s="18">
        <v>0</v>
      </c>
      <c r="AH36" s="18">
        <v>5</v>
      </c>
      <c r="AI36" s="18">
        <v>5</v>
      </c>
      <c r="AK36" s="4">
        <v>1</v>
      </c>
      <c r="AL36" s="4">
        <v>2</v>
      </c>
      <c r="AM36" s="4">
        <v>2</v>
      </c>
      <c r="AN36" s="4">
        <v>1</v>
      </c>
      <c r="AO36" s="4">
        <v>0</v>
      </c>
      <c r="AP36" s="4">
        <v>1</v>
      </c>
      <c r="AQ36" s="4">
        <v>1</v>
      </c>
    </row>
    <row r="37" spans="1:43">
      <c r="B37" s="4" t="s">
        <v>74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4">
        <v>33</v>
      </c>
      <c r="M37" s="38" t="s">
        <v>90</v>
      </c>
      <c r="N37" s="38" t="s">
        <v>25</v>
      </c>
      <c r="O37" s="38" t="s">
        <v>39</v>
      </c>
      <c r="P37" s="38" t="s">
        <v>33</v>
      </c>
      <c r="Q37" s="38" t="s">
        <v>65</v>
      </c>
      <c r="R37" s="38" t="s">
        <v>90</v>
      </c>
      <c r="S37" s="24" t="s">
        <v>33</v>
      </c>
      <c r="U37" s="37">
        <f t="shared" si="3"/>
        <v>6</v>
      </c>
      <c r="V37" s="37">
        <f t="shared" si="3"/>
        <v>5</v>
      </c>
      <c r="W37" s="37">
        <f t="shared" si="3"/>
        <v>5</v>
      </c>
      <c r="X37" s="37">
        <f t="shared" si="3"/>
        <v>11</v>
      </c>
      <c r="Y37" s="37">
        <f t="shared" si="3"/>
        <v>17</v>
      </c>
      <c r="Z37" s="37">
        <f t="shared" si="3"/>
        <v>6</v>
      </c>
      <c r="AA37" s="37">
        <f t="shared" si="3"/>
        <v>11</v>
      </c>
      <c r="AC37" s="18">
        <v>5</v>
      </c>
      <c r="AD37" s="18">
        <v>0</v>
      </c>
      <c r="AE37" s="18">
        <v>0</v>
      </c>
      <c r="AF37" s="18">
        <v>0</v>
      </c>
      <c r="AG37" s="18">
        <v>0</v>
      </c>
      <c r="AH37" s="18">
        <v>5</v>
      </c>
      <c r="AI37" s="18">
        <v>5</v>
      </c>
      <c r="AK37" s="4">
        <v>1</v>
      </c>
      <c r="AL37" s="4">
        <v>0</v>
      </c>
      <c r="AM37" s="4">
        <v>0</v>
      </c>
      <c r="AN37" s="4">
        <v>1</v>
      </c>
      <c r="AO37" s="4">
        <v>1</v>
      </c>
      <c r="AP37" s="4">
        <v>1</v>
      </c>
      <c r="AQ37" s="4">
        <v>1</v>
      </c>
    </row>
    <row r="38" spans="1:43">
      <c r="B38" s="4" t="s">
        <v>77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5">
        <v>34</v>
      </c>
      <c r="M38" s="38" t="s">
        <v>40</v>
      </c>
      <c r="N38" s="38" t="s">
        <v>65</v>
      </c>
      <c r="O38" s="38" t="s">
        <v>90</v>
      </c>
      <c r="P38" s="38" t="s">
        <v>65</v>
      </c>
      <c r="Q38" s="38" t="s">
        <v>35</v>
      </c>
      <c r="R38" s="38" t="s">
        <v>40</v>
      </c>
      <c r="S38" s="24" t="s">
        <v>33</v>
      </c>
      <c r="U38" s="37">
        <f t="shared" si="3"/>
        <v>12</v>
      </c>
      <c r="V38" s="37">
        <f t="shared" si="3"/>
        <v>17</v>
      </c>
      <c r="W38" s="37">
        <f t="shared" si="3"/>
        <v>6</v>
      </c>
      <c r="X38" s="37">
        <f t="shared" si="3"/>
        <v>17</v>
      </c>
      <c r="Y38" s="37">
        <f t="shared" si="3"/>
        <v>15</v>
      </c>
      <c r="Z38" s="37">
        <f t="shared" si="3"/>
        <v>12</v>
      </c>
      <c r="AA38" s="37">
        <f t="shared" si="3"/>
        <v>11</v>
      </c>
      <c r="AC38" s="18">
        <v>5</v>
      </c>
      <c r="AD38" s="18">
        <v>0</v>
      </c>
      <c r="AE38" s="18">
        <v>0</v>
      </c>
      <c r="AF38" s="18">
        <v>0</v>
      </c>
      <c r="AG38" s="18">
        <v>1</v>
      </c>
      <c r="AH38" s="18">
        <v>5</v>
      </c>
      <c r="AI38" s="18">
        <v>5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</row>
    <row r="39" spans="1:43">
      <c r="B39" s="4" t="s">
        <v>78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4">
        <v>35</v>
      </c>
      <c r="M39" s="38" t="s">
        <v>40</v>
      </c>
      <c r="N39" s="38" t="s">
        <v>40</v>
      </c>
      <c r="O39" s="38" t="s">
        <v>37</v>
      </c>
      <c r="P39" s="38" t="s">
        <v>25</v>
      </c>
      <c r="Q39" s="38" t="s">
        <v>224</v>
      </c>
      <c r="R39" s="38" t="s">
        <v>40</v>
      </c>
      <c r="S39" s="24" t="s">
        <v>40</v>
      </c>
      <c r="U39" s="37">
        <f t="shared" si="3"/>
        <v>12</v>
      </c>
      <c r="V39" s="37">
        <f t="shared" si="3"/>
        <v>12</v>
      </c>
      <c r="W39" s="37">
        <f t="shared" si="3"/>
        <v>13</v>
      </c>
      <c r="X39" s="37">
        <f t="shared" si="3"/>
        <v>5</v>
      </c>
      <c r="Y39" s="37">
        <f t="shared" si="3"/>
        <v>0</v>
      </c>
      <c r="Z39" s="37">
        <f t="shared" si="3"/>
        <v>12</v>
      </c>
      <c r="AA39" s="37">
        <f t="shared" si="3"/>
        <v>12</v>
      </c>
      <c r="AC39" s="18">
        <v>5</v>
      </c>
      <c r="AD39" s="18">
        <v>5</v>
      </c>
      <c r="AE39" s="18">
        <v>5</v>
      </c>
      <c r="AF39" s="18">
        <v>5</v>
      </c>
      <c r="AG39" s="18">
        <v>6</v>
      </c>
      <c r="AH39" s="18">
        <v>5</v>
      </c>
      <c r="AI39" s="18">
        <v>5</v>
      </c>
      <c r="AK39" s="4">
        <v>1</v>
      </c>
      <c r="AL39" s="4">
        <v>1</v>
      </c>
      <c r="AM39" s="4">
        <v>1</v>
      </c>
      <c r="AN39" s="4">
        <v>2</v>
      </c>
      <c r="AO39" s="4">
        <v>2</v>
      </c>
      <c r="AP39" s="4">
        <v>1</v>
      </c>
      <c r="AQ39" s="4">
        <v>1</v>
      </c>
    </row>
    <row r="40" spans="1:43">
      <c r="B40" s="4" t="s">
        <v>79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5">
        <v>36</v>
      </c>
      <c r="M40" s="37" t="s">
        <v>35</v>
      </c>
      <c r="N40" s="37" t="s">
        <v>40</v>
      </c>
      <c r="O40" s="37" t="s">
        <v>34</v>
      </c>
      <c r="P40" s="37" t="s">
        <v>25</v>
      </c>
      <c r="Q40" s="37" t="s">
        <v>39</v>
      </c>
      <c r="R40" s="37" t="s">
        <v>40</v>
      </c>
      <c r="S40" s="37" t="s">
        <v>34</v>
      </c>
      <c r="U40" s="37">
        <f t="shared" si="3"/>
        <v>15</v>
      </c>
      <c r="V40" s="37">
        <f t="shared" si="3"/>
        <v>12</v>
      </c>
      <c r="W40" s="37">
        <f t="shared" si="3"/>
        <v>16</v>
      </c>
      <c r="X40" s="37">
        <f t="shared" si="3"/>
        <v>5</v>
      </c>
      <c r="Y40" s="37">
        <f t="shared" si="3"/>
        <v>5</v>
      </c>
      <c r="Z40" s="37">
        <f t="shared" si="3"/>
        <v>12</v>
      </c>
      <c r="AA40" s="37">
        <f t="shared" si="3"/>
        <v>16</v>
      </c>
      <c r="AC40" s="18">
        <v>5</v>
      </c>
      <c r="AD40" s="18">
        <v>0</v>
      </c>
      <c r="AE40" s="18">
        <v>0</v>
      </c>
      <c r="AF40" s="18">
        <v>0</v>
      </c>
      <c r="AG40" s="18">
        <v>0</v>
      </c>
      <c r="AH40" s="18">
        <v>5</v>
      </c>
      <c r="AI40" s="18">
        <v>5</v>
      </c>
      <c r="AK40" s="4">
        <v>1</v>
      </c>
      <c r="AL40" s="4">
        <v>2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</row>
    <row r="41" spans="1:43">
      <c r="B41" s="4" t="s">
        <v>80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4">
        <v>37</v>
      </c>
      <c r="M41" s="38" t="s">
        <v>34</v>
      </c>
      <c r="N41" s="38" t="s">
        <v>242</v>
      </c>
      <c r="O41" s="38" t="s">
        <v>34</v>
      </c>
      <c r="P41" s="38" t="s">
        <v>38</v>
      </c>
      <c r="Q41" s="38" t="s">
        <v>39</v>
      </c>
      <c r="R41" s="38" t="s">
        <v>65</v>
      </c>
      <c r="S41" s="24" t="s">
        <v>34</v>
      </c>
      <c r="U41" s="37">
        <f t="shared" si="3"/>
        <v>16</v>
      </c>
      <c r="V41" s="37">
        <f t="shared" si="3"/>
        <v>0</v>
      </c>
      <c r="W41" s="37">
        <f t="shared" si="3"/>
        <v>16</v>
      </c>
      <c r="X41" s="37">
        <f t="shared" si="3"/>
        <v>15</v>
      </c>
      <c r="Y41" s="37">
        <f t="shared" si="3"/>
        <v>5</v>
      </c>
      <c r="Z41" s="37">
        <f t="shared" si="3"/>
        <v>17</v>
      </c>
      <c r="AA41" s="37">
        <f t="shared" si="3"/>
        <v>16</v>
      </c>
      <c r="AC41" s="18">
        <v>5</v>
      </c>
      <c r="AD41" s="18">
        <v>0</v>
      </c>
      <c r="AE41" s="18">
        <v>0</v>
      </c>
      <c r="AF41" s="18">
        <v>0</v>
      </c>
      <c r="AG41" s="18">
        <v>0</v>
      </c>
      <c r="AH41" s="18">
        <v>5</v>
      </c>
      <c r="AI41" s="18">
        <v>5</v>
      </c>
      <c r="AK41" s="4">
        <v>1</v>
      </c>
      <c r="AL41" s="4">
        <v>0</v>
      </c>
      <c r="AM41" s="4">
        <v>1</v>
      </c>
      <c r="AN41" s="4">
        <v>1</v>
      </c>
      <c r="AO41" s="4">
        <v>2</v>
      </c>
      <c r="AP41" s="4">
        <v>1</v>
      </c>
      <c r="AQ41" s="4">
        <v>1</v>
      </c>
    </row>
    <row r="42" spans="1:43">
      <c r="B42" s="4" t="s">
        <v>81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5">
        <v>38</v>
      </c>
      <c r="M42" s="38" t="s">
        <v>34</v>
      </c>
      <c r="N42" s="38" t="s">
        <v>90</v>
      </c>
      <c r="O42" s="38" t="s">
        <v>232</v>
      </c>
      <c r="P42" s="38" t="s">
        <v>38</v>
      </c>
      <c r="Q42" s="38" t="s">
        <v>37</v>
      </c>
      <c r="R42" s="38" t="s">
        <v>65</v>
      </c>
      <c r="S42" s="24" t="s">
        <v>34</v>
      </c>
      <c r="U42" s="37">
        <f t="shared" si="3"/>
        <v>16</v>
      </c>
      <c r="V42" s="37">
        <f t="shared" si="3"/>
        <v>6</v>
      </c>
      <c r="W42" s="37">
        <f t="shared" si="3"/>
        <v>0</v>
      </c>
      <c r="X42" s="37">
        <f t="shared" si="3"/>
        <v>15</v>
      </c>
      <c r="Y42" s="37">
        <f t="shared" si="3"/>
        <v>13</v>
      </c>
      <c r="Z42" s="37">
        <f t="shared" si="3"/>
        <v>17</v>
      </c>
      <c r="AA42" s="37">
        <f t="shared" si="3"/>
        <v>16</v>
      </c>
      <c r="AC42" s="18">
        <v>5</v>
      </c>
      <c r="AD42" s="18">
        <v>0</v>
      </c>
      <c r="AE42" s="18">
        <v>0</v>
      </c>
      <c r="AF42" s="18">
        <v>0</v>
      </c>
      <c r="AG42" s="18">
        <v>0</v>
      </c>
      <c r="AH42" s="18">
        <v>5</v>
      </c>
      <c r="AI42" s="18">
        <v>5</v>
      </c>
      <c r="AK42" s="4">
        <v>1</v>
      </c>
      <c r="AL42" s="4">
        <v>1</v>
      </c>
      <c r="AM42" s="4">
        <v>1</v>
      </c>
      <c r="AN42" s="4">
        <v>2</v>
      </c>
      <c r="AO42" s="4">
        <v>0</v>
      </c>
      <c r="AP42" s="4">
        <v>1</v>
      </c>
      <c r="AQ42" s="4">
        <v>1</v>
      </c>
    </row>
    <row r="43" spans="1:43">
      <c r="B43" s="4" t="s">
        <v>82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4">
        <v>39</v>
      </c>
      <c r="M43" s="38" t="s">
        <v>65</v>
      </c>
      <c r="N43" s="38" t="s">
        <v>35</v>
      </c>
      <c r="O43" s="38" t="s">
        <v>90</v>
      </c>
      <c r="P43" s="38" t="s">
        <v>35</v>
      </c>
      <c r="Q43" s="38" t="s">
        <v>37</v>
      </c>
      <c r="R43" s="38" t="s">
        <v>38</v>
      </c>
      <c r="S43" s="24" t="s">
        <v>65</v>
      </c>
      <c r="U43" s="37">
        <f t="shared" si="3"/>
        <v>17</v>
      </c>
      <c r="V43" s="37">
        <f t="shared" si="3"/>
        <v>15</v>
      </c>
      <c r="W43" s="37">
        <f t="shared" si="3"/>
        <v>6</v>
      </c>
      <c r="X43" s="37">
        <f t="shared" si="3"/>
        <v>15</v>
      </c>
      <c r="Y43" s="37">
        <f t="shared" si="3"/>
        <v>13</v>
      </c>
      <c r="Z43" s="37">
        <f t="shared" si="3"/>
        <v>15</v>
      </c>
      <c r="AA43" s="37">
        <f t="shared" si="3"/>
        <v>17</v>
      </c>
      <c r="AC43" s="18">
        <v>5</v>
      </c>
      <c r="AD43" s="18">
        <v>0</v>
      </c>
      <c r="AE43" s="18">
        <v>0</v>
      </c>
      <c r="AF43" s="18">
        <v>0</v>
      </c>
      <c r="AG43" s="18">
        <v>0</v>
      </c>
      <c r="AH43" s="18">
        <v>5</v>
      </c>
      <c r="AI43" s="18">
        <v>5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1</v>
      </c>
      <c r="AQ43" s="4">
        <v>1</v>
      </c>
    </row>
    <row r="44" spans="1:43">
      <c r="B44" s="4" t="s">
        <v>83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5">
        <v>40</v>
      </c>
      <c r="M44" s="38" t="s">
        <v>90</v>
      </c>
      <c r="N44" s="38" t="s">
        <v>228</v>
      </c>
      <c r="O44" s="38" t="s">
        <v>40</v>
      </c>
      <c r="P44" s="38" t="s">
        <v>35</v>
      </c>
      <c r="Q44" s="38" t="s">
        <v>34</v>
      </c>
      <c r="R44" s="38" t="s">
        <v>25</v>
      </c>
      <c r="S44" s="24" t="s">
        <v>65</v>
      </c>
      <c r="U44" s="37">
        <f t="shared" si="3"/>
        <v>6</v>
      </c>
      <c r="V44" s="37">
        <f t="shared" si="3"/>
        <v>0</v>
      </c>
      <c r="W44" s="37">
        <f t="shared" si="3"/>
        <v>12</v>
      </c>
      <c r="X44" s="37">
        <f t="shared" si="3"/>
        <v>15</v>
      </c>
      <c r="Y44" s="37">
        <f t="shared" si="3"/>
        <v>16</v>
      </c>
      <c r="Z44" s="37">
        <f t="shared" si="3"/>
        <v>5</v>
      </c>
      <c r="AA44" s="37">
        <f t="shared" si="3"/>
        <v>17</v>
      </c>
      <c r="AC44" s="18">
        <v>5</v>
      </c>
      <c r="AD44" s="18">
        <v>5</v>
      </c>
      <c r="AE44" s="18">
        <v>5</v>
      </c>
      <c r="AF44" s="18">
        <v>5</v>
      </c>
      <c r="AG44" s="18">
        <v>6</v>
      </c>
      <c r="AH44" s="18">
        <v>5</v>
      </c>
      <c r="AI44" s="18">
        <v>5</v>
      </c>
      <c r="AK44" s="4">
        <v>1</v>
      </c>
      <c r="AL44" s="4">
        <v>3</v>
      </c>
      <c r="AM44" s="4">
        <v>1</v>
      </c>
      <c r="AN44" s="4">
        <v>1</v>
      </c>
      <c r="AO44" s="4">
        <v>3</v>
      </c>
      <c r="AP44" s="4">
        <v>1</v>
      </c>
      <c r="AQ44" s="4">
        <v>1</v>
      </c>
    </row>
    <row r="45" spans="1:43">
      <c r="B45" s="4" t="s">
        <v>84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4">
        <v>41</v>
      </c>
      <c r="M45" s="38" t="s">
        <v>39</v>
      </c>
      <c r="N45" s="38" t="s">
        <v>65</v>
      </c>
      <c r="O45" s="38" t="s">
        <v>65</v>
      </c>
      <c r="P45" s="38" t="s">
        <v>37</v>
      </c>
      <c r="Q45" s="38" t="s">
        <v>34</v>
      </c>
      <c r="R45" s="38" t="s">
        <v>65</v>
      </c>
      <c r="S45" s="24" t="s">
        <v>65</v>
      </c>
      <c r="U45" s="37">
        <f t="shared" si="3"/>
        <v>5</v>
      </c>
      <c r="V45" s="37">
        <f t="shared" si="3"/>
        <v>17</v>
      </c>
      <c r="W45" s="37">
        <f t="shared" si="3"/>
        <v>17</v>
      </c>
      <c r="X45" s="37">
        <f t="shared" si="3"/>
        <v>13</v>
      </c>
      <c r="Y45" s="37">
        <f t="shared" si="3"/>
        <v>16</v>
      </c>
      <c r="Z45" s="37">
        <f t="shared" si="3"/>
        <v>17</v>
      </c>
      <c r="AA45" s="37">
        <f t="shared" si="3"/>
        <v>17</v>
      </c>
      <c r="AC45" s="18">
        <v>5</v>
      </c>
      <c r="AD45" s="18">
        <v>0</v>
      </c>
      <c r="AE45" s="18">
        <v>0</v>
      </c>
      <c r="AF45" s="18">
        <v>0</v>
      </c>
      <c r="AG45" s="18">
        <v>0</v>
      </c>
      <c r="AH45" s="18">
        <v>5</v>
      </c>
      <c r="AI45" s="18">
        <v>5</v>
      </c>
      <c r="AK45" s="4">
        <v>1</v>
      </c>
      <c r="AL45" s="4">
        <v>0</v>
      </c>
      <c r="AM45" s="4">
        <v>3</v>
      </c>
      <c r="AN45" s="4">
        <v>3</v>
      </c>
      <c r="AO45" s="4">
        <v>0</v>
      </c>
      <c r="AP45" s="4">
        <v>1</v>
      </c>
      <c r="AQ45" s="4">
        <v>1</v>
      </c>
    </row>
    <row r="46" spans="1:43">
      <c r="B46" s="4" t="s">
        <v>85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5">
        <v>42</v>
      </c>
      <c r="M46" s="38" t="s">
        <v>39</v>
      </c>
      <c r="N46" s="38" t="s">
        <v>90</v>
      </c>
      <c r="O46" s="38" t="s">
        <v>35</v>
      </c>
      <c r="P46" s="38" t="s">
        <v>37</v>
      </c>
      <c r="Q46" s="38" t="s">
        <v>90</v>
      </c>
      <c r="R46" s="38" t="s">
        <v>33</v>
      </c>
      <c r="S46" s="24" t="s">
        <v>34</v>
      </c>
      <c r="U46" s="37">
        <f t="shared" si="3"/>
        <v>5</v>
      </c>
      <c r="V46" s="37">
        <f t="shared" si="3"/>
        <v>6</v>
      </c>
      <c r="W46" s="37">
        <f t="shared" si="3"/>
        <v>15</v>
      </c>
      <c r="X46" s="37">
        <f t="shared" si="3"/>
        <v>13</v>
      </c>
      <c r="Y46" s="37">
        <f t="shared" si="3"/>
        <v>6</v>
      </c>
      <c r="Z46" s="37">
        <f t="shared" si="3"/>
        <v>11</v>
      </c>
      <c r="AA46" s="37">
        <f t="shared" si="3"/>
        <v>16</v>
      </c>
      <c r="AC46" s="18">
        <v>5</v>
      </c>
      <c r="AD46" s="18">
        <v>0</v>
      </c>
      <c r="AE46" s="18">
        <v>0</v>
      </c>
      <c r="AF46" s="18">
        <v>0</v>
      </c>
      <c r="AG46" s="18">
        <v>0</v>
      </c>
      <c r="AH46" s="18">
        <v>5</v>
      </c>
      <c r="AI46" s="18">
        <v>5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1</v>
      </c>
      <c r="AQ46" s="4">
        <v>1</v>
      </c>
    </row>
    <row r="47" spans="1:43">
      <c r="B47" s="4" t="s">
        <v>86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4">
        <v>43</v>
      </c>
      <c r="M47" s="38" t="s">
        <v>34</v>
      </c>
      <c r="N47" s="38" t="s">
        <v>38</v>
      </c>
      <c r="O47" s="38" t="s">
        <v>228</v>
      </c>
      <c r="P47" s="38" t="s">
        <v>65</v>
      </c>
      <c r="Q47" s="38" t="s">
        <v>90</v>
      </c>
      <c r="R47" s="38" t="s">
        <v>33</v>
      </c>
      <c r="S47" s="24" t="s">
        <v>34</v>
      </c>
      <c r="U47" s="37">
        <f t="shared" si="3"/>
        <v>16</v>
      </c>
      <c r="V47" s="37">
        <f t="shared" si="3"/>
        <v>15</v>
      </c>
      <c r="W47" s="37">
        <f t="shared" si="3"/>
        <v>0</v>
      </c>
      <c r="X47" s="37">
        <f t="shared" si="3"/>
        <v>17</v>
      </c>
      <c r="Y47" s="37">
        <f t="shared" si="3"/>
        <v>6</v>
      </c>
      <c r="Z47" s="37">
        <f t="shared" si="3"/>
        <v>11</v>
      </c>
      <c r="AA47" s="37">
        <f t="shared" si="3"/>
        <v>16</v>
      </c>
      <c r="AC47" s="18">
        <v>5</v>
      </c>
      <c r="AD47" s="18">
        <v>0</v>
      </c>
      <c r="AE47" s="18">
        <v>0</v>
      </c>
      <c r="AF47" s="18">
        <v>0</v>
      </c>
      <c r="AG47" s="18">
        <v>0</v>
      </c>
      <c r="AH47" s="18">
        <v>5</v>
      </c>
      <c r="AI47" s="18">
        <v>5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1</v>
      </c>
      <c r="AQ47" s="4">
        <v>1</v>
      </c>
    </row>
    <row r="48" spans="1:43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34</v>
      </c>
      <c r="N48" s="38" t="s">
        <v>238</v>
      </c>
      <c r="O48" s="38" t="s">
        <v>94</v>
      </c>
      <c r="P48" s="38" t="s">
        <v>25</v>
      </c>
      <c r="Q48" s="38" t="s">
        <v>90</v>
      </c>
      <c r="R48" s="38" t="s">
        <v>38</v>
      </c>
      <c r="S48" s="24" t="s">
        <v>34</v>
      </c>
      <c r="U48" s="37">
        <f t="shared" si="3"/>
        <v>16</v>
      </c>
      <c r="V48" s="37">
        <f t="shared" si="3"/>
        <v>0</v>
      </c>
      <c r="W48" s="37">
        <f t="shared" si="3"/>
        <v>2</v>
      </c>
      <c r="X48" s="37">
        <f t="shared" si="3"/>
        <v>5</v>
      </c>
      <c r="Y48" s="37">
        <f t="shared" si="3"/>
        <v>6</v>
      </c>
      <c r="Z48" s="37">
        <f t="shared" si="3"/>
        <v>15</v>
      </c>
      <c r="AA48" s="37">
        <f t="shared" si="3"/>
        <v>16</v>
      </c>
      <c r="AC48" s="18">
        <v>5</v>
      </c>
      <c r="AD48" s="18">
        <v>0</v>
      </c>
      <c r="AE48" s="18">
        <v>0</v>
      </c>
      <c r="AF48" s="18">
        <v>0</v>
      </c>
      <c r="AG48" s="18">
        <v>0</v>
      </c>
      <c r="AH48" s="18">
        <v>5</v>
      </c>
      <c r="AI48" s="18">
        <v>5</v>
      </c>
      <c r="AK48" s="4">
        <v>1</v>
      </c>
      <c r="AL48" s="4">
        <v>0</v>
      </c>
      <c r="AM48" s="4">
        <v>1</v>
      </c>
      <c r="AN48" s="4">
        <v>1</v>
      </c>
      <c r="AO48" s="4">
        <v>0</v>
      </c>
      <c r="AP48" s="4">
        <v>1</v>
      </c>
      <c r="AQ48" s="4">
        <v>1</v>
      </c>
    </row>
    <row r="49" spans="2:43">
      <c r="L49" s="14">
        <v>45</v>
      </c>
      <c r="M49" s="38" t="s">
        <v>90</v>
      </c>
      <c r="N49" s="38" t="s">
        <v>232</v>
      </c>
      <c r="O49" s="38" t="s">
        <v>33</v>
      </c>
      <c r="P49" s="38" t="s">
        <v>40</v>
      </c>
      <c r="Q49" s="38" t="s">
        <v>35</v>
      </c>
      <c r="R49" s="38" t="s">
        <v>38</v>
      </c>
      <c r="S49" s="24" t="s">
        <v>90</v>
      </c>
      <c r="U49" s="37">
        <f t="shared" si="3"/>
        <v>6</v>
      </c>
      <c r="V49" s="37">
        <f t="shared" si="3"/>
        <v>0</v>
      </c>
      <c r="W49" s="37">
        <f t="shared" si="3"/>
        <v>11</v>
      </c>
      <c r="X49" s="37">
        <f t="shared" si="3"/>
        <v>12</v>
      </c>
      <c r="Y49" s="37">
        <f t="shared" si="3"/>
        <v>15</v>
      </c>
      <c r="Z49" s="37">
        <f t="shared" si="3"/>
        <v>15</v>
      </c>
      <c r="AA49" s="37">
        <f t="shared" si="3"/>
        <v>6</v>
      </c>
      <c r="AC49" s="18">
        <v>5</v>
      </c>
      <c r="AD49" s="18">
        <v>5</v>
      </c>
      <c r="AE49" s="18">
        <v>5</v>
      </c>
      <c r="AF49" s="18">
        <v>5</v>
      </c>
      <c r="AG49" s="18">
        <v>4</v>
      </c>
      <c r="AH49" s="18">
        <v>5</v>
      </c>
      <c r="AI49" s="18">
        <v>5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</row>
    <row r="50" spans="2:43">
      <c r="B50" s="165" t="s">
        <v>97</v>
      </c>
      <c r="C50" s="162" t="s">
        <v>259</v>
      </c>
      <c r="L50" s="15">
        <v>46</v>
      </c>
      <c r="M50" s="38" t="s">
        <v>25</v>
      </c>
      <c r="N50" s="38" t="s">
        <v>90</v>
      </c>
      <c r="O50" s="38" t="s">
        <v>90</v>
      </c>
      <c r="P50" s="38" t="s">
        <v>35</v>
      </c>
      <c r="Q50" s="38" t="s">
        <v>38</v>
      </c>
      <c r="R50" s="38" t="s">
        <v>38</v>
      </c>
      <c r="S50" s="24" t="s">
        <v>65</v>
      </c>
      <c r="U50" s="37">
        <f t="shared" si="3"/>
        <v>5</v>
      </c>
      <c r="V50" s="37">
        <f t="shared" si="3"/>
        <v>6</v>
      </c>
      <c r="W50" s="37">
        <f t="shared" si="3"/>
        <v>6</v>
      </c>
      <c r="X50" s="37">
        <f t="shared" si="3"/>
        <v>15</v>
      </c>
      <c r="Y50" s="37">
        <f t="shared" si="3"/>
        <v>15</v>
      </c>
      <c r="Z50" s="37">
        <f t="shared" si="3"/>
        <v>15</v>
      </c>
      <c r="AA50" s="37">
        <f t="shared" si="3"/>
        <v>17</v>
      </c>
      <c r="AC50" s="18">
        <v>5</v>
      </c>
      <c r="AD50" s="18">
        <v>0</v>
      </c>
      <c r="AE50" s="18">
        <v>0</v>
      </c>
      <c r="AF50" s="18">
        <v>0</v>
      </c>
      <c r="AG50" s="18">
        <v>1</v>
      </c>
      <c r="AH50" s="18">
        <v>5</v>
      </c>
      <c r="AI50" s="18">
        <v>5</v>
      </c>
      <c r="AK50" s="4">
        <v>1</v>
      </c>
      <c r="AL50" s="4">
        <v>1</v>
      </c>
      <c r="AM50" s="4">
        <v>1</v>
      </c>
      <c r="AN50" s="4">
        <v>1</v>
      </c>
      <c r="AO50" s="4">
        <v>3</v>
      </c>
      <c r="AP50" s="4">
        <v>1</v>
      </c>
      <c r="AQ50" s="4">
        <v>1</v>
      </c>
    </row>
    <row r="51" spans="2:43">
      <c r="B51" s="163" t="s">
        <v>68</v>
      </c>
      <c r="C51" s="161">
        <v>0</v>
      </c>
      <c r="L51" s="14">
        <v>47</v>
      </c>
      <c r="M51" s="38" t="s">
        <v>65</v>
      </c>
      <c r="N51" s="38" t="s">
        <v>25</v>
      </c>
      <c r="O51" s="38" t="s">
        <v>230</v>
      </c>
      <c r="P51" s="38" t="s">
        <v>35</v>
      </c>
      <c r="Q51" s="38" t="s">
        <v>35</v>
      </c>
      <c r="R51" s="38" t="s">
        <v>65</v>
      </c>
      <c r="S51" s="24" t="s">
        <v>33</v>
      </c>
      <c r="U51" s="37">
        <f t="shared" si="3"/>
        <v>17</v>
      </c>
      <c r="V51" s="37">
        <f t="shared" si="3"/>
        <v>5</v>
      </c>
      <c r="W51" s="37">
        <f t="shared" si="3"/>
        <v>0</v>
      </c>
      <c r="X51" s="37">
        <f t="shared" si="3"/>
        <v>15</v>
      </c>
      <c r="Y51" s="37">
        <f t="shared" si="3"/>
        <v>15</v>
      </c>
      <c r="Z51" s="37">
        <f t="shared" si="3"/>
        <v>17</v>
      </c>
      <c r="AA51" s="37">
        <f t="shared" si="3"/>
        <v>11</v>
      </c>
      <c r="AC51" s="18">
        <v>5</v>
      </c>
      <c r="AD51" s="18">
        <v>0</v>
      </c>
      <c r="AE51" s="18">
        <v>0</v>
      </c>
      <c r="AF51" s="18">
        <v>0</v>
      </c>
      <c r="AG51" s="18">
        <v>0</v>
      </c>
      <c r="AH51" s="18">
        <v>5</v>
      </c>
      <c r="AI51" s="18">
        <v>5</v>
      </c>
      <c r="AK51" s="4">
        <v>1</v>
      </c>
      <c r="AL51" s="4">
        <v>2</v>
      </c>
      <c r="AM51" s="4">
        <v>1</v>
      </c>
      <c r="AN51" s="4">
        <v>1</v>
      </c>
      <c r="AO51" s="4">
        <v>0</v>
      </c>
      <c r="AP51" s="4">
        <v>1</v>
      </c>
      <c r="AQ51" s="4">
        <v>1</v>
      </c>
    </row>
    <row r="52" spans="2:43">
      <c r="B52" s="164" t="s">
        <v>19</v>
      </c>
      <c r="C52" s="159">
        <v>0</v>
      </c>
      <c r="L52" s="15">
        <v>48</v>
      </c>
      <c r="M52" s="38" t="s">
        <v>40</v>
      </c>
      <c r="N52" s="38" t="s">
        <v>40</v>
      </c>
      <c r="O52" s="38" t="s">
        <v>232</v>
      </c>
      <c r="P52" s="38" t="s">
        <v>40</v>
      </c>
      <c r="Q52" s="38" t="s">
        <v>34</v>
      </c>
      <c r="R52" s="38" t="s">
        <v>38</v>
      </c>
      <c r="S52" s="24" t="s">
        <v>40</v>
      </c>
      <c r="U52" s="37">
        <f t="shared" si="3"/>
        <v>12</v>
      </c>
      <c r="V52" s="37">
        <f t="shared" si="3"/>
        <v>12</v>
      </c>
      <c r="W52" s="37">
        <f t="shared" si="3"/>
        <v>0</v>
      </c>
      <c r="X52" s="37">
        <f t="shared" si="3"/>
        <v>12</v>
      </c>
      <c r="Y52" s="37">
        <f t="shared" si="3"/>
        <v>16</v>
      </c>
      <c r="Z52" s="37">
        <f t="shared" si="3"/>
        <v>15</v>
      </c>
      <c r="AA52" s="37">
        <f t="shared" si="3"/>
        <v>12</v>
      </c>
      <c r="AC52" s="18">
        <v>5</v>
      </c>
      <c r="AD52" s="18">
        <v>0</v>
      </c>
      <c r="AE52" s="18">
        <v>0</v>
      </c>
      <c r="AF52" s="18">
        <v>0</v>
      </c>
      <c r="AG52" s="18">
        <v>0</v>
      </c>
      <c r="AH52" s="18">
        <v>5</v>
      </c>
      <c r="AI52" s="18">
        <v>5</v>
      </c>
      <c r="AK52" s="4">
        <v>1</v>
      </c>
      <c r="AL52" s="4">
        <v>0</v>
      </c>
      <c r="AM52" s="4">
        <v>1</v>
      </c>
      <c r="AN52" s="4">
        <v>2</v>
      </c>
      <c r="AO52" s="4">
        <v>0</v>
      </c>
      <c r="AP52" s="4">
        <v>1</v>
      </c>
      <c r="AQ52" s="4">
        <v>1</v>
      </c>
    </row>
    <row r="53" spans="2:43">
      <c r="B53" s="164" t="s">
        <v>20</v>
      </c>
      <c r="C53" s="159">
        <v>2</v>
      </c>
      <c r="L53" s="14">
        <v>49</v>
      </c>
      <c r="M53" s="38" t="s">
        <v>34</v>
      </c>
      <c r="N53" s="38" t="s">
        <v>40</v>
      </c>
      <c r="O53" s="38" t="s">
        <v>90</v>
      </c>
      <c r="P53" s="38" t="s">
        <v>25</v>
      </c>
      <c r="Q53" s="38" t="s">
        <v>34</v>
      </c>
      <c r="R53" s="38" t="s">
        <v>38</v>
      </c>
      <c r="S53" s="24" t="s">
        <v>40</v>
      </c>
      <c r="U53" s="37">
        <f t="shared" si="3"/>
        <v>16</v>
      </c>
      <c r="V53" s="37">
        <f t="shared" si="3"/>
        <v>12</v>
      </c>
      <c r="W53" s="37">
        <f t="shared" si="3"/>
        <v>6</v>
      </c>
      <c r="X53" s="37">
        <f t="shared" si="3"/>
        <v>5</v>
      </c>
      <c r="Y53" s="37">
        <f t="shared" si="3"/>
        <v>16</v>
      </c>
      <c r="Z53" s="37">
        <f t="shared" si="3"/>
        <v>15</v>
      </c>
      <c r="AA53" s="37">
        <f t="shared" si="3"/>
        <v>12</v>
      </c>
      <c r="AC53" s="18">
        <v>5</v>
      </c>
      <c r="AD53" s="18">
        <v>0</v>
      </c>
      <c r="AE53" s="18">
        <v>0</v>
      </c>
      <c r="AF53" s="18">
        <v>0</v>
      </c>
      <c r="AG53" s="18">
        <v>1</v>
      </c>
      <c r="AH53" s="18">
        <v>5</v>
      </c>
      <c r="AI53" s="18">
        <v>5</v>
      </c>
      <c r="AK53" s="4">
        <v>1</v>
      </c>
      <c r="AL53" s="4">
        <v>1</v>
      </c>
      <c r="AM53" s="4">
        <v>1</v>
      </c>
      <c r="AN53" s="4">
        <v>0</v>
      </c>
      <c r="AO53" s="4">
        <v>1</v>
      </c>
      <c r="AP53" s="4">
        <v>1</v>
      </c>
      <c r="AQ53" s="4">
        <v>1</v>
      </c>
    </row>
    <row r="54" spans="2:43">
      <c r="B54" s="164" t="s">
        <v>21</v>
      </c>
      <c r="C54" s="159">
        <v>3</v>
      </c>
      <c r="L54" s="15">
        <v>50</v>
      </c>
      <c r="M54" s="38" t="s">
        <v>34</v>
      </c>
      <c r="N54" s="38" t="s">
        <v>38</v>
      </c>
      <c r="O54" s="38" t="s">
        <v>39</v>
      </c>
      <c r="P54" s="38" t="s">
        <v>65</v>
      </c>
      <c r="Q54" s="38" t="s">
        <v>242</v>
      </c>
      <c r="R54" s="38" t="s">
        <v>65</v>
      </c>
      <c r="S54" s="24" t="s">
        <v>40</v>
      </c>
      <c r="U54" s="37">
        <f t="shared" si="3"/>
        <v>16</v>
      </c>
      <c r="V54" s="37">
        <f t="shared" si="3"/>
        <v>15</v>
      </c>
      <c r="W54" s="37">
        <f t="shared" si="3"/>
        <v>5</v>
      </c>
      <c r="X54" s="37">
        <f t="shared" si="3"/>
        <v>17</v>
      </c>
      <c r="Y54" s="37">
        <f t="shared" si="3"/>
        <v>0</v>
      </c>
      <c r="Z54" s="37">
        <f t="shared" si="3"/>
        <v>17</v>
      </c>
      <c r="AA54" s="37">
        <f t="shared" si="3"/>
        <v>12</v>
      </c>
      <c r="AC54" s="18">
        <v>5</v>
      </c>
      <c r="AD54" s="18">
        <v>5</v>
      </c>
      <c r="AE54" s="18">
        <v>5</v>
      </c>
      <c r="AF54" s="18">
        <v>5</v>
      </c>
      <c r="AG54" s="18">
        <v>5</v>
      </c>
      <c r="AH54" s="18">
        <v>5</v>
      </c>
      <c r="AI54" s="18">
        <v>5</v>
      </c>
      <c r="AK54" s="4">
        <v>1</v>
      </c>
      <c r="AL54" s="4">
        <v>1</v>
      </c>
      <c r="AM54" s="4">
        <v>1</v>
      </c>
      <c r="AN54" s="4">
        <v>2</v>
      </c>
      <c r="AO54" s="4">
        <v>1</v>
      </c>
      <c r="AP54" s="4">
        <v>1</v>
      </c>
      <c r="AQ54" s="4">
        <v>1</v>
      </c>
    </row>
    <row r="55" spans="2:43">
      <c r="B55" s="164" t="s">
        <v>17</v>
      </c>
      <c r="C55" s="159">
        <v>5</v>
      </c>
      <c r="L55" s="14">
        <v>51</v>
      </c>
      <c r="M55" s="38" t="s">
        <v>33</v>
      </c>
      <c r="N55" s="38" t="s">
        <v>25</v>
      </c>
      <c r="O55" s="38" t="s">
        <v>33</v>
      </c>
      <c r="P55" s="38" t="s">
        <v>33</v>
      </c>
      <c r="Q55" s="38" t="s">
        <v>40</v>
      </c>
      <c r="R55" s="38" t="s">
        <v>65</v>
      </c>
      <c r="S55" s="24" t="s">
        <v>90</v>
      </c>
      <c r="U55" s="37">
        <f t="shared" si="3"/>
        <v>11</v>
      </c>
      <c r="V55" s="37">
        <f t="shared" si="3"/>
        <v>5</v>
      </c>
      <c r="W55" s="37">
        <f t="shared" si="3"/>
        <v>11</v>
      </c>
      <c r="X55" s="37">
        <f t="shared" si="3"/>
        <v>11</v>
      </c>
      <c r="Y55" s="37">
        <f t="shared" si="3"/>
        <v>12</v>
      </c>
      <c r="Z55" s="37">
        <f t="shared" si="3"/>
        <v>17</v>
      </c>
      <c r="AA55" s="37">
        <f t="shared" si="3"/>
        <v>6</v>
      </c>
      <c r="AC55" s="18">
        <v>5</v>
      </c>
      <c r="AD55" s="18">
        <v>0</v>
      </c>
      <c r="AE55" s="18">
        <v>0</v>
      </c>
      <c r="AF55" s="18">
        <v>0</v>
      </c>
      <c r="AG55" s="18">
        <v>0</v>
      </c>
      <c r="AH55" s="18">
        <v>5</v>
      </c>
      <c r="AI55" s="18">
        <v>5</v>
      </c>
      <c r="AK55" s="4">
        <v>1</v>
      </c>
      <c r="AL55" s="4">
        <v>1</v>
      </c>
      <c r="AM55" s="4">
        <v>1</v>
      </c>
      <c r="AN55" s="4">
        <v>0</v>
      </c>
      <c r="AO55" s="4">
        <v>2</v>
      </c>
      <c r="AP55" s="4">
        <v>1</v>
      </c>
      <c r="AQ55" s="4">
        <v>1</v>
      </c>
    </row>
    <row r="56" spans="2:43">
      <c r="B56" s="164" t="s">
        <v>18</v>
      </c>
      <c r="C56" s="159">
        <v>8</v>
      </c>
      <c r="L56" s="15">
        <v>52</v>
      </c>
      <c r="M56" s="38" t="s">
        <v>40</v>
      </c>
      <c r="N56" s="38" t="s">
        <v>35</v>
      </c>
      <c r="O56" s="38" t="s">
        <v>38</v>
      </c>
      <c r="P56" s="38" t="s">
        <v>238</v>
      </c>
      <c r="Q56" s="38" t="s">
        <v>40</v>
      </c>
      <c r="R56" s="38" t="s">
        <v>38</v>
      </c>
      <c r="S56" s="24" t="s">
        <v>35</v>
      </c>
      <c r="U56" s="37">
        <f t="shared" si="3"/>
        <v>12</v>
      </c>
      <c r="V56" s="37">
        <f t="shared" si="3"/>
        <v>15</v>
      </c>
      <c r="W56" s="37">
        <f t="shared" si="3"/>
        <v>15</v>
      </c>
      <c r="X56" s="37">
        <f t="shared" ref="X56:AA119" si="5">VLOOKUP(P56, $A$4:$J$29, 9, 0)</f>
        <v>0</v>
      </c>
      <c r="Y56" s="37">
        <f t="shared" si="5"/>
        <v>12</v>
      </c>
      <c r="Z56" s="37">
        <f t="shared" si="5"/>
        <v>15</v>
      </c>
      <c r="AA56" s="37">
        <f t="shared" si="5"/>
        <v>15</v>
      </c>
      <c r="AC56" s="18">
        <v>5</v>
      </c>
      <c r="AD56" s="18">
        <v>0</v>
      </c>
      <c r="AE56" s="18">
        <v>0</v>
      </c>
      <c r="AF56" s="18">
        <v>0</v>
      </c>
      <c r="AG56" s="18">
        <v>0</v>
      </c>
      <c r="AH56" s="18">
        <v>5</v>
      </c>
      <c r="AI56" s="18">
        <v>5</v>
      </c>
      <c r="AK56" s="4">
        <v>1</v>
      </c>
      <c r="AL56" s="4">
        <v>2</v>
      </c>
      <c r="AM56" s="4">
        <v>2</v>
      </c>
      <c r="AN56" s="4">
        <v>1</v>
      </c>
      <c r="AO56" s="4">
        <v>0</v>
      </c>
      <c r="AP56" s="4">
        <v>1</v>
      </c>
      <c r="AQ56" s="4">
        <v>1</v>
      </c>
    </row>
    <row r="57" spans="2:43">
      <c r="B57" s="164" t="s">
        <v>64</v>
      </c>
      <c r="C57" s="159">
        <v>12</v>
      </c>
      <c r="L57" s="14">
        <v>53</v>
      </c>
      <c r="M57" s="38" t="s">
        <v>39</v>
      </c>
      <c r="N57" s="38" t="s">
        <v>35</v>
      </c>
      <c r="O57" s="38" t="s">
        <v>238</v>
      </c>
      <c r="P57" s="38" t="s">
        <v>65</v>
      </c>
      <c r="Q57" s="38" t="s">
        <v>39</v>
      </c>
      <c r="R57" s="38" t="s">
        <v>65</v>
      </c>
      <c r="S57" s="24" t="s">
        <v>35</v>
      </c>
      <c r="U57" s="37">
        <f t="shared" ref="U57:Z120" si="6">VLOOKUP(M57, $A$4:$J$29, 9, 0)</f>
        <v>5</v>
      </c>
      <c r="V57" s="37">
        <f t="shared" si="6"/>
        <v>15</v>
      </c>
      <c r="W57" s="37">
        <f t="shared" si="6"/>
        <v>0</v>
      </c>
      <c r="X57" s="37">
        <f t="shared" si="5"/>
        <v>17</v>
      </c>
      <c r="Y57" s="37">
        <f t="shared" si="5"/>
        <v>5</v>
      </c>
      <c r="Z57" s="37">
        <f t="shared" si="5"/>
        <v>17</v>
      </c>
      <c r="AA57" s="37">
        <f t="shared" si="5"/>
        <v>15</v>
      </c>
      <c r="AC57" s="18">
        <v>5</v>
      </c>
      <c r="AD57" s="18">
        <v>0</v>
      </c>
      <c r="AE57" s="18">
        <v>0</v>
      </c>
      <c r="AF57" s="18">
        <v>0</v>
      </c>
      <c r="AG57" s="18">
        <v>0</v>
      </c>
      <c r="AH57" s="18">
        <v>5</v>
      </c>
      <c r="AI57" s="18">
        <v>5</v>
      </c>
      <c r="AK57" s="4">
        <v>1</v>
      </c>
      <c r="AL57" s="4">
        <v>0</v>
      </c>
      <c r="AM57" s="4">
        <v>0</v>
      </c>
      <c r="AN57" s="4">
        <v>1</v>
      </c>
      <c r="AO57" s="4">
        <v>1</v>
      </c>
      <c r="AP57" s="4">
        <v>1</v>
      </c>
      <c r="AQ57" s="4">
        <v>1</v>
      </c>
    </row>
    <row r="58" spans="2:43">
      <c r="B58" s="164" t="s">
        <v>92</v>
      </c>
      <c r="C58" s="159">
        <v>10</v>
      </c>
      <c r="L58" s="15">
        <v>54</v>
      </c>
      <c r="M58" s="38" t="s">
        <v>34</v>
      </c>
      <c r="N58" s="38" t="s">
        <v>240</v>
      </c>
      <c r="O58" s="38" t="s">
        <v>39</v>
      </c>
      <c r="P58" s="38" t="s">
        <v>65</v>
      </c>
      <c r="Q58" s="38" t="s">
        <v>35</v>
      </c>
      <c r="R58" s="38" t="s">
        <v>40</v>
      </c>
      <c r="S58" s="24" t="s">
        <v>35</v>
      </c>
      <c r="U58" s="37">
        <f t="shared" si="6"/>
        <v>16</v>
      </c>
      <c r="V58" s="37">
        <f t="shared" si="6"/>
        <v>0</v>
      </c>
      <c r="W58" s="37">
        <f t="shared" si="6"/>
        <v>5</v>
      </c>
      <c r="X58" s="37">
        <f t="shared" si="5"/>
        <v>17</v>
      </c>
      <c r="Y58" s="37">
        <f t="shared" si="5"/>
        <v>15</v>
      </c>
      <c r="Z58" s="37">
        <f t="shared" si="5"/>
        <v>12</v>
      </c>
      <c r="AA58" s="37">
        <f t="shared" si="5"/>
        <v>15</v>
      </c>
      <c r="AC58" s="18">
        <v>5</v>
      </c>
      <c r="AD58" s="18">
        <v>0</v>
      </c>
      <c r="AE58" s="18">
        <v>0</v>
      </c>
      <c r="AF58" s="18">
        <v>0</v>
      </c>
      <c r="AG58" s="18">
        <v>1</v>
      </c>
      <c r="AH58" s="18">
        <v>5</v>
      </c>
      <c r="AI58" s="18">
        <v>5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</row>
    <row r="59" spans="2:43">
      <c r="B59" s="164" t="s">
        <v>93</v>
      </c>
      <c r="C59" s="159">
        <v>10</v>
      </c>
      <c r="L59" s="14">
        <v>55</v>
      </c>
      <c r="M59" s="38" t="s">
        <v>34</v>
      </c>
      <c r="N59" s="38" t="s">
        <v>236</v>
      </c>
      <c r="O59" s="38" t="s">
        <v>39</v>
      </c>
      <c r="P59" s="38" t="s">
        <v>25</v>
      </c>
      <c r="Q59" s="38" t="s">
        <v>35</v>
      </c>
      <c r="R59" s="38" t="s">
        <v>40</v>
      </c>
      <c r="S59" s="24" t="s">
        <v>25</v>
      </c>
      <c r="U59" s="37">
        <f t="shared" si="6"/>
        <v>16</v>
      </c>
      <c r="V59" s="37">
        <f t="shared" si="6"/>
        <v>0</v>
      </c>
      <c r="W59" s="37">
        <f t="shared" si="6"/>
        <v>5</v>
      </c>
      <c r="X59" s="37">
        <f t="shared" si="5"/>
        <v>5</v>
      </c>
      <c r="Y59" s="37">
        <f t="shared" si="5"/>
        <v>15</v>
      </c>
      <c r="Z59" s="37">
        <f t="shared" si="5"/>
        <v>12</v>
      </c>
      <c r="AA59" s="37">
        <f t="shared" si="5"/>
        <v>5</v>
      </c>
      <c r="AC59" s="18">
        <v>5</v>
      </c>
      <c r="AD59" s="18">
        <v>5</v>
      </c>
      <c r="AE59" s="18">
        <v>5</v>
      </c>
      <c r="AF59" s="18">
        <v>5</v>
      </c>
      <c r="AG59" s="18">
        <v>6</v>
      </c>
      <c r="AH59" s="18">
        <v>5</v>
      </c>
      <c r="AI59" s="18">
        <v>5</v>
      </c>
      <c r="AK59" s="4">
        <v>1</v>
      </c>
      <c r="AL59" s="4">
        <v>1</v>
      </c>
      <c r="AM59" s="4">
        <v>1</v>
      </c>
      <c r="AN59" s="4">
        <v>2</v>
      </c>
      <c r="AO59" s="4">
        <v>2</v>
      </c>
      <c r="AP59" s="4">
        <v>1</v>
      </c>
      <c r="AQ59" s="4">
        <v>1</v>
      </c>
    </row>
    <row r="60" spans="2:43">
      <c r="B60" s="4" t="s">
        <v>37</v>
      </c>
      <c r="C60" s="160">
        <v>10</v>
      </c>
      <c r="L60" s="15">
        <v>56</v>
      </c>
      <c r="M60" s="38" t="s">
        <v>38</v>
      </c>
      <c r="N60" s="38" t="s">
        <v>37</v>
      </c>
      <c r="O60" s="38" t="s">
        <v>39</v>
      </c>
      <c r="P60" s="38" t="s">
        <v>25</v>
      </c>
      <c r="Q60" s="38" t="s">
        <v>39</v>
      </c>
      <c r="R60" s="38" t="s">
        <v>40</v>
      </c>
      <c r="S60" s="24" t="s">
        <v>65</v>
      </c>
      <c r="U60" s="37">
        <f t="shared" si="6"/>
        <v>15</v>
      </c>
      <c r="V60" s="37">
        <f t="shared" si="6"/>
        <v>13</v>
      </c>
      <c r="W60" s="37">
        <f t="shared" si="6"/>
        <v>5</v>
      </c>
      <c r="X60" s="37">
        <f t="shared" si="5"/>
        <v>5</v>
      </c>
      <c r="Y60" s="37">
        <f t="shared" si="5"/>
        <v>5</v>
      </c>
      <c r="Z60" s="37">
        <f t="shared" si="5"/>
        <v>12</v>
      </c>
      <c r="AA60" s="37">
        <f t="shared" si="5"/>
        <v>17</v>
      </c>
      <c r="AC60" s="18">
        <v>5</v>
      </c>
      <c r="AD60" s="18">
        <v>0</v>
      </c>
      <c r="AE60" s="18">
        <v>0</v>
      </c>
      <c r="AF60" s="18">
        <v>0</v>
      </c>
      <c r="AG60" s="18">
        <v>0</v>
      </c>
      <c r="AH60" s="18">
        <v>5</v>
      </c>
      <c r="AI60" s="18">
        <v>5</v>
      </c>
      <c r="AK60" s="4">
        <v>1</v>
      </c>
      <c r="AL60" s="4">
        <v>2</v>
      </c>
      <c r="AM60" s="4">
        <v>1</v>
      </c>
      <c r="AN60" s="4">
        <v>0</v>
      </c>
      <c r="AO60" s="4">
        <v>0</v>
      </c>
      <c r="AP60" s="4">
        <v>1</v>
      </c>
      <c r="AQ60" s="4">
        <v>1</v>
      </c>
    </row>
    <row r="61" spans="2:43">
      <c r="B61" s="4" t="s">
        <v>38</v>
      </c>
      <c r="C61" s="160">
        <v>10</v>
      </c>
      <c r="L61" s="14">
        <v>57</v>
      </c>
      <c r="M61" s="38" t="s">
        <v>40</v>
      </c>
      <c r="N61" s="38" t="s">
        <v>37</v>
      </c>
      <c r="O61" s="38" t="s">
        <v>90</v>
      </c>
      <c r="P61" s="38" t="s">
        <v>25</v>
      </c>
      <c r="Q61" s="38" t="s">
        <v>35</v>
      </c>
      <c r="R61" s="38" t="s">
        <v>25</v>
      </c>
      <c r="S61" s="24" t="s">
        <v>65</v>
      </c>
      <c r="U61" s="37">
        <f t="shared" si="6"/>
        <v>12</v>
      </c>
      <c r="V61" s="37">
        <f t="shared" si="6"/>
        <v>13</v>
      </c>
      <c r="W61" s="37">
        <f t="shared" si="6"/>
        <v>6</v>
      </c>
      <c r="X61" s="37">
        <f t="shared" si="5"/>
        <v>5</v>
      </c>
      <c r="Y61" s="37">
        <f t="shared" si="5"/>
        <v>15</v>
      </c>
      <c r="Z61" s="37">
        <f t="shared" si="5"/>
        <v>5</v>
      </c>
      <c r="AA61" s="37">
        <f t="shared" si="5"/>
        <v>17</v>
      </c>
      <c r="AC61" s="18">
        <v>5</v>
      </c>
      <c r="AD61" s="18">
        <v>0</v>
      </c>
      <c r="AE61" s="18">
        <v>0</v>
      </c>
      <c r="AF61" s="18">
        <v>0</v>
      </c>
      <c r="AG61" s="18">
        <v>0</v>
      </c>
      <c r="AH61" s="18">
        <v>5</v>
      </c>
      <c r="AI61" s="18">
        <v>5</v>
      </c>
      <c r="AK61" s="4">
        <v>1</v>
      </c>
      <c r="AL61" s="4">
        <v>0</v>
      </c>
      <c r="AM61" s="4">
        <v>1</v>
      </c>
      <c r="AN61" s="4">
        <v>1</v>
      </c>
      <c r="AO61" s="4">
        <v>2</v>
      </c>
      <c r="AP61" s="4">
        <v>1</v>
      </c>
      <c r="AQ61" s="4">
        <v>1</v>
      </c>
    </row>
    <row r="62" spans="2:43">
      <c r="B62" s="4" t="s">
        <v>39</v>
      </c>
      <c r="C62" s="160">
        <v>10</v>
      </c>
      <c r="L62" s="15">
        <v>58</v>
      </c>
      <c r="M62" s="38" t="s">
        <v>90</v>
      </c>
      <c r="N62" s="38" t="s">
        <v>65</v>
      </c>
      <c r="O62" s="38" t="s">
        <v>90</v>
      </c>
      <c r="P62" s="38" t="s">
        <v>90</v>
      </c>
      <c r="Q62" s="38" t="s">
        <v>39</v>
      </c>
      <c r="R62" s="38" t="s">
        <v>65</v>
      </c>
      <c r="S62" s="24" t="s">
        <v>39</v>
      </c>
      <c r="U62" s="37">
        <f t="shared" si="6"/>
        <v>6</v>
      </c>
      <c r="V62" s="37">
        <f t="shared" si="6"/>
        <v>17</v>
      </c>
      <c r="W62" s="37">
        <f t="shared" si="6"/>
        <v>6</v>
      </c>
      <c r="X62" s="37">
        <f t="shared" si="5"/>
        <v>6</v>
      </c>
      <c r="Y62" s="37">
        <f t="shared" si="5"/>
        <v>5</v>
      </c>
      <c r="Z62" s="37">
        <f t="shared" si="5"/>
        <v>17</v>
      </c>
      <c r="AA62" s="37">
        <f t="shared" si="5"/>
        <v>5</v>
      </c>
      <c r="AC62" s="18">
        <v>5</v>
      </c>
      <c r="AD62" s="18">
        <v>0</v>
      </c>
      <c r="AE62" s="18">
        <v>0</v>
      </c>
      <c r="AF62" s="18">
        <v>0</v>
      </c>
      <c r="AG62" s="18">
        <v>0</v>
      </c>
      <c r="AH62" s="18">
        <v>5</v>
      </c>
      <c r="AI62" s="18">
        <v>5</v>
      </c>
      <c r="AK62" s="4">
        <v>1</v>
      </c>
      <c r="AL62" s="4">
        <v>1</v>
      </c>
      <c r="AM62" s="4">
        <v>1</v>
      </c>
      <c r="AN62" s="4">
        <v>2</v>
      </c>
      <c r="AO62" s="4">
        <v>0</v>
      </c>
      <c r="AP62" s="4">
        <v>1</v>
      </c>
      <c r="AQ62" s="4">
        <v>1</v>
      </c>
    </row>
    <row r="63" spans="2:43">
      <c r="B63" s="4" t="s">
        <v>40</v>
      </c>
      <c r="C63" s="160">
        <v>10</v>
      </c>
      <c r="L63" s="14">
        <v>59</v>
      </c>
      <c r="M63" s="38" t="s">
        <v>90</v>
      </c>
      <c r="N63" s="38" t="s">
        <v>242</v>
      </c>
      <c r="O63" s="38" t="s">
        <v>37</v>
      </c>
      <c r="P63" s="38" t="s">
        <v>90</v>
      </c>
      <c r="Q63" s="38" t="s">
        <v>40</v>
      </c>
      <c r="R63" s="38" t="s">
        <v>65</v>
      </c>
      <c r="S63" s="38" t="s">
        <v>38</v>
      </c>
      <c r="U63" s="37">
        <f t="shared" si="6"/>
        <v>6</v>
      </c>
      <c r="V63" s="37">
        <f t="shared" si="6"/>
        <v>0</v>
      </c>
      <c r="W63" s="37">
        <f t="shared" si="6"/>
        <v>13</v>
      </c>
      <c r="X63" s="37">
        <f t="shared" si="5"/>
        <v>6</v>
      </c>
      <c r="Y63" s="37">
        <f t="shared" si="5"/>
        <v>12</v>
      </c>
      <c r="Z63" s="37">
        <f t="shared" si="5"/>
        <v>17</v>
      </c>
      <c r="AA63" s="37">
        <f t="shared" si="5"/>
        <v>15</v>
      </c>
      <c r="AC63" s="18">
        <v>5</v>
      </c>
      <c r="AD63" s="18">
        <v>0</v>
      </c>
      <c r="AE63" s="18">
        <v>0</v>
      </c>
      <c r="AF63" s="18">
        <v>0</v>
      </c>
      <c r="AG63" s="18">
        <v>0</v>
      </c>
      <c r="AH63" s="18">
        <v>5</v>
      </c>
      <c r="AI63" s="18">
        <v>5</v>
      </c>
      <c r="AK63" s="4">
        <v>1</v>
      </c>
      <c r="AL63" s="4">
        <v>1</v>
      </c>
      <c r="AM63" s="4">
        <v>1</v>
      </c>
      <c r="AN63" s="4">
        <v>0</v>
      </c>
      <c r="AO63" s="4">
        <v>1</v>
      </c>
      <c r="AP63" s="4">
        <v>1</v>
      </c>
      <c r="AQ63" s="4">
        <v>1</v>
      </c>
    </row>
    <row r="64" spans="2:43">
      <c r="L64" s="15">
        <v>60</v>
      </c>
      <c r="M64" s="38" t="s">
        <v>39</v>
      </c>
      <c r="N64" s="38" t="s">
        <v>40</v>
      </c>
      <c r="O64" s="38" t="s">
        <v>65</v>
      </c>
      <c r="P64" s="38" t="s">
        <v>25</v>
      </c>
      <c r="Q64" s="38" t="s">
        <v>40</v>
      </c>
      <c r="R64" s="38" t="s">
        <v>25</v>
      </c>
      <c r="S64" s="24" t="s">
        <v>38</v>
      </c>
      <c r="U64" s="37">
        <f t="shared" si="6"/>
        <v>5</v>
      </c>
      <c r="V64" s="37">
        <f t="shared" si="6"/>
        <v>12</v>
      </c>
      <c r="W64" s="37">
        <f t="shared" si="6"/>
        <v>17</v>
      </c>
      <c r="X64" s="37">
        <f t="shared" si="5"/>
        <v>5</v>
      </c>
      <c r="Y64" s="37">
        <f t="shared" si="5"/>
        <v>12</v>
      </c>
      <c r="Z64" s="37">
        <f t="shared" si="5"/>
        <v>5</v>
      </c>
      <c r="AA64" s="37">
        <f t="shared" si="5"/>
        <v>15</v>
      </c>
      <c r="AC64" s="18">
        <v>5</v>
      </c>
      <c r="AD64" s="18">
        <v>5</v>
      </c>
      <c r="AE64" s="18">
        <v>5</v>
      </c>
      <c r="AF64" s="18">
        <v>5</v>
      </c>
      <c r="AG64" s="18">
        <v>6</v>
      </c>
      <c r="AH64" s="18">
        <v>5</v>
      </c>
      <c r="AI64" s="18">
        <v>5</v>
      </c>
      <c r="AK64" s="4">
        <v>1</v>
      </c>
      <c r="AL64" s="4">
        <v>3</v>
      </c>
      <c r="AM64" s="4">
        <v>1</v>
      </c>
      <c r="AN64" s="4">
        <v>1</v>
      </c>
      <c r="AO64" s="4">
        <v>3</v>
      </c>
      <c r="AP64" s="4">
        <v>1</v>
      </c>
      <c r="AQ64" s="4">
        <v>1</v>
      </c>
    </row>
    <row r="65" spans="2:43">
      <c r="L65" s="14">
        <v>61</v>
      </c>
      <c r="M65" s="38" t="s">
        <v>25</v>
      </c>
      <c r="N65" s="38" t="s">
        <v>40</v>
      </c>
      <c r="O65" s="38" t="s">
        <v>65</v>
      </c>
      <c r="P65" s="38" t="s">
        <v>38</v>
      </c>
      <c r="Q65" s="38" t="s">
        <v>90</v>
      </c>
      <c r="R65" s="38" t="s">
        <v>25</v>
      </c>
      <c r="S65" s="24" t="s">
        <v>38</v>
      </c>
      <c r="U65" s="37">
        <f t="shared" si="6"/>
        <v>5</v>
      </c>
      <c r="V65" s="37">
        <f t="shared" si="6"/>
        <v>12</v>
      </c>
      <c r="W65" s="37">
        <f t="shared" si="6"/>
        <v>17</v>
      </c>
      <c r="X65" s="37">
        <f t="shared" si="5"/>
        <v>15</v>
      </c>
      <c r="Y65" s="37">
        <f t="shared" si="5"/>
        <v>6</v>
      </c>
      <c r="Z65" s="37">
        <f t="shared" si="5"/>
        <v>5</v>
      </c>
      <c r="AA65" s="37">
        <f t="shared" si="5"/>
        <v>15</v>
      </c>
      <c r="AC65" s="18">
        <v>5</v>
      </c>
      <c r="AD65" s="18">
        <v>0</v>
      </c>
      <c r="AE65" s="18">
        <v>0</v>
      </c>
      <c r="AF65" s="18">
        <v>0</v>
      </c>
      <c r="AG65" s="18">
        <v>0</v>
      </c>
      <c r="AH65" s="18">
        <v>5</v>
      </c>
      <c r="AI65" s="18">
        <v>5</v>
      </c>
      <c r="AK65" s="4">
        <v>1</v>
      </c>
      <c r="AL65" s="4">
        <v>0</v>
      </c>
      <c r="AM65" s="4">
        <v>3</v>
      </c>
      <c r="AN65" s="4">
        <v>3</v>
      </c>
      <c r="AO65" s="4">
        <v>0</v>
      </c>
      <c r="AP65" s="4">
        <v>1</v>
      </c>
      <c r="AQ65" s="4">
        <v>1</v>
      </c>
    </row>
    <row r="66" spans="2:43">
      <c r="B66" s="165" t="s">
        <v>95</v>
      </c>
      <c r="C66" s="162" t="s">
        <v>259</v>
      </c>
      <c r="L66" s="15">
        <v>62</v>
      </c>
      <c r="M66" s="38" t="s">
        <v>25</v>
      </c>
      <c r="N66" s="38" t="s">
        <v>37</v>
      </c>
      <c r="O66" s="38" t="s">
        <v>40</v>
      </c>
      <c r="P66" s="38" t="s">
        <v>40</v>
      </c>
      <c r="Q66" s="38" t="s">
        <v>90</v>
      </c>
      <c r="R66" s="38" t="s">
        <v>38</v>
      </c>
      <c r="S66" s="24" t="s">
        <v>39</v>
      </c>
      <c r="U66" s="37">
        <f t="shared" si="6"/>
        <v>5</v>
      </c>
      <c r="V66" s="37">
        <f t="shared" si="6"/>
        <v>13</v>
      </c>
      <c r="W66" s="37">
        <f t="shared" si="6"/>
        <v>12</v>
      </c>
      <c r="X66" s="37">
        <f t="shared" si="5"/>
        <v>12</v>
      </c>
      <c r="Y66" s="37">
        <f t="shared" si="5"/>
        <v>6</v>
      </c>
      <c r="Z66" s="37">
        <f t="shared" si="5"/>
        <v>15</v>
      </c>
      <c r="AA66" s="37">
        <f t="shared" si="5"/>
        <v>5</v>
      </c>
      <c r="AC66" s="18">
        <v>5</v>
      </c>
      <c r="AD66" s="18">
        <v>0</v>
      </c>
      <c r="AE66" s="18">
        <v>0</v>
      </c>
      <c r="AF66" s="18">
        <v>0</v>
      </c>
      <c r="AG66" s="18">
        <v>0</v>
      </c>
      <c r="AH66" s="18">
        <v>5</v>
      </c>
      <c r="AI66" s="18">
        <v>5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1</v>
      </c>
      <c r="AQ66" s="4">
        <v>1</v>
      </c>
    </row>
    <row r="67" spans="2:43">
      <c r="B67" s="163">
        <v>0</v>
      </c>
      <c r="C67" s="161">
        <v>1000</v>
      </c>
      <c r="L67" s="14">
        <v>63</v>
      </c>
      <c r="M67" s="38" t="s">
        <v>94</v>
      </c>
      <c r="N67" s="38" t="s">
        <v>94</v>
      </c>
      <c r="O67" s="38" t="s">
        <v>94</v>
      </c>
      <c r="P67" s="38" t="s">
        <v>94</v>
      </c>
      <c r="Q67" s="38" t="s">
        <v>94</v>
      </c>
      <c r="R67" s="38" t="s">
        <v>94</v>
      </c>
      <c r="S67" s="24" t="s">
        <v>94</v>
      </c>
      <c r="U67" s="37">
        <f t="shared" si="6"/>
        <v>2</v>
      </c>
      <c r="V67" s="37">
        <f t="shared" si="6"/>
        <v>2</v>
      </c>
      <c r="W67" s="37">
        <f t="shared" si="6"/>
        <v>2</v>
      </c>
      <c r="X67" s="37">
        <f t="shared" si="5"/>
        <v>2</v>
      </c>
      <c r="Y67" s="37">
        <f t="shared" si="5"/>
        <v>2</v>
      </c>
      <c r="Z67" s="37">
        <f t="shared" si="5"/>
        <v>2</v>
      </c>
      <c r="AA67" s="37">
        <f t="shared" si="5"/>
        <v>2</v>
      </c>
      <c r="AC67" s="18">
        <v>5</v>
      </c>
      <c r="AD67" s="18">
        <v>0</v>
      </c>
      <c r="AE67" s="18">
        <v>0</v>
      </c>
      <c r="AF67" s="18">
        <v>0</v>
      </c>
      <c r="AG67" s="18">
        <v>0</v>
      </c>
      <c r="AH67" s="18">
        <v>5</v>
      </c>
      <c r="AI67" s="18">
        <v>5</v>
      </c>
      <c r="AK67" s="4">
        <v>1</v>
      </c>
      <c r="AL67" s="4">
        <v>2</v>
      </c>
      <c r="AM67" s="4">
        <v>0</v>
      </c>
      <c r="AN67" s="4">
        <v>0</v>
      </c>
      <c r="AO67" s="4">
        <v>2</v>
      </c>
      <c r="AP67" s="4">
        <v>1</v>
      </c>
      <c r="AQ67" s="4">
        <v>1</v>
      </c>
    </row>
    <row r="68" spans="2:43">
      <c r="B68" s="164">
        <v>1</v>
      </c>
      <c r="C68" s="159">
        <v>50</v>
      </c>
      <c r="L68" s="15">
        <v>64</v>
      </c>
      <c r="M68" s="38" t="s">
        <v>94</v>
      </c>
      <c r="N68" s="38" t="s">
        <v>94</v>
      </c>
      <c r="O68" s="38" t="s">
        <v>94</v>
      </c>
      <c r="P68" s="38" t="s">
        <v>94</v>
      </c>
      <c r="Q68" s="38" t="s">
        <v>94</v>
      </c>
      <c r="R68" s="38" t="s">
        <v>94</v>
      </c>
      <c r="S68" s="24" t="s">
        <v>94</v>
      </c>
      <c r="U68" s="37">
        <f t="shared" si="6"/>
        <v>2</v>
      </c>
      <c r="V68" s="37">
        <f t="shared" si="6"/>
        <v>2</v>
      </c>
      <c r="W68" s="37">
        <f t="shared" si="6"/>
        <v>2</v>
      </c>
      <c r="X68" s="37">
        <f t="shared" si="5"/>
        <v>2</v>
      </c>
      <c r="Y68" s="37">
        <f t="shared" si="5"/>
        <v>2</v>
      </c>
      <c r="Z68" s="37">
        <f t="shared" si="5"/>
        <v>2</v>
      </c>
      <c r="AA68" s="37">
        <f t="shared" si="5"/>
        <v>2</v>
      </c>
      <c r="AC68" s="18">
        <v>5</v>
      </c>
      <c r="AD68" s="18">
        <v>0</v>
      </c>
      <c r="AE68" s="18">
        <v>0</v>
      </c>
      <c r="AF68" s="18">
        <v>0</v>
      </c>
      <c r="AG68" s="18">
        <v>0</v>
      </c>
      <c r="AH68" s="18">
        <v>5</v>
      </c>
      <c r="AI68" s="18">
        <v>5</v>
      </c>
      <c r="AK68" s="4">
        <v>1</v>
      </c>
      <c r="AL68" s="4">
        <v>0</v>
      </c>
      <c r="AM68" s="4">
        <v>1</v>
      </c>
      <c r="AN68" s="4">
        <v>1</v>
      </c>
      <c r="AO68" s="4">
        <v>0</v>
      </c>
      <c r="AP68" s="4">
        <v>1</v>
      </c>
      <c r="AQ68" s="4">
        <v>1</v>
      </c>
    </row>
    <row r="69" spans="2:43">
      <c r="B69" s="164">
        <v>2</v>
      </c>
      <c r="C69" s="159">
        <v>20</v>
      </c>
      <c r="L69" s="14">
        <v>65</v>
      </c>
      <c r="M69" s="38" t="s">
        <v>90</v>
      </c>
      <c r="N69" s="38" t="s">
        <v>65</v>
      </c>
      <c r="O69" s="38" t="s">
        <v>38</v>
      </c>
      <c r="P69" s="38" t="s">
        <v>65</v>
      </c>
      <c r="Q69" s="38" t="s">
        <v>25</v>
      </c>
      <c r="R69" s="38" t="s">
        <v>65</v>
      </c>
      <c r="S69" s="24" t="s">
        <v>38</v>
      </c>
      <c r="U69" s="37">
        <f t="shared" si="6"/>
        <v>6</v>
      </c>
      <c r="V69" s="37">
        <f t="shared" si="6"/>
        <v>17</v>
      </c>
      <c r="W69" s="37">
        <f t="shared" si="6"/>
        <v>15</v>
      </c>
      <c r="X69" s="37">
        <f t="shared" si="5"/>
        <v>17</v>
      </c>
      <c r="Y69" s="37">
        <f t="shared" si="5"/>
        <v>5</v>
      </c>
      <c r="Z69" s="37">
        <f t="shared" si="5"/>
        <v>17</v>
      </c>
      <c r="AA69" s="37">
        <f t="shared" si="5"/>
        <v>15</v>
      </c>
      <c r="AC69" s="18">
        <v>5</v>
      </c>
      <c r="AD69" s="18">
        <v>5</v>
      </c>
      <c r="AE69" s="18">
        <v>5</v>
      </c>
      <c r="AF69" s="18">
        <v>5</v>
      </c>
      <c r="AG69" s="18">
        <v>4</v>
      </c>
      <c r="AH69" s="18">
        <v>5</v>
      </c>
      <c r="AI69" s="18">
        <v>5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</row>
    <row r="70" spans="2:43">
      <c r="B70" s="164">
        <v>3</v>
      </c>
      <c r="C70" s="159">
        <v>10</v>
      </c>
      <c r="L70" s="15">
        <v>66</v>
      </c>
      <c r="M70" s="38" t="s">
        <v>25</v>
      </c>
      <c r="N70" s="38" t="s">
        <v>38</v>
      </c>
      <c r="O70" s="38" t="s">
        <v>39</v>
      </c>
      <c r="P70" s="38" t="s">
        <v>65</v>
      </c>
      <c r="Q70" s="38" t="s">
        <v>37</v>
      </c>
      <c r="R70" s="38" t="s">
        <v>25</v>
      </c>
      <c r="S70" s="24" t="s">
        <v>38</v>
      </c>
      <c r="U70" s="37">
        <f t="shared" si="6"/>
        <v>5</v>
      </c>
      <c r="V70" s="37">
        <f t="shared" si="6"/>
        <v>15</v>
      </c>
      <c r="W70" s="37">
        <f t="shared" si="6"/>
        <v>5</v>
      </c>
      <c r="X70" s="37">
        <f t="shared" si="5"/>
        <v>17</v>
      </c>
      <c r="Y70" s="37">
        <f t="shared" si="5"/>
        <v>13</v>
      </c>
      <c r="Z70" s="37">
        <f t="shared" si="5"/>
        <v>5</v>
      </c>
      <c r="AA70" s="37">
        <f t="shared" si="5"/>
        <v>15</v>
      </c>
      <c r="AC70" s="18">
        <v>5</v>
      </c>
      <c r="AD70" s="18">
        <v>0</v>
      </c>
      <c r="AE70" s="18">
        <v>0</v>
      </c>
      <c r="AF70" s="18">
        <v>0</v>
      </c>
      <c r="AG70" s="18">
        <v>1</v>
      </c>
      <c r="AH70" s="18">
        <v>5</v>
      </c>
      <c r="AI70" s="18">
        <v>5</v>
      </c>
      <c r="AK70" s="4">
        <v>1</v>
      </c>
      <c r="AL70" s="4">
        <v>1</v>
      </c>
      <c r="AM70" s="4">
        <v>1</v>
      </c>
      <c r="AN70" s="4">
        <v>1</v>
      </c>
      <c r="AO70" s="4">
        <v>3</v>
      </c>
      <c r="AP70" s="4">
        <v>1</v>
      </c>
      <c r="AQ70" s="4">
        <v>1</v>
      </c>
    </row>
    <row r="71" spans="2:43">
      <c r="B71" s="164">
        <v>4</v>
      </c>
      <c r="C71" s="159">
        <v>1</v>
      </c>
      <c r="L71" s="14">
        <v>67</v>
      </c>
      <c r="M71" s="38" t="s">
        <v>37</v>
      </c>
      <c r="N71" s="38" t="s">
        <v>256</v>
      </c>
      <c r="O71" s="38" t="s">
        <v>256</v>
      </c>
      <c r="P71" s="38" t="s">
        <v>256</v>
      </c>
      <c r="Q71" s="38" t="s">
        <v>256</v>
      </c>
      <c r="R71" s="38" t="s">
        <v>25</v>
      </c>
      <c r="S71" s="24" t="s">
        <v>35</v>
      </c>
      <c r="U71" s="37">
        <f t="shared" si="6"/>
        <v>13</v>
      </c>
      <c r="V71" s="37">
        <f t="shared" si="6"/>
        <v>0</v>
      </c>
      <c r="W71" s="37">
        <f t="shared" si="6"/>
        <v>0</v>
      </c>
      <c r="X71" s="37">
        <f t="shared" si="5"/>
        <v>0</v>
      </c>
      <c r="Y71" s="37">
        <f t="shared" si="5"/>
        <v>0</v>
      </c>
      <c r="Z71" s="37">
        <f t="shared" si="5"/>
        <v>5</v>
      </c>
      <c r="AA71" s="37">
        <f t="shared" si="5"/>
        <v>15</v>
      </c>
      <c r="AC71" s="18">
        <v>5</v>
      </c>
      <c r="AD71" s="18">
        <v>0</v>
      </c>
      <c r="AE71" s="18">
        <v>0</v>
      </c>
      <c r="AF71" s="18">
        <v>0</v>
      </c>
      <c r="AG71" s="18">
        <v>0</v>
      </c>
      <c r="AH71" s="18">
        <v>5</v>
      </c>
      <c r="AI71" s="18">
        <v>5</v>
      </c>
      <c r="AK71" s="4">
        <v>1</v>
      </c>
      <c r="AL71" s="4">
        <v>2</v>
      </c>
      <c r="AM71" s="4">
        <v>1</v>
      </c>
      <c r="AN71" s="4">
        <v>1</v>
      </c>
      <c r="AO71" s="4">
        <v>0</v>
      </c>
      <c r="AP71" s="4">
        <v>1</v>
      </c>
      <c r="AQ71" s="4">
        <v>1</v>
      </c>
    </row>
    <row r="72" spans="2:43">
      <c r="B72" s="164">
        <v>5</v>
      </c>
      <c r="C72" s="159">
        <v>0</v>
      </c>
      <c r="L72" s="15">
        <v>68</v>
      </c>
      <c r="M72" s="38" t="s">
        <v>37</v>
      </c>
      <c r="N72" s="38" t="s">
        <v>40</v>
      </c>
      <c r="O72" s="38" t="s">
        <v>25</v>
      </c>
      <c r="P72" s="38" t="s">
        <v>39</v>
      </c>
      <c r="Q72" s="38" t="s">
        <v>34</v>
      </c>
      <c r="R72" s="38" t="s">
        <v>65</v>
      </c>
      <c r="S72" s="24" t="s">
        <v>35</v>
      </c>
      <c r="U72" s="37">
        <f t="shared" si="6"/>
        <v>13</v>
      </c>
      <c r="V72" s="37">
        <f t="shared" si="6"/>
        <v>12</v>
      </c>
      <c r="W72" s="37">
        <f t="shared" si="6"/>
        <v>5</v>
      </c>
      <c r="X72" s="37">
        <f t="shared" si="5"/>
        <v>5</v>
      </c>
      <c r="Y72" s="37">
        <f t="shared" si="5"/>
        <v>16</v>
      </c>
      <c r="Z72" s="37">
        <f t="shared" si="5"/>
        <v>17</v>
      </c>
      <c r="AA72" s="37">
        <f t="shared" si="5"/>
        <v>15</v>
      </c>
      <c r="AC72" s="18">
        <v>5</v>
      </c>
      <c r="AD72" s="18">
        <v>0</v>
      </c>
      <c r="AE72" s="18">
        <v>0</v>
      </c>
      <c r="AF72" s="18">
        <v>0</v>
      </c>
      <c r="AG72" s="18">
        <v>0</v>
      </c>
      <c r="AH72" s="18">
        <v>5</v>
      </c>
      <c r="AI72" s="18">
        <v>5</v>
      </c>
      <c r="AK72" s="4">
        <v>1</v>
      </c>
      <c r="AL72" s="4">
        <v>0</v>
      </c>
      <c r="AM72" s="4">
        <v>1</v>
      </c>
      <c r="AN72" s="4">
        <v>2</v>
      </c>
      <c r="AO72" s="4">
        <v>0</v>
      </c>
      <c r="AP72" s="4">
        <v>1</v>
      </c>
      <c r="AQ72" s="4">
        <v>1</v>
      </c>
    </row>
    <row r="73" spans="2:43">
      <c r="B73" s="164">
        <v>6</v>
      </c>
      <c r="C73" s="159">
        <v>0</v>
      </c>
      <c r="L73" s="14">
        <v>69</v>
      </c>
      <c r="M73" s="38" t="s">
        <v>40</v>
      </c>
      <c r="N73" s="38" t="s">
        <v>65</v>
      </c>
      <c r="O73" s="38" t="s">
        <v>25</v>
      </c>
      <c r="P73" s="38" t="s">
        <v>25</v>
      </c>
      <c r="Q73" s="38" t="s">
        <v>39</v>
      </c>
      <c r="R73" s="38" t="s">
        <v>25</v>
      </c>
      <c r="S73" s="24" t="s">
        <v>35</v>
      </c>
      <c r="U73" s="37">
        <f t="shared" si="6"/>
        <v>12</v>
      </c>
      <c r="V73" s="37">
        <f t="shared" si="6"/>
        <v>17</v>
      </c>
      <c r="W73" s="37">
        <f t="shared" si="6"/>
        <v>5</v>
      </c>
      <c r="X73" s="37">
        <f t="shared" si="5"/>
        <v>5</v>
      </c>
      <c r="Y73" s="37">
        <f t="shared" si="5"/>
        <v>5</v>
      </c>
      <c r="Z73" s="37">
        <f t="shared" si="5"/>
        <v>5</v>
      </c>
      <c r="AA73" s="37">
        <f t="shared" si="5"/>
        <v>15</v>
      </c>
      <c r="AC73" s="18">
        <v>5</v>
      </c>
      <c r="AD73" s="18">
        <v>0</v>
      </c>
      <c r="AE73" s="18">
        <v>0</v>
      </c>
      <c r="AF73" s="18">
        <v>0</v>
      </c>
      <c r="AG73" s="18">
        <v>1</v>
      </c>
      <c r="AH73" s="18">
        <v>5</v>
      </c>
      <c r="AI73" s="18">
        <v>5</v>
      </c>
      <c r="AK73" s="4">
        <v>1</v>
      </c>
      <c r="AL73" s="4">
        <v>1</v>
      </c>
      <c r="AM73" s="4">
        <v>1</v>
      </c>
      <c r="AN73" s="4">
        <v>0</v>
      </c>
      <c r="AO73" s="4">
        <v>1</v>
      </c>
      <c r="AP73" s="4">
        <v>1</v>
      </c>
      <c r="AQ73" s="4">
        <v>1</v>
      </c>
    </row>
    <row r="74" spans="2:43">
      <c r="B74" s="164">
        <v>7</v>
      </c>
      <c r="C74" s="159">
        <v>0</v>
      </c>
      <c r="L74" s="15">
        <v>70</v>
      </c>
      <c r="M74" s="38" t="s">
        <v>32</v>
      </c>
      <c r="N74" s="38" t="s">
        <v>230</v>
      </c>
      <c r="O74" s="38" t="s">
        <v>35</v>
      </c>
      <c r="P74" s="38" t="s">
        <v>65</v>
      </c>
      <c r="Q74" s="38" t="s">
        <v>35</v>
      </c>
      <c r="R74" s="38" t="s">
        <v>25</v>
      </c>
      <c r="S74" s="24" t="s">
        <v>65</v>
      </c>
      <c r="U74" s="37">
        <f t="shared" si="6"/>
        <v>4</v>
      </c>
      <c r="V74" s="37">
        <f t="shared" si="6"/>
        <v>0</v>
      </c>
      <c r="W74" s="37">
        <f t="shared" si="6"/>
        <v>15</v>
      </c>
      <c r="X74" s="37">
        <f t="shared" si="5"/>
        <v>17</v>
      </c>
      <c r="Y74" s="37">
        <f t="shared" si="5"/>
        <v>15</v>
      </c>
      <c r="Z74" s="37">
        <f t="shared" si="5"/>
        <v>5</v>
      </c>
      <c r="AA74" s="37">
        <f t="shared" si="5"/>
        <v>17</v>
      </c>
      <c r="AC74" s="18">
        <v>5</v>
      </c>
      <c r="AD74" s="18">
        <v>5</v>
      </c>
      <c r="AE74" s="18">
        <v>5</v>
      </c>
      <c r="AF74" s="18">
        <v>5</v>
      </c>
      <c r="AG74" s="18">
        <v>5</v>
      </c>
      <c r="AH74" s="18">
        <v>5</v>
      </c>
      <c r="AI74" s="18">
        <v>5</v>
      </c>
      <c r="AK74" s="4">
        <v>1</v>
      </c>
      <c r="AL74" s="4">
        <v>1</v>
      </c>
      <c r="AM74" s="4">
        <v>1</v>
      </c>
      <c r="AN74" s="4">
        <v>2</v>
      </c>
      <c r="AO74" s="4">
        <v>1</v>
      </c>
      <c r="AP74" s="4">
        <v>1</v>
      </c>
      <c r="AQ74" s="4">
        <v>1</v>
      </c>
    </row>
    <row r="75" spans="2:43">
      <c r="L75" s="14">
        <v>71</v>
      </c>
      <c r="M75" s="38" t="s">
        <v>35</v>
      </c>
      <c r="N75" s="38" t="s">
        <v>38</v>
      </c>
      <c r="O75" s="38" t="s">
        <v>90</v>
      </c>
      <c r="P75" s="38" t="s">
        <v>33</v>
      </c>
      <c r="Q75" s="38" t="s">
        <v>39</v>
      </c>
      <c r="R75" s="38" t="s">
        <v>33</v>
      </c>
      <c r="S75" s="24" t="s">
        <v>65</v>
      </c>
      <c r="U75" s="37">
        <f t="shared" si="6"/>
        <v>15</v>
      </c>
      <c r="V75" s="37">
        <f t="shared" si="6"/>
        <v>15</v>
      </c>
      <c r="W75" s="37">
        <f t="shared" si="6"/>
        <v>6</v>
      </c>
      <c r="X75" s="37">
        <f t="shared" si="5"/>
        <v>11</v>
      </c>
      <c r="Y75" s="37">
        <f t="shared" si="5"/>
        <v>5</v>
      </c>
      <c r="Z75" s="37">
        <f t="shared" si="5"/>
        <v>11</v>
      </c>
      <c r="AA75" s="37">
        <f t="shared" si="5"/>
        <v>17</v>
      </c>
      <c r="AC75" s="18">
        <v>5</v>
      </c>
      <c r="AD75" s="18">
        <v>0</v>
      </c>
      <c r="AE75" s="18">
        <v>0</v>
      </c>
      <c r="AF75" s="18">
        <v>0</v>
      </c>
      <c r="AG75" s="18">
        <v>0</v>
      </c>
      <c r="AH75" s="18">
        <v>5</v>
      </c>
      <c r="AI75" s="18">
        <v>5</v>
      </c>
      <c r="AK75" s="4">
        <v>1</v>
      </c>
      <c r="AL75" s="4">
        <v>1</v>
      </c>
      <c r="AM75" s="4">
        <v>1</v>
      </c>
      <c r="AN75" s="4">
        <v>0</v>
      </c>
      <c r="AO75" s="4">
        <v>2</v>
      </c>
      <c r="AP75" s="4">
        <v>1</v>
      </c>
      <c r="AQ75" s="4">
        <v>1</v>
      </c>
    </row>
    <row r="76" spans="2:43">
      <c r="L76" s="15">
        <v>72</v>
      </c>
      <c r="M76" s="38" t="s">
        <v>39</v>
      </c>
      <c r="N76" s="38" t="s">
        <v>35</v>
      </c>
      <c r="O76" s="38" t="s">
        <v>90</v>
      </c>
      <c r="P76" s="38" t="s">
        <v>35</v>
      </c>
      <c r="Q76" s="38" t="s">
        <v>39</v>
      </c>
      <c r="R76" s="38" t="s">
        <v>34</v>
      </c>
      <c r="S76" s="24" t="s">
        <v>65</v>
      </c>
      <c r="U76" s="37">
        <f t="shared" si="6"/>
        <v>5</v>
      </c>
      <c r="V76" s="37">
        <f t="shared" si="6"/>
        <v>15</v>
      </c>
      <c r="W76" s="37">
        <f t="shared" si="6"/>
        <v>6</v>
      </c>
      <c r="X76" s="37">
        <f t="shared" si="5"/>
        <v>15</v>
      </c>
      <c r="Y76" s="37">
        <f t="shared" si="5"/>
        <v>5</v>
      </c>
      <c r="Z76" s="37">
        <f t="shared" si="5"/>
        <v>16</v>
      </c>
      <c r="AA76" s="37">
        <f t="shared" si="5"/>
        <v>17</v>
      </c>
      <c r="AC76" s="18">
        <v>5</v>
      </c>
      <c r="AD76" s="18">
        <v>0</v>
      </c>
      <c r="AE76" s="18">
        <v>0</v>
      </c>
      <c r="AF76" s="18">
        <v>0</v>
      </c>
      <c r="AG76" s="18">
        <v>0</v>
      </c>
      <c r="AH76" s="18">
        <v>5</v>
      </c>
      <c r="AI76" s="18">
        <v>5</v>
      </c>
      <c r="AK76" s="4">
        <v>1</v>
      </c>
      <c r="AL76" s="4">
        <v>2</v>
      </c>
      <c r="AM76" s="4">
        <v>2</v>
      </c>
      <c r="AN76" s="4">
        <v>1</v>
      </c>
      <c r="AO76" s="4">
        <v>0</v>
      </c>
      <c r="AP76" s="4">
        <v>1</v>
      </c>
      <c r="AQ76" s="4">
        <v>1</v>
      </c>
    </row>
    <row r="77" spans="2:43">
      <c r="L77" s="14">
        <v>73</v>
      </c>
      <c r="M77" s="38" t="s">
        <v>39</v>
      </c>
      <c r="N77" s="38" t="s">
        <v>90</v>
      </c>
      <c r="O77" s="38" t="s">
        <v>90</v>
      </c>
      <c r="P77" s="38" t="s">
        <v>32</v>
      </c>
      <c r="Q77" s="38" t="s">
        <v>236</v>
      </c>
      <c r="R77" s="38" t="s">
        <v>25</v>
      </c>
      <c r="S77" s="24" t="s">
        <v>37</v>
      </c>
      <c r="U77" s="37">
        <f t="shared" si="6"/>
        <v>5</v>
      </c>
      <c r="V77" s="37">
        <f t="shared" si="6"/>
        <v>6</v>
      </c>
      <c r="W77" s="37">
        <f t="shared" si="6"/>
        <v>6</v>
      </c>
      <c r="X77" s="37">
        <f t="shared" si="5"/>
        <v>4</v>
      </c>
      <c r="Y77" s="37">
        <f t="shared" si="5"/>
        <v>0</v>
      </c>
      <c r="Z77" s="37">
        <f t="shared" si="5"/>
        <v>5</v>
      </c>
      <c r="AA77" s="37">
        <f t="shared" si="5"/>
        <v>13</v>
      </c>
      <c r="AC77" s="18">
        <v>5</v>
      </c>
      <c r="AD77" s="18">
        <v>0</v>
      </c>
      <c r="AE77" s="18">
        <v>0</v>
      </c>
      <c r="AF77" s="18">
        <v>0</v>
      </c>
      <c r="AG77" s="18">
        <v>0</v>
      </c>
      <c r="AH77" s="18">
        <v>5</v>
      </c>
      <c r="AI77" s="18">
        <v>5</v>
      </c>
      <c r="AK77" s="4">
        <v>1</v>
      </c>
      <c r="AL77" s="4">
        <v>0</v>
      </c>
      <c r="AM77" s="4">
        <v>0</v>
      </c>
      <c r="AN77" s="4">
        <v>1</v>
      </c>
      <c r="AO77" s="4">
        <v>1</v>
      </c>
      <c r="AP77" s="4">
        <v>1</v>
      </c>
      <c r="AQ77" s="4">
        <v>1</v>
      </c>
    </row>
    <row r="78" spans="2:43">
      <c r="L78" s="15">
        <v>74</v>
      </c>
      <c r="M78" s="38" t="s">
        <v>65</v>
      </c>
      <c r="N78" s="38" t="s">
        <v>25</v>
      </c>
      <c r="O78" s="38" t="s">
        <v>39</v>
      </c>
      <c r="P78" s="38" t="s">
        <v>65</v>
      </c>
      <c r="Q78" s="38" t="s">
        <v>37</v>
      </c>
      <c r="R78" s="38" t="s">
        <v>25</v>
      </c>
      <c r="S78" s="24" t="s">
        <v>34</v>
      </c>
      <c r="U78" s="37">
        <f t="shared" si="6"/>
        <v>17</v>
      </c>
      <c r="V78" s="37">
        <f t="shared" si="6"/>
        <v>5</v>
      </c>
      <c r="W78" s="37">
        <f t="shared" si="6"/>
        <v>5</v>
      </c>
      <c r="X78" s="37">
        <f t="shared" si="5"/>
        <v>17</v>
      </c>
      <c r="Y78" s="37">
        <f t="shared" si="5"/>
        <v>13</v>
      </c>
      <c r="Z78" s="37">
        <f t="shared" si="5"/>
        <v>5</v>
      </c>
      <c r="AA78" s="37">
        <f t="shared" si="5"/>
        <v>16</v>
      </c>
      <c r="AC78" s="18">
        <v>5</v>
      </c>
      <c r="AD78" s="18">
        <v>0</v>
      </c>
      <c r="AE78" s="18">
        <v>0</v>
      </c>
      <c r="AF78" s="18">
        <v>0</v>
      </c>
      <c r="AG78" s="18">
        <v>1</v>
      </c>
      <c r="AH78" s="18">
        <v>5</v>
      </c>
      <c r="AI78" s="18">
        <v>5</v>
      </c>
      <c r="AJ78" s="150"/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</row>
    <row r="79" spans="2:43">
      <c r="L79" s="14">
        <v>75</v>
      </c>
      <c r="M79" s="38" t="s">
        <v>25</v>
      </c>
      <c r="N79" s="38" t="s">
        <v>40</v>
      </c>
      <c r="O79" s="38" t="s">
        <v>65</v>
      </c>
      <c r="P79" s="38" t="s">
        <v>90</v>
      </c>
      <c r="Q79" s="38" t="s">
        <v>37</v>
      </c>
      <c r="R79" s="38" t="s">
        <v>65</v>
      </c>
      <c r="S79" s="24" t="s">
        <v>38</v>
      </c>
      <c r="U79" s="37">
        <f t="shared" si="6"/>
        <v>5</v>
      </c>
      <c r="V79" s="37">
        <f t="shared" si="6"/>
        <v>12</v>
      </c>
      <c r="W79" s="37">
        <f t="shared" si="6"/>
        <v>17</v>
      </c>
      <c r="X79" s="37">
        <f t="shared" si="5"/>
        <v>6</v>
      </c>
      <c r="Y79" s="37">
        <f t="shared" si="5"/>
        <v>13</v>
      </c>
      <c r="Z79" s="37">
        <f t="shared" si="5"/>
        <v>17</v>
      </c>
      <c r="AA79" s="37">
        <f t="shared" si="5"/>
        <v>15</v>
      </c>
      <c r="AC79" s="18">
        <v>5</v>
      </c>
      <c r="AD79" s="18">
        <v>5</v>
      </c>
      <c r="AE79" s="18">
        <v>5</v>
      </c>
      <c r="AF79" s="18">
        <v>5</v>
      </c>
      <c r="AG79" s="18">
        <v>6</v>
      </c>
      <c r="AH79" s="18">
        <v>5</v>
      </c>
      <c r="AI79" s="18">
        <v>5</v>
      </c>
      <c r="AK79" s="4">
        <v>1</v>
      </c>
      <c r="AL79" s="4">
        <v>1</v>
      </c>
      <c r="AM79" s="4">
        <v>1</v>
      </c>
      <c r="AN79" s="4">
        <v>2</v>
      </c>
      <c r="AO79" s="4">
        <v>2</v>
      </c>
      <c r="AP79" s="4">
        <v>1</v>
      </c>
      <c r="AQ79" s="4">
        <v>1</v>
      </c>
    </row>
    <row r="80" spans="2:43">
      <c r="L80" s="15">
        <v>76</v>
      </c>
      <c r="M80" s="38" t="s">
        <v>90</v>
      </c>
      <c r="N80" s="38" t="s">
        <v>40</v>
      </c>
      <c r="O80" s="38" t="s">
        <v>34</v>
      </c>
      <c r="P80" s="38" t="s">
        <v>236</v>
      </c>
      <c r="Q80" s="38" t="s">
        <v>40</v>
      </c>
      <c r="R80" s="38" t="s">
        <v>38</v>
      </c>
      <c r="S80" s="38" t="s">
        <v>38</v>
      </c>
      <c r="U80" s="37">
        <f t="shared" si="6"/>
        <v>6</v>
      </c>
      <c r="V80" s="37">
        <f t="shared" si="6"/>
        <v>12</v>
      </c>
      <c r="W80" s="37">
        <f t="shared" si="6"/>
        <v>16</v>
      </c>
      <c r="X80" s="37">
        <f t="shared" si="5"/>
        <v>0</v>
      </c>
      <c r="Y80" s="37">
        <f t="shared" si="5"/>
        <v>12</v>
      </c>
      <c r="Z80" s="37">
        <f t="shared" si="5"/>
        <v>15</v>
      </c>
      <c r="AA80" s="37">
        <f t="shared" si="5"/>
        <v>15</v>
      </c>
      <c r="AC80" s="18">
        <v>5</v>
      </c>
      <c r="AD80" s="18">
        <v>0</v>
      </c>
      <c r="AE80" s="18">
        <v>0</v>
      </c>
      <c r="AF80" s="18">
        <v>0</v>
      </c>
      <c r="AG80" s="18">
        <v>0</v>
      </c>
      <c r="AH80" s="18">
        <v>5</v>
      </c>
      <c r="AI80" s="18">
        <v>5</v>
      </c>
      <c r="AK80" s="4">
        <v>1</v>
      </c>
      <c r="AL80" s="4">
        <v>2</v>
      </c>
      <c r="AM80" s="4">
        <v>1</v>
      </c>
      <c r="AN80" s="4">
        <v>0</v>
      </c>
      <c r="AO80" s="4">
        <v>0</v>
      </c>
      <c r="AP80" s="4">
        <v>1</v>
      </c>
      <c r="AQ80" s="4">
        <v>1</v>
      </c>
    </row>
    <row r="81" spans="12:43">
      <c r="L81" s="14">
        <v>77</v>
      </c>
      <c r="M81" s="38" t="s">
        <v>65</v>
      </c>
      <c r="N81" s="38" t="s">
        <v>232</v>
      </c>
      <c r="O81" s="38" t="s">
        <v>34</v>
      </c>
      <c r="P81" s="38" t="s">
        <v>37</v>
      </c>
      <c r="Q81" s="38" t="s">
        <v>40</v>
      </c>
      <c r="R81" s="38" t="s">
        <v>38</v>
      </c>
      <c r="S81" s="24" t="s">
        <v>35</v>
      </c>
      <c r="U81" s="37">
        <f t="shared" si="6"/>
        <v>17</v>
      </c>
      <c r="V81" s="37">
        <f t="shared" si="6"/>
        <v>0</v>
      </c>
      <c r="W81" s="37">
        <f t="shared" si="6"/>
        <v>16</v>
      </c>
      <c r="X81" s="37">
        <f t="shared" si="5"/>
        <v>13</v>
      </c>
      <c r="Y81" s="37">
        <f t="shared" si="5"/>
        <v>12</v>
      </c>
      <c r="Z81" s="37">
        <f t="shared" si="5"/>
        <v>15</v>
      </c>
      <c r="AA81" s="37">
        <f t="shared" si="5"/>
        <v>15</v>
      </c>
      <c r="AC81" s="18">
        <v>5</v>
      </c>
      <c r="AD81" s="18">
        <v>0</v>
      </c>
      <c r="AE81" s="18">
        <v>0</v>
      </c>
      <c r="AF81" s="18">
        <v>0</v>
      </c>
      <c r="AG81" s="18">
        <v>0</v>
      </c>
      <c r="AH81" s="18">
        <v>5</v>
      </c>
      <c r="AI81" s="18">
        <v>5</v>
      </c>
      <c r="AK81" s="4">
        <v>1</v>
      </c>
      <c r="AL81" s="4">
        <v>0</v>
      </c>
      <c r="AM81" s="4">
        <v>1</v>
      </c>
      <c r="AN81" s="4">
        <v>1</v>
      </c>
      <c r="AO81" s="4">
        <v>2</v>
      </c>
      <c r="AP81" s="4">
        <v>1</v>
      </c>
      <c r="AQ81" s="4">
        <v>1</v>
      </c>
    </row>
    <row r="82" spans="12:43">
      <c r="L82" s="15">
        <v>78</v>
      </c>
      <c r="M82" s="38" t="s">
        <v>35</v>
      </c>
      <c r="N82" s="38" t="s">
        <v>65</v>
      </c>
      <c r="O82" s="38" t="s">
        <v>37</v>
      </c>
      <c r="P82" s="38" t="s">
        <v>65</v>
      </c>
      <c r="Q82" s="38" t="s">
        <v>35</v>
      </c>
      <c r="R82" s="38" t="s">
        <v>25</v>
      </c>
      <c r="S82" s="24" t="s">
        <v>38</v>
      </c>
      <c r="U82" s="37">
        <f t="shared" si="6"/>
        <v>15</v>
      </c>
      <c r="V82" s="37">
        <f t="shared" si="6"/>
        <v>17</v>
      </c>
      <c r="W82" s="37">
        <f t="shared" si="6"/>
        <v>13</v>
      </c>
      <c r="X82" s="37">
        <f t="shared" si="5"/>
        <v>17</v>
      </c>
      <c r="Y82" s="37">
        <f t="shared" si="5"/>
        <v>15</v>
      </c>
      <c r="Z82" s="37">
        <f t="shared" si="5"/>
        <v>5</v>
      </c>
      <c r="AA82" s="37">
        <f t="shared" si="5"/>
        <v>15</v>
      </c>
      <c r="AC82" s="18">
        <v>5</v>
      </c>
      <c r="AD82" s="18">
        <v>0</v>
      </c>
      <c r="AE82" s="18">
        <v>0</v>
      </c>
      <c r="AF82" s="18">
        <v>0</v>
      </c>
      <c r="AG82" s="18">
        <v>0</v>
      </c>
      <c r="AH82" s="18">
        <v>5</v>
      </c>
      <c r="AI82" s="18">
        <v>5</v>
      </c>
      <c r="AK82" s="4">
        <v>1</v>
      </c>
      <c r="AL82" s="4">
        <v>1</v>
      </c>
      <c r="AM82" s="4">
        <v>1</v>
      </c>
      <c r="AN82" s="4">
        <v>2</v>
      </c>
      <c r="AO82" s="4">
        <v>0</v>
      </c>
      <c r="AP82" s="4">
        <v>1</v>
      </c>
      <c r="AQ82" s="4">
        <v>1</v>
      </c>
    </row>
    <row r="83" spans="12:43">
      <c r="L83" s="14">
        <v>79</v>
      </c>
      <c r="M83" s="38" t="s">
        <v>37</v>
      </c>
      <c r="N83" s="38" t="s">
        <v>65</v>
      </c>
      <c r="O83" s="38" t="s">
        <v>38</v>
      </c>
      <c r="P83" s="38" t="s">
        <v>238</v>
      </c>
      <c r="Q83" s="38" t="s">
        <v>228</v>
      </c>
      <c r="R83" s="38" t="s">
        <v>25</v>
      </c>
      <c r="S83" s="24" t="s">
        <v>38</v>
      </c>
      <c r="U83" s="37">
        <f t="shared" si="6"/>
        <v>13</v>
      </c>
      <c r="V83" s="37">
        <f t="shared" si="6"/>
        <v>17</v>
      </c>
      <c r="W83" s="37">
        <f t="shared" si="6"/>
        <v>15</v>
      </c>
      <c r="X83" s="37">
        <f t="shared" si="5"/>
        <v>0</v>
      </c>
      <c r="Y83" s="37">
        <f t="shared" si="5"/>
        <v>0</v>
      </c>
      <c r="Z83" s="37">
        <f t="shared" si="5"/>
        <v>5</v>
      </c>
      <c r="AA83" s="37">
        <f t="shared" si="5"/>
        <v>15</v>
      </c>
      <c r="AC83" s="18">
        <v>5</v>
      </c>
      <c r="AD83" s="18">
        <v>0</v>
      </c>
      <c r="AE83" s="18">
        <v>0</v>
      </c>
      <c r="AF83" s="18">
        <v>0</v>
      </c>
      <c r="AG83" s="18">
        <v>0</v>
      </c>
      <c r="AH83" s="18">
        <v>5</v>
      </c>
      <c r="AI83" s="18">
        <v>5</v>
      </c>
      <c r="AK83" s="4">
        <v>1</v>
      </c>
      <c r="AL83" s="4">
        <v>1</v>
      </c>
      <c r="AM83" s="4">
        <v>1</v>
      </c>
      <c r="AN83" s="4">
        <v>0</v>
      </c>
      <c r="AO83" s="4">
        <v>1</v>
      </c>
      <c r="AP83" s="4">
        <v>1</v>
      </c>
      <c r="AQ83" s="4">
        <v>1</v>
      </c>
    </row>
    <row r="84" spans="12:43">
      <c r="L84" s="15">
        <v>80</v>
      </c>
      <c r="M84" s="38" t="s">
        <v>37</v>
      </c>
      <c r="N84" s="38" t="s">
        <v>230</v>
      </c>
      <c r="O84" s="38" t="s">
        <v>236</v>
      </c>
      <c r="P84" s="38" t="s">
        <v>38</v>
      </c>
      <c r="Q84" s="38" t="s">
        <v>37</v>
      </c>
      <c r="R84" s="38" t="s">
        <v>37</v>
      </c>
      <c r="S84" s="24" t="s">
        <v>38</v>
      </c>
      <c r="U84" s="37">
        <f t="shared" si="6"/>
        <v>13</v>
      </c>
      <c r="V84" s="37">
        <f t="shared" si="6"/>
        <v>0</v>
      </c>
      <c r="W84" s="37">
        <f t="shared" si="6"/>
        <v>0</v>
      </c>
      <c r="X84" s="37">
        <f t="shared" si="5"/>
        <v>15</v>
      </c>
      <c r="Y84" s="37">
        <f t="shared" si="5"/>
        <v>13</v>
      </c>
      <c r="Z84" s="37">
        <f t="shared" si="5"/>
        <v>13</v>
      </c>
      <c r="AA84" s="37">
        <f t="shared" si="5"/>
        <v>15</v>
      </c>
      <c r="AC84" s="18">
        <v>5</v>
      </c>
      <c r="AD84" s="18">
        <v>5</v>
      </c>
      <c r="AE84" s="18">
        <v>5</v>
      </c>
      <c r="AF84" s="18">
        <v>5</v>
      </c>
      <c r="AG84" s="18">
        <v>6</v>
      </c>
      <c r="AH84" s="18">
        <v>5</v>
      </c>
      <c r="AI84" s="18">
        <v>5</v>
      </c>
      <c r="AK84" s="4">
        <v>1</v>
      </c>
      <c r="AL84" s="4">
        <v>3</v>
      </c>
      <c r="AM84" s="4">
        <v>1</v>
      </c>
      <c r="AN84" s="4">
        <v>1</v>
      </c>
      <c r="AO84" s="4">
        <v>3</v>
      </c>
      <c r="AP84" s="4">
        <v>1</v>
      </c>
      <c r="AQ84" s="4">
        <v>1</v>
      </c>
    </row>
    <row r="85" spans="12:43">
      <c r="L85" s="14">
        <v>81</v>
      </c>
      <c r="M85" s="38" t="s">
        <v>40</v>
      </c>
      <c r="N85" s="38" t="s">
        <v>25</v>
      </c>
      <c r="O85" s="38" t="s">
        <v>39</v>
      </c>
      <c r="P85" s="38" t="s">
        <v>38</v>
      </c>
      <c r="Q85" s="38" t="s">
        <v>37</v>
      </c>
      <c r="R85" s="38" t="s">
        <v>33</v>
      </c>
      <c r="S85" s="24" t="s">
        <v>33</v>
      </c>
      <c r="U85" s="37">
        <f t="shared" si="6"/>
        <v>12</v>
      </c>
      <c r="V85" s="37">
        <f t="shared" si="6"/>
        <v>5</v>
      </c>
      <c r="W85" s="37">
        <f t="shared" si="6"/>
        <v>5</v>
      </c>
      <c r="X85" s="37">
        <f t="shared" si="5"/>
        <v>15</v>
      </c>
      <c r="Y85" s="37">
        <f t="shared" si="5"/>
        <v>13</v>
      </c>
      <c r="Z85" s="37">
        <f t="shared" si="5"/>
        <v>11</v>
      </c>
      <c r="AA85" s="37">
        <f t="shared" si="5"/>
        <v>11</v>
      </c>
      <c r="AC85" s="18">
        <v>5</v>
      </c>
      <c r="AD85" s="18">
        <v>0</v>
      </c>
      <c r="AE85" s="18">
        <v>0</v>
      </c>
      <c r="AF85" s="18">
        <v>0</v>
      </c>
      <c r="AG85" s="18">
        <v>0</v>
      </c>
      <c r="AH85" s="18">
        <v>5</v>
      </c>
      <c r="AI85" s="18">
        <v>5</v>
      </c>
      <c r="AK85" s="4">
        <v>1</v>
      </c>
      <c r="AL85" s="4">
        <v>0</v>
      </c>
      <c r="AM85" s="4">
        <v>3</v>
      </c>
      <c r="AN85" s="4">
        <v>3</v>
      </c>
      <c r="AO85" s="4">
        <v>0</v>
      </c>
      <c r="AP85" s="4">
        <v>1</v>
      </c>
      <c r="AQ85" s="4">
        <v>1</v>
      </c>
    </row>
    <row r="86" spans="12:43">
      <c r="L86" s="15">
        <v>82</v>
      </c>
      <c r="M86" s="38" t="s">
        <v>40</v>
      </c>
      <c r="N86" s="38" t="s">
        <v>37</v>
      </c>
      <c r="O86" s="38" t="s">
        <v>32</v>
      </c>
      <c r="P86" s="38" t="s">
        <v>25</v>
      </c>
      <c r="Q86" s="38" t="s">
        <v>25</v>
      </c>
      <c r="R86" s="38" t="s">
        <v>33</v>
      </c>
      <c r="S86" s="24" t="s">
        <v>35</v>
      </c>
      <c r="U86" s="37">
        <f t="shared" si="6"/>
        <v>12</v>
      </c>
      <c r="V86" s="37">
        <f t="shared" si="6"/>
        <v>13</v>
      </c>
      <c r="W86" s="37">
        <f t="shared" si="6"/>
        <v>4</v>
      </c>
      <c r="X86" s="37">
        <f t="shared" si="5"/>
        <v>5</v>
      </c>
      <c r="Y86" s="37">
        <f t="shared" si="5"/>
        <v>5</v>
      </c>
      <c r="Z86" s="37">
        <f t="shared" si="5"/>
        <v>11</v>
      </c>
      <c r="AA86" s="37">
        <f t="shared" si="5"/>
        <v>15</v>
      </c>
      <c r="AC86" s="18">
        <v>5</v>
      </c>
      <c r="AD86" s="18">
        <v>0</v>
      </c>
      <c r="AE86" s="18">
        <v>0</v>
      </c>
      <c r="AF86" s="18">
        <v>0</v>
      </c>
      <c r="AG86" s="18">
        <v>0</v>
      </c>
      <c r="AH86" s="18">
        <v>5</v>
      </c>
      <c r="AI86" s="18">
        <v>5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1</v>
      </c>
    </row>
    <row r="87" spans="12:43">
      <c r="L87" s="14">
        <v>83</v>
      </c>
      <c r="M87" s="38" t="s">
        <v>37</v>
      </c>
      <c r="N87" s="38" t="s">
        <v>35</v>
      </c>
      <c r="O87" s="38" t="s">
        <v>32</v>
      </c>
      <c r="P87" s="38" t="s">
        <v>38</v>
      </c>
      <c r="Q87" s="38" t="s">
        <v>90</v>
      </c>
      <c r="R87" s="38" t="s">
        <v>65</v>
      </c>
      <c r="S87" s="24" t="s">
        <v>33</v>
      </c>
      <c r="U87" s="37">
        <f t="shared" si="6"/>
        <v>13</v>
      </c>
      <c r="V87" s="37">
        <f t="shared" si="6"/>
        <v>15</v>
      </c>
      <c r="W87" s="37">
        <f t="shared" si="6"/>
        <v>4</v>
      </c>
      <c r="X87" s="37">
        <f t="shared" si="5"/>
        <v>15</v>
      </c>
      <c r="Y87" s="37">
        <f t="shared" si="5"/>
        <v>6</v>
      </c>
      <c r="Z87" s="37">
        <f t="shared" si="5"/>
        <v>17</v>
      </c>
      <c r="AA87" s="37">
        <f t="shared" si="5"/>
        <v>11</v>
      </c>
      <c r="AC87" s="18">
        <v>5</v>
      </c>
      <c r="AD87" s="18">
        <v>0</v>
      </c>
      <c r="AE87" s="18">
        <v>0</v>
      </c>
      <c r="AF87" s="18">
        <v>0</v>
      </c>
      <c r="AG87" s="18">
        <v>0</v>
      </c>
      <c r="AH87" s="18">
        <v>5</v>
      </c>
      <c r="AI87" s="18">
        <v>5</v>
      </c>
      <c r="AK87" s="4">
        <v>1</v>
      </c>
      <c r="AL87" s="4">
        <v>2</v>
      </c>
      <c r="AM87" s="4">
        <v>0</v>
      </c>
      <c r="AN87" s="4">
        <v>0</v>
      </c>
      <c r="AO87" s="4">
        <v>2</v>
      </c>
      <c r="AP87" s="4">
        <v>1</v>
      </c>
      <c r="AQ87" s="4">
        <v>1</v>
      </c>
    </row>
    <row r="88" spans="12:43">
      <c r="L88" s="15">
        <v>84</v>
      </c>
      <c r="M88" s="38" t="s">
        <v>37</v>
      </c>
      <c r="N88" s="38" t="s">
        <v>234</v>
      </c>
      <c r="O88" s="38" t="s">
        <v>65</v>
      </c>
      <c r="P88" s="38" t="s">
        <v>38</v>
      </c>
      <c r="Q88" s="38" t="s">
        <v>90</v>
      </c>
      <c r="R88" s="38" t="s">
        <v>25</v>
      </c>
      <c r="S88" s="24" t="s">
        <v>90</v>
      </c>
      <c r="U88" s="37">
        <f t="shared" si="6"/>
        <v>13</v>
      </c>
      <c r="V88" s="37">
        <f t="shared" si="6"/>
        <v>0</v>
      </c>
      <c r="W88" s="37">
        <f t="shared" si="6"/>
        <v>17</v>
      </c>
      <c r="X88" s="37">
        <f t="shared" si="5"/>
        <v>15</v>
      </c>
      <c r="Y88" s="37">
        <f t="shared" si="5"/>
        <v>6</v>
      </c>
      <c r="Z88" s="37">
        <f t="shared" si="5"/>
        <v>5</v>
      </c>
      <c r="AA88" s="37">
        <f t="shared" si="5"/>
        <v>6</v>
      </c>
      <c r="AC88" s="18">
        <v>5</v>
      </c>
      <c r="AD88" s="18">
        <v>0</v>
      </c>
      <c r="AE88" s="18">
        <v>0</v>
      </c>
      <c r="AF88" s="18">
        <v>0</v>
      </c>
      <c r="AG88" s="18">
        <v>0</v>
      </c>
      <c r="AH88" s="18">
        <v>5</v>
      </c>
      <c r="AI88" s="18">
        <v>5</v>
      </c>
      <c r="AK88" s="4">
        <v>1</v>
      </c>
      <c r="AL88" s="4">
        <v>0</v>
      </c>
      <c r="AM88" s="4">
        <v>1</v>
      </c>
      <c r="AN88" s="4">
        <v>1</v>
      </c>
      <c r="AO88" s="4">
        <v>0</v>
      </c>
      <c r="AP88" s="4">
        <v>1</v>
      </c>
      <c r="AQ88" s="4">
        <v>1</v>
      </c>
    </row>
    <row r="89" spans="12:43">
      <c r="L89" s="14">
        <v>85</v>
      </c>
      <c r="M89" s="38" t="s">
        <v>35</v>
      </c>
      <c r="N89" s="38" t="s">
        <v>25</v>
      </c>
      <c r="O89" s="38" t="s">
        <v>37</v>
      </c>
      <c r="P89" s="38" t="s">
        <v>234</v>
      </c>
      <c r="Q89" s="38" t="s">
        <v>39</v>
      </c>
      <c r="R89" s="38" t="s">
        <v>25</v>
      </c>
      <c r="S89" s="24" t="s">
        <v>90</v>
      </c>
      <c r="U89" s="37">
        <f t="shared" si="6"/>
        <v>15</v>
      </c>
      <c r="V89" s="37">
        <f t="shared" si="6"/>
        <v>5</v>
      </c>
      <c r="W89" s="37">
        <f t="shared" si="6"/>
        <v>13</v>
      </c>
      <c r="X89" s="37">
        <f t="shared" si="5"/>
        <v>0</v>
      </c>
      <c r="Y89" s="37">
        <f t="shared" si="5"/>
        <v>5</v>
      </c>
      <c r="Z89" s="37">
        <f t="shared" si="5"/>
        <v>5</v>
      </c>
      <c r="AA89" s="37">
        <f t="shared" si="5"/>
        <v>6</v>
      </c>
      <c r="AC89" s="18">
        <v>5</v>
      </c>
      <c r="AD89" s="18">
        <v>5</v>
      </c>
      <c r="AE89" s="18">
        <v>5</v>
      </c>
      <c r="AF89" s="18">
        <v>5</v>
      </c>
      <c r="AG89" s="18">
        <v>4</v>
      </c>
      <c r="AH89" s="18">
        <v>5</v>
      </c>
      <c r="AI89" s="18">
        <v>5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</row>
    <row r="90" spans="12:43">
      <c r="L90" s="15">
        <v>86</v>
      </c>
      <c r="M90" s="38" t="s">
        <v>25</v>
      </c>
      <c r="N90" s="38" t="s">
        <v>25</v>
      </c>
      <c r="O90" s="38" t="s">
        <v>40</v>
      </c>
      <c r="P90" s="38" t="s">
        <v>25</v>
      </c>
      <c r="Q90" s="38" t="s">
        <v>39</v>
      </c>
      <c r="R90" s="38" t="s">
        <v>25</v>
      </c>
      <c r="S90" s="24" t="s">
        <v>65</v>
      </c>
      <c r="U90" s="37">
        <f t="shared" si="6"/>
        <v>5</v>
      </c>
      <c r="V90" s="37">
        <f t="shared" si="6"/>
        <v>5</v>
      </c>
      <c r="W90" s="37">
        <f t="shared" si="6"/>
        <v>12</v>
      </c>
      <c r="X90" s="37">
        <f t="shared" si="5"/>
        <v>5</v>
      </c>
      <c r="Y90" s="37">
        <f t="shared" si="5"/>
        <v>5</v>
      </c>
      <c r="Z90" s="37">
        <f t="shared" si="5"/>
        <v>5</v>
      </c>
      <c r="AA90" s="37">
        <f t="shared" si="5"/>
        <v>17</v>
      </c>
      <c r="AC90" s="18">
        <v>5</v>
      </c>
      <c r="AD90" s="18">
        <v>0</v>
      </c>
      <c r="AE90" s="18">
        <v>0</v>
      </c>
      <c r="AF90" s="18">
        <v>0</v>
      </c>
      <c r="AG90" s="18">
        <v>1</v>
      </c>
      <c r="AH90" s="18">
        <v>5</v>
      </c>
      <c r="AI90" s="18">
        <v>5</v>
      </c>
      <c r="AK90" s="4">
        <v>1</v>
      </c>
      <c r="AL90" s="4">
        <v>1</v>
      </c>
      <c r="AM90" s="4">
        <v>1</v>
      </c>
      <c r="AN90" s="4">
        <v>1</v>
      </c>
      <c r="AO90" s="4">
        <v>3</v>
      </c>
      <c r="AP90" s="4">
        <v>1</v>
      </c>
      <c r="AQ90" s="4">
        <v>1</v>
      </c>
    </row>
    <row r="91" spans="12:43">
      <c r="L91" s="14">
        <v>87</v>
      </c>
      <c r="M91" s="38" t="s">
        <v>25</v>
      </c>
      <c r="N91" s="38" t="s">
        <v>65</v>
      </c>
      <c r="O91" s="38" t="s">
        <v>39</v>
      </c>
      <c r="P91" s="38" t="s">
        <v>25</v>
      </c>
      <c r="Q91" s="38" t="s">
        <v>35</v>
      </c>
      <c r="R91" s="38" t="s">
        <v>40</v>
      </c>
      <c r="S91" s="24" t="s">
        <v>37</v>
      </c>
      <c r="U91" s="37">
        <f t="shared" si="6"/>
        <v>5</v>
      </c>
      <c r="V91" s="37">
        <f t="shared" si="6"/>
        <v>17</v>
      </c>
      <c r="W91" s="37">
        <f t="shared" si="6"/>
        <v>5</v>
      </c>
      <c r="X91" s="37">
        <f t="shared" si="5"/>
        <v>5</v>
      </c>
      <c r="Y91" s="37">
        <f t="shared" si="5"/>
        <v>15</v>
      </c>
      <c r="Z91" s="37">
        <f t="shared" si="5"/>
        <v>12</v>
      </c>
      <c r="AA91" s="37">
        <f t="shared" si="5"/>
        <v>13</v>
      </c>
      <c r="AC91" s="18">
        <v>5</v>
      </c>
      <c r="AD91" s="18">
        <v>0</v>
      </c>
      <c r="AE91" s="18">
        <v>0</v>
      </c>
      <c r="AF91" s="18">
        <v>0</v>
      </c>
      <c r="AG91" s="18">
        <v>0</v>
      </c>
      <c r="AH91" s="18">
        <v>5</v>
      </c>
      <c r="AI91" s="18">
        <v>5</v>
      </c>
      <c r="AK91" s="4">
        <v>1</v>
      </c>
      <c r="AL91" s="4">
        <v>2</v>
      </c>
      <c r="AM91" s="4">
        <v>1</v>
      </c>
      <c r="AN91" s="4">
        <v>1</v>
      </c>
      <c r="AO91" s="4">
        <v>0</v>
      </c>
      <c r="AP91" s="4">
        <v>1</v>
      </c>
      <c r="AQ91" s="4">
        <v>1</v>
      </c>
    </row>
    <row r="92" spans="12:43">
      <c r="L92" s="15">
        <v>88</v>
      </c>
      <c r="M92" s="38" t="s">
        <v>35</v>
      </c>
      <c r="N92" s="38" t="s">
        <v>65</v>
      </c>
      <c r="O92" s="38" t="s">
        <v>25</v>
      </c>
      <c r="P92" s="38" t="s">
        <v>38</v>
      </c>
      <c r="Q92" s="38" t="s">
        <v>90</v>
      </c>
      <c r="R92" s="38" t="s">
        <v>25</v>
      </c>
      <c r="S92" s="24" t="s">
        <v>34</v>
      </c>
      <c r="U92" s="37">
        <f t="shared" si="6"/>
        <v>15</v>
      </c>
      <c r="V92" s="37">
        <f t="shared" si="6"/>
        <v>17</v>
      </c>
      <c r="W92" s="37">
        <f t="shared" si="6"/>
        <v>5</v>
      </c>
      <c r="X92" s="37">
        <f t="shared" si="5"/>
        <v>15</v>
      </c>
      <c r="Y92" s="37">
        <f t="shared" si="5"/>
        <v>6</v>
      </c>
      <c r="Z92" s="37">
        <f t="shared" si="5"/>
        <v>5</v>
      </c>
      <c r="AA92" s="37">
        <f t="shared" si="5"/>
        <v>16</v>
      </c>
      <c r="AC92" s="18">
        <v>5</v>
      </c>
      <c r="AD92" s="18">
        <v>0</v>
      </c>
      <c r="AE92" s="18">
        <v>0</v>
      </c>
      <c r="AF92" s="18">
        <v>0</v>
      </c>
      <c r="AG92" s="18">
        <v>0</v>
      </c>
      <c r="AH92" s="18">
        <v>5</v>
      </c>
      <c r="AI92" s="18">
        <v>5</v>
      </c>
      <c r="AK92" s="4">
        <v>1</v>
      </c>
      <c r="AL92" s="4">
        <v>0</v>
      </c>
      <c r="AM92" s="4">
        <v>1</v>
      </c>
      <c r="AN92" s="4">
        <v>2</v>
      </c>
      <c r="AO92" s="4">
        <v>0</v>
      </c>
      <c r="AP92" s="4">
        <v>1</v>
      </c>
      <c r="AQ92" s="4">
        <v>1</v>
      </c>
    </row>
    <row r="93" spans="12:43">
      <c r="L93" s="14">
        <v>89</v>
      </c>
      <c r="M93" s="38" t="s">
        <v>35</v>
      </c>
      <c r="N93" s="38" t="s">
        <v>90</v>
      </c>
      <c r="O93" s="38" t="s">
        <v>25</v>
      </c>
      <c r="P93" s="38" t="s">
        <v>38</v>
      </c>
      <c r="Q93" s="38" t="s">
        <v>39</v>
      </c>
      <c r="R93" s="38" t="s">
        <v>25</v>
      </c>
      <c r="S93" s="24" t="s">
        <v>34</v>
      </c>
      <c r="U93" s="37">
        <f t="shared" si="6"/>
        <v>15</v>
      </c>
      <c r="V93" s="37">
        <f t="shared" si="6"/>
        <v>6</v>
      </c>
      <c r="W93" s="37">
        <f t="shared" si="6"/>
        <v>5</v>
      </c>
      <c r="X93" s="37">
        <f t="shared" si="5"/>
        <v>15</v>
      </c>
      <c r="Y93" s="37">
        <f t="shared" si="5"/>
        <v>5</v>
      </c>
      <c r="Z93" s="37">
        <f t="shared" si="5"/>
        <v>5</v>
      </c>
      <c r="AA93" s="37">
        <f t="shared" si="5"/>
        <v>16</v>
      </c>
      <c r="AC93" s="18">
        <v>5</v>
      </c>
      <c r="AD93" s="18">
        <v>0</v>
      </c>
      <c r="AE93" s="18">
        <v>0</v>
      </c>
      <c r="AF93" s="18">
        <v>0</v>
      </c>
      <c r="AG93" s="18">
        <v>1</v>
      </c>
      <c r="AH93" s="18">
        <v>5</v>
      </c>
      <c r="AI93" s="18">
        <v>5</v>
      </c>
      <c r="AK93" s="4">
        <v>1</v>
      </c>
      <c r="AL93" s="4">
        <v>1</v>
      </c>
      <c r="AM93" s="4">
        <v>1</v>
      </c>
      <c r="AN93" s="4">
        <v>0</v>
      </c>
      <c r="AO93" s="4">
        <v>1</v>
      </c>
      <c r="AP93" s="4">
        <v>1</v>
      </c>
      <c r="AQ93" s="4">
        <v>1</v>
      </c>
    </row>
    <row r="94" spans="12:43">
      <c r="L94" s="15">
        <v>90</v>
      </c>
      <c r="M94" s="38" t="s">
        <v>25</v>
      </c>
      <c r="N94" s="38" t="s">
        <v>37</v>
      </c>
      <c r="O94" s="38" t="s">
        <v>35</v>
      </c>
      <c r="P94" s="38" t="s">
        <v>40</v>
      </c>
      <c r="Q94" s="38" t="s">
        <v>39</v>
      </c>
      <c r="R94" s="38" t="s">
        <v>25</v>
      </c>
      <c r="S94" s="24" t="s">
        <v>65</v>
      </c>
      <c r="U94" s="37">
        <f t="shared" si="6"/>
        <v>5</v>
      </c>
      <c r="V94" s="37">
        <f t="shared" si="6"/>
        <v>13</v>
      </c>
      <c r="W94" s="37">
        <f t="shared" si="6"/>
        <v>15</v>
      </c>
      <c r="X94" s="37">
        <f t="shared" si="5"/>
        <v>12</v>
      </c>
      <c r="Y94" s="37">
        <f t="shared" si="5"/>
        <v>5</v>
      </c>
      <c r="Z94" s="37">
        <f t="shared" si="5"/>
        <v>5</v>
      </c>
      <c r="AA94" s="37">
        <f t="shared" si="5"/>
        <v>17</v>
      </c>
      <c r="AC94" s="18">
        <v>5</v>
      </c>
      <c r="AD94" s="18">
        <v>5</v>
      </c>
      <c r="AE94" s="18">
        <v>5</v>
      </c>
      <c r="AF94" s="18">
        <v>5</v>
      </c>
      <c r="AG94" s="18">
        <v>5</v>
      </c>
      <c r="AH94" s="18">
        <v>5</v>
      </c>
      <c r="AI94" s="18">
        <v>5</v>
      </c>
      <c r="AK94" s="4">
        <v>1</v>
      </c>
      <c r="AL94" s="4">
        <v>1</v>
      </c>
      <c r="AM94" s="4">
        <v>1</v>
      </c>
      <c r="AN94" s="4">
        <v>2</v>
      </c>
      <c r="AO94" s="4">
        <v>1</v>
      </c>
      <c r="AP94" s="4">
        <v>1</v>
      </c>
      <c r="AQ94" s="4">
        <v>1</v>
      </c>
    </row>
    <row r="95" spans="12:43">
      <c r="L95" s="14">
        <v>91</v>
      </c>
      <c r="M95" s="38" t="s">
        <v>35</v>
      </c>
      <c r="N95" s="38" t="s">
        <v>65</v>
      </c>
      <c r="O95" s="38" t="s">
        <v>35</v>
      </c>
      <c r="P95" s="38" t="s">
        <v>33</v>
      </c>
      <c r="Q95" s="38" t="s">
        <v>240</v>
      </c>
      <c r="R95" s="38" t="s">
        <v>39</v>
      </c>
      <c r="S95" s="24" t="s">
        <v>90</v>
      </c>
      <c r="U95" s="37">
        <f t="shared" si="6"/>
        <v>15</v>
      </c>
      <c r="V95" s="37">
        <f t="shared" si="6"/>
        <v>17</v>
      </c>
      <c r="W95" s="37">
        <f t="shared" si="6"/>
        <v>15</v>
      </c>
      <c r="X95" s="37">
        <f t="shared" si="5"/>
        <v>11</v>
      </c>
      <c r="Y95" s="37">
        <f t="shared" si="5"/>
        <v>0</v>
      </c>
      <c r="Z95" s="37">
        <f t="shared" si="5"/>
        <v>5</v>
      </c>
      <c r="AA95" s="37">
        <f t="shared" si="5"/>
        <v>6</v>
      </c>
      <c r="AC95" s="18">
        <v>5</v>
      </c>
      <c r="AD95" s="18">
        <v>0</v>
      </c>
      <c r="AE95" s="18">
        <v>0</v>
      </c>
      <c r="AF95" s="18">
        <v>0</v>
      </c>
      <c r="AG95" s="18">
        <v>0</v>
      </c>
      <c r="AH95" s="18">
        <v>5</v>
      </c>
      <c r="AI95" s="18">
        <v>5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1</v>
      </c>
      <c r="AQ95" s="4">
        <v>1</v>
      </c>
    </row>
    <row r="96" spans="12:43">
      <c r="L96" s="15">
        <v>92</v>
      </c>
      <c r="M96" s="38" t="s">
        <v>39</v>
      </c>
      <c r="N96" s="38" t="s">
        <v>38</v>
      </c>
      <c r="O96" s="38" t="s">
        <v>37</v>
      </c>
      <c r="P96" s="38" t="s">
        <v>33</v>
      </c>
      <c r="Q96" s="38" t="s">
        <v>40</v>
      </c>
      <c r="R96" s="38" t="s">
        <v>39</v>
      </c>
      <c r="S96" s="24" t="s">
        <v>90</v>
      </c>
      <c r="U96" s="37">
        <f t="shared" si="6"/>
        <v>5</v>
      </c>
      <c r="V96" s="37">
        <f t="shared" si="6"/>
        <v>15</v>
      </c>
      <c r="W96" s="37">
        <f t="shared" si="6"/>
        <v>13</v>
      </c>
      <c r="X96" s="37">
        <f t="shared" si="5"/>
        <v>11</v>
      </c>
      <c r="Y96" s="37">
        <f t="shared" si="5"/>
        <v>12</v>
      </c>
      <c r="Z96" s="37">
        <f t="shared" si="5"/>
        <v>5</v>
      </c>
      <c r="AA96" s="37">
        <f t="shared" si="5"/>
        <v>6</v>
      </c>
      <c r="AC96" s="18">
        <v>5</v>
      </c>
      <c r="AD96" s="18">
        <v>0</v>
      </c>
      <c r="AE96" s="18">
        <v>0</v>
      </c>
      <c r="AF96" s="18">
        <v>0</v>
      </c>
      <c r="AG96" s="18">
        <v>0</v>
      </c>
      <c r="AH96" s="18">
        <v>5</v>
      </c>
      <c r="AI96" s="18">
        <v>5</v>
      </c>
      <c r="AK96" s="4">
        <v>1</v>
      </c>
      <c r="AL96" s="4">
        <v>2</v>
      </c>
      <c r="AM96" s="4">
        <v>2</v>
      </c>
      <c r="AN96" s="4">
        <v>1</v>
      </c>
      <c r="AO96" s="4">
        <v>0</v>
      </c>
      <c r="AP96" s="4">
        <v>1</v>
      </c>
      <c r="AQ96" s="4">
        <v>1</v>
      </c>
    </row>
    <row r="97" spans="12:43">
      <c r="L97" s="14">
        <v>93</v>
      </c>
      <c r="M97" s="38" t="s">
        <v>40</v>
      </c>
      <c r="N97" s="38" t="s">
        <v>38</v>
      </c>
      <c r="O97" s="38" t="s">
        <v>35</v>
      </c>
      <c r="P97" s="38" t="s">
        <v>33</v>
      </c>
      <c r="Q97" s="38" t="s">
        <v>39</v>
      </c>
      <c r="R97" s="38" t="s">
        <v>32</v>
      </c>
      <c r="S97" s="24" t="s">
        <v>37</v>
      </c>
      <c r="U97" s="37">
        <f t="shared" si="6"/>
        <v>12</v>
      </c>
      <c r="V97" s="37">
        <f t="shared" si="6"/>
        <v>15</v>
      </c>
      <c r="W97" s="37">
        <f t="shared" si="6"/>
        <v>15</v>
      </c>
      <c r="X97" s="37">
        <f t="shared" si="5"/>
        <v>11</v>
      </c>
      <c r="Y97" s="37">
        <f t="shared" si="5"/>
        <v>5</v>
      </c>
      <c r="Z97" s="37">
        <f t="shared" si="5"/>
        <v>4</v>
      </c>
      <c r="AA97" s="37">
        <f t="shared" si="5"/>
        <v>13</v>
      </c>
      <c r="AC97" s="18">
        <v>5</v>
      </c>
      <c r="AD97" s="18">
        <v>0</v>
      </c>
      <c r="AE97" s="18">
        <v>0</v>
      </c>
      <c r="AF97" s="18">
        <v>0</v>
      </c>
      <c r="AG97" s="18">
        <v>0</v>
      </c>
      <c r="AH97" s="18">
        <v>5</v>
      </c>
      <c r="AI97" s="18">
        <v>5</v>
      </c>
      <c r="AK97" s="4">
        <v>1</v>
      </c>
      <c r="AL97" s="4">
        <v>0</v>
      </c>
      <c r="AM97" s="4">
        <v>0</v>
      </c>
      <c r="AN97" s="4">
        <v>1</v>
      </c>
      <c r="AO97" s="4">
        <v>1</v>
      </c>
      <c r="AP97" s="4">
        <v>1</v>
      </c>
      <c r="AQ97" s="4">
        <v>1</v>
      </c>
    </row>
    <row r="98" spans="12:43">
      <c r="L98" s="15">
        <v>94</v>
      </c>
      <c r="M98" s="38" t="s">
        <v>90</v>
      </c>
      <c r="N98" s="38" t="s">
        <v>38</v>
      </c>
      <c r="O98" s="38" t="s">
        <v>35</v>
      </c>
      <c r="P98" s="38" t="s">
        <v>40</v>
      </c>
      <c r="Q98" s="38" t="s">
        <v>39</v>
      </c>
      <c r="R98" s="38" t="s">
        <v>32</v>
      </c>
      <c r="S98" s="24" t="s">
        <v>37</v>
      </c>
      <c r="U98" s="37">
        <f t="shared" si="6"/>
        <v>6</v>
      </c>
      <c r="V98" s="37">
        <f t="shared" si="6"/>
        <v>15</v>
      </c>
      <c r="W98" s="37">
        <f t="shared" si="6"/>
        <v>15</v>
      </c>
      <c r="X98" s="37">
        <f t="shared" si="5"/>
        <v>12</v>
      </c>
      <c r="Y98" s="37">
        <f t="shared" si="5"/>
        <v>5</v>
      </c>
      <c r="Z98" s="37">
        <f t="shared" si="5"/>
        <v>4</v>
      </c>
      <c r="AA98" s="37">
        <f t="shared" si="5"/>
        <v>13</v>
      </c>
      <c r="AC98" s="18">
        <v>5</v>
      </c>
      <c r="AD98" s="18">
        <v>0</v>
      </c>
      <c r="AE98" s="18">
        <v>0</v>
      </c>
      <c r="AF98" s="18">
        <v>0</v>
      </c>
      <c r="AG98" s="18">
        <v>1</v>
      </c>
      <c r="AH98" s="18">
        <v>5</v>
      </c>
      <c r="AI98" s="18">
        <v>5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</row>
    <row r="99" spans="12:43">
      <c r="L99" s="14">
        <v>95</v>
      </c>
      <c r="M99" s="38" t="s">
        <v>40</v>
      </c>
      <c r="N99" s="38" t="s">
        <v>65</v>
      </c>
      <c r="O99" s="38" t="s">
        <v>35</v>
      </c>
      <c r="P99" s="38" t="s">
        <v>40</v>
      </c>
      <c r="Q99" s="38" t="s">
        <v>90</v>
      </c>
      <c r="R99" s="38" t="s">
        <v>37</v>
      </c>
      <c r="S99" s="24" t="s">
        <v>37</v>
      </c>
      <c r="U99" s="37">
        <f t="shared" si="6"/>
        <v>12</v>
      </c>
      <c r="V99" s="37">
        <f t="shared" si="6"/>
        <v>17</v>
      </c>
      <c r="W99" s="37">
        <f t="shared" si="6"/>
        <v>15</v>
      </c>
      <c r="X99" s="37">
        <f t="shared" si="5"/>
        <v>12</v>
      </c>
      <c r="Y99" s="37">
        <f t="shared" si="5"/>
        <v>6</v>
      </c>
      <c r="Z99" s="37">
        <f t="shared" si="5"/>
        <v>13</v>
      </c>
      <c r="AA99" s="37">
        <f t="shared" si="5"/>
        <v>13</v>
      </c>
      <c r="AC99" s="18">
        <v>5</v>
      </c>
      <c r="AD99" s="18">
        <v>5</v>
      </c>
      <c r="AE99" s="18">
        <v>5</v>
      </c>
      <c r="AF99" s="18">
        <v>5</v>
      </c>
      <c r="AG99" s="18">
        <v>6</v>
      </c>
      <c r="AH99" s="18">
        <v>5</v>
      </c>
      <c r="AI99" s="18">
        <v>5</v>
      </c>
      <c r="AK99" s="4">
        <v>1</v>
      </c>
      <c r="AL99" s="4">
        <v>1</v>
      </c>
      <c r="AM99" s="4">
        <v>1</v>
      </c>
      <c r="AN99" s="4">
        <v>2</v>
      </c>
      <c r="AO99" s="4">
        <v>2</v>
      </c>
      <c r="AP99" s="4">
        <v>1</v>
      </c>
      <c r="AQ99" s="4">
        <v>1</v>
      </c>
    </row>
    <row r="100" spans="12:43">
      <c r="L100" s="15">
        <v>96</v>
      </c>
      <c r="M100" s="38" t="s">
        <v>37</v>
      </c>
      <c r="N100" s="38" t="s">
        <v>230</v>
      </c>
      <c r="O100" s="38" t="s">
        <v>25</v>
      </c>
      <c r="P100" s="38" t="s">
        <v>39</v>
      </c>
      <c r="Q100" s="38" t="s">
        <v>39</v>
      </c>
      <c r="R100" s="38" t="s">
        <v>37</v>
      </c>
      <c r="S100" s="24" t="s">
        <v>39</v>
      </c>
      <c r="U100" s="37">
        <f t="shared" si="6"/>
        <v>13</v>
      </c>
      <c r="V100" s="37">
        <f t="shared" si="6"/>
        <v>0</v>
      </c>
      <c r="W100" s="37">
        <f t="shared" si="6"/>
        <v>5</v>
      </c>
      <c r="X100" s="37">
        <f t="shared" si="5"/>
        <v>5</v>
      </c>
      <c r="Y100" s="37">
        <f t="shared" si="5"/>
        <v>5</v>
      </c>
      <c r="Z100" s="37">
        <f t="shared" si="5"/>
        <v>13</v>
      </c>
      <c r="AA100" s="37">
        <f t="shared" si="5"/>
        <v>5</v>
      </c>
      <c r="AC100" s="18">
        <v>5</v>
      </c>
      <c r="AD100" s="18">
        <v>0</v>
      </c>
      <c r="AE100" s="18">
        <v>0</v>
      </c>
      <c r="AF100" s="18">
        <v>0</v>
      </c>
      <c r="AG100" s="18">
        <v>0</v>
      </c>
      <c r="AH100" s="18">
        <v>5</v>
      </c>
      <c r="AI100" s="18">
        <v>5</v>
      </c>
      <c r="AK100" s="4">
        <v>1</v>
      </c>
      <c r="AL100" s="4">
        <v>2</v>
      </c>
      <c r="AM100" s="4">
        <v>1</v>
      </c>
      <c r="AN100" s="4">
        <v>0</v>
      </c>
      <c r="AO100" s="4">
        <v>0</v>
      </c>
      <c r="AP100" s="4">
        <v>1</v>
      </c>
      <c r="AQ100" s="4">
        <v>1</v>
      </c>
    </row>
    <row r="101" spans="12:43">
      <c r="L101" s="14">
        <v>97</v>
      </c>
      <c r="M101" s="38" t="s">
        <v>39</v>
      </c>
      <c r="N101" s="38" t="s">
        <v>232</v>
      </c>
      <c r="O101" s="38" t="s">
        <v>25</v>
      </c>
      <c r="P101" s="38" t="s">
        <v>37</v>
      </c>
      <c r="Q101" s="38" t="s">
        <v>65</v>
      </c>
      <c r="R101" s="38" t="s">
        <v>40</v>
      </c>
      <c r="S101" s="24" t="s">
        <v>39</v>
      </c>
      <c r="U101" s="37">
        <f t="shared" si="6"/>
        <v>5</v>
      </c>
      <c r="V101" s="37">
        <f t="shared" si="6"/>
        <v>0</v>
      </c>
      <c r="W101" s="37">
        <f t="shared" si="6"/>
        <v>5</v>
      </c>
      <c r="X101" s="37">
        <f t="shared" si="5"/>
        <v>13</v>
      </c>
      <c r="Y101" s="37">
        <f t="shared" si="5"/>
        <v>17</v>
      </c>
      <c r="Z101" s="37">
        <f t="shared" si="5"/>
        <v>12</v>
      </c>
      <c r="AA101" s="37">
        <f t="shared" si="5"/>
        <v>5</v>
      </c>
      <c r="AC101" s="18">
        <v>5</v>
      </c>
      <c r="AD101" s="18">
        <v>0</v>
      </c>
      <c r="AE101" s="18">
        <v>0</v>
      </c>
      <c r="AF101" s="18">
        <v>0</v>
      </c>
      <c r="AG101" s="18">
        <v>0</v>
      </c>
      <c r="AH101" s="18">
        <v>5</v>
      </c>
      <c r="AI101" s="18">
        <v>5</v>
      </c>
      <c r="AK101" s="4">
        <v>1</v>
      </c>
      <c r="AL101" s="4">
        <v>0</v>
      </c>
      <c r="AM101" s="4">
        <v>1</v>
      </c>
      <c r="AN101" s="4">
        <v>1</v>
      </c>
      <c r="AO101" s="4">
        <v>2</v>
      </c>
      <c r="AP101" s="4">
        <v>1</v>
      </c>
      <c r="AQ101" s="4">
        <v>1</v>
      </c>
    </row>
    <row r="102" spans="12:43">
      <c r="L102" s="15">
        <v>98</v>
      </c>
      <c r="M102" s="38" t="s">
        <v>39</v>
      </c>
      <c r="N102" s="38" t="s">
        <v>38</v>
      </c>
      <c r="O102" s="38" t="s">
        <v>234</v>
      </c>
      <c r="P102" s="38" t="s">
        <v>37</v>
      </c>
      <c r="Q102" s="38" t="s">
        <v>37</v>
      </c>
      <c r="R102" s="38" t="s">
        <v>40</v>
      </c>
      <c r="S102" s="24" t="s">
        <v>39</v>
      </c>
      <c r="U102" s="37">
        <f t="shared" si="6"/>
        <v>5</v>
      </c>
      <c r="V102" s="37">
        <f t="shared" si="6"/>
        <v>15</v>
      </c>
      <c r="W102" s="37">
        <f t="shared" si="6"/>
        <v>0</v>
      </c>
      <c r="X102" s="37">
        <f t="shared" si="5"/>
        <v>13</v>
      </c>
      <c r="Y102" s="37">
        <f t="shared" si="5"/>
        <v>13</v>
      </c>
      <c r="Z102" s="37">
        <f t="shared" si="5"/>
        <v>12</v>
      </c>
      <c r="AA102" s="37">
        <f t="shared" si="5"/>
        <v>5</v>
      </c>
      <c r="AC102" s="18">
        <v>5</v>
      </c>
      <c r="AD102" s="18">
        <v>0</v>
      </c>
      <c r="AE102" s="18">
        <v>0</v>
      </c>
      <c r="AF102" s="18">
        <v>0</v>
      </c>
      <c r="AG102" s="18">
        <v>0</v>
      </c>
      <c r="AH102" s="18">
        <v>5</v>
      </c>
      <c r="AI102" s="18">
        <v>5</v>
      </c>
      <c r="AK102" s="4">
        <v>1</v>
      </c>
      <c r="AL102" s="4">
        <v>1</v>
      </c>
      <c r="AM102" s="4">
        <v>1</v>
      </c>
      <c r="AN102" s="4">
        <v>2</v>
      </c>
      <c r="AO102" s="4">
        <v>0</v>
      </c>
      <c r="AP102" s="4">
        <v>1</v>
      </c>
      <c r="AQ102" s="4">
        <v>1</v>
      </c>
    </row>
    <row r="103" spans="12:43">
      <c r="L103" s="14">
        <v>99</v>
      </c>
      <c r="M103" s="38" t="s">
        <v>37</v>
      </c>
      <c r="N103" s="38" t="s">
        <v>38</v>
      </c>
      <c r="O103" s="38" t="s">
        <v>240</v>
      </c>
      <c r="P103" s="38" t="s">
        <v>230</v>
      </c>
      <c r="Q103" s="38" t="s">
        <v>90</v>
      </c>
      <c r="R103" s="38" t="s">
        <v>37</v>
      </c>
      <c r="S103" s="24" t="s">
        <v>35</v>
      </c>
      <c r="U103" s="37">
        <f t="shared" si="6"/>
        <v>13</v>
      </c>
      <c r="V103" s="37">
        <f t="shared" si="6"/>
        <v>15</v>
      </c>
      <c r="W103" s="37">
        <f t="shared" si="6"/>
        <v>0</v>
      </c>
      <c r="X103" s="37">
        <f t="shared" si="5"/>
        <v>0</v>
      </c>
      <c r="Y103" s="37">
        <f t="shared" si="5"/>
        <v>6</v>
      </c>
      <c r="Z103" s="37">
        <f t="shared" si="5"/>
        <v>13</v>
      </c>
      <c r="AA103" s="37">
        <f t="shared" si="5"/>
        <v>15</v>
      </c>
      <c r="AC103" s="18">
        <v>5</v>
      </c>
      <c r="AD103" s="18">
        <v>0</v>
      </c>
      <c r="AE103" s="18">
        <v>0</v>
      </c>
      <c r="AF103" s="18">
        <v>0</v>
      </c>
      <c r="AG103" s="18">
        <v>0</v>
      </c>
      <c r="AH103" s="18">
        <v>5</v>
      </c>
      <c r="AI103" s="18">
        <v>5</v>
      </c>
      <c r="AK103" s="4">
        <v>1</v>
      </c>
      <c r="AL103" s="4">
        <v>1</v>
      </c>
      <c r="AM103" s="4">
        <v>1</v>
      </c>
      <c r="AN103" s="4">
        <v>0</v>
      </c>
      <c r="AO103" s="4">
        <v>1</v>
      </c>
      <c r="AP103" s="4">
        <v>1</v>
      </c>
      <c r="AQ103" s="4">
        <v>1</v>
      </c>
    </row>
    <row r="104" spans="12:43">
      <c r="L104" s="15">
        <v>100</v>
      </c>
      <c r="M104" s="38" t="s">
        <v>37</v>
      </c>
      <c r="N104" s="38" t="s">
        <v>38</v>
      </c>
      <c r="O104" s="38" t="s">
        <v>39</v>
      </c>
      <c r="P104" s="38" t="s">
        <v>65</v>
      </c>
      <c r="Q104" s="38" t="s">
        <v>90</v>
      </c>
      <c r="R104" s="38" t="s">
        <v>25</v>
      </c>
      <c r="S104" s="24" t="s">
        <v>35</v>
      </c>
      <c r="U104" s="37">
        <f t="shared" si="6"/>
        <v>13</v>
      </c>
      <c r="V104" s="37">
        <f t="shared" si="6"/>
        <v>15</v>
      </c>
      <c r="W104" s="37">
        <f t="shared" si="6"/>
        <v>5</v>
      </c>
      <c r="X104" s="37">
        <f t="shared" si="5"/>
        <v>17</v>
      </c>
      <c r="Y104" s="37">
        <f t="shared" si="5"/>
        <v>6</v>
      </c>
      <c r="Z104" s="37">
        <f t="shared" si="5"/>
        <v>5</v>
      </c>
      <c r="AA104" s="37">
        <f t="shared" si="5"/>
        <v>15</v>
      </c>
      <c r="AC104" s="18">
        <v>5</v>
      </c>
      <c r="AD104" s="18">
        <v>5</v>
      </c>
      <c r="AE104" s="18">
        <v>5</v>
      </c>
      <c r="AF104" s="18">
        <v>5</v>
      </c>
      <c r="AG104" s="18">
        <v>6</v>
      </c>
      <c r="AH104" s="18">
        <v>5</v>
      </c>
      <c r="AI104" s="18">
        <v>5</v>
      </c>
      <c r="AK104" s="4">
        <v>1</v>
      </c>
      <c r="AL104" s="4">
        <v>3</v>
      </c>
      <c r="AM104" s="4">
        <v>1</v>
      </c>
      <c r="AN104" s="4">
        <v>1</v>
      </c>
      <c r="AO104" s="4">
        <v>3</v>
      </c>
      <c r="AP104" s="4">
        <v>1</v>
      </c>
      <c r="AQ104" s="4">
        <v>1</v>
      </c>
    </row>
    <row r="105" spans="12:43">
      <c r="L105" s="14">
        <v>101</v>
      </c>
      <c r="M105" s="38" t="s">
        <v>39</v>
      </c>
      <c r="N105" s="38" t="s">
        <v>90</v>
      </c>
      <c r="O105" s="38" t="s">
        <v>25</v>
      </c>
      <c r="P105" s="38" t="s">
        <v>65</v>
      </c>
      <c r="Q105" s="38" t="s">
        <v>37</v>
      </c>
      <c r="R105" s="38" t="s">
        <v>38</v>
      </c>
      <c r="S105" s="24" t="s">
        <v>35</v>
      </c>
      <c r="U105" s="37">
        <f t="shared" si="6"/>
        <v>5</v>
      </c>
      <c r="V105" s="37">
        <f t="shared" si="6"/>
        <v>6</v>
      </c>
      <c r="W105" s="37">
        <f t="shared" si="6"/>
        <v>5</v>
      </c>
      <c r="X105" s="37">
        <f t="shared" si="5"/>
        <v>17</v>
      </c>
      <c r="Y105" s="37">
        <f t="shared" si="5"/>
        <v>13</v>
      </c>
      <c r="Z105" s="37">
        <f t="shared" si="5"/>
        <v>15</v>
      </c>
      <c r="AA105" s="37">
        <f t="shared" si="5"/>
        <v>15</v>
      </c>
      <c r="AC105" s="18">
        <v>5</v>
      </c>
      <c r="AD105" s="18">
        <v>0</v>
      </c>
      <c r="AE105" s="18">
        <v>0</v>
      </c>
      <c r="AF105" s="18">
        <v>0</v>
      </c>
      <c r="AG105" s="18">
        <v>0</v>
      </c>
      <c r="AH105" s="18">
        <v>5</v>
      </c>
      <c r="AI105" s="18">
        <v>5</v>
      </c>
      <c r="AK105" s="4">
        <v>1</v>
      </c>
      <c r="AL105" s="4">
        <v>0</v>
      </c>
      <c r="AM105" s="4">
        <v>3</v>
      </c>
      <c r="AN105" s="4">
        <v>3</v>
      </c>
      <c r="AO105" s="4">
        <v>0</v>
      </c>
      <c r="AP105" s="4">
        <v>1</v>
      </c>
      <c r="AQ105" s="4">
        <v>1</v>
      </c>
    </row>
    <row r="106" spans="12:43">
      <c r="L106" s="15">
        <v>102</v>
      </c>
      <c r="M106" s="38" t="s">
        <v>38</v>
      </c>
      <c r="N106" s="38" t="s">
        <v>39</v>
      </c>
      <c r="O106" s="38" t="s">
        <v>33</v>
      </c>
      <c r="P106" s="38" t="s">
        <v>35</v>
      </c>
      <c r="Q106" s="38" t="s">
        <v>37</v>
      </c>
      <c r="R106" s="38" t="s">
        <v>25</v>
      </c>
      <c r="S106" s="24" t="s">
        <v>65</v>
      </c>
      <c r="U106" s="37">
        <f t="shared" si="6"/>
        <v>15</v>
      </c>
      <c r="V106" s="37">
        <f t="shared" si="6"/>
        <v>5</v>
      </c>
      <c r="W106" s="37">
        <f t="shared" si="6"/>
        <v>11</v>
      </c>
      <c r="X106" s="37">
        <f t="shared" si="5"/>
        <v>15</v>
      </c>
      <c r="Y106" s="37">
        <f t="shared" si="5"/>
        <v>13</v>
      </c>
      <c r="Z106" s="37">
        <f t="shared" si="5"/>
        <v>5</v>
      </c>
      <c r="AA106" s="37">
        <f t="shared" si="5"/>
        <v>17</v>
      </c>
      <c r="AC106" s="18">
        <v>5</v>
      </c>
      <c r="AD106" s="18">
        <v>0</v>
      </c>
      <c r="AE106" s="18">
        <v>0</v>
      </c>
      <c r="AF106" s="18">
        <v>0</v>
      </c>
      <c r="AG106" s="18">
        <v>0</v>
      </c>
      <c r="AH106" s="18">
        <v>5</v>
      </c>
      <c r="AI106" s="18">
        <v>5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1</v>
      </c>
      <c r="AQ106" s="4">
        <v>1</v>
      </c>
    </row>
    <row r="107" spans="12:43">
      <c r="L107" s="14">
        <v>103</v>
      </c>
      <c r="M107" s="38" t="s">
        <v>65</v>
      </c>
      <c r="N107" s="38" t="s">
        <v>25</v>
      </c>
      <c r="O107" s="38" t="s">
        <v>33</v>
      </c>
      <c r="P107" s="38" t="s">
        <v>40</v>
      </c>
      <c r="Q107" s="38" t="s">
        <v>37</v>
      </c>
      <c r="R107" s="38" t="s">
        <v>25</v>
      </c>
      <c r="S107" s="24" t="s">
        <v>25</v>
      </c>
      <c r="U107" s="37">
        <f t="shared" si="6"/>
        <v>17</v>
      </c>
      <c r="V107" s="37">
        <f t="shared" si="6"/>
        <v>5</v>
      </c>
      <c r="W107" s="37">
        <f t="shared" si="6"/>
        <v>11</v>
      </c>
      <c r="X107" s="37">
        <f t="shared" si="5"/>
        <v>12</v>
      </c>
      <c r="Y107" s="37">
        <f t="shared" si="5"/>
        <v>13</v>
      </c>
      <c r="Z107" s="37">
        <f t="shared" si="5"/>
        <v>5</v>
      </c>
      <c r="AA107" s="37">
        <f t="shared" si="5"/>
        <v>5</v>
      </c>
      <c r="AC107" s="18">
        <v>5</v>
      </c>
      <c r="AD107" s="18">
        <v>0</v>
      </c>
      <c r="AE107" s="18">
        <v>0</v>
      </c>
      <c r="AF107" s="18">
        <v>0</v>
      </c>
      <c r="AG107" s="18">
        <v>0</v>
      </c>
      <c r="AH107" s="18">
        <v>5</v>
      </c>
      <c r="AI107" s="18">
        <v>5</v>
      </c>
      <c r="AK107" s="4">
        <v>1</v>
      </c>
      <c r="AL107" s="4">
        <v>2</v>
      </c>
      <c r="AM107" s="4">
        <v>0</v>
      </c>
      <c r="AN107" s="4">
        <v>0</v>
      </c>
      <c r="AO107" s="4">
        <v>2</v>
      </c>
      <c r="AP107" s="4">
        <v>1</v>
      </c>
      <c r="AQ107" s="4">
        <v>1</v>
      </c>
    </row>
    <row r="108" spans="12:43">
      <c r="L108" s="15">
        <v>104</v>
      </c>
      <c r="M108" s="38" t="s">
        <v>40</v>
      </c>
      <c r="N108" s="38" t="s">
        <v>25</v>
      </c>
      <c r="O108" s="38" t="s">
        <v>33</v>
      </c>
      <c r="P108" s="38" t="s">
        <v>40</v>
      </c>
      <c r="Q108" s="38" t="s">
        <v>39</v>
      </c>
      <c r="R108" s="38" t="s">
        <v>25</v>
      </c>
      <c r="S108" s="24" t="s">
        <v>65</v>
      </c>
      <c r="U108" s="37">
        <f t="shared" si="6"/>
        <v>12</v>
      </c>
      <c r="V108" s="37">
        <f t="shared" si="6"/>
        <v>5</v>
      </c>
      <c r="W108" s="37">
        <f t="shared" si="6"/>
        <v>11</v>
      </c>
      <c r="X108" s="37">
        <f t="shared" si="5"/>
        <v>12</v>
      </c>
      <c r="Y108" s="37">
        <f t="shared" si="5"/>
        <v>5</v>
      </c>
      <c r="Z108" s="37">
        <f t="shared" si="5"/>
        <v>5</v>
      </c>
      <c r="AA108" s="37">
        <f t="shared" si="5"/>
        <v>17</v>
      </c>
      <c r="AC108" s="18">
        <v>5</v>
      </c>
      <c r="AD108" s="18">
        <v>0</v>
      </c>
      <c r="AE108" s="18">
        <v>0</v>
      </c>
      <c r="AF108" s="18">
        <v>0</v>
      </c>
      <c r="AG108" s="18">
        <v>0</v>
      </c>
      <c r="AH108" s="18">
        <v>5</v>
      </c>
      <c r="AI108" s="18">
        <v>5</v>
      </c>
      <c r="AK108" s="4">
        <v>1</v>
      </c>
      <c r="AL108" s="4">
        <v>0</v>
      </c>
      <c r="AM108" s="4">
        <v>1</v>
      </c>
      <c r="AN108" s="4">
        <v>1</v>
      </c>
      <c r="AO108" s="4">
        <v>0</v>
      </c>
      <c r="AP108" s="4">
        <v>1</v>
      </c>
      <c r="AQ108" s="4">
        <v>1</v>
      </c>
    </row>
    <row r="109" spans="12:43">
      <c r="L109" s="14">
        <v>105</v>
      </c>
      <c r="M109" s="38" t="s">
        <v>37</v>
      </c>
      <c r="N109" s="38" t="s">
        <v>25</v>
      </c>
      <c r="O109" s="38" t="s">
        <v>35</v>
      </c>
      <c r="P109" s="38" t="s">
        <v>38</v>
      </c>
      <c r="Q109" s="38" t="s">
        <v>90</v>
      </c>
      <c r="R109" s="38" t="s">
        <v>35</v>
      </c>
      <c r="S109" s="24" t="s">
        <v>65</v>
      </c>
      <c r="U109" s="37">
        <f t="shared" si="6"/>
        <v>13</v>
      </c>
      <c r="V109" s="37">
        <f t="shared" si="6"/>
        <v>5</v>
      </c>
      <c r="W109" s="37">
        <f t="shared" si="6"/>
        <v>15</v>
      </c>
      <c r="X109" s="37">
        <f t="shared" si="5"/>
        <v>15</v>
      </c>
      <c r="Y109" s="37">
        <f t="shared" si="5"/>
        <v>6</v>
      </c>
      <c r="Z109" s="37">
        <f t="shared" si="5"/>
        <v>15</v>
      </c>
      <c r="AA109" s="37">
        <f t="shared" si="5"/>
        <v>17</v>
      </c>
      <c r="AC109" s="18">
        <v>5</v>
      </c>
      <c r="AD109" s="18">
        <v>5</v>
      </c>
      <c r="AE109" s="18">
        <v>5</v>
      </c>
      <c r="AF109" s="18">
        <v>5</v>
      </c>
      <c r="AG109" s="18">
        <v>4</v>
      </c>
      <c r="AH109" s="18">
        <v>5</v>
      </c>
      <c r="AI109" s="18">
        <v>5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</row>
    <row r="110" spans="12:43">
      <c r="L110" s="15">
        <v>106</v>
      </c>
      <c r="M110" s="38" t="s">
        <v>35</v>
      </c>
      <c r="N110" s="38" t="s">
        <v>40</v>
      </c>
      <c r="O110" s="38" t="s">
        <v>35</v>
      </c>
      <c r="P110" s="38" t="s">
        <v>38</v>
      </c>
      <c r="Q110" s="38" t="s">
        <v>90</v>
      </c>
      <c r="R110" s="38" t="s">
        <v>25</v>
      </c>
      <c r="S110" s="24" t="s">
        <v>65</v>
      </c>
      <c r="U110" s="37">
        <f t="shared" si="6"/>
        <v>15</v>
      </c>
      <c r="V110" s="37">
        <f t="shared" si="6"/>
        <v>12</v>
      </c>
      <c r="W110" s="37">
        <f t="shared" si="6"/>
        <v>15</v>
      </c>
      <c r="X110" s="37">
        <f t="shared" si="5"/>
        <v>15</v>
      </c>
      <c r="Y110" s="37">
        <f t="shared" si="5"/>
        <v>6</v>
      </c>
      <c r="Z110" s="37">
        <f t="shared" si="5"/>
        <v>5</v>
      </c>
      <c r="AA110" s="37">
        <f t="shared" si="5"/>
        <v>17</v>
      </c>
      <c r="AC110" s="18">
        <v>5</v>
      </c>
      <c r="AD110" s="18">
        <v>0</v>
      </c>
      <c r="AE110" s="18">
        <v>0</v>
      </c>
      <c r="AF110" s="18">
        <v>0</v>
      </c>
      <c r="AG110" s="18">
        <v>1</v>
      </c>
      <c r="AH110" s="18">
        <v>5</v>
      </c>
      <c r="AI110" s="18">
        <v>5</v>
      </c>
      <c r="AK110" s="4">
        <v>1</v>
      </c>
      <c r="AL110" s="4">
        <v>1</v>
      </c>
      <c r="AM110" s="4">
        <v>1</v>
      </c>
      <c r="AN110" s="4">
        <v>1</v>
      </c>
      <c r="AO110" s="4">
        <v>3</v>
      </c>
      <c r="AP110" s="4">
        <v>1</v>
      </c>
      <c r="AQ110" s="4">
        <v>1</v>
      </c>
    </row>
    <row r="111" spans="12:43">
      <c r="L111" s="14">
        <v>107</v>
      </c>
      <c r="M111" s="38" t="s">
        <v>35</v>
      </c>
      <c r="N111" s="38" t="s">
        <v>40</v>
      </c>
      <c r="O111" s="38" t="s">
        <v>65</v>
      </c>
      <c r="P111" s="38" t="s">
        <v>65</v>
      </c>
      <c r="Q111" s="38" t="s">
        <v>39</v>
      </c>
      <c r="R111" s="38" t="s">
        <v>25</v>
      </c>
      <c r="S111" s="24" t="s">
        <v>38</v>
      </c>
      <c r="U111" s="37">
        <f t="shared" si="6"/>
        <v>15</v>
      </c>
      <c r="V111" s="37">
        <f t="shared" si="6"/>
        <v>12</v>
      </c>
      <c r="W111" s="37">
        <f t="shared" si="6"/>
        <v>17</v>
      </c>
      <c r="X111" s="37">
        <f t="shared" si="5"/>
        <v>17</v>
      </c>
      <c r="Y111" s="37">
        <f t="shared" si="5"/>
        <v>5</v>
      </c>
      <c r="Z111" s="37">
        <f t="shared" si="5"/>
        <v>5</v>
      </c>
      <c r="AA111" s="37">
        <f t="shared" si="5"/>
        <v>15</v>
      </c>
      <c r="AC111" s="18">
        <v>5</v>
      </c>
      <c r="AD111" s="18">
        <v>0</v>
      </c>
      <c r="AE111" s="18">
        <v>0</v>
      </c>
      <c r="AF111" s="18">
        <v>0</v>
      </c>
      <c r="AG111" s="18">
        <v>0</v>
      </c>
      <c r="AH111" s="18">
        <v>5</v>
      </c>
      <c r="AI111" s="18">
        <v>5</v>
      </c>
      <c r="AK111" s="4">
        <v>1</v>
      </c>
      <c r="AL111" s="4">
        <v>2</v>
      </c>
      <c r="AM111" s="4">
        <v>1</v>
      </c>
      <c r="AN111" s="4">
        <v>1</v>
      </c>
      <c r="AO111" s="4">
        <v>0</v>
      </c>
      <c r="AP111" s="4">
        <v>1</v>
      </c>
      <c r="AQ111" s="4">
        <v>1</v>
      </c>
    </row>
    <row r="112" spans="12:43">
      <c r="L112" s="15">
        <v>108</v>
      </c>
      <c r="M112" s="38" t="s">
        <v>39</v>
      </c>
      <c r="N112" s="38" t="s">
        <v>40</v>
      </c>
      <c r="O112" s="38" t="s">
        <v>65</v>
      </c>
      <c r="P112" s="38" t="s">
        <v>65</v>
      </c>
      <c r="Q112" s="38" t="s">
        <v>39</v>
      </c>
      <c r="R112" s="38" t="s">
        <v>34</v>
      </c>
      <c r="S112" s="24" t="s">
        <v>32</v>
      </c>
      <c r="U112" s="37">
        <f t="shared" si="6"/>
        <v>5</v>
      </c>
      <c r="V112" s="37">
        <f t="shared" si="6"/>
        <v>12</v>
      </c>
      <c r="W112" s="37">
        <f t="shared" si="6"/>
        <v>17</v>
      </c>
      <c r="X112" s="37">
        <f t="shared" si="5"/>
        <v>17</v>
      </c>
      <c r="Y112" s="37">
        <f t="shared" si="5"/>
        <v>5</v>
      </c>
      <c r="Z112" s="37">
        <f t="shared" si="5"/>
        <v>16</v>
      </c>
      <c r="AA112" s="37">
        <f t="shared" si="5"/>
        <v>4</v>
      </c>
      <c r="AC112" s="18">
        <v>5</v>
      </c>
      <c r="AD112" s="18">
        <v>0</v>
      </c>
      <c r="AE112" s="18">
        <v>0</v>
      </c>
      <c r="AF112" s="18">
        <v>0</v>
      </c>
      <c r="AG112" s="18">
        <v>0</v>
      </c>
      <c r="AH112" s="18">
        <v>5</v>
      </c>
      <c r="AI112" s="18">
        <v>5</v>
      </c>
      <c r="AK112" s="4">
        <v>1</v>
      </c>
      <c r="AL112" s="4">
        <v>0</v>
      </c>
      <c r="AM112" s="4">
        <v>1</v>
      </c>
      <c r="AN112" s="4">
        <v>2</v>
      </c>
      <c r="AO112" s="4">
        <v>0</v>
      </c>
      <c r="AP112" s="4">
        <v>1</v>
      </c>
      <c r="AQ112" s="4">
        <v>1</v>
      </c>
    </row>
    <row r="113" spans="12:43">
      <c r="L113" s="14">
        <v>109</v>
      </c>
      <c r="M113" s="38" t="s">
        <v>34</v>
      </c>
      <c r="N113" s="38" t="s">
        <v>25</v>
      </c>
      <c r="O113" s="38" t="s">
        <v>65</v>
      </c>
      <c r="P113" s="38" t="s">
        <v>65</v>
      </c>
      <c r="Q113" s="38" t="s">
        <v>90</v>
      </c>
      <c r="R113" s="38" t="s">
        <v>25</v>
      </c>
      <c r="S113" s="38" t="s">
        <v>32</v>
      </c>
      <c r="U113" s="37">
        <f t="shared" si="6"/>
        <v>16</v>
      </c>
      <c r="V113" s="37">
        <f t="shared" si="6"/>
        <v>5</v>
      </c>
      <c r="W113" s="37">
        <f t="shared" si="6"/>
        <v>17</v>
      </c>
      <c r="X113" s="37">
        <f t="shared" si="5"/>
        <v>17</v>
      </c>
      <c r="Y113" s="37">
        <f t="shared" si="5"/>
        <v>6</v>
      </c>
      <c r="Z113" s="37">
        <f t="shared" si="5"/>
        <v>5</v>
      </c>
      <c r="AA113" s="37">
        <f t="shared" si="5"/>
        <v>4</v>
      </c>
      <c r="AC113" s="18">
        <v>5</v>
      </c>
      <c r="AD113" s="18">
        <v>0</v>
      </c>
      <c r="AE113" s="18">
        <v>0</v>
      </c>
      <c r="AF113" s="18">
        <v>0</v>
      </c>
      <c r="AG113" s="18">
        <v>1</v>
      </c>
      <c r="AH113" s="18">
        <v>5</v>
      </c>
      <c r="AI113" s="18">
        <v>5</v>
      </c>
      <c r="AK113" s="4">
        <v>1</v>
      </c>
      <c r="AL113" s="4">
        <v>1</v>
      </c>
      <c r="AM113" s="4">
        <v>1</v>
      </c>
      <c r="AN113" s="4">
        <v>0</v>
      </c>
      <c r="AO113" s="4">
        <v>1</v>
      </c>
      <c r="AP113" s="4">
        <v>1</v>
      </c>
      <c r="AQ113" s="4">
        <v>1</v>
      </c>
    </row>
    <row r="114" spans="12:43">
      <c r="L114" s="15">
        <v>110</v>
      </c>
      <c r="M114" s="38" t="s">
        <v>25</v>
      </c>
      <c r="N114" s="38" t="s">
        <v>25</v>
      </c>
      <c r="O114" s="38" t="s">
        <v>37</v>
      </c>
      <c r="P114" s="38" t="s">
        <v>232</v>
      </c>
      <c r="Q114" s="38" t="s">
        <v>35</v>
      </c>
      <c r="R114" s="38" t="s">
        <v>25</v>
      </c>
      <c r="S114" s="24" t="s">
        <v>34</v>
      </c>
      <c r="U114" s="37">
        <f t="shared" si="6"/>
        <v>5</v>
      </c>
      <c r="V114" s="37">
        <f t="shared" si="6"/>
        <v>5</v>
      </c>
      <c r="W114" s="37">
        <f t="shared" si="6"/>
        <v>13</v>
      </c>
      <c r="X114" s="37">
        <f t="shared" si="5"/>
        <v>0</v>
      </c>
      <c r="Y114" s="37">
        <f t="shared" si="5"/>
        <v>15</v>
      </c>
      <c r="Z114" s="37">
        <f t="shared" si="5"/>
        <v>5</v>
      </c>
      <c r="AA114" s="37">
        <f t="shared" si="5"/>
        <v>16</v>
      </c>
      <c r="AC114" s="18">
        <v>5</v>
      </c>
      <c r="AD114" s="18">
        <v>5</v>
      </c>
      <c r="AE114" s="18">
        <v>5</v>
      </c>
      <c r="AF114" s="18">
        <v>5</v>
      </c>
      <c r="AG114" s="18">
        <v>5</v>
      </c>
      <c r="AH114" s="18">
        <v>5</v>
      </c>
      <c r="AI114" s="18">
        <v>5</v>
      </c>
      <c r="AK114" s="4">
        <v>1</v>
      </c>
      <c r="AL114" s="4">
        <v>1</v>
      </c>
      <c r="AM114" s="4">
        <v>1</v>
      </c>
      <c r="AN114" s="4">
        <v>2</v>
      </c>
      <c r="AO114" s="4">
        <v>1</v>
      </c>
      <c r="AP114" s="4">
        <v>1</v>
      </c>
      <c r="AQ114" s="4">
        <v>1</v>
      </c>
    </row>
    <row r="115" spans="12:43">
      <c r="L115" s="14">
        <v>111</v>
      </c>
      <c r="M115" s="38" t="s">
        <v>40</v>
      </c>
      <c r="N115" s="38" t="s">
        <v>25</v>
      </c>
      <c r="O115" s="38" t="s">
        <v>39</v>
      </c>
      <c r="P115" s="38" t="s">
        <v>90</v>
      </c>
      <c r="Q115" s="38" t="s">
        <v>35</v>
      </c>
      <c r="R115" s="38" t="s">
        <v>40</v>
      </c>
      <c r="S115" s="24" t="s">
        <v>38</v>
      </c>
      <c r="U115" s="37">
        <f t="shared" si="6"/>
        <v>12</v>
      </c>
      <c r="V115" s="37">
        <f t="shared" si="6"/>
        <v>5</v>
      </c>
      <c r="W115" s="37">
        <f t="shared" si="6"/>
        <v>5</v>
      </c>
      <c r="X115" s="37">
        <f t="shared" si="5"/>
        <v>6</v>
      </c>
      <c r="Y115" s="37">
        <f t="shared" si="5"/>
        <v>15</v>
      </c>
      <c r="Z115" s="37">
        <f t="shared" si="5"/>
        <v>12</v>
      </c>
      <c r="AA115" s="37">
        <f t="shared" si="5"/>
        <v>15</v>
      </c>
      <c r="AC115" s="18">
        <v>5</v>
      </c>
      <c r="AD115" s="18">
        <v>0</v>
      </c>
      <c r="AE115" s="18">
        <v>0</v>
      </c>
      <c r="AF115" s="18">
        <v>0</v>
      </c>
      <c r="AG115" s="18">
        <v>0</v>
      </c>
      <c r="AH115" s="18">
        <v>5</v>
      </c>
      <c r="AI115" s="18">
        <v>5</v>
      </c>
      <c r="AK115" s="4">
        <v>1</v>
      </c>
      <c r="AL115" s="4">
        <v>1</v>
      </c>
      <c r="AM115" s="4">
        <v>1</v>
      </c>
      <c r="AN115" s="4">
        <v>0</v>
      </c>
      <c r="AO115" s="4">
        <v>2</v>
      </c>
      <c r="AP115" s="4">
        <v>1</v>
      </c>
      <c r="AQ115" s="4">
        <v>1</v>
      </c>
    </row>
    <row r="116" spans="12:43">
      <c r="L116" s="15">
        <v>112</v>
      </c>
      <c r="M116" s="38" t="s">
        <v>39</v>
      </c>
      <c r="N116" s="38" t="s">
        <v>37</v>
      </c>
      <c r="O116" s="38" t="s">
        <v>39</v>
      </c>
      <c r="P116" s="38" t="s">
        <v>90</v>
      </c>
      <c r="Q116" s="38" t="s">
        <v>65</v>
      </c>
      <c r="R116" s="38" t="s">
        <v>39</v>
      </c>
      <c r="S116" s="24" t="s">
        <v>38</v>
      </c>
      <c r="U116" s="37">
        <f t="shared" si="6"/>
        <v>5</v>
      </c>
      <c r="V116" s="37">
        <f t="shared" si="6"/>
        <v>13</v>
      </c>
      <c r="W116" s="37">
        <f t="shared" si="6"/>
        <v>5</v>
      </c>
      <c r="X116" s="37">
        <f t="shared" si="5"/>
        <v>6</v>
      </c>
      <c r="Y116" s="37">
        <f t="shared" si="5"/>
        <v>17</v>
      </c>
      <c r="Z116" s="37">
        <f t="shared" si="5"/>
        <v>5</v>
      </c>
      <c r="AA116" s="37">
        <f t="shared" si="5"/>
        <v>15</v>
      </c>
      <c r="AC116" s="18">
        <v>5</v>
      </c>
      <c r="AD116" s="18">
        <v>0</v>
      </c>
      <c r="AE116" s="18">
        <v>0</v>
      </c>
      <c r="AF116" s="18">
        <v>0</v>
      </c>
      <c r="AG116" s="18">
        <v>0</v>
      </c>
      <c r="AH116" s="18">
        <v>5</v>
      </c>
      <c r="AI116" s="18">
        <v>5</v>
      </c>
      <c r="AK116" s="4">
        <v>1</v>
      </c>
      <c r="AL116" s="4">
        <v>2</v>
      </c>
      <c r="AM116" s="4">
        <v>2</v>
      </c>
      <c r="AN116" s="4">
        <v>1</v>
      </c>
      <c r="AO116" s="4">
        <v>0</v>
      </c>
      <c r="AP116" s="4">
        <v>1</v>
      </c>
      <c r="AQ116" s="4">
        <v>1</v>
      </c>
    </row>
    <row r="117" spans="12:43">
      <c r="L117" s="14">
        <v>113</v>
      </c>
      <c r="M117" s="38" t="s">
        <v>90</v>
      </c>
      <c r="N117" s="38" t="s">
        <v>38</v>
      </c>
      <c r="O117" s="38" t="s">
        <v>39</v>
      </c>
      <c r="P117" s="38" t="s">
        <v>25</v>
      </c>
      <c r="Q117" s="38" t="s">
        <v>39</v>
      </c>
      <c r="R117" s="38" t="s">
        <v>39</v>
      </c>
      <c r="S117" s="24" t="s">
        <v>38</v>
      </c>
      <c r="U117" s="37">
        <f t="shared" si="6"/>
        <v>6</v>
      </c>
      <c r="V117" s="37">
        <f t="shared" si="6"/>
        <v>15</v>
      </c>
      <c r="W117" s="37">
        <f t="shared" si="6"/>
        <v>5</v>
      </c>
      <c r="X117" s="37">
        <f t="shared" si="5"/>
        <v>5</v>
      </c>
      <c r="Y117" s="37">
        <f t="shared" si="5"/>
        <v>5</v>
      </c>
      <c r="Z117" s="37">
        <f t="shared" si="5"/>
        <v>5</v>
      </c>
      <c r="AA117" s="37">
        <f t="shared" si="5"/>
        <v>15</v>
      </c>
      <c r="AC117" s="18">
        <v>5</v>
      </c>
      <c r="AD117" s="18">
        <v>0</v>
      </c>
      <c r="AE117" s="18">
        <v>0</v>
      </c>
      <c r="AF117" s="18">
        <v>0</v>
      </c>
      <c r="AG117" s="18">
        <v>0</v>
      </c>
      <c r="AH117" s="18">
        <v>5</v>
      </c>
      <c r="AI117" s="18">
        <v>5</v>
      </c>
      <c r="AK117" s="4">
        <v>1</v>
      </c>
      <c r="AL117" s="4">
        <v>0</v>
      </c>
      <c r="AM117" s="4">
        <v>0</v>
      </c>
      <c r="AN117" s="4">
        <v>1</v>
      </c>
      <c r="AO117" s="4">
        <v>1</v>
      </c>
      <c r="AP117" s="4">
        <v>1</v>
      </c>
      <c r="AQ117" s="4">
        <v>1</v>
      </c>
    </row>
    <row r="118" spans="12:43">
      <c r="L118" s="15">
        <v>114</v>
      </c>
      <c r="M118" s="38" t="s">
        <v>34</v>
      </c>
      <c r="N118" s="38" t="s">
        <v>33</v>
      </c>
      <c r="O118" s="38" t="s">
        <v>34</v>
      </c>
      <c r="P118" s="38" t="s">
        <v>40</v>
      </c>
      <c r="Q118" s="38" t="s">
        <v>39</v>
      </c>
      <c r="R118" s="38" t="s">
        <v>38</v>
      </c>
      <c r="S118" s="24" t="s">
        <v>34</v>
      </c>
      <c r="U118" s="37">
        <f t="shared" si="6"/>
        <v>16</v>
      </c>
      <c r="V118" s="37">
        <f t="shared" si="6"/>
        <v>11</v>
      </c>
      <c r="W118" s="37">
        <f t="shared" si="6"/>
        <v>16</v>
      </c>
      <c r="X118" s="37">
        <f t="shared" si="5"/>
        <v>12</v>
      </c>
      <c r="Y118" s="37">
        <f t="shared" si="5"/>
        <v>5</v>
      </c>
      <c r="Z118" s="37">
        <f t="shared" si="5"/>
        <v>15</v>
      </c>
      <c r="AA118" s="37">
        <f t="shared" si="5"/>
        <v>16</v>
      </c>
      <c r="AC118" s="18">
        <v>5</v>
      </c>
      <c r="AD118" s="18">
        <v>0</v>
      </c>
      <c r="AE118" s="18">
        <v>0</v>
      </c>
      <c r="AF118" s="18">
        <v>0</v>
      </c>
      <c r="AG118" s="18">
        <v>1</v>
      </c>
      <c r="AH118" s="18">
        <v>5</v>
      </c>
      <c r="AI118" s="18">
        <v>5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</row>
    <row r="119" spans="12:43">
      <c r="L119" s="14">
        <v>115</v>
      </c>
      <c r="M119" s="38" t="s">
        <v>39</v>
      </c>
      <c r="N119" s="38" t="s">
        <v>33</v>
      </c>
      <c r="O119" s="38" t="s">
        <v>34</v>
      </c>
      <c r="P119" s="38" t="s">
        <v>40</v>
      </c>
      <c r="Q119" s="38" t="s">
        <v>35</v>
      </c>
      <c r="R119" s="38" t="s">
        <v>38</v>
      </c>
      <c r="S119" s="24" t="s">
        <v>34</v>
      </c>
      <c r="U119" s="37">
        <f t="shared" si="6"/>
        <v>5</v>
      </c>
      <c r="V119" s="37">
        <f t="shared" si="6"/>
        <v>11</v>
      </c>
      <c r="W119" s="37">
        <f t="shared" si="6"/>
        <v>16</v>
      </c>
      <c r="X119" s="37">
        <f t="shared" si="5"/>
        <v>12</v>
      </c>
      <c r="Y119" s="37">
        <f t="shared" si="5"/>
        <v>15</v>
      </c>
      <c r="Z119" s="37">
        <f t="shared" si="5"/>
        <v>15</v>
      </c>
      <c r="AA119" s="37">
        <f t="shared" ref="AA119:AA124" si="7">VLOOKUP(S119, $A$4:$J$29, 9, 0)</f>
        <v>16</v>
      </c>
      <c r="AC119" s="18">
        <v>5</v>
      </c>
      <c r="AD119" s="18">
        <v>5</v>
      </c>
      <c r="AE119" s="18">
        <v>5</v>
      </c>
      <c r="AF119" s="18">
        <v>5</v>
      </c>
      <c r="AG119" s="18">
        <v>6</v>
      </c>
      <c r="AH119" s="18">
        <v>5</v>
      </c>
      <c r="AI119" s="18">
        <v>5</v>
      </c>
      <c r="AK119" s="4">
        <v>1</v>
      </c>
      <c r="AL119" s="4">
        <v>1</v>
      </c>
      <c r="AM119" s="4">
        <v>1</v>
      </c>
      <c r="AN119" s="4">
        <v>2</v>
      </c>
      <c r="AO119" s="4">
        <v>2</v>
      </c>
      <c r="AP119" s="4">
        <v>1</v>
      </c>
      <c r="AQ119" s="4">
        <v>1</v>
      </c>
    </row>
    <row r="120" spans="12:43">
      <c r="L120" s="15">
        <v>116</v>
      </c>
      <c r="M120" s="38" t="s">
        <v>65</v>
      </c>
      <c r="N120" s="38" t="s">
        <v>33</v>
      </c>
      <c r="O120" s="38" t="s">
        <v>38</v>
      </c>
      <c r="P120" s="38" t="s">
        <v>40</v>
      </c>
      <c r="Q120" s="38" t="s">
        <v>35</v>
      </c>
      <c r="R120" s="38" t="s">
        <v>40</v>
      </c>
      <c r="S120" s="24" t="s">
        <v>34</v>
      </c>
      <c r="U120" s="37">
        <f t="shared" si="6"/>
        <v>17</v>
      </c>
      <c r="V120" s="37">
        <f t="shared" si="6"/>
        <v>11</v>
      </c>
      <c r="W120" s="37">
        <f t="shared" si="6"/>
        <v>15</v>
      </c>
      <c r="X120" s="37">
        <f t="shared" si="6"/>
        <v>12</v>
      </c>
      <c r="Y120" s="37">
        <f t="shared" si="6"/>
        <v>15</v>
      </c>
      <c r="Z120" s="37">
        <f t="shared" si="6"/>
        <v>12</v>
      </c>
      <c r="AA120" s="37">
        <f t="shared" si="7"/>
        <v>16</v>
      </c>
      <c r="AC120" s="18">
        <v>5</v>
      </c>
      <c r="AD120" s="18">
        <v>0</v>
      </c>
      <c r="AE120" s="18">
        <v>0</v>
      </c>
      <c r="AF120" s="18">
        <v>0</v>
      </c>
      <c r="AG120" s="18">
        <v>0</v>
      </c>
      <c r="AH120" s="18">
        <v>5</v>
      </c>
      <c r="AI120" s="18">
        <v>5</v>
      </c>
      <c r="AK120" s="4">
        <v>1</v>
      </c>
      <c r="AL120" s="4">
        <v>2</v>
      </c>
      <c r="AM120" s="4">
        <v>1</v>
      </c>
      <c r="AN120" s="4">
        <v>0</v>
      </c>
      <c r="AO120" s="4">
        <v>0</v>
      </c>
      <c r="AP120" s="4">
        <v>1</v>
      </c>
      <c r="AQ120" s="4">
        <v>1</v>
      </c>
    </row>
    <row r="121" spans="12:43">
      <c r="L121" s="14">
        <v>117</v>
      </c>
      <c r="M121" s="38" t="s">
        <v>65</v>
      </c>
      <c r="N121" s="38" t="s">
        <v>38</v>
      </c>
      <c r="O121" s="38" t="s">
        <v>242</v>
      </c>
      <c r="P121" s="38" t="s">
        <v>25</v>
      </c>
      <c r="Q121" s="38" t="s">
        <v>35</v>
      </c>
      <c r="R121" s="38" t="s">
        <v>38</v>
      </c>
      <c r="S121" s="24" t="s">
        <v>40</v>
      </c>
      <c r="U121" s="37">
        <f t="shared" ref="U121:Z124" si="8">VLOOKUP(M121, $A$4:$J$29, 9, 0)</f>
        <v>17</v>
      </c>
      <c r="V121" s="37">
        <f t="shared" si="8"/>
        <v>15</v>
      </c>
      <c r="W121" s="37">
        <f t="shared" si="8"/>
        <v>0</v>
      </c>
      <c r="X121" s="37">
        <f t="shared" si="8"/>
        <v>5</v>
      </c>
      <c r="Y121" s="37">
        <f t="shared" si="8"/>
        <v>15</v>
      </c>
      <c r="Z121" s="37">
        <f t="shared" si="8"/>
        <v>15</v>
      </c>
      <c r="AA121" s="37">
        <f t="shared" si="7"/>
        <v>12</v>
      </c>
      <c r="AC121" s="18">
        <v>5</v>
      </c>
      <c r="AD121" s="18">
        <v>0</v>
      </c>
      <c r="AE121" s="18">
        <v>0</v>
      </c>
      <c r="AF121" s="18">
        <v>0</v>
      </c>
      <c r="AG121" s="18">
        <v>0</v>
      </c>
      <c r="AH121" s="18">
        <v>5</v>
      </c>
      <c r="AI121" s="18">
        <v>5</v>
      </c>
      <c r="AK121" s="4">
        <v>1</v>
      </c>
      <c r="AL121" s="4">
        <v>0</v>
      </c>
      <c r="AM121" s="4">
        <v>1</v>
      </c>
      <c r="AN121" s="4">
        <v>1</v>
      </c>
      <c r="AO121" s="4">
        <v>2</v>
      </c>
      <c r="AP121" s="4">
        <v>1</v>
      </c>
      <c r="AQ121" s="4">
        <v>1</v>
      </c>
    </row>
    <row r="122" spans="12:43">
      <c r="L122" s="15">
        <v>118</v>
      </c>
      <c r="M122" s="38" t="s">
        <v>25</v>
      </c>
      <c r="N122" s="38" t="s">
        <v>90</v>
      </c>
      <c r="O122" s="38" t="s">
        <v>40</v>
      </c>
      <c r="P122" s="38" t="s">
        <v>33</v>
      </c>
      <c r="Q122" s="38" t="s">
        <v>65</v>
      </c>
      <c r="R122" s="38" t="s">
        <v>34</v>
      </c>
      <c r="S122" s="24" t="s">
        <v>40</v>
      </c>
      <c r="U122" s="37">
        <f t="shared" si="8"/>
        <v>5</v>
      </c>
      <c r="V122" s="37">
        <f t="shared" si="8"/>
        <v>6</v>
      </c>
      <c r="W122" s="37">
        <f t="shared" si="8"/>
        <v>12</v>
      </c>
      <c r="X122" s="37">
        <f t="shared" si="8"/>
        <v>11</v>
      </c>
      <c r="Y122" s="37">
        <f t="shared" si="8"/>
        <v>17</v>
      </c>
      <c r="Z122" s="37">
        <f t="shared" si="8"/>
        <v>16</v>
      </c>
      <c r="AA122" s="37">
        <f t="shared" si="7"/>
        <v>12</v>
      </c>
      <c r="AC122" s="18">
        <v>5</v>
      </c>
      <c r="AD122" s="18">
        <v>0</v>
      </c>
      <c r="AE122" s="18">
        <v>0</v>
      </c>
      <c r="AF122" s="18">
        <v>0</v>
      </c>
      <c r="AG122" s="18">
        <v>0</v>
      </c>
      <c r="AH122" s="18">
        <v>5</v>
      </c>
      <c r="AI122" s="18">
        <v>5</v>
      </c>
      <c r="AK122" s="4">
        <v>1</v>
      </c>
      <c r="AL122" s="4">
        <v>1</v>
      </c>
      <c r="AM122" s="4">
        <v>1</v>
      </c>
      <c r="AN122" s="4">
        <v>2</v>
      </c>
      <c r="AO122" s="4">
        <v>0</v>
      </c>
      <c r="AP122" s="4">
        <v>1</v>
      </c>
      <c r="AQ122" s="4">
        <v>1</v>
      </c>
    </row>
    <row r="123" spans="12:43">
      <c r="L123" s="14">
        <v>119</v>
      </c>
      <c r="M123" s="38" t="s">
        <v>39</v>
      </c>
      <c r="N123" s="38" t="s">
        <v>90</v>
      </c>
      <c r="O123" s="38" t="s">
        <v>34</v>
      </c>
      <c r="P123" s="38" t="s">
        <v>39</v>
      </c>
      <c r="Q123" s="38" t="s">
        <v>40</v>
      </c>
      <c r="R123" s="38" t="s">
        <v>25</v>
      </c>
      <c r="S123" s="24" t="s">
        <v>40</v>
      </c>
      <c r="U123" s="37">
        <f t="shared" si="8"/>
        <v>5</v>
      </c>
      <c r="V123" s="37">
        <f t="shared" si="8"/>
        <v>6</v>
      </c>
      <c r="W123" s="37">
        <f t="shared" si="8"/>
        <v>16</v>
      </c>
      <c r="X123" s="37">
        <f t="shared" si="8"/>
        <v>5</v>
      </c>
      <c r="Y123" s="37">
        <f t="shared" si="8"/>
        <v>12</v>
      </c>
      <c r="Z123" s="37">
        <f t="shared" si="8"/>
        <v>5</v>
      </c>
      <c r="AA123" s="37">
        <f t="shared" si="7"/>
        <v>12</v>
      </c>
      <c r="AC123" s="18">
        <v>5</v>
      </c>
      <c r="AD123" s="18">
        <v>0</v>
      </c>
      <c r="AE123" s="18">
        <v>0</v>
      </c>
      <c r="AF123" s="18">
        <v>0</v>
      </c>
      <c r="AG123" s="18">
        <v>0</v>
      </c>
      <c r="AH123" s="18">
        <v>5</v>
      </c>
      <c r="AI123" s="18">
        <v>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1</v>
      </c>
      <c r="AQ123" s="4">
        <v>1</v>
      </c>
    </row>
    <row r="124" spans="12:43">
      <c r="L124" s="15">
        <v>120</v>
      </c>
      <c r="M124" s="38" t="s">
        <v>39</v>
      </c>
      <c r="N124" s="38" t="s">
        <v>37</v>
      </c>
      <c r="O124" s="38" t="s">
        <v>35</v>
      </c>
      <c r="P124" s="38" t="s">
        <v>39</v>
      </c>
      <c r="Q124" s="38" t="s">
        <v>40</v>
      </c>
      <c r="R124" s="38" t="s">
        <v>25</v>
      </c>
      <c r="S124" s="24" t="s">
        <v>37</v>
      </c>
      <c r="U124" s="37">
        <f t="shared" si="8"/>
        <v>5</v>
      </c>
      <c r="V124" s="37">
        <f t="shared" si="8"/>
        <v>13</v>
      </c>
      <c r="W124" s="37">
        <f t="shared" si="8"/>
        <v>15</v>
      </c>
      <c r="X124" s="37">
        <f t="shared" si="8"/>
        <v>5</v>
      </c>
      <c r="Y124" s="37">
        <f t="shared" si="8"/>
        <v>12</v>
      </c>
      <c r="Z124" s="37">
        <f t="shared" si="8"/>
        <v>5</v>
      </c>
      <c r="AA124" s="37">
        <f t="shared" si="7"/>
        <v>13</v>
      </c>
      <c r="AC124" s="18">
        <v>5</v>
      </c>
      <c r="AD124" s="18">
        <v>5</v>
      </c>
      <c r="AE124" s="18">
        <v>5</v>
      </c>
      <c r="AF124" s="18">
        <v>5</v>
      </c>
      <c r="AG124" s="18">
        <v>5</v>
      </c>
      <c r="AH124" s="18">
        <v>5</v>
      </c>
      <c r="AI124" s="4">
        <v>5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</row>
    <row r="125" spans="12:43">
      <c r="AC125" s="18" t="s">
        <v>22</v>
      </c>
      <c r="AD125" s="18" t="s">
        <v>22</v>
      </c>
      <c r="AE125" s="18" t="s">
        <v>22</v>
      </c>
      <c r="AF125" s="18" t="s">
        <v>22</v>
      </c>
      <c r="AG125" s="18" t="s">
        <v>22</v>
      </c>
      <c r="AH125" s="18" t="s">
        <v>22</v>
      </c>
      <c r="AI125" s="4" t="s">
        <v>22</v>
      </c>
      <c r="AK125" s="4" t="s">
        <v>22</v>
      </c>
      <c r="AL125" s="4" t="s">
        <v>22</v>
      </c>
      <c r="AM125" s="4" t="s">
        <v>22</v>
      </c>
      <c r="AN125" s="4" t="s">
        <v>22</v>
      </c>
      <c r="AO125" s="4" t="s">
        <v>22</v>
      </c>
      <c r="AP125" s="4" t="s">
        <v>22</v>
      </c>
      <c r="AQ125" s="4" t="s">
        <v>22</v>
      </c>
    </row>
    <row r="126" spans="12:43">
      <c r="AC126" s="18" t="s">
        <v>22</v>
      </c>
      <c r="AD126" s="18" t="s">
        <v>22</v>
      </c>
      <c r="AE126" s="18" t="s">
        <v>22</v>
      </c>
      <c r="AF126" s="18" t="s">
        <v>22</v>
      </c>
      <c r="AG126" s="18" t="s">
        <v>22</v>
      </c>
      <c r="AH126" s="18" t="s">
        <v>22</v>
      </c>
      <c r="AI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  <c r="AQ126" s="4" t="s">
        <v>22</v>
      </c>
    </row>
    <row r="127" spans="12:43">
      <c r="AC127" s="18" t="s">
        <v>22</v>
      </c>
      <c r="AD127" s="18" t="s">
        <v>22</v>
      </c>
      <c r="AE127" s="18" t="s">
        <v>22</v>
      </c>
      <c r="AF127" s="18" t="s">
        <v>22</v>
      </c>
      <c r="AG127" s="18" t="s">
        <v>22</v>
      </c>
      <c r="AH127" s="18" t="s">
        <v>22</v>
      </c>
      <c r="AI127" s="4" t="s">
        <v>22</v>
      </c>
      <c r="AK127" s="4" t="s">
        <v>22</v>
      </c>
      <c r="AL127" s="4" t="s">
        <v>22</v>
      </c>
      <c r="AM127" s="4" t="s">
        <v>22</v>
      </c>
      <c r="AN127" s="4" t="s">
        <v>22</v>
      </c>
      <c r="AO127" s="4" t="s">
        <v>22</v>
      </c>
      <c r="AP127" s="4" t="s">
        <v>22</v>
      </c>
      <c r="AQ127" s="4" t="s">
        <v>22</v>
      </c>
    </row>
    <row r="128" spans="12:43">
      <c r="AC128" s="18" t="s">
        <v>22</v>
      </c>
      <c r="AD128" s="18" t="s">
        <v>22</v>
      </c>
      <c r="AE128" s="18" t="s">
        <v>22</v>
      </c>
      <c r="AF128" s="18" t="s">
        <v>22</v>
      </c>
      <c r="AG128" s="18" t="s">
        <v>22</v>
      </c>
      <c r="AH128" s="18" t="s">
        <v>22</v>
      </c>
      <c r="AI128" s="4" t="s">
        <v>22</v>
      </c>
      <c r="AK128" s="4" t="s">
        <v>22</v>
      </c>
      <c r="AL128" s="4" t="s">
        <v>22</v>
      </c>
      <c r="AM128" s="4" t="s">
        <v>22</v>
      </c>
      <c r="AN128" s="4" t="s">
        <v>22</v>
      </c>
      <c r="AO128" s="4" t="s">
        <v>22</v>
      </c>
      <c r="AP128" s="4" t="s">
        <v>22</v>
      </c>
      <c r="AQ128" s="4" t="s">
        <v>22</v>
      </c>
    </row>
    <row r="129" spans="29:43">
      <c r="AC129" s="18" t="s">
        <v>22</v>
      </c>
      <c r="AD129" s="18" t="s">
        <v>22</v>
      </c>
      <c r="AE129" s="18" t="s">
        <v>22</v>
      </c>
      <c r="AF129" s="18" t="s">
        <v>22</v>
      </c>
      <c r="AG129" s="18" t="s">
        <v>22</v>
      </c>
      <c r="AH129" s="18" t="s">
        <v>22</v>
      </c>
      <c r="AI129" s="4" t="s">
        <v>22</v>
      </c>
      <c r="AK129" s="4" t="s">
        <v>22</v>
      </c>
      <c r="AL129" s="4" t="s">
        <v>22</v>
      </c>
      <c r="AM129" s="4" t="s">
        <v>22</v>
      </c>
      <c r="AN129" s="4" t="s">
        <v>22</v>
      </c>
      <c r="AO129" s="4" t="s">
        <v>22</v>
      </c>
      <c r="AP129" s="4" t="s">
        <v>22</v>
      </c>
      <c r="AQ129" s="4" t="s">
        <v>22</v>
      </c>
    </row>
    <row r="130" spans="29:43">
      <c r="AC130" s="18" t="s">
        <v>22</v>
      </c>
      <c r="AD130" s="18" t="s">
        <v>22</v>
      </c>
      <c r="AE130" s="18" t="s">
        <v>22</v>
      </c>
      <c r="AF130" s="18" t="s">
        <v>22</v>
      </c>
      <c r="AG130" s="18" t="s">
        <v>22</v>
      </c>
      <c r="AH130" s="18" t="s">
        <v>22</v>
      </c>
      <c r="AI130" s="4" t="s">
        <v>22</v>
      </c>
      <c r="AK130" s="4" t="s">
        <v>22</v>
      </c>
      <c r="AL130" s="4" t="s">
        <v>22</v>
      </c>
      <c r="AM130" s="4" t="s">
        <v>22</v>
      </c>
      <c r="AN130" s="4" t="s">
        <v>22</v>
      </c>
      <c r="AO130" s="4" t="s">
        <v>22</v>
      </c>
      <c r="AP130" s="4" t="s">
        <v>22</v>
      </c>
      <c r="AQ130" s="4" t="s">
        <v>22</v>
      </c>
    </row>
    <row r="131" spans="29:43">
      <c r="AC131" s="18" t="s">
        <v>22</v>
      </c>
      <c r="AD131" s="18" t="s">
        <v>22</v>
      </c>
      <c r="AE131" s="18" t="s">
        <v>22</v>
      </c>
      <c r="AF131" s="18" t="s">
        <v>22</v>
      </c>
      <c r="AG131" s="18" t="s">
        <v>22</v>
      </c>
      <c r="AH131" s="18" t="s">
        <v>22</v>
      </c>
      <c r="AI131" s="4" t="s">
        <v>22</v>
      </c>
      <c r="AK131" s="4" t="s">
        <v>22</v>
      </c>
      <c r="AL131" s="4" t="s">
        <v>22</v>
      </c>
      <c r="AM131" s="4" t="s">
        <v>22</v>
      </c>
      <c r="AN131" s="4" t="s">
        <v>22</v>
      </c>
      <c r="AO131" s="4" t="s">
        <v>22</v>
      </c>
      <c r="AP131" s="4" t="s">
        <v>22</v>
      </c>
      <c r="AQ131" s="4" t="s">
        <v>22</v>
      </c>
    </row>
    <row r="132" spans="29:43">
      <c r="AC132" s="18" t="s">
        <v>22</v>
      </c>
      <c r="AD132" s="18" t="s">
        <v>22</v>
      </c>
      <c r="AE132" s="18" t="s">
        <v>22</v>
      </c>
      <c r="AF132" s="18" t="s">
        <v>22</v>
      </c>
      <c r="AG132" s="18" t="s">
        <v>22</v>
      </c>
      <c r="AH132" s="18" t="s">
        <v>22</v>
      </c>
      <c r="AI132" s="4" t="s">
        <v>22</v>
      </c>
      <c r="AK132" s="4" t="s">
        <v>22</v>
      </c>
      <c r="AL132" s="4" t="s">
        <v>22</v>
      </c>
      <c r="AM132" s="4" t="s">
        <v>22</v>
      </c>
      <c r="AN132" s="4" t="s">
        <v>22</v>
      </c>
      <c r="AO132" s="4" t="s">
        <v>22</v>
      </c>
      <c r="AP132" s="4" t="s">
        <v>22</v>
      </c>
      <c r="AQ132" s="4" t="s">
        <v>22</v>
      </c>
    </row>
    <row r="133" spans="29:43">
      <c r="AC133" s="18" t="s">
        <v>22</v>
      </c>
      <c r="AD133" s="18" t="s">
        <v>22</v>
      </c>
      <c r="AE133" s="18" t="s">
        <v>22</v>
      </c>
      <c r="AF133" s="18" t="s">
        <v>22</v>
      </c>
      <c r="AG133" s="18" t="s">
        <v>22</v>
      </c>
      <c r="AH133" s="18" t="s">
        <v>22</v>
      </c>
      <c r="AI133" s="4" t="s">
        <v>22</v>
      </c>
      <c r="AK133" s="4" t="s">
        <v>22</v>
      </c>
      <c r="AL133" s="4" t="s">
        <v>22</v>
      </c>
      <c r="AM133" s="4" t="s">
        <v>22</v>
      </c>
      <c r="AN133" s="4" t="s">
        <v>22</v>
      </c>
      <c r="AO133" s="4" t="s">
        <v>22</v>
      </c>
      <c r="AP133" s="4" t="s">
        <v>22</v>
      </c>
      <c r="AQ133" s="4" t="s">
        <v>22</v>
      </c>
    </row>
    <row r="134" spans="29:43">
      <c r="AC134" s="18" t="s">
        <v>22</v>
      </c>
      <c r="AD134" s="18" t="s">
        <v>22</v>
      </c>
      <c r="AE134" s="18" t="s">
        <v>22</v>
      </c>
      <c r="AF134" s="18" t="s">
        <v>22</v>
      </c>
      <c r="AG134" s="18" t="s">
        <v>22</v>
      </c>
      <c r="AH134" s="18" t="s">
        <v>22</v>
      </c>
      <c r="AI134" s="4" t="s">
        <v>22</v>
      </c>
      <c r="AK134" s="4" t="s">
        <v>22</v>
      </c>
      <c r="AL134" s="4" t="s">
        <v>22</v>
      </c>
      <c r="AM134" s="4" t="s">
        <v>22</v>
      </c>
      <c r="AN134" s="4" t="s">
        <v>22</v>
      </c>
      <c r="AO134" s="4" t="s">
        <v>22</v>
      </c>
      <c r="AP134" s="4" t="s">
        <v>22</v>
      </c>
      <c r="AQ134" s="4" t="s">
        <v>22</v>
      </c>
    </row>
    <row r="135" spans="29:43">
      <c r="AC135" s="18" t="s">
        <v>22</v>
      </c>
      <c r="AD135" s="18" t="s">
        <v>22</v>
      </c>
      <c r="AE135" s="18" t="s">
        <v>22</v>
      </c>
      <c r="AF135" s="18" t="s">
        <v>22</v>
      </c>
      <c r="AG135" s="18" t="s">
        <v>22</v>
      </c>
      <c r="AH135" s="18" t="s">
        <v>22</v>
      </c>
      <c r="AI135" s="4" t="s">
        <v>22</v>
      </c>
      <c r="AK135" s="4" t="s">
        <v>22</v>
      </c>
      <c r="AL135" s="4" t="s">
        <v>22</v>
      </c>
      <c r="AM135" s="4" t="s">
        <v>22</v>
      </c>
      <c r="AN135" s="4" t="s">
        <v>22</v>
      </c>
      <c r="AO135" s="4" t="s">
        <v>22</v>
      </c>
      <c r="AP135" s="4" t="s">
        <v>22</v>
      </c>
      <c r="AQ135" s="4" t="s">
        <v>22</v>
      </c>
    </row>
    <row r="136" spans="29:43">
      <c r="AC136" s="18" t="s">
        <v>22</v>
      </c>
      <c r="AD136" s="18" t="s">
        <v>22</v>
      </c>
      <c r="AE136" s="18" t="s">
        <v>22</v>
      </c>
      <c r="AF136" s="18" t="s">
        <v>22</v>
      </c>
      <c r="AG136" s="18" t="s">
        <v>22</v>
      </c>
      <c r="AH136" s="18" t="s">
        <v>22</v>
      </c>
      <c r="AI136" s="4" t="s">
        <v>22</v>
      </c>
      <c r="AK136" s="4" t="s">
        <v>22</v>
      </c>
      <c r="AL136" s="4" t="s">
        <v>22</v>
      </c>
      <c r="AM136" s="4" t="s">
        <v>22</v>
      </c>
      <c r="AN136" s="4" t="s">
        <v>22</v>
      </c>
      <c r="AO136" s="4" t="s">
        <v>22</v>
      </c>
      <c r="AP136" s="4" t="s">
        <v>22</v>
      </c>
      <c r="AQ136" s="4" t="s">
        <v>22</v>
      </c>
    </row>
    <row r="137" spans="29:43">
      <c r="AC137" s="18" t="s">
        <v>22</v>
      </c>
      <c r="AD137" s="18" t="s">
        <v>22</v>
      </c>
      <c r="AE137" s="18" t="s">
        <v>22</v>
      </c>
      <c r="AF137" s="18" t="s">
        <v>22</v>
      </c>
      <c r="AG137" s="18" t="s">
        <v>22</v>
      </c>
      <c r="AH137" s="18" t="s">
        <v>22</v>
      </c>
      <c r="AI137" s="4" t="s">
        <v>22</v>
      </c>
      <c r="AK137" s="4" t="s">
        <v>22</v>
      </c>
      <c r="AL137" s="4" t="s">
        <v>22</v>
      </c>
      <c r="AM137" s="4" t="s">
        <v>22</v>
      </c>
      <c r="AN137" s="4" t="s">
        <v>22</v>
      </c>
      <c r="AO137" s="4" t="s">
        <v>22</v>
      </c>
      <c r="AP137" s="4" t="s">
        <v>22</v>
      </c>
      <c r="AQ137" s="4" t="s">
        <v>22</v>
      </c>
    </row>
    <row r="138" spans="29:43">
      <c r="AC138" s="18" t="s">
        <v>22</v>
      </c>
      <c r="AD138" s="18" t="s">
        <v>22</v>
      </c>
      <c r="AE138" s="18" t="s">
        <v>22</v>
      </c>
      <c r="AF138" s="18" t="s">
        <v>22</v>
      </c>
      <c r="AG138" s="18" t="s">
        <v>22</v>
      </c>
      <c r="AH138" s="18" t="s">
        <v>22</v>
      </c>
      <c r="AI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  <c r="AQ138" s="4" t="s">
        <v>22</v>
      </c>
    </row>
    <row r="139" spans="29:43">
      <c r="AC139" s="18" t="s">
        <v>22</v>
      </c>
      <c r="AD139" s="18" t="s">
        <v>22</v>
      </c>
      <c r="AE139" s="18" t="s">
        <v>22</v>
      </c>
      <c r="AF139" s="18" t="s">
        <v>22</v>
      </c>
      <c r="AG139" s="18" t="s">
        <v>22</v>
      </c>
      <c r="AH139" s="18" t="s">
        <v>22</v>
      </c>
      <c r="AI139" s="4" t="s">
        <v>22</v>
      </c>
      <c r="AK139" s="4" t="s">
        <v>22</v>
      </c>
      <c r="AL139" s="4" t="s">
        <v>22</v>
      </c>
      <c r="AM139" s="4" t="s">
        <v>22</v>
      </c>
      <c r="AN139" s="4" t="s">
        <v>22</v>
      </c>
      <c r="AO139" s="4" t="s">
        <v>22</v>
      </c>
      <c r="AP139" s="4" t="s">
        <v>22</v>
      </c>
      <c r="AQ139" s="4" t="s">
        <v>22</v>
      </c>
    </row>
    <row r="140" spans="29:43">
      <c r="AC140" s="18" t="s">
        <v>22</v>
      </c>
      <c r="AD140" s="18" t="s">
        <v>22</v>
      </c>
      <c r="AE140" s="18" t="s">
        <v>22</v>
      </c>
      <c r="AF140" s="18" t="s">
        <v>22</v>
      </c>
      <c r="AG140" s="18" t="s">
        <v>22</v>
      </c>
      <c r="AH140" s="18" t="s">
        <v>22</v>
      </c>
      <c r="AI140" s="4" t="s">
        <v>22</v>
      </c>
      <c r="AK140" s="4" t="s">
        <v>22</v>
      </c>
      <c r="AL140" s="4" t="s">
        <v>22</v>
      </c>
      <c r="AM140" s="4" t="s">
        <v>22</v>
      </c>
      <c r="AN140" s="4" t="s">
        <v>22</v>
      </c>
      <c r="AO140" s="4" t="s">
        <v>22</v>
      </c>
      <c r="AP140" s="4" t="s">
        <v>22</v>
      </c>
      <c r="AQ140" s="4" t="s">
        <v>22</v>
      </c>
    </row>
    <row r="141" spans="29:43">
      <c r="AC141" s="18" t="s">
        <v>22</v>
      </c>
      <c r="AD141" s="18" t="s">
        <v>22</v>
      </c>
      <c r="AE141" s="18" t="s">
        <v>22</v>
      </c>
      <c r="AF141" s="18" t="s">
        <v>22</v>
      </c>
      <c r="AG141" s="18" t="s">
        <v>22</v>
      </c>
      <c r="AH141" s="18" t="s">
        <v>22</v>
      </c>
      <c r="AI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  <c r="AQ141" s="4" t="s">
        <v>22</v>
      </c>
    </row>
    <row r="142" spans="29:43">
      <c r="AC142" s="18" t="s">
        <v>22</v>
      </c>
      <c r="AD142" s="18" t="s">
        <v>22</v>
      </c>
      <c r="AE142" s="18" t="s">
        <v>22</v>
      </c>
      <c r="AF142" s="18" t="s">
        <v>22</v>
      </c>
      <c r="AG142" s="18" t="s">
        <v>22</v>
      </c>
      <c r="AH142" s="18" t="s">
        <v>22</v>
      </c>
      <c r="AI142" s="4" t="s">
        <v>22</v>
      </c>
      <c r="AK142" s="4" t="s">
        <v>22</v>
      </c>
      <c r="AL142" s="4" t="s">
        <v>22</v>
      </c>
      <c r="AM142" s="4" t="s">
        <v>22</v>
      </c>
      <c r="AN142" s="4" t="s">
        <v>22</v>
      </c>
      <c r="AO142" s="4" t="s">
        <v>22</v>
      </c>
      <c r="AP142" s="4" t="s">
        <v>22</v>
      </c>
      <c r="AQ142" s="4" t="s">
        <v>22</v>
      </c>
    </row>
    <row r="143" spans="29:43">
      <c r="AC143" s="18" t="s">
        <v>22</v>
      </c>
      <c r="AD143" s="18" t="s">
        <v>22</v>
      </c>
      <c r="AE143" s="18" t="s">
        <v>22</v>
      </c>
      <c r="AF143" s="18" t="s">
        <v>22</v>
      </c>
      <c r="AG143" s="18" t="s">
        <v>22</v>
      </c>
      <c r="AH143" s="18" t="s">
        <v>22</v>
      </c>
      <c r="AI143" s="4" t="s">
        <v>22</v>
      </c>
      <c r="AK143" s="4" t="s">
        <v>22</v>
      </c>
      <c r="AL143" s="4" t="s">
        <v>22</v>
      </c>
      <c r="AM143" s="4" t="s">
        <v>22</v>
      </c>
      <c r="AN143" s="4" t="s">
        <v>22</v>
      </c>
      <c r="AO143" s="4" t="s">
        <v>22</v>
      </c>
      <c r="AP143" s="4" t="s">
        <v>22</v>
      </c>
      <c r="AQ143" s="4" t="s">
        <v>22</v>
      </c>
    </row>
    <row r="144" spans="29:43">
      <c r="AC144" s="18" t="s">
        <v>22</v>
      </c>
      <c r="AD144" s="18" t="s">
        <v>22</v>
      </c>
      <c r="AE144" s="18" t="s">
        <v>22</v>
      </c>
      <c r="AF144" s="18" t="s">
        <v>22</v>
      </c>
      <c r="AG144" s="18" t="s">
        <v>22</v>
      </c>
      <c r="AH144" s="18" t="s">
        <v>22</v>
      </c>
      <c r="AI144" s="4" t="s">
        <v>22</v>
      </c>
      <c r="AK144" s="4" t="s">
        <v>22</v>
      </c>
      <c r="AL144" s="4" t="s">
        <v>22</v>
      </c>
      <c r="AM144" s="4" t="s">
        <v>22</v>
      </c>
      <c r="AN144" s="4" t="s">
        <v>22</v>
      </c>
      <c r="AO144" s="4" t="s">
        <v>22</v>
      </c>
      <c r="AP144" s="4" t="s">
        <v>22</v>
      </c>
      <c r="AQ144" s="4" t="s">
        <v>22</v>
      </c>
    </row>
    <row r="145" spans="29:43">
      <c r="AC145" s="18" t="s">
        <v>22</v>
      </c>
      <c r="AD145" s="18" t="s">
        <v>22</v>
      </c>
      <c r="AE145" s="18" t="s">
        <v>22</v>
      </c>
      <c r="AF145" s="18" t="s">
        <v>22</v>
      </c>
      <c r="AG145" s="18" t="s">
        <v>22</v>
      </c>
      <c r="AH145" s="18" t="s">
        <v>22</v>
      </c>
      <c r="AI145" s="4" t="s">
        <v>22</v>
      </c>
      <c r="AK145" s="4" t="s">
        <v>22</v>
      </c>
      <c r="AL145" s="4" t="s">
        <v>22</v>
      </c>
      <c r="AM145" s="4" t="s">
        <v>22</v>
      </c>
      <c r="AN145" s="4" t="s">
        <v>22</v>
      </c>
      <c r="AO145" s="4" t="s">
        <v>22</v>
      </c>
      <c r="AP145" s="4" t="s">
        <v>22</v>
      </c>
      <c r="AQ145" s="4" t="s">
        <v>22</v>
      </c>
    </row>
    <row r="146" spans="29:43">
      <c r="AC146" s="18" t="s">
        <v>22</v>
      </c>
      <c r="AD146" s="18" t="s">
        <v>22</v>
      </c>
      <c r="AE146" s="18" t="s">
        <v>22</v>
      </c>
      <c r="AF146" s="18" t="s">
        <v>22</v>
      </c>
      <c r="AG146" s="18" t="s">
        <v>22</v>
      </c>
      <c r="AH146" s="18" t="s">
        <v>22</v>
      </c>
      <c r="AI146" s="4" t="s">
        <v>22</v>
      </c>
      <c r="AK146" s="4" t="s">
        <v>22</v>
      </c>
      <c r="AL146" s="4" t="s">
        <v>22</v>
      </c>
      <c r="AM146" s="4" t="s">
        <v>22</v>
      </c>
      <c r="AN146" s="4" t="s">
        <v>22</v>
      </c>
      <c r="AO146" s="4" t="s">
        <v>22</v>
      </c>
      <c r="AP146" s="4" t="s">
        <v>22</v>
      </c>
      <c r="AQ146" s="4" t="s">
        <v>22</v>
      </c>
    </row>
    <row r="147" spans="29:43">
      <c r="AC147" s="18" t="s">
        <v>22</v>
      </c>
      <c r="AD147" s="18" t="s">
        <v>22</v>
      </c>
      <c r="AE147" s="18" t="s">
        <v>22</v>
      </c>
      <c r="AF147" s="18" t="s">
        <v>22</v>
      </c>
      <c r="AG147" s="18" t="s">
        <v>22</v>
      </c>
      <c r="AH147" s="18" t="s">
        <v>22</v>
      </c>
      <c r="AI147" s="4" t="s">
        <v>22</v>
      </c>
      <c r="AK147" s="4" t="s">
        <v>22</v>
      </c>
      <c r="AL147" s="4" t="s">
        <v>22</v>
      </c>
      <c r="AM147" s="4" t="s">
        <v>22</v>
      </c>
      <c r="AN147" s="4" t="s">
        <v>22</v>
      </c>
      <c r="AO147" s="4" t="s">
        <v>22</v>
      </c>
      <c r="AP147" s="4" t="s">
        <v>22</v>
      </c>
      <c r="AQ147" s="4" t="s">
        <v>22</v>
      </c>
    </row>
    <row r="148" spans="29:43">
      <c r="AC148" s="18" t="s">
        <v>22</v>
      </c>
      <c r="AD148" s="18" t="s">
        <v>22</v>
      </c>
      <c r="AE148" s="18" t="s">
        <v>22</v>
      </c>
      <c r="AF148" s="18" t="s">
        <v>22</v>
      </c>
      <c r="AG148" s="18" t="s">
        <v>22</v>
      </c>
      <c r="AH148" s="18" t="s">
        <v>22</v>
      </c>
      <c r="AI148" s="4" t="s">
        <v>22</v>
      </c>
      <c r="AK148" s="4" t="s">
        <v>22</v>
      </c>
      <c r="AL148" s="4" t="s">
        <v>22</v>
      </c>
      <c r="AM148" s="4" t="s">
        <v>22</v>
      </c>
      <c r="AN148" s="4" t="s">
        <v>22</v>
      </c>
      <c r="AO148" s="4" t="s">
        <v>22</v>
      </c>
      <c r="AP148" s="4" t="s">
        <v>22</v>
      </c>
      <c r="AQ148" s="4" t="s">
        <v>22</v>
      </c>
    </row>
    <row r="149" spans="29:43">
      <c r="AC149" s="18" t="s">
        <v>22</v>
      </c>
      <c r="AD149" s="18" t="s">
        <v>22</v>
      </c>
      <c r="AE149" s="18" t="s">
        <v>22</v>
      </c>
      <c r="AF149" s="18" t="s">
        <v>22</v>
      </c>
      <c r="AG149" s="18" t="s">
        <v>22</v>
      </c>
      <c r="AH149" s="18" t="s">
        <v>22</v>
      </c>
      <c r="AI149" s="4" t="s">
        <v>22</v>
      </c>
      <c r="AK149" s="4" t="s">
        <v>22</v>
      </c>
      <c r="AL149" s="4" t="s">
        <v>22</v>
      </c>
      <c r="AM149" s="4" t="s">
        <v>22</v>
      </c>
      <c r="AN149" s="4" t="s">
        <v>22</v>
      </c>
      <c r="AO149" s="4" t="s">
        <v>22</v>
      </c>
      <c r="AP149" s="4" t="s">
        <v>22</v>
      </c>
      <c r="AQ149" s="4" t="s">
        <v>22</v>
      </c>
    </row>
    <row r="150" spans="29:43">
      <c r="AC150" s="18" t="s">
        <v>22</v>
      </c>
      <c r="AD150" s="18" t="s">
        <v>22</v>
      </c>
      <c r="AE150" s="18" t="s">
        <v>22</v>
      </c>
      <c r="AF150" s="18" t="s">
        <v>22</v>
      </c>
      <c r="AG150" s="18" t="s">
        <v>22</v>
      </c>
      <c r="AH150" s="18" t="s">
        <v>22</v>
      </c>
      <c r="AI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  <c r="AO150" s="4" t="s">
        <v>22</v>
      </c>
      <c r="AP150" s="4" t="s">
        <v>22</v>
      </c>
      <c r="AQ150" s="4" t="s">
        <v>22</v>
      </c>
    </row>
    <row r="151" spans="29:43">
      <c r="AC151" s="18" t="s">
        <v>22</v>
      </c>
      <c r="AD151" s="18" t="s">
        <v>22</v>
      </c>
      <c r="AE151" s="18" t="s">
        <v>22</v>
      </c>
      <c r="AF151" s="18" t="s">
        <v>22</v>
      </c>
      <c r="AG151" s="18" t="s">
        <v>22</v>
      </c>
      <c r="AH151" s="18" t="s">
        <v>22</v>
      </c>
      <c r="AI151" s="4" t="s">
        <v>22</v>
      </c>
      <c r="AK151" s="4" t="s">
        <v>22</v>
      </c>
      <c r="AL151" s="4" t="s">
        <v>22</v>
      </c>
      <c r="AM151" s="4" t="s">
        <v>22</v>
      </c>
      <c r="AN151" s="4" t="s">
        <v>22</v>
      </c>
      <c r="AO151" s="4" t="s">
        <v>22</v>
      </c>
      <c r="AP151" s="4" t="s">
        <v>22</v>
      </c>
      <c r="AQ151" s="4" t="s">
        <v>22</v>
      </c>
    </row>
    <row r="152" spans="29:43">
      <c r="AC152" s="18" t="s">
        <v>22</v>
      </c>
      <c r="AD152" s="18" t="s">
        <v>22</v>
      </c>
      <c r="AE152" s="18" t="s">
        <v>22</v>
      </c>
      <c r="AF152" s="18" t="s">
        <v>22</v>
      </c>
      <c r="AG152" s="18" t="s">
        <v>22</v>
      </c>
      <c r="AH152" s="18" t="s">
        <v>22</v>
      </c>
      <c r="AI152" s="4" t="s">
        <v>22</v>
      </c>
      <c r="AK152" s="4" t="s">
        <v>22</v>
      </c>
      <c r="AL152" s="4" t="s">
        <v>22</v>
      </c>
      <c r="AM152" s="4" t="s">
        <v>22</v>
      </c>
      <c r="AN152" s="4" t="s">
        <v>22</v>
      </c>
      <c r="AO152" s="4" t="s">
        <v>22</v>
      </c>
      <c r="AP152" s="4" t="s">
        <v>22</v>
      </c>
      <c r="AQ152" s="4" t="s">
        <v>22</v>
      </c>
    </row>
    <row r="153" spans="29:43">
      <c r="AC153" s="18" t="s">
        <v>22</v>
      </c>
      <c r="AD153" s="18" t="s">
        <v>22</v>
      </c>
      <c r="AE153" s="18" t="s">
        <v>22</v>
      </c>
      <c r="AF153" s="18" t="s">
        <v>22</v>
      </c>
      <c r="AG153" s="18" t="s">
        <v>22</v>
      </c>
      <c r="AH153" s="18" t="s">
        <v>22</v>
      </c>
      <c r="AI153" s="4" t="s">
        <v>22</v>
      </c>
      <c r="AK153" s="4" t="s">
        <v>22</v>
      </c>
      <c r="AL153" s="4" t="s">
        <v>22</v>
      </c>
      <c r="AM153" s="4" t="s">
        <v>22</v>
      </c>
      <c r="AN153" s="4" t="s">
        <v>22</v>
      </c>
      <c r="AO153" s="4" t="s">
        <v>22</v>
      </c>
      <c r="AP153" s="4" t="s">
        <v>22</v>
      </c>
      <c r="AQ153" s="4" t="s">
        <v>22</v>
      </c>
    </row>
    <row r="154" spans="29:43">
      <c r="AC154" s="18" t="s">
        <v>22</v>
      </c>
      <c r="AD154" s="18" t="s">
        <v>22</v>
      </c>
      <c r="AE154" s="18" t="s">
        <v>22</v>
      </c>
      <c r="AF154" s="18" t="s">
        <v>22</v>
      </c>
      <c r="AG154" s="18" t="s">
        <v>22</v>
      </c>
      <c r="AH154" s="18" t="s">
        <v>22</v>
      </c>
      <c r="AI154" s="4" t="s">
        <v>22</v>
      </c>
      <c r="AK154" s="4" t="s">
        <v>22</v>
      </c>
      <c r="AL154" s="4" t="s">
        <v>22</v>
      </c>
      <c r="AM154" s="4" t="s">
        <v>22</v>
      </c>
      <c r="AN154" s="4" t="s">
        <v>22</v>
      </c>
      <c r="AO154" s="4" t="s">
        <v>22</v>
      </c>
      <c r="AP154" s="4" t="s">
        <v>22</v>
      </c>
      <c r="AQ154" s="4" t="s">
        <v>22</v>
      </c>
    </row>
    <row r="155" spans="29:43">
      <c r="AC155" s="18" t="s">
        <v>22</v>
      </c>
      <c r="AD155" s="18" t="s">
        <v>22</v>
      </c>
      <c r="AE155" s="18" t="s">
        <v>22</v>
      </c>
      <c r="AF155" s="18" t="s">
        <v>22</v>
      </c>
      <c r="AG155" s="18" t="s">
        <v>22</v>
      </c>
      <c r="AH155" s="18" t="s">
        <v>22</v>
      </c>
      <c r="AI155" s="4" t="s">
        <v>22</v>
      </c>
      <c r="AK155" s="4" t="s">
        <v>22</v>
      </c>
      <c r="AL155" s="4" t="s">
        <v>22</v>
      </c>
      <c r="AM155" s="4" t="s">
        <v>22</v>
      </c>
      <c r="AN155" s="4" t="s">
        <v>22</v>
      </c>
      <c r="AO155" s="4" t="s">
        <v>22</v>
      </c>
      <c r="AP155" s="4" t="s">
        <v>22</v>
      </c>
      <c r="AQ155" s="4" t="s">
        <v>22</v>
      </c>
    </row>
    <row r="156" spans="29:43">
      <c r="AC156" s="18" t="s">
        <v>22</v>
      </c>
      <c r="AD156" s="18" t="s">
        <v>22</v>
      </c>
      <c r="AE156" s="18" t="s">
        <v>22</v>
      </c>
      <c r="AF156" s="18" t="s">
        <v>22</v>
      </c>
      <c r="AG156" s="18" t="s">
        <v>22</v>
      </c>
      <c r="AH156" s="18" t="s">
        <v>22</v>
      </c>
      <c r="AI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  <c r="AQ156" s="4" t="s">
        <v>22</v>
      </c>
    </row>
    <row r="157" spans="29:43">
      <c r="AC157" s="18" t="s">
        <v>22</v>
      </c>
      <c r="AD157" s="18" t="s">
        <v>22</v>
      </c>
      <c r="AE157" s="18" t="s">
        <v>22</v>
      </c>
      <c r="AF157" s="18" t="s">
        <v>22</v>
      </c>
      <c r="AG157" s="18" t="s">
        <v>22</v>
      </c>
      <c r="AH157" s="18" t="s">
        <v>22</v>
      </c>
      <c r="AI157" s="4" t="s">
        <v>22</v>
      </c>
      <c r="AK157" s="4" t="s">
        <v>22</v>
      </c>
      <c r="AL157" s="4" t="s">
        <v>22</v>
      </c>
      <c r="AM157" s="4" t="s">
        <v>22</v>
      </c>
      <c r="AN157" s="4" t="s">
        <v>22</v>
      </c>
      <c r="AO157" s="4" t="s">
        <v>22</v>
      </c>
      <c r="AP157" s="4" t="s">
        <v>22</v>
      </c>
      <c r="AQ157" s="4" t="s">
        <v>22</v>
      </c>
    </row>
    <row r="158" spans="29:43">
      <c r="AC158" s="18" t="s">
        <v>22</v>
      </c>
      <c r="AD158" s="18" t="s">
        <v>22</v>
      </c>
      <c r="AE158" s="18" t="s">
        <v>22</v>
      </c>
      <c r="AF158" s="18" t="s">
        <v>22</v>
      </c>
      <c r="AG158" s="18" t="s">
        <v>22</v>
      </c>
      <c r="AH158" s="18" t="s">
        <v>22</v>
      </c>
      <c r="AI158" s="4" t="s">
        <v>22</v>
      </c>
      <c r="AK158" s="4" t="s">
        <v>22</v>
      </c>
      <c r="AL158" s="4" t="s">
        <v>22</v>
      </c>
      <c r="AM158" s="4" t="s">
        <v>22</v>
      </c>
      <c r="AN158" s="4" t="s">
        <v>22</v>
      </c>
      <c r="AO158" s="4" t="s">
        <v>22</v>
      </c>
      <c r="AP158" s="4" t="s">
        <v>22</v>
      </c>
      <c r="AQ158" s="4" t="s">
        <v>22</v>
      </c>
    </row>
    <row r="159" spans="29:43">
      <c r="AC159" s="18" t="s">
        <v>22</v>
      </c>
      <c r="AD159" s="18" t="s">
        <v>22</v>
      </c>
      <c r="AE159" s="18" t="s">
        <v>22</v>
      </c>
      <c r="AF159" s="18" t="s">
        <v>22</v>
      </c>
      <c r="AG159" s="18" t="s">
        <v>22</v>
      </c>
      <c r="AH159" s="18" t="s">
        <v>22</v>
      </c>
      <c r="AI159" s="4" t="s">
        <v>22</v>
      </c>
      <c r="AK159" s="4" t="s">
        <v>22</v>
      </c>
      <c r="AL159" s="4" t="s">
        <v>22</v>
      </c>
      <c r="AM159" s="4" t="s">
        <v>22</v>
      </c>
      <c r="AN159" s="4" t="s">
        <v>22</v>
      </c>
      <c r="AO159" s="4" t="s">
        <v>22</v>
      </c>
      <c r="AP159" s="4" t="s">
        <v>22</v>
      </c>
      <c r="AQ159" s="4" t="s">
        <v>22</v>
      </c>
    </row>
    <row r="160" spans="29:43">
      <c r="AC160" s="18" t="s">
        <v>22</v>
      </c>
      <c r="AD160" s="18" t="s">
        <v>22</v>
      </c>
      <c r="AE160" s="18" t="s">
        <v>22</v>
      </c>
      <c r="AF160" s="18" t="s">
        <v>22</v>
      </c>
      <c r="AG160" s="18" t="s">
        <v>22</v>
      </c>
      <c r="AH160" s="18" t="s">
        <v>22</v>
      </c>
      <c r="AI160" s="4" t="s">
        <v>22</v>
      </c>
      <c r="AK160" s="4" t="s">
        <v>22</v>
      </c>
      <c r="AL160" s="4" t="s">
        <v>22</v>
      </c>
      <c r="AM160" s="4" t="s">
        <v>22</v>
      </c>
      <c r="AN160" s="4" t="s">
        <v>22</v>
      </c>
      <c r="AO160" s="4" t="s">
        <v>22</v>
      </c>
      <c r="AP160" s="4" t="s">
        <v>22</v>
      </c>
      <c r="AQ160" s="4" t="s">
        <v>22</v>
      </c>
    </row>
    <row r="161" spans="29:43">
      <c r="AC161" s="18" t="s">
        <v>22</v>
      </c>
      <c r="AD161" s="18" t="s">
        <v>22</v>
      </c>
      <c r="AE161" s="18" t="s">
        <v>22</v>
      </c>
      <c r="AF161" s="18" t="s">
        <v>22</v>
      </c>
      <c r="AG161" s="18" t="s">
        <v>22</v>
      </c>
      <c r="AH161" s="18" t="s">
        <v>22</v>
      </c>
      <c r="AI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  <c r="AQ161" s="4" t="s">
        <v>22</v>
      </c>
    </row>
    <row r="162" spans="29:43">
      <c r="AC162" s="18" t="s">
        <v>22</v>
      </c>
      <c r="AD162" s="18" t="s">
        <v>22</v>
      </c>
      <c r="AE162" s="18" t="s">
        <v>22</v>
      </c>
      <c r="AF162" s="18" t="s">
        <v>22</v>
      </c>
      <c r="AG162" s="18" t="s">
        <v>22</v>
      </c>
      <c r="AH162" s="18" t="s">
        <v>22</v>
      </c>
      <c r="AI162" s="4" t="s">
        <v>22</v>
      </c>
      <c r="AK162" s="4" t="s">
        <v>22</v>
      </c>
      <c r="AL162" s="4" t="s">
        <v>22</v>
      </c>
      <c r="AM162" s="4" t="s">
        <v>22</v>
      </c>
      <c r="AN162" s="4" t="s">
        <v>22</v>
      </c>
      <c r="AO162" s="4" t="s">
        <v>22</v>
      </c>
      <c r="AP162" s="4" t="s">
        <v>22</v>
      </c>
      <c r="AQ162" s="4" t="s">
        <v>22</v>
      </c>
    </row>
    <row r="163" spans="29:43">
      <c r="AC163" s="18" t="s">
        <v>22</v>
      </c>
      <c r="AD163" s="18" t="s">
        <v>22</v>
      </c>
      <c r="AE163" s="18" t="s">
        <v>22</v>
      </c>
      <c r="AF163" s="18" t="s">
        <v>22</v>
      </c>
      <c r="AG163" s="18" t="s">
        <v>22</v>
      </c>
      <c r="AH163" s="18" t="s">
        <v>22</v>
      </c>
      <c r="AI163" s="4" t="s">
        <v>22</v>
      </c>
      <c r="AK163" s="4" t="s">
        <v>22</v>
      </c>
      <c r="AL163" s="4" t="s">
        <v>22</v>
      </c>
      <c r="AM163" s="4" t="s">
        <v>22</v>
      </c>
      <c r="AN163" s="4" t="s">
        <v>22</v>
      </c>
      <c r="AO163" s="4" t="s">
        <v>22</v>
      </c>
      <c r="AP163" s="4" t="s">
        <v>22</v>
      </c>
      <c r="AQ163" s="4" t="s">
        <v>22</v>
      </c>
    </row>
    <row r="164" spans="29:43">
      <c r="AC164" s="18" t="s">
        <v>22</v>
      </c>
      <c r="AD164" s="18" t="s">
        <v>22</v>
      </c>
      <c r="AE164" s="18" t="s">
        <v>22</v>
      </c>
      <c r="AF164" s="18" t="s">
        <v>22</v>
      </c>
      <c r="AG164" s="18" t="s">
        <v>22</v>
      </c>
      <c r="AH164" s="18" t="s">
        <v>22</v>
      </c>
      <c r="AI164" s="4" t="s">
        <v>22</v>
      </c>
      <c r="AK164" s="4" t="s">
        <v>22</v>
      </c>
      <c r="AL164" s="4" t="s">
        <v>22</v>
      </c>
      <c r="AM164" s="4" t="s">
        <v>22</v>
      </c>
      <c r="AN164" s="4" t="s">
        <v>22</v>
      </c>
      <c r="AO164" s="4" t="s">
        <v>22</v>
      </c>
      <c r="AP164" s="4" t="s">
        <v>22</v>
      </c>
      <c r="AQ164" s="4" t="s">
        <v>22</v>
      </c>
    </row>
    <row r="165" spans="29:43">
      <c r="AC165" s="18" t="s">
        <v>22</v>
      </c>
      <c r="AD165" s="18" t="s">
        <v>22</v>
      </c>
      <c r="AE165" s="18" t="s">
        <v>22</v>
      </c>
      <c r="AF165" s="18" t="s">
        <v>22</v>
      </c>
      <c r="AG165" s="18" t="s">
        <v>22</v>
      </c>
      <c r="AH165" s="18" t="s">
        <v>22</v>
      </c>
      <c r="AI165" s="4" t="s">
        <v>22</v>
      </c>
      <c r="AK165" s="4" t="s">
        <v>22</v>
      </c>
      <c r="AL165" s="4" t="s">
        <v>22</v>
      </c>
      <c r="AM165" s="4" t="s">
        <v>22</v>
      </c>
      <c r="AN165" s="4" t="s">
        <v>22</v>
      </c>
      <c r="AO165" s="4" t="s">
        <v>22</v>
      </c>
      <c r="AP165" s="4" t="s">
        <v>22</v>
      </c>
      <c r="AQ165" s="4" t="s">
        <v>22</v>
      </c>
    </row>
    <row r="166" spans="29:43">
      <c r="AC166" s="18" t="s">
        <v>22</v>
      </c>
      <c r="AD166" s="18" t="s">
        <v>22</v>
      </c>
      <c r="AE166" s="18" t="s">
        <v>22</v>
      </c>
      <c r="AF166" s="18" t="s">
        <v>22</v>
      </c>
      <c r="AG166" s="18" t="s">
        <v>22</v>
      </c>
      <c r="AH166" s="18" t="s">
        <v>22</v>
      </c>
      <c r="AI166" s="4" t="s">
        <v>22</v>
      </c>
      <c r="AK166" s="4" t="s">
        <v>22</v>
      </c>
      <c r="AL166" s="4" t="s">
        <v>22</v>
      </c>
      <c r="AM166" s="4" t="s">
        <v>22</v>
      </c>
      <c r="AN166" s="4" t="s">
        <v>22</v>
      </c>
      <c r="AO166" s="4" t="s">
        <v>22</v>
      </c>
      <c r="AP166" s="4" t="s">
        <v>22</v>
      </c>
      <c r="AQ166" s="4" t="s">
        <v>22</v>
      </c>
    </row>
    <row r="167" spans="29:43">
      <c r="AC167" s="18" t="s">
        <v>22</v>
      </c>
      <c r="AD167" s="18" t="s">
        <v>22</v>
      </c>
      <c r="AE167" s="18" t="s">
        <v>22</v>
      </c>
      <c r="AF167" s="18" t="s">
        <v>22</v>
      </c>
      <c r="AG167" s="18" t="s">
        <v>22</v>
      </c>
      <c r="AH167" s="18" t="s">
        <v>22</v>
      </c>
      <c r="AI167" s="4" t="s">
        <v>22</v>
      </c>
      <c r="AK167" s="4" t="s">
        <v>22</v>
      </c>
      <c r="AL167" s="4" t="s">
        <v>22</v>
      </c>
      <c r="AM167" s="4" t="s">
        <v>22</v>
      </c>
      <c r="AN167" s="4" t="s">
        <v>22</v>
      </c>
      <c r="AO167" s="4" t="s">
        <v>22</v>
      </c>
      <c r="AP167" s="4" t="s">
        <v>22</v>
      </c>
      <c r="AQ167" s="4" t="s">
        <v>22</v>
      </c>
    </row>
    <row r="168" spans="29:43">
      <c r="AC168" s="18" t="s">
        <v>22</v>
      </c>
      <c r="AD168" s="18" t="s">
        <v>22</v>
      </c>
      <c r="AE168" s="18" t="s">
        <v>22</v>
      </c>
      <c r="AF168" s="18" t="s">
        <v>22</v>
      </c>
      <c r="AG168" s="18" t="s">
        <v>22</v>
      </c>
      <c r="AH168" s="18" t="s">
        <v>22</v>
      </c>
      <c r="AI168" s="4" t="s">
        <v>22</v>
      </c>
      <c r="AK168" s="4" t="s">
        <v>22</v>
      </c>
      <c r="AL168" s="4" t="s">
        <v>22</v>
      </c>
      <c r="AM168" s="4" t="s">
        <v>22</v>
      </c>
      <c r="AN168" s="4" t="s">
        <v>22</v>
      </c>
      <c r="AO168" s="4" t="s">
        <v>22</v>
      </c>
      <c r="AP168" s="4" t="s">
        <v>22</v>
      </c>
      <c r="AQ168" s="4" t="s">
        <v>22</v>
      </c>
    </row>
    <row r="169" spans="29:43">
      <c r="AC169" s="18" t="s">
        <v>22</v>
      </c>
      <c r="AD169" s="18" t="s">
        <v>22</v>
      </c>
      <c r="AE169" s="18" t="s">
        <v>22</v>
      </c>
      <c r="AF169" s="18" t="s">
        <v>22</v>
      </c>
      <c r="AG169" s="18" t="s">
        <v>22</v>
      </c>
      <c r="AH169" s="18" t="s">
        <v>22</v>
      </c>
      <c r="AI169" s="4" t="s">
        <v>22</v>
      </c>
      <c r="AK169" s="4" t="s">
        <v>22</v>
      </c>
      <c r="AL169" s="4" t="s">
        <v>22</v>
      </c>
      <c r="AM169" s="4" t="s">
        <v>22</v>
      </c>
      <c r="AN169" s="4" t="s">
        <v>22</v>
      </c>
      <c r="AO169" s="4" t="s">
        <v>22</v>
      </c>
      <c r="AP169" s="4" t="s">
        <v>22</v>
      </c>
      <c r="AQ169" s="4" t="s">
        <v>22</v>
      </c>
    </row>
    <row r="170" spans="29:43">
      <c r="AC170" s="18" t="s">
        <v>22</v>
      </c>
      <c r="AD170" s="18" t="s">
        <v>22</v>
      </c>
      <c r="AE170" s="18" t="s">
        <v>22</v>
      </c>
      <c r="AF170" s="18" t="s">
        <v>22</v>
      </c>
      <c r="AG170" s="18" t="s">
        <v>22</v>
      </c>
      <c r="AH170" s="18" t="s">
        <v>22</v>
      </c>
      <c r="AI170" s="4" t="s">
        <v>22</v>
      </c>
      <c r="AK170" s="4" t="s">
        <v>22</v>
      </c>
      <c r="AL170" s="4" t="s">
        <v>22</v>
      </c>
      <c r="AM170" s="4" t="s">
        <v>22</v>
      </c>
      <c r="AN170" s="4" t="s">
        <v>22</v>
      </c>
      <c r="AO170" s="4" t="s">
        <v>22</v>
      </c>
      <c r="AP170" s="4" t="s">
        <v>22</v>
      </c>
      <c r="AQ170" s="4" t="s">
        <v>22</v>
      </c>
    </row>
    <row r="171" spans="29:43">
      <c r="AC171" s="18" t="s">
        <v>22</v>
      </c>
      <c r="AD171" s="18" t="s">
        <v>22</v>
      </c>
      <c r="AE171" s="18" t="s">
        <v>22</v>
      </c>
      <c r="AF171" s="18" t="s">
        <v>22</v>
      </c>
      <c r="AG171" s="18" t="s">
        <v>22</v>
      </c>
      <c r="AH171" s="18" t="s">
        <v>22</v>
      </c>
      <c r="AI171" s="4" t="s">
        <v>22</v>
      </c>
      <c r="AK171" s="4" t="s">
        <v>22</v>
      </c>
      <c r="AL171" s="4" t="s">
        <v>22</v>
      </c>
      <c r="AM171" s="4" t="s">
        <v>22</v>
      </c>
      <c r="AN171" s="4" t="s">
        <v>22</v>
      </c>
      <c r="AO171" s="4" t="s">
        <v>22</v>
      </c>
      <c r="AP171" s="4" t="s">
        <v>22</v>
      </c>
      <c r="AQ171" s="4" t="s">
        <v>22</v>
      </c>
    </row>
    <row r="172" spans="29:43">
      <c r="AC172" s="18" t="s">
        <v>22</v>
      </c>
      <c r="AD172" s="18" t="s">
        <v>22</v>
      </c>
      <c r="AE172" s="18" t="s">
        <v>22</v>
      </c>
      <c r="AF172" s="18" t="s">
        <v>22</v>
      </c>
      <c r="AG172" s="18" t="s">
        <v>22</v>
      </c>
      <c r="AH172" s="18" t="s">
        <v>22</v>
      </c>
      <c r="AI172" s="4" t="s">
        <v>22</v>
      </c>
      <c r="AK172" s="4" t="s">
        <v>22</v>
      </c>
      <c r="AL172" s="4" t="s">
        <v>22</v>
      </c>
      <c r="AM172" s="4" t="s">
        <v>22</v>
      </c>
      <c r="AN172" s="4" t="s">
        <v>22</v>
      </c>
      <c r="AO172" s="4" t="s">
        <v>22</v>
      </c>
      <c r="AP172" s="4" t="s">
        <v>22</v>
      </c>
      <c r="AQ172" s="4" t="s">
        <v>22</v>
      </c>
    </row>
    <row r="173" spans="29:43">
      <c r="AC173" s="18" t="s">
        <v>22</v>
      </c>
      <c r="AD173" s="18" t="s">
        <v>22</v>
      </c>
      <c r="AE173" s="18" t="s">
        <v>22</v>
      </c>
      <c r="AF173" s="18" t="s">
        <v>22</v>
      </c>
      <c r="AG173" s="18" t="s">
        <v>22</v>
      </c>
      <c r="AH173" s="18" t="s">
        <v>22</v>
      </c>
      <c r="AI173" s="4" t="s">
        <v>22</v>
      </c>
      <c r="AK173" s="4" t="s">
        <v>22</v>
      </c>
      <c r="AL173" s="4" t="s">
        <v>22</v>
      </c>
      <c r="AM173" s="4" t="s">
        <v>22</v>
      </c>
      <c r="AN173" s="4" t="s">
        <v>22</v>
      </c>
      <c r="AO173" s="4" t="s">
        <v>22</v>
      </c>
      <c r="AP173" s="4" t="s">
        <v>22</v>
      </c>
      <c r="AQ173" s="4" t="s">
        <v>22</v>
      </c>
    </row>
    <row r="174" spans="29:43">
      <c r="AC174" s="18" t="s">
        <v>22</v>
      </c>
      <c r="AD174" s="18" t="s">
        <v>22</v>
      </c>
      <c r="AE174" s="18" t="s">
        <v>22</v>
      </c>
      <c r="AF174" s="18" t="s">
        <v>22</v>
      </c>
      <c r="AG174" s="18" t="s">
        <v>22</v>
      </c>
      <c r="AH174" s="18" t="s">
        <v>22</v>
      </c>
      <c r="AI174" s="4" t="s">
        <v>22</v>
      </c>
      <c r="AK174" s="4" t="s">
        <v>22</v>
      </c>
      <c r="AL174" s="4" t="s">
        <v>22</v>
      </c>
      <c r="AM174" s="4" t="s">
        <v>22</v>
      </c>
      <c r="AN174" s="4" t="s">
        <v>22</v>
      </c>
      <c r="AO174" s="4" t="s">
        <v>22</v>
      </c>
      <c r="AP174" s="4" t="s">
        <v>22</v>
      </c>
      <c r="AQ174" s="4" t="s">
        <v>22</v>
      </c>
    </row>
    <row r="175" spans="29:43">
      <c r="AC175" s="18" t="s">
        <v>22</v>
      </c>
      <c r="AD175" s="18" t="s">
        <v>22</v>
      </c>
      <c r="AE175" s="18" t="s">
        <v>22</v>
      </c>
      <c r="AF175" s="18" t="s">
        <v>22</v>
      </c>
      <c r="AG175" s="18" t="s">
        <v>22</v>
      </c>
      <c r="AH175" s="18" t="s">
        <v>22</v>
      </c>
      <c r="AI175" s="4" t="s">
        <v>22</v>
      </c>
      <c r="AK175" s="4" t="s">
        <v>22</v>
      </c>
      <c r="AL175" s="4" t="s">
        <v>22</v>
      </c>
      <c r="AM175" s="4" t="s">
        <v>22</v>
      </c>
      <c r="AN175" s="4" t="s">
        <v>22</v>
      </c>
      <c r="AO175" s="4" t="s">
        <v>22</v>
      </c>
      <c r="AP175" s="4" t="s">
        <v>22</v>
      </c>
      <c r="AQ175" s="4" t="s">
        <v>22</v>
      </c>
    </row>
    <row r="176" spans="29:43">
      <c r="AC176" s="18" t="s">
        <v>22</v>
      </c>
      <c r="AD176" s="18" t="s">
        <v>22</v>
      </c>
      <c r="AE176" s="18" t="s">
        <v>22</v>
      </c>
      <c r="AF176" s="18" t="s">
        <v>22</v>
      </c>
      <c r="AG176" s="18" t="s">
        <v>22</v>
      </c>
      <c r="AH176" s="18" t="s">
        <v>22</v>
      </c>
      <c r="AI176" s="4" t="s">
        <v>22</v>
      </c>
      <c r="AK176" s="4" t="s">
        <v>22</v>
      </c>
      <c r="AL176" s="4" t="s">
        <v>22</v>
      </c>
      <c r="AM176" s="4" t="s">
        <v>22</v>
      </c>
      <c r="AN176" s="4" t="s">
        <v>22</v>
      </c>
      <c r="AO176" s="4" t="s">
        <v>22</v>
      </c>
      <c r="AP176" s="4" t="s">
        <v>22</v>
      </c>
      <c r="AQ176" s="4" t="s">
        <v>22</v>
      </c>
    </row>
    <row r="177" spans="29:43">
      <c r="AC177" s="18" t="s">
        <v>22</v>
      </c>
      <c r="AD177" s="18" t="s">
        <v>22</v>
      </c>
      <c r="AE177" s="18" t="s">
        <v>22</v>
      </c>
      <c r="AF177" s="18" t="s">
        <v>22</v>
      </c>
      <c r="AG177" s="18" t="s">
        <v>22</v>
      </c>
      <c r="AH177" s="18" t="s">
        <v>22</v>
      </c>
      <c r="AI177" s="4" t="s">
        <v>22</v>
      </c>
      <c r="AK177" s="4" t="s">
        <v>22</v>
      </c>
      <c r="AL177" s="4" t="s">
        <v>22</v>
      </c>
      <c r="AM177" s="4" t="s">
        <v>22</v>
      </c>
      <c r="AN177" s="4" t="s">
        <v>22</v>
      </c>
      <c r="AO177" s="4" t="s">
        <v>22</v>
      </c>
      <c r="AP177" s="4" t="s">
        <v>22</v>
      </c>
      <c r="AQ177" s="4" t="s">
        <v>22</v>
      </c>
    </row>
    <row r="178" spans="29:43">
      <c r="AC178" s="18" t="s">
        <v>22</v>
      </c>
      <c r="AD178" s="18" t="s">
        <v>22</v>
      </c>
      <c r="AE178" s="18" t="s">
        <v>22</v>
      </c>
      <c r="AF178" s="18" t="s">
        <v>22</v>
      </c>
      <c r="AG178" s="18" t="s">
        <v>22</v>
      </c>
      <c r="AH178" s="18" t="s">
        <v>22</v>
      </c>
      <c r="AI178" s="4" t="s">
        <v>22</v>
      </c>
      <c r="AK178" s="4" t="s">
        <v>22</v>
      </c>
      <c r="AL178" s="4" t="s">
        <v>22</v>
      </c>
      <c r="AM178" s="4" t="s">
        <v>22</v>
      </c>
      <c r="AN178" s="4" t="s">
        <v>22</v>
      </c>
      <c r="AO178" s="4" t="s">
        <v>22</v>
      </c>
      <c r="AP178" s="4" t="s">
        <v>22</v>
      </c>
      <c r="AQ178" s="4" t="s">
        <v>22</v>
      </c>
    </row>
    <row r="179" spans="29:43">
      <c r="AC179" s="18" t="s">
        <v>22</v>
      </c>
      <c r="AD179" s="18" t="s">
        <v>22</v>
      </c>
      <c r="AE179" s="18" t="s">
        <v>22</v>
      </c>
      <c r="AF179" s="18" t="s">
        <v>22</v>
      </c>
      <c r="AG179" s="18" t="s">
        <v>22</v>
      </c>
      <c r="AH179" s="18" t="s">
        <v>22</v>
      </c>
      <c r="AI179" s="4" t="s">
        <v>22</v>
      </c>
      <c r="AK179" s="4" t="s">
        <v>22</v>
      </c>
      <c r="AL179" s="4" t="s">
        <v>22</v>
      </c>
      <c r="AM179" s="4" t="s">
        <v>22</v>
      </c>
      <c r="AN179" s="4" t="s">
        <v>22</v>
      </c>
      <c r="AO179" s="4" t="s">
        <v>22</v>
      </c>
      <c r="AP179" s="4" t="s">
        <v>22</v>
      </c>
      <c r="AQ179" s="4" t="s">
        <v>22</v>
      </c>
    </row>
    <row r="180" spans="29:43">
      <c r="AC180" s="18" t="s">
        <v>22</v>
      </c>
      <c r="AD180" s="18" t="s">
        <v>22</v>
      </c>
      <c r="AE180" s="18" t="s">
        <v>22</v>
      </c>
      <c r="AF180" s="18" t="s">
        <v>22</v>
      </c>
      <c r="AG180" s="18" t="s">
        <v>22</v>
      </c>
      <c r="AH180" s="18" t="s">
        <v>22</v>
      </c>
      <c r="AI180" s="4" t="s">
        <v>22</v>
      </c>
      <c r="AK180" s="4" t="s">
        <v>22</v>
      </c>
      <c r="AL180" s="4" t="s">
        <v>22</v>
      </c>
      <c r="AM180" s="4" t="s">
        <v>22</v>
      </c>
      <c r="AN180" s="4" t="s">
        <v>22</v>
      </c>
      <c r="AO180" s="4" t="s">
        <v>22</v>
      </c>
      <c r="AP180" s="4" t="s">
        <v>22</v>
      </c>
      <c r="AQ180" s="4" t="s">
        <v>22</v>
      </c>
    </row>
    <row r="181" spans="29:43">
      <c r="AC181" s="18" t="s">
        <v>22</v>
      </c>
      <c r="AD181" s="18" t="s">
        <v>22</v>
      </c>
      <c r="AE181" s="18" t="s">
        <v>22</v>
      </c>
      <c r="AF181" s="18" t="s">
        <v>22</v>
      </c>
      <c r="AG181" s="18" t="s">
        <v>22</v>
      </c>
      <c r="AH181" s="18" t="s">
        <v>22</v>
      </c>
      <c r="AI181" s="4" t="s">
        <v>22</v>
      </c>
      <c r="AK181" s="4" t="s">
        <v>22</v>
      </c>
      <c r="AL181" s="4" t="s">
        <v>22</v>
      </c>
      <c r="AM181" s="4" t="s">
        <v>22</v>
      </c>
      <c r="AN181" s="4" t="s">
        <v>22</v>
      </c>
      <c r="AO181" s="4" t="s">
        <v>22</v>
      </c>
      <c r="AP181" s="4" t="s">
        <v>22</v>
      </c>
      <c r="AQ181" s="4" t="s">
        <v>22</v>
      </c>
    </row>
    <row r="182" spans="29:43">
      <c r="AC182" s="18" t="s">
        <v>22</v>
      </c>
      <c r="AD182" s="18" t="s">
        <v>22</v>
      </c>
      <c r="AE182" s="18" t="s">
        <v>22</v>
      </c>
      <c r="AF182" s="18" t="s">
        <v>22</v>
      </c>
      <c r="AG182" s="18" t="s">
        <v>22</v>
      </c>
      <c r="AH182" s="18" t="s">
        <v>22</v>
      </c>
      <c r="AI182" s="4" t="s">
        <v>22</v>
      </c>
      <c r="AK182" s="4" t="s">
        <v>22</v>
      </c>
      <c r="AL182" s="4" t="s">
        <v>22</v>
      </c>
      <c r="AM182" s="4" t="s">
        <v>22</v>
      </c>
      <c r="AN182" s="4" t="s">
        <v>22</v>
      </c>
      <c r="AO182" s="4" t="s">
        <v>22</v>
      </c>
      <c r="AP182" s="4" t="s">
        <v>22</v>
      </c>
      <c r="AQ182" s="4" t="s">
        <v>22</v>
      </c>
    </row>
    <row r="183" spans="29:43">
      <c r="AC183" s="18" t="s">
        <v>22</v>
      </c>
      <c r="AD183" s="18" t="s">
        <v>22</v>
      </c>
      <c r="AE183" s="18" t="s">
        <v>22</v>
      </c>
      <c r="AF183" s="18" t="s">
        <v>22</v>
      </c>
      <c r="AG183" s="18" t="s">
        <v>22</v>
      </c>
      <c r="AH183" s="18" t="s">
        <v>22</v>
      </c>
      <c r="AI183" s="4" t="s">
        <v>22</v>
      </c>
      <c r="AK183" s="4" t="s">
        <v>22</v>
      </c>
      <c r="AL183" s="4" t="s">
        <v>22</v>
      </c>
      <c r="AM183" s="4" t="s">
        <v>22</v>
      </c>
      <c r="AN183" s="4" t="s">
        <v>22</v>
      </c>
      <c r="AO183" s="4" t="s">
        <v>22</v>
      </c>
      <c r="AP183" s="4" t="s">
        <v>22</v>
      </c>
      <c r="AQ183" s="4" t="s">
        <v>22</v>
      </c>
    </row>
    <row r="184" spans="29:43">
      <c r="AC184" s="18" t="s">
        <v>22</v>
      </c>
      <c r="AD184" s="18" t="s">
        <v>22</v>
      </c>
      <c r="AE184" s="18" t="s">
        <v>22</v>
      </c>
      <c r="AF184" s="18" t="s">
        <v>22</v>
      </c>
      <c r="AG184" s="18" t="s">
        <v>22</v>
      </c>
      <c r="AH184" s="18" t="s">
        <v>22</v>
      </c>
      <c r="AI184" s="4" t="s">
        <v>22</v>
      </c>
      <c r="AK184" s="4" t="s">
        <v>22</v>
      </c>
      <c r="AL184" s="4" t="s">
        <v>22</v>
      </c>
      <c r="AM184" s="4" t="s">
        <v>22</v>
      </c>
      <c r="AN184" s="4" t="s">
        <v>22</v>
      </c>
      <c r="AO184" s="4" t="s">
        <v>22</v>
      </c>
      <c r="AP184" s="4" t="s">
        <v>22</v>
      </c>
      <c r="AQ184" s="4" t="s">
        <v>22</v>
      </c>
    </row>
    <row r="185" spans="29:43">
      <c r="AC185" s="18" t="s">
        <v>22</v>
      </c>
      <c r="AD185" s="18" t="s">
        <v>22</v>
      </c>
      <c r="AE185" s="18" t="s">
        <v>22</v>
      </c>
      <c r="AF185" s="18" t="s">
        <v>22</v>
      </c>
      <c r="AG185" s="18" t="s">
        <v>22</v>
      </c>
      <c r="AH185" s="18" t="s">
        <v>22</v>
      </c>
      <c r="AI185" s="4" t="s">
        <v>22</v>
      </c>
      <c r="AK185" s="4" t="s">
        <v>22</v>
      </c>
      <c r="AL185" s="4" t="s">
        <v>22</v>
      </c>
      <c r="AM185" s="4" t="s">
        <v>22</v>
      </c>
      <c r="AN185" s="4" t="s">
        <v>22</v>
      </c>
      <c r="AO185" s="4" t="s">
        <v>22</v>
      </c>
      <c r="AP185" s="4" t="s">
        <v>22</v>
      </c>
      <c r="AQ185" s="4" t="s">
        <v>22</v>
      </c>
    </row>
    <row r="186" spans="29:43">
      <c r="AC186" s="18" t="s">
        <v>22</v>
      </c>
      <c r="AD186" s="18" t="s">
        <v>22</v>
      </c>
      <c r="AE186" s="18" t="s">
        <v>22</v>
      </c>
      <c r="AF186" s="18" t="s">
        <v>22</v>
      </c>
      <c r="AG186" s="18" t="s">
        <v>22</v>
      </c>
      <c r="AH186" s="18" t="s">
        <v>22</v>
      </c>
      <c r="AI186" s="4" t="s">
        <v>22</v>
      </c>
      <c r="AK186" s="4" t="s">
        <v>22</v>
      </c>
      <c r="AL186" s="4" t="s">
        <v>22</v>
      </c>
      <c r="AM186" s="4" t="s">
        <v>22</v>
      </c>
      <c r="AN186" s="4" t="s">
        <v>22</v>
      </c>
      <c r="AO186" s="4" t="s">
        <v>22</v>
      </c>
      <c r="AP186" s="4" t="s">
        <v>22</v>
      </c>
      <c r="AQ186" s="4" t="s">
        <v>22</v>
      </c>
    </row>
    <row r="187" spans="29:43">
      <c r="AC187" s="18" t="s">
        <v>22</v>
      </c>
      <c r="AD187" s="18" t="s">
        <v>22</v>
      </c>
      <c r="AE187" s="18" t="s">
        <v>22</v>
      </c>
      <c r="AF187" s="18" t="s">
        <v>22</v>
      </c>
      <c r="AG187" s="18" t="s">
        <v>22</v>
      </c>
      <c r="AH187" s="18" t="s">
        <v>22</v>
      </c>
      <c r="AI187" s="4" t="s">
        <v>22</v>
      </c>
      <c r="AK187" s="4" t="s">
        <v>22</v>
      </c>
      <c r="AL187" s="4" t="s">
        <v>22</v>
      </c>
      <c r="AM187" s="4" t="s">
        <v>22</v>
      </c>
      <c r="AN187" s="4" t="s">
        <v>22</v>
      </c>
      <c r="AO187" s="4" t="s">
        <v>22</v>
      </c>
      <c r="AP187" s="4" t="s">
        <v>22</v>
      </c>
      <c r="AQ187" s="4" t="s">
        <v>22</v>
      </c>
    </row>
    <row r="188" spans="29:43">
      <c r="AC188" s="18" t="s">
        <v>22</v>
      </c>
      <c r="AD188" s="18" t="s">
        <v>22</v>
      </c>
      <c r="AE188" s="18" t="s">
        <v>22</v>
      </c>
      <c r="AF188" s="18" t="s">
        <v>22</v>
      </c>
      <c r="AG188" s="18" t="s">
        <v>22</v>
      </c>
      <c r="AH188" s="18" t="s">
        <v>22</v>
      </c>
      <c r="AI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  <c r="AO188" s="4" t="s">
        <v>22</v>
      </c>
      <c r="AP188" s="4" t="s">
        <v>22</v>
      </c>
      <c r="AQ188" s="4" t="s">
        <v>22</v>
      </c>
    </row>
    <row r="189" spans="29:43">
      <c r="AC189" s="18" t="s">
        <v>22</v>
      </c>
      <c r="AD189" s="18" t="s">
        <v>22</v>
      </c>
      <c r="AE189" s="18" t="s">
        <v>22</v>
      </c>
      <c r="AF189" s="18" t="s">
        <v>22</v>
      </c>
      <c r="AG189" s="18" t="s">
        <v>22</v>
      </c>
      <c r="AH189" s="18" t="s">
        <v>22</v>
      </c>
      <c r="AI189" s="4" t="s">
        <v>22</v>
      </c>
      <c r="AK189" s="4" t="s">
        <v>22</v>
      </c>
      <c r="AL189" s="4" t="s">
        <v>22</v>
      </c>
      <c r="AM189" s="4" t="s">
        <v>22</v>
      </c>
      <c r="AN189" s="4" t="s">
        <v>22</v>
      </c>
      <c r="AO189" s="4" t="s">
        <v>22</v>
      </c>
      <c r="AP189" s="4" t="s">
        <v>22</v>
      </c>
      <c r="AQ189" s="4" t="s">
        <v>22</v>
      </c>
    </row>
    <row r="190" spans="29:43">
      <c r="AC190" s="18" t="s">
        <v>22</v>
      </c>
      <c r="AD190" s="18" t="s">
        <v>22</v>
      </c>
      <c r="AE190" s="18" t="s">
        <v>22</v>
      </c>
      <c r="AF190" s="18" t="s">
        <v>22</v>
      </c>
      <c r="AG190" s="18" t="s">
        <v>22</v>
      </c>
      <c r="AH190" s="18" t="s">
        <v>22</v>
      </c>
      <c r="AI190" s="4" t="s">
        <v>22</v>
      </c>
      <c r="AK190" s="4" t="s">
        <v>22</v>
      </c>
      <c r="AL190" s="4" t="s">
        <v>22</v>
      </c>
      <c r="AM190" s="4" t="s">
        <v>22</v>
      </c>
      <c r="AN190" s="4" t="s">
        <v>22</v>
      </c>
      <c r="AO190" s="4" t="s">
        <v>22</v>
      </c>
      <c r="AP190" s="4" t="s">
        <v>22</v>
      </c>
      <c r="AQ190" s="4" t="s">
        <v>22</v>
      </c>
    </row>
    <row r="191" spans="29:43">
      <c r="AC191" s="18" t="s">
        <v>22</v>
      </c>
      <c r="AD191" s="18" t="s">
        <v>22</v>
      </c>
      <c r="AE191" s="18" t="s">
        <v>22</v>
      </c>
      <c r="AF191" s="18" t="s">
        <v>22</v>
      </c>
      <c r="AG191" s="18" t="s">
        <v>22</v>
      </c>
      <c r="AH191" s="18" t="s">
        <v>22</v>
      </c>
      <c r="AI191" s="4" t="s">
        <v>22</v>
      </c>
      <c r="AK191" s="4" t="s">
        <v>22</v>
      </c>
      <c r="AL191" s="4" t="s">
        <v>22</v>
      </c>
      <c r="AM191" s="4" t="s">
        <v>22</v>
      </c>
      <c r="AN191" s="4" t="s">
        <v>22</v>
      </c>
      <c r="AO191" s="4" t="s">
        <v>22</v>
      </c>
      <c r="AP191" s="4" t="s">
        <v>22</v>
      </c>
      <c r="AQ191" s="4" t="s">
        <v>22</v>
      </c>
    </row>
    <row r="192" spans="29:43">
      <c r="AC192" s="18" t="s">
        <v>22</v>
      </c>
      <c r="AD192" s="18" t="s">
        <v>22</v>
      </c>
      <c r="AE192" s="18" t="s">
        <v>22</v>
      </c>
      <c r="AF192" s="18" t="s">
        <v>22</v>
      </c>
      <c r="AG192" s="18" t="s">
        <v>22</v>
      </c>
      <c r="AH192" s="18" t="s">
        <v>22</v>
      </c>
      <c r="AI192" s="4" t="s">
        <v>22</v>
      </c>
      <c r="AK192" s="4" t="s">
        <v>22</v>
      </c>
      <c r="AL192" s="4" t="s">
        <v>22</v>
      </c>
      <c r="AM192" s="4" t="s">
        <v>22</v>
      </c>
      <c r="AN192" s="4" t="s">
        <v>22</v>
      </c>
      <c r="AO192" s="4" t="s">
        <v>22</v>
      </c>
      <c r="AP192" s="4" t="s">
        <v>22</v>
      </c>
      <c r="AQ192" s="4" t="s">
        <v>22</v>
      </c>
    </row>
    <row r="193" spans="29:43">
      <c r="AC193" s="18" t="s">
        <v>22</v>
      </c>
      <c r="AD193" s="18" t="s">
        <v>22</v>
      </c>
      <c r="AE193" s="18" t="s">
        <v>22</v>
      </c>
      <c r="AF193" s="18" t="s">
        <v>22</v>
      </c>
      <c r="AG193" s="18" t="s">
        <v>22</v>
      </c>
      <c r="AH193" s="18" t="s">
        <v>22</v>
      </c>
      <c r="AI193" s="4" t="s">
        <v>22</v>
      </c>
      <c r="AK193" s="4" t="s">
        <v>22</v>
      </c>
      <c r="AL193" s="4" t="s">
        <v>22</v>
      </c>
      <c r="AM193" s="4" t="s">
        <v>22</v>
      </c>
      <c r="AN193" s="4" t="s">
        <v>22</v>
      </c>
      <c r="AO193" s="4" t="s">
        <v>22</v>
      </c>
      <c r="AP193" s="4" t="s">
        <v>22</v>
      </c>
      <c r="AQ193" s="4" t="s">
        <v>22</v>
      </c>
    </row>
    <row r="194" spans="29:43">
      <c r="AC194" s="18" t="s">
        <v>22</v>
      </c>
      <c r="AD194" s="18" t="s">
        <v>22</v>
      </c>
      <c r="AE194" s="18" t="s">
        <v>22</v>
      </c>
      <c r="AF194" s="18" t="s">
        <v>22</v>
      </c>
      <c r="AG194" s="18" t="s">
        <v>22</v>
      </c>
      <c r="AH194" s="18" t="s">
        <v>22</v>
      </c>
      <c r="AI194" s="4" t="s">
        <v>22</v>
      </c>
      <c r="AK194" s="4" t="s">
        <v>22</v>
      </c>
      <c r="AL194" s="4" t="s">
        <v>22</v>
      </c>
      <c r="AM194" s="4" t="s">
        <v>22</v>
      </c>
      <c r="AN194" s="4" t="s">
        <v>22</v>
      </c>
      <c r="AO194" s="4" t="s">
        <v>22</v>
      </c>
      <c r="AP194" s="4" t="s">
        <v>22</v>
      </c>
      <c r="AQ194" s="4" t="s">
        <v>22</v>
      </c>
    </row>
    <row r="195" spans="29:43">
      <c r="AC195" s="18" t="s">
        <v>22</v>
      </c>
      <c r="AD195" s="18" t="s">
        <v>22</v>
      </c>
      <c r="AE195" s="18" t="s">
        <v>22</v>
      </c>
      <c r="AF195" s="18" t="s">
        <v>22</v>
      </c>
      <c r="AG195" s="18" t="s">
        <v>22</v>
      </c>
      <c r="AH195" s="18" t="s">
        <v>22</v>
      </c>
      <c r="AI195" s="4" t="s">
        <v>22</v>
      </c>
      <c r="AK195" s="4" t="s">
        <v>22</v>
      </c>
      <c r="AL195" s="4" t="s">
        <v>22</v>
      </c>
      <c r="AM195" s="4" t="s">
        <v>22</v>
      </c>
      <c r="AN195" s="4" t="s">
        <v>22</v>
      </c>
      <c r="AO195" s="4" t="s">
        <v>22</v>
      </c>
      <c r="AP195" s="4" t="s">
        <v>22</v>
      </c>
      <c r="AQ195" s="4" t="s">
        <v>22</v>
      </c>
    </row>
    <row r="196" spans="29:43">
      <c r="AC196" s="18" t="s">
        <v>22</v>
      </c>
      <c r="AD196" s="18" t="s">
        <v>22</v>
      </c>
      <c r="AE196" s="18" t="s">
        <v>22</v>
      </c>
      <c r="AF196" s="18" t="s">
        <v>22</v>
      </c>
      <c r="AG196" s="18" t="s">
        <v>22</v>
      </c>
      <c r="AH196" s="18" t="s">
        <v>22</v>
      </c>
      <c r="AI196" s="4" t="s">
        <v>22</v>
      </c>
      <c r="AK196" s="4" t="s">
        <v>22</v>
      </c>
      <c r="AL196" s="4" t="s">
        <v>22</v>
      </c>
      <c r="AM196" s="4" t="s">
        <v>22</v>
      </c>
      <c r="AN196" s="4" t="s">
        <v>22</v>
      </c>
      <c r="AO196" s="4" t="s">
        <v>22</v>
      </c>
      <c r="AP196" s="4" t="s">
        <v>22</v>
      </c>
      <c r="AQ196" s="4" t="s">
        <v>22</v>
      </c>
    </row>
    <row r="197" spans="29:43">
      <c r="AC197" s="18" t="s">
        <v>22</v>
      </c>
      <c r="AD197" s="18" t="s">
        <v>22</v>
      </c>
      <c r="AE197" s="18" t="s">
        <v>22</v>
      </c>
      <c r="AF197" s="18" t="s">
        <v>22</v>
      </c>
      <c r="AG197" s="18" t="s">
        <v>22</v>
      </c>
      <c r="AH197" s="18" t="s">
        <v>22</v>
      </c>
      <c r="AI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  <c r="AO197" s="4" t="s">
        <v>22</v>
      </c>
      <c r="AP197" s="4" t="s">
        <v>22</v>
      </c>
      <c r="AQ197" s="4" t="s">
        <v>22</v>
      </c>
    </row>
    <row r="198" spans="29:43">
      <c r="AC198" s="4" t="s">
        <v>22</v>
      </c>
      <c r="AD198" s="4" t="s">
        <v>22</v>
      </c>
      <c r="AE198" s="4" t="s">
        <v>22</v>
      </c>
      <c r="AF198" s="4" t="s">
        <v>22</v>
      </c>
      <c r="AG198" s="4" t="s">
        <v>22</v>
      </c>
      <c r="AH198" s="4" t="s">
        <v>22</v>
      </c>
      <c r="AI198" s="4" t="s">
        <v>22</v>
      </c>
      <c r="AK198" s="4" t="s">
        <v>22</v>
      </c>
      <c r="AL198" s="4" t="s">
        <v>22</v>
      </c>
      <c r="AM198" s="4" t="s">
        <v>22</v>
      </c>
      <c r="AN198" s="4" t="s">
        <v>22</v>
      </c>
      <c r="AO198" s="4" t="s">
        <v>22</v>
      </c>
      <c r="AP198" s="4" t="s">
        <v>22</v>
      </c>
      <c r="AQ198" s="4" t="s">
        <v>22</v>
      </c>
    </row>
    <row r="199" spans="29:43">
      <c r="AC199" s="4" t="s">
        <v>22</v>
      </c>
      <c r="AD199" s="4" t="s">
        <v>22</v>
      </c>
      <c r="AE199" s="4" t="s">
        <v>22</v>
      </c>
      <c r="AF199" s="4" t="s">
        <v>22</v>
      </c>
      <c r="AG199" s="4" t="s">
        <v>22</v>
      </c>
      <c r="AH199" s="4" t="s">
        <v>22</v>
      </c>
      <c r="AI199" s="4" t="s">
        <v>22</v>
      </c>
      <c r="AK199" s="4" t="s">
        <v>22</v>
      </c>
      <c r="AL199" s="4" t="s">
        <v>22</v>
      </c>
      <c r="AM199" s="4" t="s">
        <v>22</v>
      </c>
      <c r="AN199" s="4" t="s">
        <v>22</v>
      </c>
      <c r="AO199" s="4" t="s">
        <v>22</v>
      </c>
      <c r="AP199" s="4" t="s">
        <v>22</v>
      </c>
      <c r="AQ199" s="4" t="s">
        <v>22</v>
      </c>
    </row>
    <row r="200" spans="29:43"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  <c r="AQ200" s="4" t="s">
        <v>22</v>
      </c>
    </row>
    <row r="201" spans="29:43"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  <c r="AO201" s="4" t="s">
        <v>22</v>
      </c>
      <c r="AP201" s="4" t="s">
        <v>22</v>
      </c>
      <c r="AQ201" s="4" t="s">
        <v>22</v>
      </c>
    </row>
    <row r="202" spans="29:43"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  <c r="AH202" s="4" t="s">
        <v>22</v>
      </c>
      <c r="AI202" s="4" t="s">
        <v>22</v>
      </c>
      <c r="AK202" s="4" t="s">
        <v>22</v>
      </c>
      <c r="AL202" s="4" t="s">
        <v>22</v>
      </c>
      <c r="AM202" s="4" t="s">
        <v>22</v>
      </c>
      <c r="AN202" s="4" t="s">
        <v>22</v>
      </c>
      <c r="AO202" s="4" t="s">
        <v>22</v>
      </c>
      <c r="AP202" s="4" t="s">
        <v>22</v>
      </c>
      <c r="AQ202" s="4" t="s">
        <v>22</v>
      </c>
    </row>
    <row r="203" spans="29:43">
      <c r="AC203" s="4" t="s">
        <v>22</v>
      </c>
      <c r="AD203" s="4" t="s">
        <v>22</v>
      </c>
      <c r="AE203" s="4" t="s">
        <v>22</v>
      </c>
      <c r="AF203" s="4" t="s">
        <v>22</v>
      </c>
      <c r="AG203" s="4" t="s">
        <v>22</v>
      </c>
      <c r="AH203" s="4" t="s">
        <v>22</v>
      </c>
      <c r="AI203" s="4" t="s">
        <v>22</v>
      </c>
      <c r="AK203" s="4" t="s">
        <v>22</v>
      </c>
      <c r="AL203" s="4" t="s">
        <v>22</v>
      </c>
      <c r="AM203" s="4" t="s">
        <v>22</v>
      </c>
      <c r="AN203" s="4" t="s">
        <v>22</v>
      </c>
      <c r="AO203" s="4" t="s">
        <v>22</v>
      </c>
      <c r="AP203" s="4" t="s">
        <v>22</v>
      </c>
      <c r="AQ203" s="4" t="s">
        <v>22</v>
      </c>
    </row>
    <row r="204" spans="29:43"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  <c r="AH204" s="4" t="s">
        <v>22</v>
      </c>
      <c r="AI204" s="4" t="s">
        <v>22</v>
      </c>
      <c r="AK204" s="4" t="s">
        <v>22</v>
      </c>
      <c r="AL204" s="4" t="s">
        <v>22</v>
      </c>
      <c r="AM204" s="4" t="s">
        <v>22</v>
      </c>
      <c r="AN204" s="4" t="s">
        <v>22</v>
      </c>
      <c r="AO204" s="4" t="s">
        <v>22</v>
      </c>
      <c r="AP204" s="4" t="s">
        <v>22</v>
      </c>
      <c r="AQ204" s="4" t="s">
        <v>22</v>
      </c>
    </row>
    <row r="205" spans="29:43"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  <c r="AH205" s="4" t="s">
        <v>22</v>
      </c>
      <c r="AI205" s="4" t="s">
        <v>22</v>
      </c>
      <c r="AK205" s="4" t="s">
        <v>22</v>
      </c>
      <c r="AL205" s="4" t="s">
        <v>22</v>
      </c>
      <c r="AM205" s="4" t="s">
        <v>22</v>
      </c>
      <c r="AN205" s="4" t="s">
        <v>22</v>
      </c>
      <c r="AO205" s="4" t="s">
        <v>22</v>
      </c>
      <c r="AP205" s="4" t="s">
        <v>22</v>
      </c>
      <c r="AQ205" s="4" t="s">
        <v>22</v>
      </c>
    </row>
    <row r="206" spans="29:43">
      <c r="AC206" s="4" t="s">
        <v>22</v>
      </c>
      <c r="AD206" s="4" t="s">
        <v>22</v>
      </c>
      <c r="AE206" s="4" t="s">
        <v>22</v>
      </c>
      <c r="AF206" s="4" t="s">
        <v>22</v>
      </c>
      <c r="AG206" s="4" t="s">
        <v>22</v>
      </c>
      <c r="AH206" s="4" t="s">
        <v>22</v>
      </c>
      <c r="AI206" s="4" t="s">
        <v>22</v>
      </c>
      <c r="AK206" s="4" t="s">
        <v>22</v>
      </c>
      <c r="AL206" s="4" t="s">
        <v>22</v>
      </c>
      <c r="AM206" s="4" t="s">
        <v>22</v>
      </c>
      <c r="AN206" s="4" t="s">
        <v>22</v>
      </c>
      <c r="AO206" s="4" t="s">
        <v>22</v>
      </c>
      <c r="AP206" s="4" t="s">
        <v>22</v>
      </c>
      <c r="AQ206" s="4" t="s">
        <v>22</v>
      </c>
    </row>
    <row r="207" spans="29:43">
      <c r="AC207" s="4" t="s">
        <v>22</v>
      </c>
      <c r="AD207" s="4" t="s">
        <v>22</v>
      </c>
      <c r="AE207" s="4" t="s">
        <v>22</v>
      </c>
      <c r="AF207" s="4" t="s">
        <v>22</v>
      </c>
      <c r="AG207" s="4" t="s">
        <v>22</v>
      </c>
      <c r="AH207" s="4" t="s">
        <v>22</v>
      </c>
      <c r="AI207" s="4" t="s">
        <v>22</v>
      </c>
      <c r="AK207" s="4" t="s">
        <v>22</v>
      </c>
      <c r="AL207" s="4" t="s">
        <v>22</v>
      </c>
      <c r="AM207" s="4" t="s">
        <v>22</v>
      </c>
      <c r="AN207" s="4" t="s">
        <v>22</v>
      </c>
      <c r="AO207" s="4" t="s">
        <v>22</v>
      </c>
      <c r="AP207" s="4" t="s">
        <v>22</v>
      </c>
      <c r="AQ207" s="4" t="s">
        <v>22</v>
      </c>
    </row>
    <row r="208" spans="29:43">
      <c r="AC208" s="4" t="s">
        <v>22</v>
      </c>
      <c r="AD208" s="4" t="s">
        <v>22</v>
      </c>
      <c r="AE208" s="4" t="s">
        <v>22</v>
      </c>
      <c r="AF208" s="4" t="s">
        <v>22</v>
      </c>
      <c r="AG208" s="4" t="s">
        <v>22</v>
      </c>
      <c r="AH208" s="4" t="s">
        <v>22</v>
      </c>
      <c r="AI208" s="4" t="s">
        <v>22</v>
      </c>
      <c r="AK208" s="4" t="s">
        <v>22</v>
      </c>
      <c r="AL208" s="4" t="s">
        <v>22</v>
      </c>
      <c r="AM208" s="4" t="s">
        <v>22</v>
      </c>
      <c r="AN208" s="4" t="s">
        <v>22</v>
      </c>
      <c r="AO208" s="4" t="s">
        <v>22</v>
      </c>
      <c r="AP208" s="4" t="s">
        <v>22</v>
      </c>
      <c r="AQ208" s="4" t="s">
        <v>22</v>
      </c>
    </row>
    <row r="209" spans="29:43"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  <c r="AH209" s="4" t="s">
        <v>22</v>
      </c>
      <c r="AI209" s="4" t="s">
        <v>22</v>
      </c>
      <c r="AK209" s="4" t="s">
        <v>22</v>
      </c>
      <c r="AL209" s="4" t="s">
        <v>22</v>
      </c>
      <c r="AM209" s="4" t="s">
        <v>22</v>
      </c>
      <c r="AN209" s="4" t="s">
        <v>22</v>
      </c>
      <c r="AO209" s="4" t="s">
        <v>22</v>
      </c>
      <c r="AP209" s="4" t="s">
        <v>22</v>
      </c>
      <c r="AQ209" s="4" t="s">
        <v>22</v>
      </c>
    </row>
    <row r="210" spans="29:43">
      <c r="AC210" s="4" t="s">
        <v>22</v>
      </c>
      <c r="AD210" s="4" t="s">
        <v>22</v>
      </c>
      <c r="AE210" s="4" t="s">
        <v>22</v>
      </c>
      <c r="AF210" s="4" t="s">
        <v>22</v>
      </c>
      <c r="AG210" s="4" t="s">
        <v>22</v>
      </c>
      <c r="AH210" s="4" t="s">
        <v>22</v>
      </c>
      <c r="AI210" s="4" t="s">
        <v>22</v>
      </c>
      <c r="AK210" s="4" t="s">
        <v>22</v>
      </c>
      <c r="AL210" s="4" t="s">
        <v>22</v>
      </c>
      <c r="AM210" s="4" t="s">
        <v>22</v>
      </c>
      <c r="AN210" s="4" t="s">
        <v>22</v>
      </c>
      <c r="AO210" s="4" t="s">
        <v>22</v>
      </c>
      <c r="AP210" s="4" t="s">
        <v>22</v>
      </c>
      <c r="AQ210" s="4" t="s">
        <v>22</v>
      </c>
    </row>
    <row r="211" spans="29:43">
      <c r="AC211" s="4" t="s">
        <v>22</v>
      </c>
      <c r="AD211" s="4" t="s">
        <v>22</v>
      </c>
      <c r="AE211" s="4" t="s">
        <v>22</v>
      </c>
      <c r="AF211" s="4" t="s">
        <v>22</v>
      </c>
      <c r="AG211" s="4" t="s">
        <v>22</v>
      </c>
      <c r="AH211" s="4" t="s">
        <v>22</v>
      </c>
      <c r="AI211" s="4" t="s">
        <v>22</v>
      </c>
      <c r="AK211" s="4" t="s">
        <v>22</v>
      </c>
      <c r="AL211" s="4" t="s">
        <v>22</v>
      </c>
      <c r="AM211" s="4" t="s">
        <v>22</v>
      </c>
      <c r="AN211" s="4" t="s">
        <v>22</v>
      </c>
      <c r="AO211" s="4" t="s">
        <v>22</v>
      </c>
      <c r="AP211" s="4" t="s">
        <v>22</v>
      </c>
      <c r="AQ211" s="4" t="s">
        <v>22</v>
      </c>
    </row>
    <row r="212" spans="29:43">
      <c r="AC212" s="4" t="s">
        <v>22</v>
      </c>
      <c r="AD212" s="4" t="s">
        <v>22</v>
      </c>
      <c r="AE212" s="4" t="s">
        <v>22</v>
      </c>
      <c r="AF212" s="4" t="s">
        <v>22</v>
      </c>
      <c r="AG212" s="4" t="s">
        <v>22</v>
      </c>
      <c r="AH212" s="4" t="s">
        <v>22</v>
      </c>
      <c r="AI212" s="4" t="s">
        <v>22</v>
      </c>
      <c r="AK212" s="4" t="s">
        <v>22</v>
      </c>
      <c r="AL212" s="4" t="s">
        <v>22</v>
      </c>
      <c r="AM212" s="4" t="s">
        <v>22</v>
      </c>
      <c r="AN212" s="4" t="s">
        <v>22</v>
      </c>
      <c r="AO212" s="4" t="s">
        <v>22</v>
      </c>
      <c r="AP212" s="4" t="s">
        <v>22</v>
      </c>
      <c r="AQ212" s="4" t="s">
        <v>22</v>
      </c>
    </row>
    <row r="213" spans="29:43"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  <c r="AH213" s="4" t="s">
        <v>22</v>
      </c>
      <c r="AI213" s="4" t="s">
        <v>22</v>
      </c>
      <c r="AK213" s="4" t="s">
        <v>22</v>
      </c>
      <c r="AL213" s="4" t="s">
        <v>22</v>
      </c>
      <c r="AM213" s="4" t="s">
        <v>22</v>
      </c>
      <c r="AN213" s="4" t="s">
        <v>22</v>
      </c>
      <c r="AO213" s="4" t="s">
        <v>22</v>
      </c>
      <c r="AP213" s="4" t="s">
        <v>22</v>
      </c>
      <c r="AQ213" s="4" t="s">
        <v>22</v>
      </c>
    </row>
    <row r="214" spans="29:43"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  <c r="AH214" s="4" t="s">
        <v>22</v>
      </c>
      <c r="AI214" s="4" t="s">
        <v>22</v>
      </c>
      <c r="AK214" s="4" t="s">
        <v>22</v>
      </c>
      <c r="AL214" s="4" t="s">
        <v>22</v>
      </c>
      <c r="AM214" s="4" t="s">
        <v>22</v>
      </c>
      <c r="AN214" s="4" t="s">
        <v>22</v>
      </c>
      <c r="AO214" s="4" t="s">
        <v>22</v>
      </c>
      <c r="AP214" s="4" t="s">
        <v>22</v>
      </c>
      <c r="AQ214" s="4" t="s">
        <v>22</v>
      </c>
    </row>
    <row r="215" spans="29:43"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  <c r="AH215" s="4" t="s">
        <v>22</v>
      </c>
      <c r="AI215" s="4" t="s">
        <v>22</v>
      </c>
      <c r="AK215" s="4" t="s">
        <v>22</v>
      </c>
      <c r="AL215" s="4" t="s">
        <v>22</v>
      </c>
      <c r="AM215" s="4" t="s">
        <v>22</v>
      </c>
      <c r="AN215" s="4" t="s">
        <v>22</v>
      </c>
      <c r="AO215" s="4" t="s">
        <v>22</v>
      </c>
      <c r="AP215" s="4" t="s">
        <v>22</v>
      </c>
      <c r="AQ215" s="4" t="s">
        <v>22</v>
      </c>
    </row>
    <row r="216" spans="29:43"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  <c r="AH216" s="4" t="s">
        <v>22</v>
      </c>
      <c r="AI216" s="4" t="s">
        <v>22</v>
      </c>
      <c r="AK216" s="4" t="s">
        <v>22</v>
      </c>
      <c r="AL216" s="4" t="s">
        <v>22</v>
      </c>
      <c r="AM216" s="4" t="s">
        <v>22</v>
      </c>
      <c r="AN216" s="4" t="s">
        <v>22</v>
      </c>
      <c r="AO216" s="4" t="s">
        <v>22</v>
      </c>
      <c r="AP216" s="4" t="s">
        <v>22</v>
      </c>
      <c r="AQ216" s="4" t="s">
        <v>22</v>
      </c>
    </row>
    <row r="217" spans="29:43"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  <c r="AH217" s="4" t="s">
        <v>22</v>
      </c>
      <c r="AI217" s="4" t="s">
        <v>22</v>
      </c>
      <c r="AK217" s="4" t="s">
        <v>22</v>
      </c>
      <c r="AL217" s="4" t="s">
        <v>22</v>
      </c>
      <c r="AM217" s="4" t="s">
        <v>22</v>
      </c>
      <c r="AN217" s="4" t="s">
        <v>22</v>
      </c>
      <c r="AO217" s="4" t="s">
        <v>22</v>
      </c>
      <c r="AP217" s="4" t="s">
        <v>22</v>
      </c>
      <c r="AQ217" s="4" t="s">
        <v>22</v>
      </c>
    </row>
    <row r="218" spans="29:43"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  <c r="AQ218" s="4" t="s">
        <v>22</v>
      </c>
    </row>
    <row r="219" spans="29:43">
      <c r="AC219" s="4" t="s">
        <v>22</v>
      </c>
      <c r="AD219" s="4" t="s">
        <v>22</v>
      </c>
      <c r="AE219" s="4" t="s">
        <v>22</v>
      </c>
      <c r="AF219" s="4" t="s">
        <v>22</v>
      </c>
      <c r="AG219" s="4" t="s">
        <v>22</v>
      </c>
      <c r="AH219" s="4" t="s">
        <v>22</v>
      </c>
      <c r="AI219" s="4" t="s">
        <v>22</v>
      </c>
      <c r="AK219" s="4" t="s">
        <v>22</v>
      </c>
      <c r="AL219" s="4" t="s">
        <v>22</v>
      </c>
      <c r="AM219" s="4" t="s">
        <v>22</v>
      </c>
      <c r="AN219" s="4" t="s">
        <v>22</v>
      </c>
      <c r="AO219" s="4" t="s">
        <v>22</v>
      </c>
      <c r="AP219" s="4" t="s">
        <v>22</v>
      </c>
      <c r="AQ219" s="4" t="s">
        <v>22</v>
      </c>
    </row>
    <row r="220" spans="29:43">
      <c r="AC220" s="4" t="s">
        <v>22</v>
      </c>
      <c r="AD220" s="4" t="s">
        <v>22</v>
      </c>
      <c r="AE220" s="4" t="s">
        <v>22</v>
      </c>
      <c r="AF220" s="4" t="s">
        <v>22</v>
      </c>
      <c r="AG220" s="4" t="s">
        <v>22</v>
      </c>
      <c r="AH220" s="4" t="s">
        <v>22</v>
      </c>
      <c r="AI220" s="4" t="s">
        <v>22</v>
      </c>
      <c r="AK220" s="4" t="s">
        <v>22</v>
      </c>
      <c r="AL220" s="4" t="s">
        <v>22</v>
      </c>
      <c r="AM220" s="4" t="s">
        <v>22</v>
      </c>
      <c r="AN220" s="4" t="s">
        <v>22</v>
      </c>
      <c r="AO220" s="4" t="s">
        <v>22</v>
      </c>
      <c r="AP220" s="4" t="s">
        <v>22</v>
      </c>
      <c r="AQ220" s="4" t="s">
        <v>22</v>
      </c>
    </row>
    <row r="221" spans="29:43"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  <c r="AH221" s="4" t="s">
        <v>22</v>
      </c>
      <c r="AI221" s="4" t="s">
        <v>22</v>
      </c>
      <c r="AK221" s="4" t="s">
        <v>22</v>
      </c>
      <c r="AL221" s="4" t="s">
        <v>22</v>
      </c>
      <c r="AM221" s="4" t="s">
        <v>22</v>
      </c>
      <c r="AN221" s="4" t="s">
        <v>22</v>
      </c>
      <c r="AO221" s="4" t="s">
        <v>22</v>
      </c>
      <c r="AP221" s="4" t="s">
        <v>22</v>
      </c>
      <c r="AQ221" s="4" t="s">
        <v>22</v>
      </c>
    </row>
    <row r="222" spans="29:43">
      <c r="AC222" s="4" t="s">
        <v>22</v>
      </c>
      <c r="AD222" s="4" t="s">
        <v>22</v>
      </c>
      <c r="AE222" s="4" t="s">
        <v>22</v>
      </c>
      <c r="AF222" s="4" t="s">
        <v>22</v>
      </c>
      <c r="AG222" s="4" t="s">
        <v>22</v>
      </c>
      <c r="AH222" s="4" t="s">
        <v>22</v>
      </c>
      <c r="AI222" s="4" t="s">
        <v>22</v>
      </c>
      <c r="AK222" s="4" t="s">
        <v>22</v>
      </c>
      <c r="AL222" s="4" t="s">
        <v>22</v>
      </c>
      <c r="AM222" s="4" t="s">
        <v>22</v>
      </c>
      <c r="AN222" s="4" t="s">
        <v>22</v>
      </c>
      <c r="AO222" s="4" t="s">
        <v>22</v>
      </c>
      <c r="AP222" s="4" t="s">
        <v>22</v>
      </c>
      <c r="AQ222" s="4" t="s">
        <v>22</v>
      </c>
    </row>
    <row r="223" spans="29:43"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  <c r="AQ223" s="4" t="s">
        <v>22</v>
      </c>
    </row>
    <row r="224" spans="29:43">
      <c r="AC224" s="4" t="s">
        <v>22</v>
      </c>
      <c r="AD224" s="4" t="s">
        <v>22</v>
      </c>
      <c r="AE224" s="4" t="s">
        <v>22</v>
      </c>
      <c r="AF224" s="4" t="s">
        <v>22</v>
      </c>
      <c r="AG224" s="4" t="s">
        <v>22</v>
      </c>
      <c r="AH224" s="4" t="s">
        <v>22</v>
      </c>
      <c r="AI224" s="4" t="s">
        <v>22</v>
      </c>
      <c r="AK224" s="4" t="s">
        <v>22</v>
      </c>
      <c r="AL224" s="4" t="s">
        <v>22</v>
      </c>
      <c r="AM224" s="4" t="s">
        <v>22</v>
      </c>
      <c r="AN224" s="4" t="s">
        <v>22</v>
      </c>
      <c r="AO224" s="4" t="s">
        <v>22</v>
      </c>
      <c r="AP224" s="4" t="s">
        <v>22</v>
      </c>
      <c r="AQ224" s="4" t="s">
        <v>22</v>
      </c>
    </row>
    <row r="225" spans="29:43"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  <c r="AQ225" s="4" t="s">
        <v>22</v>
      </c>
    </row>
    <row r="226" spans="29:43">
      <c r="AC226" s="4" t="s">
        <v>22</v>
      </c>
      <c r="AD226" s="4" t="s">
        <v>22</v>
      </c>
      <c r="AE226" s="4" t="s">
        <v>22</v>
      </c>
      <c r="AF226" s="4" t="s">
        <v>22</v>
      </c>
      <c r="AG226" s="4" t="s">
        <v>22</v>
      </c>
      <c r="AH226" s="4" t="s">
        <v>22</v>
      </c>
      <c r="AI226" s="4" t="s">
        <v>22</v>
      </c>
      <c r="AK226" s="4" t="s">
        <v>22</v>
      </c>
      <c r="AL226" s="4" t="s">
        <v>22</v>
      </c>
      <c r="AM226" s="4" t="s">
        <v>22</v>
      </c>
      <c r="AN226" s="4" t="s">
        <v>22</v>
      </c>
      <c r="AO226" s="4" t="s">
        <v>22</v>
      </c>
      <c r="AP226" s="4" t="s">
        <v>22</v>
      </c>
      <c r="AQ226" s="4" t="s">
        <v>22</v>
      </c>
    </row>
    <row r="227" spans="29:43"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  <c r="AH227" s="4" t="s">
        <v>22</v>
      </c>
      <c r="AI227" s="4" t="s">
        <v>22</v>
      </c>
      <c r="AK227" s="4" t="s">
        <v>22</v>
      </c>
      <c r="AL227" s="4" t="s">
        <v>22</v>
      </c>
      <c r="AM227" s="4" t="s">
        <v>22</v>
      </c>
      <c r="AN227" s="4" t="s">
        <v>22</v>
      </c>
      <c r="AO227" s="4" t="s">
        <v>22</v>
      </c>
      <c r="AP227" s="4" t="s">
        <v>22</v>
      </c>
      <c r="AQ227" s="4" t="s">
        <v>22</v>
      </c>
    </row>
    <row r="228" spans="29:43"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  <c r="AH228" s="4" t="s">
        <v>22</v>
      </c>
      <c r="AI228" s="4" t="s">
        <v>22</v>
      </c>
      <c r="AK228" s="4" t="s">
        <v>22</v>
      </c>
      <c r="AL228" s="4" t="s">
        <v>22</v>
      </c>
      <c r="AM228" s="4" t="s">
        <v>22</v>
      </c>
      <c r="AN228" s="4" t="s">
        <v>22</v>
      </c>
      <c r="AO228" s="4" t="s">
        <v>22</v>
      </c>
      <c r="AP228" s="4" t="s">
        <v>22</v>
      </c>
      <c r="AQ228" s="4" t="s">
        <v>22</v>
      </c>
    </row>
    <row r="229" spans="29:43"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  <c r="AH229" s="4" t="s">
        <v>22</v>
      </c>
      <c r="AI229" s="4" t="s">
        <v>22</v>
      </c>
      <c r="AK229" s="4" t="s">
        <v>22</v>
      </c>
      <c r="AL229" s="4" t="s">
        <v>22</v>
      </c>
      <c r="AM229" s="4" t="s">
        <v>22</v>
      </c>
      <c r="AN229" s="4" t="s">
        <v>22</v>
      </c>
      <c r="AO229" s="4" t="s">
        <v>22</v>
      </c>
      <c r="AP229" s="4" t="s">
        <v>22</v>
      </c>
      <c r="AQ229" s="4" t="s">
        <v>22</v>
      </c>
    </row>
    <row r="230" spans="29:43"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  <c r="AQ230" s="4" t="s">
        <v>22</v>
      </c>
    </row>
    <row r="231" spans="29:43">
      <c r="AC231" s="4" t="s">
        <v>22</v>
      </c>
      <c r="AD231" s="4" t="s">
        <v>22</v>
      </c>
      <c r="AE231" s="4" t="s">
        <v>22</v>
      </c>
      <c r="AF231" s="4" t="s">
        <v>22</v>
      </c>
      <c r="AG231" s="4" t="s">
        <v>22</v>
      </c>
      <c r="AH231" s="4" t="s">
        <v>22</v>
      </c>
      <c r="AI231" s="4" t="s">
        <v>22</v>
      </c>
      <c r="AK231" s="4" t="s">
        <v>22</v>
      </c>
      <c r="AL231" s="4" t="s">
        <v>22</v>
      </c>
      <c r="AM231" s="4" t="s">
        <v>22</v>
      </c>
      <c r="AN231" s="4" t="s">
        <v>22</v>
      </c>
      <c r="AO231" s="4" t="s">
        <v>22</v>
      </c>
      <c r="AP231" s="4" t="s">
        <v>22</v>
      </c>
      <c r="AQ231" s="4" t="s">
        <v>22</v>
      </c>
    </row>
    <row r="232" spans="29:43"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  <c r="AH232" s="4" t="s">
        <v>22</v>
      </c>
      <c r="AI232" s="4" t="s">
        <v>22</v>
      </c>
      <c r="AK232" s="4" t="s">
        <v>22</v>
      </c>
      <c r="AL232" s="4" t="s">
        <v>22</v>
      </c>
      <c r="AM232" s="4" t="s">
        <v>22</v>
      </c>
      <c r="AN232" s="4" t="s">
        <v>22</v>
      </c>
      <c r="AO232" s="4" t="s">
        <v>22</v>
      </c>
      <c r="AP232" s="4" t="s">
        <v>22</v>
      </c>
      <c r="AQ232" s="4" t="s">
        <v>22</v>
      </c>
    </row>
    <row r="233" spans="29:43"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  <c r="AH233" s="4" t="s">
        <v>22</v>
      </c>
      <c r="AI233" s="4" t="s">
        <v>22</v>
      </c>
      <c r="AK233" s="4" t="s">
        <v>22</v>
      </c>
      <c r="AL233" s="4" t="s">
        <v>22</v>
      </c>
      <c r="AM233" s="4" t="s">
        <v>22</v>
      </c>
      <c r="AN233" s="4" t="s">
        <v>22</v>
      </c>
      <c r="AO233" s="4" t="s">
        <v>22</v>
      </c>
      <c r="AP233" s="4" t="s">
        <v>22</v>
      </c>
      <c r="AQ233" s="4" t="s">
        <v>22</v>
      </c>
    </row>
    <row r="234" spans="29:43">
      <c r="AC234" s="4" t="s">
        <v>22</v>
      </c>
      <c r="AD234" s="4" t="s">
        <v>22</v>
      </c>
      <c r="AE234" s="4" t="s">
        <v>22</v>
      </c>
      <c r="AF234" s="4" t="s">
        <v>22</v>
      </c>
      <c r="AG234" s="4" t="s">
        <v>22</v>
      </c>
      <c r="AH234" s="4" t="s">
        <v>22</v>
      </c>
      <c r="AI234" s="4" t="s">
        <v>22</v>
      </c>
      <c r="AK234" s="4" t="s">
        <v>22</v>
      </c>
      <c r="AL234" s="4" t="s">
        <v>22</v>
      </c>
      <c r="AM234" s="4" t="s">
        <v>22</v>
      </c>
      <c r="AN234" s="4" t="s">
        <v>22</v>
      </c>
      <c r="AO234" s="4" t="s">
        <v>22</v>
      </c>
      <c r="AP234" s="4" t="s">
        <v>22</v>
      </c>
      <c r="AQ234" s="4" t="s">
        <v>22</v>
      </c>
    </row>
    <row r="235" spans="29:43"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  <c r="AH235" s="4" t="s">
        <v>22</v>
      </c>
      <c r="AI235" s="4" t="s">
        <v>22</v>
      </c>
      <c r="AK235" s="4" t="s">
        <v>22</v>
      </c>
      <c r="AL235" s="4" t="s">
        <v>22</v>
      </c>
      <c r="AM235" s="4" t="s">
        <v>22</v>
      </c>
      <c r="AN235" s="4" t="s">
        <v>22</v>
      </c>
      <c r="AO235" s="4" t="s">
        <v>22</v>
      </c>
      <c r="AP235" s="4" t="s">
        <v>22</v>
      </c>
      <c r="AQ235" s="4" t="s">
        <v>22</v>
      </c>
    </row>
    <row r="236" spans="29:43">
      <c r="AC236" s="4" t="s">
        <v>22</v>
      </c>
      <c r="AD236" s="4" t="s">
        <v>22</v>
      </c>
      <c r="AE236" s="4" t="s">
        <v>22</v>
      </c>
      <c r="AF236" s="4" t="s">
        <v>22</v>
      </c>
      <c r="AG236" s="4" t="s">
        <v>22</v>
      </c>
      <c r="AH236" s="4" t="s">
        <v>22</v>
      </c>
      <c r="AI236" s="4" t="s">
        <v>22</v>
      </c>
      <c r="AK236" s="4" t="s">
        <v>22</v>
      </c>
      <c r="AL236" s="4" t="s">
        <v>22</v>
      </c>
      <c r="AM236" s="4" t="s">
        <v>22</v>
      </c>
      <c r="AN236" s="4" t="s">
        <v>22</v>
      </c>
      <c r="AO236" s="4" t="s">
        <v>22</v>
      </c>
      <c r="AP236" s="4" t="s">
        <v>22</v>
      </c>
      <c r="AQ236" s="4" t="s">
        <v>22</v>
      </c>
    </row>
    <row r="237" spans="29:43">
      <c r="AC237" s="4" t="s">
        <v>22</v>
      </c>
      <c r="AD237" s="4" t="s">
        <v>22</v>
      </c>
      <c r="AE237" s="4" t="s">
        <v>22</v>
      </c>
      <c r="AF237" s="4" t="s">
        <v>22</v>
      </c>
      <c r="AG237" s="4" t="s">
        <v>22</v>
      </c>
      <c r="AH237" s="4" t="s">
        <v>22</v>
      </c>
      <c r="AI237" s="4" t="s">
        <v>22</v>
      </c>
      <c r="AK237" s="4" t="s">
        <v>22</v>
      </c>
      <c r="AL237" s="4" t="s">
        <v>22</v>
      </c>
      <c r="AM237" s="4" t="s">
        <v>22</v>
      </c>
      <c r="AN237" s="4" t="s">
        <v>22</v>
      </c>
      <c r="AO237" s="4" t="s">
        <v>22</v>
      </c>
      <c r="AP237" s="4" t="s">
        <v>22</v>
      </c>
      <c r="AQ237" s="4" t="s">
        <v>22</v>
      </c>
    </row>
    <row r="238" spans="29:43"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  <c r="AH238" s="4" t="s">
        <v>22</v>
      </c>
      <c r="AI238" s="4" t="s">
        <v>22</v>
      </c>
      <c r="AK238" s="4" t="s">
        <v>22</v>
      </c>
      <c r="AL238" s="4" t="s">
        <v>22</v>
      </c>
      <c r="AM238" s="4" t="s">
        <v>22</v>
      </c>
      <c r="AN238" s="4" t="s">
        <v>22</v>
      </c>
      <c r="AO238" s="4" t="s">
        <v>22</v>
      </c>
      <c r="AP238" s="4" t="s">
        <v>22</v>
      </c>
      <c r="AQ238" s="4" t="s">
        <v>22</v>
      </c>
    </row>
    <row r="239" spans="29:43">
      <c r="AC239" s="4" t="s">
        <v>22</v>
      </c>
      <c r="AD239" s="4" t="s">
        <v>22</v>
      </c>
      <c r="AE239" s="4" t="s">
        <v>22</v>
      </c>
      <c r="AF239" s="4" t="s">
        <v>22</v>
      </c>
      <c r="AG239" s="4" t="s">
        <v>22</v>
      </c>
      <c r="AH239" s="4" t="s">
        <v>22</v>
      </c>
      <c r="AI239" s="4" t="s">
        <v>22</v>
      </c>
      <c r="AK239" s="4" t="s">
        <v>22</v>
      </c>
      <c r="AL239" s="4" t="s">
        <v>22</v>
      </c>
      <c r="AM239" s="4" t="s">
        <v>22</v>
      </c>
      <c r="AN239" s="4" t="s">
        <v>22</v>
      </c>
      <c r="AO239" s="4" t="s">
        <v>22</v>
      </c>
      <c r="AP239" s="4" t="s">
        <v>22</v>
      </c>
      <c r="AQ239" s="4" t="s">
        <v>22</v>
      </c>
    </row>
    <row r="240" spans="29:43"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  <c r="AH240" s="4" t="s">
        <v>22</v>
      </c>
      <c r="AI240" s="4" t="s">
        <v>22</v>
      </c>
      <c r="AK240" s="4" t="s">
        <v>22</v>
      </c>
      <c r="AL240" s="4" t="s">
        <v>22</v>
      </c>
      <c r="AM240" s="4" t="s">
        <v>22</v>
      </c>
      <c r="AN240" s="4" t="s">
        <v>22</v>
      </c>
      <c r="AO240" s="4" t="s">
        <v>22</v>
      </c>
      <c r="AP240" s="4" t="s">
        <v>22</v>
      </c>
      <c r="AQ240" s="4" t="s">
        <v>22</v>
      </c>
    </row>
    <row r="241" spans="29:43">
      <c r="AC241" s="4" t="s">
        <v>22</v>
      </c>
      <c r="AD241" s="4" t="s">
        <v>22</v>
      </c>
      <c r="AE241" s="4" t="s">
        <v>22</v>
      </c>
      <c r="AF241" s="4" t="s">
        <v>22</v>
      </c>
      <c r="AG241" s="4" t="s">
        <v>22</v>
      </c>
      <c r="AH241" s="4" t="s">
        <v>22</v>
      </c>
      <c r="AI241" s="4" t="s">
        <v>22</v>
      </c>
      <c r="AK241" s="4" t="s">
        <v>22</v>
      </c>
      <c r="AL241" s="4" t="s">
        <v>22</v>
      </c>
      <c r="AM241" s="4" t="s">
        <v>22</v>
      </c>
      <c r="AN241" s="4" t="s">
        <v>22</v>
      </c>
      <c r="AO241" s="4" t="s">
        <v>22</v>
      </c>
      <c r="AP241" s="4" t="s">
        <v>22</v>
      </c>
      <c r="AQ241" s="4" t="s">
        <v>22</v>
      </c>
    </row>
    <row r="242" spans="29:43">
      <c r="AC242" s="4" t="s">
        <v>22</v>
      </c>
      <c r="AD242" s="4" t="s">
        <v>22</v>
      </c>
      <c r="AE242" s="4" t="s">
        <v>22</v>
      </c>
      <c r="AF242" s="4" t="s">
        <v>22</v>
      </c>
      <c r="AG242" s="4" t="s">
        <v>22</v>
      </c>
      <c r="AH242" s="4" t="s">
        <v>22</v>
      </c>
      <c r="AI242" s="4" t="s">
        <v>22</v>
      </c>
      <c r="AK242" s="4" t="s">
        <v>22</v>
      </c>
      <c r="AL242" s="4" t="s">
        <v>22</v>
      </c>
      <c r="AM242" s="4" t="s">
        <v>22</v>
      </c>
      <c r="AN242" s="4" t="s">
        <v>22</v>
      </c>
      <c r="AO242" s="4" t="s">
        <v>22</v>
      </c>
      <c r="AP242" s="4" t="s">
        <v>22</v>
      </c>
      <c r="AQ242" s="4" t="s">
        <v>22</v>
      </c>
    </row>
    <row r="243" spans="29:43">
      <c r="AC243" s="4" t="s">
        <v>22</v>
      </c>
      <c r="AD243" s="4" t="s">
        <v>22</v>
      </c>
      <c r="AE243" s="4" t="s">
        <v>22</v>
      </c>
      <c r="AF243" s="4" t="s">
        <v>22</v>
      </c>
      <c r="AG243" s="4" t="s">
        <v>22</v>
      </c>
      <c r="AH243" s="4" t="s">
        <v>22</v>
      </c>
      <c r="AI243" s="4" t="s">
        <v>22</v>
      </c>
      <c r="AK243" s="4" t="s">
        <v>22</v>
      </c>
      <c r="AL243" s="4" t="s">
        <v>22</v>
      </c>
      <c r="AM243" s="4" t="s">
        <v>22</v>
      </c>
      <c r="AN243" s="4" t="s">
        <v>22</v>
      </c>
      <c r="AO243" s="4" t="s">
        <v>22</v>
      </c>
      <c r="AP243" s="4" t="s">
        <v>22</v>
      </c>
      <c r="AQ243" s="4" t="s">
        <v>22</v>
      </c>
    </row>
    <row r="244" spans="29:43"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  <c r="AH244" s="4" t="s">
        <v>22</v>
      </c>
      <c r="AI244" s="4" t="s">
        <v>22</v>
      </c>
      <c r="AK244" s="4" t="s">
        <v>22</v>
      </c>
      <c r="AL244" s="4" t="s">
        <v>22</v>
      </c>
      <c r="AM244" s="4" t="s">
        <v>22</v>
      </c>
      <c r="AN244" s="4" t="s">
        <v>22</v>
      </c>
      <c r="AO244" s="4" t="s">
        <v>22</v>
      </c>
      <c r="AP244" s="4" t="s">
        <v>22</v>
      </c>
      <c r="AQ244" s="4" t="s">
        <v>22</v>
      </c>
    </row>
    <row r="245" spans="29:43">
      <c r="AC245" s="4" t="s">
        <v>22</v>
      </c>
      <c r="AD245" s="4" t="s">
        <v>22</v>
      </c>
      <c r="AE245" s="4" t="s">
        <v>22</v>
      </c>
      <c r="AF245" s="4" t="s">
        <v>22</v>
      </c>
      <c r="AG245" s="4" t="s">
        <v>22</v>
      </c>
      <c r="AH245" s="4" t="s">
        <v>22</v>
      </c>
      <c r="AI245" s="4" t="s">
        <v>22</v>
      </c>
      <c r="AK245" s="4" t="s">
        <v>22</v>
      </c>
      <c r="AL245" s="4" t="s">
        <v>22</v>
      </c>
      <c r="AM245" s="4" t="s">
        <v>22</v>
      </c>
      <c r="AN245" s="4" t="s">
        <v>22</v>
      </c>
      <c r="AO245" s="4" t="s">
        <v>22</v>
      </c>
      <c r="AP245" s="4" t="s">
        <v>22</v>
      </c>
      <c r="AQ245" s="4" t="s">
        <v>22</v>
      </c>
    </row>
    <row r="246" spans="29:43">
      <c r="AC246" s="4" t="s">
        <v>22</v>
      </c>
      <c r="AD246" s="4" t="s">
        <v>22</v>
      </c>
      <c r="AE246" s="4" t="s">
        <v>22</v>
      </c>
      <c r="AF246" s="4" t="s">
        <v>22</v>
      </c>
      <c r="AG246" s="4" t="s">
        <v>22</v>
      </c>
      <c r="AH246" s="4" t="s">
        <v>22</v>
      </c>
      <c r="AI246" s="4" t="s">
        <v>22</v>
      </c>
      <c r="AK246" s="4" t="s">
        <v>22</v>
      </c>
      <c r="AL246" s="4" t="s">
        <v>22</v>
      </c>
      <c r="AM246" s="4" t="s">
        <v>22</v>
      </c>
      <c r="AN246" s="4" t="s">
        <v>22</v>
      </c>
      <c r="AO246" s="4" t="s">
        <v>22</v>
      </c>
      <c r="AP246" s="4" t="s">
        <v>22</v>
      </c>
      <c r="AQ246" s="4" t="s">
        <v>22</v>
      </c>
    </row>
    <row r="247" spans="29:43">
      <c r="AC247" s="4" t="s">
        <v>22</v>
      </c>
      <c r="AD247" s="4" t="s">
        <v>22</v>
      </c>
      <c r="AE247" s="4" t="s">
        <v>22</v>
      </c>
      <c r="AF247" s="4" t="s">
        <v>22</v>
      </c>
      <c r="AG247" s="4" t="s">
        <v>22</v>
      </c>
      <c r="AH247" s="4" t="s">
        <v>22</v>
      </c>
      <c r="AI247" s="4" t="s">
        <v>22</v>
      </c>
      <c r="AK247" s="4" t="s">
        <v>22</v>
      </c>
      <c r="AL247" s="4" t="s">
        <v>22</v>
      </c>
      <c r="AM247" s="4" t="s">
        <v>22</v>
      </c>
      <c r="AN247" s="4" t="s">
        <v>22</v>
      </c>
      <c r="AO247" s="4" t="s">
        <v>22</v>
      </c>
      <c r="AP247" s="4" t="s">
        <v>22</v>
      </c>
      <c r="AQ247" s="4" t="s">
        <v>22</v>
      </c>
    </row>
    <row r="248" spans="29:43">
      <c r="AC248" s="4" t="s">
        <v>22</v>
      </c>
      <c r="AD248" s="4" t="s">
        <v>22</v>
      </c>
      <c r="AE248" s="4" t="s">
        <v>22</v>
      </c>
      <c r="AF248" s="4" t="s">
        <v>22</v>
      </c>
      <c r="AG248" s="4" t="s">
        <v>22</v>
      </c>
      <c r="AH248" s="4" t="s">
        <v>22</v>
      </c>
      <c r="AI248" s="4" t="s">
        <v>22</v>
      </c>
      <c r="AK248" s="4" t="s">
        <v>22</v>
      </c>
      <c r="AL248" s="4" t="s">
        <v>22</v>
      </c>
      <c r="AM248" s="4" t="s">
        <v>22</v>
      </c>
      <c r="AN248" s="4" t="s">
        <v>22</v>
      </c>
      <c r="AO248" s="4" t="s">
        <v>22</v>
      </c>
      <c r="AP248" s="4" t="s">
        <v>22</v>
      </c>
      <c r="AQ248" s="4" t="s">
        <v>22</v>
      </c>
    </row>
    <row r="249" spans="29:43">
      <c r="AC249" s="4" t="s">
        <v>22</v>
      </c>
      <c r="AD249" s="4" t="s">
        <v>22</v>
      </c>
      <c r="AE249" s="4" t="s">
        <v>22</v>
      </c>
      <c r="AF249" s="4" t="s">
        <v>22</v>
      </c>
      <c r="AG249" s="4" t="s">
        <v>22</v>
      </c>
      <c r="AH249" s="4" t="s">
        <v>22</v>
      </c>
      <c r="AI249" s="4" t="s">
        <v>22</v>
      </c>
      <c r="AK249" s="4" t="s">
        <v>22</v>
      </c>
      <c r="AL249" s="4" t="s">
        <v>22</v>
      </c>
      <c r="AM249" s="4" t="s">
        <v>22</v>
      </c>
      <c r="AN249" s="4" t="s">
        <v>22</v>
      </c>
      <c r="AO249" s="4" t="s">
        <v>22</v>
      </c>
      <c r="AP249" s="4" t="s">
        <v>22</v>
      </c>
      <c r="AQ249" s="4" t="s">
        <v>22</v>
      </c>
    </row>
    <row r="250" spans="29:43">
      <c r="AC250" s="4" t="s">
        <v>22</v>
      </c>
      <c r="AD250" s="4" t="s">
        <v>22</v>
      </c>
      <c r="AE250" s="4" t="s">
        <v>22</v>
      </c>
      <c r="AF250" s="4" t="s">
        <v>22</v>
      </c>
      <c r="AG250" s="4" t="s">
        <v>22</v>
      </c>
      <c r="AH250" s="4" t="s">
        <v>22</v>
      </c>
      <c r="AI250" s="4" t="s">
        <v>22</v>
      </c>
      <c r="AK250" s="4" t="s">
        <v>22</v>
      </c>
      <c r="AL250" s="4" t="s">
        <v>22</v>
      </c>
      <c r="AM250" s="4" t="s">
        <v>22</v>
      </c>
      <c r="AN250" s="4" t="s">
        <v>22</v>
      </c>
      <c r="AO250" s="4" t="s">
        <v>22</v>
      </c>
      <c r="AP250" s="4" t="s">
        <v>22</v>
      </c>
      <c r="AQ250" s="4" t="s">
        <v>22</v>
      </c>
    </row>
    <row r="251" spans="29:43">
      <c r="AC251" s="4" t="s">
        <v>22</v>
      </c>
      <c r="AD251" s="4" t="s">
        <v>22</v>
      </c>
      <c r="AE251" s="4" t="s">
        <v>22</v>
      </c>
      <c r="AF251" s="4" t="s">
        <v>22</v>
      </c>
      <c r="AG251" s="4" t="s">
        <v>22</v>
      </c>
      <c r="AH251" s="4" t="s">
        <v>22</v>
      </c>
      <c r="AI251" s="4" t="s">
        <v>22</v>
      </c>
      <c r="AK251" s="4" t="s">
        <v>22</v>
      </c>
      <c r="AL251" s="4" t="s">
        <v>22</v>
      </c>
      <c r="AM251" s="4" t="s">
        <v>22</v>
      </c>
      <c r="AN251" s="4" t="s">
        <v>22</v>
      </c>
      <c r="AO251" s="4" t="s">
        <v>22</v>
      </c>
      <c r="AP251" s="4" t="s">
        <v>22</v>
      </c>
      <c r="AQ251" s="4" t="s">
        <v>22</v>
      </c>
    </row>
    <row r="252" spans="29:43">
      <c r="AC252" s="4" t="s">
        <v>22</v>
      </c>
      <c r="AD252" s="4" t="s">
        <v>22</v>
      </c>
      <c r="AE252" s="4" t="s">
        <v>22</v>
      </c>
      <c r="AF252" s="4" t="s">
        <v>22</v>
      </c>
      <c r="AG252" s="4" t="s">
        <v>22</v>
      </c>
      <c r="AH252" s="4" t="s">
        <v>22</v>
      </c>
      <c r="AI252" s="4" t="s">
        <v>22</v>
      </c>
      <c r="AK252" s="4" t="s">
        <v>22</v>
      </c>
      <c r="AL252" s="4" t="s">
        <v>22</v>
      </c>
      <c r="AM252" s="4" t="s">
        <v>22</v>
      </c>
      <c r="AN252" s="4" t="s">
        <v>22</v>
      </c>
      <c r="AO252" s="4" t="s">
        <v>22</v>
      </c>
      <c r="AP252" s="4" t="s">
        <v>22</v>
      </c>
      <c r="AQ252" s="4" t="s">
        <v>22</v>
      </c>
    </row>
    <row r="253" spans="29:43">
      <c r="AC253" s="4" t="s">
        <v>22</v>
      </c>
      <c r="AD253" s="4" t="s">
        <v>22</v>
      </c>
      <c r="AE253" s="4" t="s">
        <v>22</v>
      </c>
      <c r="AF253" s="4" t="s">
        <v>22</v>
      </c>
      <c r="AG253" s="4" t="s">
        <v>22</v>
      </c>
      <c r="AH253" s="4" t="s">
        <v>22</v>
      </c>
      <c r="AI253" s="4" t="s">
        <v>22</v>
      </c>
      <c r="AK253" s="4" t="s">
        <v>22</v>
      </c>
      <c r="AL253" s="4" t="s">
        <v>22</v>
      </c>
      <c r="AM253" s="4" t="s">
        <v>22</v>
      </c>
      <c r="AN253" s="4" t="s">
        <v>22</v>
      </c>
      <c r="AO253" s="4" t="s">
        <v>22</v>
      </c>
      <c r="AP253" s="4" t="s">
        <v>22</v>
      </c>
      <c r="AQ253" s="4" t="s">
        <v>22</v>
      </c>
    </row>
    <row r="254" spans="29:43">
      <c r="AC254" s="4" t="s">
        <v>22</v>
      </c>
      <c r="AD254" s="4" t="s">
        <v>22</v>
      </c>
      <c r="AE254" s="4" t="s">
        <v>22</v>
      </c>
      <c r="AF254" s="4" t="s">
        <v>22</v>
      </c>
      <c r="AG254" s="4" t="s">
        <v>22</v>
      </c>
      <c r="AH254" s="4" t="s">
        <v>22</v>
      </c>
      <c r="AI254" s="4" t="s">
        <v>22</v>
      </c>
      <c r="AK254" s="4" t="s">
        <v>22</v>
      </c>
      <c r="AL254" s="4" t="s">
        <v>22</v>
      </c>
      <c r="AM254" s="4" t="s">
        <v>22</v>
      </c>
      <c r="AN254" s="4" t="s">
        <v>22</v>
      </c>
      <c r="AO254" s="4" t="s">
        <v>22</v>
      </c>
      <c r="AP254" s="4" t="s">
        <v>22</v>
      </c>
      <c r="AQ254" s="4" t="s">
        <v>22</v>
      </c>
    </row>
    <row r="255" spans="29:43"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  <c r="AH255" s="4" t="s">
        <v>22</v>
      </c>
      <c r="AI255" s="4" t="s">
        <v>22</v>
      </c>
      <c r="AK255" s="4" t="s">
        <v>22</v>
      </c>
      <c r="AL255" s="4" t="s">
        <v>22</v>
      </c>
      <c r="AM255" s="4" t="s">
        <v>22</v>
      </c>
      <c r="AN255" s="4" t="s">
        <v>22</v>
      </c>
      <c r="AO255" s="4" t="s">
        <v>22</v>
      </c>
      <c r="AP255" s="4" t="s">
        <v>22</v>
      </c>
      <c r="AQ255" s="4" t="s">
        <v>22</v>
      </c>
    </row>
    <row r="256" spans="29:43">
      <c r="AC256" s="4" t="s">
        <v>22</v>
      </c>
      <c r="AD256" s="4" t="s">
        <v>22</v>
      </c>
      <c r="AE256" s="4" t="s">
        <v>22</v>
      </c>
      <c r="AF256" s="4" t="s">
        <v>22</v>
      </c>
      <c r="AG256" s="4" t="s">
        <v>22</v>
      </c>
      <c r="AH256" s="4" t="s">
        <v>22</v>
      </c>
      <c r="AI256" s="4" t="s">
        <v>22</v>
      </c>
      <c r="AK256" s="4" t="s">
        <v>22</v>
      </c>
      <c r="AL256" s="4" t="s">
        <v>22</v>
      </c>
      <c r="AM256" s="4" t="s">
        <v>22</v>
      </c>
      <c r="AN256" s="4" t="s">
        <v>22</v>
      </c>
      <c r="AO256" s="4" t="s">
        <v>22</v>
      </c>
      <c r="AP256" s="4" t="s">
        <v>22</v>
      </c>
      <c r="AQ256" s="4" t="s">
        <v>22</v>
      </c>
    </row>
    <row r="257" spans="29:43"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  <c r="AH257" s="4" t="s">
        <v>22</v>
      </c>
      <c r="AI257" s="4" t="s">
        <v>22</v>
      </c>
      <c r="AK257" s="4" t="s">
        <v>22</v>
      </c>
      <c r="AL257" s="4" t="s">
        <v>22</v>
      </c>
      <c r="AM257" s="4" t="s">
        <v>22</v>
      </c>
      <c r="AN257" s="4" t="s">
        <v>22</v>
      </c>
      <c r="AO257" s="4" t="s">
        <v>22</v>
      </c>
      <c r="AP257" s="4" t="s">
        <v>22</v>
      </c>
      <c r="AQ257" s="4" t="s">
        <v>22</v>
      </c>
    </row>
    <row r="258" spans="29:43">
      <c r="AC258" s="4" t="s">
        <v>22</v>
      </c>
      <c r="AD258" s="4" t="s">
        <v>22</v>
      </c>
      <c r="AE258" s="4" t="s">
        <v>22</v>
      </c>
      <c r="AF258" s="4" t="s">
        <v>22</v>
      </c>
      <c r="AG258" s="4" t="s">
        <v>22</v>
      </c>
      <c r="AH258" s="4" t="s">
        <v>22</v>
      </c>
      <c r="AI258" s="4" t="s">
        <v>22</v>
      </c>
      <c r="AK258" s="4" t="s">
        <v>22</v>
      </c>
      <c r="AL258" s="4" t="s">
        <v>22</v>
      </c>
      <c r="AM258" s="4" t="s">
        <v>22</v>
      </c>
      <c r="AN258" s="4" t="s">
        <v>22</v>
      </c>
      <c r="AO258" s="4" t="s">
        <v>22</v>
      </c>
      <c r="AP258" s="4" t="s">
        <v>22</v>
      </c>
      <c r="AQ258" s="4" t="s">
        <v>22</v>
      </c>
    </row>
    <row r="259" spans="29:43"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  <c r="AH259" s="4" t="s">
        <v>22</v>
      </c>
      <c r="AI259" s="4" t="s">
        <v>22</v>
      </c>
      <c r="AK259" s="4" t="s">
        <v>22</v>
      </c>
      <c r="AL259" s="4" t="s">
        <v>22</v>
      </c>
      <c r="AM259" s="4" t="s">
        <v>22</v>
      </c>
      <c r="AN259" s="4" t="s">
        <v>22</v>
      </c>
      <c r="AO259" s="4" t="s">
        <v>22</v>
      </c>
      <c r="AP259" s="4" t="s">
        <v>22</v>
      </c>
      <c r="AQ259" s="4" t="s">
        <v>22</v>
      </c>
    </row>
    <row r="260" spans="29:43">
      <c r="AC260" s="4" t="s">
        <v>22</v>
      </c>
      <c r="AD260" s="4" t="s">
        <v>22</v>
      </c>
      <c r="AE260" s="4" t="s">
        <v>22</v>
      </c>
      <c r="AF260" s="4" t="s">
        <v>22</v>
      </c>
      <c r="AG260" s="4" t="s">
        <v>22</v>
      </c>
      <c r="AH260" s="4" t="s">
        <v>22</v>
      </c>
      <c r="AI260" s="4" t="s">
        <v>22</v>
      </c>
      <c r="AK260" s="4" t="s">
        <v>22</v>
      </c>
      <c r="AL260" s="4" t="s">
        <v>22</v>
      </c>
      <c r="AM260" s="4" t="s">
        <v>22</v>
      </c>
      <c r="AN260" s="4" t="s">
        <v>22</v>
      </c>
      <c r="AO260" s="4" t="s">
        <v>22</v>
      </c>
      <c r="AP260" s="4" t="s">
        <v>22</v>
      </c>
      <c r="AQ260" s="4" t="s">
        <v>22</v>
      </c>
    </row>
    <row r="261" spans="29:43"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  <c r="AH261" s="4" t="s">
        <v>22</v>
      </c>
      <c r="AI261" s="4" t="s">
        <v>22</v>
      </c>
      <c r="AK261" s="4" t="s">
        <v>22</v>
      </c>
      <c r="AL261" s="4" t="s">
        <v>22</v>
      </c>
      <c r="AM261" s="4" t="s">
        <v>22</v>
      </c>
      <c r="AN261" s="4" t="s">
        <v>22</v>
      </c>
      <c r="AO261" s="4" t="s">
        <v>22</v>
      </c>
      <c r="AP261" s="4" t="s">
        <v>22</v>
      </c>
      <c r="AQ261" s="4" t="s">
        <v>22</v>
      </c>
    </row>
    <row r="262" spans="29:43">
      <c r="AC262" s="4" t="s">
        <v>22</v>
      </c>
      <c r="AD262" s="4" t="s">
        <v>22</v>
      </c>
      <c r="AE262" s="4" t="s">
        <v>22</v>
      </c>
      <c r="AF262" s="4" t="s">
        <v>22</v>
      </c>
      <c r="AG262" s="4" t="s">
        <v>22</v>
      </c>
      <c r="AH262" s="4" t="s">
        <v>22</v>
      </c>
      <c r="AI262" s="4" t="s">
        <v>22</v>
      </c>
      <c r="AK262" s="4" t="s">
        <v>22</v>
      </c>
      <c r="AL262" s="4" t="s">
        <v>22</v>
      </c>
      <c r="AM262" s="4" t="s">
        <v>22</v>
      </c>
      <c r="AN262" s="4" t="s">
        <v>22</v>
      </c>
      <c r="AO262" s="4" t="s">
        <v>22</v>
      </c>
      <c r="AP262" s="4" t="s">
        <v>22</v>
      </c>
      <c r="AQ262" s="4" t="s">
        <v>22</v>
      </c>
    </row>
    <row r="263" spans="29:43">
      <c r="AC263" s="4" t="s">
        <v>22</v>
      </c>
      <c r="AD263" s="4" t="s">
        <v>22</v>
      </c>
      <c r="AE263" s="4" t="s">
        <v>22</v>
      </c>
      <c r="AF263" s="4" t="s">
        <v>22</v>
      </c>
      <c r="AG263" s="4" t="s">
        <v>22</v>
      </c>
      <c r="AH263" s="4" t="s">
        <v>22</v>
      </c>
      <c r="AI263" s="4" t="s">
        <v>22</v>
      </c>
      <c r="AK263" s="4" t="s">
        <v>22</v>
      </c>
      <c r="AL263" s="4" t="s">
        <v>22</v>
      </c>
      <c r="AM263" s="4" t="s">
        <v>22</v>
      </c>
      <c r="AN263" s="4" t="s">
        <v>22</v>
      </c>
      <c r="AO263" s="4" t="s">
        <v>22</v>
      </c>
      <c r="AP263" s="4" t="s">
        <v>22</v>
      </c>
      <c r="AQ263" s="4" t="s">
        <v>22</v>
      </c>
    </row>
    <row r="264" spans="29:43">
      <c r="AC264" s="4" t="s">
        <v>22</v>
      </c>
      <c r="AD264" s="4" t="s">
        <v>22</v>
      </c>
      <c r="AE264" s="4" t="s">
        <v>22</v>
      </c>
      <c r="AF264" s="4" t="s">
        <v>22</v>
      </c>
      <c r="AG264" s="4" t="s">
        <v>22</v>
      </c>
      <c r="AH264" s="4" t="s">
        <v>22</v>
      </c>
      <c r="AI264" s="4" t="s">
        <v>22</v>
      </c>
      <c r="AK264" s="4" t="s">
        <v>22</v>
      </c>
      <c r="AL264" s="4" t="s">
        <v>22</v>
      </c>
      <c r="AM264" s="4" t="s">
        <v>22</v>
      </c>
      <c r="AN264" s="4" t="s">
        <v>22</v>
      </c>
      <c r="AO264" s="4" t="s">
        <v>22</v>
      </c>
      <c r="AP264" s="4" t="s">
        <v>22</v>
      </c>
      <c r="AQ264" s="4" t="s">
        <v>22</v>
      </c>
    </row>
    <row r="265" spans="29:43">
      <c r="AC265" s="4" t="s">
        <v>22</v>
      </c>
      <c r="AD265" s="4" t="s">
        <v>22</v>
      </c>
      <c r="AE265" s="4" t="s">
        <v>22</v>
      </c>
      <c r="AF265" s="4" t="s">
        <v>22</v>
      </c>
      <c r="AG265" s="4" t="s">
        <v>22</v>
      </c>
      <c r="AH265" s="4" t="s">
        <v>22</v>
      </c>
      <c r="AI265" s="4" t="s">
        <v>22</v>
      </c>
      <c r="AK265" s="4" t="s">
        <v>22</v>
      </c>
      <c r="AL265" s="4" t="s">
        <v>22</v>
      </c>
      <c r="AM265" s="4" t="s">
        <v>22</v>
      </c>
      <c r="AN265" s="4" t="s">
        <v>22</v>
      </c>
      <c r="AO265" s="4" t="s">
        <v>22</v>
      </c>
      <c r="AP265" s="4" t="s">
        <v>22</v>
      </c>
      <c r="AQ265" s="4" t="s">
        <v>22</v>
      </c>
    </row>
    <row r="266" spans="29:43">
      <c r="AC266" s="4" t="s">
        <v>22</v>
      </c>
      <c r="AD266" s="4" t="s">
        <v>22</v>
      </c>
      <c r="AE266" s="4" t="s">
        <v>22</v>
      </c>
      <c r="AF266" s="4" t="s">
        <v>22</v>
      </c>
      <c r="AG266" s="4" t="s">
        <v>22</v>
      </c>
      <c r="AH266" s="4" t="s">
        <v>22</v>
      </c>
      <c r="AI266" s="4" t="s">
        <v>22</v>
      </c>
      <c r="AK266" s="4" t="s">
        <v>22</v>
      </c>
      <c r="AL266" s="4" t="s">
        <v>22</v>
      </c>
      <c r="AM266" s="4" t="s">
        <v>22</v>
      </c>
      <c r="AN266" s="4" t="s">
        <v>22</v>
      </c>
      <c r="AO266" s="4" t="s">
        <v>22</v>
      </c>
      <c r="AP266" s="4" t="s">
        <v>22</v>
      </c>
      <c r="AQ266" s="4" t="s">
        <v>22</v>
      </c>
    </row>
    <row r="267" spans="29:43">
      <c r="AC267" s="4" t="s">
        <v>22</v>
      </c>
      <c r="AD267" s="4" t="s">
        <v>22</v>
      </c>
      <c r="AE267" s="4" t="s">
        <v>22</v>
      </c>
      <c r="AF267" s="4" t="s">
        <v>22</v>
      </c>
      <c r="AG267" s="4" t="s">
        <v>22</v>
      </c>
      <c r="AH267" s="4" t="s">
        <v>22</v>
      </c>
      <c r="AI267" s="4" t="s">
        <v>22</v>
      </c>
      <c r="AK267" s="4" t="s">
        <v>22</v>
      </c>
      <c r="AL267" s="4" t="s">
        <v>22</v>
      </c>
      <c r="AM267" s="4" t="s">
        <v>22</v>
      </c>
      <c r="AN267" s="4" t="s">
        <v>22</v>
      </c>
      <c r="AO267" s="4" t="s">
        <v>22</v>
      </c>
      <c r="AP267" s="4" t="s">
        <v>22</v>
      </c>
      <c r="AQ267" s="4" t="s">
        <v>22</v>
      </c>
    </row>
    <row r="268" spans="29:43">
      <c r="AC268" s="4" t="s">
        <v>22</v>
      </c>
      <c r="AD268" s="4" t="s">
        <v>22</v>
      </c>
      <c r="AE268" s="4" t="s">
        <v>22</v>
      </c>
      <c r="AF268" s="4" t="s">
        <v>22</v>
      </c>
      <c r="AG268" s="4" t="s">
        <v>22</v>
      </c>
      <c r="AH268" s="4" t="s">
        <v>22</v>
      </c>
      <c r="AI268" s="4" t="s">
        <v>22</v>
      </c>
      <c r="AK268" s="4" t="s">
        <v>22</v>
      </c>
      <c r="AL268" s="4" t="s">
        <v>22</v>
      </c>
      <c r="AM268" s="4" t="s">
        <v>22</v>
      </c>
      <c r="AN268" s="4" t="s">
        <v>22</v>
      </c>
      <c r="AO268" s="4" t="s">
        <v>22</v>
      </c>
      <c r="AP268" s="4" t="s">
        <v>22</v>
      </c>
      <c r="AQ268" s="4" t="s">
        <v>22</v>
      </c>
    </row>
    <row r="269" spans="29:43"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  <c r="AH269" s="4" t="s">
        <v>22</v>
      </c>
      <c r="AI269" s="4" t="s">
        <v>22</v>
      </c>
      <c r="AK269" s="4" t="s">
        <v>22</v>
      </c>
      <c r="AL269" s="4" t="s">
        <v>22</v>
      </c>
      <c r="AM269" s="4" t="s">
        <v>22</v>
      </c>
      <c r="AN269" s="4" t="s">
        <v>22</v>
      </c>
      <c r="AO269" s="4" t="s">
        <v>22</v>
      </c>
      <c r="AP269" s="4" t="s">
        <v>22</v>
      </c>
      <c r="AQ269" s="4" t="s">
        <v>22</v>
      </c>
    </row>
    <row r="270" spans="29:43">
      <c r="AC270" s="4" t="s">
        <v>22</v>
      </c>
      <c r="AD270" s="4" t="s">
        <v>22</v>
      </c>
      <c r="AE270" s="4" t="s">
        <v>22</v>
      </c>
      <c r="AF270" s="4" t="s">
        <v>22</v>
      </c>
      <c r="AG270" s="4" t="s">
        <v>22</v>
      </c>
      <c r="AH270" s="4" t="s">
        <v>22</v>
      </c>
      <c r="AI270" s="4" t="s">
        <v>22</v>
      </c>
      <c r="AK270" s="4" t="s">
        <v>22</v>
      </c>
      <c r="AL270" s="4" t="s">
        <v>22</v>
      </c>
      <c r="AM270" s="4" t="s">
        <v>22</v>
      </c>
      <c r="AN270" s="4" t="s">
        <v>22</v>
      </c>
      <c r="AO270" s="4" t="s">
        <v>22</v>
      </c>
      <c r="AP270" s="4" t="s">
        <v>22</v>
      </c>
      <c r="AQ270" s="4" t="s">
        <v>22</v>
      </c>
    </row>
    <row r="271" spans="29:43">
      <c r="AC271" s="4" t="s">
        <v>22</v>
      </c>
      <c r="AD271" s="4" t="s">
        <v>22</v>
      </c>
      <c r="AE271" s="4" t="s">
        <v>22</v>
      </c>
      <c r="AF271" s="4" t="s">
        <v>22</v>
      </c>
      <c r="AG271" s="4" t="s">
        <v>22</v>
      </c>
      <c r="AH271" s="4" t="s">
        <v>22</v>
      </c>
      <c r="AI271" s="4" t="s">
        <v>22</v>
      </c>
      <c r="AK271" s="4" t="s">
        <v>22</v>
      </c>
      <c r="AL271" s="4" t="s">
        <v>22</v>
      </c>
      <c r="AM271" s="4" t="s">
        <v>22</v>
      </c>
      <c r="AN271" s="4" t="s">
        <v>22</v>
      </c>
      <c r="AO271" s="4" t="s">
        <v>22</v>
      </c>
      <c r="AP271" s="4" t="s">
        <v>22</v>
      </c>
      <c r="AQ271" s="4" t="s">
        <v>22</v>
      </c>
    </row>
    <row r="272" spans="29:43">
      <c r="AC272" s="4" t="s">
        <v>22</v>
      </c>
      <c r="AD272" s="4" t="s">
        <v>22</v>
      </c>
      <c r="AE272" s="4" t="s">
        <v>22</v>
      </c>
      <c r="AF272" s="4" t="s">
        <v>22</v>
      </c>
      <c r="AG272" s="4" t="s">
        <v>22</v>
      </c>
      <c r="AH272" s="4" t="s">
        <v>22</v>
      </c>
      <c r="AI272" s="4" t="s">
        <v>22</v>
      </c>
      <c r="AK272" s="4" t="s">
        <v>22</v>
      </c>
      <c r="AL272" s="4" t="s">
        <v>22</v>
      </c>
      <c r="AM272" s="4" t="s">
        <v>22</v>
      </c>
      <c r="AN272" s="4" t="s">
        <v>22</v>
      </c>
      <c r="AO272" s="4" t="s">
        <v>22</v>
      </c>
      <c r="AP272" s="4" t="s">
        <v>22</v>
      </c>
      <c r="AQ272" s="4" t="s">
        <v>22</v>
      </c>
    </row>
    <row r="273" spans="29:43">
      <c r="AC273" s="4" t="s">
        <v>22</v>
      </c>
      <c r="AD273" s="4" t="s">
        <v>22</v>
      </c>
      <c r="AE273" s="4" t="s">
        <v>22</v>
      </c>
      <c r="AF273" s="4" t="s">
        <v>22</v>
      </c>
      <c r="AG273" s="4" t="s">
        <v>22</v>
      </c>
      <c r="AH273" s="4" t="s">
        <v>22</v>
      </c>
      <c r="AI273" s="4" t="s">
        <v>22</v>
      </c>
      <c r="AK273" s="4" t="s">
        <v>22</v>
      </c>
      <c r="AL273" s="4" t="s">
        <v>22</v>
      </c>
      <c r="AM273" s="4" t="s">
        <v>22</v>
      </c>
      <c r="AN273" s="4" t="s">
        <v>22</v>
      </c>
      <c r="AO273" s="4" t="s">
        <v>22</v>
      </c>
      <c r="AP273" s="4" t="s">
        <v>22</v>
      </c>
      <c r="AQ273" s="4" t="s">
        <v>22</v>
      </c>
    </row>
    <row r="274" spans="29:43"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  <c r="AH274" s="4" t="s">
        <v>22</v>
      </c>
      <c r="AI274" s="4" t="s">
        <v>22</v>
      </c>
      <c r="AK274" s="4" t="s">
        <v>22</v>
      </c>
      <c r="AL274" s="4" t="s">
        <v>22</v>
      </c>
      <c r="AM274" s="4" t="s">
        <v>22</v>
      </c>
      <c r="AN274" s="4" t="s">
        <v>22</v>
      </c>
      <c r="AO274" s="4" t="s">
        <v>22</v>
      </c>
      <c r="AP274" s="4" t="s">
        <v>22</v>
      </c>
      <c r="AQ274" s="4" t="s">
        <v>22</v>
      </c>
    </row>
    <row r="275" spans="29:43">
      <c r="AC275" s="4" t="s">
        <v>22</v>
      </c>
      <c r="AD275" s="4" t="s">
        <v>22</v>
      </c>
      <c r="AE275" s="4" t="s">
        <v>22</v>
      </c>
      <c r="AF275" s="4" t="s">
        <v>22</v>
      </c>
      <c r="AG275" s="4" t="s">
        <v>22</v>
      </c>
      <c r="AH275" s="4" t="s">
        <v>22</v>
      </c>
      <c r="AI275" s="4" t="s">
        <v>22</v>
      </c>
      <c r="AK275" s="4" t="s">
        <v>22</v>
      </c>
      <c r="AL275" s="4" t="s">
        <v>22</v>
      </c>
      <c r="AM275" s="4" t="s">
        <v>22</v>
      </c>
      <c r="AN275" s="4" t="s">
        <v>22</v>
      </c>
      <c r="AO275" s="4" t="s">
        <v>22</v>
      </c>
      <c r="AP275" s="4" t="s">
        <v>22</v>
      </c>
      <c r="AQ275" s="4" t="s">
        <v>22</v>
      </c>
    </row>
    <row r="276" spans="29:43">
      <c r="AC276" s="4" t="s">
        <v>22</v>
      </c>
      <c r="AD276" s="4" t="s">
        <v>22</v>
      </c>
      <c r="AE276" s="4" t="s">
        <v>22</v>
      </c>
      <c r="AF276" s="4" t="s">
        <v>22</v>
      </c>
      <c r="AG276" s="4" t="s">
        <v>22</v>
      </c>
      <c r="AH276" s="4" t="s">
        <v>22</v>
      </c>
      <c r="AI276" s="4" t="s">
        <v>22</v>
      </c>
      <c r="AK276" s="4" t="s">
        <v>22</v>
      </c>
      <c r="AL276" s="4" t="s">
        <v>22</v>
      </c>
      <c r="AM276" s="4" t="s">
        <v>22</v>
      </c>
      <c r="AN276" s="4" t="s">
        <v>22</v>
      </c>
      <c r="AO276" s="4" t="s">
        <v>22</v>
      </c>
      <c r="AP276" s="4" t="s">
        <v>22</v>
      </c>
      <c r="AQ276" s="4" t="s">
        <v>22</v>
      </c>
    </row>
    <row r="277" spans="29:43">
      <c r="AC277" s="4" t="s">
        <v>22</v>
      </c>
      <c r="AD277" s="4" t="s">
        <v>22</v>
      </c>
      <c r="AE277" s="4" t="s">
        <v>22</v>
      </c>
      <c r="AF277" s="4" t="s">
        <v>22</v>
      </c>
      <c r="AG277" s="4" t="s">
        <v>22</v>
      </c>
      <c r="AH277" s="4" t="s">
        <v>22</v>
      </c>
      <c r="AI277" s="4" t="s">
        <v>22</v>
      </c>
      <c r="AK277" s="4" t="s">
        <v>22</v>
      </c>
      <c r="AL277" s="4" t="s">
        <v>22</v>
      </c>
      <c r="AM277" s="4" t="s">
        <v>22</v>
      </c>
      <c r="AN277" s="4" t="s">
        <v>22</v>
      </c>
      <c r="AO277" s="4" t="s">
        <v>22</v>
      </c>
      <c r="AP277" s="4" t="s">
        <v>22</v>
      </c>
      <c r="AQ277" s="4" t="s">
        <v>22</v>
      </c>
    </row>
    <row r="278" spans="29:43"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  <c r="AH278" s="4" t="s">
        <v>22</v>
      </c>
      <c r="AI278" s="4" t="s">
        <v>22</v>
      </c>
      <c r="AK278" s="4" t="s">
        <v>22</v>
      </c>
      <c r="AL278" s="4" t="s">
        <v>22</v>
      </c>
      <c r="AM278" s="4" t="s">
        <v>22</v>
      </c>
      <c r="AN278" s="4" t="s">
        <v>22</v>
      </c>
      <c r="AO278" s="4" t="s">
        <v>22</v>
      </c>
      <c r="AP278" s="4" t="s">
        <v>22</v>
      </c>
      <c r="AQ278" s="4" t="s">
        <v>22</v>
      </c>
    </row>
    <row r="279" spans="29:43">
      <c r="AC279" s="4" t="s">
        <v>22</v>
      </c>
      <c r="AD279" s="4" t="s">
        <v>22</v>
      </c>
      <c r="AE279" s="4" t="s">
        <v>22</v>
      </c>
      <c r="AF279" s="4" t="s">
        <v>22</v>
      </c>
      <c r="AG279" s="4" t="s">
        <v>22</v>
      </c>
      <c r="AH279" s="4" t="s">
        <v>22</v>
      </c>
      <c r="AI279" s="4" t="s">
        <v>22</v>
      </c>
      <c r="AK279" s="4" t="s">
        <v>22</v>
      </c>
      <c r="AL279" s="4" t="s">
        <v>22</v>
      </c>
      <c r="AM279" s="4" t="s">
        <v>22</v>
      </c>
      <c r="AN279" s="4" t="s">
        <v>22</v>
      </c>
      <c r="AO279" s="4" t="s">
        <v>22</v>
      </c>
      <c r="AP279" s="4" t="s">
        <v>22</v>
      </c>
      <c r="AQ279" s="4" t="s">
        <v>22</v>
      </c>
    </row>
    <row r="280" spans="29:43">
      <c r="AC280" s="4" t="s">
        <v>22</v>
      </c>
      <c r="AD280" s="4" t="s">
        <v>22</v>
      </c>
      <c r="AE280" s="4" t="s">
        <v>22</v>
      </c>
      <c r="AF280" s="4" t="s">
        <v>22</v>
      </c>
      <c r="AG280" s="4" t="s">
        <v>22</v>
      </c>
      <c r="AH280" s="4" t="s">
        <v>22</v>
      </c>
      <c r="AI280" s="4" t="s">
        <v>22</v>
      </c>
      <c r="AK280" s="4" t="s">
        <v>22</v>
      </c>
      <c r="AL280" s="4" t="s">
        <v>22</v>
      </c>
      <c r="AM280" s="4" t="s">
        <v>22</v>
      </c>
      <c r="AN280" s="4" t="s">
        <v>22</v>
      </c>
      <c r="AO280" s="4" t="s">
        <v>22</v>
      </c>
      <c r="AP280" s="4" t="s">
        <v>22</v>
      </c>
      <c r="AQ280" s="4" t="s">
        <v>22</v>
      </c>
    </row>
    <row r="281" spans="29:43">
      <c r="AC281" s="4" t="s">
        <v>22</v>
      </c>
      <c r="AD281" s="4" t="s">
        <v>22</v>
      </c>
      <c r="AE281" s="4" t="s">
        <v>22</v>
      </c>
      <c r="AF281" s="4" t="s">
        <v>22</v>
      </c>
      <c r="AG281" s="4" t="s">
        <v>22</v>
      </c>
      <c r="AH281" s="4" t="s">
        <v>22</v>
      </c>
      <c r="AI281" s="4" t="s">
        <v>22</v>
      </c>
      <c r="AK281" s="4" t="s">
        <v>22</v>
      </c>
      <c r="AL281" s="4" t="s">
        <v>22</v>
      </c>
      <c r="AM281" s="4" t="s">
        <v>22</v>
      </c>
      <c r="AN281" s="4" t="s">
        <v>22</v>
      </c>
      <c r="AO281" s="4" t="s">
        <v>22</v>
      </c>
      <c r="AP281" s="4" t="s">
        <v>22</v>
      </c>
      <c r="AQ281" s="4" t="s">
        <v>22</v>
      </c>
    </row>
    <row r="282" spans="29:43"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  <c r="AH282" s="4" t="s">
        <v>22</v>
      </c>
      <c r="AI282" s="4" t="s">
        <v>22</v>
      </c>
      <c r="AK282" s="4" t="s">
        <v>22</v>
      </c>
      <c r="AL282" s="4" t="s">
        <v>22</v>
      </c>
      <c r="AM282" s="4" t="s">
        <v>22</v>
      </c>
      <c r="AN282" s="4" t="s">
        <v>22</v>
      </c>
      <c r="AO282" s="4" t="s">
        <v>22</v>
      </c>
      <c r="AP282" s="4" t="s">
        <v>22</v>
      </c>
      <c r="AQ282" s="4" t="s">
        <v>22</v>
      </c>
    </row>
    <row r="283" spans="29:43"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  <c r="AH283" s="4" t="s">
        <v>22</v>
      </c>
      <c r="AI283" s="4" t="s">
        <v>22</v>
      </c>
      <c r="AK283" s="4" t="s">
        <v>22</v>
      </c>
      <c r="AL283" s="4" t="s">
        <v>22</v>
      </c>
      <c r="AM283" s="4" t="s">
        <v>22</v>
      </c>
      <c r="AN283" s="4" t="s">
        <v>22</v>
      </c>
      <c r="AO283" s="4" t="s">
        <v>22</v>
      </c>
      <c r="AP283" s="4" t="s">
        <v>22</v>
      </c>
      <c r="AQ283" s="4" t="s">
        <v>22</v>
      </c>
    </row>
    <row r="284" spans="29:43">
      <c r="AC284" s="4" t="s">
        <v>22</v>
      </c>
      <c r="AD284" s="4" t="s">
        <v>22</v>
      </c>
      <c r="AE284" s="4" t="s">
        <v>22</v>
      </c>
      <c r="AF284" s="4" t="s">
        <v>22</v>
      </c>
      <c r="AG284" s="4" t="s">
        <v>22</v>
      </c>
      <c r="AH284" s="4" t="s">
        <v>22</v>
      </c>
      <c r="AI284" s="4" t="s">
        <v>22</v>
      </c>
      <c r="AK284" s="4" t="s">
        <v>22</v>
      </c>
      <c r="AL284" s="4" t="s">
        <v>22</v>
      </c>
      <c r="AM284" s="4" t="s">
        <v>22</v>
      </c>
      <c r="AN284" s="4" t="s">
        <v>22</v>
      </c>
      <c r="AO284" s="4" t="s">
        <v>22</v>
      </c>
      <c r="AP284" s="4" t="s">
        <v>22</v>
      </c>
      <c r="AQ284" s="4" t="s">
        <v>22</v>
      </c>
    </row>
    <row r="285" spans="29:43">
      <c r="AC285" s="4" t="s">
        <v>22</v>
      </c>
      <c r="AD285" s="4" t="s">
        <v>22</v>
      </c>
      <c r="AE285" s="4" t="s">
        <v>22</v>
      </c>
      <c r="AF285" s="4" t="s">
        <v>22</v>
      </c>
      <c r="AG285" s="4" t="s">
        <v>22</v>
      </c>
      <c r="AH285" s="4" t="s">
        <v>22</v>
      </c>
      <c r="AI285" s="4" t="s">
        <v>22</v>
      </c>
      <c r="AK285" s="4" t="s">
        <v>22</v>
      </c>
      <c r="AL285" s="4" t="s">
        <v>22</v>
      </c>
      <c r="AM285" s="4" t="s">
        <v>22</v>
      </c>
      <c r="AN285" s="4" t="s">
        <v>22</v>
      </c>
      <c r="AO285" s="4" t="s">
        <v>22</v>
      </c>
      <c r="AP285" s="4" t="s">
        <v>22</v>
      </c>
      <c r="AQ285" s="4" t="s">
        <v>22</v>
      </c>
    </row>
    <row r="286" spans="29:43">
      <c r="AC286" s="4" t="s">
        <v>22</v>
      </c>
      <c r="AD286" s="4" t="s">
        <v>22</v>
      </c>
      <c r="AE286" s="4" t="s">
        <v>22</v>
      </c>
      <c r="AF286" s="4" t="s">
        <v>22</v>
      </c>
      <c r="AG286" s="4" t="s">
        <v>22</v>
      </c>
      <c r="AH286" s="4" t="s">
        <v>22</v>
      </c>
      <c r="AI286" s="4" t="s">
        <v>22</v>
      </c>
      <c r="AK286" s="4" t="s">
        <v>22</v>
      </c>
      <c r="AL286" s="4" t="s">
        <v>22</v>
      </c>
      <c r="AM286" s="4" t="s">
        <v>22</v>
      </c>
      <c r="AN286" s="4" t="s">
        <v>22</v>
      </c>
      <c r="AO286" s="4" t="s">
        <v>22</v>
      </c>
      <c r="AP286" s="4" t="s">
        <v>22</v>
      </c>
      <c r="AQ286" s="4" t="s">
        <v>22</v>
      </c>
    </row>
    <row r="287" spans="29:43"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  <c r="AH287" s="4" t="s">
        <v>22</v>
      </c>
      <c r="AI287" s="4" t="s">
        <v>22</v>
      </c>
      <c r="AK287" s="4" t="s">
        <v>22</v>
      </c>
      <c r="AL287" s="4" t="s">
        <v>22</v>
      </c>
      <c r="AM287" s="4" t="s">
        <v>22</v>
      </c>
      <c r="AN287" s="4" t="s">
        <v>22</v>
      </c>
      <c r="AO287" s="4" t="s">
        <v>22</v>
      </c>
      <c r="AP287" s="4" t="s">
        <v>22</v>
      </c>
      <c r="AQ287" s="4" t="s">
        <v>22</v>
      </c>
    </row>
    <row r="288" spans="29:43"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  <c r="AH288" s="4" t="s">
        <v>22</v>
      </c>
      <c r="AI288" s="4" t="s">
        <v>22</v>
      </c>
      <c r="AK288" s="4" t="s">
        <v>22</v>
      </c>
      <c r="AL288" s="4" t="s">
        <v>22</v>
      </c>
      <c r="AM288" s="4" t="s">
        <v>22</v>
      </c>
      <c r="AN288" s="4" t="s">
        <v>22</v>
      </c>
      <c r="AO288" s="4" t="s">
        <v>22</v>
      </c>
      <c r="AP288" s="4" t="s">
        <v>22</v>
      </c>
      <c r="AQ288" s="4" t="s">
        <v>22</v>
      </c>
    </row>
    <row r="289" spans="29:43">
      <c r="AC289" s="4" t="s">
        <v>22</v>
      </c>
      <c r="AD289" s="4" t="s">
        <v>22</v>
      </c>
      <c r="AE289" s="4" t="s">
        <v>22</v>
      </c>
      <c r="AF289" s="4" t="s">
        <v>22</v>
      </c>
      <c r="AG289" s="4" t="s">
        <v>22</v>
      </c>
      <c r="AH289" s="4" t="s">
        <v>22</v>
      </c>
      <c r="AI289" s="4" t="s">
        <v>22</v>
      </c>
      <c r="AK289" s="4" t="s">
        <v>22</v>
      </c>
      <c r="AL289" s="4" t="s">
        <v>22</v>
      </c>
      <c r="AM289" s="4" t="s">
        <v>22</v>
      </c>
      <c r="AN289" s="4" t="s">
        <v>22</v>
      </c>
      <c r="AO289" s="4" t="s">
        <v>22</v>
      </c>
      <c r="AP289" s="4" t="s">
        <v>22</v>
      </c>
      <c r="AQ289" s="4" t="s">
        <v>22</v>
      </c>
    </row>
    <row r="290" spans="29:43">
      <c r="AC290" s="4" t="s">
        <v>22</v>
      </c>
      <c r="AD290" s="4" t="s">
        <v>22</v>
      </c>
      <c r="AE290" s="4" t="s">
        <v>22</v>
      </c>
      <c r="AF290" s="4" t="s">
        <v>22</v>
      </c>
      <c r="AG290" s="4" t="s">
        <v>22</v>
      </c>
      <c r="AH290" s="4" t="s">
        <v>22</v>
      </c>
      <c r="AI290" s="4" t="s">
        <v>22</v>
      </c>
      <c r="AK290" s="4" t="s">
        <v>22</v>
      </c>
      <c r="AL290" s="4" t="s">
        <v>22</v>
      </c>
      <c r="AM290" s="4" t="s">
        <v>22</v>
      </c>
      <c r="AN290" s="4" t="s">
        <v>22</v>
      </c>
      <c r="AO290" s="4" t="s">
        <v>22</v>
      </c>
      <c r="AP290" s="4" t="s">
        <v>22</v>
      </c>
      <c r="AQ290" s="4" t="s">
        <v>22</v>
      </c>
    </row>
    <row r="291" spans="29:43"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  <c r="AH291" s="4" t="s">
        <v>22</v>
      </c>
      <c r="AI291" s="4" t="s">
        <v>22</v>
      </c>
      <c r="AK291" s="4" t="s">
        <v>22</v>
      </c>
      <c r="AL291" s="4" t="s">
        <v>22</v>
      </c>
      <c r="AM291" s="4" t="s">
        <v>22</v>
      </c>
      <c r="AN291" s="4" t="s">
        <v>22</v>
      </c>
      <c r="AO291" s="4" t="s">
        <v>22</v>
      </c>
      <c r="AP291" s="4" t="s">
        <v>22</v>
      </c>
      <c r="AQ291" s="4" t="s">
        <v>22</v>
      </c>
    </row>
    <row r="292" spans="29:43">
      <c r="AC292" s="4" t="s">
        <v>22</v>
      </c>
      <c r="AD292" s="4" t="s">
        <v>22</v>
      </c>
      <c r="AE292" s="4" t="s">
        <v>22</v>
      </c>
      <c r="AF292" s="4" t="s">
        <v>22</v>
      </c>
      <c r="AG292" s="4" t="s">
        <v>22</v>
      </c>
      <c r="AH292" s="4" t="s">
        <v>22</v>
      </c>
      <c r="AI292" s="4" t="s">
        <v>22</v>
      </c>
      <c r="AK292" s="4" t="s">
        <v>22</v>
      </c>
      <c r="AL292" s="4" t="s">
        <v>22</v>
      </c>
      <c r="AM292" s="4" t="s">
        <v>22</v>
      </c>
      <c r="AN292" s="4" t="s">
        <v>22</v>
      </c>
      <c r="AO292" s="4" t="s">
        <v>22</v>
      </c>
      <c r="AP292" s="4" t="s">
        <v>22</v>
      </c>
      <c r="AQ292" s="4" t="s">
        <v>22</v>
      </c>
    </row>
    <row r="293" spans="29:43"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  <c r="AH293" s="4" t="s">
        <v>22</v>
      </c>
      <c r="AI293" s="4" t="s">
        <v>22</v>
      </c>
      <c r="AK293" s="4" t="s">
        <v>22</v>
      </c>
      <c r="AL293" s="4" t="s">
        <v>22</v>
      </c>
      <c r="AM293" s="4" t="s">
        <v>22</v>
      </c>
      <c r="AN293" s="4" t="s">
        <v>22</v>
      </c>
      <c r="AO293" s="4" t="s">
        <v>22</v>
      </c>
      <c r="AP293" s="4" t="s">
        <v>22</v>
      </c>
      <c r="AQ293" s="4" t="s">
        <v>22</v>
      </c>
    </row>
    <row r="294" spans="29:43">
      <c r="AC294" s="4" t="s">
        <v>22</v>
      </c>
      <c r="AD294" s="4" t="s">
        <v>22</v>
      </c>
      <c r="AE294" s="4" t="s">
        <v>22</v>
      </c>
      <c r="AF294" s="4" t="s">
        <v>22</v>
      </c>
      <c r="AG294" s="4" t="s">
        <v>22</v>
      </c>
      <c r="AH294" s="4" t="s">
        <v>22</v>
      </c>
      <c r="AI294" s="4" t="s">
        <v>22</v>
      </c>
      <c r="AK294" s="4" t="s">
        <v>22</v>
      </c>
      <c r="AL294" s="4" t="s">
        <v>22</v>
      </c>
      <c r="AM294" s="4" t="s">
        <v>22</v>
      </c>
      <c r="AN294" s="4" t="s">
        <v>22</v>
      </c>
      <c r="AO294" s="4" t="s">
        <v>22</v>
      </c>
      <c r="AP294" s="4" t="s">
        <v>22</v>
      </c>
      <c r="AQ294" s="4" t="s">
        <v>22</v>
      </c>
    </row>
    <row r="295" spans="29:43">
      <c r="AC295" s="4" t="s">
        <v>22</v>
      </c>
      <c r="AD295" s="4" t="s">
        <v>22</v>
      </c>
      <c r="AE295" s="4" t="s">
        <v>22</v>
      </c>
      <c r="AF295" s="4" t="s">
        <v>22</v>
      </c>
      <c r="AG295" s="4" t="s">
        <v>22</v>
      </c>
      <c r="AH295" s="4" t="s">
        <v>22</v>
      </c>
      <c r="AI295" s="4" t="s">
        <v>22</v>
      </c>
      <c r="AK295" s="4" t="s">
        <v>22</v>
      </c>
      <c r="AL295" s="4" t="s">
        <v>22</v>
      </c>
      <c r="AM295" s="4" t="s">
        <v>22</v>
      </c>
      <c r="AN295" s="4" t="s">
        <v>22</v>
      </c>
      <c r="AO295" s="4" t="s">
        <v>22</v>
      </c>
      <c r="AP295" s="4" t="s">
        <v>22</v>
      </c>
      <c r="AQ295" s="4" t="s">
        <v>22</v>
      </c>
    </row>
    <row r="296" spans="29:43">
      <c r="AC296" s="4" t="s">
        <v>22</v>
      </c>
      <c r="AD296" s="4" t="s">
        <v>22</v>
      </c>
      <c r="AE296" s="4" t="s">
        <v>22</v>
      </c>
      <c r="AF296" s="4" t="s">
        <v>22</v>
      </c>
      <c r="AG296" s="4" t="s">
        <v>22</v>
      </c>
      <c r="AH296" s="4" t="s">
        <v>22</v>
      </c>
      <c r="AI296" s="4" t="s">
        <v>22</v>
      </c>
      <c r="AK296" s="4" t="s">
        <v>22</v>
      </c>
      <c r="AL296" s="4" t="s">
        <v>22</v>
      </c>
      <c r="AM296" s="4" t="s">
        <v>22</v>
      </c>
      <c r="AN296" s="4" t="s">
        <v>22</v>
      </c>
      <c r="AO296" s="4" t="s">
        <v>22</v>
      </c>
      <c r="AP296" s="4" t="s">
        <v>22</v>
      </c>
      <c r="AQ296" s="4" t="s">
        <v>22</v>
      </c>
    </row>
    <row r="297" spans="29:43">
      <c r="AC297" s="4" t="s">
        <v>22</v>
      </c>
      <c r="AD297" s="4" t="s">
        <v>22</v>
      </c>
      <c r="AE297" s="4" t="s">
        <v>22</v>
      </c>
      <c r="AF297" s="4" t="s">
        <v>22</v>
      </c>
      <c r="AG297" s="4" t="s">
        <v>22</v>
      </c>
      <c r="AH297" s="4" t="s">
        <v>22</v>
      </c>
      <c r="AI297" s="4" t="s">
        <v>22</v>
      </c>
      <c r="AK297" s="4" t="s">
        <v>22</v>
      </c>
      <c r="AL297" s="4" t="s">
        <v>22</v>
      </c>
      <c r="AM297" s="4" t="s">
        <v>22</v>
      </c>
      <c r="AN297" s="4" t="s">
        <v>22</v>
      </c>
      <c r="AO297" s="4" t="s">
        <v>22</v>
      </c>
      <c r="AP297" s="4" t="s">
        <v>22</v>
      </c>
      <c r="AQ297" s="4" t="s">
        <v>22</v>
      </c>
    </row>
    <row r="298" spans="29:43">
      <c r="AC298" s="4" t="s">
        <v>22</v>
      </c>
      <c r="AD298" s="4" t="s">
        <v>22</v>
      </c>
      <c r="AE298" s="4" t="s">
        <v>22</v>
      </c>
      <c r="AF298" s="4" t="s">
        <v>22</v>
      </c>
      <c r="AG298" s="4" t="s">
        <v>22</v>
      </c>
      <c r="AH298" s="4" t="s">
        <v>22</v>
      </c>
      <c r="AI298" s="4" t="s">
        <v>22</v>
      </c>
      <c r="AK298" s="4" t="s">
        <v>22</v>
      </c>
      <c r="AL298" s="4" t="s">
        <v>22</v>
      </c>
      <c r="AM298" s="4" t="s">
        <v>22</v>
      </c>
      <c r="AN298" s="4" t="s">
        <v>22</v>
      </c>
      <c r="AO298" s="4" t="s">
        <v>22</v>
      </c>
      <c r="AP298" s="4" t="s">
        <v>22</v>
      </c>
      <c r="AQ298" s="4" t="s">
        <v>22</v>
      </c>
    </row>
    <row r="299" spans="29:43">
      <c r="AC299" s="4" t="s">
        <v>22</v>
      </c>
      <c r="AD299" s="4" t="s">
        <v>22</v>
      </c>
      <c r="AE299" s="4" t="s">
        <v>22</v>
      </c>
      <c r="AF299" s="4" t="s">
        <v>22</v>
      </c>
      <c r="AG299" s="4" t="s">
        <v>22</v>
      </c>
      <c r="AH299" s="4" t="s">
        <v>22</v>
      </c>
      <c r="AI299" s="4" t="s">
        <v>22</v>
      </c>
      <c r="AK299" s="4" t="s">
        <v>22</v>
      </c>
      <c r="AL299" s="4" t="s">
        <v>22</v>
      </c>
      <c r="AM299" s="4" t="s">
        <v>22</v>
      </c>
      <c r="AN299" s="4" t="s">
        <v>22</v>
      </c>
      <c r="AO299" s="4" t="s">
        <v>22</v>
      </c>
      <c r="AP299" s="4" t="s">
        <v>22</v>
      </c>
      <c r="AQ299" s="4" t="s">
        <v>22</v>
      </c>
    </row>
    <row r="300" spans="29:43">
      <c r="AC300" s="4" t="s">
        <v>22</v>
      </c>
      <c r="AD300" s="4" t="s">
        <v>22</v>
      </c>
      <c r="AE300" s="4" t="s">
        <v>22</v>
      </c>
      <c r="AF300" s="4" t="s">
        <v>22</v>
      </c>
      <c r="AG300" s="4" t="s">
        <v>22</v>
      </c>
      <c r="AH300" s="4" t="s">
        <v>22</v>
      </c>
      <c r="AI300" s="4" t="s">
        <v>22</v>
      </c>
      <c r="AK300" s="4" t="s">
        <v>22</v>
      </c>
      <c r="AL300" s="4" t="s">
        <v>22</v>
      </c>
      <c r="AM300" s="4" t="s">
        <v>22</v>
      </c>
      <c r="AN300" s="4" t="s">
        <v>22</v>
      </c>
      <c r="AO300" s="4" t="s">
        <v>22</v>
      </c>
      <c r="AP300" s="4" t="s">
        <v>22</v>
      </c>
      <c r="AQ300" s="4" t="s">
        <v>22</v>
      </c>
    </row>
    <row r="301" spans="29:43">
      <c r="AC301" s="4" t="s">
        <v>22</v>
      </c>
      <c r="AD301" s="4" t="s">
        <v>22</v>
      </c>
      <c r="AE301" s="4" t="s">
        <v>22</v>
      </c>
      <c r="AF301" s="4" t="s">
        <v>22</v>
      </c>
      <c r="AG301" s="4" t="s">
        <v>22</v>
      </c>
      <c r="AH301" s="4" t="s">
        <v>22</v>
      </c>
      <c r="AI301" s="4" t="s">
        <v>22</v>
      </c>
      <c r="AK301" s="4" t="s">
        <v>22</v>
      </c>
      <c r="AL301" s="4" t="s">
        <v>22</v>
      </c>
      <c r="AM301" s="4" t="s">
        <v>22</v>
      </c>
      <c r="AN301" s="4" t="s">
        <v>22</v>
      </c>
      <c r="AO301" s="4" t="s">
        <v>22</v>
      </c>
      <c r="AP301" s="4" t="s">
        <v>22</v>
      </c>
      <c r="AQ301" s="4" t="s">
        <v>22</v>
      </c>
    </row>
    <row r="302" spans="29:43">
      <c r="AC302" s="4" t="s">
        <v>22</v>
      </c>
      <c r="AD302" s="4" t="s">
        <v>22</v>
      </c>
      <c r="AE302" s="4" t="s">
        <v>22</v>
      </c>
      <c r="AF302" s="4" t="s">
        <v>22</v>
      </c>
      <c r="AG302" s="4" t="s">
        <v>22</v>
      </c>
      <c r="AH302" s="4" t="s">
        <v>22</v>
      </c>
      <c r="AI302" s="4" t="s">
        <v>22</v>
      </c>
      <c r="AK302" s="4" t="s">
        <v>22</v>
      </c>
      <c r="AL302" s="4" t="s">
        <v>22</v>
      </c>
      <c r="AM302" s="4" t="s">
        <v>22</v>
      </c>
      <c r="AN302" s="4" t="s">
        <v>22</v>
      </c>
      <c r="AO302" s="4" t="s">
        <v>22</v>
      </c>
      <c r="AP302" s="4" t="s">
        <v>22</v>
      </c>
      <c r="AQ302" s="4" t="s">
        <v>22</v>
      </c>
    </row>
    <row r="303" spans="29:43">
      <c r="AC303" s="4" t="s">
        <v>22</v>
      </c>
      <c r="AD303" s="4" t="s">
        <v>22</v>
      </c>
      <c r="AE303" s="4" t="s">
        <v>22</v>
      </c>
      <c r="AF303" s="4" t="s">
        <v>22</v>
      </c>
      <c r="AG303" s="4" t="s">
        <v>22</v>
      </c>
      <c r="AH303" s="4" t="s">
        <v>22</v>
      </c>
      <c r="AI303" s="4" t="s">
        <v>22</v>
      </c>
      <c r="AK303" s="4" t="s">
        <v>22</v>
      </c>
      <c r="AL303" s="4" t="s">
        <v>22</v>
      </c>
      <c r="AM303" s="4" t="s">
        <v>22</v>
      </c>
      <c r="AN303" s="4" t="s">
        <v>22</v>
      </c>
      <c r="AO303" s="4" t="s">
        <v>22</v>
      </c>
      <c r="AP303" s="4" t="s">
        <v>22</v>
      </c>
      <c r="AQ303" s="4" t="s">
        <v>22</v>
      </c>
    </row>
    <row r="304" spans="29:43">
      <c r="AC304" s="4" t="s">
        <v>22</v>
      </c>
      <c r="AD304" s="4" t="s">
        <v>22</v>
      </c>
      <c r="AE304" s="4" t="s">
        <v>22</v>
      </c>
      <c r="AF304" s="4" t="s">
        <v>22</v>
      </c>
      <c r="AG304" s="4" t="s">
        <v>22</v>
      </c>
      <c r="AH304" s="4" t="s">
        <v>22</v>
      </c>
      <c r="AI304" s="4" t="s">
        <v>22</v>
      </c>
      <c r="AK304" s="4" t="s">
        <v>22</v>
      </c>
      <c r="AL304" s="4" t="s">
        <v>22</v>
      </c>
      <c r="AM304" s="4" t="s">
        <v>22</v>
      </c>
      <c r="AN304" s="4" t="s">
        <v>22</v>
      </c>
      <c r="AO304" s="4" t="s">
        <v>22</v>
      </c>
      <c r="AP304" s="4" t="s">
        <v>22</v>
      </c>
      <c r="AQ304" s="4" t="s">
        <v>22</v>
      </c>
    </row>
    <row r="305" spans="1:43">
      <c r="K305" s="35"/>
      <c r="AC305" s="4" t="s">
        <v>22</v>
      </c>
      <c r="AD305" s="4" t="s">
        <v>22</v>
      </c>
      <c r="AE305" s="4" t="s">
        <v>22</v>
      </c>
      <c r="AF305" s="4" t="s">
        <v>22</v>
      </c>
      <c r="AG305" s="4" t="s">
        <v>22</v>
      </c>
      <c r="AH305" s="4" t="s">
        <v>22</v>
      </c>
      <c r="AI305" s="4" t="s">
        <v>22</v>
      </c>
      <c r="AK305" s="4" t="s">
        <v>22</v>
      </c>
      <c r="AL305" s="4" t="s">
        <v>22</v>
      </c>
      <c r="AM305" s="4" t="s">
        <v>22</v>
      </c>
      <c r="AN305" s="4" t="s">
        <v>22</v>
      </c>
      <c r="AO305" s="4" t="s">
        <v>22</v>
      </c>
      <c r="AP305" s="4" t="s">
        <v>22</v>
      </c>
      <c r="AQ305" s="4" t="s">
        <v>22</v>
      </c>
    </row>
    <row r="306" spans="1:4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AC306" s="4" t="s">
        <v>22</v>
      </c>
      <c r="AD306" s="4" t="s">
        <v>22</v>
      </c>
      <c r="AE306" s="4" t="s">
        <v>22</v>
      </c>
      <c r="AF306" s="4" t="s">
        <v>22</v>
      </c>
      <c r="AG306" s="4" t="s">
        <v>22</v>
      </c>
      <c r="AH306" s="4" t="s">
        <v>22</v>
      </c>
      <c r="AI306" s="4" t="s">
        <v>22</v>
      </c>
      <c r="AK306" s="4" t="s">
        <v>22</v>
      </c>
      <c r="AL306" s="4" t="s">
        <v>22</v>
      </c>
      <c r="AM306" s="4" t="s">
        <v>22</v>
      </c>
      <c r="AN306" s="4" t="s">
        <v>22</v>
      </c>
      <c r="AO306" s="4" t="s">
        <v>22</v>
      </c>
      <c r="AP306" s="4" t="s">
        <v>22</v>
      </c>
      <c r="AQ306" s="4" t="s">
        <v>22</v>
      </c>
    </row>
    <row r="307" spans="1:43">
      <c r="AC307" s="4" t="s">
        <v>22</v>
      </c>
      <c r="AD307" s="4" t="s">
        <v>22</v>
      </c>
      <c r="AE307" s="4" t="s">
        <v>22</v>
      </c>
      <c r="AF307" s="4" t="s">
        <v>22</v>
      </c>
      <c r="AG307" s="4" t="s">
        <v>22</v>
      </c>
      <c r="AH307" s="4" t="s">
        <v>22</v>
      </c>
      <c r="AI307" s="4" t="s">
        <v>22</v>
      </c>
      <c r="AK307" s="4" t="s">
        <v>22</v>
      </c>
      <c r="AL307" s="4" t="s">
        <v>22</v>
      </c>
      <c r="AM307" s="4" t="s">
        <v>22</v>
      </c>
      <c r="AN307" s="4" t="s">
        <v>22</v>
      </c>
      <c r="AO307" s="4" t="s">
        <v>22</v>
      </c>
      <c r="AP307" s="4" t="s">
        <v>22</v>
      </c>
      <c r="AQ307" s="4" t="s">
        <v>22</v>
      </c>
    </row>
    <row r="308" spans="1:43">
      <c r="AC308" s="4" t="s">
        <v>22</v>
      </c>
      <c r="AD308" s="4" t="s">
        <v>22</v>
      </c>
      <c r="AE308" s="4" t="s">
        <v>22</v>
      </c>
      <c r="AF308" s="4" t="s">
        <v>22</v>
      </c>
      <c r="AG308" s="4" t="s">
        <v>22</v>
      </c>
      <c r="AH308" s="4" t="s">
        <v>22</v>
      </c>
      <c r="AI308" s="4" t="s">
        <v>22</v>
      </c>
      <c r="AK308" s="4" t="s">
        <v>22</v>
      </c>
      <c r="AL308" s="4" t="s">
        <v>22</v>
      </c>
      <c r="AM308" s="4" t="s">
        <v>22</v>
      </c>
      <c r="AN308" s="4" t="s">
        <v>22</v>
      </c>
      <c r="AO308" s="4" t="s">
        <v>22</v>
      </c>
      <c r="AP308" s="4" t="s">
        <v>22</v>
      </c>
      <c r="AQ308" s="4" t="s">
        <v>22</v>
      </c>
    </row>
    <row r="309" spans="1:43">
      <c r="AC309" s="4" t="s">
        <v>22</v>
      </c>
      <c r="AD309" s="4" t="s">
        <v>22</v>
      </c>
      <c r="AE309" s="4" t="s">
        <v>22</v>
      </c>
      <c r="AF309" s="4" t="s">
        <v>22</v>
      </c>
      <c r="AG309" s="4" t="s">
        <v>22</v>
      </c>
      <c r="AH309" s="4" t="s">
        <v>22</v>
      </c>
      <c r="AI309" s="4" t="s">
        <v>22</v>
      </c>
      <c r="AK309" s="4" t="s">
        <v>22</v>
      </c>
      <c r="AL309" s="4" t="s">
        <v>22</v>
      </c>
      <c r="AM309" s="4" t="s">
        <v>22</v>
      </c>
      <c r="AN309" s="4" t="s">
        <v>22</v>
      </c>
      <c r="AO309" s="4" t="s">
        <v>22</v>
      </c>
      <c r="AP309" s="4" t="s">
        <v>22</v>
      </c>
      <c r="AQ309" s="4" t="s">
        <v>22</v>
      </c>
    </row>
    <row r="310" spans="1:43">
      <c r="AC310" s="4" t="s">
        <v>22</v>
      </c>
      <c r="AD310" s="4" t="s">
        <v>22</v>
      </c>
      <c r="AE310" s="4" t="s">
        <v>22</v>
      </c>
      <c r="AF310" s="4" t="s">
        <v>22</v>
      </c>
      <c r="AG310" s="4" t="s">
        <v>22</v>
      </c>
      <c r="AH310" s="4" t="s">
        <v>22</v>
      </c>
      <c r="AI310" s="4" t="s">
        <v>22</v>
      </c>
      <c r="AK310" s="4" t="s">
        <v>22</v>
      </c>
      <c r="AL310" s="4" t="s">
        <v>22</v>
      </c>
      <c r="AM310" s="4" t="s">
        <v>22</v>
      </c>
      <c r="AN310" s="4" t="s">
        <v>22</v>
      </c>
      <c r="AO310" s="4" t="s">
        <v>22</v>
      </c>
      <c r="AP310" s="4" t="s">
        <v>22</v>
      </c>
      <c r="AQ310" s="4" t="s">
        <v>22</v>
      </c>
    </row>
    <row r="311" spans="1:43">
      <c r="AC311" s="4" t="s">
        <v>22</v>
      </c>
      <c r="AD311" s="4" t="s">
        <v>22</v>
      </c>
      <c r="AE311" s="4" t="s">
        <v>22</v>
      </c>
      <c r="AF311" s="4" t="s">
        <v>22</v>
      </c>
      <c r="AG311" s="4" t="s">
        <v>22</v>
      </c>
      <c r="AH311" s="4" t="s">
        <v>22</v>
      </c>
      <c r="AI311" s="4" t="s">
        <v>22</v>
      </c>
      <c r="AK311" s="4" t="s">
        <v>22</v>
      </c>
      <c r="AL311" s="4" t="s">
        <v>22</v>
      </c>
      <c r="AM311" s="4" t="s">
        <v>22</v>
      </c>
      <c r="AN311" s="4" t="s">
        <v>22</v>
      </c>
      <c r="AO311" s="4" t="s">
        <v>22</v>
      </c>
      <c r="AP311" s="4" t="s">
        <v>22</v>
      </c>
      <c r="AQ311" s="4" t="s">
        <v>22</v>
      </c>
    </row>
    <row r="312" spans="1:43">
      <c r="AC312" s="4" t="s">
        <v>22</v>
      </c>
      <c r="AD312" s="4" t="s">
        <v>22</v>
      </c>
      <c r="AE312" s="4" t="s">
        <v>22</v>
      </c>
      <c r="AF312" s="4" t="s">
        <v>22</v>
      </c>
      <c r="AG312" s="4" t="s">
        <v>22</v>
      </c>
      <c r="AH312" s="4" t="s">
        <v>22</v>
      </c>
      <c r="AI312" s="4" t="s">
        <v>22</v>
      </c>
      <c r="AK312" s="4" t="s">
        <v>22</v>
      </c>
      <c r="AL312" s="4" t="s">
        <v>22</v>
      </c>
      <c r="AM312" s="4" t="s">
        <v>22</v>
      </c>
      <c r="AN312" s="4" t="s">
        <v>22</v>
      </c>
      <c r="AO312" s="4" t="s">
        <v>22</v>
      </c>
      <c r="AP312" s="4" t="s">
        <v>22</v>
      </c>
      <c r="AQ312" s="4" t="s">
        <v>22</v>
      </c>
    </row>
    <row r="313" spans="1:43">
      <c r="AC313" s="4" t="s">
        <v>22</v>
      </c>
      <c r="AD313" s="4" t="s">
        <v>22</v>
      </c>
      <c r="AE313" s="4" t="s">
        <v>22</v>
      </c>
      <c r="AF313" s="4" t="s">
        <v>22</v>
      </c>
      <c r="AG313" s="4" t="s">
        <v>22</v>
      </c>
      <c r="AH313" s="4" t="s">
        <v>22</v>
      </c>
      <c r="AI313" s="4" t="s">
        <v>22</v>
      </c>
      <c r="AK313" s="4" t="s">
        <v>22</v>
      </c>
      <c r="AL313" s="4" t="s">
        <v>22</v>
      </c>
      <c r="AM313" s="4" t="s">
        <v>22</v>
      </c>
      <c r="AN313" s="4" t="s">
        <v>22</v>
      </c>
      <c r="AO313" s="4" t="s">
        <v>22</v>
      </c>
      <c r="AP313" s="4" t="s">
        <v>22</v>
      </c>
      <c r="AQ313" s="4" t="s">
        <v>22</v>
      </c>
    </row>
    <row r="314" spans="1:43">
      <c r="AC314" s="4" t="s">
        <v>22</v>
      </c>
      <c r="AD314" s="4" t="s">
        <v>22</v>
      </c>
      <c r="AE314" s="4" t="s">
        <v>22</v>
      </c>
      <c r="AF314" s="4" t="s">
        <v>22</v>
      </c>
      <c r="AG314" s="4" t="s">
        <v>22</v>
      </c>
      <c r="AH314" s="4" t="s">
        <v>22</v>
      </c>
      <c r="AI314" s="4" t="s">
        <v>22</v>
      </c>
      <c r="AK314" s="4" t="s">
        <v>22</v>
      </c>
      <c r="AL314" s="4" t="s">
        <v>22</v>
      </c>
      <c r="AM314" s="4" t="s">
        <v>22</v>
      </c>
      <c r="AN314" s="4" t="s">
        <v>22</v>
      </c>
      <c r="AO314" s="4" t="s">
        <v>22</v>
      </c>
      <c r="AP314" s="4" t="s">
        <v>22</v>
      </c>
      <c r="AQ314" s="4" t="s">
        <v>22</v>
      </c>
    </row>
    <row r="315" spans="1:43">
      <c r="AC315" s="4" t="s">
        <v>22</v>
      </c>
      <c r="AD315" s="4" t="s">
        <v>22</v>
      </c>
      <c r="AE315" s="4" t="s">
        <v>22</v>
      </c>
      <c r="AF315" s="4" t="s">
        <v>22</v>
      </c>
      <c r="AG315" s="4" t="s">
        <v>22</v>
      </c>
      <c r="AH315" s="4" t="s">
        <v>22</v>
      </c>
      <c r="AI315" s="4" t="s">
        <v>22</v>
      </c>
      <c r="AK315" s="4" t="s">
        <v>22</v>
      </c>
      <c r="AL315" s="4" t="s">
        <v>22</v>
      </c>
      <c r="AM315" s="4" t="s">
        <v>22</v>
      </c>
      <c r="AN315" s="4" t="s">
        <v>22</v>
      </c>
      <c r="AO315" s="4" t="s">
        <v>22</v>
      </c>
      <c r="AP315" s="4" t="s">
        <v>22</v>
      </c>
      <c r="AQ315" s="4" t="s">
        <v>22</v>
      </c>
    </row>
    <row r="316" spans="1:43">
      <c r="AC316" s="4" t="s">
        <v>22</v>
      </c>
      <c r="AD316" s="4" t="s">
        <v>22</v>
      </c>
      <c r="AE316" s="4" t="s">
        <v>22</v>
      </c>
      <c r="AF316" s="4" t="s">
        <v>22</v>
      </c>
      <c r="AG316" s="4" t="s">
        <v>22</v>
      </c>
      <c r="AH316" s="4" t="s">
        <v>22</v>
      </c>
      <c r="AI316" s="4" t="s">
        <v>22</v>
      </c>
      <c r="AK316" s="4" t="s">
        <v>22</v>
      </c>
      <c r="AL316" s="4" t="s">
        <v>22</v>
      </c>
      <c r="AM316" s="4" t="s">
        <v>22</v>
      </c>
      <c r="AN316" s="4" t="s">
        <v>22</v>
      </c>
      <c r="AO316" s="4" t="s">
        <v>22</v>
      </c>
      <c r="AP316" s="4" t="s">
        <v>22</v>
      </c>
      <c r="AQ316" s="4" t="s">
        <v>22</v>
      </c>
    </row>
    <row r="317" spans="1:43">
      <c r="AC317" s="4" t="s">
        <v>22</v>
      </c>
      <c r="AD317" s="4" t="s">
        <v>22</v>
      </c>
      <c r="AE317" s="4" t="s">
        <v>22</v>
      </c>
      <c r="AF317" s="4" t="s">
        <v>22</v>
      </c>
      <c r="AG317" s="4" t="s">
        <v>22</v>
      </c>
      <c r="AH317" s="4" t="s">
        <v>22</v>
      </c>
      <c r="AI317" s="4" t="s">
        <v>22</v>
      </c>
      <c r="AK317" s="4" t="s">
        <v>22</v>
      </c>
      <c r="AL317" s="4" t="s">
        <v>22</v>
      </c>
      <c r="AM317" s="4" t="s">
        <v>22</v>
      </c>
      <c r="AN317" s="4" t="s">
        <v>22</v>
      </c>
      <c r="AO317" s="4" t="s">
        <v>22</v>
      </c>
      <c r="AP317" s="4" t="s">
        <v>22</v>
      </c>
      <c r="AQ317" s="4" t="s">
        <v>22</v>
      </c>
    </row>
    <row r="318" spans="1:43">
      <c r="AC318" s="4" t="s">
        <v>22</v>
      </c>
      <c r="AD318" s="4" t="s">
        <v>22</v>
      </c>
      <c r="AE318" s="4" t="s">
        <v>22</v>
      </c>
      <c r="AF318" s="4" t="s">
        <v>22</v>
      </c>
      <c r="AG318" s="4" t="s">
        <v>22</v>
      </c>
      <c r="AH318" s="4" t="s">
        <v>22</v>
      </c>
      <c r="AI318" s="4" t="s">
        <v>22</v>
      </c>
      <c r="AK318" s="4" t="s">
        <v>22</v>
      </c>
      <c r="AL318" s="4" t="s">
        <v>22</v>
      </c>
      <c r="AM318" s="4" t="s">
        <v>22</v>
      </c>
      <c r="AN318" s="4" t="s">
        <v>22</v>
      </c>
      <c r="AO318" s="4" t="s">
        <v>22</v>
      </c>
      <c r="AP318" s="4" t="s">
        <v>22</v>
      </c>
      <c r="AQ318" s="4" t="s">
        <v>22</v>
      </c>
    </row>
    <row r="319" spans="1:43">
      <c r="AC319" s="4" t="s">
        <v>22</v>
      </c>
      <c r="AD319" s="4" t="s">
        <v>22</v>
      </c>
      <c r="AE319" s="4" t="s">
        <v>22</v>
      </c>
      <c r="AF319" s="4" t="s">
        <v>22</v>
      </c>
      <c r="AG319" s="4" t="s">
        <v>22</v>
      </c>
      <c r="AH319" s="4" t="s">
        <v>22</v>
      </c>
      <c r="AI319" s="4" t="s">
        <v>22</v>
      </c>
      <c r="AK319" s="4" t="s">
        <v>22</v>
      </c>
      <c r="AL319" s="4" t="s">
        <v>22</v>
      </c>
      <c r="AM319" s="4" t="s">
        <v>22</v>
      </c>
      <c r="AN319" s="4" t="s">
        <v>22</v>
      </c>
      <c r="AO319" s="4" t="s">
        <v>22</v>
      </c>
      <c r="AP319" s="4" t="s">
        <v>22</v>
      </c>
      <c r="AQ319" s="4" t="s">
        <v>22</v>
      </c>
    </row>
    <row r="320" spans="1:43">
      <c r="AC320" s="4" t="s">
        <v>22</v>
      </c>
      <c r="AD320" s="4" t="s">
        <v>22</v>
      </c>
      <c r="AE320" s="4" t="s">
        <v>22</v>
      </c>
      <c r="AF320" s="4" t="s">
        <v>22</v>
      </c>
      <c r="AG320" s="4" t="s">
        <v>22</v>
      </c>
      <c r="AH320" s="4" t="s">
        <v>22</v>
      </c>
      <c r="AI320" s="4" t="s">
        <v>22</v>
      </c>
      <c r="AK320" s="4" t="s">
        <v>22</v>
      </c>
      <c r="AL320" s="4" t="s">
        <v>22</v>
      </c>
      <c r="AM320" s="4" t="s">
        <v>22</v>
      </c>
      <c r="AN320" s="4" t="s">
        <v>22</v>
      </c>
      <c r="AO320" s="4" t="s">
        <v>22</v>
      </c>
      <c r="AP320" s="4" t="s">
        <v>22</v>
      </c>
      <c r="AQ320" s="4" t="s">
        <v>22</v>
      </c>
    </row>
    <row r="321" spans="29:43">
      <c r="AC321" s="4" t="s">
        <v>22</v>
      </c>
      <c r="AD321" s="4" t="s">
        <v>22</v>
      </c>
      <c r="AE321" s="4" t="s">
        <v>22</v>
      </c>
      <c r="AF321" s="4" t="s">
        <v>22</v>
      </c>
      <c r="AG321" s="4" t="s">
        <v>22</v>
      </c>
      <c r="AH321" s="4" t="s">
        <v>22</v>
      </c>
      <c r="AI321" s="4" t="s">
        <v>22</v>
      </c>
      <c r="AK321" s="4" t="s">
        <v>22</v>
      </c>
      <c r="AL321" s="4" t="s">
        <v>22</v>
      </c>
      <c r="AM321" s="4" t="s">
        <v>22</v>
      </c>
      <c r="AN321" s="4" t="s">
        <v>22</v>
      </c>
      <c r="AO321" s="4" t="s">
        <v>22</v>
      </c>
      <c r="AP321" s="4" t="s">
        <v>22</v>
      </c>
      <c r="AQ321" s="4" t="s">
        <v>22</v>
      </c>
    </row>
    <row r="322" spans="29:43">
      <c r="AC322" s="4" t="s">
        <v>22</v>
      </c>
      <c r="AD322" s="4" t="s">
        <v>22</v>
      </c>
      <c r="AE322" s="4" t="s">
        <v>22</v>
      </c>
      <c r="AF322" s="4" t="s">
        <v>22</v>
      </c>
      <c r="AG322" s="4" t="s">
        <v>22</v>
      </c>
      <c r="AH322" s="4" t="s">
        <v>22</v>
      </c>
      <c r="AI322" s="4" t="s">
        <v>22</v>
      </c>
      <c r="AK322" s="4" t="s">
        <v>22</v>
      </c>
      <c r="AL322" s="4" t="s">
        <v>22</v>
      </c>
      <c r="AM322" s="4" t="s">
        <v>22</v>
      </c>
      <c r="AN322" s="4" t="s">
        <v>22</v>
      </c>
      <c r="AO322" s="4" t="s">
        <v>22</v>
      </c>
      <c r="AP322" s="4" t="s">
        <v>22</v>
      </c>
      <c r="AQ322" s="4" t="s">
        <v>22</v>
      </c>
    </row>
    <row r="323" spans="29:43">
      <c r="AC323" s="4" t="s">
        <v>22</v>
      </c>
      <c r="AD323" s="4" t="s">
        <v>22</v>
      </c>
      <c r="AE323" s="4" t="s">
        <v>22</v>
      </c>
      <c r="AF323" s="4" t="s">
        <v>22</v>
      </c>
      <c r="AG323" s="4" t="s">
        <v>22</v>
      </c>
      <c r="AH323" s="4" t="s">
        <v>22</v>
      </c>
      <c r="AI323" s="4" t="s">
        <v>22</v>
      </c>
      <c r="AK323" s="4" t="s">
        <v>22</v>
      </c>
      <c r="AL323" s="4" t="s">
        <v>22</v>
      </c>
      <c r="AM323" s="4" t="s">
        <v>22</v>
      </c>
      <c r="AN323" s="4" t="s">
        <v>22</v>
      </c>
      <c r="AO323" s="4" t="s">
        <v>22</v>
      </c>
      <c r="AP323" s="4" t="s">
        <v>22</v>
      </c>
      <c r="AQ323" s="4" t="s">
        <v>22</v>
      </c>
    </row>
    <row r="324" spans="29:43"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  <c r="AO324" s="4" t="s">
        <v>22</v>
      </c>
      <c r="AP324" s="4" t="s">
        <v>22</v>
      </c>
      <c r="AQ324" s="4" t="s">
        <v>22</v>
      </c>
    </row>
    <row r="325" spans="29:43">
      <c r="AC325" s="4" t="s">
        <v>22</v>
      </c>
      <c r="AD325" s="4" t="s">
        <v>22</v>
      </c>
      <c r="AE325" s="4" t="s">
        <v>22</v>
      </c>
      <c r="AF325" s="4" t="s">
        <v>22</v>
      </c>
      <c r="AG325" s="4" t="s">
        <v>22</v>
      </c>
      <c r="AH325" s="4" t="s">
        <v>22</v>
      </c>
      <c r="AI325" s="4" t="s">
        <v>22</v>
      </c>
      <c r="AK325" s="4" t="s">
        <v>22</v>
      </c>
      <c r="AL325" s="4" t="s">
        <v>22</v>
      </c>
      <c r="AM325" s="4" t="s">
        <v>22</v>
      </c>
      <c r="AN325" s="4" t="s">
        <v>22</v>
      </c>
      <c r="AO325" s="4" t="s">
        <v>22</v>
      </c>
      <c r="AP325" s="4" t="s">
        <v>22</v>
      </c>
      <c r="AQ325" s="4" t="s">
        <v>22</v>
      </c>
    </row>
    <row r="326" spans="29:43"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  <c r="AH326" s="4" t="s">
        <v>22</v>
      </c>
      <c r="AI326" s="4" t="s">
        <v>22</v>
      </c>
      <c r="AK326" s="4" t="s">
        <v>22</v>
      </c>
      <c r="AL326" s="4" t="s">
        <v>22</v>
      </c>
      <c r="AM326" s="4" t="s">
        <v>22</v>
      </c>
      <c r="AN326" s="4" t="s">
        <v>22</v>
      </c>
      <c r="AO326" s="4" t="s">
        <v>22</v>
      </c>
      <c r="AP326" s="4" t="s">
        <v>22</v>
      </c>
      <c r="AQ326" s="4" t="s">
        <v>22</v>
      </c>
    </row>
    <row r="327" spans="29:43">
      <c r="AC327" s="4" t="s">
        <v>22</v>
      </c>
      <c r="AD327" s="4" t="s">
        <v>22</v>
      </c>
      <c r="AE327" s="4" t="s">
        <v>22</v>
      </c>
      <c r="AF327" s="4" t="s">
        <v>22</v>
      </c>
      <c r="AG327" s="4" t="s">
        <v>22</v>
      </c>
      <c r="AH327" s="4" t="s">
        <v>22</v>
      </c>
      <c r="AI327" s="4" t="s">
        <v>22</v>
      </c>
      <c r="AK327" s="4" t="s">
        <v>22</v>
      </c>
      <c r="AL327" s="4" t="s">
        <v>22</v>
      </c>
      <c r="AM327" s="4" t="s">
        <v>22</v>
      </c>
      <c r="AN327" s="4" t="s">
        <v>22</v>
      </c>
      <c r="AO327" s="4" t="s">
        <v>22</v>
      </c>
      <c r="AP327" s="4" t="s">
        <v>22</v>
      </c>
      <c r="AQ327" s="4" t="s">
        <v>22</v>
      </c>
    </row>
    <row r="328" spans="29:43">
      <c r="AC328" s="4" t="s">
        <v>22</v>
      </c>
      <c r="AD328" s="4" t="s">
        <v>22</v>
      </c>
      <c r="AE328" s="4" t="s">
        <v>22</v>
      </c>
      <c r="AF328" s="4" t="s">
        <v>22</v>
      </c>
      <c r="AG328" s="4" t="s">
        <v>22</v>
      </c>
      <c r="AH328" s="4" t="s">
        <v>22</v>
      </c>
      <c r="AI328" s="4" t="s">
        <v>22</v>
      </c>
      <c r="AK328" s="4" t="s">
        <v>22</v>
      </c>
      <c r="AL328" s="4" t="s">
        <v>22</v>
      </c>
      <c r="AM328" s="4" t="s">
        <v>22</v>
      </c>
      <c r="AN328" s="4" t="s">
        <v>22</v>
      </c>
      <c r="AO328" s="4" t="s">
        <v>22</v>
      </c>
      <c r="AP328" s="4" t="s">
        <v>22</v>
      </c>
      <c r="AQ328" s="4" t="s">
        <v>22</v>
      </c>
    </row>
    <row r="329" spans="29:43"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  <c r="AO329" s="4" t="s">
        <v>22</v>
      </c>
      <c r="AP329" s="4" t="s">
        <v>22</v>
      </c>
      <c r="AQ329" s="4" t="s">
        <v>22</v>
      </c>
    </row>
    <row r="330" spans="29:43">
      <c r="AC330" s="4" t="s">
        <v>22</v>
      </c>
      <c r="AD330" s="4" t="s">
        <v>22</v>
      </c>
      <c r="AE330" s="4" t="s">
        <v>22</v>
      </c>
      <c r="AF330" s="4" t="s">
        <v>22</v>
      </c>
      <c r="AG330" s="4" t="s">
        <v>22</v>
      </c>
      <c r="AH330" s="4" t="s">
        <v>22</v>
      </c>
      <c r="AI330" s="4" t="s">
        <v>22</v>
      </c>
      <c r="AK330" s="4" t="s">
        <v>22</v>
      </c>
      <c r="AL330" s="4" t="s">
        <v>22</v>
      </c>
      <c r="AM330" s="4" t="s">
        <v>22</v>
      </c>
      <c r="AN330" s="4" t="s">
        <v>22</v>
      </c>
      <c r="AO330" s="4" t="s">
        <v>22</v>
      </c>
      <c r="AP330" s="4" t="s">
        <v>22</v>
      </c>
      <c r="AQ330" s="4" t="s">
        <v>22</v>
      </c>
    </row>
    <row r="331" spans="29:43">
      <c r="AC331" s="4" t="s">
        <v>22</v>
      </c>
      <c r="AD331" s="4" t="s">
        <v>22</v>
      </c>
      <c r="AE331" s="4" t="s">
        <v>22</v>
      </c>
      <c r="AF331" s="4" t="s">
        <v>22</v>
      </c>
      <c r="AG331" s="4" t="s">
        <v>22</v>
      </c>
      <c r="AH331" s="4" t="s">
        <v>22</v>
      </c>
      <c r="AI331" s="4" t="s">
        <v>22</v>
      </c>
      <c r="AK331" s="4" t="s">
        <v>22</v>
      </c>
      <c r="AL331" s="4" t="s">
        <v>22</v>
      </c>
      <c r="AM331" s="4" t="s">
        <v>22</v>
      </c>
      <c r="AN331" s="4" t="s">
        <v>22</v>
      </c>
      <c r="AO331" s="4" t="s">
        <v>22</v>
      </c>
      <c r="AP331" s="4" t="s">
        <v>22</v>
      </c>
      <c r="AQ331" s="4" t="s">
        <v>22</v>
      </c>
    </row>
    <row r="332" spans="29:43">
      <c r="AC332" s="4" t="s">
        <v>22</v>
      </c>
      <c r="AD332" s="4" t="s">
        <v>22</v>
      </c>
      <c r="AE332" s="4" t="s">
        <v>22</v>
      </c>
      <c r="AF332" s="4" t="s">
        <v>22</v>
      </c>
      <c r="AG332" s="4" t="s">
        <v>22</v>
      </c>
      <c r="AH332" s="4" t="s">
        <v>22</v>
      </c>
      <c r="AI332" s="4" t="s">
        <v>22</v>
      </c>
      <c r="AK332" s="4" t="s">
        <v>22</v>
      </c>
      <c r="AL332" s="4" t="s">
        <v>22</v>
      </c>
      <c r="AM332" s="4" t="s">
        <v>22</v>
      </c>
      <c r="AN332" s="4" t="s">
        <v>22</v>
      </c>
      <c r="AO332" s="4" t="s">
        <v>22</v>
      </c>
      <c r="AP332" s="4" t="s">
        <v>22</v>
      </c>
      <c r="AQ332" s="4" t="s">
        <v>22</v>
      </c>
    </row>
    <row r="333" spans="29:43">
      <c r="AC333" s="4" t="s">
        <v>22</v>
      </c>
      <c r="AD333" s="4" t="s">
        <v>22</v>
      </c>
      <c r="AE333" s="4" t="s">
        <v>22</v>
      </c>
      <c r="AF333" s="4" t="s">
        <v>22</v>
      </c>
      <c r="AG333" s="4" t="s">
        <v>22</v>
      </c>
      <c r="AH333" s="4" t="s">
        <v>22</v>
      </c>
      <c r="AI333" s="4" t="s">
        <v>22</v>
      </c>
      <c r="AK333" s="4" t="s">
        <v>22</v>
      </c>
      <c r="AL333" s="4" t="s">
        <v>22</v>
      </c>
      <c r="AM333" s="4" t="s">
        <v>22</v>
      </c>
      <c r="AN333" s="4" t="s">
        <v>22</v>
      </c>
      <c r="AO333" s="4" t="s">
        <v>22</v>
      </c>
      <c r="AP333" s="4" t="s">
        <v>22</v>
      </c>
      <c r="AQ333" s="4" t="s">
        <v>22</v>
      </c>
    </row>
    <row r="334" spans="29:43"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  <c r="AO334" s="4" t="s">
        <v>22</v>
      </c>
      <c r="AP334" s="4" t="s">
        <v>22</v>
      </c>
      <c r="AQ334" s="4" t="s">
        <v>22</v>
      </c>
    </row>
    <row r="335" spans="29:43">
      <c r="AC335" s="4" t="s">
        <v>22</v>
      </c>
      <c r="AD335" s="4" t="s">
        <v>22</v>
      </c>
      <c r="AE335" s="4" t="s">
        <v>22</v>
      </c>
      <c r="AF335" s="4" t="s">
        <v>22</v>
      </c>
      <c r="AG335" s="4" t="s">
        <v>22</v>
      </c>
      <c r="AH335" s="4" t="s">
        <v>22</v>
      </c>
      <c r="AI335" s="4" t="s">
        <v>22</v>
      </c>
      <c r="AK335" s="4" t="s">
        <v>22</v>
      </c>
      <c r="AL335" s="4" t="s">
        <v>22</v>
      </c>
      <c r="AM335" s="4" t="s">
        <v>22</v>
      </c>
      <c r="AN335" s="4" t="s">
        <v>22</v>
      </c>
      <c r="AO335" s="4" t="s">
        <v>22</v>
      </c>
      <c r="AP335" s="4" t="s">
        <v>22</v>
      </c>
      <c r="AQ335" s="4" t="s">
        <v>22</v>
      </c>
    </row>
    <row r="336" spans="29:43">
      <c r="AC336" s="4" t="s">
        <v>22</v>
      </c>
      <c r="AD336" s="4" t="s">
        <v>22</v>
      </c>
      <c r="AE336" s="4" t="s">
        <v>22</v>
      </c>
      <c r="AF336" s="4" t="s">
        <v>22</v>
      </c>
      <c r="AG336" s="4" t="s">
        <v>22</v>
      </c>
      <c r="AH336" s="4" t="s">
        <v>22</v>
      </c>
      <c r="AI336" s="4" t="s">
        <v>22</v>
      </c>
      <c r="AK336" s="4" t="s">
        <v>22</v>
      </c>
      <c r="AL336" s="4" t="s">
        <v>22</v>
      </c>
      <c r="AM336" s="4" t="s">
        <v>22</v>
      </c>
      <c r="AN336" s="4" t="s">
        <v>22</v>
      </c>
      <c r="AO336" s="4" t="s">
        <v>22</v>
      </c>
      <c r="AP336" s="4" t="s">
        <v>22</v>
      </c>
      <c r="AQ336" s="4" t="s">
        <v>22</v>
      </c>
    </row>
    <row r="337" spans="29:43">
      <c r="AC337" s="4" t="s">
        <v>22</v>
      </c>
      <c r="AD337" s="4" t="s">
        <v>22</v>
      </c>
      <c r="AE337" s="4" t="s">
        <v>22</v>
      </c>
      <c r="AF337" s="4" t="s">
        <v>22</v>
      </c>
      <c r="AG337" s="4" t="s">
        <v>22</v>
      </c>
      <c r="AH337" s="4" t="s">
        <v>22</v>
      </c>
      <c r="AI337" s="4" t="s">
        <v>22</v>
      </c>
      <c r="AK337" s="4" t="s">
        <v>22</v>
      </c>
      <c r="AL337" s="4" t="s">
        <v>22</v>
      </c>
      <c r="AM337" s="4" t="s">
        <v>22</v>
      </c>
      <c r="AN337" s="4" t="s">
        <v>22</v>
      </c>
      <c r="AO337" s="4" t="s">
        <v>22</v>
      </c>
      <c r="AP337" s="4" t="s">
        <v>22</v>
      </c>
      <c r="AQ337" s="4" t="s">
        <v>22</v>
      </c>
    </row>
    <row r="338" spans="29:43">
      <c r="AC338" s="4" t="s">
        <v>22</v>
      </c>
      <c r="AD338" s="4" t="s">
        <v>22</v>
      </c>
      <c r="AE338" s="4" t="s">
        <v>22</v>
      </c>
      <c r="AF338" s="4" t="s">
        <v>22</v>
      </c>
      <c r="AG338" s="4" t="s">
        <v>22</v>
      </c>
      <c r="AH338" s="4" t="s">
        <v>22</v>
      </c>
      <c r="AI338" s="4" t="s">
        <v>22</v>
      </c>
      <c r="AK338" s="4" t="s">
        <v>22</v>
      </c>
      <c r="AL338" s="4" t="s">
        <v>22</v>
      </c>
      <c r="AM338" s="4" t="s">
        <v>22</v>
      </c>
      <c r="AN338" s="4" t="s">
        <v>22</v>
      </c>
      <c r="AO338" s="4" t="s">
        <v>22</v>
      </c>
      <c r="AP338" s="4" t="s">
        <v>22</v>
      </c>
      <c r="AQ338" s="4" t="s">
        <v>22</v>
      </c>
    </row>
    <row r="339" spans="29:43"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  <c r="AO339" s="4" t="s">
        <v>22</v>
      </c>
      <c r="AP339" s="4" t="s">
        <v>22</v>
      </c>
      <c r="AQ339" s="4" t="s">
        <v>22</v>
      </c>
    </row>
    <row r="340" spans="29:43"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  <c r="AH340" s="4" t="s">
        <v>22</v>
      </c>
      <c r="AI340" s="4" t="s">
        <v>22</v>
      </c>
      <c r="AK340" s="4" t="s">
        <v>22</v>
      </c>
      <c r="AL340" s="4" t="s">
        <v>22</v>
      </c>
      <c r="AM340" s="4" t="s">
        <v>22</v>
      </c>
      <c r="AN340" s="4" t="s">
        <v>22</v>
      </c>
      <c r="AO340" s="4" t="s">
        <v>22</v>
      </c>
      <c r="AP340" s="4" t="s">
        <v>22</v>
      </c>
      <c r="AQ340" s="4" t="s">
        <v>22</v>
      </c>
    </row>
    <row r="341" spans="29:43"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  <c r="AO341" s="4" t="s">
        <v>22</v>
      </c>
      <c r="AP341" s="4" t="s">
        <v>22</v>
      </c>
      <c r="AQ341" s="4" t="s">
        <v>22</v>
      </c>
    </row>
    <row r="342" spans="29:43">
      <c r="AC342" s="4" t="s">
        <v>22</v>
      </c>
      <c r="AD342" s="4" t="s">
        <v>22</v>
      </c>
      <c r="AE342" s="4" t="s">
        <v>22</v>
      </c>
      <c r="AF342" s="4" t="s">
        <v>22</v>
      </c>
      <c r="AG342" s="4" t="s">
        <v>22</v>
      </c>
      <c r="AH342" s="4" t="s">
        <v>22</v>
      </c>
      <c r="AI342" s="4" t="s">
        <v>22</v>
      </c>
      <c r="AK342" s="4" t="s">
        <v>22</v>
      </c>
      <c r="AL342" s="4" t="s">
        <v>22</v>
      </c>
      <c r="AM342" s="4" t="s">
        <v>22</v>
      </c>
      <c r="AN342" s="4" t="s">
        <v>22</v>
      </c>
      <c r="AO342" s="4" t="s">
        <v>22</v>
      </c>
      <c r="AP342" s="4" t="s">
        <v>22</v>
      </c>
      <c r="AQ342" s="4" t="s">
        <v>22</v>
      </c>
    </row>
    <row r="343" spans="29:43"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  <c r="AH343" s="4" t="s">
        <v>22</v>
      </c>
      <c r="AI343" s="4" t="s">
        <v>22</v>
      </c>
      <c r="AK343" s="4" t="s">
        <v>22</v>
      </c>
      <c r="AL343" s="4" t="s">
        <v>22</v>
      </c>
      <c r="AM343" s="4" t="s">
        <v>22</v>
      </c>
      <c r="AN343" s="4" t="s">
        <v>22</v>
      </c>
      <c r="AO343" s="4" t="s">
        <v>22</v>
      </c>
      <c r="AP343" s="4" t="s">
        <v>22</v>
      </c>
      <c r="AQ343" s="4" t="s">
        <v>22</v>
      </c>
    </row>
    <row r="344" spans="29:43"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  <c r="AH344" s="4" t="s">
        <v>22</v>
      </c>
      <c r="AI344" s="4" t="s">
        <v>22</v>
      </c>
      <c r="AK344" s="4" t="s">
        <v>22</v>
      </c>
      <c r="AL344" s="4" t="s">
        <v>22</v>
      </c>
      <c r="AM344" s="4" t="s">
        <v>22</v>
      </c>
      <c r="AN344" s="4" t="s">
        <v>22</v>
      </c>
      <c r="AO344" s="4" t="s">
        <v>22</v>
      </c>
      <c r="AP344" s="4" t="s">
        <v>22</v>
      </c>
      <c r="AQ344" s="4" t="s">
        <v>22</v>
      </c>
    </row>
    <row r="345" spans="29:43">
      <c r="AC345" s="4" t="s">
        <v>22</v>
      </c>
      <c r="AD345" s="4" t="s">
        <v>22</v>
      </c>
      <c r="AE345" s="4" t="s">
        <v>22</v>
      </c>
      <c r="AF345" s="4" t="s">
        <v>22</v>
      </c>
      <c r="AG345" s="4" t="s">
        <v>22</v>
      </c>
      <c r="AH345" s="4" t="s">
        <v>22</v>
      </c>
      <c r="AI345" s="4" t="s">
        <v>22</v>
      </c>
      <c r="AK345" s="4" t="s">
        <v>22</v>
      </c>
      <c r="AL345" s="4" t="s">
        <v>22</v>
      </c>
      <c r="AM345" s="4" t="s">
        <v>22</v>
      </c>
      <c r="AN345" s="4" t="s">
        <v>22</v>
      </c>
      <c r="AO345" s="4" t="s">
        <v>22</v>
      </c>
      <c r="AP345" s="4" t="s">
        <v>22</v>
      </c>
      <c r="AQ345" s="4" t="s">
        <v>22</v>
      </c>
    </row>
    <row r="346" spans="29:43"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  <c r="AH346" s="4" t="s">
        <v>22</v>
      </c>
      <c r="AI346" s="4" t="s">
        <v>22</v>
      </c>
      <c r="AK346" s="4" t="s">
        <v>22</v>
      </c>
      <c r="AL346" s="4" t="s">
        <v>22</v>
      </c>
      <c r="AM346" s="4" t="s">
        <v>22</v>
      </c>
      <c r="AN346" s="4" t="s">
        <v>22</v>
      </c>
      <c r="AO346" s="4" t="s">
        <v>22</v>
      </c>
      <c r="AP346" s="4" t="s">
        <v>22</v>
      </c>
      <c r="AQ346" s="4" t="s">
        <v>22</v>
      </c>
    </row>
    <row r="347" spans="29:43">
      <c r="AC347" s="4" t="s">
        <v>22</v>
      </c>
      <c r="AD347" s="4" t="s">
        <v>22</v>
      </c>
      <c r="AE347" s="4" t="s">
        <v>22</v>
      </c>
      <c r="AF347" s="4" t="s">
        <v>22</v>
      </c>
      <c r="AG347" s="4" t="s">
        <v>22</v>
      </c>
      <c r="AH347" s="4" t="s">
        <v>22</v>
      </c>
      <c r="AI347" s="4" t="s">
        <v>22</v>
      </c>
      <c r="AK347" s="4" t="s">
        <v>22</v>
      </c>
      <c r="AL347" s="4" t="s">
        <v>22</v>
      </c>
      <c r="AM347" s="4" t="s">
        <v>22</v>
      </c>
      <c r="AN347" s="4" t="s">
        <v>22</v>
      </c>
      <c r="AO347" s="4" t="s">
        <v>22</v>
      </c>
      <c r="AP347" s="4" t="s">
        <v>22</v>
      </c>
      <c r="AQ347" s="4" t="s">
        <v>22</v>
      </c>
    </row>
    <row r="348" spans="29:43">
      <c r="AC348" s="4" t="s">
        <v>22</v>
      </c>
      <c r="AD348" s="4" t="s">
        <v>22</v>
      </c>
      <c r="AE348" s="4" t="s">
        <v>22</v>
      </c>
      <c r="AF348" s="4" t="s">
        <v>22</v>
      </c>
      <c r="AG348" s="4" t="s">
        <v>22</v>
      </c>
      <c r="AH348" s="4" t="s">
        <v>22</v>
      </c>
      <c r="AI348" s="4" t="s">
        <v>22</v>
      </c>
      <c r="AK348" s="4" t="s">
        <v>22</v>
      </c>
      <c r="AL348" s="4" t="s">
        <v>22</v>
      </c>
      <c r="AM348" s="4" t="s">
        <v>22</v>
      </c>
      <c r="AN348" s="4" t="s">
        <v>22</v>
      </c>
      <c r="AO348" s="4" t="s">
        <v>22</v>
      </c>
      <c r="AP348" s="4" t="s">
        <v>22</v>
      </c>
      <c r="AQ348" s="4" t="s">
        <v>22</v>
      </c>
    </row>
    <row r="349" spans="29:43"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  <c r="AO349" s="4" t="s">
        <v>22</v>
      </c>
      <c r="AP349" s="4" t="s">
        <v>22</v>
      </c>
      <c r="AQ349" s="4" t="s">
        <v>22</v>
      </c>
    </row>
    <row r="350" spans="29:43">
      <c r="AC350" s="4" t="s">
        <v>22</v>
      </c>
      <c r="AD350" s="4" t="s">
        <v>22</v>
      </c>
      <c r="AE350" s="4" t="s">
        <v>22</v>
      </c>
      <c r="AF350" s="4" t="s">
        <v>22</v>
      </c>
      <c r="AG350" s="4" t="s">
        <v>22</v>
      </c>
      <c r="AH350" s="4" t="s">
        <v>22</v>
      </c>
      <c r="AI350" s="4" t="s">
        <v>22</v>
      </c>
      <c r="AK350" s="4" t="s">
        <v>22</v>
      </c>
      <c r="AL350" s="4" t="s">
        <v>22</v>
      </c>
      <c r="AM350" s="4" t="s">
        <v>22</v>
      </c>
      <c r="AN350" s="4" t="s">
        <v>22</v>
      </c>
      <c r="AO350" s="4" t="s">
        <v>22</v>
      </c>
      <c r="AP350" s="4" t="s">
        <v>22</v>
      </c>
      <c r="AQ350" s="4" t="s">
        <v>22</v>
      </c>
    </row>
    <row r="351" spans="29:43"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  <c r="AO351" s="4" t="s">
        <v>22</v>
      </c>
      <c r="AP351" s="4" t="s">
        <v>22</v>
      </c>
      <c r="AQ351" s="4" t="s">
        <v>22</v>
      </c>
    </row>
    <row r="352" spans="29:43">
      <c r="AC352" s="4" t="s">
        <v>22</v>
      </c>
      <c r="AD352" s="4" t="s">
        <v>22</v>
      </c>
      <c r="AE352" s="4" t="s">
        <v>22</v>
      </c>
      <c r="AF352" s="4" t="s">
        <v>22</v>
      </c>
      <c r="AG352" s="4" t="s">
        <v>22</v>
      </c>
      <c r="AH352" s="4" t="s">
        <v>22</v>
      </c>
      <c r="AI352" s="4" t="s">
        <v>22</v>
      </c>
      <c r="AK352" s="4" t="s">
        <v>22</v>
      </c>
      <c r="AL352" s="4" t="s">
        <v>22</v>
      </c>
      <c r="AM352" s="4" t="s">
        <v>22</v>
      </c>
      <c r="AN352" s="4" t="s">
        <v>22</v>
      </c>
      <c r="AO352" s="4" t="s">
        <v>22</v>
      </c>
      <c r="AP352" s="4" t="s">
        <v>22</v>
      </c>
      <c r="AQ352" s="4" t="s">
        <v>22</v>
      </c>
    </row>
    <row r="353" spans="29:43">
      <c r="AC353" s="4" t="s">
        <v>22</v>
      </c>
      <c r="AD353" s="4" t="s">
        <v>22</v>
      </c>
      <c r="AE353" s="4" t="s">
        <v>22</v>
      </c>
      <c r="AF353" s="4" t="s">
        <v>22</v>
      </c>
      <c r="AG353" s="4" t="s">
        <v>22</v>
      </c>
      <c r="AH353" s="4" t="s">
        <v>22</v>
      </c>
      <c r="AI353" s="4" t="s">
        <v>22</v>
      </c>
      <c r="AK353" s="4" t="s">
        <v>22</v>
      </c>
      <c r="AL353" s="4" t="s">
        <v>22</v>
      </c>
      <c r="AM353" s="4" t="s">
        <v>22</v>
      </c>
      <c r="AN353" s="4" t="s">
        <v>22</v>
      </c>
      <c r="AO353" s="4" t="s">
        <v>22</v>
      </c>
      <c r="AP353" s="4" t="s">
        <v>22</v>
      </c>
      <c r="AQ353" s="4" t="s">
        <v>22</v>
      </c>
    </row>
    <row r="354" spans="29:43">
      <c r="AC354" s="4" t="s">
        <v>22</v>
      </c>
      <c r="AD354" s="4" t="s">
        <v>22</v>
      </c>
      <c r="AE354" s="4" t="s">
        <v>22</v>
      </c>
      <c r="AF354" s="4" t="s">
        <v>22</v>
      </c>
      <c r="AG354" s="4" t="s">
        <v>22</v>
      </c>
      <c r="AH354" s="4" t="s">
        <v>22</v>
      </c>
      <c r="AI354" s="4" t="s">
        <v>22</v>
      </c>
      <c r="AK354" s="4" t="s">
        <v>22</v>
      </c>
      <c r="AL354" s="4" t="s">
        <v>22</v>
      </c>
      <c r="AM354" s="4" t="s">
        <v>22</v>
      </c>
      <c r="AN354" s="4" t="s">
        <v>22</v>
      </c>
      <c r="AO354" s="4" t="s">
        <v>22</v>
      </c>
      <c r="AP354" s="4" t="s">
        <v>22</v>
      </c>
      <c r="AQ354" s="4" t="s">
        <v>22</v>
      </c>
    </row>
    <row r="355" spans="29:43"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  <c r="AH355" s="4" t="s">
        <v>22</v>
      </c>
      <c r="AI355" s="4" t="s">
        <v>22</v>
      </c>
      <c r="AK355" s="4" t="s">
        <v>22</v>
      </c>
      <c r="AL355" s="4" t="s">
        <v>22</v>
      </c>
      <c r="AM355" s="4" t="s">
        <v>22</v>
      </c>
      <c r="AN355" s="4" t="s">
        <v>22</v>
      </c>
      <c r="AO355" s="4" t="s">
        <v>22</v>
      </c>
      <c r="AP355" s="4" t="s">
        <v>22</v>
      </c>
      <c r="AQ355" s="4" t="s">
        <v>22</v>
      </c>
    </row>
    <row r="356" spans="29:43">
      <c r="AC356" s="4" t="s">
        <v>22</v>
      </c>
      <c r="AD356" s="4" t="s">
        <v>22</v>
      </c>
      <c r="AE356" s="4" t="s">
        <v>22</v>
      </c>
      <c r="AF356" s="4" t="s">
        <v>22</v>
      </c>
      <c r="AG356" s="4" t="s">
        <v>22</v>
      </c>
      <c r="AH356" s="4" t="s">
        <v>22</v>
      </c>
      <c r="AI356" s="4" t="s">
        <v>22</v>
      </c>
      <c r="AK356" s="4" t="s">
        <v>22</v>
      </c>
      <c r="AL356" s="4" t="s">
        <v>22</v>
      </c>
      <c r="AM356" s="4" t="s">
        <v>22</v>
      </c>
      <c r="AN356" s="4" t="s">
        <v>22</v>
      </c>
      <c r="AO356" s="4" t="s">
        <v>22</v>
      </c>
      <c r="AP356" s="4" t="s">
        <v>22</v>
      </c>
      <c r="AQ356" s="4" t="s">
        <v>22</v>
      </c>
    </row>
    <row r="357" spans="29:43"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  <c r="AH357" s="4" t="s">
        <v>22</v>
      </c>
      <c r="AI357" s="4" t="s">
        <v>22</v>
      </c>
      <c r="AK357" s="4" t="s">
        <v>22</v>
      </c>
      <c r="AL357" s="4" t="s">
        <v>22</v>
      </c>
      <c r="AM357" s="4" t="s">
        <v>22</v>
      </c>
      <c r="AN357" s="4" t="s">
        <v>22</v>
      </c>
      <c r="AO357" s="4" t="s">
        <v>22</v>
      </c>
      <c r="AP357" s="4" t="s">
        <v>22</v>
      </c>
      <c r="AQ357" s="4" t="s">
        <v>22</v>
      </c>
    </row>
    <row r="358" spans="29:43">
      <c r="AC358" s="4" t="s">
        <v>22</v>
      </c>
      <c r="AD358" s="4" t="s">
        <v>22</v>
      </c>
      <c r="AE358" s="4" t="s">
        <v>22</v>
      </c>
      <c r="AF358" s="4" t="s">
        <v>22</v>
      </c>
      <c r="AG358" s="4" t="s">
        <v>22</v>
      </c>
      <c r="AH358" s="4" t="s">
        <v>22</v>
      </c>
      <c r="AI358" s="4" t="s">
        <v>22</v>
      </c>
      <c r="AK358" s="4" t="s">
        <v>22</v>
      </c>
      <c r="AL358" s="4" t="s">
        <v>22</v>
      </c>
      <c r="AM358" s="4" t="s">
        <v>22</v>
      </c>
      <c r="AN358" s="4" t="s">
        <v>22</v>
      </c>
      <c r="AO358" s="4" t="s">
        <v>22</v>
      </c>
      <c r="AP358" s="4" t="s">
        <v>22</v>
      </c>
      <c r="AQ358" s="4" t="s">
        <v>22</v>
      </c>
    </row>
    <row r="359" spans="29:43">
      <c r="AC359" s="4" t="s">
        <v>22</v>
      </c>
      <c r="AD359" s="4" t="s">
        <v>22</v>
      </c>
      <c r="AE359" s="4" t="s">
        <v>22</v>
      </c>
      <c r="AF359" s="4" t="s">
        <v>22</v>
      </c>
      <c r="AG359" s="4" t="s">
        <v>22</v>
      </c>
      <c r="AH359" s="4" t="s">
        <v>22</v>
      </c>
      <c r="AI359" s="4" t="s">
        <v>22</v>
      </c>
      <c r="AK359" s="4" t="s">
        <v>22</v>
      </c>
      <c r="AL359" s="4" t="s">
        <v>22</v>
      </c>
      <c r="AM359" s="4" t="s">
        <v>22</v>
      </c>
      <c r="AN359" s="4" t="s">
        <v>22</v>
      </c>
      <c r="AO359" s="4" t="s">
        <v>22</v>
      </c>
      <c r="AP359" s="4" t="s">
        <v>22</v>
      </c>
      <c r="AQ359" s="4" t="s">
        <v>22</v>
      </c>
    </row>
    <row r="360" spans="29:43"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  <c r="AH360" s="4" t="s">
        <v>22</v>
      </c>
      <c r="AI360" s="4" t="s">
        <v>22</v>
      </c>
      <c r="AK360" s="4" t="s">
        <v>22</v>
      </c>
      <c r="AL360" s="4" t="s">
        <v>22</v>
      </c>
      <c r="AM360" s="4" t="s">
        <v>22</v>
      </c>
      <c r="AN360" s="4" t="s">
        <v>22</v>
      </c>
      <c r="AO360" s="4" t="s">
        <v>22</v>
      </c>
      <c r="AP360" s="4" t="s">
        <v>22</v>
      </c>
      <c r="AQ360" s="4" t="s">
        <v>22</v>
      </c>
    </row>
    <row r="361" spans="29:43">
      <c r="AC361" s="4" t="s">
        <v>22</v>
      </c>
      <c r="AD361" s="4" t="s">
        <v>22</v>
      </c>
      <c r="AE361" s="4" t="s">
        <v>22</v>
      </c>
      <c r="AF361" s="4" t="s">
        <v>22</v>
      </c>
      <c r="AG361" s="4" t="s">
        <v>22</v>
      </c>
      <c r="AH361" s="4" t="s">
        <v>22</v>
      </c>
      <c r="AI361" s="4" t="s">
        <v>22</v>
      </c>
      <c r="AK361" s="4" t="s">
        <v>22</v>
      </c>
      <c r="AL361" s="4" t="s">
        <v>22</v>
      </c>
      <c r="AM361" s="4" t="s">
        <v>22</v>
      </c>
      <c r="AN361" s="4" t="s">
        <v>22</v>
      </c>
      <c r="AO361" s="4" t="s">
        <v>22</v>
      </c>
      <c r="AP361" s="4" t="s">
        <v>22</v>
      </c>
      <c r="AQ361" s="4" t="s">
        <v>22</v>
      </c>
    </row>
    <row r="362" spans="29:43">
      <c r="AC362" s="4" t="s">
        <v>22</v>
      </c>
      <c r="AD362" s="4" t="s">
        <v>22</v>
      </c>
      <c r="AE362" s="4" t="s">
        <v>22</v>
      </c>
      <c r="AF362" s="4" t="s">
        <v>22</v>
      </c>
      <c r="AG362" s="4" t="s">
        <v>22</v>
      </c>
      <c r="AH362" s="4" t="s">
        <v>22</v>
      </c>
      <c r="AI362" s="4" t="s">
        <v>22</v>
      </c>
      <c r="AK362" s="4" t="s">
        <v>22</v>
      </c>
      <c r="AL362" s="4" t="s">
        <v>22</v>
      </c>
      <c r="AM362" s="4" t="s">
        <v>22</v>
      </c>
      <c r="AN362" s="4" t="s">
        <v>22</v>
      </c>
      <c r="AO362" s="4" t="s">
        <v>22</v>
      </c>
      <c r="AP362" s="4" t="s">
        <v>22</v>
      </c>
      <c r="AQ362" s="4" t="s">
        <v>22</v>
      </c>
    </row>
    <row r="363" spans="29:43">
      <c r="AC363" s="4" t="s">
        <v>22</v>
      </c>
      <c r="AD363" s="4" t="s">
        <v>22</v>
      </c>
      <c r="AE363" s="4" t="s">
        <v>22</v>
      </c>
      <c r="AF363" s="4" t="s">
        <v>22</v>
      </c>
      <c r="AG363" s="4" t="s">
        <v>22</v>
      </c>
      <c r="AH363" s="4" t="s">
        <v>22</v>
      </c>
      <c r="AI363" s="4" t="s">
        <v>22</v>
      </c>
      <c r="AK363" s="4" t="s">
        <v>22</v>
      </c>
      <c r="AL363" s="4" t="s">
        <v>22</v>
      </c>
      <c r="AM363" s="4" t="s">
        <v>22</v>
      </c>
      <c r="AN363" s="4" t="s">
        <v>22</v>
      </c>
      <c r="AO363" s="4" t="s">
        <v>22</v>
      </c>
      <c r="AP363" s="4" t="s">
        <v>22</v>
      </c>
      <c r="AQ363" s="4" t="s">
        <v>22</v>
      </c>
    </row>
    <row r="364" spans="29:43">
      <c r="AC364" s="4" t="s">
        <v>22</v>
      </c>
      <c r="AD364" s="4" t="s">
        <v>22</v>
      </c>
      <c r="AE364" s="4" t="s">
        <v>22</v>
      </c>
      <c r="AF364" s="4" t="s">
        <v>22</v>
      </c>
      <c r="AG364" s="4" t="s">
        <v>22</v>
      </c>
      <c r="AH364" s="4" t="s">
        <v>22</v>
      </c>
      <c r="AI364" s="4" t="s">
        <v>22</v>
      </c>
      <c r="AK364" s="4" t="s">
        <v>22</v>
      </c>
      <c r="AL364" s="4" t="s">
        <v>22</v>
      </c>
      <c r="AM364" s="4" t="s">
        <v>22</v>
      </c>
      <c r="AN364" s="4" t="s">
        <v>22</v>
      </c>
      <c r="AO364" s="4" t="s">
        <v>22</v>
      </c>
      <c r="AP364" s="4" t="s">
        <v>22</v>
      </c>
      <c r="AQ364" s="4" t="s">
        <v>22</v>
      </c>
    </row>
    <row r="365" spans="29:43">
      <c r="AC365" s="4" t="s">
        <v>22</v>
      </c>
      <c r="AD365" s="4" t="s">
        <v>22</v>
      </c>
      <c r="AE365" s="4" t="s">
        <v>22</v>
      </c>
      <c r="AF365" s="4" t="s">
        <v>22</v>
      </c>
      <c r="AG365" s="4" t="s">
        <v>22</v>
      </c>
      <c r="AH365" s="4" t="s">
        <v>22</v>
      </c>
      <c r="AI365" s="4" t="s">
        <v>22</v>
      </c>
      <c r="AK365" s="4" t="s">
        <v>22</v>
      </c>
      <c r="AL365" s="4" t="s">
        <v>22</v>
      </c>
      <c r="AM365" s="4" t="s">
        <v>22</v>
      </c>
      <c r="AN365" s="4" t="s">
        <v>22</v>
      </c>
      <c r="AO365" s="4" t="s">
        <v>22</v>
      </c>
      <c r="AP365" s="4" t="s">
        <v>22</v>
      </c>
      <c r="AQ365" s="4" t="s">
        <v>22</v>
      </c>
    </row>
    <row r="366" spans="29:43">
      <c r="AC366" s="4" t="s">
        <v>22</v>
      </c>
      <c r="AD366" s="4" t="s">
        <v>22</v>
      </c>
      <c r="AE366" s="4" t="s">
        <v>22</v>
      </c>
      <c r="AF366" s="4" t="s">
        <v>22</v>
      </c>
      <c r="AG366" s="4" t="s">
        <v>22</v>
      </c>
      <c r="AH366" s="4" t="s">
        <v>22</v>
      </c>
      <c r="AI366" s="4" t="s">
        <v>22</v>
      </c>
      <c r="AK366" s="4" t="s">
        <v>22</v>
      </c>
      <c r="AL366" s="4" t="s">
        <v>22</v>
      </c>
      <c r="AM366" s="4" t="s">
        <v>22</v>
      </c>
      <c r="AN366" s="4" t="s">
        <v>22</v>
      </c>
      <c r="AO366" s="4" t="s">
        <v>22</v>
      </c>
      <c r="AP366" s="4" t="s">
        <v>22</v>
      </c>
      <c r="AQ366" s="4" t="s">
        <v>22</v>
      </c>
    </row>
    <row r="367" spans="29:43">
      <c r="AC367" s="4" t="s">
        <v>22</v>
      </c>
      <c r="AD367" s="4" t="s">
        <v>22</v>
      </c>
      <c r="AE367" s="4" t="s">
        <v>22</v>
      </c>
      <c r="AF367" s="4" t="s">
        <v>22</v>
      </c>
      <c r="AG367" s="4" t="s">
        <v>22</v>
      </c>
      <c r="AH367" s="4" t="s">
        <v>22</v>
      </c>
      <c r="AI367" s="4" t="s">
        <v>22</v>
      </c>
      <c r="AK367" s="4" t="s">
        <v>22</v>
      </c>
      <c r="AL367" s="4" t="s">
        <v>22</v>
      </c>
      <c r="AM367" s="4" t="s">
        <v>22</v>
      </c>
      <c r="AN367" s="4" t="s">
        <v>22</v>
      </c>
      <c r="AO367" s="4" t="s">
        <v>22</v>
      </c>
      <c r="AP367" s="4" t="s">
        <v>22</v>
      </c>
      <c r="AQ367" s="4" t="s">
        <v>22</v>
      </c>
    </row>
    <row r="368" spans="29:43">
      <c r="AC368" s="4" t="s">
        <v>22</v>
      </c>
      <c r="AD368" s="4" t="s">
        <v>22</v>
      </c>
      <c r="AE368" s="4" t="s">
        <v>22</v>
      </c>
      <c r="AF368" s="4" t="s">
        <v>22</v>
      </c>
      <c r="AG368" s="4" t="s">
        <v>22</v>
      </c>
      <c r="AH368" s="4" t="s">
        <v>22</v>
      </c>
      <c r="AI368" s="4" t="s">
        <v>22</v>
      </c>
      <c r="AK368" s="4" t="s">
        <v>22</v>
      </c>
      <c r="AL368" s="4" t="s">
        <v>22</v>
      </c>
      <c r="AM368" s="4" t="s">
        <v>22</v>
      </c>
      <c r="AN368" s="4" t="s">
        <v>22</v>
      </c>
      <c r="AO368" s="4" t="s">
        <v>22</v>
      </c>
      <c r="AP368" s="4" t="s">
        <v>22</v>
      </c>
      <c r="AQ368" s="4" t="s">
        <v>22</v>
      </c>
    </row>
    <row r="369" spans="29:43"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  <c r="AH369" s="4" t="s">
        <v>22</v>
      </c>
      <c r="AI369" s="4" t="s">
        <v>22</v>
      </c>
      <c r="AK369" s="4" t="s">
        <v>22</v>
      </c>
      <c r="AL369" s="4" t="s">
        <v>22</v>
      </c>
      <c r="AM369" s="4" t="s">
        <v>22</v>
      </c>
      <c r="AN369" s="4" t="s">
        <v>22</v>
      </c>
      <c r="AO369" s="4" t="s">
        <v>22</v>
      </c>
      <c r="AP369" s="4" t="s">
        <v>22</v>
      </c>
      <c r="AQ369" s="4" t="s">
        <v>22</v>
      </c>
    </row>
    <row r="370" spans="29:43">
      <c r="AC370" s="4" t="s">
        <v>22</v>
      </c>
      <c r="AD370" s="4" t="s">
        <v>22</v>
      </c>
      <c r="AE370" s="4" t="s">
        <v>22</v>
      </c>
      <c r="AF370" s="4" t="s">
        <v>22</v>
      </c>
      <c r="AG370" s="4" t="s">
        <v>22</v>
      </c>
      <c r="AH370" s="4" t="s">
        <v>22</v>
      </c>
      <c r="AI370" s="4" t="s">
        <v>22</v>
      </c>
      <c r="AK370" s="4" t="s">
        <v>22</v>
      </c>
      <c r="AL370" s="4" t="s">
        <v>22</v>
      </c>
      <c r="AM370" s="4" t="s">
        <v>22</v>
      </c>
      <c r="AN370" s="4" t="s">
        <v>22</v>
      </c>
      <c r="AO370" s="4" t="s">
        <v>22</v>
      </c>
      <c r="AP370" s="4" t="s">
        <v>22</v>
      </c>
      <c r="AQ370" s="4" t="s">
        <v>22</v>
      </c>
    </row>
    <row r="371" spans="29:43">
      <c r="AC371" s="4" t="s">
        <v>22</v>
      </c>
      <c r="AD371" s="4" t="s">
        <v>22</v>
      </c>
      <c r="AE371" s="4" t="s">
        <v>22</v>
      </c>
      <c r="AF371" s="4" t="s">
        <v>22</v>
      </c>
      <c r="AG371" s="4" t="s">
        <v>22</v>
      </c>
      <c r="AH371" s="4" t="s">
        <v>22</v>
      </c>
      <c r="AI371" s="4" t="s">
        <v>22</v>
      </c>
      <c r="AK371" s="4" t="s">
        <v>22</v>
      </c>
      <c r="AL371" s="4" t="s">
        <v>22</v>
      </c>
      <c r="AM371" s="4" t="s">
        <v>22</v>
      </c>
      <c r="AN371" s="4" t="s">
        <v>22</v>
      </c>
      <c r="AO371" s="4" t="s">
        <v>22</v>
      </c>
      <c r="AP371" s="4" t="s">
        <v>22</v>
      </c>
      <c r="AQ371" s="4" t="s">
        <v>22</v>
      </c>
    </row>
    <row r="372" spans="29:43">
      <c r="AC372" s="4" t="s">
        <v>22</v>
      </c>
      <c r="AD372" s="4" t="s">
        <v>22</v>
      </c>
      <c r="AE372" s="4" t="s">
        <v>22</v>
      </c>
      <c r="AF372" s="4" t="s">
        <v>22</v>
      </c>
      <c r="AG372" s="4" t="s">
        <v>22</v>
      </c>
      <c r="AH372" s="4" t="s">
        <v>22</v>
      </c>
      <c r="AI372" s="4" t="s">
        <v>22</v>
      </c>
      <c r="AK372" s="4" t="s">
        <v>22</v>
      </c>
      <c r="AL372" s="4" t="s">
        <v>22</v>
      </c>
      <c r="AM372" s="4" t="s">
        <v>22</v>
      </c>
      <c r="AN372" s="4" t="s">
        <v>22</v>
      </c>
      <c r="AO372" s="4" t="s">
        <v>22</v>
      </c>
      <c r="AP372" s="4" t="s">
        <v>22</v>
      </c>
      <c r="AQ372" s="4" t="s">
        <v>22</v>
      </c>
    </row>
    <row r="373" spans="29:43">
      <c r="AC373" s="4" t="s">
        <v>22</v>
      </c>
      <c r="AD373" s="4" t="s">
        <v>22</v>
      </c>
      <c r="AE373" s="4" t="s">
        <v>22</v>
      </c>
      <c r="AF373" s="4" t="s">
        <v>22</v>
      </c>
      <c r="AG373" s="4" t="s">
        <v>22</v>
      </c>
      <c r="AH373" s="4" t="s">
        <v>22</v>
      </c>
      <c r="AI373" s="4" t="s">
        <v>22</v>
      </c>
      <c r="AK373" s="4" t="s">
        <v>22</v>
      </c>
      <c r="AL373" s="4" t="s">
        <v>22</v>
      </c>
      <c r="AM373" s="4" t="s">
        <v>22</v>
      </c>
      <c r="AN373" s="4" t="s">
        <v>22</v>
      </c>
      <c r="AO373" s="4" t="s">
        <v>22</v>
      </c>
      <c r="AP373" s="4" t="s">
        <v>22</v>
      </c>
      <c r="AQ373" s="4" t="s">
        <v>22</v>
      </c>
    </row>
    <row r="374" spans="29:43">
      <c r="AC374" s="4" t="s">
        <v>22</v>
      </c>
      <c r="AD374" s="4" t="s">
        <v>22</v>
      </c>
      <c r="AE374" s="4" t="s">
        <v>22</v>
      </c>
      <c r="AF374" s="4" t="s">
        <v>22</v>
      </c>
      <c r="AG374" s="4" t="s">
        <v>22</v>
      </c>
      <c r="AH374" s="4" t="s">
        <v>22</v>
      </c>
      <c r="AI374" s="4" t="s">
        <v>22</v>
      </c>
      <c r="AK374" s="4" t="s">
        <v>22</v>
      </c>
      <c r="AL374" s="4" t="s">
        <v>22</v>
      </c>
      <c r="AM374" s="4" t="s">
        <v>22</v>
      </c>
      <c r="AN374" s="4" t="s">
        <v>22</v>
      </c>
      <c r="AO374" s="4" t="s">
        <v>22</v>
      </c>
      <c r="AP374" s="4" t="s">
        <v>22</v>
      </c>
      <c r="AQ374" s="4" t="s">
        <v>22</v>
      </c>
    </row>
    <row r="375" spans="29:43"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  <c r="AH375" s="4" t="s">
        <v>22</v>
      </c>
      <c r="AI375" s="4" t="s">
        <v>22</v>
      </c>
      <c r="AK375" s="4" t="s">
        <v>22</v>
      </c>
      <c r="AL375" s="4" t="s">
        <v>22</v>
      </c>
      <c r="AM375" s="4" t="s">
        <v>22</v>
      </c>
      <c r="AN375" s="4" t="s">
        <v>22</v>
      </c>
      <c r="AO375" s="4" t="s">
        <v>22</v>
      </c>
      <c r="AP375" s="4" t="s">
        <v>22</v>
      </c>
      <c r="AQ375" s="4" t="s">
        <v>22</v>
      </c>
    </row>
    <row r="376" spans="29:43">
      <c r="AC376" s="4" t="s">
        <v>22</v>
      </c>
      <c r="AD376" s="4" t="s">
        <v>22</v>
      </c>
      <c r="AE376" s="4" t="s">
        <v>22</v>
      </c>
      <c r="AF376" s="4" t="s">
        <v>22</v>
      </c>
      <c r="AG376" s="4" t="s">
        <v>22</v>
      </c>
      <c r="AH376" s="4" t="s">
        <v>22</v>
      </c>
      <c r="AI376" s="4" t="s">
        <v>22</v>
      </c>
      <c r="AK376" s="4" t="s">
        <v>22</v>
      </c>
      <c r="AL376" s="4" t="s">
        <v>22</v>
      </c>
      <c r="AM376" s="4" t="s">
        <v>22</v>
      </c>
      <c r="AN376" s="4" t="s">
        <v>22</v>
      </c>
      <c r="AO376" s="4" t="s">
        <v>22</v>
      </c>
      <c r="AP376" s="4" t="s">
        <v>22</v>
      </c>
      <c r="AQ376" s="4" t="s">
        <v>22</v>
      </c>
    </row>
    <row r="377" spans="29:43"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  <c r="AH377" s="4" t="s">
        <v>22</v>
      </c>
      <c r="AI377" s="4" t="s">
        <v>22</v>
      </c>
      <c r="AK377" s="4" t="s">
        <v>22</v>
      </c>
      <c r="AL377" s="4" t="s">
        <v>22</v>
      </c>
      <c r="AM377" s="4" t="s">
        <v>22</v>
      </c>
      <c r="AN377" s="4" t="s">
        <v>22</v>
      </c>
      <c r="AO377" s="4" t="s">
        <v>22</v>
      </c>
      <c r="AP377" s="4" t="s">
        <v>22</v>
      </c>
      <c r="AQ377" s="4" t="s">
        <v>22</v>
      </c>
    </row>
    <row r="378" spans="29:43">
      <c r="AC378" s="4" t="s">
        <v>22</v>
      </c>
      <c r="AD378" s="4" t="s">
        <v>22</v>
      </c>
      <c r="AE378" s="4" t="s">
        <v>22</v>
      </c>
      <c r="AF378" s="4" t="s">
        <v>22</v>
      </c>
      <c r="AG378" s="4" t="s">
        <v>22</v>
      </c>
      <c r="AH378" s="4" t="s">
        <v>22</v>
      </c>
      <c r="AI378" s="4" t="s">
        <v>22</v>
      </c>
      <c r="AK378" s="4" t="s">
        <v>22</v>
      </c>
      <c r="AL378" s="4" t="s">
        <v>22</v>
      </c>
      <c r="AM378" s="4" t="s">
        <v>22</v>
      </c>
      <c r="AN378" s="4" t="s">
        <v>22</v>
      </c>
      <c r="AO378" s="4" t="s">
        <v>22</v>
      </c>
      <c r="AP378" s="4" t="s">
        <v>22</v>
      </c>
      <c r="AQ378" s="4" t="s">
        <v>22</v>
      </c>
    </row>
    <row r="379" spans="29:43"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  <c r="AH379" s="4" t="s">
        <v>22</v>
      </c>
      <c r="AI379" s="4" t="s">
        <v>22</v>
      </c>
      <c r="AK379" s="4" t="s">
        <v>22</v>
      </c>
      <c r="AL379" s="4" t="s">
        <v>22</v>
      </c>
      <c r="AM379" s="4" t="s">
        <v>22</v>
      </c>
      <c r="AN379" s="4" t="s">
        <v>22</v>
      </c>
      <c r="AO379" s="4" t="s">
        <v>22</v>
      </c>
      <c r="AP379" s="4" t="s">
        <v>22</v>
      </c>
      <c r="AQ379" s="4" t="s">
        <v>22</v>
      </c>
    </row>
    <row r="380" spans="29:43">
      <c r="AC380" s="4" t="s">
        <v>22</v>
      </c>
      <c r="AD380" s="4" t="s">
        <v>22</v>
      </c>
      <c r="AE380" s="4" t="s">
        <v>22</v>
      </c>
      <c r="AF380" s="4" t="s">
        <v>22</v>
      </c>
      <c r="AG380" s="4" t="s">
        <v>22</v>
      </c>
      <c r="AH380" s="4" t="s">
        <v>22</v>
      </c>
      <c r="AI380" s="4" t="s">
        <v>22</v>
      </c>
      <c r="AK380" s="4" t="s">
        <v>22</v>
      </c>
      <c r="AL380" s="4" t="s">
        <v>22</v>
      </c>
      <c r="AM380" s="4" t="s">
        <v>22</v>
      </c>
      <c r="AN380" s="4" t="s">
        <v>22</v>
      </c>
      <c r="AO380" s="4" t="s">
        <v>22</v>
      </c>
      <c r="AP380" s="4" t="s">
        <v>22</v>
      </c>
      <c r="AQ380" s="4" t="s">
        <v>22</v>
      </c>
    </row>
    <row r="381" spans="29:43">
      <c r="AC381" s="4" t="s">
        <v>22</v>
      </c>
      <c r="AD381" s="4" t="s">
        <v>22</v>
      </c>
      <c r="AE381" s="4" t="s">
        <v>22</v>
      </c>
      <c r="AF381" s="4" t="s">
        <v>22</v>
      </c>
      <c r="AG381" s="4" t="s">
        <v>22</v>
      </c>
      <c r="AH381" s="4" t="s">
        <v>22</v>
      </c>
      <c r="AI381" s="4" t="s">
        <v>22</v>
      </c>
      <c r="AK381" s="4" t="s">
        <v>22</v>
      </c>
      <c r="AL381" s="4" t="s">
        <v>22</v>
      </c>
      <c r="AM381" s="4" t="s">
        <v>22</v>
      </c>
      <c r="AN381" s="4" t="s">
        <v>22</v>
      </c>
      <c r="AO381" s="4" t="s">
        <v>22</v>
      </c>
      <c r="AP381" s="4" t="s">
        <v>22</v>
      </c>
      <c r="AQ381" s="4" t="s">
        <v>22</v>
      </c>
    </row>
    <row r="382" spans="29:43"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  <c r="AO382" s="4" t="s">
        <v>22</v>
      </c>
      <c r="AP382" s="4" t="s">
        <v>22</v>
      </c>
      <c r="AQ382" s="4" t="s">
        <v>22</v>
      </c>
    </row>
    <row r="383" spans="29:43">
      <c r="AC383" s="4" t="s">
        <v>22</v>
      </c>
      <c r="AD383" s="4" t="s">
        <v>22</v>
      </c>
      <c r="AE383" s="4" t="s">
        <v>22</v>
      </c>
      <c r="AF383" s="4" t="s">
        <v>22</v>
      </c>
      <c r="AG383" s="4" t="s">
        <v>22</v>
      </c>
      <c r="AH383" s="4" t="s">
        <v>22</v>
      </c>
      <c r="AI383" s="4" t="s">
        <v>22</v>
      </c>
      <c r="AK383" s="4" t="s">
        <v>22</v>
      </c>
      <c r="AL383" s="4" t="s">
        <v>22</v>
      </c>
      <c r="AM383" s="4" t="s">
        <v>22</v>
      </c>
      <c r="AN383" s="4" t="s">
        <v>22</v>
      </c>
      <c r="AO383" s="4" t="s">
        <v>22</v>
      </c>
      <c r="AP383" s="4" t="s">
        <v>22</v>
      </c>
      <c r="AQ383" s="4" t="s">
        <v>22</v>
      </c>
    </row>
    <row r="384" spans="29:43">
      <c r="AC384" s="4" t="s">
        <v>22</v>
      </c>
      <c r="AD384" s="4" t="s">
        <v>22</v>
      </c>
      <c r="AE384" s="4" t="s">
        <v>22</v>
      </c>
      <c r="AF384" s="4" t="s">
        <v>22</v>
      </c>
      <c r="AG384" s="4" t="s">
        <v>22</v>
      </c>
      <c r="AH384" s="4" t="s">
        <v>22</v>
      </c>
      <c r="AI384" s="4" t="s">
        <v>22</v>
      </c>
      <c r="AK384" s="4" t="s">
        <v>22</v>
      </c>
      <c r="AL384" s="4" t="s">
        <v>22</v>
      </c>
      <c r="AM384" s="4" t="s">
        <v>22</v>
      </c>
      <c r="AN384" s="4" t="s">
        <v>22</v>
      </c>
      <c r="AO384" s="4" t="s">
        <v>22</v>
      </c>
      <c r="AP384" s="4" t="s">
        <v>22</v>
      </c>
      <c r="AQ384" s="4" t="s">
        <v>22</v>
      </c>
    </row>
    <row r="385" spans="29:43"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  <c r="AO385" s="4" t="s">
        <v>22</v>
      </c>
      <c r="AP385" s="4" t="s">
        <v>22</v>
      </c>
      <c r="AQ385" s="4" t="s">
        <v>22</v>
      </c>
    </row>
    <row r="386" spans="29:43">
      <c r="AC386" s="4" t="s">
        <v>22</v>
      </c>
      <c r="AD386" s="4" t="s">
        <v>22</v>
      </c>
      <c r="AE386" s="4" t="s">
        <v>22</v>
      </c>
      <c r="AF386" s="4" t="s">
        <v>22</v>
      </c>
      <c r="AG386" s="4" t="s">
        <v>22</v>
      </c>
      <c r="AH386" s="4" t="s">
        <v>22</v>
      </c>
      <c r="AI386" s="4" t="s">
        <v>22</v>
      </c>
      <c r="AK386" s="4" t="s">
        <v>22</v>
      </c>
      <c r="AL386" s="4" t="s">
        <v>22</v>
      </c>
      <c r="AM386" s="4" t="s">
        <v>22</v>
      </c>
      <c r="AN386" s="4" t="s">
        <v>22</v>
      </c>
      <c r="AO386" s="4" t="s">
        <v>22</v>
      </c>
      <c r="AP386" s="4" t="s">
        <v>22</v>
      </c>
      <c r="AQ386" s="4" t="s">
        <v>22</v>
      </c>
    </row>
    <row r="387" spans="29:43">
      <c r="AC387" s="4" t="s">
        <v>22</v>
      </c>
      <c r="AD387" s="4" t="s">
        <v>22</v>
      </c>
      <c r="AE387" s="4" t="s">
        <v>22</v>
      </c>
      <c r="AF387" s="4" t="s">
        <v>22</v>
      </c>
      <c r="AG387" s="4" t="s">
        <v>22</v>
      </c>
      <c r="AH387" s="4" t="s">
        <v>22</v>
      </c>
      <c r="AI387" s="4" t="s">
        <v>22</v>
      </c>
      <c r="AK387" s="4" t="s">
        <v>22</v>
      </c>
      <c r="AL387" s="4" t="s">
        <v>22</v>
      </c>
      <c r="AM387" s="4" t="s">
        <v>22</v>
      </c>
      <c r="AN387" s="4" t="s">
        <v>22</v>
      </c>
      <c r="AO387" s="4" t="s">
        <v>22</v>
      </c>
      <c r="AP387" s="4" t="s">
        <v>22</v>
      </c>
      <c r="AQ387" s="4" t="s">
        <v>22</v>
      </c>
    </row>
    <row r="388" spans="29:43">
      <c r="AC388" s="4" t="s">
        <v>22</v>
      </c>
      <c r="AD388" s="4" t="s">
        <v>22</v>
      </c>
      <c r="AE388" s="4" t="s">
        <v>22</v>
      </c>
      <c r="AF388" s="4" t="s">
        <v>22</v>
      </c>
      <c r="AG388" s="4" t="s">
        <v>22</v>
      </c>
      <c r="AH388" s="4" t="s">
        <v>22</v>
      </c>
      <c r="AI388" s="4" t="s">
        <v>22</v>
      </c>
      <c r="AK388" s="4" t="s">
        <v>22</v>
      </c>
      <c r="AL388" s="4" t="s">
        <v>22</v>
      </c>
      <c r="AM388" s="4" t="s">
        <v>22</v>
      </c>
      <c r="AN388" s="4" t="s">
        <v>22</v>
      </c>
      <c r="AO388" s="4" t="s">
        <v>22</v>
      </c>
      <c r="AP388" s="4" t="s">
        <v>22</v>
      </c>
      <c r="AQ388" s="4" t="s">
        <v>22</v>
      </c>
    </row>
    <row r="389" spans="29:43">
      <c r="AC389" s="4" t="s">
        <v>22</v>
      </c>
      <c r="AD389" s="4" t="s">
        <v>22</v>
      </c>
      <c r="AE389" s="4" t="s">
        <v>22</v>
      </c>
      <c r="AF389" s="4" t="s">
        <v>22</v>
      </c>
      <c r="AG389" s="4" t="s">
        <v>22</v>
      </c>
      <c r="AH389" s="4" t="s">
        <v>22</v>
      </c>
      <c r="AI389" s="4" t="s">
        <v>22</v>
      </c>
      <c r="AK389" s="4" t="s">
        <v>22</v>
      </c>
      <c r="AL389" s="4" t="s">
        <v>22</v>
      </c>
      <c r="AM389" s="4" t="s">
        <v>22</v>
      </c>
      <c r="AN389" s="4" t="s">
        <v>22</v>
      </c>
      <c r="AO389" s="4" t="s">
        <v>22</v>
      </c>
      <c r="AP389" s="4" t="s">
        <v>22</v>
      </c>
      <c r="AQ389" s="4" t="s">
        <v>22</v>
      </c>
    </row>
    <row r="390" spans="29:43"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  <c r="AH390" s="4" t="s">
        <v>22</v>
      </c>
      <c r="AI390" s="4" t="s">
        <v>22</v>
      </c>
      <c r="AK390" s="4" t="s">
        <v>22</v>
      </c>
      <c r="AL390" s="4" t="s">
        <v>22</v>
      </c>
      <c r="AM390" s="4" t="s">
        <v>22</v>
      </c>
      <c r="AN390" s="4" t="s">
        <v>22</v>
      </c>
      <c r="AO390" s="4" t="s">
        <v>22</v>
      </c>
      <c r="AP390" s="4" t="s">
        <v>22</v>
      </c>
      <c r="AQ390" s="4" t="s">
        <v>22</v>
      </c>
    </row>
    <row r="391" spans="29:43">
      <c r="AC391" s="4" t="s">
        <v>22</v>
      </c>
      <c r="AD391" s="4" t="s">
        <v>22</v>
      </c>
      <c r="AE391" s="4" t="s">
        <v>22</v>
      </c>
      <c r="AF391" s="4" t="s">
        <v>22</v>
      </c>
      <c r="AG391" s="4" t="s">
        <v>22</v>
      </c>
      <c r="AH391" s="4" t="s">
        <v>22</v>
      </c>
      <c r="AI391" s="4" t="s">
        <v>22</v>
      </c>
      <c r="AK391" s="4" t="s">
        <v>22</v>
      </c>
      <c r="AL391" s="4" t="s">
        <v>22</v>
      </c>
      <c r="AM391" s="4" t="s">
        <v>22</v>
      </c>
      <c r="AN391" s="4" t="s">
        <v>22</v>
      </c>
      <c r="AO391" s="4" t="s">
        <v>22</v>
      </c>
      <c r="AP391" s="4" t="s">
        <v>22</v>
      </c>
      <c r="AQ391" s="4" t="s">
        <v>22</v>
      </c>
    </row>
    <row r="392" spans="29:43">
      <c r="AC392" s="4" t="s">
        <v>22</v>
      </c>
      <c r="AD392" s="4" t="s">
        <v>22</v>
      </c>
      <c r="AE392" s="4" t="s">
        <v>22</v>
      </c>
      <c r="AF392" s="4" t="s">
        <v>22</v>
      </c>
      <c r="AG392" s="4" t="s">
        <v>22</v>
      </c>
      <c r="AH392" s="4" t="s">
        <v>22</v>
      </c>
      <c r="AI392" s="4" t="s">
        <v>22</v>
      </c>
      <c r="AK392" s="4" t="s">
        <v>22</v>
      </c>
      <c r="AL392" s="4" t="s">
        <v>22</v>
      </c>
      <c r="AM392" s="4" t="s">
        <v>22</v>
      </c>
      <c r="AN392" s="4" t="s">
        <v>22</v>
      </c>
      <c r="AO392" s="4" t="s">
        <v>22</v>
      </c>
      <c r="AP392" s="4" t="s">
        <v>22</v>
      </c>
      <c r="AQ392" s="4" t="s">
        <v>22</v>
      </c>
    </row>
    <row r="393" spans="29:43"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  <c r="AH393" s="4" t="s">
        <v>22</v>
      </c>
      <c r="AI393" s="4" t="s">
        <v>22</v>
      </c>
      <c r="AK393" s="4" t="s">
        <v>22</v>
      </c>
      <c r="AL393" s="4" t="s">
        <v>22</v>
      </c>
      <c r="AM393" s="4" t="s">
        <v>22</v>
      </c>
      <c r="AN393" s="4" t="s">
        <v>22</v>
      </c>
      <c r="AO393" s="4" t="s">
        <v>22</v>
      </c>
      <c r="AP393" s="4" t="s">
        <v>22</v>
      </c>
      <c r="AQ393" s="4" t="s">
        <v>22</v>
      </c>
    </row>
    <row r="394" spans="29:43">
      <c r="AC394" s="4" t="s">
        <v>22</v>
      </c>
      <c r="AD394" s="4" t="s">
        <v>22</v>
      </c>
      <c r="AE394" s="4" t="s">
        <v>22</v>
      </c>
      <c r="AF394" s="4" t="s">
        <v>22</v>
      </c>
      <c r="AG394" s="4" t="s">
        <v>22</v>
      </c>
      <c r="AH394" s="4" t="s">
        <v>22</v>
      </c>
      <c r="AI394" s="4" t="s">
        <v>22</v>
      </c>
      <c r="AK394" s="4" t="s">
        <v>22</v>
      </c>
      <c r="AL394" s="4" t="s">
        <v>22</v>
      </c>
      <c r="AM394" s="4" t="s">
        <v>22</v>
      </c>
      <c r="AN394" s="4" t="s">
        <v>22</v>
      </c>
      <c r="AO394" s="4" t="s">
        <v>22</v>
      </c>
      <c r="AP394" s="4" t="s">
        <v>22</v>
      </c>
      <c r="AQ394" s="4" t="s">
        <v>22</v>
      </c>
    </row>
    <row r="395" spans="29:43">
      <c r="AC395" s="4" t="s">
        <v>22</v>
      </c>
      <c r="AD395" s="4" t="s">
        <v>22</v>
      </c>
      <c r="AE395" s="4" t="s">
        <v>22</v>
      </c>
      <c r="AF395" s="4" t="s">
        <v>22</v>
      </c>
      <c r="AG395" s="4" t="s">
        <v>22</v>
      </c>
      <c r="AH395" s="4" t="s">
        <v>22</v>
      </c>
      <c r="AI395" s="4" t="s">
        <v>22</v>
      </c>
      <c r="AK395" s="4" t="s">
        <v>22</v>
      </c>
      <c r="AL395" s="4" t="s">
        <v>22</v>
      </c>
      <c r="AM395" s="4" t="s">
        <v>22</v>
      </c>
      <c r="AN395" s="4" t="s">
        <v>22</v>
      </c>
      <c r="AO395" s="4" t="s">
        <v>22</v>
      </c>
      <c r="AP395" s="4" t="s">
        <v>22</v>
      </c>
      <c r="AQ395" s="4" t="s">
        <v>22</v>
      </c>
    </row>
    <row r="396" spans="29:43">
      <c r="AC396" s="4" t="s">
        <v>22</v>
      </c>
      <c r="AD396" s="4" t="s">
        <v>22</v>
      </c>
      <c r="AE396" s="4" t="s">
        <v>22</v>
      </c>
      <c r="AF396" s="4" t="s">
        <v>22</v>
      </c>
      <c r="AG396" s="4" t="s">
        <v>22</v>
      </c>
      <c r="AH396" s="4" t="s">
        <v>22</v>
      </c>
      <c r="AI396" s="4" t="s">
        <v>22</v>
      </c>
      <c r="AK396" s="4" t="s">
        <v>22</v>
      </c>
      <c r="AL396" s="4" t="s">
        <v>22</v>
      </c>
      <c r="AM396" s="4" t="s">
        <v>22</v>
      </c>
      <c r="AN396" s="4" t="s">
        <v>22</v>
      </c>
      <c r="AO396" s="4" t="s">
        <v>22</v>
      </c>
      <c r="AP396" s="4" t="s">
        <v>22</v>
      </c>
      <c r="AQ396" s="4" t="s">
        <v>22</v>
      </c>
    </row>
    <row r="397" spans="29:43">
      <c r="AC397" s="4" t="s">
        <v>22</v>
      </c>
      <c r="AD397" s="4" t="s">
        <v>22</v>
      </c>
      <c r="AE397" s="4" t="s">
        <v>22</v>
      </c>
      <c r="AF397" s="4" t="s">
        <v>22</v>
      </c>
      <c r="AG397" s="4" t="s">
        <v>22</v>
      </c>
      <c r="AH397" s="4" t="s">
        <v>22</v>
      </c>
      <c r="AI397" s="4" t="s">
        <v>22</v>
      </c>
      <c r="AK397" s="4" t="s">
        <v>22</v>
      </c>
      <c r="AL397" s="4" t="s">
        <v>22</v>
      </c>
      <c r="AM397" s="4" t="s">
        <v>22</v>
      </c>
      <c r="AN397" s="4" t="s">
        <v>22</v>
      </c>
      <c r="AO397" s="4" t="s">
        <v>22</v>
      </c>
      <c r="AP397" s="4" t="s">
        <v>22</v>
      </c>
      <c r="AQ397" s="4" t="s">
        <v>22</v>
      </c>
    </row>
    <row r="398" spans="29:43">
      <c r="AC398" s="4" t="s">
        <v>22</v>
      </c>
      <c r="AD398" s="4" t="s">
        <v>22</v>
      </c>
      <c r="AE398" s="4" t="s">
        <v>22</v>
      </c>
      <c r="AF398" s="4" t="s">
        <v>22</v>
      </c>
      <c r="AG398" s="4" t="s">
        <v>22</v>
      </c>
      <c r="AH398" s="4" t="s">
        <v>22</v>
      </c>
      <c r="AI398" s="4" t="s">
        <v>22</v>
      </c>
      <c r="AK398" s="4" t="s">
        <v>22</v>
      </c>
      <c r="AL398" s="4" t="s">
        <v>22</v>
      </c>
      <c r="AM398" s="4" t="s">
        <v>22</v>
      </c>
      <c r="AN398" s="4" t="s">
        <v>22</v>
      </c>
      <c r="AO398" s="4" t="s">
        <v>22</v>
      </c>
      <c r="AP398" s="4" t="s">
        <v>22</v>
      </c>
      <c r="AQ398" s="4" t="s">
        <v>22</v>
      </c>
    </row>
    <row r="399" spans="29:43">
      <c r="AC399" s="4" t="s">
        <v>22</v>
      </c>
      <c r="AD399" s="4" t="s">
        <v>22</v>
      </c>
      <c r="AE399" s="4" t="s">
        <v>22</v>
      </c>
      <c r="AF399" s="4" t="s">
        <v>22</v>
      </c>
      <c r="AG399" s="4" t="s">
        <v>22</v>
      </c>
      <c r="AH399" s="4" t="s">
        <v>22</v>
      </c>
      <c r="AI399" s="4" t="s">
        <v>22</v>
      </c>
      <c r="AK399" s="4" t="s">
        <v>22</v>
      </c>
      <c r="AL399" s="4" t="s">
        <v>22</v>
      </c>
      <c r="AM399" s="4" t="s">
        <v>22</v>
      </c>
      <c r="AN399" s="4" t="s">
        <v>22</v>
      </c>
      <c r="AO399" s="4" t="s">
        <v>22</v>
      </c>
      <c r="AP399" s="4" t="s">
        <v>22</v>
      </c>
      <c r="AQ399" s="4" t="s">
        <v>22</v>
      </c>
    </row>
    <row r="400" spans="29:43">
      <c r="AC400" s="4" t="s">
        <v>22</v>
      </c>
      <c r="AD400" s="4" t="s">
        <v>22</v>
      </c>
      <c r="AE400" s="4" t="s">
        <v>22</v>
      </c>
      <c r="AF400" s="4" t="s">
        <v>22</v>
      </c>
      <c r="AG400" s="4" t="s">
        <v>22</v>
      </c>
      <c r="AH400" s="4" t="s">
        <v>22</v>
      </c>
      <c r="AI400" s="4" t="s">
        <v>22</v>
      </c>
      <c r="AK400" s="4" t="s">
        <v>22</v>
      </c>
      <c r="AL400" s="4" t="s">
        <v>22</v>
      </c>
      <c r="AM400" s="4" t="s">
        <v>22</v>
      </c>
      <c r="AN400" s="4" t="s">
        <v>22</v>
      </c>
      <c r="AO400" s="4" t="s">
        <v>22</v>
      </c>
      <c r="AP400" s="4" t="s">
        <v>22</v>
      </c>
      <c r="AQ400" s="4" t="s">
        <v>22</v>
      </c>
    </row>
    <row r="401" spans="29:43">
      <c r="AC401" s="4" t="s">
        <v>22</v>
      </c>
      <c r="AD401" s="4" t="s">
        <v>22</v>
      </c>
      <c r="AE401" s="4" t="s">
        <v>22</v>
      </c>
      <c r="AF401" s="4" t="s">
        <v>22</v>
      </c>
      <c r="AG401" s="4" t="s">
        <v>22</v>
      </c>
      <c r="AH401" s="4" t="s">
        <v>22</v>
      </c>
      <c r="AI401" s="4" t="s">
        <v>22</v>
      </c>
      <c r="AK401" s="4" t="s">
        <v>22</v>
      </c>
      <c r="AL401" s="4" t="s">
        <v>22</v>
      </c>
      <c r="AM401" s="4" t="s">
        <v>22</v>
      </c>
      <c r="AN401" s="4" t="s">
        <v>22</v>
      </c>
      <c r="AO401" s="4" t="s">
        <v>22</v>
      </c>
      <c r="AP401" s="4" t="s">
        <v>22</v>
      </c>
      <c r="AQ401" s="4" t="s">
        <v>22</v>
      </c>
    </row>
    <row r="402" spans="29:43">
      <c r="AC402" s="4" t="s">
        <v>22</v>
      </c>
      <c r="AD402" s="4" t="s">
        <v>22</v>
      </c>
      <c r="AE402" s="4" t="s">
        <v>22</v>
      </c>
      <c r="AF402" s="4" t="s">
        <v>22</v>
      </c>
      <c r="AG402" s="4" t="s">
        <v>22</v>
      </c>
      <c r="AH402" s="4" t="s">
        <v>22</v>
      </c>
      <c r="AI402" s="4" t="s">
        <v>22</v>
      </c>
      <c r="AK402" s="4" t="s">
        <v>22</v>
      </c>
      <c r="AL402" s="4" t="s">
        <v>22</v>
      </c>
      <c r="AM402" s="4" t="s">
        <v>22</v>
      </c>
      <c r="AN402" s="4" t="s">
        <v>22</v>
      </c>
      <c r="AO402" s="4" t="s">
        <v>22</v>
      </c>
      <c r="AP402" s="4" t="s">
        <v>22</v>
      </c>
      <c r="AQ402" s="4" t="s">
        <v>22</v>
      </c>
    </row>
    <row r="403" spans="29:43">
      <c r="AC403" s="4" t="s">
        <v>22</v>
      </c>
      <c r="AD403" s="4" t="s">
        <v>22</v>
      </c>
      <c r="AE403" s="4" t="s">
        <v>22</v>
      </c>
      <c r="AF403" s="4" t="s">
        <v>22</v>
      </c>
      <c r="AG403" s="4" t="s">
        <v>22</v>
      </c>
      <c r="AH403" s="4" t="s">
        <v>22</v>
      </c>
      <c r="AI403" s="4" t="s">
        <v>22</v>
      </c>
      <c r="AK403" s="4" t="s">
        <v>22</v>
      </c>
      <c r="AL403" s="4" t="s">
        <v>22</v>
      </c>
      <c r="AM403" s="4" t="s">
        <v>22</v>
      </c>
      <c r="AN403" s="4" t="s">
        <v>22</v>
      </c>
      <c r="AO403" s="4" t="s">
        <v>22</v>
      </c>
      <c r="AP403" s="4" t="s">
        <v>22</v>
      </c>
      <c r="AQ403" s="4" t="s">
        <v>22</v>
      </c>
    </row>
    <row r="404" spans="29:43">
      <c r="AC404" s="4" t="s">
        <v>22</v>
      </c>
      <c r="AD404" s="4" t="s">
        <v>22</v>
      </c>
      <c r="AE404" s="4" t="s">
        <v>22</v>
      </c>
      <c r="AF404" s="4" t="s">
        <v>22</v>
      </c>
      <c r="AG404" s="4" t="s">
        <v>22</v>
      </c>
      <c r="AH404" s="4" t="s">
        <v>22</v>
      </c>
      <c r="AI404" s="4" t="s">
        <v>22</v>
      </c>
      <c r="AK404" s="4" t="s">
        <v>22</v>
      </c>
      <c r="AL404" s="4" t="s">
        <v>22</v>
      </c>
      <c r="AM404" s="4" t="s">
        <v>22</v>
      </c>
      <c r="AN404" s="4" t="s">
        <v>22</v>
      </c>
      <c r="AO404" s="4" t="s">
        <v>22</v>
      </c>
      <c r="AP404" s="4" t="s">
        <v>22</v>
      </c>
      <c r="AQ404" s="4" t="s">
        <v>22</v>
      </c>
    </row>
  </sheetData>
  <phoneticPr fontId="20" type="noConversion"/>
  <conditionalFormatting sqref="AS4:AY403">
    <cfRule type="cellIs" dxfId="13" priority="14" operator="equal">
      <formula>"ERROR"</formula>
    </cfRule>
  </conditionalFormatting>
  <conditionalFormatting sqref="M1:S1048576">
    <cfRule type="cellIs" dxfId="12" priority="1" operator="equal">
      <formula>"C1"</formula>
    </cfRule>
    <cfRule type="cellIs" dxfId="11" priority="2" operator="equal">
      <formula>"G6"</formula>
    </cfRule>
    <cfRule type="cellIs" dxfId="10" priority="3" operator="equal">
      <formula>"G5"</formula>
    </cfRule>
    <cfRule type="cellIs" dxfId="9" priority="4" operator="equal">
      <formula>"G4"</formula>
    </cfRule>
    <cfRule type="cellIs" dxfId="8" priority="5" operator="equal">
      <formula>"G3"</formula>
    </cfRule>
    <cfRule type="cellIs" dxfId="7" priority="6" operator="equal">
      <formula>"G2"</formula>
    </cfRule>
    <cfRule type="cellIs" dxfId="6" priority="7" operator="equal">
      <formula>"G1"</formula>
    </cfRule>
    <cfRule type="cellIs" dxfId="5" priority="8" operator="equal">
      <formula>"M5"</formula>
    </cfRule>
    <cfRule type="cellIs" dxfId="4" priority="9" operator="equal">
      <formula>"M4"</formula>
    </cfRule>
    <cfRule type="cellIs" dxfId="3" priority="10" operator="equal">
      <formula>"M3"</formula>
    </cfRule>
    <cfRule type="cellIs" dxfId="2" priority="11" operator="equal">
      <formula>"M6"</formula>
    </cfRule>
    <cfRule type="cellIs" dxfId="1" priority="12" operator="equal">
      <formula>"M2"</formula>
    </cfRule>
    <cfRule type="cellIs" dxfId="0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FG_Symbol</vt:lpstr>
      <vt:lpstr>FG_Symbol (2)</vt:lpstr>
      <vt:lpstr>FG_Symbol (3)</vt:lpstr>
      <vt:lpstr>BF_Symbol</vt:lpstr>
      <vt:lpstr>BG_Performance Wheel</vt:lpstr>
      <vt:lpstr>FG_Performance Wheel</vt:lpstr>
      <vt:lpstr>BF_Performance Wheel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2026-07-28T05:52:46Z</dcterms:modified>
</cp:coreProperties>
</file>